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ly 26/"/>
    </mc:Choice>
  </mc:AlternateContent>
  <xr:revisionPtr revIDLastSave="1164" documentId="8_{B28E2191-7C54-4325-9FF5-47C842D50063}" xr6:coauthVersionLast="47" xr6:coauthVersionMax="47" xr10:uidLastSave="{AECEC5A8-4867-4FBD-AA9D-2C7E108C70DA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'!$A$1:$AF$284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5" i="61" l="1"/>
  <c r="N1" i="30"/>
  <c r="M1" i="6" l="1"/>
  <c r="F9" i="64"/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7" i="30"/>
  <c r="E86" i="30"/>
  <c r="E84" i="30"/>
  <c r="E88" i="30"/>
  <c r="E89" i="30"/>
  <c r="E85" i="30"/>
  <c r="E83" i="30"/>
  <c r="F7" i="38" l="1"/>
  <c r="E39" i="38"/>
  <c r="I6" i="38"/>
  <c r="E82" i="30"/>
  <c r="E81" i="30"/>
  <c r="E80" i="30"/>
  <c r="E73" i="30"/>
  <c r="E74" i="30"/>
  <c r="E70" i="30"/>
  <c r="E67" i="30"/>
  <c r="E69" i="30"/>
  <c r="E75" i="30"/>
  <c r="E71" i="30"/>
  <c r="E76" i="30"/>
  <c r="E77" i="30"/>
  <c r="E78" i="30"/>
  <c r="E79" i="30"/>
  <c r="E31" i="30"/>
  <c r="E41" i="30"/>
  <c r="E26" i="30"/>
  <c r="E25" i="30"/>
  <c r="E27" i="30"/>
  <c r="E5" i="30"/>
  <c r="E18" i="30"/>
  <c r="E33" i="30"/>
  <c r="E56" i="30"/>
  <c r="E10" i="30"/>
  <c r="E8" i="30"/>
  <c r="E11" i="30"/>
  <c r="E3" i="30"/>
  <c r="E17" i="30"/>
  <c r="E13" i="30"/>
  <c r="E15" i="30"/>
  <c r="E45" i="30"/>
  <c r="E49" i="30"/>
  <c r="E47" i="30"/>
  <c r="E12" i="30"/>
  <c r="E22" i="30"/>
  <c r="E34" i="30"/>
  <c r="E32" i="30"/>
  <c r="E38" i="30"/>
  <c r="E35" i="30"/>
  <c r="E30" i="30"/>
  <c r="E57" i="30"/>
  <c r="E43" i="30"/>
  <c r="E48" i="30"/>
  <c r="E42" i="30"/>
  <c r="E24" i="30"/>
  <c r="E23" i="30"/>
  <c r="E21" i="30"/>
  <c r="E20" i="30"/>
  <c r="E19" i="30"/>
  <c r="E16" i="30"/>
  <c r="E14" i="30"/>
  <c r="E9" i="30"/>
  <c r="E7" i="30"/>
  <c r="E6" i="30"/>
  <c r="E4" i="30"/>
  <c r="E36" i="30"/>
  <c r="E29" i="30"/>
  <c r="E28" i="30"/>
  <c r="E39" i="30"/>
  <c r="E44" i="30"/>
  <c r="E60" i="30"/>
  <c r="E59" i="30"/>
  <c r="E50" i="30"/>
  <c r="E55" i="30"/>
  <c r="E53" i="30"/>
  <c r="E68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31" i="61"/>
  <c r="BM209" i="61"/>
  <c r="BV108" i="61"/>
  <c r="BV62" i="61"/>
  <c r="BV50" i="61"/>
  <c r="BW38" i="6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K15" i="64"/>
  <c r="E72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  <c r="A3" i="30"/>
  <c r="A4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<sst xmlns="http://schemas.openxmlformats.org/spreadsheetml/2006/main" count="5668" uniqueCount="1186">
  <si>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</si>
  <si>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</si>
  <si>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</si>
  <si>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</si>
  <si>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</si>
  <si>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</si>
  <si>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</si>
  <si>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</si>
  <si>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</si>
  <si>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</si>
  <si>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</si>
  <si>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</si>
  <si>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</si>
  <si>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</si>
  <si>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</si>
  <si>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</si>
  <si>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</si>
  <si>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</si>
  <si>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</si>
  <si>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</si>
  <si>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</si>
  <si>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</si>
  <si>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</si>
  <si>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</si>
  <si>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</si>
  <si>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</si>
  <si>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</si>
  <si>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</si>
  <si>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</si>
  <si>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</si>
  <si>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</si>
  <si>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</si>
  <si>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</si>
  <si>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</si>
  <si>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</si>
  <si>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</si>
  <si>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</si>
  <si>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</si>
  <si>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</si>
  <si>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</si>
  <si>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</si>
  <si>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</si>
  <si>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</si>
  <si>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</si>
  <si>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</si>
  <si>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</si>
  <si>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</si>
  <si>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</si>
  <si>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</si>
  <si>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</si>
  <si>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</si>
  <si>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</si>
  <si>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</si>
  <si>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</si>
  <si>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</si>
  <si>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</si>
  <si>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</si>
  <si>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</si>
  <si>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</si>
  <si>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</si>
  <si>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</si>
  <si>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</si>
  <si>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</si>
  <si>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</si>
  <si>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</si>
  <si>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</si>
  <si>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</si>
  <si>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</si>
  <si>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</si>
  <si>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</si>
  <si>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</si>
  <si>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</si>
  <si>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</si>
  <si>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</si>
  <si>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</si>
  <si>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</si>
  <si>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</si>
  <si>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</si>
  <si>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</si>
  <si>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</si>
  <si>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</si>
  <si>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</si>
  <si>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</si>
  <si>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</si>
  <si>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</si>
  <si>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</si>
  <si>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</si>
  <si>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</si>
  <si>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</si>
  <si>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</si>
  <si>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</si>
  <si>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</si>
  <si>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</si>
  <si>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</si>
  <si>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</si>
  <si>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</si>
  <si>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</si>
  <si>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</si>
  <si>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</si>
  <si>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</si>
  <si>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</si>
  <si>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</si>
  <si>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</si>
  <si>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</si>
  <si>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</si>
  <si>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</si>
  <si>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</si>
  <si>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</si>
  <si>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</si>
  <si>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</si>
  <si>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</si>
  <si>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</si>
  <si>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</si>
  <si>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</si>
  <si>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</si>
  <si>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</si>
  <si>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</si>
  <si>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</si>
  <si>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</si>
  <si>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</si>
  <si>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</si>
  <si>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</si>
  <si>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</si>
  <si>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</si>
  <si>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</si>
  <si>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</si>
  <si>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</si>
  <si>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</si>
  <si>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</si>
  <si>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</si>
  <si>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</si>
  <si>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</si>
  <si>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</si>
  <si>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</si>
  <si>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</si>
  <si>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</si>
  <si>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</si>
  <si>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</si>
  <si>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</si>
  <si>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</si>
  <si>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</si>
  <si>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</si>
  <si>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</si>
  <si>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</si>
  <si>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</si>
  <si>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</si>
  <si>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</si>
  <si>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</si>
  <si>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</si>
  <si>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</si>
  <si>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</si>
  <si>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</si>
  <si>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</si>
  <si>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</si>
  <si>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</si>
  <si>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</si>
  <si>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</si>
  <si>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</si>
  <si>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</si>
  <si>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</si>
  <si>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</si>
  <si>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</si>
  <si>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</si>
  <si>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</si>
  <si>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</si>
  <si>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</si>
  <si>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</si>
  <si>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</si>
  <si>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</si>
  <si>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</si>
  <si>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</si>
  <si>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</si>
  <si>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</si>
  <si>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</si>
  <si>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</si>
  <si>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</si>
  <si>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</si>
  <si>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</si>
  <si>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</si>
  <si>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</si>
  <si>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</si>
  <si>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</si>
  <si>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</si>
  <si>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</si>
  <si>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</si>
  <si>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</si>
  <si>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</si>
  <si>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</si>
  <si>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</si>
  <si>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</si>
  <si>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</si>
  <si>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</si>
  <si>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</si>
  <si>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</si>
  <si>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</si>
  <si>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</si>
  <si>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</si>
  <si>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</si>
  <si>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</si>
  <si>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</si>
  <si>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</si>
  <si>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</si>
  <si>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</si>
  <si>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</si>
  <si>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</si>
  <si>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</si>
  <si>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</si>
  <si>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</si>
  <si>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</si>
  <si>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</si>
  <si>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</si>
  <si>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</si>
  <si>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</si>
  <si>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</si>
  <si>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</si>
  <si>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</si>
  <si>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</si>
  <si>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</si>
  <si>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</si>
  <si>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</si>
  <si>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</si>
  <si>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</si>
  <si>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</si>
  <si>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</si>
  <si>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</si>
  <si>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</si>
  <si>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</si>
  <si>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</si>
  <si>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</si>
  <si>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</si>
  <si>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</si>
  <si>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</si>
  <si>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</si>
  <si>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</si>
  <si>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</si>
  <si>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</si>
  <si>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</si>
  <si>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</si>
  <si>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</si>
  <si>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</si>
  <si>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</si>
  <si>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</si>
  <si>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</si>
  <si>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</si>
  <si>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</si>
  <si>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</si>
  <si>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</si>
  <si>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</si>
  <si>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</si>
  <si>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</si>
  <si>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</si>
  <si>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</si>
  <si>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</si>
  <si>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</si>
  <si>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</si>
  <si>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</si>
  <si>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</si>
  <si>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</si>
  <si>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</si>
  <si>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</si>
  <si>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</si>
  <si>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</si>
  <si>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</si>
  <si>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</si>
  <si>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</si>
  <si>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</si>
  <si>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</si>
  <si>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</si>
  <si>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</si>
  <si>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</si>
  <si>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</si>
  <si>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</si>
  <si>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</si>
  <si>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</si>
  <si>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</si>
  <si>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</si>
  <si>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</si>
  <si>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</si>
  <si>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</si>
  <si>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</si>
  <si>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</si>
  <si>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</si>
  <si>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</si>
  <si>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</si>
  <si>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</si>
  <si>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</si>
  <si>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</si>
  <si>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</si>
  <si>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</si>
  <si>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</si>
  <si>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</si>
  <si>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</si>
  <si>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</si>
  <si>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</si>
  <si>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</si>
  <si>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</si>
  <si>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</si>
  <si>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</si>
  <si>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</si>
  <si>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</si>
  <si>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</si>
  <si>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</si>
  <si>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</si>
  <si>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</si>
  <si>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</si>
  <si>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</si>
  <si>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</si>
  <si>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</si>
  <si>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</si>
  <si>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</si>
  <si>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</si>
  <si>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</si>
  <si>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</si>
  <si>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</si>
  <si>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</si>
  <si>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</si>
  <si>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</si>
  <si>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</si>
  <si>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</si>
  <si>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</si>
  <si>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</si>
  <si>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</si>
  <si>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</si>
  <si>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</si>
  <si>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</si>
  <si>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</si>
  <si>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</si>
  <si>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</si>
  <si>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</si>
  <si>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</si>
  <si>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</si>
  <si>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</si>
  <si>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</si>
  <si>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</si>
  <si>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</si>
  <si>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</si>
  <si>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</si>
  <si>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</si>
  <si>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</si>
  <si>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</si>
  <si>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</si>
  <si>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</si>
  <si>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</si>
  <si>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</si>
  <si>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</si>
  <si>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</si>
  <si>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</si>
  <si>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</si>
  <si>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</si>
  <si>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</si>
  <si>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</si>
  <si>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</si>
  <si>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</si>
  <si>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</si>
  <si>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</si>
  <si>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</si>
  <si>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</si>
  <si>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</si>
  <si>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</si>
  <si>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</si>
  <si>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</si>
  <si>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</si>
  <si>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</si>
  <si>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</si>
  <si>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</si>
  <si>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</si>
  <si>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</si>
  <si>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</si>
  <si>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</si>
  <si>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</si>
  <si>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</si>
  <si>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</si>
  <si>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</si>
  <si>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</si>
  <si>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</si>
  <si>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</si>
  <si>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</si>
  <si>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</si>
  <si>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</si>
  <si>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</si>
  <si>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</si>
  <si>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</si>
  <si>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</si>
  <si>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</si>
  <si>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</si>
  <si>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</si>
  <si>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</si>
  <si>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</si>
  <si>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</si>
  <si>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</si>
  <si>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</si>
  <si>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</si>
  <si>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</si>
  <si>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</si>
  <si>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</si>
  <si>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</si>
  <si>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</si>
  <si>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</si>
  <si>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</si>
  <si>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</si>
  <si>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</si>
  <si>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</si>
  <si>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</si>
  <si>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</si>
  <si>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</si>
  <si>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</si>
  <si>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</si>
  <si>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</si>
  <si>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</si>
  <si>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</si>
  <si>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</si>
  <si>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</si>
  <si>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</si>
  <si>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</si>
  <si>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</si>
  <si>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</si>
  <si>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</si>
  <si>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</si>
  <si>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</si>
  <si>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</si>
  <si>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</si>
  <si>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</si>
  <si>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</si>
  <si>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</si>
  <si>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</si>
  <si>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</si>
  <si>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</si>
  <si>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</si>
  <si>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</si>
  <si>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</si>
  <si>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</si>
  <si>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</si>
  <si>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</si>
  <si>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</si>
  <si>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</si>
  <si>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</si>
  <si>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</si>
  <si>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</si>
  <si>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</si>
  <si>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</si>
  <si>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</si>
  <si>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</si>
  <si>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</si>
  <si>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</si>
  <si>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</si>
  <si>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</si>
  <si>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</si>
  <si>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</si>
  <si>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</si>
  <si>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</si>
  <si>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</si>
  <si>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</si>
  <si>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</si>
  <si>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</si>
  <si>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</si>
  <si>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</si>
  <si>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</si>
  <si>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</si>
  <si>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</si>
  <si>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</si>
  <si>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</si>
  <si>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</si>
  <si>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</si>
  <si>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</si>
  <si>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</si>
  <si>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</si>
  <si>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</si>
  <si>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</si>
  <si>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</si>
  <si>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</si>
  <si>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</si>
  <si>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</si>
  <si>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</si>
  <si>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</si>
  <si>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</si>
  <si>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</si>
  <si>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</si>
  <si>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</si>
  <si>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</si>
  <si>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</si>
  <si>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</si>
  <si>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</si>
  <si>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</si>
  <si>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</si>
  <si>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</si>
  <si>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</si>
  <si>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</si>
  <si>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</si>
  <si>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</si>
  <si>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</si>
  <si>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</si>
  <si>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</si>
  <si>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</si>
  <si>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</si>
  <si>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</si>
  <si>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</si>
  <si>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</si>
  <si>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</si>
  <si>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</si>
  <si>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</si>
  <si>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</si>
  <si>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</si>
  <si>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</si>
  <si>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</si>
  <si>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</si>
  <si>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</si>
  <si>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</si>
  <si>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</si>
  <si>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</si>
  <si>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</si>
  <si>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</si>
  <si>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</si>
  <si>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</si>
  <si>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</si>
  <si>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</si>
  <si>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</si>
  <si>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</si>
  <si>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</si>
  <si>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</si>
  <si>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</si>
  <si>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</si>
  <si>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</si>
  <si>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</si>
  <si>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</si>
  <si>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</si>
  <si>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</si>
  <si>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</si>
  <si>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</si>
  <si>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</si>
  <si>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</si>
  <si>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</si>
  <si>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</si>
  <si>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</si>
  <si>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</si>
  <si>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</si>
  <si>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</si>
  <si>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</si>
  <si>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</si>
  <si>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</si>
  <si>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</si>
  <si>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</si>
  <si>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</si>
  <si>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</si>
  <si>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</si>
  <si>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</si>
  <si>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</si>
  <si>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</si>
  <si>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</si>
  <si>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</si>
  <si>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</si>
  <si>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</si>
  <si>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</si>
  <si>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</si>
  <si>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</si>
  <si>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</si>
  <si>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</si>
  <si>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</si>
  <si>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</si>
  <si>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</si>
  <si>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</si>
  <si>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</si>
  <si>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</si>
  <si>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</si>
  <si>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129/0</t>
  </si>
  <si>
    <t>130/0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</si>
  <si>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</si>
  <si>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</si>
  <si>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</si>
  <si>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</si>
  <si>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</si>
  <si>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</si>
  <si>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</si>
  <si>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</si>
  <si>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</si>
  <si>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</si>
  <si>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</si>
  <si>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</si>
  <si>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</si>
  <si>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</si>
  <si>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</si>
  <si>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</si>
  <si>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</si>
  <si>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</si>
  <si>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</si>
  <si>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</si>
  <si>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</si>
  <si>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</si>
  <si>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</si>
  <si>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</si>
  <si>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</si>
  <si>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</si>
  <si>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</si>
  <si>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</si>
  <si>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</si>
  <si>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</si>
  <si>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</si>
  <si>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</si>
  <si>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</si>
  <si>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</si>
  <si>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</si>
  <si>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</si>
  <si>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</si>
  <si>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</si>
  <si>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</si>
  <si>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</si>
  <si>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</si>
  <si>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</si>
  <si>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</si>
  <si>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</si>
  <si>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</si>
  <si>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</si>
  <si>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</si>
  <si>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</si>
  <si>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</si>
  <si>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</si>
  <si>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</si>
  <si>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</si>
  <si>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</si>
  <si>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</si>
  <si>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</si>
  <si>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</si>
  <si>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</si>
  <si>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</si>
  <si>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</si>
  <si>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</si>
  <si>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</si>
  <si>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</si>
  <si>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</si>
  <si>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</si>
  <si>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</si>
  <si>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</si>
  <si>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</si>
  <si>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</si>
  <si>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</si>
  <si>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</si>
  <si>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</si>
  <si>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</si>
  <si>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</si>
  <si>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</si>
  <si>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</si>
  <si>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</si>
  <si>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</si>
  <si>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</si>
  <si>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</si>
  <si>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</si>
  <si>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</si>
  <si>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</si>
  <si>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</si>
  <si>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</si>
  <si>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</si>
  <si>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</si>
  <si>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</si>
  <si>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</si>
  <si>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</si>
  <si>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</si>
  <si>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</si>
  <si>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</si>
  <si>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</si>
  <si>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</si>
  <si>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</si>
  <si>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</si>
  <si>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</si>
  <si>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</si>
  <si>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</si>
  <si>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</si>
  <si>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</si>
  <si>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</si>
  <si>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</si>
  <si>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</si>
  <si>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</si>
  <si>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</si>
  <si>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</si>
  <si>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</si>
  <si>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</si>
  <si>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</si>
  <si>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</si>
  <si>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</si>
  <si>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</si>
  <si>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</si>
  <si>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</si>
  <si>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</si>
  <si>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</si>
  <si>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</si>
  <si>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</si>
  <si>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</si>
  <si>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</si>
  <si>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</si>
  <si>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</si>
  <si>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</si>
  <si>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</si>
  <si>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</si>
  <si>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</si>
  <si>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</si>
  <si>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</si>
  <si>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</si>
  <si>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</si>
  <si>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</si>
  <si>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</si>
  <si>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</si>
  <si>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</si>
  <si>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</si>
  <si>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</si>
  <si>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</si>
  <si>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</si>
  <si>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</si>
  <si>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</si>
  <si>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</si>
  <si>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</si>
  <si>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</si>
  <si>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</si>
  <si>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</si>
  <si>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</si>
  <si>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</si>
  <si>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</si>
  <si>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</si>
  <si>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</si>
  <si>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</si>
  <si>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</si>
  <si>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</si>
  <si>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</si>
  <si>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</si>
  <si>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</si>
  <si>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</si>
  <si>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</si>
  <si>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</si>
  <si>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</si>
  <si>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</si>
  <si>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</si>
  <si>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</si>
  <si>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</si>
  <si>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</si>
  <si>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</si>
  <si>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</si>
  <si>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</si>
  <si>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</si>
  <si>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</si>
  <si>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</si>
  <si>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</si>
  <si>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</si>
  <si>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</si>
  <si>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</si>
  <si>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</si>
  <si>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</si>
  <si>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</si>
  <si>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</si>
  <si>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</si>
  <si>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</si>
  <si>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</si>
  <si>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</si>
  <si>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</si>
  <si>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</si>
  <si>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</si>
  <si>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</si>
  <si>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</si>
  <si>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</si>
  <si>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</si>
  <si>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</si>
  <si>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</si>
  <si>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</si>
  <si>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</si>
  <si>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</si>
  <si>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</si>
  <si>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</si>
  <si>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</si>
  <si>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</si>
  <si>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</si>
  <si>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</si>
  <si>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</si>
  <si>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</si>
  <si>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</si>
  <si>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</si>
  <si>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</si>
  <si>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</si>
  <si>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</si>
  <si>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</si>
  <si>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</si>
  <si>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</si>
  <si>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</si>
  <si>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</si>
  <si>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</si>
  <si>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</si>
  <si>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</si>
  <si>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</si>
  <si>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</si>
  <si>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</si>
  <si>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</si>
  <si>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</si>
  <si>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</si>
  <si>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</si>
  <si>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</si>
  <si>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</si>
  <si>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</si>
  <si>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</si>
  <si>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</si>
  <si>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</si>
  <si>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</si>
  <si>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</si>
  <si>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</si>
  <si>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</si>
  <si>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</si>
  <si>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</si>
  <si>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</si>
  <si>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</si>
  <si>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</si>
  <si>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</si>
  <si>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</si>
  <si>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</si>
  <si>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</si>
  <si>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</si>
  <si>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</si>
  <si>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</si>
  <si>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</si>
  <si>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</si>
  <si>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</si>
  <si>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</si>
  <si>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</si>
  <si>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</si>
  <si>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</si>
  <si>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</si>
  <si>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</si>
  <si>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</si>
  <si>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</si>
  <si>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</si>
  <si>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</si>
  <si>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</si>
  <si>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</si>
  <si>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</si>
  <si>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</si>
  <si>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</si>
  <si>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</si>
  <si>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</si>
  <si>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</si>
  <si>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</si>
  <si>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</si>
  <si>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</si>
  <si>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</si>
  <si>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</si>
  <si>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</si>
  <si>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</si>
  <si>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</si>
  <si>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</si>
  <si>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</si>
  <si>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</si>
  <si>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</si>
  <si>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</si>
  <si>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</si>
  <si>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</si>
  <si>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</si>
  <si>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</si>
  <si>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</si>
  <si>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</si>
  <si>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</si>
  <si>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</si>
  <si>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</si>
  <si>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</si>
  <si>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</si>
  <si>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</si>
  <si>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</si>
  <si>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</si>
  <si>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</si>
  <si>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</si>
  <si>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</si>
  <si>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</si>
  <si>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</si>
  <si>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</si>
  <si>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</si>
  <si>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</si>
  <si>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</si>
  <si>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</si>
  <si>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</si>
  <si>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</si>
  <si>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</si>
  <si>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</si>
  <si>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</si>
  <si>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</si>
  <si>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</si>
  <si>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</si>
  <si>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</si>
  <si>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</si>
  <si>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</si>
  <si>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</si>
  <si>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</si>
  <si>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</si>
  <si>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</si>
  <si>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</si>
  <si>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</si>
  <si>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</si>
  <si>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</si>
  <si>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</si>
  <si>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</si>
  <si>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</si>
  <si>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</si>
  <si>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</si>
  <si>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</si>
  <si>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</si>
  <si>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</si>
  <si>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</si>
  <si>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</si>
  <si>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</si>
  <si>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</si>
  <si>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</si>
  <si>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</si>
  <si>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</si>
  <si>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</si>
  <si>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</si>
  <si>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</si>
  <si>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</si>
  <si>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</si>
  <si>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</si>
  <si>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</si>
  <si>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</si>
  <si>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</si>
  <si>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</si>
  <si>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</si>
  <si>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</si>
  <si>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</si>
  <si>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</si>
  <si>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</si>
  <si>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</si>
  <si>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</si>
  <si>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</si>
  <si>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</si>
  <si>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</si>
  <si>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</si>
  <si>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</si>
  <si>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</si>
  <si>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</si>
  <si>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</si>
  <si>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</si>
  <si>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</si>
  <si>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</si>
  <si>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</si>
  <si>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</si>
  <si>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</si>
  <si>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</si>
  <si>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</si>
  <si>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</si>
  <si>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</si>
  <si>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</si>
  <si>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</si>
  <si>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</si>
  <si>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</si>
  <si>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</si>
  <si>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</si>
  <si>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</si>
  <si>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</si>
  <si>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</si>
  <si>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</si>
  <si>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</si>
  <si>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</si>
  <si>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</si>
  <si>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</si>
  <si>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</si>
  <si>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</si>
  <si>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</si>
  <si>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</si>
  <si>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</si>
  <si>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</si>
  <si>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</si>
  <si>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</si>
  <si>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</si>
  <si>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</si>
  <si>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</si>
  <si>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</si>
  <si>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</si>
  <si>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</si>
  <si>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</si>
  <si>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</si>
  <si>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</si>
  <si>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</si>
  <si>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</si>
  <si>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</si>
  <si>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</si>
  <si>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</si>
  <si>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</si>
  <si>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</si>
  <si>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</si>
  <si>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</si>
  <si>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</si>
  <si>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</si>
  <si>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</si>
  <si>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</si>
  <si>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</si>
  <si>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</si>
  <si>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</si>
  <si>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</si>
  <si>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</si>
  <si>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</si>
  <si>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</si>
  <si>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</si>
  <si>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</si>
  <si>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</si>
  <si>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</si>
  <si>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</si>
  <si>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</si>
  <si>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</si>
  <si>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</si>
  <si>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</si>
  <si>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</si>
  <si>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</si>
  <si>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</si>
  <si>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</si>
  <si>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</si>
  <si>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</si>
  <si>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</si>
  <si>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</si>
  <si>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</si>
  <si>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</si>
  <si>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</si>
  <si>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</si>
  <si>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</si>
  <si>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</si>
  <si>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</si>
  <si>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</si>
  <si>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</si>
  <si>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</si>
  <si>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</si>
  <si>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</si>
  <si>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</si>
  <si>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</si>
  <si>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</si>
  <si>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</si>
  <si>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</si>
  <si>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</si>
  <si>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</si>
  <si>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</si>
  <si>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</si>
  <si>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</si>
  <si>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</si>
  <si>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</si>
  <si>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</si>
  <si>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</si>
  <si>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</si>
  <si>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</si>
  <si>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</si>
  <si>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</si>
  <si>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</si>
  <si>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</si>
  <si>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</si>
  <si>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</si>
  <si>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</si>
  <si>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</si>
  <si>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</si>
  <si>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</si>
  <si>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</si>
  <si>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</si>
  <si>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</si>
  <si>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</si>
  <si>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</si>
  <si>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</si>
  <si>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</si>
  <si>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</si>
  <si>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</si>
  <si>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</si>
  <si>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</si>
  <si>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</si>
  <si>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</si>
  <si>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</si>
  <si>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</si>
  <si>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</si>
  <si>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</si>
  <si>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</si>
  <si>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</si>
  <si>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</si>
  <si>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</si>
  <si>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</si>
  <si>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</si>
  <si>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</si>
  <si>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</si>
  <si>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</si>
  <si>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</si>
  <si>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</si>
  <si>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</si>
  <si>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</si>
  <si>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</si>
  <si>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</si>
  <si>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</si>
  <si>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</si>
  <si>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</si>
  <si>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</si>
  <si>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</si>
  <si>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</si>
  <si>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</si>
  <si>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</si>
  <si>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</si>
  <si>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</si>
  <si>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</si>
  <si>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</si>
  <si>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</si>
  <si>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</si>
  <si>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</si>
  <si>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</si>
  <si>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</si>
  <si>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</si>
  <si>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</si>
  <si>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</si>
  <si>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</si>
  <si>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</si>
  <si>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</si>
  <si>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</si>
  <si>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</si>
  <si>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</si>
  <si>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</si>
  <si>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</si>
  <si>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</si>
  <si>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</si>
  <si>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</si>
  <si>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</si>
  <si>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</si>
  <si>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</si>
  <si>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</si>
  <si>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</si>
  <si>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</si>
  <si>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</si>
  <si>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</si>
  <si>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</si>
  <si>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</si>
  <si>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</si>
  <si>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</si>
  <si>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ROW &amp; Fronts are not cleared for further work 3Teams are idle due to ROWand unvailability of clear front</t>
  </si>
  <si>
    <t>Rahul Kumar</t>
  </si>
  <si>
    <t>Cumulative L2 till Last Month June'26)</t>
  </si>
  <si>
    <t>Cumulative Progress till Last Month(June 26)</t>
  </si>
  <si>
    <t>Cumm. Progress up to
till last Month June'26)</t>
  </si>
  <si>
    <t>Target as per L2 Schedule Cummulative (upto June'26)</t>
  </si>
  <si>
    <t>L3 Plan for the month (July'26 )</t>
  </si>
  <si>
    <t>Rupesh</t>
  </si>
  <si>
    <t>33 kv line</t>
  </si>
  <si>
    <t>66kv line</t>
  </si>
  <si>
    <t>11KV Line</t>
  </si>
  <si>
    <t>11 KV Line</t>
  </si>
  <si>
    <t>ONGC Gas Pipeline</t>
  </si>
  <si>
    <t>IOCL Gas Pipeline</t>
  </si>
  <si>
    <t>SH6 Road</t>
  </si>
  <si>
    <t>11 kv line</t>
  </si>
  <si>
    <t>11 kv</t>
  </si>
  <si>
    <t xml:space="preserve">220KV DC </t>
  </si>
  <si>
    <t>33KV</t>
  </si>
  <si>
    <t>11KV</t>
  </si>
  <si>
    <t>66KV DC Line</t>
  </si>
  <si>
    <t>66KV Line</t>
  </si>
  <si>
    <t xml:space="preserve">2Nos </t>
  </si>
  <si>
    <t>Tower erection Completed</t>
  </si>
  <si>
    <t>174A/0</t>
  </si>
  <si>
    <t>174A/1</t>
  </si>
  <si>
    <t>174A/2</t>
  </si>
  <si>
    <t>174A/3</t>
  </si>
  <si>
    <t>174A/4</t>
  </si>
  <si>
    <t>174A/5</t>
  </si>
  <si>
    <t>174A/6</t>
  </si>
  <si>
    <t>174A/7</t>
  </si>
  <si>
    <t>174A/8</t>
  </si>
  <si>
    <t>174A/9</t>
  </si>
  <si>
    <t>174A/10</t>
  </si>
  <si>
    <t>174A/11</t>
  </si>
  <si>
    <t>174A/12</t>
  </si>
  <si>
    <t>174A/13</t>
  </si>
  <si>
    <t>175/2</t>
  </si>
  <si>
    <t>175/3</t>
  </si>
  <si>
    <t>175/4</t>
  </si>
  <si>
    <t>175/5</t>
  </si>
  <si>
    <t>175A/0</t>
  </si>
  <si>
    <t>176A/1</t>
  </si>
  <si>
    <t>176A/2</t>
  </si>
  <si>
    <t>184/1</t>
  </si>
  <si>
    <t>184/2</t>
  </si>
  <si>
    <t>184/3</t>
  </si>
  <si>
    <t>184/4</t>
  </si>
  <si>
    <t>184/5</t>
  </si>
  <si>
    <t>184/6</t>
  </si>
  <si>
    <t>184/7</t>
  </si>
  <si>
    <t>184/8</t>
  </si>
  <si>
    <t>184/9</t>
  </si>
  <si>
    <t>184/12</t>
  </si>
  <si>
    <t>184/13</t>
  </si>
  <si>
    <t>184/14</t>
  </si>
  <si>
    <t>GANTRY</t>
  </si>
  <si>
    <t>198/1</t>
  </si>
  <si>
    <t>200/2</t>
  </si>
  <si>
    <t>200/3</t>
  </si>
  <si>
    <t>201/1</t>
  </si>
  <si>
    <t>201/2</t>
  </si>
  <si>
    <t>201/3</t>
  </si>
  <si>
    <t>203/3</t>
  </si>
  <si>
    <t>Today work not be done due to continuous rain ,work hampered</t>
  </si>
  <si>
    <t>Work hampered due to 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</si>
</sst>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  <font>
      <b/>
      <sz val="9"/>
      <color rgb="FF002060"/>
      <name val="Calibri"/>
      <family val="2"/>
    </font>
    <font>
      <b/>
      <sz val="9"/>
      <name val="Tahoma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1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0" fontId="64" fillId="5" borderId="50" xfId="0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88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89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79" fillId="5" borderId="9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127" fillId="8" borderId="9" xfId="0" applyFont="1" applyFill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16" fontId="129" fillId="3" borderId="9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66" fillId="0" borderId="31" xfId="0" applyFont="1" applyBorder="1" applyAlignment="1">
      <alignment horizontal="center" vertical="center"/>
    </xf>
    <xf numFmtId="0" fontId="143" fillId="0" borderId="9" xfId="0" applyFont="1" applyBorder="1" applyAlignment="1">
      <alignment horizontal="center" vertical="center"/>
    </xf>
    <xf numFmtId="0" fontId="67" fillId="47" borderId="7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8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7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41" xfId="1" applyFont="1" applyFill="1" applyBorder="1" applyAlignment="1">
      <alignment horizontal="left" vertical="center"/>
    </xf>
    <xf numFmtId="0" fontId="73" fillId="48" borderId="6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8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8" xfId="1" applyFont="1" applyBorder="1" applyAlignment="1">
      <alignment horizontal="center" vertical="center"/>
    </xf>
    <xf numFmtId="0" fontId="76" fillId="0" borderId="25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8" xfId="1" applyFont="1" applyBorder="1" applyAlignment="1">
      <alignment horizontal="center" vertical="center"/>
    </xf>
    <xf numFmtId="0" fontId="76" fillId="0" borderId="13" xfId="1" applyFont="1" applyBorder="1" applyAlignment="1">
      <alignment horizontal="center" vertical="center"/>
    </xf>
    <xf numFmtId="0" fontId="76" fillId="0" borderId="18" xfId="1" applyFont="1" applyBorder="1" applyAlignment="1">
      <alignment horizontal="center" vertical="center"/>
    </xf>
    <xf numFmtId="0" fontId="76" fillId="0" borderId="43" xfId="1" applyFont="1" applyBorder="1" applyAlignment="1">
      <alignment horizontal="center" vertical="center"/>
    </xf>
    <xf numFmtId="0" fontId="76" fillId="0" borderId="7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8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168" fontId="64" fillId="5" borderId="8" xfId="0" applyNumberFormat="1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0" fontId="79" fillId="5" borderId="7" xfId="0" applyFont="1" applyFill="1" applyBorder="1" applyAlignment="1">
      <alignment horizontal="center" vertical="center"/>
    </xf>
    <xf numFmtId="0" fontId="79" fillId="5" borderId="8" xfId="0" applyFont="1" applyFill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137" fillId="5" borderId="0" xfId="0" applyFont="1" applyFill="1" applyAlignment="1">
      <alignment horizontal="center" vertical="center"/>
    </xf>
    <xf numFmtId="0" fontId="71" fillId="5" borderId="7" xfId="0" applyFont="1" applyFill="1" applyBorder="1" applyAlignment="1">
      <alignment horizontal="center" vertical="center"/>
    </xf>
    <xf numFmtId="0" fontId="71" fillId="5" borderId="0" xfId="0" applyFont="1" applyFill="1" applyAlignment="1">
      <alignment horizontal="center" vertical="center"/>
    </xf>
    <xf numFmtId="0" fontId="71" fillId="5" borderId="8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1" fontId="78" fillId="0" borderId="0" xfId="0" applyNumberFormat="1" applyFont="1" applyAlignment="1">
      <alignment horizontal="center" vertical="center" wrapText="1"/>
    </xf>
    <xf numFmtId="0" fontId="132" fillId="5" borderId="0" xfId="0" applyFont="1" applyFill="1" applyAlignment="1">
      <alignment horizontal="center" vertical="center"/>
    </xf>
    <xf numFmtId="0" fontId="64" fillId="0" borderId="7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99" fillId="5" borderId="0" xfId="0" applyFont="1" applyFill="1" applyAlignment="1">
      <alignment horizontal="left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0" fontId="142" fillId="5" borderId="0" xfId="0" applyFont="1" applyFill="1" applyAlignment="1">
      <alignment horizontal="center" vertical="center"/>
    </xf>
    <xf numFmtId="0" fontId="98" fillId="5" borderId="8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98" fillId="0" borderId="8" xfId="0" applyFont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0" fontId="66" fillId="0" borderId="8" xfId="0" applyFont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6" fillId="0" borderId="7" xfId="0" applyFont="1" applyBorder="1" applyAlignment="1">
      <alignment horizontal="center" vertical="center"/>
    </xf>
    <xf numFmtId="0" fontId="66" fillId="0" borderId="41" xfId="0" applyFont="1" applyBorder="1" applyAlignment="1">
      <alignment horizontal="center" vertical="center"/>
    </xf>
    <xf numFmtId="0" fontId="66" fillId="0" borderId="42" xfId="0" applyFont="1" applyBorder="1" applyAlignment="1">
      <alignment horizontal="center" vertical="center"/>
    </xf>
    <xf numFmtId="0" fontId="66" fillId="0" borderId="43" xfId="0" applyFont="1" applyBorder="1" applyAlignment="1">
      <alignment horizontal="center" vertical="center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8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8" xfId="0" applyFont="1" applyFill="1" applyBorder="1" applyAlignment="1">
      <alignment horizontal="center" vertical="center" wrapText="1"/>
    </xf>
    <xf numFmtId="0" fontId="71" fillId="47" borderId="81" xfId="0" applyFont="1" applyFill="1" applyBorder="1" applyAlignment="1">
      <alignment horizontal="center" vertical="center" wrapText="1"/>
    </xf>
    <xf numFmtId="0" fontId="64" fillId="0" borderId="82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6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1" xfId="0" applyFont="1" applyFill="1" applyBorder="1" applyAlignment="1">
      <alignment horizontal="center" vertical="center"/>
    </xf>
    <xf numFmtId="0" fontId="65" fillId="47" borderId="2" xfId="0" applyFont="1" applyFill="1" applyBorder="1" applyAlignment="1">
      <alignment horizontal="center" vertical="center"/>
    </xf>
    <xf numFmtId="0" fontId="65" fillId="47" borderId="6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1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5" xfId="1" applyFont="1" applyBorder="1" applyAlignment="1">
      <alignment horizontal="center" vertical="center" wrapText="1"/>
    </xf>
    <xf numFmtId="0" fontId="72" fillId="48" borderId="1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7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0" xfId="1" applyFont="1" applyBorder="1" applyAlignment="1">
      <alignment horizontal="center" vertical="center" wrapText="1"/>
    </xf>
    <xf numFmtId="0" fontId="75" fillId="0" borderId="90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0" xfId="1" applyFont="1" applyBorder="1" applyAlignment="1">
      <alignment horizontal="center" vertical="center" wrapText="1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43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5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5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5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3" xfId="1" applyFont="1" applyBorder="1" applyAlignment="1">
      <alignment horizontal="center" vertical="center" wrapText="1"/>
    </xf>
    <xf numFmtId="0" fontId="79" fillId="0" borderId="82" xfId="1" applyFont="1" applyBorder="1" applyAlignment="1">
      <alignment horizontal="center" vertical="center" wrapText="1"/>
    </xf>
    <xf numFmtId="0" fontId="79" fillId="0" borderId="84" xfId="1" applyFont="1" applyBorder="1" applyAlignment="1">
      <alignment horizontal="center" vertical="center" wrapText="1"/>
    </xf>
    <xf numFmtId="0" fontId="79" fillId="0" borderId="80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66FFFF"/>
      <color rgb="FFFFFF66"/>
      <color rgb="FF00CCFF"/>
      <color rgb="FF66FF99"/>
      <color rgb="FF00FF00"/>
      <color rgb="FF7CEE9F"/>
      <color rgb="FF66FF66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4311008" y="19023058"/>
          <a:ext cx="632217" cy="51111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400041</xdr:colOff>
      <xdr:row>115</xdr:row>
      <xdr:rowOff>18345</xdr:rowOff>
    </xdr:from>
    <xdr:to>
      <xdr:col>12</xdr:col>
      <xdr:colOff>26095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5296696" y="20946514"/>
          <a:ext cx="632216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102</xdr:col>
      <xdr:colOff>0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98875" y="2845431"/>
          <a:ext cx="0" cy="293056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397639</xdr:colOff>
      <xdr:row>104</xdr:row>
      <xdr:rowOff>4233</xdr:rowOff>
    </xdr:from>
    <xdr:to>
      <xdr:col>26</xdr:col>
      <xdr:colOff>33218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2350843" y="19013987"/>
          <a:ext cx="641741" cy="510516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406817</xdr:colOff>
      <xdr:row>115</xdr:row>
      <xdr:rowOff>7056</xdr:rowOff>
    </xdr:from>
    <xdr:to>
      <xdr:col>10</xdr:col>
      <xdr:colOff>42396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4297310" y="20935225"/>
          <a:ext cx="641741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7375" y="9607114"/>
          <a:ext cx="238169" cy="349299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57500" y="9658350"/>
          <a:ext cx="238169" cy="349299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57625" y="9699625"/>
          <a:ext cx="238169" cy="349299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57750" y="9699625"/>
          <a:ext cx="238169" cy="349299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74125" y="9699625"/>
          <a:ext cx="238169" cy="349299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874500" y="9699625"/>
          <a:ext cx="238169" cy="349299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874625" y="9699625"/>
          <a:ext cx="238169" cy="349299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874750" y="14065250"/>
          <a:ext cx="238169" cy="349299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79647" y="17938750"/>
          <a:ext cx="238169" cy="349300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58125" y="17938750"/>
          <a:ext cx="238169" cy="349300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70034" y="19812627"/>
          <a:ext cx="238169" cy="350252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74250" y="17938750"/>
          <a:ext cx="238169" cy="349300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74375" y="17938750"/>
          <a:ext cx="238169" cy="349300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874500" y="17938750"/>
          <a:ext cx="238169" cy="349300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874625" y="17938750"/>
          <a:ext cx="238169" cy="349300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877017" y="17960522"/>
          <a:ext cx="235901" cy="335148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40245</xdr:colOff>
      <xdr:row>105</xdr:row>
      <xdr:rowOff>0</xdr:rowOff>
    </xdr:from>
    <xdr:to>
      <xdr:col>14</xdr:col>
      <xdr:colOff>423009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49224" y="19184155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104</xdr:row>
      <xdr:rowOff>134156</xdr:rowOff>
    </xdr:from>
    <xdr:to>
      <xdr:col>28</xdr:col>
      <xdr:colOff>382764</xdr:colOff>
      <xdr:row>106</xdr:row>
      <xdr:rowOff>143836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14391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51097" cy="477665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8797" y="23751250"/>
          <a:ext cx="151097" cy="47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201231</xdr:colOff>
      <xdr:row>131</xdr:row>
      <xdr:rowOff>76200</xdr:rowOff>
    </xdr:from>
    <xdr:ext cx="93909" cy="474998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6372" y="23794792"/>
          <a:ext cx="93909" cy="474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146955</xdr:colOff>
      <xdr:row>131</xdr:row>
      <xdr:rowOff>30127</xdr:rowOff>
    </xdr:from>
    <xdr:ext cx="105441" cy="533323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1673" y="23748719"/>
          <a:ext cx="105441" cy="5333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157968</xdr:colOff>
      <xdr:row>131</xdr:row>
      <xdr:rowOff>54427</xdr:rowOff>
    </xdr:from>
    <xdr:ext cx="103289" cy="522439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5010" y="23773019"/>
          <a:ext cx="103289" cy="522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160986</xdr:colOff>
      <xdr:row>131</xdr:row>
      <xdr:rowOff>19242</xdr:rowOff>
    </xdr:from>
    <xdr:ext cx="100271" cy="507176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20352" y="23737834"/>
          <a:ext cx="100271" cy="5071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13415</xdr:colOff>
      <xdr:row>140</xdr:row>
      <xdr:rowOff>40245</xdr:rowOff>
    </xdr:from>
    <xdr:to>
      <xdr:col>20</xdr:col>
      <xdr:colOff>396179</xdr:colOff>
      <xdr:row>142</xdr:row>
      <xdr:rowOff>49921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54295" y="25328449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53779" y="19903532"/>
          <a:ext cx="153198" cy="553683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108</xdr:row>
      <xdr:rowOff>142513</xdr:rowOff>
    </xdr:from>
    <xdr:to>
      <xdr:col>26</xdr:col>
      <xdr:colOff>283029</xdr:colOff>
      <xdr:row>111</xdr:row>
      <xdr:rowOff>84224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2901080" y="19973473"/>
          <a:ext cx="464915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14183</xdr:rowOff>
    </xdr:from>
    <xdr:to>
      <xdr:col>26</xdr:col>
      <xdr:colOff>404480</xdr:colOff>
      <xdr:row>111</xdr:row>
      <xdr:rowOff>80493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42395" y="19895944"/>
          <a:ext cx="121451" cy="41511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274893</xdr:colOff>
      <xdr:row>122</xdr:row>
      <xdr:rowOff>93909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4407" y="21800176"/>
          <a:ext cx="122493" cy="442712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119</xdr:row>
      <xdr:rowOff>169343</xdr:rowOff>
    </xdr:from>
    <xdr:to>
      <xdr:col>18</xdr:col>
      <xdr:colOff>281726</xdr:colOff>
      <xdr:row>123</xdr:row>
      <xdr:rowOff>17832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1795118"/>
          <a:ext cx="151098" cy="546094"/>
        </a:xfrm>
        <a:prstGeom prst="rect">
          <a:avLst/>
        </a:prstGeom>
      </xdr:spPr>
    </xdr:pic>
    <xdr:clientData/>
  </xdr:twoCellAnchor>
  <xdr:twoCellAnchor editAs="oneCell">
    <xdr:from>
      <xdr:col>20</xdr:col>
      <xdr:colOff>69381</xdr:colOff>
      <xdr:row>120</xdr:row>
      <xdr:rowOff>10886</xdr:rowOff>
    </xdr:from>
    <xdr:to>
      <xdr:col>20</xdr:col>
      <xdr:colOff>222579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10261" y="21811062"/>
          <a:ext cx="153198" cy="553684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43543</xdr:rowOff>
    </xdr:from>
    <xdr:to>
      <xdr:col>6</xdr:col>
      <xdr:colOff>281725</xdr:colOff>
      <xdr:row>134</xdr:row>
      <xdr:rowOff>27087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25845" y="23762135"/>
          <a:ext cx="140211" cy="506748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268310</xdr:colOff>
      <xdr:row>133</xdr:row>
      <xdr:rowOff>153004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2007" y="23762135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148466</xdr:colOff>
      <xdr:row>143</xdr:row>
      <xdr:rowOff>155929</xdr:rowOff>
    </xdr:from>
    <xdr:to>
      <xdr:col>10</xdr:col>
      <xdr:colOff>283826</xdr:colOff>
      <xdr:row>146</xdr:row>
      <xdr:rowOff>120740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45121" y="25967337"/>
          <a:ext cx="135360" cy="488016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874875" y="17938750"/>
          <a:ext cx="238169" cy="349300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58000" y="11795125"/>
          <a:ext cx="238169" cy="349299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58125" y="11795125"/>
          <a:ext cx="238169" cy="349299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74125" y="11795125"/>
          <a:ext cx="238169" cy="349299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420515</xdr:colOff>
      <xdr:row>177</xdr:row>
      <xdr:rowOff>4233</xdr:rowOff>
    </xdr:from>
    <xdr:to>
      <xdr:col>26</xdr:col>
      <xdr:colOff>46570</xdr:colOff>
      <xdr:row>179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404277</xdr:colOff>
      <xdr:row>176</xdr:row>
      <xdr:rowOff>163092</xdr:rowOff>
    </xdr:from>
    <xdr:to>
      <xdr:col>28</xdr:col>
      <xdr:colOff>30331</xdr:colOff>
      <xdr:row>179</xdr:row>
      <xdr:rowOff>156037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189</xdr:row>
      <xdr:rowOff>159859</xdr:rowOff>
    </xdr:from>
    <xdr:to>
      <xdr:col>2</xdr:col>
      <xdr:colOff>17739</xdr:colOff>
      <xdr:row>192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190</xdr:row>
      <xdr:rowOff>7056</xdr:rowOff>
    </xdr:from>
    <xdr:to>
      <xdr:col>4</xdr:col>
      <xdr:colOff>42332</xdr:colOff>
      <xdr:row>193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190</xdr:row>
      <xdr:rowOff>18345</xdr:rowOff>
    </xdr:from>
    <xdr:to>
      <xdr:col>6</xdr:col>
      <xdr:colOff>39510</xdr:colOff>
      <xdr:row>193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190</xdr:row>
      <xdr:rowOff>7056</xdr:rowOff>
    </xdr:from>
    <xdr:to>
      <xdr:col>8</xdr:col>
      <xdr:colOff>42332</xdr:colOff>
      <xdr:row>193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190</xdr:row>
      <xdr:rowOff>18345</xdr:rowOff>
    </xdr:from>
    <xdr:to>
      <xdr:col>10</xdr:col>
      <xdr:colOff>39510</xdr:colOff>
      <xdr:row>193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190</xdr:row>
      <xdr:rowOff>7055</xdr:rowOff>
    </xdr:from>
    <xdr:to>
      <xdr:col>12</xdr:col>
      <xdr:colOff>49392</xdr:colOff>
      <xdr:row>193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4233</xdr:rowOff>
    </xdr:from>
    <xdr:to>
      <xdr:col>14</xdr:col>
      <xdr:colOff>46570</xdr:colOff>
      <xdr:row>192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190</xdr:row>
      <xdr:rowOff>13304</xdr:rowOff>
    </xdr:from>
    <xdr:to>
      <xdr:col>18</xdr:col>
      <xdr:colOff>46570</xdr:colOff>
      <xdr:row>193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190</xdr:row>
      <xdr:rowOff>13304</xdr:rowOff>
    </xdr:from>
    <xdr:to>
      <xdr:col>14</xdr:col>
      <xdr:colOff>46569</xdr:colOff>
      <xdr:row>193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190</xdr:row>
      <xdr:rowOff>15522</xdr:rowOff>
    </xdr:from>
    <xdr:to>
      <xdr:col>16</xdr:col>
      <xdr:colOff>43746</xdr:colOff>
      <xdr:row>193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190</xdr:row>
      <xdr:rowOff>7056</xdr:rowOff>
    </xdr:from>
    <xdr:to>
      <xdr:col>20</xdr:col>
      <xdr:colOff>42332</xdr:colOff>
      <xdr:row>193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190</xdr:row>
      <xdr:rowOff>18345</xdr:rowOff>
    </xdr:from>
    <xdr:to>
      <xdr:col>22</xdr:col>
      <xdr:colOff>39510</xdr:colOff>
      <xdr:row>193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190</xdr:row>
      <xdr:rowOff>7056</xdr:rowOff>
    </xdr:from>
    <xdr:to>
      <xdr:col>24</xdr:col>
      <xdr:colOff>42332</xdr:colOff>
      <xdr:row>193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190</xdr:row>
      <xdr:rowOff>18345</xdr:rowOff>
    </xdr:from>
    <xdr:to>
      <xdr:col>26</xdr:col>
      <xdr:colOff>39510</xdr:colOff>
      <xdr:row>193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190</xdr:row>
      <xdr:rowOff>7056</xdr:rowOff>
    </xdr:from>
    <xdr:to>
      <xdr:col>28</xdr:col>
      <xdr:colOff>42332</xdr:colOff>
      <xdr:row>193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190</xdr:row>
      <xdr:rowOff>18345</xdr:rowOff>
    </xdr:from>
    <xdr:to>
      <xdr:col>30</xdr:col>
      <xdr:colOff>39510</xdr:colOff>
      <xdr:row>193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176</xdr:row>
      <xdr:rowOff>173181</xdr:rowOff>
    </xdr:from>
    <xdr:to>
      <xdr:col>25</xdr:col>
      <xdr:colOff>294410</xdr:colOff>
      <xdr:row>177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176</xdr:row>
      <xdr:rowOff>173181</xdr:rowOff>
    </xdr:from>
    <xdr:to>
      <xdr:col>27</xdr:col>
      <xdr:colOff>294410</xdr:colOff>
      <xdr:row>177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176</xdr:row>
      <xdr:rowOff>173181</xdr:rowOff>
    </xdr:from>
    <xdr:to>
      <xdr:col>29</xdr:col>
      <xdr:colOff>294410</xdr:colOff>
      <xdr:row>177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189</xdr:row>
      <xdr:rowOff>173181</xdr:rowOff>
    </xdr:from>
    <xdr:to>
      <xdr:col>3</xdr:col>
      <xdr:colOff>294410</xdr:colOff>
      <xdr:row>190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189</xdr:row>
      <xdr:rowOff>173181</xdr:rowOff>
    </xdr:from>
    <xdr:to>
      <xdr:col>17</xdr:col>
      <xdr:colOff>294410</xdr:colOff>
      <xdr:row>190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189</xdr:row>
      <xdr:rowOff>173181</xdr:rowOff>
    </xdr:from>
    <xdr:to>
      <xdr:col>31</xdr:col>
      <xdr:colOff>294410</xdr:colOff>
      <xdr:row>190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176</xdr:row>
      <xdr:rowOff>159455</xdr:rowOff>
    </xdr:from>
    <xdr:to>
      <xdr:col>24</xdr:col>
      <xdr:colOff>99818</xdr:colOff>
      <xdr:row>179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2317075" y="31216321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177</xdr:row>
      <xdr:rowOff>4233</xdr:rowOff>
    </xdr:from>
    <xdr:to>
      <xdr:col>26</xdr:col>
      <xdr:colOff>73463</xdr:colOff>
      <xdr:row>179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215</xdr:row>
      <xdr:rowOff>4233</xdr:rowOff>
    </xdr:from>
    <xdr:to>
      <xdr:col>4</xdr:col>
      <xdr:colOff>46570</xdr:colOff>
      <xdr:row>217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215</xdr:row>
      <xdr:rowOff>13304</xdr:rowOff>
    </xdr:from>
    <xdr:to>
      <xdr:col>8</xdr:col>
      <xdr:colOff>46570</xdr:colOff>
      <xdr:row>218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215</xdr:row>
      <xdr:rowOff>15522</xdr:rowOff>
    </xdr:from>
    <xdr:to>
      <xdr:col>6</xdr:col>
      <xdr:colOff>43746</xdr:colOff>
      <xdr:row>218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215</xdr:row>
      <xdr:rowOff>18345</xdr:rowOff>
    </xdr:from>
    <xdr:to>
      <xdr:col>20</xdr:col>
      <xdr:colOff>39510</xdr:colOff>
      <xdr:row>218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215</xdr:row>
      <xdr:rowOff>16020</xdr:rowOff>
    </xdr:from>
    <xdr:to>
      <xdr:col>22</xdr:col>
      <xdr:colOff>31461</xdr:colOff>
      <xdr:row>217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4233</xdr:rowOff>
    </xdr:from>
    <xdr:to>
      <xdr:col>24</xdr:col>
      <xdr:colOff>46570</xdr:colOff>
      <xdr:row>217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215</xdr:row>
      <xdr:rowOff>13304</xdr:rowOff>
    </xdr:from>
    <xdr:to>
      <xdr:col>28</xdr:col>
      <xdr:colOff>46570</xdr:colOff>
      <xdr:row>218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215</xdr:row>
      <xdr:rowOff>13304</xdr:rowOff>
    </xdr:from>
    <xdr:to>
      <xdr:col>24</xdr:col>
      <xdr:colOff>46569</xdr:colOff>
      <xdr:row>218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215</xdr:row>
      <xdr:rowOff>15522</xdr:rowOff>
    </xdr:from>
    <xdr:to>
      <xdr:col>26</xdr:col>
      <xdr:colOff>43746</xdr:colOff>
      <xdr:row>218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215</xdr:row>
      <xdr:rowOff>7056</xdr:rowOff>
    </xdr:from>
    <xdr:to>
      <xdr:col>30</xdr:col>
      <xdr:colOff>42332</xdr:colOff>
      <xdr:row>218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225</xdr:row>
      <xdr:rowOff>159859</xdr:rowOff>
    </xdr:from>
    <xdr:to>
      <xdr:col>2</xdr:col>
      <xdr:colOff>17739</xdr:colOff>
      <xdr:row>228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226</xdr:row>
      <xdr:rowOff>7056</xdr:rowOff>
    </xdr:from>
    <xdr:to>
      <xdr:col>4</xdr:col>
      <xdr:colOff>42332</xdr:colOff>
      <xdr:row>229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226</xdr:row>
      <xdr:rowOff>18345</xdr:rowOff>
    </xdr:from>
    <xdr:to>
      <xdr:col>6</xdr:col>
      <xdr:colOff>39510</xdr:colOff>
      <xdr:row>229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226</xdr:row>
      <xdr:rowOff>7056</xdr:rowOff>
    </xdr:from>
    <xdr:to>
      <xdr:col>8</xdr:col>
      <xdr:colOff>42332</xdr:colOff>
      <xdr:row>229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226</xdr:row>
      <xdr:rowOff>18345</xdr:rowOff>
    </xdr:from>
    <xdr:to>
      <xdr:col>10</xdr:col>
      <xdr:colOff>39510</xdr:colOff>
      <xdr:row>229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226</xdr:row>
      <xdr:rowOff>7055</xdr:rowOff>
    </xdr:from>
    <xdr:to>
      <xdr:col>12</xdr:col>
      <xdr:colOff>49392</xdr:colOff>
      <xdr:row>229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4233</xdr:rowOff>
    </xdr:from>
    <xdr:to>
      <xdr:col>14</xdr:col>
      <xdr:colOff>46570</xdr:colOff>
      <xdr:row>228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226</xdr:row>
      <xdr:rowOff>13304</xdr:rowOff>
    </xdr:from>
    <xdr:to>
      <xdr:col>18</xdr:col>
      <xdr:colOff>46570</xdr:colOff>
      <xdr:row>229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226</xdr:row>
      <xdr:rowOff>13304</xdr:rowOff>
    </xdr:from>
    <xdr:to>
      <xdr:col>14</xdr:col>
      <xdr:colOff>46569</xdr:colOff>
      <xdr:row>229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226</xdr:row>
      <xdr:rowOff>15522</xdr:rowOff>
    </xdr:from>
    <xdr:to>
      <xdr:col>16</xdr:col>
      <xdr:colOff>43746</xdr:colOff>
      <xdr:row>229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226</xdr:row>
      <xdr:rowOff>7056</xdr:rowOff>
    </xdr:from>
    <xdr:to>
      <xdr:col>20</xdr:col>
      <xdr:colOff>42332</xdr:colOff>
      <xdr:row>229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226</xdr:row>
      <xdr:rowOff>18345</xdr:rowOff>
    </xdr:from>
    <xdr:to>
      <xdr:col>22</xdr:col>
      <xdr:colOff>39510</xdr:colOff>
      <xdr:row>229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226</xdr:row>
      <xdr:rowOff>7056</xdr:rowOff>
    </xdr:from>
    <xdr:to>
      <xdr:col>24</xdr:col>
      <xdr:colOff>42332</xdr:colOff>
      <xdr:row>229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226</xdr:row>
      <xdr:rowOff>18345</xdr:rowOff>
    </xdr:from>
    <xdr:to>
      <xdr:col>26</xdr:col>
      <xdr:colOff>39510</xdr:colOff>
      <xdr:row>229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226</xdr:row>
      <xdr:rowOff>7056</xdr:rowOff>
    </xdr:from>
    <xdr:to>
      <xdr:col>28</xdr:col>
      <xdr:colOff>42332</xdr:colOff>
      <xdr:row>229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226</xdr:row>
      <xdr:rowOff>18345</xdr:rowOff>
    </xdr:from>
    <xdr:to>
      <xdr:col>30</xdr:col>
      <xdr:colOff>39510</xdr:colOff>
      <xdr:row>229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214</xdr:row>
      <xdr:rowOff>173181</xdr:rowOff>
    </xdr:from>
    <xdr:to>
      <xdr:col>3</xdr:col>
      <xdr:colOff>294410</xdr:colOff>
      <xdr:row>215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214</xdr:row>
      <xdr:rowOff>173181</xdr:rowOff>
    </xdr:from>
    <xdr:to>
      <xdr:col>5</xdr:col>
      <xdr:colOff>294410</xdr:colOff>
      <xdr:row>215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214</xdr:row>
      <xdr:rowOff>173181</xdr:rowOff>
    </xdr:from>
    <xdr:to>
      <xdr:col>7</xdr:col>
      <xdr:colOff>294410</xdr:colOff>
      <xdr:row>215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214</xdr:row>
      <xdr:rowOff>173181</xdr:rowOff>
    </xdr:from>
    <xdr:to>
      <xdr:col>9</xdr:col>
      <xdr:colOff>294410</xdr:colOff>
      <xdr:row>215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214</xdr:row>
      <xdr:rowOff>173181</xdr:rowOff>
    </xdr:from>
    <xdr:to>
      <xdr:col>19</xdr:col>
      <xdr:colOff>294410</xdr:colOff>
      <xdr:row>215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214</xdr:row>
      <xdr:rowOff>173181</xdr:rowOff>
    </xdr:from>
    <xdr:to>
      <xdr:col>31</xdr:col>
      <xdr:colOff>294410</xdr:colOff>
      <xdr:row>215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225</xdr:row>
      <xdr:rowOff>173181</xdr:rowOff>
    </xdr:from>
    <xdr:to>
      <xdr:col>3</xdr:col>
      <xdr:colOff>294410</xdr:colOff>
      <xdr:row>226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225</xdr:row>
      <xdr:rowOff>173181</xdr:rowOff>
    </xdr:from>
    <xdr:to>
      <xdr:col>31</xdr:col>
      <xdr:colOff>294410</xdr:colOff>
      <xdr:row>226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214</xdr:row>
      <xdr:rowOff>159455</xdr:rowOff>
    </xdr:from>
    <xdr:to>
      <xdr:col>2</xdr:col>
      <xdr:colOff>32743</xdr:colOff>
      <xdr:row>217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215</xdr:row>
      <xdr:rowOff>4233</xdr:rowOff>
    </xdr:from>
    <xdr:to>
      <xdr:col>4</xdr:col>
      <xdr:colOff>73463</xdr:colOff>
      <xdr:row>217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215</xdr:row>
      <xdr:rowOff>7056</xdr:rowOff>
    </xdr:from>
    <xdr:to>
      <xdr:col>10</xdr:col>
      <xdr:colOff>45413</xdr:colOff>
      <xdr:row>218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215</xdr:row>
      <xdr:rowOff>18345</xdr:rowOff>
    </xdr:from>
    <xdr:to>
      <xdr:col>12</xdr:col>
      <xdr:colOff>66404</xdr:colOff>
      <xdr:row>218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215</xdr:row>
      <xdr:rowOff>7056</xdr:rowOff>
    </xdr:from>
    <xdr:to>
      <xdr:col>14</xdr:col>
      <xdr:colOff>69226</xdr:colOff>
      <xdr:row>218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215</xdr:row>
      <xdr:rowOff>7056</xdr:rowOff>
    </xdr:from>
    <xdr:to>
      <xdr:col>18</xdr:col>
      <xdr:colOff>69226</xdr:colOff>
      <xdr:row>218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215</xdr:row>
      <xdr:rowOff>8964</xdr:rowOff>
    </xdr:from>
    <xdr:to>
      <xdr:col>16</xdr:col>
      <xdr:colOff>29467</xdr:colOff>
      <xdr:row>218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216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433931</xdr:colOff>
      <xdr:row>238</xdr:row>
      <xdr:rowOff>111557</xdr:rowOff>
    </xdr:from>
    <xdr:to>
      <xdr:col>4</xdr:col>
      <xdr:colOff>59986</xdr:colOff>
      <xdr:row>241</xdr:row>
      <xdr:rowOff>116667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305938" y="41981311"/>
          <a:ext cx="632217" cy="52831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239</xdr:row>
      <xdr:rowOff>13304</xdr:rowOff>
    </xdr:from>
    <xdr:to>
      <xdr:col>8</xdr:col>
      <xdr:colOff>46570</xdr:colOff>
      <xdr:row>242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239</xdr:row>
      <xdr:rowOff>15522</xdr:rowOff>
    </xdr:from>
    <xdr:to>
      <xdr:col>6</xdr:col>
      <xdr:colOff>43746</xdr:colOff>
      <xdr:row>242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239</xdr:row>
      <xdr:rowOff>18345</xdr:rowOff>
    </xdr:from>
    <xdr:to>
      <xdr:col>20</xdr:col>
      <xdr:colOff>39510</xdr:colOff>
      <xdr:row>242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239</xdr:row>
      <xdr:rowOff>7055</xdr:rowOff>
    </xdr:from>
    <xdr:to>
      <xdr:col>22</xdr:col>
      <xdr:colOff>49392</xdr:colOff>
      <xdr:row>242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4233</xdr:rowOff>
    </xdr:from>
    <xdr:to>
      <xdr:col>24</xdr:col>
      <xdr:colOff>46570</xdr:colOff>
      <xdr:row>241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239</xdr:row>
      <xdr:rowOff>13304</xdr:rowOff>
    </xdr:from>
    <xdr:to>
      <xdr:col>28</xdr:col>
      <xdr:colOff>46570</xdr:colOff>
      <xdr:row>242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239</xdr:row>
      <xdr:rowOff>13304</xdr:rowOff>
    </xdr:from>
    <xdr:to>
      <xdr:col>24</xdr:col>
      <xdr:colOff>46569</xdr:colOff>
      <xdr:row>242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239</xdr:row>
      <xdr:rowOff>15522</xdr:rowOff>
    </xdr:from>
    <xdr:to>
      <xdr:col>26</xdr:col>
      <xdr:colOff>43746</xdr:colOff>
      <xdr:row>242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239</xdr:row>
      <xdr:rowOff>7056</xdr:rowOff>
    </xdr:from>
    <xdr:to>
      <xdr:col>30</xdr:col>
      <xdr:colOff>42332</xdr:colOff>
      <xdr:row>242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261</xdr:row>
      <xdr:rowOff>159859</xdr:rowOff>
    </xdr:from>
    <xdr:to>
      <xdr:col>2</xdr:col>
      <xdr:colOff>17739</xdr:colOff>
      <xdr:row>264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262</xdr:row>
      <xdr:rowOff>7056</xdr:rowOff>
    </xdr:from>
    <xdr:to>
      <xdr:col>4</xdr:col>
      <xdr:colOff>42332</xdr:colOff>
      <xdr:row>265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262</xdr:row>
      <xdr:rowOff>18345</xdr:rowOff>
    </xdr:from>
    <xdr:to>
      <xdr:col>6</xdr:col>
      <xdr:colOff>39510</xdr:colOff>
      <xdr:row>265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262</xdr:row>
      <xdr:rowOff>7056</xdr:rowOff>
    </xdr:from>
    <xdr:to>
      <xdr:col>8</xdr:col>
      <xdr:colOff>42332</xdr:colOff>
      <xdr:row>265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262</xdr:row>
      <xdr:rowOff>18345</xdr:rowOff>
    </xdr:from>
    <xdr:to>
      <xdr:col>10</xdr:col>
      <xdr:colOff>39510</xdr:colOff>
      <xdr:row>265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262</xdr:row>
      <xdr:rowOff>7055</xdr:rowOff>
    </xdr:from>
    <xdr:to>
      <xdr:col>12</xdr:col>
      <xdr:colOff>49392</xdr:colOff>
      <xdr:row>265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4233</xdr:rowOff>
    </xdr:from>
    <xdr:to>
      <xdr:col>14</xdr:col>
      <xdr:colOff>46570</xdr:colOff>
      <xdr:row>264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262</xdr:row>
      <xdr:rowOff>13304</xdr:rowOff>
    </xdr:from>
    <xdr:to>
      <xdr:col>18</xdr:col>
      <xdr:colOff>46570</xdr:colOff>
      <xdr:row>265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262</xdr:row>
      <xdr:rowOff>13304</xdr:rowOff>
    </xdr:from>
    <xdr:to>
      <xdr:col>14</xdr:col>
      <xdr:colOff>46569</xdr:colOff>
      <xdr:row>265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262</xdr:row>
      <xdr:rowOff>15522</xdr:rowOff>
    </xdr:from>
    <xdr:to>
      <xdr:col>16</xdr:col>
      <xdr:colOff>43746</xdr:colOff>
      <xdr:row>265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262</xdr:row>
      <xdr:rowOff>18345</xdr:rowOff>
    </xdr:from>
    <xdr:to>
      <xdr:col>22</xdr:col>
      <xdr:colOff>39510</xdr:colOff>
      <xdr:row>265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262</xdr:row>
      <xdr:rowOff>7056</xdr:rowOff>
    </xdr:from>
    <xdr:to>
      <xdr:col>24</xdr:col>
      <xdr:colOff>42332</xdr:colOff>
      <xdr:row>265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262</xdr:row>
      <xdr:rowOff>18345</xdr:rowOff>
    </xdr:from>
    <xdr:to>
      <xdr:col>26</xdr:col>
      <xdr:colOff>39510</xdr:colOff>
      <xdr:row>265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262</xdr:row>
      <xdr:rowOff>7056</xdr:rowOff>
    </xdr:from>
    <xdr:to>
      <xdr:col>28</xdr:col>
      <xdr:colOff>42332</xdr:colOff>
      <xdr:row>265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262</xdr:row>
      <xdr:rowOff>18345</xdr:rowOff>
    </xdr:from>
    <xdr:to>
      <xdr:col>30</xdr:col>
      <xdr:colOff>39510</xdr:colOff>
      <xdr:row>265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238</xdr:row>
      <xdr:rowOff>173181</xdr:rowOff>
    </xdr:from>
    <xdr:to>
      <xdr:col>3</xdr:col>
      <xdr:colOff>294410</xdr:colOff>
      <xdr:row>239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238</xdr:row>
      <xdr:rowOff>173181</xdr:rowOff>
    </xdr:from>
    <xdr:to>
      <xdr:col>13</xdr:col>
      <xdr:colOff>294410</xdr:colOff>
      <xdr:row>239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238</xdr:row>
      <xdr:rowOff>173181</xdr:rowOff>
    </xdr:from>
    <xdr:to>
      <xdr:col>27</xdr:col>
      <xdr:colOff>294410</xdr:colOff>
      <xdr:row>239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238</xdr:row>
      <xdr:rowOff>173181</xdr:rowOff>
    </xdr:from>
    <xdr:to>
      <xdr:col>29</xdr:col>
      <xdr:colOff>294410</xdr:colOff>
      <xdr:row>239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238</xdr:row>
      <xdr:rowOff>173181</xdr:rowOff>
    </xdr:from>
    <xdr:to>
      <xdr:col>31</xdr:col>
      <xdr:colOff>294410</xdr:colOff>
      <xdr:row>239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261</xdr:row>
      <xdr:rowOff>173181</xdr:rowOff>
    </xdr:from>
    <xdr:to>
      <xdr:col>3</xdr:col>
      <xdr:colOff>294410</xdr:colOff>
      <xdr:row>262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261</xdr:row>
      <xdr:rowOff>173181</xdr:rowOff>
    </xdr:from>
    <xdr:to>
      <xdr:col>5</xdr:col>
      <xdr:colOff>294410</xdr:colOff>
      <xdr:row>262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261</xdr:row>
      <xdr:rowOff>173181</xdr:rowOff>
    </xdr:from>
    <xdr:to>
      <xdr:col>7</xdr:col>
      <xdr:colOff>294410</xdr:colOff>
      <xdr:row>262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261</xdr:row>
      <xdr:rowOff>173181</xdr:rowOff>
    </xdr:from>
    <xdr:to>
      <xdr:col>9</xdr:col>
      <xdr:colOff>294410</xdr:colOff>
      <xdr:row>262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261</xdr:row>
      <xdr:rowOff>173181</xdr:rowOff>
    </xdr:from>
    <xdr:to>
      <xdr:col>11</xdr:col>
      <xdr:colOff>294410</xdr:colOff>
      <xdr:row>262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261</xdr:row>
      <xdr:rowOff>173181</xdr:rowOff>
    </xdr:from>
    <xdr:to>
      <xdr:col>13</xdr:col>
      <xdr:colOff>294410</xdr:colOff>
      <xdr:row>262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261</xdr:row>
      <xdr:rowOff>173181</xdr:rowOff>
    </xdr:from>
    <xdr:to>
      <xdr:col>15</xdr:col>
      <xdr:colOff>294410</xdr:colOff>
      <xdr:row>262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261</xdr:row>
      <xdr:rowOff>173181</xdr:rowOff>
    </xdr:from>
    <xdr:to>
      <xdr:col>17</xdr:col>
      <xdr:colOff>294410</xdr:colOff>
      <xdr:row>262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261</xdr:row>
      <xdr:rowOff>173181</xdr:rowOff>
    </xdr:from>
    <xdr:to>
      <xdr:col>19</xdr:col>
      <xdr:colOff>294410</xdr:colOff>
      <xdr:row>262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261</xdr:row>
      <xdr:rowOff>173181</xdr:rowOff>
    </xdr:from>
    <xdr:to>
      <xdr:col>21</xdr:col>
      <xdr:colOff>294410</xdr:colOff>
      <xdr:row>262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261</xdr:row>
      <xdr:rowOff>173181</xdr:rowOff>
    </xdr:from>
    <xdr:to>
      <xdr:col>23</xdr:col>
      <xdr:colOff>294410</xdr:colOff>
      <xdr:row>262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261</xdr:row>
      <xdr:rowOff>173181</xdr:rowOff>
    </xdr:from>
    <xdr:to>
      <xdr:col>25</xdr:col>
      <xdr:colOff>294410</xdr:colOff>
      <xdr:row>262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261</xdr:row>
      <xdr:rowOff>173181</xdr:rowOff>
    </xdr:from>
    <xdr:to>
      <xdr:col>27</xdr:col>
      <xdr:colOff>294410</xdr:colOff>
      <xdr:row>262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261</xdr:row>
      <xdr:rowOff>173181</xdr:rowOff>
    </xdr:from>
    <xdr:to>
      <xdr:col>29</xdr:col>
      <xdr:colOff>294410</xdr:colOff>
      <xdr:row>262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261</xdr:row>
      <xdr:rowOff>173181</xdr:rowOff>
    </xdr:from>
    <xdr:to>
      <xdr:col>31</xdr:col>
      <xdr:colOff>294410</xdr:colOff>
      <xdr:row>262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238</xdr:row>
      <xdr:rowOff>159455</xdr:rowOff>
    </xdr:from>
    <xdr:to>
      <xdr:col>2</xdr:col>
      <xdr:colOff>32743</xdr:colOff>
      <xdr:row>241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239</xdr:row>
      <xdr:rowOff>7056</xdr:rowOff>
    </xdr:from>
    <xdr:to>
      <xdr:col>10</xdr:col>
      <xdr:colOff>69226</xdr:colOff>
      <xdr:row>242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239</xdr:row>
      <xdr:rowOff>18345</xdr:rowOff>
    </xdr:from>
    <xdr:to>
      <xdr:col>12</xdr:col>
      <xdr:colOff>66404</xdr:colOff>
      <xdr:row>242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239</xdr:row>
      <xdr:rowOff>7056</xdr:rowOff>
    </xdr:from>
    <xdr:to>
      <xdr:col>14</xdr:col>
      <xdr:colOff>47454</xdr:colOff>
      <xdr:row>242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239</xdr:row>
      <xdr:rowOff>7056</xdr:rowOff>
    </xdr:from>
    <xdr:to>
      <xdr:col>18</xdr:col>
      <xdr:colOff>69226</xdr:colOff>
      <xdr:row>242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239</xdr:row>
      <xdr:rowOff>8964</xdr:rowOff>
    </xdr:from>
    <xdr:to>
      <xdr:col>16</xdr:col>
      <xdr:colOff>29467</xdr:colOff>
      <xdr:row>242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189</xdr:row>
      <xdr:rowOff>173181</xdr:rowOff>
    </xdr:from>
    <xdr:to>
      <xdr:col>5</xdr:col>
      <xdr:colOff>294410</xdr:colOff>
      <xdr:row>190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189</xdr:row>
      <xdr:rowOff>173181</xdr:rowOff>
    </xdr:from>
    <xdr:to>
      <xdr:col>7</xdr:col>
      <xdr:colOff>294410</xdr:colOff>
      <xdr:row>190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189</xdr:row>
      <xdr:rowOff>173181</xdr:rowOff>
    </xdr:from>
    <xdr:to>
      <xdr:col>9</xdr:col>
      <xdr:colOff>294410</xdr:colOff>
      <xdr:row>190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189</xdr:row>
      <xdr:rowOff>173181</xdr:rowOff>
    </xdr:from>
    <xdr:to>
      <xdr:col>11</xdr:col>
      <xdr:colOff>294410</xdr:colOff>
      <xdr:row>190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189</xdr:row>
      <xdr:rowOff>173181</xdr:rowOff>
    </xdr:from>
    <xdr:to>
      <xdr:col>13</xdr:col>
      <xdr:colOff>294410</xdr:colOff>
      <xdr:row>190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189</xdr:row>
      <xdr:rowOff>173181</xdr:rowOff>
    </xdr:from>
    <xdr:to>
      <xdr:col>15</xdr:col>
      <xdr:colOff>294410</xdr:colOff>
      <xdr:row>190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189</xdr:row>
      <xdr:rowOff>173181</xdr:rowOff>
    </xdr:from>
    <xdr:to>
      <xdr:col>19</xdr:col>
      <xdr:colOff>294410</xdr:colOff>
      <xdr:row>190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189</xdr:row>
      <xdr:rowOff>173181</xdr:rowOff>
    </xdr:from>
    <xdr:to>
      <xdr:col>21</xdr:col>
      <xdr:colOff>294410</xdr:colOff>
      <xdr:row>190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189</xdr:row>
      <xdr:rowOff>173181</xdr:rowOff>
    </xdr:from>
    <xdr:to>
      <xdr:col>23</xdr:col>
      <xdr:colOff>294410</xdr:colOff>
      <xdr:row>190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189</xdr:row>
      <xdr:rowOff>173181</xdr:rowOff>
    </xdr:from>
    <xdr:to>
      <xdr:col>25</xdr:col>
      <xdr:colOff>294410</xdr:colOff>
      <xdr:row>190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189</xdr:row>
      <xdr:rowOff>173181</xdr:rowOff>
    </xdr:from>
    <xdr:to>
      <xdr:col>27</xdr:col>
      <xdr:colOff>294410</xdr:colOff>
      <xdr:row>190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189</xdr:row>
      <xdr:rowOff>173181</xdr:rowOff>
    </xdr:from>
    <xdr:to>
      <xdr:col>29</xdr:col>
      <xdr:colOff>294410</xdr:colOff>
      <xdr:row>190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214</xdr:row>
      <xdr:rowOff>173181</xdr:rowOff>
    </xdr:from>
    <xdr:to>
      <xdr:col>11</xdr:col>
      <xdr:colOff>294410</xdr:colOff>
      <xdr:row>215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214</xdr:row>
      <xdr:rowOff>173181</xdr:rowOff>
    </xdr:from>
    <xdr:to>
      <xdr:col>13</xdr:col>
      <xdr:colOff>294410</xdr:colOff>
      <xdr:row>215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214</xdr:row>
      <xdr:rowOff>173181</xdr:rowOff>
    </xdr:from>
    <xdr:to>
      <xdr:col>15</xdr:col>
      <xdr:colOff>294410</xdr:colOff>
      <xdr:row>215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214</xdr:row>
      <xdr:rowOff>173181</xdr:rowOff>
    </xdr:from>
    <xdr:to>
      <xdr:col>17</xdr:col>
      <xdr:colOff>294410</xdr:colOff>
      <xdr:row>215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214</xdr:row>
      <xdr:rowOff>173181</xdr:rowOff>
    </xdr:from>
    <xdr:to>
      <xdr:col>21</xdr:col>
      <xdr:colOff>294410</xdr:colOff>
      <xdr:row>215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214</xdr:row>
      <xdr:rowOff>173181</xdr:rowOff>
    </xdr:from>
    <xdr:to>
      <xdr:col>23</xdr:col>
      <xdr:colOff>294410</xdr:colOff>
      <xdr:row>215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214</xdr:row>
      <xdr:rowOff>173181</xdr:rowOff>
    </xdr:from>
    <xdr:to>
      <xdr:col>25</xdr:col>
      <xdr:colOff>294410</xdr:colOff>
      <xdr:row>215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214</xdr:row>
      <xdr:rowOff>173181</xdr:rowOff>
    </xdr:from>
    <xdr:to>
      <xdr:col>27</xdr:col>
      <xdr:colOff>294410</xdr:colOff>
      <xdr:row>215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214</xdr:row>
      <xdr:rowOff>173181</xdr:rowOff>
    </xdr:from>
    <xdr:to>
      <xdr:col>29</xdr:col>
      <xdr:colOff>294410</xdr:colOff>
      <xdr:row>215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225</xdr:row>
      <xdr:rowOff>173181</xdr:rowOff>
    </xdr:from>
    <xdr:to>
      <xdr:col>5</xdr:col>
      <xdr:colOff>294410</xdr:colOff>
      <xdr:row>226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225</xdr:row>
      <xdr:rowOff>173181</xdr:rowOff>
    </xdr:from>
    <xdr:to>
      <xdr:col>7</xdr:col>
      <xdr:colOff>294410</xdr:colOff>
      <xdr:row>226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225</xdr:row>
      <xdr:rowOff>173181</xdr:rowOff>
    </xdr:from>
    <xdr:to>
      <xdr:col>9</xdr:col>
      <xdr:colOff>294410</xdr:colOff>
      <xdr:row>226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225</xdr:row>
      <xdr:rowOff>173181</xdr:rowOff>
    </xdr:from>
    <xdr:to>
      <xdr:col>11</xdr:col>
      <xdr:colOff>294410</xdr:colOff>
      <xdr:row>226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225</xdr:row>
      <xdr:rowOff>173181</xdr:rowOff>
    </xdr:from>
    <xdr:to>
      <xdr:col>13</xdr:col>
      <xdr:colOff>294410</xdr:colOff>
      <xdr:row>226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225</xdr:row>
      <xdr:rowOff>173181</xdr:rowOff>
    </xdr:from>
    <xdr:to>
      <xdr:col>15</xdr:col>
      <xdr:colOff>294410</xdr:colOff>
      <xdr:row>226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225</xdr:row>
      <xdr:rowOff>173181</xdr:rowOff>
    </xdr:from>
    <xdr:to>
      <xdr:col>17</xdr:col>
      <xdr:colOff>294410</xdr:colOff>
      <xdr:row>226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225</xdr:row>
      <xdr:rowOff>173181</xdr:rowOff>
    </xdr:from>
    <xdr:to>
      <xdr:col>19</xdr:col>
      <xdr:colOff>294410</xdr:colOff>
      <xdr:row>226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225</xdr:row>
      <xdr:rowOff>173181</xdr:rowOff>
    </xdr:from>
    <xdr:to>
      <xdr:col>21</xdr:col>
      <xdr:colOff>294410</xdr:colOff>
      <xdr:row>226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225</xdr:row>
      <xdr:rowOff>173181</xdr:rowOff>
    </xdr:from>
    <xdr:to>
      <xdr:col>23</xdr:col>
      <xdr:colOff>294410</xdr:colOff>
      <xdr:row>226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225</xdr:row>
      <xdr:rowOff>173181</xdr:rowOff>
    </xdr:from>
    <xdr:to>
      <xdr:col>25</xdr:col>
      <xdr:colOff>294410</xdr:colOff>
      <xdr:row>226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225</xdr:row>
      <xdr:rowOff>173181</xdr:rowOff>
    </xdr:from>
    <xdr:to>
      <xdr:col>27</xdr:col>
      <xdr:colOff>294410</xdr:colOff>
      <xdr:row>226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225</xdr:row>
      <xdr:rowOff>173181</xdr:rowOff>
    </xdr:from>
    <xdr:to>
      <xdr:col>29</xdr:col>
      <xdr:colOff>294410</xdr:colOff>
      <xdr:row>226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238</xdr:row>
      <xdr:rowOff>173181</xdr:rowOff>
    </xdr:from>
    <xdr:to>
      <xdr:col>5</xdr:col>
      <xdr:colOff>294410</xdr:colOff>
      <xdr:row>239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238</xdr:row>
      <xdr:rowOff>173181</xdr:rowOff>
    </xdr:from>
    <xdr:to>
      <xdr:col>7</xdr:col>
      <xdr:colOff>294410</xdr:colOff>
      <xdr:row>239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238</xdr:row>
      <xdr:rowOff>173181</xdr:rowOff>
    </xdr:from>
    <xdr:to>
      <xdr:col>9</xdr:col>
      <xdr:colOff>294410</xdr:colOff>
      <xdr:row>239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238</xdr:row>
      <xdr:rowOff>173181</xdr:rowOff>
    </xdr:from>
    <xdr:to>
      <xdr:col>11</xdr:col>
      <xdr:colOff>294410</xdr:colOff>
      <xdr:row>239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238</xdr:row>
      <xdr:rowOff>173181</xdr:rowOff>
    </xdr:from>
    <xdr:to>
      <xdr:col>15</xdr:col>
      <xdr:colOff>294410</xdr:colOff>
      <xdr:row>239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238</xdr:row>
      <xdr:rowOff>173181</xdr:rowOff>
    </xdr:from>
    <xdr:to>
      <xdr:col>17</xdr:col>
      <xdr:colOff>294410</xdr:colOff>
      <xdr:row>239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238</xdr:row>
      <xdr:rowOff>173181</xdr:rowOff>
    </xdr:from>
    <xdr:to>
      <xdr:col>19</xdr:col>
      <xdr:colOff>294410</xdr:colOff>
      <xdr:row>239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238</xdr:row>
      <xdr:rowOff>173181</xdr:rowOff>
    </xdr:from>
    <xdr:to>
      <xdr:col>21</xdr:col>
      <xdr:colOff>294410</xdr:colOff>
      <xdr:row>239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238</xdr:row>
      <xdr:rowOff>173181</xdr:rowOff>
    </xdr:from>
    <xdr:to>
      <xdr:col>23</xdr:col>
      <xdr:colOff>294410</xdr:colOff>
      <xdr:row>239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238</xdr:row>
      <xdr:rowOff>173181</xdr:rowOff>
    </xdr:from>
    <xdr:to>
      <xdr:col>25</xdr:col>
      <xdr:colOff>294410</xdr:colOff>
      <xdr:row>239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57625" y="11795125"/>
          <a:ext cx="238169" cy="349299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874875" y="11795125"/>
          <a:ext cx="238169" cy="349298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795125"/>
          <a:ext cx="238169" cy="349299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525000"/>
          <a:ext cx="238169" cy="349298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74375" y="11795125"/>
          <a:ext cx="238169" cy="349299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64332" y="9728676"/>
          <a:ext cx="238169" cy="342631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874508" y="14044172"/>
          <a:ext cx="238169" cy="342632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231</xdr:row>
      <xdr:rowOff>2</xdr:rowOff>
    </xdr:from>
    <xdr:to>
      <xdr:col>30</xdr:col>
      <xdr:colOff>238169</xdr:colOff>
      <xdr:row>233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874875" y="40767002"/>
          <a:ext cx="238169" cy="349299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874625" y="11748135"/>
          <a:ext cx="238169" cy="398194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57625" y="13890625"/>
          <a:ext cx="238169" cy="349299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74250" y="9632154"/>
          <a:ext cx="238169" cy="342631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874750" y="11830842"/>
          <a:ext cx="238169" cy="342631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74125" y="13914437"/>
          <a:ext cx="238169" cy="342631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57750" y="13985873"/>
          <a:ext cx="238169" cy="342631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194</xdr:row>
      <xdr:rowOff>119060</xdr:rowOff>
    </xdr:from>
    <xdr:to>
      <xdr:col>6</xdr:col>
      <xdr:colOff>238169</xdr:colOff>
      <xdr:row>196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57500" y="34424935"/>
          <a:ext cx="238169" cy="342631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230</xdr:row>
      <xdr:rowOff>136742</xdr:rowOff>
    </xdr:from>
    <xdr:to>
      <xdr:col>18</xdr:col>
      <xdr:colOff>238169</xdr:colOff>
      <xdr:row>232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74125" y="40729117"/>
          <a:ext cx="238169" cy="342631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230</xdr:row>
      <xdr:rowOff>148648</xdr:rowOff>
    </xdr:from>
    <xdr:to>
      <xdr:col>28</xdr:col>
      <xdr:colOff>238169</xdr:colOff>
      <xdr:row>232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874750" y="40741023"/>
          <a:ext cx="238169" cy="342631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58125" y="13926343"/>
          <a:ext cx="238169" cy="342631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57750" y="11807027"/>
          <a:ext cx="238169" cy="342631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3938249"/>
          <a:ext cx="238169" cy="342631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57875" y="13973967"/>
          <a:ext cx="238169" cy="342631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74375" y="13950155"/>
          <a:ext cx="238169" cy="342631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231</xdr:row>
      <xdr:rowOff>14432</xdr:rowOff>
    </xdr:from>
    <xdr:to>
      <xdr:col>24</xdr:col>
      <xdr:colOff>238169</xdr:colOff>
      <xdr:row>233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874500" y="40781432"/>
          <a:ext cx="238169" cy="349299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243</xdr:row>
      <xdr:rowOff>163080</xdr:rowOff>
    </xdr:from>
    <xdr:to>
      <xdr:col>16</xdr:col>
      <xdr:colOff>238169</xdr:colOff>
      <xdr:row>245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58125" y="43025580"/>
          <a:ext cx="238169" cy="342631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83781" y="13971589"/>
          <a:ext cx="238169" cy="342631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239</xdr:row>
      <xdr:rowOff>23815</xdr:rowOff>
    </xdr:from>
    <xdr:to>
      <xdr:col>16</xdr:col>
      <xdr:colOff>30868</xdr:colOff>
      <xdr:row>242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67496" y="19801685"/>
          <a:ext cx="238169" cy="342633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68838" y="19860583"/>
          <a:ext cx="222294" cy="350253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8394" y="13942849"/>
          <a:ext cx="238169" cy="342631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53006" y="13947450"/>
          <a:ext cx="235432" cy="342631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95773" y="7613652"/>
          <a:ext cx="238169" cy="317549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48787" y="9644560"/>
          <a:ext cx="235431" cy="349299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95653" y="14048772"/>
          <a:ext cx="238169" cy="342632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884071" y="14080196"/>
          <a:ext cx="238169" cy="342631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5946004"/>
          <a:ext cx="235432" cy="342632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75767" y="15993851"/>
          <a:ext cx="238169" cy="374381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95142" y="17900103"/>
          <a:ext cx="238169" cy="349300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230</xdr:row>
      <xdr:rowOff>169323</xdr:rowOff>
    </xdr:from>
    <xdr:to>
      <xdr:col>26</xdr:col>
      <xdr:colOff>242764</xdr:colOff>
      <xdr:row>232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879220" y="40761698"/>
          <a:ext cx="238169" cy="349299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243</xdr:row>
      <xdr:rowOff>85068</xdr:rowOff>
    </xdr:from>
    <xdr:to>
      <xdr:col>6</xdr:col>
      <xdr:colOff>242783</xdr:colOff>
      <xdr:row>245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62114" y="42947568"/>
          <a:ext cx="238169" cy="342631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230</xdr:row>
      <xdr:rowOff>152901</xdr:rowOff>
    </xdr:from>
    <xdr:to>
      <xdr:col>22</xdr:col>
      <xdr:colOff>242774</xdr:colOff>
      <xdr:row>232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78980" y="40745276"/>
          <a:ext cx="238169" cy="349299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243</xdr:row>
      <xdr:rowOff>138935</xdr:rowOff>
    </xdr:from>
    <xdr:to>
      <xdr:col>4</xdr:col>
      <xdr:colOff>230961</xdr:colOff>
      <xdr:row>245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52904" y="43001435"/>
          <a:ext cx="235432" cy="342631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95391" y="9653178"/>
          <a:ext cx="238169" cy="342631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55374" y="9673607"/>
          <a:ext cx="235432" cy="342631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243</xdr:row>
      <xdr:rowOff>138062</xdr:rowOff>
    </xdr:from>
    <xdr:to>
      <xdr:col>2</xdr:col>
      <xdr:colOff>284830</xdr:colOff>
      <xdr:row>245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43000562"/>
          <a:ext cx="271014" cy="342631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22</xdr:col>
      <xdr:colOff>364448</xdr:colOff>
      <xdr:row>165</xdr:row>
      <xdr:rowOff>7055</xdr:rowOff>
    </xdr:from>
    <xdr:to>
      <xdr:col>24</xdr:col>
      <xdr:colOff>94696</xdr:colOff>
      <xdr:row>168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2317652" y="29239414"/>
          <a:ext cx="736410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4233</xdr:rowOff>
    </xdr:from>
    <xdr:to>
      <xdr:col>26</xdr:col>
      <xdr:colOff>46570</xdr:colOff>
      <xdr:row>167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165</xdr:row>
      <xdr:rowOff>13304</xdr:rowOff>
    </xdr:from>
    <xdr:to>
      <xdr:col>30</xdr:col>
      <xdr:colOff>46570</xdr:colOff>
      <xdr:row>168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165</xdr:row>
      <xdr:rowOff>13304</xdr:rowOff>
    </xdr:from>
    <xdr:to>
      <xdr:col>26</xdr:col>
      <xdr:colOff>46569</xdr:colOff>
      <xdr:row>168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438858</xdr:colOff>
      <xdr:row>165</xdr:row>
      <xdr:rowOff>15522</xdr:rowOff>
    </xdr:from>
    <xdr:to>
      <xdr:col>28</xdr:col>
      <xdr:colOff>64912</xdr:colOff>
      <xdr:row>168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177</xdr:row>
      <xdr:rowOff>7056</xdr:rowOff>
    </xdr:from>
    <xdr:to>
      <xdr:col>2</xdr:col>
      <xdr:colOff>42332</xdr:colOff>
      <xdr:row>180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177</xdr:row>
      <xdr:rowOff>18345</xdr:rowOff>
    </xdr:from>
    <xdr:to>
      <xdr:col>4</xdr:col>
      <xdr:colOff>39510</xdr:colOff>
      <xdr:row>180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177</xdr:row>
      <xdr:rowOff>7056</xdr:rowOff>
    </xdr:from>
    <xdr:to>
      <xdr:col>6</xdr:col>
      <xdr:colOff>42332</xdr:colOff>
      <xdr:row>180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177</xdr:row>
      <xdr:rowOff>18345</xdr:rowOff>
    </xdr:from>
    <xdr:to>
      <xdr:col>8</xdr:col>
      <xdr:colOff>39510</xdr:colOff>
      <xdr:row>180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177</xdr:row>
      <xdr:rowOff>7056</xdr:rowOff>
    </xdr:from>
    <xdr:to>
      <xdr:col>10</xdr:col>
      <xdr:colOff>42332</xdr:colOff>
      <xdr:row>180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177</xdr:row>
      <xdr:rowOff>18345</xdr:rowOff>
    </xdr:from>
    <xdr:to>
      <xdr:col>12</xdr:col>
      <xdr:colOff>21579</xdr:colOff>
      <xdr:row>180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177</xdr:row>
      <xdr:rowOff>7055</xdr:rowOff>
    </xdr:from>
    <xdr:to>
      <xdr:col>14</xdr:col>
      <xdr:colOff>49392</xdr:colOff>
      <xdr:row>180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4233</xdr:rowOff>
    </xdr:from>
    <xdr:to>
      <xdr:col>16</xdr:col>
      <xdr:colOff>46570</xdr:colOff>
      <xdr:row>179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177</xdr:row>
      <xdr:rowOff>13304</xdr:rowOff>
    </xdr:from>
    <xdr:to>
      <xdr:col>20</xdr:col>
      <xdr:colOff>46570</xdr:colOff>
      <xdr:row>180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177</xdr:row>
      <xdr:rowOff>13304</xdr:rowOff>
    </xdr:from>
    <xdr:to>
      <xdr:col>16</xdr:col>
      <xdr:colOff>46569</xdr:colOff>
      <xdr:row>180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177</xdr:row>
      <xdr:rowOff>15522</xdr:rowOff>
    </xdr:from>
    <xdr:to>
      <xdr:col>18</xdr:col>
      <xdr:colOff>43746</xdr:colOff>
      <xdr:row>180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177</xdr:row>
      <xdr:rowOff>7056</xdr:rowOff>
    </xdr:from>
    <xdr:to>
      <xdr:col>22</xdr:col>
      <xdr:colOff>42332</xdr:colOff>
      <xdr:row>180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288640</xdr:colOff>
      <xdr:row>164</xdr:row>
      <xdr:rowOff>173181</xdr:rowOff>
    </xdr:from>
    <xdr:to>
      <xdr:col>25</xdr:col>
      <xdr:colOff>294410</xdr:colOff>
      <xdr:row>165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164</xdr:row>
      <xdr:rowOff>173181</xdr:rowOff>
    </xdr:from>
    <xdr:to>
      <xdr:col>27</xdr:col>
      <xdr:colOff>294410</xdr:colOff>
      <xdr:row>165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164</xdr:row>
      <xdr:rowOff>173181</xdr:rowOff>
    </xdr:from>
    <xdr:to>
      <xdr:col>29</xdr:col>
      <xdr:colOff>294410</xdr:colOff>
      <xdr:row>165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164</xdr:row>
      <xdr:rowOff>173181</xdr:rowOff>
    </xdr:from>
    <xdr:to>
      <xdr:col>31</xdr:col>
      <xdr:colOff>294410</xdr:colOff>
      <xdr:row>165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176</xdr:row>
      <xdr:rowOff>173181</xdr:rowOff>
    </xdr:from>
    <xdr:to>
      <xdr:col>3</xdr:col>
      <xdr:colOff>294410</xdr:colOff>
      <xdr:row>177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176</xdr:row>
      <xdr:rowOff>173181</xdr:rowOff>
    </xdr:from>
    <xdr:to>
      <xdr:col>5</xdr:col>
      <xdr:colOff>294410</xdr:colOff>
      <xdr:row>177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176</xdr:row>
      <xdr:rowOff>173181</xdr:rowOff>
    </xdr:from>
    <xdr:to>
      <xdr:col>7</xdr:col>
      <xdr:colOff>294410</xdr:colOff>
      <xdr:row>177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176</xdr:row>
      <xdr:rowOff>173181</xdr:rowOff>
    </xdr:from>
    <xdr:to>
      <xdr:col>9</xdr:col>
      <xdr:colOff>294410</xdr:colOff>
      <xdr:row>177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176</xdr:row>
      <xdr:rowOff>173181</xdr:rowOff>
    </xdr:from>
    <xdr:to>
      <xdr:col>11</xdr:col>
      <xdr:colOff>294410</xdr:colOff>
      <xdr:row>177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176</xdr:row>
      <xdr:rowOff>173181</xdr:rowOff>
    </xdr:from>
    <xdr:to>
      <xdr:col>13</xdr:col>
      <xdr:colOff>294410</xdr:colOff>
      <xdr:row>177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176</xdr:row>
      <xdr:rowOff>173181</xdr:rowOff>
    </xdr:from>
    <xdr:to>
      <xdr:col>15</xdr:col>
      <xdr:colOff>294410</xdr:colOff>
      <xdr:row>177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176</xdr:row>
      <xdr:rowOff>173181</xdr:rowOff>
    </xdr:from>
    <xdr:to>
      <xdr:col>17</xdr:col>
      <xdr:colOff>294410</xdr:colOff>
      <xdr:row>177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176</xdr:row>
      <xdr:rowOff>173181</xdr:rowOff>
    </xdr:from>
    <xdr:to>
      <xdr:col>19</xdr:col>
      <xdr:colOff>294410</xdr:colOff>
      <xdr:row>177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176</xdr:row>
      <xdr:rowOff>173181</xdr:rowOff>
    </xdr:from>
    <xdr:to>
      <xdr:col>21</xdr:col>
      <xdr:colOff>294410</xdr:colOff>
      <xdr:row>177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176</xdr:row>
      <xdr:rowOff>173181</xdr:rowOff>
    </xdr:from>
    <xdr:to>
      <xdr:col>23</xdr:col>
      <xdr:colOff>294410</xdr:colOff>
      <xdr:row>177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26</xdr:col>
      <xdr:colOff>177800</xdr:colOff>
      <xdr:row>166</xdr:row>
      <xdr:rowOff>36284</xdr:rowOff>
    </xdr:from>
    <xdr:to>
      <xdr:col>26</xdr:col>
      <xdr:colOff>234950</xdr:colOff>
      <xdr:row>168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26</xdr:col>
      <xdr:colOff>152400</xdr:colOff>
      <xdr:row>170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0</xdr:colOff>
      <xdr:row>178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178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119743</xdr:colOff>
      <xdr:row>170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10</xdr:col>
      <xdr:colOff>130628</xdr:colOff>
      <xdr:row>182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874875" y="7620000"/>
          <a:ext cx="238169" cy="320724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874500" y="7620000"/>
          <a:ext cx="238169" cy="315682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874625" y="7620000"/>
          <a:ext cx="238169" cy="315682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874875" y="9699625"/>
          <a:ext cx="238169" cy="349299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874750" y="9699625"/>
          <a:ext cx="238169" cy="349299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57375" y="11795125"/>
          <a:ext cx="238169" cy="349299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57500" y="11795125"/>
          <a:ext cx="238169" cy="349299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57875" y="11795125"/>
          <a:ext cx="238169" cy="349299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874250" y="11795125"/>
          <a:ext cx="238169" cy="349299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57250" y="17938750"/>
          <a:ext cx="238169" cy="349300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57375" y="17938750"/>
          <a:ext cx="238169" cy="349300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57500" y="17938750"/>
          <a:ext cx="238169" cy="349300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57625" y="17938750"/>
          <a:ext cx="238169" cy="349300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57750" y="17938750"/>
          <a:ext cx="238169" cy="349300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58000" y="17938750"/>
          <a:ext cx="238169" cy="349300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57875" y="15986125"/>
          <a:ext cx="238169" cy="347856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58000" y="15986125"/>
          <a:ext cx="238169" cy="347856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58125" y="15986125"/>
          <a:ext cx="238169" cy="347856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874125" y="15986125"/>
          <a:ext cx="238169" cy="347856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874250" y="15986125"/>
          <a:ext cx="238169" cy="347856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874375" y="15986125"/>
          <a:ext cx="238169" cy="347856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874500" y="15986125"/>
          <a:ext cx="238169" cy="347856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874625" y="15986125"/>
          <a:ext cx="238169" cy="347856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874750" y="15986125"/>
          <a:ext cx="238169" cy="347856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874875" y="15986125"/>
          <a:ext cx="238169" cy="347856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874125" y="19859625"/>
          <a:ext cx="238169" cy="349300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874875" y="23701375"/>
          <a:ext cx="238169" cy="349300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57250" y="25971500"/>
          <a:ext cx="238169" cy="349299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57375" y="25971500"/>
          <a:ext cx="238169" cy="349299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57500" y="25971500"/>
          <a:ext cx="238169" cy="349299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231</xdr:row>
      <xdr:rowOff>0</xdr:rowOff>
    </xdr:from>
    <xdr:to>
      <xdr:col>20</xdr:col>
      <xdr:colOff>238169</xdr:colOff>
      <xdr:row>233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874250" y="40767000"/>
          <a:ext cx="238169" cy="349299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244</xdr:row>
      <xdr:rowOff>0</xdr:rowOff>
    </xdr:from>
    <xdr:to>
      <xdr:col>10</xdr:col>
      <xdr:colOff>238169</xdr:colOff>
      <xdr:row>246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57750" y="43037125"/>
          <a:ext cx="238169" cy="349300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244</xdr:row>
      <xdr:rowOff>0</xdr:rowOff>
    </xdr:from>
    <xdr:to>
      <xdr:col>12</xdr:col>
      <xdr:colOff>238169</xdr:colOff>
      <xdr:row>246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57875" y="43037125"/>
          <a:ext cx="238169" cy="349300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244</xdr:row>
      <xdr:rowOff>0</xdr:rowOff>
    </xdr:from>
    <xdr:to>
      <xdr:col>14</xdr:col>
      <xdr:colOff>238169</xdr:colOff>
      <xdr:row>246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58000" y="43037125"/>
          <a:ext cx="238169" cy="349300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24</xdr:col>
      <xdr:colOff>254885</xdr:colOff>
      <xdr:row>98</xdr:row>
      <xdr:rowOff>0</xdr:rowOff>
    </xdr:from>
    <xdr:to>
      <xdr:col>24</xdr:col>
      <xdr:colOff>402463</xdr:colOff>
      <xdr:row>101</xdr:row>
      <xdr:rowOff>14248</xdr:rowOff>
    </xdr:to>
    <xdr:pic>
      <xdr:nvPicPr>
        <xdr:cNvPr id="3775" name="Picture 3774">
          <a:extLst>
            <a:ext uri="{FF2B5EF4-FFF2-40B4-BE49-F238E27FC236}">
              <a16:creationId xmlns:a16="http://schemas.microsoft.com/office/drawing/2014/main" id="{AE0074D9-E296-4FA0-B317-E6CD715A5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208089" y="17963345"/>
          <a:ext cx="147578" cy="537452"/>
        </a:xfrm>
        <a:prstGeom prst="rect">
          <a:avLst/>
        </a:prstGeom>
      </xdr:spPr>
    </xdr:pic>
    <xdr:clientData/>
  </xdr:twoCellAnchor>
  <xdr:oneCellAnchor>
    <xdr:from>
      <xdr:col>14</xdr:col>
      <xdr:colOff>228055</xdr:colOff>
      <xdr:row>109</xdr:row>
      <xdr:rowOff>0</xdr:rowOff>
    </xdr:from>
    <xdr:ext cx="125542" cy="396875"/>
    <xdr:pic>
      <xdr:nvPicPr>
        <xdr:cNvPr id="3790" name="Picture 11595">
          <a:extLst>
            <a:ext uri="{FF2B5EF4-FFF2-40B4-BE49-F238E27FC236}">
              <a16:creationId xmlns:a16="http://schemas.microsoft.com/office/drawing/2014/main" id="{82999399-4880-4A68-B7B0-64DE317D1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7034" y="19881761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28</xdr:col>
      <xdr:colOff>0</xdr:colOff>
      <xdr:row>109</xdr:row>
      <xdr:rowOff>0</xdr:rowOff>
    </xdr:from>
    <xdr:to>
      <xdr:col>28</xdr:col>
      <xdr:colOff>382764</xdr:colOff>
      <xdr:row>111</xdr:row>
      <xdr:rowOff>9680</xdr:rowOff>
    </xdr:to>
    <xdr:pic>
      <xdr:nvPicPr>
        <xdr:cNvPr id="3791" name="Picture 3790" descr="Gas pipeline line icon concept. Gas ...">
          <a:extLst>
            <a:ext uri="{FF2B5EF4-FFF2-40B4-BE49-F238E27FC236}">
              <a16:creationId xmlns:a16="http://schemas.microsoft.com/office/drawing/2014/main" id="{082B1C4D-3B3D-4F6E-8689-6E7C3EF24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19881761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40245</xdr:colOff>
      <xdr:row>116</xdr:row>
      <xdr:rowOff>0</xdr:rowOff>
    </xdr:from>
    <xdr:to>
      <xdr:col>10</xdr:col>
      <xdr:colOff>423009</xdr:colOff>
      <xdr:row>118</xdr:row>
      <xdr:rowOff>9679</xdr:rowOff>
    </xdr:to>
    <xdr:pic>
      <xdr:nvPicPr>
        <xdr:cNvPr id="3794" name="Picture 3793" descr="Gas pipeline line icon concept. Gas ...">
          <a:extLst>
            <a:ext uri="{FF2B5EF4-FFF2-40B4-BE49-F238E27FC236}">
              <a16:creationId xmlns:a16="http://schemas.microsoft.com/office/drawing/2014/main" id="{1A203409-8233-46E1-90DA-E9B8382C32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936900" y="21102570"/>
          <a:ext cx="382764" cy="3584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187810</xdr:colOff>
      <xdr:row>131</xdr:row>
      <xdr:rowOff>0</xdr:rowOff>
    </xdr:from>
    <xdr:to>
      <xdr:col>14</xdr:col>
      <xdr:colOff>314606</xdr:colOff>
      <xdr:row>133</xdr:row>
      <xdr:rowOff>109461</xdr:rowOff>
    </xdr:to>
    <xdr:pic>
      <xdr:nvPicPr>
        <xdr:cNvPr id="3795" name="Picture 3794">
          <a:extLst>
            <a:ext uri="{FF2B5EF4-FFF2-40B4-BE49-F238E27FC236}">
              <a16:creationId xmlns:a16="http://schemas.microsoft.com/office/drawing/2014/main" id="{ECB017CC-1899-4F6B-9C58-2364910CB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96789" y="23718592"/>
          <a:ext cx="126796" cy="458263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144</xdr:row>
      <xdr:rowOff>0</xdr:rowOff>
    </xdr:from>
    <xdr:to>
      <xdr:col>20</xdr:col>
      <xdr:colOff>382764</xdr:colOff>
      <xdr:row>146</xdr:row>
      <xdr:rowOff>9676</xdr:rowOff>
    </xdr:to>
    <xdr:pic>
      <xdr:nvPicPr>
        <xdr:cNvPr id="3796" name="Picture 3795" descr="Gas pipeline line icon concept. Gas ...">
          <a:extLst>
            <a:ext uri="{FF2B5EF4-FFF2-40B4-BE49-F238E27FC236}">
              <a16:creationId xmlns:a16="http://schemas.microsoft.com/office/drawing/2014/main" id="{0BCA969C-F201-4FF4-B365-B32BFC35DA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25985810"/>
          <a:ext cx="382764" cy="35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420515</xdr:colOff>
      <xdr:row>139</xdr:row>
      <xdr:rowOff>13304</xdr:rowOff>
    </xdr:from>
    <xdr:to>
      <xdr:col>28</xdr:col>
      <xdr:colOff>46570</xdr:colOff>
      <xdr:row>142</xdr:row>
      <xdr:rowOff>1209</xdr:rowOff>
    </xdr:to>
    <xdr:sp macro="" textlink="">
      <xdr:nvSpPr>
        <xdr:cNvPr id="3792" name="Isosceles Triangle 3791">
          <a:extLst>
            <a:ext uri="{FF2B5EF4-FFF2-40B4-BE49-F238E27FC236}">
              <a16:creationId xmlns:a16="http://schemas.microsoft.com/office/drawing/2014/main" id="{9BFBE92B-7677-44D0-835D-C985DB99B444}"/>
            </a:ext>
          </a:extLst>
        </xdr:cNvPr>
        <xdr:cNvSpPr/>
      </xdr:nvSpPr>
      <xdr:spPr>
        <a:xfrm>
          <a:off x="13379881" y="29245663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139</xdr:row>
      <xdr:rowOff>7056</xdr:rowOff>
    </xdr:from>
    <xdr:to>
      <xdr:col>30</xdr:col>
      <xdr:colOff>42332</xdr:colOff>
      <xdr:row>142</xdr:row>
      <xdr:rowOff>1</xdr:rowOff>
    </xdr:to>
    <xdr:sp macro="" textlink="">
      <xdr:nvSpPr>
        <xdr:cNvPr id="3793" name="Isosceles Triangle 3792">
          <a:extLst>
            <a:ext uri="{FF2B5EF4-FFF2-40B4-BE49-F238E27FC236}">
              <a16:creationId xmlns:a16="http://schemas.microsoft.com/office/drawing/2014/main" id="{CF7B188B-4C7D-4F7F-88C2-CCF2CC172FC0}"/>
            </a:ext>
          </a:extLst>
        </xdr:cNvPr>
        <xdr:cNvSpPr/>
      </xdr:nvSpPr>
      <xdr:spPr>
        <a:xfrm>
          <a:off x="14381806" y="29239415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288640</xdr:colOff>
      <xdr:row>138</xdr:row>
      <xdr:rowOff>173181</xdr:rowOff>
    </xdr:from>
    <xdr:to>
      <xdr:col>29</xdr:col>
      <xdr:colOff>294410</xdr:colOff>
      <xdr:row>139</xdr:row>
      <xdr:rowOff>121226</xdr:rowOff>
    </xdr:to>
    <xdr:sp macro="" textlink="">
      <xdr:nvSpPr>
        <xdr:cNvPr id="3797" name="Freeform 10707">
          <a:extLst>
            <a:ext uri="{FF2B5EF4-FFF2-40B4-BE49-F238E27FC236}">
              <a16:creationId xmlns:a16="http://schemas.microsoft.com/office/drawing/2014/main" id="{31F39346-145B-40E6-AA0F-98292F31B53C}"/>
            </a:ext>
          </a:extLst>
        </xdr:cNvPr>
        <xdr:cNvSpPr>
          <a:spLocks/>
        </xdr:cNvSpPr>
      </xdr:nvSpPr>
      <xdr:spPr bwMode="auto">
        <a:xfrm>
          <a:off x="13690717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138</xdr:row>
      <xdr:rowOff>173181</xdr:rowOff>
    </xdr:from>
    <xdr:to>
      <xdr:col>31</xdr:col>
      <xdr:colOff>294410</xdr:colOff>
      <xdr:row>139</xdr:row>
      <xdr:rowOff>121226</xdr:rowOff>
    </xdr:to>
    <xdr:sp macro="" textlink="">
      <xdr:nvSpPr>
        <xdr:cNvPr id="3798" name="Freeform 10707">
          <a:extLst>
            <a:ext uri="{FF2B5EF4-FFF2-40B4-BE49-F238E27FC236}">
              <a16:creationId xmlns:a16="http://schemas.microsoft.com/office/drawing/2014/main" id="{AD86CE5C-E249-4B58-8F20-AC5DD632F31F}"/>
            </a:ext>
          </a:extLst>
        </xdr:cNvPr>
        <xdr:cNvSpPr>
          <a:spLocks/>
        </xdr:cNvSpPr>
      </xdr:nvSpPr>
      <xdr:spPr bwMode="auto">
        <a:xfrm>
          <a:off x="14696879" y="29235029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297373</xdr:colOff>
      <xdr:row>152</xdr:row>
      <xdr:rowOff>7055</xdr:rowOff>
    </xdr:from>
    <xdr:to>
      <xdr:col>2</xdr:col>
      <xdr:colOff>27621</xdr:colOff>
      <xdr:row>155</xdr:row>
      <xdr:rowOff>0</xdr:rowOff>
    </xdr:to>
    <xdr:sp macro="" textlink="">
      <xdr:nvSpPr>
        <xdr:cNvPr id="3800" name="Isosceles Triangle 3799">
          <a:extLst>
            <a:ext uri="{FF2B5EF4-FFF2-40B4-BE49-F238E27FC236}">
              <a16:creationId xmlns:a16="http://schemas.microsoft.com/office/drawing/2014/main" id="{702BAF3A-1195-4C19-B3E7-24A8FC488CAB}"/>
            </a:ext>
          </a:extLst>
        </xdr:cNvPr>
        <xdr:cNvSpPr/>
      </xdr:nvSpPr>
      <xdr:spPr>
        <a:xfrm>
          <a:off x="297373" y="29400400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3801" name="Isosceles Triangle 3800">
          <a:extLst>
            <a:ext uri="{FF2B5EF4-FFF2-40B4-BE49-F238E27FC236}">
              <a16:creationId xmlns:a16="http://schemas.microsoft.com/office/drawing/2014/main" id="{2F0641C0-20E7-4BFA-A2C6-DCAEBA0D57F5}"/>
            </a:ext>
          </a:extLst>
        </xdr:cNvPr>
        <xdr:cNvSpPr/>
      </xdr:nvSpPr>
      <xdr:spPr>
        <a:xfrm>
          <a:off x="1292522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1210</xdr:rowOff>
    </xdr:to>
    <xdr:sp macro="" textlink="">
      <xdr:nvSpPr>
        <xdr:cNvPr id="3802" name="Isosceles Triangle 3801">
          <a:extLst>
            <a:ext uri="{FF2B5EF4-FFF2-40B4-BE49-F238E27FC236}">
              <a16:creationId xmlns:a16="http://schemas.microsoft.com/office/drawing/2014/main" id="{7A5F5065-BA9F-420A-95D5-EE3510C59380}"/>
            </a:ext>
          </a:extLst>
        </xdr:cNvPr>
        <xdr:cNvSpPr/>
      </xdr:nvSpPr>
      <xdr:spPr>
        <a:xfrm>
          <a:off x="3304846" y="29406649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1210</xdr:rowOff>
    </xdr:to>
    <xdr:sp macro="" textlink="">
      <xdr:nvSpPr>
        <xdr:cNvPr id="3803" name="Isosceles Triangle 3802">
          <a:extLst>
            <a:ext uri="{FF2B5EF4-FFF2-40B4-BE49-F238E27FC236}">
              <a16:creationId xmlns:a16="http://schemas.microsoft.com/office/drawing/2014/main" id="{F8C5E841-CD8A-4F45-B533-4A0F5A833B98}"/>
            </a:ext>
          </a:extLst>
        </xdr:cNvPr>
        <xdr:cNvSpPr/>
      </xdr:nvSpPr>
      <xdr:spPr>
        <a:xfrm>
          <a:off x="1292522" y="29406649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152</xdr:row>
      <xdr:rowOff>15522</xdr:rowOff>
    </xdr:from>
    <xdr:to>
      <xdr:col>6</xdr:col>
      <xdr:colOff>64912</xdr:colOff>
      <xdr:row>155</xdr:row>
      <xdr:rowOff>8467</xdr:rowOff>
    </xdr:to>
    <xdr:sp macro="" textlink="">
      <xdr:nvSpPr>
        <xdr:cNvPr id="3804" name="Isosceles Triangle 3803">
          <a:extLst>
            <a:ext uri="{FF2B5EF4-FFF2-40B4-BE49-F238E27FC236}">
              <a16:creationId xmlns:a16="http://schemas.microsoft.com/office/drawing/2014/main" id="{136B178E-EE60-4AD0-805D-911EEB85190D}"/>
            </a:ext>
          </a:extLst>
        </xdr:cNvPr>
        <xdr:cNvSpPr/>
      </xdr:nvSpPr>
      <xdr:spPr>
        <a:xfrm>
          <a:off x="2317027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3805" name="Isosceles Triangle 3804">
          <a:extLst>
            <a:ext uri="{FF2B5EF4-FFF2-40B4-BE49-F238E27FC236}">
              <a16:creationId xmlns:a16="http://schemas.microsoft.com/office/drawing/2014/main" id="{59EE9DAF-4D97-42D4-9D01-01C109A400D3}"/>
            </a:ext>
          </a:extLst>
        </xdr:cNvPr>
        <xdr:cNvSpPr/>
      </xdr:nvSpPr>
      <xdr:spPr>
        <a:xfrm>
          <a:off x="4306771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3806" name="Isosceles Triangle 3805">
          <a:extLst>
            <a:ext uri="{FF2B5EF4-FFF2-40B4-BE49-F238E27FC236}">
              <a16:creationId xmlns:a16="http://schemas.microsoft.com/office/drawing/2014/main" id="{E03E0CC8-5FDB-4E8E-94D9-875462AAD4A4}"/>
            </a:ext>
          </a:extLst>
        </xdr:cNvPr>
        <xdr:cNvSpPr/>
      </xdr:nvSpPr>
      <xdr:spPr>
        <a:xfrm>
          <a:off x="5310111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3807" name="Isosceles Triangle 3806">
          <a:extLst>
            <a:ext uri="{FF2B5EF4-FFF2-40B4-BE49-F238E27FC236}">
              <a16:creationId xmlns:a16="http://schemas.microsoft.com/office/drawing/2014/main" id="{EEB4CF0B-CF99-4DD5-B16D-9E06ADB7A8F2}"/>
            </a:ext>
          </a:extLst>
        </xdr:cNvPr>
        <xdr:cNvSpPr/>
      </xdr:nvSpPr>
      <xdr:spPr>
        <a:xfrm>
          <a:off x="6319095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3808" name="Isosceles Triangle 3807">
          <a:extLst>
            <a:ext uri="{FF2B5EF4-FFF2-40B4-BE49-F238E27FC236}">
              <a16:creationId xmlns:a16="http://schemas.microsoft.com/office/drawing/2014/main" id="{2FCCDCD5-FA3C-4B2A-B26B-B3D9B8D691B9}"/>
            </a:ext>
          </a:extLst>
        </xdr:cNvPr>
        <xdr:cNvSpPr/>
      </xdr:nvSpPr>
      <xdr:spPr>
        <a:xfrm>
          <a:off x="7322435" y="2941169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3809" name="Isosceles Triangle 3808">
          <a:extLst>
            <a:ext uri="{FF2B5EF4-FFF2-40B4-BE49-F238E27FC236}">
              <a16:creationId xmlns:a16="http://schemas.microsoft.com/office/drawing/2014/main" id="{ABFCADBB-2D49-4F3E-A76C-31BC075F200F}"/>
            </a:ext>
          </a:extLst>
        </xdr:cNvPr>
        <xdr:cNvSpPr/>
      </xdr:nvSpPr>
      <xdr:spPr>
        <a:xfrm>
          <a:off x="8331419" y="29400401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152</xdr:row>
      <xdr:rowOff>18345</xdr:rowOff>
    </xdr:from>
    <xdr:to>
      <xdr:col>20</xdr:col>
      <xdr:colOff>21579</xdr:colOff>
      <xdr:row>155</xdr:row>
      <xdr:rowOff>8965</xdr:rowOff>
    </xdr:to>
    <xdr:sp macro="" textlink="">
      <xdr:nvSpPr>
        <xdr:cNvPr id="3810" name="Isosceles Triangle 3809">
          <a:extLst>
            <a:ext uri="{FF2B5EF4-FFF2-40B4-BE49-F238E27FC236}">
              <a16:creationId xmlns:a16="http://schemas.microsoft.com/office/drawing/2014/main" id="{8ECDB759-DEC3-400B-AE67-C10B5159D914}"/>
            </a:ext>
          </a:extLst>
        </xdr:cNvPr>
        <xdr:cNvSpPr/>
      </xdr:nvSpPr>
      <xdr:spPr>
        <a:xfrm>
          <a:off x="9373988" y="29411690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152</xdr:row>
      <xdr:rowOff>7055</xdr:rowOff>
    </xdr:from>
    <xdr:to>
      <xdr:col>22</xdr:col>
      <xdr:colOff>49392</xdr:colOff>
      <xdr:row>155</xdr:row>
      <xdr:rowOff>0</xdr:rowOff>
    </xdr:to>
    <xdr:sp macro="" textlink="">
      <xdr:nvSpPr>
        <xdr:cNvPr id="3811" name="Isosceles Triangle 3810">
          <a:extLst>
            <a:ext uri="{FF2B5EF4-FFF2-40B4-BE49-F238E27FC236}">
              <a16:creationId xmlns:a16="http://schemas.microsoft.com/office/drawing/2014/main" id="{AD07F959-C408-4B52-8DBA-F85C0A52DAB0}"/>
            </a:ext>
          </a:extLst>
        </xdr:cNvPr>
        <xdr:cNvSpPr/>
      </xdr:nvSpPr>
      <xdr:spPr>
        <a:xfrm>
          <a:off x="10344292" y="29400400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4233</xdr:rowOff>
    </xdr:from>
    <xdr:to>
      <xdr:col>24</xdr:col>
      <xdr:colOff>46570</xdr:colOff>
      <xdr:row>154</xdr:row>
      <xdr:rowOff>173567</xdr:rowOff>
    </xdr:to>
    <xdr:sp macro="" textlink="">
      <xdr:nvSpPr>
        <xdr:cNvPr id="3812" name="Isosceles Triangle 3811">
          <a:extLst>
            <a:ext uri="{FF2B5EF4-FFF2-40B4-BE49-F238E27FC236}">
              <a16:creationId xmlns:a16="http://schemas.microsoft.com/office/drawing/2014/main" id="{4C1FE68A-8D0B-4FD6-A9E3-025B448F40F0}"/>
            </a:ext>
          </a:extLst>
        </xdr:cNvPr>
        <xdr:cNvSpPr/>
      </xdr:nvSpPr>
      <xdr:spPr>
        <a:xfrm>
          <a:off x="11367557" y="29397578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152</xdr:row>
      <xdr:rowOff>13304</xdr:rowOff>
    </xdr:from>
    <xdr:to>
      <xdr:col>28</xdr:col>
      <xdr:colOff>46570</xdr:colOff>
      <xdr:row>155</xdr:row>
      <xdr:rowOff>1209</xdr:rowOff>
    </xdr:to>
    <xdr:sp macro="" textlink="">
      <xdr:nvSpPr>
        <xdr:cNvPr id="3813" name="Isosceles Triangle 3812">
          <a:extLst>
            <a:ext uri="{FF2B5EF4-FFF2-40B4-BE49-F238E27FC236}">
              <a16:creationId xmlns:a16="http://schemas.microsoft.com/office/drawing/2014/main" id="{84C73E3B-A46E-4B6D-9609-D67BD1F92257}"/>
            </a:ext>
          </a:extLst>
        </xdr:cNvPr>
        <xdr:cNvSpPr/>
      </xdr:nvSpPr>
      <xdr:spPr>
        <a:xfrm>
          <a:off x="13379881" y="29406649"/>
          <a:ext cx="632217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152</xdr:row>
      <xdr:rowOff>13304</xdr:rowOff>
    </xdr:from>
    <xdr:to>
      <xdr:col>24</xdr:col>
      <xdr:colOff>46569</xdr:colOff>
      <xdr:row>155</xdr:row>
      <xdr:rowOff>1209</xdr:rowOff>
    </xdr:to>
    <xdr:sp macro="" textlink="">
      <xdr:nvSpPr>
        <xdr:cNvPr id="3814" name="Isosceles Triangle 3813">
          <a:extLst>
            <a:ext uri="{FF2B5EF4-FFF2-40B4-BE49-F238E27FC236}">
              <a16:creationId xmlns:a16="http://schemas.microsoft.com/office/drawing/2014/main" id="{40E5BCDF-A3AC-42D3-9F13-A389DFFD11EA}"/>
            </a:ext>
          </a:extLst>
        </xdr:cNvPr>
        <xdr:cNvSpPr/>
      </xdr:nvSpPr>
      <xdr:spPr>
        <a:xfrm>
          <a:off x="11367557" y="29406649"/>
          <a:ext cx="632216" cy="4708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152</xdr:row>
      <xdr:rowOff>15522</xdr:rowOff>
    </xdr:from>
    <xdr:to>
      <xdr:col>26</xdr:col>
      <xdr:colOff>43746</xdr:colOff>
      <xdr:row>155</xdr:row>
      <xdr:rowOff>8467</xdr:rowOff>
    </xdr:to>
    <xdr:sp macro="" textlink="">
      <xdr:nvSpPr>
        <xdr:cNvPr id="3815" name="Isosceles Triangle 3814">
          <a:extLst>
            <a:ext uri="{FF2B5EF4-FFF2-40B4-BE49-F238E27FC236}">
              <a16:creationId xmlns:a16="http://schemas.microsoft.com/office/drawing/2014/main" id="{1181AA84-161B-4254-8E16-E055000490D5}"/>
            </a:ext>
          </a:extLst>
        </xdr:cNvPr>
        <xdr:cNvSpPr/>
      </xdr:nvSpPr>
      <xdr:spPr>
        <a:xfrm>
          <a:off x="12370896" y="29408867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152</xdr:row>
      <xdr:rowOff>7056</xdr:rowOff>
    </xdr:from>
    <xdr:to>
      <xdr:col>30</xdr:col>
      <xdr:colOff>42332</xdr:colOff>
      <xdr:row>155</xdr:row>
      <xdr:rowOff>1</xdr:rowOff>
    </xdr:to>
    <xdr:sp macro="" textlink="">
      <xdr:nvSpPr>
        <xdr:cNvPr id="3816" name="Isosceles Triangle 3815">
          <a:extLst>
            <a:ext uri="{FF2B5EF4-FFF2-40B4-BE49-F238E27FC236}">
              <a16:creationId xmlns:a16="http://schemas.microsoft.com/office/drawing/2014/main" id="{887DBFBC-1FA6-4239-BCC2-3CD378AD5421}"/>
            </a:ext>
          </a:extLst>
        </xdr:cNvPr>
        <xdr:cNvSpPr/>
      </xdr:nvSpPr>
      <xdr:spPr>
        <a:xfrm>
          <a:off x="14381806" y="29400401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151</xdr:row>
      <xdr:rowOff>173181</xdr:rowOff>
    </xdr:from>
    <xdr:to>
      <xdr:col>3</xdr:col>
      <xdr:colOff>294410</xdr:colOff>
      <xdr:row>152</xdr:row>
      <xdr:rowOff>121226</xdr:rowOff>
    </xdr:to>
    <xdr:sp macro="" textlink="">
      <xdr:nvSpPr>
        <xdr:cNvPr id="3817" name="Freeform 10707">
          <a:extLst>
            <a:ext uri="{FF2B5EF4-FFF2-40B4-BE49-F238E27FC236}">
              <a16:creationId xmlns:a16="http://schemas.microsoft.com/office/drawing/2014/main" id="{07B60024-3944-4926-ABEC-B61E7FDDBC9F}"/>
            </a:ext>
          </a:extLst>
        </xdr:cNvPr>
        <xdr:cNvSpPr>
          <a:spLocks/>
        </xdr:cNvSpPr>
      </xdr:nvSpPr>
      <xdr:spPr bwMode="auto">
        <a:xfrm>
          <a:off x="59719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151</xdr:row>
      <xdr:rowOff>173181</xdr:rowOff>
    </xdr:from>
    <xdr:to>
      <xdr:col>5</xdr:col>
      <xdr:colOff>294410</xdr:colOff>
      <xdr:row>152</xdr:row>
      <xdr:rowOff>121226</xdr:rowOff>
    </xdr:to>
    <xdr:sp macro="" textlink="">
      <xdr:nvSpPr>
        <xdr:cNvPr id="3818" name="Freeform 10707">
          <a:extLst>
            <a:ext uri="{FF2B5EF4-FFF2-40B4-BE49-F238E27FC236}">
              <a16:creationId xmlns:a16="http://schemas.microsoft.com/office/drawing/2014/main" id="{ABA5D842-6162-4BD9-99D5-A27A87152DC6}"/>
            </a:ext>
          </a:extLst>
        </xdr:cNvPr>
        <xdr:cNvSpPr>
          <a:spLocks/>
        </xdr:cNvSpPr>
      </xdr:nvSpPr>
      <xdr:spPr bwMode="auto">
        <a:xfrm>
          <a:off x="160335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151</xdr:row>
      <xdr:rowOff>173181</xdr:rowOff>
    </xdr:from>
    <xdr:to>
      <xdr:col>7</xdr:col>
      <xdr:colOff>294410</xdr:colOff>
      <xdr:row>152</xdr:row>
      <xdr:rowOff>121226</xdr:rowOff>
    </xdr:to>
    <xdr:sp macro="" textlink="">
      <xdr:nvSpPr>
        <xdr:cNvPr id="3819" name="Freeform 10707">
          <a:extLst>
            <a:ext uri="{FF2B5EF4-FFF2-40B4-BE49-F238E27FC236}">
              <a16:creationId xmlns:a16="http://schemas.microsoft.com/office/drawing/2014/main" id="{276D56E0-8B5C-4A10-AF0C-8ED55B4A6A73}"/>
            </a:ext>
          </a:extLst>
        </xdr:cNvPr>
        <xdr:cNvSpPr>
          <a:spLocks/>
        </xdr:cNvSpPr>
      </xdr:nvSpPr>
      <xdr:spPr bwMode="auto">
        <a:xfrm>
          <a:off x="260952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151</xdr:row>
      <xdr:rowOff>173181</xdr:rowOff>
    </xdr:from>
    <xdr:to>
      <xdr:col>9</xdr:col>
      <xdr:colOff>294410</xdr:colOff>
      <xdr:row>152</xdr:row>
      <xdr:rowOff>121226</xdr:rowOff>
    </xdr:to>
    <xdr:sp macro="" textlink="">
      <xdr:nvSpPr>
        <xdr:cNvPr id="3820" name="Freeform 10707">
          <a:extLst>
            <a:ext uri="{FF2B5EF4-FFF2-40B4-BE49-F238E27FC236}">
              <a16:creationId xmlns:a16="http://schemas.microsoft.com/office/drawing/2014/main" id="{338103D8-2E27-4510-AE23-CE1D7169052F}"/>
            </a:ext>
          </a:extLst>
        </xdr:cNvPr>
        <xdr:cNvSpPr>
          <a:spLocks/>
        </xdr:cNvSpPr>
      </xdr:nvSpPr>
      <xdr:spPr bwMode="auto">
        <a:xfrm>
          <a:off x="361568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151</xdr:row>
      <xdr:rowOff>173181</xdr:rowOff>
    </xdr:from>
    <xdr:to>
      <xdr:col>11</xdr:col>
      <xdr:colOff>294410</xdr:colOff>
      <xdr:row>152</xdr:row>
      <xdr:rowOff>121226</xdr:rowOff>
    </xdr:to>
    <xdr:sp macro="" textlink="">
      <xdr:nvSpPr>
        <xdr:cNvPr id="3821" name="Freeform 10707">
          <a:extLst>
            <a:ext uri="{FF2B5EF4-FFF2-40B4-BE49-F238E27FC236}">
              <a16:creationId xmlns:a16="http://schemas.microsoft.com/office/drawing/2014/main" id="{D1996FA4-EF11-4D02-9180-9A8C97AE325E}"/>
            </a:ext>
          </a:extLst>
        </xdr:cNvPr>
        <xdr:cNvSpPr>
          <a:spLocks/>
        </xdr:cNvSpPr>
      </xdr:nvSpPr>
      <xdr:spPr bwMode="auto">
        <a:xfrm>
          <a:off x="4621844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151</xdr:row>
      <xdr:rowOff>173181</xdr:rowOff>
    </xdr:from>
    <xdr:to>
      <xdr:col>13</xdr:col>
      <xdr:colOff>294410</xdr:colOff>
      <xdr:row>152</xdr:row>
      <xdr:rowOff>121226</xdr:rowOff>
    </xdr:to>
    <xdr:sp macro="" textlink="">
      <xdr:nvSpPr>
        <xdr:cNvPr id="3822" name="Freeform 10707">
          <a:extLst>
            <a:ext uri="{FF2B5EF4-FFF2-40B4-BE49-F238E27FC236}">
              <a16:creationId xmlns:a16="http://schemas.microsoft.com/office/drawing/2014/main" id="{4AC2E0F9-41CA-4C8A-9B28-A16AD1E15322}"/>
            </a:ext>
          </a:extLst>
        </xdr:cNvPr>
        <xdr:cNvSpPr>
          <a:spLocks/>
        </xdr:cNvSpPr>
      </xdr:nvSpPr>
      <xdr:spPr bwMode="auto">
        <a:xfrm>
          <a:off x="5628006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151</xdr:row>
      <xdr:rowOff>173181</xdr:rowOff>
    </xdr:from>
    <xdr:to>
      <xdr:col>15</xdr:col>
      <xdr:colOff>294410</xdr:colOff>
      <xdr:row>152</xdr:row>
      <xdr:rowOff>121226</xdr:rowOff>
    </xdr:to>
    <xdr:sp macro="" textlink="">
      <xdr:nvSpPr>
        <xdr:cNvPr id="3823" name="Freeform 10707">
          <a:extLst>
            <a:ext uri="{FF2B5EF4-FFF2-40B4-BE49-F238E27FC236}">
              <a16:creationId xmlns:a16="http://schemas.microsoft.com/office/drawing/2014/main" id="{8458504E-1712-40FE-825E-D75DE1786ED6}"/>
            </a:ext>
          </a:extLst>
        </xdr:cNvPr>
        <xdr:cNvSpPr>
          <a:spLocks/>
        </xdr:cNvSpPr>
      </xdr:nvSpPr>
      <xdr:spPr bwMode="auto">
        <a:xfrm>
          <a:off x="6634168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151</xdr:row>
      <xdr:rowOff>173181</xdr:rowOff>
    </xdr:from>
    <xdr:to>
      <xdr:col>17</xdr:col>
      <xdr:colOff>294410</xdr:colOff>
      <xdr:row>152</xdr:row>
      <xdr:rowOff>121226</xdr:rowOff>
    </xdr:to>
    <xdr:sp macro="" textlink="">
      <xdr:nvSpPr>
        <xdr:cNvPr id="3824" name="Freeform 10707">
          <a:extLst>
            <a:ext uri="{FF2B5EF4-FFF2-40B4-BE49-F238E27FC236}">
              <a16:creationId xmlns:a16="http://schemas.microsoft.com/office/drawing/2014/main" id="{E46506C0-7720-4FBA-AA4D-514F06CF7510}"/>
            </a:ext>
          </a:extLst>
        </xdr:cNvPr>
        <xdr:cNvSpPr>
          <a:spLocks/>
        </xdr:cNvSpPr>
      </xdr:nvSpPr>
      <xdr:spPr bwMode="auto">
        <a:xfrm>
          <a:off x="764033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151</xdr:row>
      <xdr:rowOff>173181</xdr:rowOff>
    </xdr:from>
    <xdr:to>
      <xdr:col>19</xdr:col>
      <xdr:colOff>294410</xdr:colOff>
      <xdr:row>152</xdr:row>
      <xdr:rowOff>121226</xdr:rowOff>
    </xdr:to>
    <xdr:sp macro="" textlink="">
      <xdr:nvSpPr>
        <xdr:cNvPr id="3825" name="Freeform 10707">
          <a:extLst>
            <a:ext uri="{FF2B5EF4-FFF2-40B4-BE49-F238E27FC236}">
              <a16:creationId xmlns:a16="http://schemas.microsoft.com/office/drawing/2014/main" id="{7A3159AB-4190-4A40-91DB-EDF1B9F81AE1}"/>
            </a:ext>
          </a:extLst>
        </xdr:cNvPr>
        <xdr:cNvSpPr>
          <a:spLocks/>
        </xdr:cNvSpPr>
      </xdr:nvSpPr>
      <xdr:spPr bwMode="auto">
        <a:xfrm>
          <a:off x="8646492" y="29396015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151</xdr:row>
      <xdr:rowOff>173181</xdr:rowOff>
    </xdr:from>
    <xdr:to>
      <xdr:col>21</xdr:col>
      <xdr:colOff>294410</xdr:colOff>
      <xdr:row>152</xdr:row>
      <xdr:rowOff>121226</xdr:rowOff>
    </xdr:to>
    <xdr:sp macro="" textlink="">
      <xdr:nvSpPr>
        <xdr:cNvPr id="3826" name="Freeform 10707">
          <a:extLst>
            <a:ext uri="{FF2B5EF4-FFF2-40B4-BE49-F238E27FC236}">
              <a16:creationId xmlns:a16="http://schemas.microsoft.com/office/drawing/2014/main" id="{3D8DAD23-EB60-4B5C-BFD5-2D1206AF2932}"/>
            </a:ext>
          </a:extLst>
        </xdr:cNvPr>
        <xdr:cNvSpPr>
          <a:spLocks/>
        </xdr:cNvSpPr>
      </xdr:nvSpPr>
      <xdr:spPr bwMode="auto">
        <a:xfrm>
          <a:off x="9666070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151</xdr:row>
      <xdr:rowOff>173181</xdr:rowOff>
    </xdr:from>
    <xdr:to>
      <xdr:col>23</xdr:col>
      <xdr:colOff>294410</xdr:colOff>
      <xdr:row>152</xdr:row>
      <xdr:rowOff>121226</xdr:rowOff>
    </xdr:to>
    <xdr:sp macro="" textlink="">
      <xdr:nvSpPr>
        <xdr:cNvPr id="3827" name="Freeform 10707">
          <a:extLst>
            <a:ext uri="{FF2B5EF4-FFF2-40B4-BE49-F238E27FC236}">
              <a16:creationId xmlns:a16="http://schemas.microsoft.com/office/drawing/2014/main" id="{DE9614D6-FB35-48EC-BCDB-238761502AB9}"/>
            </a:ext>
          </a:extLst>
        </xdr:cNvPr>
        <xdr:cNvSpPr>
          <a:spLocks/>
        </xdr:cNvSpPr>
      </xdr:nvSpPr>
      <xdr:spPr bwMode="auto">
        <a:xfrm>
          <a:off x="10672232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151</xdr:row>
      <xdr:rowOff>173181</xdr:rowOff>
    </xdr:from>
    <xdr:to>
      <xdr:col>25</xdr:col>
      <xdr:colOff>294410</xdr:colOff>
      <xdr:row>152</xdr:row>
      <xdr:rowOff>121226</xdr:rowOff>
    </xdr:to>
    <xdr:sp macro="" textlink="">
      <xdr:nvSpPr>
        <xdr:cNvPr id="3828" name="Freeform 10707">
          <a:extLst>
            <a:ext uri="{FF2B5EF4-FFF2-40B4-BE49-F238E27FC236}">
              <a16:creationId xmlns:a16="http://schemas.microsoft.com/office/drawing/2014/main" id="{F46A0BD1-2B5F-41E3-AEDE-1EEF136B64C3}"/>
            </a:ext>
          </a:extLst>
        </xdr:cNvPr>
        <xdr:cNvSpPr>
          <a:spLocks/>
        </xdr:cNvSpPr>
      </xdr:nvSpPr>
      <xdr:spPr bwMode="auto">
        <a:xfrm>
          <a:off x="11678394" y="29396015"/>
          <a:ext cx="1011931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151</xdr:row>
      <xdr:rowOff>173181</xdr:rowOff>
    </xdr:from>
    <xdr:to>
      <xdr:col>27</xdr:col>
      <xdr:colOff>294410</xdr:colOff>
      <xdr:row>152</xdr:row>
      <xdr:rowOff>121226</xdr:rowOff>
    </xdr:to>
    <xdr:sp macro="" textlink="">
      <xdr:nvSpPr>
        <xdr:cNvPr id="3829" name="Freeform 10707">
          <a:extLst>
            <a:ext uri="{FF2B5EF4-FFF2-40B4-BE49-F238E27FC236}">
              <a16:creationId xmlns:a16="http://schemas.microsoft.com/office/drawing/2014/main" id="{3B424FF4-AC02-4775-A65F-84023DE1CC74}"/>
            </a:ext>
          </a:extLst>
        </xdr:cNvPr>
        <xdr:cNvSpPr>
          <a:spLocks/>
        </xdr:cNvSpPr>
      </xdr:nvSpPr>
      <xdr:spPr bwMode="auto">
        <a:xfrm>
          <a:off x="12684555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151</xdr:row>
      <xdr:rowOff>173181</xdr:rowOff>
    </xdr:from>
    <xdr:to>
      <xdr:col>29</xdr:col>
      <xdr:colOff>294410</xdr:colOff>
      <xdr:row>152</xdr:row>
      <xdr:rowOff>121226</xdr:rowOff>
    </xdr:to>
    <xdr:sp macro="" textlink="">
      <xdr:nvSpPr>
        <xdr:cNvPr id="3830" name="Freeform 10707">
          <a:extLst>
            <a:ext uri="{FF2B5EF4-FFF2-40B4-BE49-F238E27FC236}">
              <a16:creationId xmlns:a16="http://schemas.microsoft.com/office/drawing/2014/main" id="{BDEAD4FF-FEE8-4EE6-AC18-2B023F5B245D}"/>
            </a:ext>
          </a:extLst>
        </xdr:cNvPr>
        <xdr:cNvSpPr>
          <a:spLocks/>
        </xdr:cNvSpPr>
      </xdr:nvSpPr>
      <xdr:spPr bwMode="auto">
        <a:xfrm>
          <a:off x="13690717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151</xdr:row>
      <xdr:rowOff>173181</xdr:rowOff>
    </xdr:from>
    <xdr:to>
      <xdr:col>31</xdr:col>
      <xdr:colOff>294410</xdr:colOff>
      <xdr:row>152</xdr:row>
      <xdr:rowOff>121226</xdr:rowOff>
    </xdr:to>
    <xdr:sp macro="" textlink="">
      <xdr:nvSpPr>
        <xdr:cNvPr id="3831" name="Freeform 10707">
          <a:extLst>
            <a:ext uri="{FF2B5EF4-FFF2-40B4-BE49-F238E27FC236}">
              <a16:creationId xmlns:a16="http://schemas.microsoft.com/office/drawing/2014/main" id="{A279577C-B87A-49C7-9C6B-03E7B8C11CBD}"/>
            </a:ext>
          </a:extLst>
        </xdr:cNvPr>
        <xdr:cNvSpPr>
          <a:spLocks/>
        </xdr:cNvSpPr>
      </xdr:nvSpPr>
      <xdr:spPr bwMode="auto">
        <a:xfrm>
          <a:off x="14696879" y="29396015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153</xdr:row>
      <xdr:rowOff>36284</xdr:rowOff>
    </xdr:from>
    <xdr:to>
      <xdr:col>4</xdr:col>
      <xdr:colOff>234950</xdr:colOff>
      <xdr:row>155</xdr:row>
      <xdr:rowOff>155120</xdr:rowOff>
    </xdr:to>
    <xdr:sp macro="" textlink="">
      <xdr:nvSpPr>
        <xdr:cNvPr id="3832" name="Rectangle 11590" descr="Light horizontal">
          <a:extLst>
            <a:ext uri="{FF2B5EF4-FFF2-40B4-BE49-F238E27FC236}">
              <a16:creationId xmlns:a16="http://schemas.microsoft.com/office/drawing/2014/main" id="{5439AE20-8508-443C-B071-A72E99E42B67}"/>
            </a:ext>
          </a:extLst>
        </xdr:cNvPr>
        <xdr:cNvSpPr>
          <a:spLocks noChangeArrowheads="1"/>
        </xdr:cNvSpPr>
      </xdr:nvSpPr>
      <xdr:spPr bwMode="auto">
        <a:xfrm>
          <a:off x="2055969" y="29590615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157</xdr:row>
      <xdr:rowOff>32657</xdr:rowOff>
    </xdr:from>
    <xdr:ext cx="108857" cy="550604"/>
    <xdr:pic>
      <xdr:nvPicPr>
        <xdr:cNvPr id="3833" name="Picture 11595">
          <a:extLst>
            <a:ext uri="{FF2B5EF4-FFF2-40B4-BE49-F238E27FC236}">
              <a16:creationId xmlns:a16="http://schemas.microsoft.com/office/drawing/2014/main" id="{46B79072-5BE7-4120-A4BC-147754A7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30230932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153</xdr:row>
      <xdr:rowOff>0</xdr:rowOff>
    </xdr:from>
    <xdr:ext cx="382764" cy="348344"/>
    <xdr:pic>
      <xdr:nvPicPr>
        <xdr:cNvPr id="3834" name="Picture 3833" descr="Gas pipeline line icon concept. Gas ...">
          <a:extLst>
            <a:ext uri="{FF2B5EF4-FFF2-40B4-BE49-F238E27FC236}">
              <a16:creationId xmlns:a16="http://schemas.microsoft.com/office/drawing/2014/main" id="{60222A03-1D72-4E98-99C7-CA3C2BA7D9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153</xdr:row>
      <xdr:rowOff>0</xdr:rowOff>
    </xdr:from>
    <xdr:ext cx="382764" cy="348344"/>
    <xdr:pic>
      <xdr:nvPicPr>
        <xdr:cNvPr id="3835" name="Picture 3834" descr="Gas pipeline line icon concept. Gas ...">
          <a:extLst>
            <a:ext uri="{FF2B5EF4-FFF2-40B4-BE49-F238E27FC236}">
              <a16:creationId xmlns:a16="http://schemas.microsoft.com/office/drawing/2014/main" id="{00E721F4-8B23-4140-8272-D1209C2669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965528" y="29554331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157</xdr:row>
      <xdr:rowOff>10886</xdr:rowOff>
    </xdr:from>
    <xdr:ext cx="153198" cy="559647"/>
    <xdr:pic>
      <xdr:nvPicPr>
        <xdr:cNvPr id="3836" name="Picture 3835">
          <a:extLst>
            <a:ext uri="{FF2B5EF4-FFF2-40B4-BE49-F238E27FC236}">
              <a16:creationId xmlns:a16="http://schemas.microsoft.com/office/drawing/2014/main" id="{2A27389E-8E90-44E1-ACBC-09BFE17FC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30209161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157</xdr:row>
      <xdr:rowOff>21771</xdr:rowOff>
    </xdr:from>
    <xdr:ext cx="153198" cy="559647"/>
    <xdr:pic>
      <xdr:nvPicPr>
        <xdr:cNvPr id="3837" name="Picture 3836">
          <a:extLst>
            <a:ext uri="{FF2B5EF4-FFF2-40B4-BE49-F238E27FC236}">
              <a16:creationId xmlns:a16="http://schemas.microsoft.com/office/drawing/2014/main" id="{60DD7CCD-3C48-47B7-B405-03DCFE037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30220046"/>
          <a:ext cx="153198" cy="55964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165</xdr:row>
      <xdr:rowOff>7055</xdr:rowOff>
    </xdr:from>
    <xdr:to>
      <xdr:col>2</xdr:col>
      <xdr:colOff>27621</xdr:colOff>
      <xdr:row>168</xdr:row>
      <xdr:rowOff>0</xdr:rowOff>
    </xdr:to>
    <xdr:sp macro="" textlink="">
      <xdr:nvSpPr>
        <xdr:cNvPr id="3851" name="Isosceles Triangle 3850">
          <a:extLst>
            <a:ext uri="{FF2B5EF4-FFF2-40B4-BE49-F238E27FC236}">
              <a16:creationId xmlns:a16="http://schemas.microsoft.com/office/drawing/2014/main" id="{D5B00C10-00D3-4CAB-986B-6EEBBF350777}"/>
            </a:ext>
          </a:extLst>
        </xdr:cNvPr>
        <xdr:cNvSpPr/>
      </xdr:nvSpPr>
      <xdr:spPr>
        <a:xfrm>
          <a:off x="297373" y="27307583"/>
          <a:ext cx="602255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4233</xdr:rowOff>
    </xdr:from>
    <xdr:to>
      <xdr:col>4</xdr:col>
      <xdr:colOff>46570</xdr:colOff>
      <xdr:row>167</xdr:row>
      <xdr:rowOff>173567</xdr:rowOff>
    </xdr:to>
    <xdr:sp macro="" textlink="">
      <xdr:nvSpPr>
        <xdr:cNvPr id="3852" name="Isosceles Triangle 3851">
          <a:extLst>
            <a:ext uri="{FF2B5EF4-FFF2-40B4-BE49-F238E27FC236}">
              <a16:creationId xmlns:a16="http://schemas.microsoft.com/office/drawing/2014/main" id="{586F36E1-93C4-456B-B3D0-D294A4D943A4}"/>
            </a:ext>
          </a:extLst>
        </xdr:cNvPr>
        <xdr:cNvSpPr/>
      </xdr:nvSpPr>
      <xdr:spPr>
        <a:xfrm>
          <a:off x="1292522" y="27304761"/>
          <a:ext cx="632217" cy="481781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165</xdr:row>
      <xdr:rowOff>13304</xdr:rowOff>
    </xdr:from>
    <xdr:to>
      <xdr:col>8</xdr:col>
      <xdr:colOff>46570</xdr:colOff>
      <xdr:row>168</xdr:row>
      <xdr:rowOff>1210</xdr:rowOff>
    </xdr:to>
    <xdr:sp macro="" textlink="">
      <xdr:nvSpPr>
        <xdr:cNvPr id="3853" name="Isosceles Triangle 3852">
          <a:extLst>
            <a:ext uri="{FF2B5EF4-FFF2-40B4-BE49-F238E27FC236}">
              <a16:creationId xmlns:a16="http://schemas.microsoft.com/office/drawing/2014/main" id="{32028495-FDBF-40E0-897D-5AD61C04AC75}"/>
            </a:ext>
          </a:extLst>
        </xdr:cNvPr>
        <xdr:cNvSpPr/>
      </xdr:nvSpPr>
      <xdr:spPr>
        <a:xfrm>
          <a:off x="3304846" y="27313832"/>
          <a:ext cx="632217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165</xdr:row>
      <xdr:rowOff>13304</xdr:rowOff>
    </xdr:from>
    <xdr:to>
      <xdr:col>4</xdr:col>
      <xdr:colOff>46569</xdr:colOff>
      <xdr:row>168</xdr:row>
      <xdr:rowOff>1210</xdr:rowOff>
    </xdr:to>
    <xdr:sp macro="" textlink="">
      <xdr:nvSpPr>
        <xdr:cNvPr id="3854" name="Isosceles Triangle 3853">
          <a:extLst>
            <a:ext uri="{FF2B5EF4-FFF2-40B4-BE49-F238E27FC236}">
              <a16:creationId xmlns:a16="http://schemas.microsoft.com/office/drawing/2014/main" id="{3F6DEE9C-1876-45EA-B661-4AE2DC3AB340}"/>
            </a:ext>
          </a:extLst>
        </xdr:cNvPr>
        <xdr:cNvSpPr/>
      </xdr:nvSpPr>
      <xdr:spPr>
        <a:xfrm>
          <a:off x="1292522" y="27313832"/>
          <a:ext cx="632216" cy="47086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165</xdr:row>
      <xdr:rowOff>15522</xdr:rowOff>
    </xdr:from>
    <xdr:to>
      <xdr:col>6</xdr:col>
      <xdr:colOff>64912</xdr:colOff>
      <xdr:row>168</xdr:row>
      <xdr:rowOff>8467</xdr:rowOff>
    </xdr:to>
    <xdr:sp macro="" textlink="">
      <xdr:nvSpPr>
        <xdr:cNvPr id="3855" name="Isosceles Triangle 3854">
          <a:extLst>
            <a:ext uri="{FF2B5EF4-FFF2-40B4-BE49-F238E27FC236}">
              <a16:creationId xmlns:a16="http://schemas.microsoft.com/office/drawing/2014/main" id="{9E2EAF1C-FF06-46EC-80D3-4CDA5779A026}"/>
            </a:ext>
          </a:extLst>
        </xdr:cNvPr>
        <xdr:cNvSpPr/>
      </xdr:nvSpPr>
      <xdr:spPr>
        <a:xfrm>
          <a:off x="2317027" y="27316050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165</xdr:row>
      <xdr:rowOff>7056</xdr:rowOff>
    </xdr:from>
    <xdr:to>
      <xdr:col>10</xdr:col>
      <xdr:colOff>42332</xdr:colOff>
      <xdr:row>168</xdr:row>
      <xdr:rowOff>1</xdr:rowOff>
    </xdr:to>
    <xdr:sp macro="" textlink="">
      <xdr:nvSpPr>
        <xdr:cNvPr id="3856" name="Isosceles Triangle 3855">
          <a:extLst>
            <a:ext uri="{FF2B5EF4-FFF2-40B4-BE49-F238E27FC236}">
              <a16:creationId xmlns:a16="http://schemas.microsoft.com/office/drawing/2014/main" id="{53267D9E-6C35-43FB-B409-A9507804B17F}"/>
            </a:ext>
          </a:extLst>
        </xdr:cNvPr>
        <xdr:cNvSpPr/>
      </xdr:nvSpPr>
      <xdr:spPr>
        <a:xfrm>
          <a:off x="4306771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165</xdr:row>
      <xdr:rowOff>18345</xdr:rowOff>
    </xdr:from>
    <xdr:to>
      <xdr:col>12</xdr:col>
      <xdr:colOff>39510</xdr:colOff>
      <xdr:row>168</xdr:row>
      <xdr:rowOff>11290</xdr:rowOff>
    </xdr:to>
    <xdr:sp macro="" textlink="">
      <xdr:nvSpPr>
        <xdr:cNvPr id="3857" name="Isosceles Triangle 3856">
          <a:extLst>
            <a:ext uri="{FF2B5EF4-FFF2-40B4-BE49-F238E27FC236}">
              <a16:creationId xmlns:a16="http://schemas.microsoft.com/office/drawing/2014/main" id="{3A09ABAA-C13F-4B7C-B177-FE6165F4031A}"/>
            </a:ext>
          </a:extLst>
        </xdr:cNvPr>
        <xdr:cNvSpPr/>
      </xdr:nvSpPr>
      <xdr:spPr>
        <a:xfrm>
          <a:off x="5310111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165</xdr:row>
      <xdr:rowOff>7056</xdr:rowOff>
    </xdr:from>
    <xdr:to>
      <xdr:col>14</xdr:col>
      <xdr:colOff>42332</xdr:colOff>
      <xdr:row>168</xdr:row>
      <xdr:rowOff>1</xdr:rowOff>
    </xdr:to>
    <xdr:sp macro="" textlink="">
      <xdr:nvSpPr>
        <xdr:cNvPr id="3858" name="Isosceles Triangle 3857">
          <a:extLst>
            <a:ext uri="{FF2B5EF4-FFF2-40B4-BE49-F238E27FC236}">
              <a16:creationId xmlns:a16="http://schemas.microsoft.com/office/drawing/2014/main" id="{1D674DA6-9721-45E2-B590-07B25306BB57}"/>
            </a:ext>
          </a:extLst>
        </xdr:cNvPr>
        <xdr:cNvSpPr/>
      </xdr:nvSpPr>
      <xdr:spPr>
        <a:xfrm>
          <a:off x="6319095" y="27307584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165</xdr:row>
      <xdr:rowOff>18345</xdr:rowOff>
    </xdr:from>
    <xdr:to>
      <xdr:col>16</xdr:col>
      <xdr:colOff>39510</xdr:colOff>
      <xdr:row>168</xdr:row>
      <xdr:rowOff>11290</xdr:rowOff>
    </xdr:to>
    <xdr:sp macro="" textlink="">
      <xdr:nvSpPr>
        <xdr:cNvPr id="3859" name="Isosceles Triangle 3858">
          <a:extLst>
            <a:ext uri="{FF2B5EF4-FFF2-40B4-BE49-F238E27FC236}">
              <a16:creationId xmlns:a16="http://schemas.microsoft.com/office/drawing/2014/main" id="{D1972543-6A68-4E9E-9B89-62196240DABE}"/>
            </a:ext>
          </a:extLst>
        </xdr:cNvPr>
        <xdr:cNvSpPr/>
      </xdr:nvSpPr>
      <xdr:spPr>
        <a:xfrm>
          <a:off x="7322435" y="27318873"/>
          <a:ext cx="632216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165</xdr:row>
      <xdr:rowOff>7056</xdr:rowOff>
    </xdr:from>
    <xdr:to>
      <xdr:col>18</xdr:col>
      <xdr:colOff>42332</xdr:colOff>
      <xdr:row>168</xdr:row>
      <xdr:rowOff>1</xdr:rowOff>
    </xdr:to>
    <xdr:sp macro="" textlink="">
      <xdr:nvSpPr>
        <xdr:cNvPr id="3860" name="Isosceles Triangle 3859">
          <a:extLst>
            <a:ext uri="{FF2B5EF4-FFF2-40B4-BE49-F238E27FC236}">
              <a16:creationId xmlns:a16="http://schemas.microsoft.com/office/drawing/2014/main" id="{49AC069F-B34A-4361-B160-66F2113F9875}"/>
            </a:ext>
          </a:extLst>
        </xdr:cNvPr>
        <xdr:cNvSpPr/>
      </xdr:nvSpPr>
      <xdr:spPr>
        <a:xfrm>
          <a:off x="8331419" y="27307584"/>
          <a:ext cx="645631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165</xdr:row>
      <xdr:rowOff>18345</xdr:rowOff>
    </xdr:from>
    <xdr:to>
      <xdr:col>20</xdr:col>
      <xdr:colOff>21579</xdr:colOff>
      <xdr:row>168</xdr:row>
      <xdr:rowOff>8965</xdr:rowOff>
    </xdr:to>
    <xdr:sp macro="" textlink="">
      <xdr:nvSpPr>
        <xdr:cNvPr id="3861" name="Isosceles Triangle 3860">
          <a:extLst>
            <a:ext uri="{FF2B5EF4-FFF2-40B4-BE49-F238E27FC236}">
              <a16:creationId xmlns:a16="http://schemas.microsoft.com/office/drawing/2014/main" id="{F247076C-DCB1-485E-AB41-BC2EF460ABC0}"/>
            </a:ext>
          </a:extLst>
        </xdr:cNvPr>
        <xdr:cNvSpPr/>
      </xdr:nvSpPr>
      <xdr:spPr>
        <a:xfrm>
          <a:off x="9373988" y="27318873"/>
          <a:ext cx="588471" cy="47357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165</xdr:row>
      <xdr:rowOff>7055</xdr:rowOff>
    </xdr:from>
    <xdr:to>
      <xdr:col>22</xdr:col>
      <xdr:colOff>49392</xdr:colOff>
      <xdr:row>168</xdr:row>
      <xdr:rowOff>0</xdr:rowOff>
    </xdr:to>
    <xdr:sp macro="" textlink="">
      <xdr:nvSpPr>
        <xdr:cNvPr id="3862" name="Isosceles Triangle 3861">
          <a:extLst>
            <a:ext uri="{FF2B5EF4-FFF2-40B4-BE49-F238E27FC236}">
              <a16:creationId xmlns:a16="http://schemas.microsoft.com/office/drawing/2014/main" id="{BE2F71D8-CF14-4459-B685-216816A79609}"/>
            </a:ext>
          </a:extLst>
        </xdr:cNvPr>
        <xdr:cNvSpPr/>
      </xdr:nvSpPr>
      <xdr:spPr>
        <a:xfrm>
          <a:off x="10344292" y="27307583"/>
          <a:ext cx="652142" cy="4759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164</xdr:row>
      <xdr:rowOff>173181</xdr:rowOff>
    </xdr:from>
    <xdr:to>
      <xdr:col>3</xdr:col>
      <xdr:colOff>294410</xdr:colOff>
      <xdr:row>165</xdr:row>
      <xdr:rowOff>121226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56C2FBD3-D539-4C05-8F45-CED51671ECA7}"/>
            </a:ext>
          </a:extLst>
        </xdr:cNvPr>
        <xdr:cNvSpPr>
          <a:spLocks/>
        </xdr:cNvSpPr>
      </xdr:nvSpPr>
      <xdr:spPr bwMode="auto">
        <a:xfrm>
          <a:off x="59719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164</xdr:row>
      <xdr:rowOff>173181</xdr:rowOff>
    </xdr:from>
    <xdr:to>
      <xdr:col>5</xdr:col>
      <xdr:colOff>294410</xdr:colOff>
      <xdr:row>165</xdr:row>
      <xdr:rowOff>121226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4B44FA1E-DEA4-45AF-B9B6-67B1971BD55C}"/>
            </a:ext>
          </a:extLst>
        </xdr:cNvPr>
        <xdr:cNvSpPr>
          <a:spLocks/>
        </xdr:cNvSpPr>
      </xdr:nvSpPr>
      <xdr:spPr bwMode="auto">
        <a:xfrm>
          <a:off x="160335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164</xdr:row>
      <xdr:rowOff>173181</xdr:rowOff>
    </xdr:from>
    <xdr:to>
      <xdr:col>7</xdr:col>
      <xdr:colOff>294410</xdr:colOff>
      <xdr:row>165</xdr:row>
      <xdr:rowOff>121226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1024CA20-B9EC-414F-94B1-1E72A2FE2646}"/>
            </a:ext>
          </a:extLst>
        </xdr:cNvPr>
        <xdr:cNvSpPr>
          <a:spLocks/>
        </xdr:cNvSpPr>
      </xdr:nvSpPr>
      <xdr:spPr bwMode="auto">
        <a:xfrm>
          <a:off x="260952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164</xdr:row>
      <xdr:rowOff>173181</xdr:rowOff>
    </xdr:from>
    <xdr:to>
      <xdr:col>9</xdr:col>
      <xdr:colOff>294410</xdr:colOff>
      <xdr:row>165</xdr:row>
      <xdr:rowOff>121226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644EC3B0-EF00-40BE-8D84-91F8F62749F2}"/>
            </a:ext>
          </a:extLst>
        </xdr:cNvPr>
        <xdr:cNvSpPr>
          <a:spLocks/>
        </xdr:cNvSpPr>
      </xdr:nvSpPr>
      <xdr:spPr bwMode="auto">
        <a:xfrm>
          <a:off x="361568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164</xdr:row>
      <xdr:rowOff>173181</xdr:rowOff>
    </xdr:from>
    <xdr:to>
      <xdr:col>11</xdr:col>
      <xdr:colOff>294410</xdr:colOff>
      <xdr:row>165</xdr:row>
      <xdr:rowOff>121226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2B062466-F1EA-4F0A-A335-C43693CE2E42}"/>
            </a:ext>
          </a:extLst>
        </xdr:cNvPr>
        <xdr:cNvSpPr>
          <a:spLocks/>
        </xdr:cNvSpPr>
      </xdr:nvSpPr>
      <xdr:spPr bwMode="auto">
        <a:xfrm>
          <a:off x="4621844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164</xdr:row>
      <xdr:rowOff>173181</xdr:rowOff>
    </xdr:from>
    <xdr:to>
      <xdr:col>13</xdr:col>
      <xdr:colOff>294410</xdr:colOff>
      <xdr:row>165</xdr:row>
      <xdr:rowOff>121226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FD6E2E85-05D1-4089-AEC2-551EC0117A87}"/>
            </a:ext>
          </a:extLst>
        </xdr:cNvPr>
        <xdr:cNvSpPr>
          <a:spLocks/>
        </xdr:cNvSpPr>
      </xdr:nvSpPr>
      <xdr:spPr bwMode="auto">
        <a:xfrm>
          <a:off x="5628006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164</xdr:row>
      <xdr:rowOff>173181</xdr:rowOff>
    </xdr:from>
    <xdr:to>
      <xdr:col>15</xdr:col>
      <xdr:colOff>294410</xdr:colOff>
      <xdr:row>165</xdr:row>
      <xdr:rowOff>121226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4F93EC7-98E3-4F0B-9A6E-EF1A35BC925B}"/>
            </a:ext>
          </a:extLst>
        </xdr:cNvPr>
        <xdr:cNvSpPr>
          <a:spLocks/>
        </xdr:cNvSpPr>
      </xdr:nvSpPr>
      <xdr:spPr bwMode="auto">
        <a:xfrm>
          <a:off x="6634168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164</xdr:row>
      <xdr:rowOff>173181</xdr:rowOff>
    </xdr:from>
    <xdr:to>
      <xdr:col>17</xdr:col>
      <xdr:colOff>294410</xdr:colOff>
      <xdr:row>165</xdr:row>
      <xdr:rowOff>121226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4BC7CA02-43E4-4781-88E0-D61F93A3A261}"/>
            </a:ext>
          </a:extLst>
        </xdr:cNvPr>
        <xdr:cNvSpPr>
          <a:spLocks/>
        </xdr:cNvSpPr>
      </xdr:nvSpPr>
      <xdr:spPr bwMode="auto">
        <a:xfrm>
          <a:off x="764033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164</xdr:row>
      <xdr:rowOff>173181</xdr:rowOff>
    </xdr:from>
    <xdr:to>
      <xdr:col>19</xdr:col>
      <xdr:colOff>294410</xdr:colOff>
      <xdr:row>165</xdr:row>
      <xdr:rowOff>121226</xdr:rowOff>
    </xdr:to>
    <xdr:sp macro="" textlink="">
      <xdr:nvSpPr>
        <xdr:cNvPr id="3873" name="Freeform 10707">
          <a:extLst>
            <a:ext uri="{FF2B5EF4-FFF2-40B4-BE49-F238E27FC236}">
              <a16:creationId xmlns:a16="http://schemas.microsoft.com/office/drawing/2014/main" id="{9A26E6B5-8B3E-4B1F-9B44-E35AFB965161}"/>
            </a:ext>
          </a:extLst>
        </xdr:cNvPr>
        <xdr:cNvSpPr>
          <a:spLocks/>
        </xdr:cNvSpPr>
      </xdr:nvSpPr>
      <xdr:spPr bwMode="auto">
        <a:xfrm>
          <a:off x="8646492" y="27303198"/>
          <a:ext cx="1025348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164</xdr:row>
      <xdr:rowOff>173181</xdr:rowOff>
    </xdr:from>
    <xdr:to>
      <xdr:col>21</xdr:col>
      <xdr:colOff>294410</xdr:colOff>
      <xdr:row>165</xdr:row>
      <xdr:rowOff>121226</xdr:rowOff>
    </xdr:to>
    <xdr:sp macro="" textlink="">
      <xdr:nvSpPr>
        <xdr:cNvPr id="3874" name="Freeform 10707">
          <a:extLst>
            <a:ext uri="{FF2B5EF4-FFF2-40B4-BE49-F238E27FC236}">
              <a16:creationId xmlns:a16="http://schemas.microsoft.com/office/drawing/2014/main" id="{9A2CAD77-651A-4E83-8EDB-748CCB08857F}"/>
            </a:ext>
          </a:extLst>
        </xdr:cNvPr>
        <xdr:cNvSpPr>
          <a:spLocks/>
        </xdr:cNvSpPr>
      </xdr:nvSpPr>
      <xdr:spPr bwMode="auto">
        <a:xfrm>
          <a:off x="9666070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164</xdr:row>
      <xdr:rowOff>173181</xdr:rowOff>
    </xdr:from>
    <xdr:to>
      <xdr:col>23</xdr:col>
      <xdr:colOff>294410</xdr:colOff>
      <xdr:row>165</xdr:row>
      <xdr:rowOff>121226</xdr:rowOff>
    </xdr:to>
    <xdr:sp macro="" textlink="">
      <xdr:nvSpPr>
        <xdr:cNvPr id="3875" name="Freeform 10707">
          <a:extLst>
            <a:ext uri="{FF2B5EF4-FFF2-40B4-BE49-F238E27FC236}">
              <a16:creationId xmlns:a16="http://schemas.microsoft.com/office/drawing/2014/main" id="{2A9C3D63-7D31-4D4F-BFE0-142848B04082}"/>
            </a:ext>
          </a:extLst>
        </xdr:cNvPr>
        <xdr:cNvSpPr>
          <a:spLocks/>
        </xdr:cNvSpPr>
      </xdr:nvSpPr>
      <xdr:spPr bwMode="auto">
        <a:xfrm>
          <a:off x="10672232" y="27303198"/>
          <a:ext cx="1011932" cy="11855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166</xdr:row>
      <xdr:rowOff>36284</xdr:rowOff>
    </xdr:from>
    <xdr:to>
      <xdr:col>4</xdr:col>
      <xdr:colOff>234950</xdr:colOff>
      <xdr:row>168</xdr:row>
      <xdr:rowOff>155120</xdr:rowOff>
    </xdr:to>
    <xdr:sp macro="" textlink="">
      <xdr:nvSpPr>
        <xdr:cNvPr id="3877" name="Rectangle 11590" descr="Light horizontal">
          <a:extLst>
            <a:ext uri="{FF2B5EF4-FFF2-40B4-BE49-F238E27FC236}">
              <a16:creationId xmlns:a16="http://schemas.microsoft.com/office/drawing/2014/main" id="{6C9A8E79-0F33-464A-B675-8175BFF05714}"/>
            </a:ext>
          </a:extLst>
        </xdr:cNvPr>
        <xdr:cNvSpPr>
          <a:spLocks noChangeArrowheads="1"/>
        </xdr:cNvSpPr>
      </xdr:nvSpPr>
      <xdr:spPr bwMode="auto">
        <a:xfrm>
          <a:off x="2055969" y="27497798"/>
          <a:ext cx="57150" cy="440808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170</xdr:row>
      <xdr:rowOff>32657</xdr:rowOff>
    </xdr:from>
    <xdr:ext cx="108857" cy="550604"/>
    <xdr:pic>
      <xdr:nvPicPr>
        <xdr:cNvPr id="3878" name="Picture 11595">
          <a:extLst>
            <a:ext uri="{FF2B5EF4-FFF2-40B4-BE49-F238E27FC236}">
              <a16:creationId xmlns:a16="http://schemas.microsoft.com/office/drawing/2014/main" id="{66E1DDA1-DD8C-4147-B14E-6AD188B2F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0569" y="28138115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166</xdr:row>
      <xdr:rowOff>0</xdr:rowOff>
    </xdr:from>
    <xdr:ext cx="382764" cy="348344"/>
    <xdr:pic>
      <xdr:nvPicPr>
        <xdr:cNvPr id="3879" name="Picture 3878" descr="Gas pipeline line icon concept. Gas ...">
          <a:extLst>
            <a:ext uri="{FF2B5EF4-FFF2-40B4-BE49-F238E27FC236}">
              <a16:creationId xmlns:a16="http://schemas.microsoft.com/office/drawing/2014/main" id="{0B4AC0F5-5D7E-4C10-B535-E22824BE1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0947042" y="27461514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170</xdr:row>
      <xdr:rowOff>10886</xdr:rowOff>
    </xdr:from>
    <xdr:ext cx="153198" cy="559647"/>
    <xdr:pic>
      <xdr:nvPicPr>
        <xdr:cNvPr id="3880" name="Picture 3879">
          <a:extLst>
            <a:ext uri="{FF2B5EF4-FFF2-40B4-BE49-F238E27FC236}">
              <a16:creationId xmlns:a16="http://schemas.microsoft.com/office/drawing/2014/main" id="{B918DF74-E710-4252-8916-69420C658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0236" y="28116344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170</xdr:row>
      <xdr:rowOff>21771</xdr:rowOff>
    </xdr:from>
    <xdr:ext cx="153198" cy="559647"/>
    <xdr:pic>
      <xdr:nvPicPr>
        <xdr:cNvPr id="3881" name="Picture 3880">
          <a:extLst>
            <a:ext uri="{FF2B5EF4-FFF2-40B4-BE49-F238E27FC236}">
              <a16:creationId xmlns:a16="http://schemas.microsoft.com/office/drawing/2014/main" id="{1677B7EB-F3B6-4362-B776-BDA8C9E4A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65346" y="28127229"/>
          <a:ext cx="153198" cy="559647"/>
        </a:xfrm>
        <a:prstGeom prst="rect">
          <a:avLst/>
        </a:prstGeom>
      </xdr:spPr>
    </xdr:pic>
    <xdr:clientData/>
  </xdr:oneCellAnchor>
  <xdr:twoCellAnchor>
    <xdr:from>
      <xdr:col>28</xdr:col>
      <xdr:colOff>404277</xdr:colOff>
      <xdr:row>176</xdr:row>
      <xdr:rowOff>163092</xdr:rowOff>
    </xdr:from>
    <xdr:to>
      <xdr:col>30</xdr:col>
      <xdr:colOff>30331</xdr:colOff>
      <xdr:row>179</xdr:row>
      <xdr:rowOff>156037</xdr:rowOff>
    </xdr:to>
    <xdr:sp macro="" textlink="">
      <xdr:nvSpPr>
        <xdr:cNvPr id="3882" name="Isosceles Triangle 3881">
          <a:extLst>
            <a:ext uri="{FF2B5EF4-FFF2-40B4-BE49-F238E27FC236}">
              <a16:creationId xmlns:a16="http://schemas.microsoft.com/office/drawing/2014/main" id="{36615F94-DCD0-4C8C-B6F1-8E26B8B0B266}"/>
            </a:ext>
          </a:extLst>
        </xdr:cNvPr>
        <xdr:cNvSpPr/>
      </xdr:nvSpPr>
      <xdr:spPr>
        <a:xfrm>
          <a:off x="13363643" y="31394360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176</xdr:row>
      <xdr:rowOff>173181</xdr:rowOff>
    </xdr:from>
    <xdr:to>
      <xdr:col>31</xdr:col>
      <xdr:colOff>294410</xdr:colOff>
      <xdr:row>177</xdr:row>
      <xdr:rowOff>121226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995FD57D-ED14-4AF7-A961-6C749E2168BA}"/>
            </a:ext>
          </a:extLst>
        </xdr:cNvPr>
        <xdr:cNvSpPr>
          <a:spLocks/>
        </xdr:cNvSpPr>
      </xdr:nvSpPr>
      <xdr:spPr bwMode="auto">
        <a:xfrm>
          <a:off x="13690717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202</xdr:row>
      <xdr:rowOff>173181</xdr:rowOff>
    </xdr:from>
    <xdr:to>
      <xdr:col>25</xdr:col>
      <xdr:colOff>0</xdr:colOff>
      <xdr:row>203</xdr:row>
      <xdr:rowOff>121226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6D32BD9D-F572-4782-807E-42C3B4E4919E}"/>
            </a:ext>
          </a:extLst>
        </xdr:cNvPr>
        <xdr:cNvSpPr>
          <a:spLocks/>
        </xdr:cNvSpPr>
      </xdr:nvSpPr>
      <xdr:spPr bwMode="auto">
        <a:xfrm>
          <a:off x="11678394" y="31404449"/>
          <a:ext cx="1011931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363871</xdr:colOff>
      <xdr:row>202</xdr:row>
      <xdr:rowOff>159455</xdr:rowOff>
    </xdr:from>
    <xdr:to>
      <xdr:col>24</xdr:col>
      <xdr:colOff>99818</xdr:colOff>
      <xdr:row>205</xdr:row>
      <xdr:rowOff>152400</xdr:rowOff>
    </xdr:to>
    <xdr:sp macro="" textlink="">
      <xdr:nvSpPr>
        <xdr:cNvPr id="4008" name="Isosceles Triangle 4007">
          <a:extLst>
            <a:ext uri="{FF2B5EF4-FFF2-40B4-BE49-F238E27FC236}">
              <a16:creationId xmlns:a16="http://schemas.microsoft.com/office/drawing/2014/main" id="{23E83724-4BCD-42C6-ACB4-3940E44EB022}"/>
            </a:ext>
          </a:extLst>
        </xdr:cNvPr>
        <xdr:cNvSpPr/>
      </xdr:nvSpPr>
      <xdr:spPr>
        <a:xfrm>
          <a:off x="11310913" y="31390723"/>
          <a:ext cx="742109" cy="51614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203</xdr:row>
      <xdr:rowOff>7056</xdr:rowOff>
    </xdr:from>
    <xdr:to>
      <xdr:col>2</xdr:col>
      <xdr:colOff>42332</xdr:colOff>
      <xdr:row>206</xdr:row>
      <xdr:rowOff>1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619C976A-3224-4BD3-AA07-472CA78CF971}"/>
            </a:ext>
          </a:extLst>
        </xdr:cNvPr>
        <xdr:cNvSpPr/>
      </xdr:nvSpPr>
      <xdr:spPr>
        <a:xfrm>
          <a:off x="301978" y="31412725"/>
          <a:ext cx="61236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203</xdr:row>
      <xdr:rowOff>18345</xdr:rowOff>
    </xdr:from>
    <xdr:to>
      <xdr:col>4</xdr:col>
      <xdr:colOff>39510</xdr:colOff>
      <xdr:row>206</xdr:row>
      <xdr:rowOff>11290</xdr:rowOff>
    </xdr:to>
    <xdr:sp macro="" textlink="">
      <xdr:nvSpPr>
        <xdr:cNvPr id="4011" name="Isosceles Triangle 4010">
          <a:extLst>
            <a:ext uri="{FF2B5EF4-FFF2-40B4-BE49-F238E27FC236}">
              <a16:creationId xmlns:a16="http://schemas.microsoft.com/office/drawing/2014/main" id="{52E202C2-A31C-49EA-9931-A78352E703BB}"/>
            </a:ext>
          </a:extLst>
        </xdr:cNvPr>
        <xdr:cNvSpPr/>
      </xdr:nvSpPr>
      <xdr:spPr>
        <a:xfrm>
          <a:off x="1285463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203</xdr:row>
      <xdr:rowOff>7056</xdr:rowOff>
    </xdr:from>
    <xdr:to>
      <xdr:col>6</xdr:col>
      <xdr:colOff>42332</xdr:colOff>
      <xdr:row>206</xdr:row>
      <xdr:rowOff>1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D31F04B0-35B4-4AE2-A598-6E89344C42E1}"/>
            </a:ext>
          </a:extLst>
        </xdr:cNvPr>
        <xdr:cNvSpPr/>
      </xdr:nvSpPr>
      <xdr:spPr>
        <a:xfrm>
          <a:off x="2294447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203</xdr:row>
      <xdr:rowOff>18345</xdr:rowOff>
    </xdr:from>
    <xdr:to>
      <xdr:col>8</xdr:col>
      <xdr:colOff>39510</xdr:colOff>
      <xdr:row>206</xdr:row>
      <xdr:rowOff>11290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7D9E0B1E-F288-4E52-B923-09B1B8A60A28}"/>
            </a:ext>
          </a:extLst>
        </xdr:cNvPr>
        <xdr:cNvSpPr/>
      </xdr:nvSpPr>
      <xdr:spPr>
        <a:xfrm>
          <a:off x="3297787" y="31424014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203</xdr:row>
      <xdr:rowOff>7056</xdr:rowOff>
    </xdr:from>
    <xdr:to>
      <xdr:col>10</xdr:col>
      <xdr:colOff>42332</xdr:colOff>
      <xdr:row>206</xdr:row>
      <xdr:rowOff>1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D055789D-8720-4C26-A91F-AEC682010AB4}"/>
            </a:ext>
          </a:extLst>
        </xdr:cNvPr>
        <xdr:cNvSpPr/>
      </xdr:nvSpPr>
      <xdr:spPr>
        <a:xfrm>
          <a:off x="4306771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203</xdr:row>
      <xdr:rowOff>18345</xdr:rowOff>
    </xdr:from>
    <xdr:to>
      <xdr:col>12</xdr:col>
      <xdr:colOff>21579</xdr:colOff>
      <xdr:row>206</xdr:row>
      <xdr:rowOff>8965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460A4931-4F87-410E-B59F-834482DBE7F9}"/>
            </a:ext>
          </a:extLst>
        </xdr:cNvPr>
        <xdr:cNvSpPr/>
      </xdr:nvSpPr>
      <xdr:spPr>
        <a:xfrm>
          <a:off x="5335925" y="31424014"/>
          <a:ext cx="588471" cy="51382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203</xdr:row>
      <xdr:rowOff>7055</xdr:rowOff>
    </xdr:from>
    <xdr:to>
      <xdr:col>14</xdr:col>
      <xdr:colOff>49392</xdr:colOff>
      <xdr:row>206</xdr:row>
      <xdr:rowOff>0</xdr:rowOff>
    </xdr:to>
    <xdr:sp macro="" textlink="">
      <xdr:nvSpPr>
        <xdr:cNvPr id="4016" name="Isosceles Triangle 4015">
          <a:extLst>
            <a:ext uri="{FF2B5EF4-FFF2-40B4-BE49-F238E27FC236}">
              <a16:creationId xmlns:a16="http://schemas.microsoft.com/office/drawing/2014/main" id="{22C0103D-0CF8-4D12-AE21-D73DE5D900C5}"/>
            </a:ext>
          </a:extLst>
        </xdr:cNvPr>
        <xdr:cNvSpPr/>
      </xdr:nvSpPr>
      <xdr:spPr>
        <a:xfrm>
          <a:off x="6306229" y="31412724"/>
          <a:ext cx="652142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4233</xdr:rowOff>
    </xdr:from>
    <xdr:to>
      <xdr:col>16</xdr:col>
      <xdr:colOff>46570</xdr:colOff>
      <xdr:row>205</xdr:row>
      <xdr:rowOff>173567</xdr:rowOff>
    </xdr:to>
    <xdr:sp macro="" textlink="">
      <xdr:nvSpPr>
        <xdr:cNvPr id="4017" name="Isosceles Triangle 4016">
          <a:extLst>
            <a:ext uri="{FF2B5EF4-FFF2-40B4-BE49-F238E27FC236}">
              <a16:creationId xmlns:a16="http://schemas.microsoft.com/office/drawing/2014/main" id="{2D4A7682-482F-4413-AA53-E1F537F69D63}"/>
            </a:ext>
          </a:extLst>
        </xdr:cNvPr>
        <xdr:cNvSpPr/>
      </xdr:nvSpPr>
      <xdr:spPr>
        <a:xfrm>
          <a:off x="7329494" y="31409902"/>
          <a:ext cx="632217" cy="51813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203</xdr:row>
      <xdr:rowOff>13304</xdr:rowOff>
    </xdr:from>
    <xdr:to>
      <xdr:col>20</xdr:col>
      <xdr:colOff>46570</xdr:colOff>
      <xdr:row>206</xdr:row>
      <xdr:rowOff>1209</xdr:rowOff>
    </xdr:to>
    <xdr:sp macro="" textlink="">
      <xdr:nvSpPr>
        <xdr:cNvPr id="4018" name="Isosceles Triangle 4017">
          <a:extLst>
            <a:ext uri="{FF2B5EF4-FFF2-40B4-BE49-F238E27FC236}">
              <a16:creationId xmlns:a16="http://schemas.microsoft.com/office/drawing/2014/main" id="{5AB871C8-B5D6-4B9C-848D-1C58ACAB3815}"/>
            </a:ext>
          </a:extLst>
        </xdr:cNvPr>
        <xdr:cNvSpPr/>
      </xdr:nvSpPr>
      <xdr:spPr>
        <a:xfrm>
          <a:off x="9355233" y="31418973"/>
          <a:ext cx="632217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203</xdr:row>
      <xdr:rowOff>13304</xdr:rowOff>
    </xdr:from>
    <xdr:to>
      <xdr:col>16</xdr:col>
      <xdr:colOff>46569</xdr:colOff>
      <xdr:row>206</xdr:row>
      <xdr:rowOff>1209</xdr:rowOff>
    </xdr:to>
    <xdr:sp macro="" textlink="">
      <xdr:nvSpPr>
        <xdr:cNvPr id="4019" name="Isosceles Triangle 4018">
          <a:extLst>
            <a:ext uri="{FF2B5EF4-FFF2-40B4-BE49-F238E27FC236}">
              <a16:creationId xmlns:a16="http://schemas.microsoft.com/office/drawing/2014/main" id="{3215816C-132B-4FF4-B670-E361D4DE1B21}"/>
            </a:ext>
          </a:extLst>
        </xdr:cNvPr>
        <xdr:cNvSpPr/>
      </xdr:nvSpPr>
      <xdr:spPr>
        <a:xfrm>
          <a:off x="7329494" y="31418973"/>
          <a:ext cx="632216" cy="51110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203</xdr:row>
      <xdr:rowOff>15522</xdr:rowOff>
    </xdr:from>
    <xdr:to>
      <xdr:col>18</xdr:col>
      <xdr:colOff>43746</xdr:colOff>
      <xdr:row>206</xdr:row>
      <xdr:rowOff>8467</xdr:rowOff>
    </xdr:to>
    <xdr:sp macro="" textlink="">
      <xdr:nvSpPr>
        <xdr:cNvPr id="4020" name="Isosceles Triangle 4019">
          <a:extLst>
            <a:ext uri="{FF2B5EF4-FFF2-40B4-BE49-F238E27FC236}">
              <a16:creationId xmlns:a16="http://schemas.microsoft.com/office/drawing/2014/main" id="{35D669FB-467C-471F-8DDD-F13ED279CE50}"/>
            </a:ext>
          </a:extLst>
        </xdr:cNvPr>
        <xdr:cNvSpPr/>
      </xdr:nvSpPr>
      <xdr:spPr>
        <a:xfrm>
          <a:off x="8332833" y="31421191"/>
          <a:ext cx="645631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203</xdr:row>
      <xdr:rowOff>7056</xdr:rowOff>
    </xdr:from>
    <xdr:to>
      <xdr:col>22</xdr:col>
      <xdr:colOff>42332</xdr:colOff>
      <xdr:row>206</xdr:row>
      <xdr:rowOff>1</xdr:rowOff>
    </xdr:to>
    <xdr:sp macro="" textlink="">
      <xdr:nvSpPr>
        <xdr:cNvPr id="4021" name="Isosceles Triangle 4020">
          <a:extLst>
            <a:ext uri="{FF2B5EF4-FFF2-40B4-BE49-F238E27FC236}">
              <a16:creationId xmlns:a16="http://schemas.microsoft.com/office/drawing/2014/main" id="{4D022248-22FD-4080-A63E-D5A92C9E1A8A}"/>
            </a:ext>
          </a:extLst>
        </xdr:cNvPr>
        <xdr:cNvSpPr/>
      </xdr:nvSpPr>
      <xdr:spPr>
        <a:xfrm>
          <a:off x="10357158" y="31412725"/>
          <a:ext cx="632216" cy="516149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202</xdr:row>
      <xdr:rowOff>173181</xdr:rowOff>
    </xdr:from>
    <xdr:to>
      <xdr:col>3</xdr:col>
      <xdr:colOff>294410</xdr:colOff>
      <xdr:row>203</xdr:row>
      <xdr:rowOff>121226</xdr:rowOff>
    </xdr:to>
    <xdr:sp macro="" textlink="">
      <xdr:nvSpPr>
        <xdr:cNvPr id="4022" name="Freeform 10707">
          <a:extLst>
            <a:ext uri="{FF2B5EF4-FFF2-40B4-BE49-F238E27FC236}">
              <a16:creationId xmlns:a16="http://schemas.microsoft.com/office/drawing/2014/main" id="{D1B751EA-0F5E-4BEB-880D-94E58B793B8C}"/>
            </a:ext>
          </a:extLst>
        </xdr:cNvPr>
        <xdr:cNvSpPr>
          <a:spLocks/>
        </xdr:cNvSpPr>
      </xdr:nvSpPr>
      <xdr:spPr bwMode="auto">
        <a:xfrm>
          <a:off x="59719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202</xdr:row>
      <xdr:rowOff>173181</xdr:rowOff>
    </xdr:from>
    <xdr:to>
      <xdr:col>5</xdr:col>
      <xdr:colOff>294410</xdr:colOff>
      <xdr:row>203</xdr:row>
      <xdr:rowOff>121226</xdr:rowOff>
    </xdr:to>
    <xdr:sp macro="" textlink="">
      <xdr:nvSpPr>
        <xdr:cNvPr id="4023" name="Freeform 10707">
          <a:extLst>
            <a:ext uri="{FF2B5EF4-FFF2-40B4-BE49-F238E27FC236}">
              <a16:creationId xmlns:a16="http://schemas.microsoft.com/office/drawing/2014/main" id="{8BEB2334-115A-418D-B7EC-9EF9D5AA1B02}"/>
            </a:ext>
          </a:extLst>
        </xdr:cNvPr>
        <xdr:cNvSpPr>
          <a:spLocks/>
        </xdr:cNvSpPr>
      </xdr:nvSpPr>
      <xdr:spPr bwMode="auto">
        <a:xfrm>
          <a:off x="160335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202</xdr:row>
      <xdr:rowOff>173181</xdr:rowOff>
    </xdr:from>
    <xdr:to>
      <xdr:col>7</xdr:col>
      <xdr:colOff>294410</xdr:colOff>
      <xdr:row>203</xdr:row>
      <xdr:rowOff>121226</xdr:rowOff>
    </xdr:to>
    <xdr:sp macro="" textlink="">
      <xdr:nvSpPr>
        <xdr:cNvPr id="4024" name="Freeform 10707">
          <a:extLst>
            <a:ext uri="{FF2B5EF4-FFF2-40B4-BE49-F238E27FC236}">
              <a16:creationId xmlns:a16="http://schemas.microsoft.com/office/drawing/2014/main" id="{B0016457-ABCD-4644-B821-DD3564CCE8F1}"/>
            </a:ext>
          </a:extLst>
        </xdr:cNvPr>
        <xdr:cNvSpPr>
          <a:spLocks/>
        </xdr:cNvSpPr>
      </xdr:nvSpPr>
      <xdr:spPr bwMode="auto">
        <a:xfrm>
          <a:off x="260952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202</xdr:row>
      <xdr:rowOff>173181</xdr:rowOff>
    </xdr:from>
    <xdr:to>
      <xdr:col>9</xdr:col>
      <xdr:colOff>294410</xdr:colOff>
      <xdr:row>203</xdr:row>
      <xdr:rowOff>121226</xdr:rowOff>
    </xdr:to>
    <xdr:sp macro="" textlink="">
      <xdr:nvSpPr>
        <xdr:cNvPr id="4025" name="Freeform 10707">
          <a:extLst>
            <a:ext uri="{FF2B5EF4-FFF2-40B4-BE49-F238E27FC236}">
              <a16:creationId xmlns:a16="http://schemas.microsoft.com/office/drawing/2014/main" id="{8E784052-6719-448B-B938-8A067481E20F}"/>
            </a:ext>
          </a:extLst>
        </xdr:cNvPr>
        <xdr:cNvSpPr>
          <a:spLocks/>
        </xdr:cNvSpPr>
      </xdr:nvSpPr>
      <xdr:spPr bwMode="auto">
        <a:xfrm>
          <a:off x="361568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202</xdr:row>
      <xdr:rowOff>173181</xdr:rowOff>
    </xdr:from>
    <xdr:to>
      <xdr:col>11</xdr:col>
      <xdr:colOff>294410</xdr:colOff>
      <xdr:row>203</xdr:row>
      <xdr:rowOff>121226</xdr:rowOff>
    </xdr:to>
    <xdr:sp macro="" textlink="">
      <xdr:nvSpPr>
        <xdr:cNvPr id="4026" name="Freeform 10707">
          <a:extLst>
            <a:ext uri="{FF2B5EF4-FFF2-40B4-BE49-F238E27FC236}">
              <a16:creationId xmlns:a16="http://schemas.microsoft.com/office/drawing/2014/main" id="{802D1A97-70F7-4706-9908-A2A000459575}"/>
            </a:ext>
          </a:extLst>
        </xdr:cNvPr>
        <xdr:cNvSpPr>
          <a:spLocks/>
        </xdr:cNvSpPr>
      </xdr:nvSpPr>
      <xdr:spPr bwMode="auto">
        <a:xfrm>
          <a:off x="4621844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202</xdr:row>
      <xdr:rowOff>173181</xdr:rowOff>
    </xdr:from>
    <xdr:to>
      <xdr:col>13</xdr:col>
      <xdr:colOff>294410</xdr:colOff>
      <xdr:row>203</xdr:row>
      <xdr:rowOff>121226</xdr:rowOff>
    </xdr:to>
    <xdr:sp macro="" textlink="">
      <xdr:nvSpPr>
        <xdr:cNvPr id="4027" name="Freeform 10707">
          <a:extLst>
            <a:ext uri="{FF2B5EF4-FFF2-40B4-BE49-F238E27FC236}">
              <a16:creationId xmlns:a16="http://schemas.microsoft.com/office/drawing/2014/main" id="{C5ABACBD-E000-4D60-9879-D977E2D02AAE}"/>
            </a:ext>
          </a:extLst>
        </xdr:cNvPr>
        <xdr:cNvSpPr>
          <a:spLocks/>
        </xdr:cNvSpPr>
      </xdr:nvSpPr>
      <xdr:spPr bwMode="auto">
        <a:xfrm>
          <a:off x="5628006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202</xdr:row>
      <xdr:rowOff>173181</xdr:rowOff>
    </xdr:from>
    <xdr:to>
      <xdr:col>15</xdr:col>
      <xdr:colOff>294410</xdr:colOff>
      <xdr:row>203</xdr:row>
      <xdr:rowOff>121226</xdr:rowOff>
    </xdr:to>
    <xdr:sp macro="" textlink="">
      <xdr:nvSpPr>
        <xdr:cNvPr id="4028" name="Freeform 10707">
          <a:extLst>
            <a:ext uri="{FF2B5EF4-FFF2-40B4-BE49-F238E27FC236}">
              <a16:creationId xmlns:a16="http://schemas.microsoft.com/office/drawing/2014/main" id="{C4887CBB-432B-4045-BC99-9DE74609D900}"/>
            </a:ext>
          </a:extLst>
        </xdr:cNvPr>
        <xdr:cNvSpPr>
          <a:spLocks/>
        </xdr:cNvSpPr>
      </xdr:nvSpPr>
      <xdr:spPr bwMode="auto">
        <a:xfrm>
          <a:off x="6634168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202</xdr:row>
      <xdr:rowOff>173181</xdr:rowOff>
    </xdr:from>
    <xdr:to>
      <xdr:col>17</xdr:col>
      <xdr:colOff>294410</xdr:colOff>
      <xdr:row>203</xdr:row>
      <xdr:rowOff>121226</xdr:rowOff>
    </xdr:to>
    <xdr:sp macro="" textlink="">
      <xdr:nvSpPr>
        <xdr:cNvPr id="4029" name="Freeform 10707">
          <a:extLst>
            <a:ext uri="{FF2B5EF4-FFF2-40B4-BE49-F238E27FC236}">
              <a16:creationId xmlns:a16="http://schemas.microsoft.com/office/drawing/2014/main" id="{A30F5656-F024-4F1B-A640-9EAE8A686114}"/>
            </a:ext>
          </a:extLst>
        </xdr:cNvPr>
        <xdr:cNvSpPr>
          <a:spLocks/>
        </xdr:cNvSpPr>
      </xdr:nvSpPr>
      <xdr:spPr bwMode="auto">
        <a:xfrm>
          <a:off x="764033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202</xdr:row>
      <xdr:rowOff>173181</xdr:rowOff>
    </xdr:from>
    <xdr:to>
      <xdr:col>19</xdr:col>
      <xdr:colOff>294410</xdr:colOff>
      <xdr:row>203</xdr:row>
      <xdr:rowOff>121226</xdr:rowOff>
    </xdr:to>
    <xdr:sp macro="" textlink="">
      <xdr:nvSpPr>
        <xdr:cNvPr id="4030" name="Freeform 10707">
          <a:extLst>
            <a:ext uri="{FF2B5EF4-FFF2-40B4-BE49-F238E27FC236}">
              <a16:creationId xmlns:a16="http://schemas.microsoft.com/office/drawing/2014/main" id="{3B5F3ADD-CE95-46E7-A489-8F0102CCD92E}"/>
            </a:ext>
          </a:extLst>
        </xdr:cNvPr>
        <xdr:cNvSpPr>
          <a:spLocks/>
        </xdr:cNvSpPr>
      </xdr:nvSpPr>
      <xdr:spPr bwMode="auto">
        <a:xfrm>
          <a:off x="8646492" y="31404449"/>
          <a:ext cx="1025348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202</xdr:row>
      <xdr:rowOff>173181</xdr:rowOff>
    </xdr:from>
    <xdr:to>
      <xdr:col>21</xdr:col>
      <xdr:colOff>294410</xdr:colOff>
      <xdr:row>203</xdr:row>
      <xdr:rowOff>121226</xdr:rowOff>
    </xdr:to>
    <xdr:sp macro="" textlink="">
      <xdr:nvSpPr>
        <xdr:cNvPr id="4031" name="Freeform 10707">
          <a:extLst>
            <a:ext uri="{FF2B5EF4-FFF2-40B4-BE49-F238E27FC236}">
              <a16:creationId xmlns:a16="http://schemas.microsoft.com/office/drawing/2014/main" id="{281D5D5F-1769-425F-8B69-7C8F83A59A84}"/>
            </a:ext>
          </a:extLst>
        </xdr:cNvPr>
        <xdr:cNvSpPr>
          <a:spLocks/>
        </xdr:cNvSpPr>
      </xdr:nvSpPr>
      <xdr:spPr bwMode="auto">
        <a:xfrm>
          <a:off x="9666070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202</xdr:row>
      <xdr:rowOff>173181</xdr:rowOff>
    </xdr:from>
    <xdr:to>
      <xdr:col>23</xdr:col>
      <xdr:colOff>294410</xdr:colOff>
      <xdr:row>203</xdr:row>
      <xdr:rowOff>121226</xdr:rowOff>
    </xdr:to>
    <xdr:sp macro="" textlink="">
      <xdr:nvSpPr>
        <xdr:cNvPr id="4032" name="Freeform 10707">
          <a:extLst>
            <a:ext uri="{FF2B5EF4-FFF2-40B4-BE49-F238E27FC236}">
              <a16:creationId xmlns:a16="http://schemas.microsoft.com/office/drawing/2014/main" id="{B1C74C57-FCB4-4099-9232-EB93F8D05D25}"/>
            </a:ext>
          </a:extLst>
        </xdr:cNvPr>
        <xdr:cNvSpPr>
          <a:spLocks/>
        </xdr:cNvSpPr>
      </xdr:nvSpPr>
      <xdr:spPr bwMode="auto">
        <a:xfrm>
          <a:off x="10672232" y="31404449"/>
          <a:ext cx="1011932" cy="12244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oneCellAnchor>
    <xdr:from>
      <xdr:col>14</xdr:col>
      <xdr:colOff>0</xdr:colOff>
      <xdr:row>204</xdr:row>
      <xdr:rowOff>0</xdr:rowOff>
    </xdr:from>
    <xdr:ext cx="382764" cy="348344"/>
    <xdr:pic>
      <xdr:nvPicPr>
        <xdr:cNvPr id="4033" name="Picture 4032" descr="Gas pipeline line icon concept. Gas ...">
          <a:extLst>
            <a:ext uri="{FF2B5EF4-FFF2-40B4-BE49-F238E27FC236}">
              <a16:creationId xmlns:a16="http://schemas.microsoft.com/office/drawing/2014/main" id="{8D3D0BC4-4648-4ACB-A305-28E8DCAAD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908979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204</xdr:row>
      <xdr:rowOff>0</xdr:rowOff>
    </xdr:from>
    <xdr:ext cx="382764" cy="348344"/>
    <xdr:pic>
      <xdr:nvPicPr>
        <xdr:cNvPr id="4034" name="Picture 4033" descr="Gas pipeline line icon concept. Gas ...">
          <a:extLst>
            <a:ext uri="{FF2B5EF4-FFF2-40B4-BE49-F238E27FC236}">
              <a16:creationId xmlns:a16="http://schemas.microsoft.com/office/drawing/2014/main" id="{83A5C433-6FFA-41D8-AAB8-F4952D136A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9940880" y="3158007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130628</xdr:colOff>
      <xdr:row>208</xdr:row>
      <xdr:rowOff>21771</xdr:rowOff>
    </xdr:from>
    <xdr:ext cx="153198" cy="559647"/>
    <xdr:pic>
      <xdr:nvPicPr>
        <xdr:cNvPr id="4035" name="Picture 4034">
          <a:extLst>
            <a:ext uri="{FF2B5EF4-FFF2-40B4-BE49-F238E27FC236}">
              <a16:creationId xmlns:a16="http://schemas.microsoft.com/office/drawing/2014/main" id="{BF5E0C64-3817-4B64-BABE-FFA8D43B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27283" y="32299447"/>
          <a:ext cx="153198" cy="559647"/>
        </a:xfrm>
        <a:prstGeom prst="rect">
          <a:avLst/>
        </a:prstGeom>
      </xdr:spPr>
    </xdr:pic>
    <xdr:clientData/>
  </xdr:oneCellAnchor>
  <xdr:twoCellAnchor>
    <xdr:from>
      <xdr:col>2</xdr:col>
      <xdr:colOff>420515</xdr:colOff>
      <xdr:row>252</xdr:row>
      <xdr:rowOff>4233</xdr:rowOff>
    </xdr:from>
    <xdr:to>
      <xdr:col>4</xdr:col>
      <xdr:colOff>46570</xdr:colOff>
      <xdr:row>254</xdr:row>
      <xdr:rowOff>173567</xdr:rowOff>
    </xdr:to>
    <xdr:sp macro="" textlink="">
      <xdr:nvSpPr>
        <xdr:cNvPr id="4038" name="Isosceles Triangle 4037">
          <a:extLst>
            <a:ext uri="{FF2B5EF4-FFF2-40B4-BE49-F238E27FC236}">
              <a16:creationId xmlns:a16="http://schemas.microsoft.com/office/drawing/2014/main" id="{F6A565A8-F641-4B2F-87B1-F78452397B4A}"/>
            </a:ext>
          </a:extLst>
        </xdr:cNvPr>
        <xdr:cNvSpPr/>
      </xdr:nvSpPr>
      <xdr:spPr>
        <a:xfrm>
          <a:off x="1286424" y="37688597"/>
          <a:ext cx="613191" cy="51569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252</xdr:row>
      <xdr:rowOff>13304</xdr:rowOff>
    </xdr:from>
    <xdr:to>
      <xdr:col>8</xdr:col>
      <xdr:colOff>46570</xdr:colOff>
      <xdr:row>255</xdr:row>
      <xdr:rowOff>1209</xdr:rowOff>
    </xdr:to>
    <xdr:sp macro="" textlink="">
      <xdr:nvSpPr>
        <xdr:cNvPr id="4039" name="Isosceles Triangle 4038">
          <a:extLst>
            <a:ext uri="{FF2B5EF4-FFF2-40B4-BE49-F238E27FC236}">
              <a16:creationId xmlns:a16="http://schemas.microsoft.com/office/drawing/2014/main" id="{14F31B28-D035-4853-BB06-20FA428E75E9}"/>
            </a:ext>
          </a:extLst>
        </xdr:cNvPr>
        <xdr:cNvSpPr/>
      </xdr:nvSpPr>
      <xdr:spPr>
        <a:xfrm>
          <a:off x="3260697" y="37697668"/>
          <a:ext cx="613191" cy="50745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252</xdr:row>
      <xdr:rowOff>15522</xdr:rowOff>
    </xdr:from>
    <xdr:to>
      <xdr:col>6</xdr:col>
      <xdr:colOff>43746</xdr:colOff>
      <xdr:row>255</xdr:row>
      <xdr:rowOff>8467</xdr:rowOff>
    </xdr:to>
    <xdr:sp macro="" textlink="">
      <xdr:nvSpPr>
        <xdr:cNvPr id="4040" name="Isosceles Triangle 4039">
          <a:extLst>
            <a:ext uri="{FF2B5EF4-FFF2-40B4-BE49-F238E27FC236}">
              <a16:creationId xmlns:a16="http://schemas.microsoft.com/office/drawing/2014/main" id="{A61C322F-2BF3-459D-B977-ECAEE9B468CF}"/>
            </a:ext>
          </a:extLst>
        </xdr:cNvPr>
        <xdr:cNvSpPr/>
      </xdr:nvSpPr>
      <xdr:spPr>
        <a:xfrm>
          <a:off x="2270737" y="37699886"/>
          <a:ext cx="613191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252</xdr:row>
      <xdr:rowOff>18345</xdr:rowOff>
    </xdr:from>
    <xdr:to>
      <xdr:col>20</xdr:col>
      <xdr:colOff>39510</xdr:colOff>
      <xdr:row>255</xdr:row>
      <xdr:rowOff>11290</xdr:rowOff>
    </xdr:to>
    <xdr:sp macro="" textlink="">
      <xdr:nvSpPr>
        <xdr:cNvPr id="4041" name="Isosceles Triangle 4040">
          <a:extLst>
            <a:ext uri="{FF2B5EF4-FFF2-40B4-BE49-F238E27FC236}">
              <a16:creationId xmlns:a16="http://schemas.microsoft.com/office/drawing/2014/main" id="{B908D4D5-5EAA-4B5D-A048-68245236433F}"/>
            </a:ext>
          </a:extLst>
        </xdr:cNvPr>
        <xdr:cNvSpPr/>
      </xdr:nvSpPr>
      <xdr:spPr>
        <a:xfrm>
          <a:off x="9193774" y="37702709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252</xdr:row>
      <xdr:rowOff>16020</xdr:rowOff>
    </xdr:from>
    <xdr:to>
      <xdr:col>22</xdr:col>
      <xdr:colOff>31461</xdr:colOff>
      <xdr:row>254</xdr:row>
      <xdr:rowOff>161365</xdr:rowOff>
    </xdr:to>
    <xdr:sp macro="" textlink="">
      <xdr:nvSpPr>
        <xdr:cNvPr id="4042" name="Isosceles Triangle 4041">
          <a:extLst>
            <a:ext uri="{FF2B5EF4-FFF2-40B4-BE49-F238E27FC236}">
              <a16:creationId xmlns:a16="http://schemas.microsoft.com/office/drawing/2014/main" id="{2B0264E3-631D-4000-814B-0666EE54FF44}"/>
            </a:ext>
          </a:extLst>
        </xdr:cNvPr>
        <xdr:cNvSpPr/>
      </xdr:nvSpPr>
      <xdr:spPr>
        <a:xfrm>
          <a:off x="10188795" y="37700384"/>
          <a:ext cx="597257" cy="491708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4233</xdr:rowOff>
    </xdr:from>
    <xdr:to>
      <xdr:col>24</xdr:col>
      <xdr:colOff>46570</xdr:colOff>
      <xdr:row>254</xdr:row>
      <xdr:rowOff>173567</xdr:rowOff>
    </xdr:to>
    <xdr:sp macro="" textlink="">
      <xdr:nvSpPr>
        <xdr:cNvPr id="4043" name="Isosceles Triangle 4042">
          <a:extLst>
            <a:ext uri="{FF2B5EF4-FFF2-40B4-BE49-F238E27FC236}">
              <a16:creationId xmlns:a16="http://schemas.microsoft.com/office/drawing/2014/main" id="{659EAD07-AA8F-4377-9935-30233782A13D}"/>
            </a:ext>
          </a:extLst>
        </xdr:cNvPr>
        <xdr:cNvSpPr/>
      </xdr:nvSpPr>
      <xdr:spPr>
        <a:xfrm>
          <a:off x="11175106" y="37688597"/>
          <a:ext cx="613191" cy="51569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252</xdr:row>
      <xdr:rowOff>13304</xdr:rowOff>
    </xdr:from>
    <xdr:to>
      <xdr:col>28</xdr:col>
      <xdr:colOff>46570</xdr:colOff>
      <xdr:row>255</xdr:row>
      <xdr:rowOff>1210</xdr:rowOff>
    </xdr:to>
    <xdr:sp macro="" textlink="">
      <xdr:nvSpPr>
        <xdr:cNvPr id="4044" name="Isosceles Triangle 4043">
          <a:extLst>
            <a:ext uri="{FF2B5EF4-FFF2-40B4-BE49-F238E27FC236}">
              <a16:creationId xmlns:a16="http://schemas.microsoft.com/office/drawing/2014/main" id="{A796C89D-D8D2-43B1-AFD7-7A3E7C94694F}"/>
            </a:ext>
          </a:extLst>
        </xdr:cNvPr>
        <xdr:cNvSpPr/>
      </xdr:nvSpPr>
      <xdr:spPr>
        <a:xfrm>
          <a:off x="13149379" y="37697668"/>
          <a:ext cx="613191" cy="50745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252</xdr:row>
      <xdr:rowOff>13304</xdr:rowOff>
    </xdr:from>
    <xdr:to>
      <xdr:col>24</xdr:col>
      <xdr:colOff>46569</xdr:colOff>
      <xdr:row>255</xdr:row>
      <xdr:rowOff>1210</xdr:rowOff>
    </xdr:to>
    <xdr:sp macro="" textlink="">
      <xdr:nvSpPr>
        <xdr:cNvPr id="4045" name="Isosceles Triangle 4044">
          <a:extLst>
            <a:ext uri="{FF2B5EF4-FFF2-40B4-BE49-F238E27FC236}">
              <a16:creationId xmlns:a16="http://schemas.microsoft.com/office/drawing/2014/main" id="{32CE9131-C689-4395-BCDA-2259494992FA}"/>
            </a:ext>
          </a:extLst>
        </xdr:cNvPr>
        <xdr:cNvSpPr/>
      </xdr:nvSpPr>
      <xdr:spPr>
        <a:xfrm>
          <a:off x="11175106" y="37697668"/>
          <a:ext cx="613190" cy="50745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252</xdr:row>
      <xdr:rowOff>15522</xdr:rowOff>
    </xdr:from>
    <xdr:to>
      <xdr:col>26</xdr:col>
      <xdr:colOff>43746</xdr:colOff>
      <xdr:row>255</xdr:row>
      <xdr:rowOff>8467</xdr:rowOff>
    </xdr:to>
    <xdr:sp macro="" textlink="">
      <xdr:nvSpPr>
        <xdr:cNvPr id="4046" name="Isosceles Triangle 4045">
          <a:extLst>
            <a:ext uri="{FF2B5EF4-FFF2-40B4-BE49-F238E27FC236}">
              <a16:creationId xmlns:a16="http://schemas.microsoft.com/office/drawing/2014/main" id="{F9B47F18-7E6E-4EB0-A95B-08ABC620EA02}"/>
            </a:ext>
          </a:extLst>
        </xdr:cNvPr>
        <xdr:cNvSpPr/>
      </xdr:nvSpPr>
      <xdr:spPr>
        <a:xfrm>
          <a:off x="12159419" y="37699886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252</xdr:row>
      <xdr:rowOff>7056</xdr:rowOff>
    </xdr:from>
    <xdr:to>
      <xdr:col>30</xdr:col>
      <xdr:colOff>42332</xdr:colOff>
      <xdr:row>255</xdr:row>
      <xdr:rowOff>1</xdr:rowOff>
    </xdr:to>
    <xdr:sp macro="" textlink="">
      <xdr:nvSpPr>
        <xdr:cNvPr id="4047" name="Isosceles Triangle 4046">
          <a:extLst>
            <a:ext uri="{FF2B5EF4-FFF2-40B4-BE49-F238E27FC236}">
              <a16:creationId xmlns:a16="http://schemas.microsoft.com/office/drawing/2014/main" id="{8A4C9FA3-8A7E-40CE-AD9F-2C054753B524}"/>
            </a:ext>
          </a:extLst>
        </xdr:cNvPr>
        <xdr:cNvSpPr/>
      </xdr:nvSpPr>
      <xdr:spPr>
        <a:xfrm>
          <a:off x="14132278" y="37691420"/>
          <a:ext cx="613190" cy="5124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251</xdr:row>
      <xdr:rowOff>173181</xdr:rowOff>
    </xdr:from>
    <xdr:to>
      <xdr:col>3</xdr:col>
      <xdr:colOff>294410</xdr:colOff>
      <xdr:row>252</xdr:row>
      <xdr:rowOff>121226</xdr:rowOff>
    </xdr:to>
    <xdr:sp macro="" textlink="">
      <xdr:nvSpPr>
        <xdr:cNvPr id="4048" name="Freeform 10707">
          <a:extLst>
            <a:ext uri="{FF2B5EF4-FFF2-40B4-BE49-F238E27FC236}">
              <a16:creationId xmlns:a16="http://schemas.microsoft.com/office/drawing/2014/main" id="{E7EA46AD-C2E3-43E0-8DD9-643FA1AD82C9}"/>
            </a:ext>
          </a:extLst>
        </xdr:cNvPr>
        <xdr:cNvSpPr>
          <a:spLocks/>
        </xdr:cNvSpPr>
      </xdr:nvSpPr>
      <xdr:spPr bwMode="auto">
        <a:xfrm>
          <a:off x="600367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251</xdr:row>
      <xdr:rowOff>173181</xdr:rowOff>
    </xdr:from>
    <xdr:to>
      <xdr:col>5</xdr:col>
      <xdr:colOff>294410</xdr:colOff>
      <xdr:row>252</xdr:row>
      <xdr:rowOff>121226</xdr:rowOff>
    </xdr:to>
    <xdr:sp macro="" textlink="">
      <xdr:nvSpPr>
        <xdr:cNvPr id="4049" name="Freeform 10707">
          <a:extLst>
            <a:ext uri="{FF2B5EF4-FFF2-40B4-BE49-F238E27FC236}">
              <a16:creationId xmlns:a16="http://schemas.microsoft.com/office/drawing/2014/main" id="{6A927DCA-940D-41F7-85D0-6E1A7136E796}"/>
            </a:ext>
          </a:extLst>
        </xdr:cNvPr>
        <xdr:cNvSpPr>
          <a:spLocks/>
        </xdr:cNvSpPr>
      </xdr:nvSpPr>
      <xdr:spPr bwMode="auto">
        <a:xfrm>
          <a:off x="1587504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251</xdr:row>
      <xdr:rowOff>173181</xdr:rowOff>
    </xdr:from>
    <xdr:to>
      <xdr:col>7</xdr:col>
      <xdr:colOff>294410</xdr:colOff>
      <xdr:row>252</xdr:row>
      <xdr:rowOff>121226</xdr:rowOff>
    </xdr:to>
    <xdr:sp macro="" textlink="">
      <xdr:nvSpPr>
        <xdr:cNvPr id="4050" name="Freeform 10707">
          <a:extLst>
            <a:ext uri="{FF2B5EF4-FFF2-40B4-BE49-F238E27FC236}">
              <a16:creationId xmlns:a16="http://schemas.microsoft.com/office/drawing/2014/main" id="{0FD92D92-3565-454A-8210-20976E9F40D5}"/>
            </a:ext>
          </a:extLst>
        </xdr:cNvPr>
        <xdr:cNvSpPr>
          <a:spLocks/>
        </xdr:cNvSpPr>
      </xdr:nvSpPr>
      <xdr:spPr bwMode="auto">
        <a:xfrm>
          <a:off x="2574640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251</xdr:row>
      <xdr:rowOff>173181</xdr:rowOff>
    </xdr:from>
    <xdr:to>
      <xdr:col>9</xdr:col>
      <xdr:colOff>294410</xdr:colOff>
      <xdr:row>252</xdr:row>
      <xdr:rowOff>121226</xdr:rowOff>
    </xdr:to>
    <xdr:sp macro="" textlink="">
      <xdr:nvSpPr>
        <xdr:cNvPr id="4051" name="Freeform 10707">
          <a:extLst>
            <a:ext uri="{FF2B5EF4-FFF2-40B4-BE49-F238E27FC236}">
              <a16:creationId xmlns:a16="http://schemas.microsoft.com/office/drawing/2014/main" id="{938B4857-AF5C-412D-81EC-37D24FEA6B50}"/>
            </a:ext>
          </a:extLst>
        </xdr:cNvPr>
        <xdr:cNvSpPr>
          <a:spLocks/>
        </xdr:cNvSpPr>
      </xdr:nvSpPr>
      <xdr:spPr bwMode="auto">
        <a:xfrm>
          <a:off x="3561776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52" name="Freeform 10707">
          <a:extLst>
            <a:ext uri="{FF2B5EF4-FFF2-40B4-BE49-F238E27FC236}">
              <a16:creationId xmlns:a16="http://schemas.microsoft.com/office/drawing/2014/main" id="{6C0CED01-7B3A-4A0C-A86C-BE7A4DC07C7D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53" name="Freeform 10707">
          <a:extLst>
            <a:ext uri="{FF2B5EF4-FFF2-40B4-BE49-F238E27FC236}">
              <a16:creationId xmlns:a16="http://schemas.microsoft.com/office/drawing/2014/main" id="{2E58C1A8-B33A-48AF-AE35-C0377B083F73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54" name="Freeform 10707">
          <a:extLst>
            <a:ext uri="{FF2B5EF4-FFF2-40B4-BE49-F238E27FC236}">
              <a16:creationId xmlns:a16="http://schemas.microsoft.com/office/drawing/2014/main" id="{750AEC8A-306C-4DAB-B7A7-477AFDAD7138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55" name="Freeform 10707">
          <a:extLst>
            <a:ext uri="{FF2B5EF4-FFF2-40B4-BE49-F238E27FC236}">
              <a16:creationId xmlns:a16="http://schemas.microsoft.com/office/drawing/2014/main" id="{56C29166-04F4-48BF-808B-A4CA48437E33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251</xdr:row>
      <xdr:rowOff>173181</xdr:rowOff>
    </xdr:from>
    <xdr:to>
      <xdr:col>19</xdr:col>
      <xdr:colOff>294410</xdr:colOff>
      <xdr:row>252</xdr:row>
      <xdr:rowOff>121226</xdr:rowOff>
    </xdr:to>
    <xdr:sp macro="" textlink="">
      <xdr:nvSpPr>
        <xdr:cNvPr id="4056" name="Freeform 10707">
          <a:extLst>
            <a:ext uri="{FF2B5EF4-FFF2-40B4-BE49-F238E27FC236}">
              <a16:creationId xmlns:a16="http://schemas.microsoft.com/office/drawing/2014/main" id="{DECCDCD7-2086-4773-8949-4DBA04D610E6}"/>
            </a:ext>
          </a:extLst>
        </xdr:cNvPr>
        <xdr:cNvSpPr>
          <a:spLocks/>
        </xdr:cNvSpPr>
      </xdr:nvSpPr>
      <xdr:spPr bwMode="auto">
        <a:xfrm>
          <a:off x="8497458" y="37684363"/>
          <a:ext cx="1010225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57" name="Freeform 10707">
          <a:extLst>
            <a:ext uri="{FF2B5EF4-FFF2-40B4-BE49-F238E27FC236}">
              <a16:creationId xmlns:a16="http://schemas.microsoft.com/office/drawing/2014/main" id="{B9C4BE37-01AD-4564-B55C-D70049BC0B78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58" name="Freeform 10707">
          <a:extLst>
            <a:ext uri="{FF2B5EF4-FFF2-40B4-BE49-F238E27FC236}">
              <a16:creationId xmlns:a16="http://schemas.microsoft.com/office/drawing/2014/main" id="{54D642A9-6814-4788-AA47-85DC200A175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59" name="Freeform 10707">
          <a:extLst>
            <a:ext uri="{FF2B5EF4-FFF2-40B4-BE49-F238E27FC236}">
              <a16:creationId xmlns:a16="http://schemas.microsoft.com/office/drawing/2014/main" id="{7EC3545C-5349-4F73-B89A-ADCE75649CAF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60" name="Freeform 10707">
          <a:extLst>
            <a:ext uri="{FF2B5EF4-FFF2-40B4-BE49-F238E27FC236}">
              <a16:creationId xmlns:a16="http://schemas.microsoft.com/office/drawing/2014/main" id="{15C4A78C-3D0F-4196-BB48-5495F3A99F44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61" name="Freeform 10707">
          <a:extLst>
            <a:ext uri="{FF2B5EF4-FFF2-40B4-BE49-F238E27FC236}">
              <a16:creationId xmlns:a16="http://schemas.microsoft.com/office/drawing/2014/main" id="{4741C7D3-2FE7-44F1-8D4C-7F193D57D185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251</xdr:row>
      <xdr:rowOff>173181</xdr:rowOff>
    </xdr:from>
    <xdr:to>
      <xdr:col>31</xdr:col>
      <xdr:colOff>294410</xdr:colOff>
      <xdr:row>252</xdr:row>
      <xdr:rowOff>121226</xdr:rowOff>
    </xdr:to>
    <xdr:sp macro="" textlink="">
      <xdr:nvSpPr>
        <xdr:cNvPr id="4062" name="Freeform 10707">
          <a:extLst>
            <a:ext uri="{FF2B5EF4-FFF2-40B4-BE49-F238E27FC236}">
              <a16:creationId xmlns:a16="http://schemas.microsoft.com/office/drawing/2014/main" id="{D19717D1-1D66-4E66-B265-FD1A525D0B40}"/>
            </a:ext>
          </a:extLst>
        </xdr:cNvPr>
        <xdr:cNvSpPr>
          <a:spLocks/>
        </xdr:cNvSpPr>
      </xdr:nvSpPr>
      <xdr:spPr bwMode="auto">
        <a:xfrm>
          <a:off x="14437595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251</xdr:row>
      <xdr:rowOff>159455</xdr:rowOff>
    </xdr:from>
    <xdr:to>
      <xdr:col>2</xdr:col>
      <xdr:colOff>32743</xdr:colOff>
      <xdr:row>254</xdr:row>
      <xdr:rowOff>152400</xdr:rowOff>
    </xdr:to>
    <xdr:sp macro="" textlink="">
      <xdr:nvSpPr>
        <xdr:cNvPr id="4063" name="Isosceles Triangle 4062">
          <a:extLst>
            <a:ext uri="{FF2B5EF4-FFF2-40B4-BE49-F238E27FC236}">
              <a16:creationId xmlns:a16="http://schemas.microsoft.com/office/drawing/2014/main" id="{62A9D184-E296-4DE6-83C7-7E1FB66369AF}"/>
            </a:ext>
          </a:extLst>
        </xdr:cNvPr>
        <xdr:cNvSpPr/>
      </xdr:nvSpPr>
      <xdr:spPr>
        <a:xfrm>
          <a:off x="296796" y="37670637"/>
          <a:ext cx="601856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252</xdr:row>
      <xdr:rowOff>4233</xdr:rowOff>
    </xdr:from>
    <xdr:to>
      <xdr:col>4</xdr:col>
      <xdr:colOff>73463</xdr:colOff>
      <xdr:row>254</xdr:row>
      <xdr:rowOff>165947</xdr:rowOff>
    </xdr:to>
    <xdr:sp macro="" textlink="">
      <xdr:nvSpPr>
        <xdr:cNvPr id="4064" name="Isosceles Triangle 4063">
          <a:extLst>
            <a:ext uri="{FF2B5EF4-FFF2-40B4-BE49-F238E27FC236}">
              <a16:creationId xmlns:a16="http://schemas.microsoft.com/office/drawing/2014/main" id="{4380D07E-5703-42EB-A006-7F1206DD5216}"/>
            </a:ext>
          </a:extLst>
        </xdr:cNvPr>
        <xdr:cNvSpPr/>
      </xdr:nvSpPr>
      <xdr:spPr>
        <a:xfrm>
          <a:off x="1303793" y="37688597"/>
          <a:ext cx="622715" cy="50807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252</xdr:row>
      <xdr:rowOff>7056</xdr:rowOff>
    </xdr:from>
    <xdr:to>
      <xdr:col>10</xdr:col>
      <xdr:colOff>45413</xdr:colOff>
      <xdr:row>255</xdr:row>
      <xdr:rowOff>1</xdr:rowOff>
    </xdr:to>
    <xdr:sp macro="" textlink="">
      <xdr:nvSpPr>
        <xdr:cNvPr id="4065" name="Isosceles Triangle 4064">
          <a:extLst>
            <a:ext uri="{FF2B5EF4-FFF2-40B4-BE49-F238E27FC236}">
              <a16:creationId xmlns:a16="http://schemas.microsoft.com/office/drawing/2014/main" id="{BC2A39EF-C8BB-4E08-8F07-16D7CE0DA75F}"/>
            </a:ext>
          </a:extLst>
        </xdr:cNvPr>
        <xdr:cNvSpPr/>
      </xdr:nvSpPr>
      <xdr:spPr>
        <a:xfrm>
          <a:off x="4246677" y="37691420"/>
          <a:ext cx="613191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252</xdr:row>
      <xdr:rowOff>18345</xdr:rowOff>
    </xdr:from>
    <xdr:to>
      <xdr:col>12</xdr:col>
      <xdr:colOff>66404</xdr:colOff>
      <xdr:row>255</xdr:row>
      <xdr:rowOff>11290</xdr:rowOff>
    </xdr:to>
    <xdr:sp macro="" textlink="">
      <xdr:nvSpPr>
        <xdr:cNvPr id="4066" name="Isosceles Triangle 4065">
          <a:extLst>
            <a:ext uri="{FF2B5EF4-FFF2-40B4-BE49-F238E27FC236}">
              <a16:creationId xmlns:a16="http://schemas.microsoft.com/office/drawing/2014/main" id="{171EFADA-7526-4E82-A9D2-32F58379F74F}"/>
            </a:ext>
          </a:extLst>
        </xdr:cNvPr>
        <xdr:cNvSpPr/>
      </xdr:nvSpPr>
      <xdr:spPr>
        <a:xfrm>
          <a:off x="5189692" y="37702709"/>
          <a:ext cx="67830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252</xdr:row>
      <xdr:rowOff>7056</xdr:rowOff>
    </xdr:from>
    <xdr:to>
      <xdr:col>14</xdr:col>
      <xdr:colOff>69226</xdr:colOff>
      <xdr:row>255</xdr:row>
      <xdr:rowOff>1</xdr:rowOff>
    </xdr:to>
    <xdr:sp macro="" textlink="">
      <xdr:nvSpPr>
        <xdr:cNvPr id="4067" name="Isosceles Triangle 4066">
          <a:extLst>
            <a:ext uri="{FF2B5EF4-FFF2-40B4-BE49-F238E27FC236}">
              <a16:creationId xmlns:a16="http://schemas.microsoft.com/office/drawing/2014/main" id="{36C06556-D45B-4BBD-BF3A-0C044A95C7B1}"/>
            </a:ext>
          </a:extLst>
        </xdr:cNvPr>
        <xdr:cNvSpPr/>
      </xdr:nvSpPr>
      <xdr:spPr>
        <a:xfrm>
          <a:off x="6235238" y="37691420"/>
          <a:ext cx="622715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252</xdr:row>
      <xdr:rowOff>7056</xdr:rowOff>
    </xdr:from>
    <xdr:to>
      <xdr:col>18</xdr:col>
      <xdr:colOff>69226</xdr:colOff>
      <xdr:row>255</xdr:row>
      <xdr:rowOff>1</xdr:rowOff>
    </xdr:to>
    <xdr:sp macro="" textlink="">
      <xdr:nvSpPr>
        <xdr:cNvPr id="4068" name="Isosceles Triangle 4067">
          <a:extLst>
            <a:ext uri="{FF2B5EF4-FFF2-40B4-BE49-F238E27FC236}">
              <a16:creationId xmlns:a16="http://schemas.microsoft.com/office/drawing/2014/main" id="{57F2C7B5-4E97-4955-B9EB-D498292276B7}"/>
            </a:ext>
          </a:extLst>
        </xdr:cNvPr>
        <xdr:cNvSpPr/>
      </xdr:nvSpPr>
      <xdr:spPr>
        <a:xfrm>
          <a:off x="8209511" y="37691420"/>
          <a:ext cx="640033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252</xdr:row>
      <xdr:rowOff>8964</xdr:rowOff>
    </xdr:from>
    <xdr:to>
      <xdr:col>16</xdr:col>
      <xdr:colOff>29467</xdr:colOff>
      <xdr:row>255</xdr:row>
      <xdr:rowOff>1909</xdr:rowOff>
    </xdr:to>
    <xdr:sp macro="" textlink="">
      <xdr:nvSpPr>
        <xdr:cNvPr id="4069" name="Isosceles Triangle 4068">
          <a:extLst>
            <a:ext uri="{FF2B5EF4-FFF2-40B4-BE49-F238E27FC236}">
              <a16:creationId xmlns:a16="http://schemas.microsoft.com/office/drawing/2014/main" id="{AA98682A-5772-4303-B92E-E8B343F1EC52}"/>
            </a:ext>
          </a:extLst>
        </xdr:cNvPr>
        <xdr:cNvSpPr/>
      </xdr:nvSpPr>
      <xdr:spPr>
        <a:xfrm>
          <a:off x="7192139" y="37693328"/>
          <a:ext cx="613192" cy="51249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253</xdr:row>
      <xdr:rowOff>0</xdr:rowOff>
    </xdr:from>
    <xdr:ext cx="382764" cy="264403"/>
    <xdr:pic>
      <xdr:nvPicPr>
        <xdr:cNvPr id="4070" name="Picture 4069" descr="Gas pipeline line icon concept. Gas ...">
          <a:extLst>
            <a:ext uri="{FF2B5EF4-FFF2-40B4-BE49-F238E27FC236}">
              <a16:creationId xmlns:a16="http://schemas.microsoft.com/office/drawing/2014/main" id="{3ABD9221-EAA7-4470-84EA-6063879975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40182" y="37857545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288640</xdr:colOff>
      <xdr:row>251</xdr:row>
      <xdr:rowOff>173181</xdr:rowOff>
    </xdr:from>
    <xdr:to>
      <xdr:col>11</xdr:col>
      <xdr:colOff>294410</xdr:colOff>
      <xdr:row>252</xdr:row>
      <xdr:rowOff>121226</xdr:rowOff>
    </xdr:to>
    <xdr:sp macro="" textlink="">
      <xdr:nvSpPr>
        <xdr:cNvPr id="4071" name="Freeform 10707">
          <a:extLst>
            <a:ext uri="{FF2B5EF4-FFF2-40B4-BE49-F238E27FC236}">
              <a16:creationId xmlns:a16="http://schemas.microsoft.com/office/drawing/2014/main" id="{11732190-AAF7-45D0-AD92-72364AC08E4E}"/>
            </a:ext>
          </a:extLst>
        </xdr:cNvPr>
        <xdr:cNvSpPr>
          <a:spLocks/>
        </xdr:cNvSpPr>
      </xdr:nvSpPr>
      <xdr:spPr bwMode="auto">
        <a:xfrm>
          <a:off x="4548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251</xdr:row>
      <xdr:rowOff>173181</xdr:rowOff>
    </xdr:from>
    <xdr:to>
      <xdr:col>13</xdr:col>
      <xdr:colOff>294410</xdr:colOff>
      <xdr:row>252</xdr:row>
      <xdr:rowOff>121226</xdr:rowOff>
    </xdr:to>
    <xdr:sp macro="" textlink="">
      <xdr:nvSpPr>
        <xdr:cNvPr id="4072" name="Freeform 10707">
          <a:extLst>
            <a:ext uri="{FF2B5EF4-FFF2-40B4-BE49-F238E27FC236}">
              <a16:creationId xmlns:a16="http://schemas.microsoft.com/office/drawing/2014/main" id="{8E2515BF-C325-400F-BB00-3DDEC4BDB876}"/>
            </a:ext>
          </a:extLst>
        </xdr:cNvPr>
        <xdr:cNvSpPr>
          <a:spLocks/>
        </xdr:cNvSpPr>
      </xdr:nvSpPr>
      <xdr:spPr bwMode="auto">
        <a:xfrm>
          <a:off x="5536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251</xdr:row>
      <xdr:rowOff>173181</xdr:rowOff>
    </xdr:from>
    <xdr:to>
      <xdr:col>15</xdr:col>
      <xdr:colOff>294410</xdr:colOff>
      <xdr:row>252</xdr:row>
      <xdr:rowOff>121226</xdr:rowOff>
    </xdr:to>
    <xdr:sp macro="" textlink="">
      <xdr:nvSpPr>
        <xdr:cNvPr id="4073" name="Freeform 10707">
          <a:extLst>
            <a:ext uri="{FF2B5EF4-FFF2-40B4-BE49-F238E27FC236}">
              <a16:creationId xmlns:a16="http://schemas.microsoft.com/office/drawing/2014/main" id="{B274859D-36BB-4EB9-8A76-3C430B76F464}"/>
            </a:ext>
          </a:extLst>
        </xdr:cNvPr>
        <xdr:cNvSpPr>
          <a:spLocks/>
        </xdr:cNvSpPr>
      </xdr:nvSpPr>
      <xdr:spPr bwMode="auto">
        <a:xfrm>
          <a:off x="6523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251</xdr:row>
      <xdr:rowOff>173181</xdr:rowOff>
    </xdr:from>
    <xdr:to>
      <xdr:col>17</xdr:col>
      <xdr:colOff>294410</xdr:colOff>
      <xdr:row>252</xdr:row>
      <xdr:rowOff>121226</xdr:rowOff>
    </xdr:to>
    <xdr:sp macro="" textlink="">
      <xdr:nvSpPr>
        <xdr:cNvPr id="4074" name="Freeform 10707">
          <a:extLst>
            <a:ext uri="{FF2B5EF4-FFF2-40B4-BE49-F238E27FC236}">
              <a16:creationId xmlns:a16="http://schemas.microsoft.com/office/drawing/2014/main" id="{FBC4ABC3-D16F-42C8-8368-F656EDB5A0A1}"/>
            </a:ext>
          </a:extLst>
        </xdr:cNvPr>
        <xdr:cNvSpPr>
          <a:spLocks/>
        </xdr:cNvSpPr>
      </xdr:nvSpPr>
      <xdr:spPr bwMode="auto">
        <a:xfrm>
          <a:off x="7510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251</xdr:row>
      <xdr:rowOff>173181</xdr:rowOff>
    </xdr:from>
    <xdr:to>
      <xdr:col>21</xdr:col>
      <xdr:colOff>294410</xdr:colOff>
      <xdr:row>252</xdr:row>
      <xdr:rowOff>121226</xdr:rowOff>
    </xdr:to>
    <xdr:sp macro="" textlink="">
      <xdr:nvSpPr>
        <xdr:cNvPr id="4075" name="Freeform 10707">
          <a:extLst>
            <a:ext uri="{FF2B5EF4-FFF2-40B4-BE49-F238E27FC236}">
              <a16:creationId xmlns:a16="http://schemas.microsoft.com/office/drawing/2014/main" id="{2DC63428-34C2-40E9-8E67-1489A4E7121D}"/>
            </a:ext>
          </a:extLst>
        </xdr:cNvPr>
        <xdr:cNvSpPr>
          <a:spLocks/>
        </xdr:cNvSpPr>
      </xdr:nvSpPr>
      <xdr:spPr bwMode="auto">
        <a:xfrm>
          <a:off x="9501913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251</xdr:row>
      <xdr:rowOff>173181</xdr:rowOff>
    </xdr:from>
    <xdr:to>
      <xdr:col>23</xdr:col>
      <xdr:colOff>294410</xdr:colOff>
      <xdr:row>252</xdr:row>
      <xdr:rowOff>121226</xdr:rowOff>
    </xdr:to>
    <xdr:sp macro="" textlink="">
      <xdr:nvSpPr>
        <xdr:cNvPr id="4076" name="Freeform 10707">
          <a:extLst>
            <a:ext uri="{FF2B5EF4-FFF2-40B4-BE49-F238E27FC236}">
              <a16:creationId xmlns:a16="http://schemas.microsoft.com/office/drawing/2014/main" id="{004BC93A-E919-4EBA-828A-87B218D972C9}"/>
            </a:ext>
          </a:extLst>
        </xdr:cNvPr>
        <xdr:cNvSpPr>
          <a:spLocks/>
        </xdr:cNvSpPr>
      </xdr:nvSpPr>
      <xdr:spPr bwMode="auto">
        <a:xfrm>
          <a:off x="10489049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251</xdr:row>
      <xdr:rowOff>173181</xdr:rowOff>
    </xdr:from>
    <xdr:to>
      <xdr:col>25</xdr:col>
      <xdr:colOff>294410</xdr:colOff>
      <xdr:row>252</xdr:row>
      <xdr:rowOff>121226</xdr:rowOff>
    </xdr:to>
    <xdr:sp macro="" textlink="">
      <xdr:nvSpPr>
        <xdr:cNvPr id="4077" name="Freeform 10707">
          <a:extLst>
            <a:ext uri="{FF2B5EF4-FFF2-40B4-BE49-F238E27FC236}">
              <a16:creationId xmlns:a16="http://schemas.microsoft.com/office/drawing/2014/main" id="{06F18B8E-D90C-461A-9638-2AEEFA50EAE7}"/>
            </a:ext>
          </a:extLst>
        </xdr:cNvPr>
        <xdr:cNvSpPr>
          <a:spLocks/>
        </xdr:cNvSpPr>
      </xdr:nvSpPr>
      <xdr:spPr bwMode="auto">
        <a:xfrm>
          <a:off x="11476185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251</xdr:row>
      <xdr:rowOff>173181</xdr:rowOff>
    </xdr:from>
    <xdr:to>
      <xdr:col>27</xdr:col>
      <xdr:colOff>294410</xdr:colOff>
      <xdr:row>252</xdr:row>
      <xdr:rowOff>121226</xdr:rowOff>
    </xdr:to>
    <xdr:sp macro="" textlink="">
      <xdr:nvSpPr>
        <xdr:cNvPr id="4078" name="Freeform 10707">
          <a:extLst>
            <a:ext uri="{FF2B5EF4-FFF2-40B4-BE49-F238E27FC236}">
              <a16:creationId xmlns:a16="http://schemas.microsoft.com/office/drawing/2014/main" id="{4AA04337-19D9-4A85-89F3-C15953408621}"/>
            </a:ext>
          </a:extLst>
        </xdr:cNvPr>
        <xdr:cNvSpPr>
          <a:spLocks/>
        </xdr:cNvSpPr>
      </xdr:nvSpPr>
      <xdr:spPr bwMode="auto">
        <a:xfrm>
          <a:off x="12463322" y="37684363"/>
          <a:ext cx="992906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251</xdr:row>
      <xdr:rowOff>173181</xdr:rowOff>
    </xdr:from>
    <xdr:to>
      <xdr:col>29</xdr:col>
      <xdr:colOff>294410</xdr:colOff>
      <xdr:row>252</xdr:row>
      <xdr:rowOff>121226</xdr:rowOff>
    </xdr:to>
    <xdr:sp macro="" textlink="">
      <xdr:nvSpPr>
        <xdr:cNvPr id="4079" name="Freeform 10707">
          <a:extLst>
            <a:ext uri="{FF2B5EF4-FFF2-40B4-BE49-F238E27FC236}">
              <a16:creationId xmlns:a16="http://schemas.microsoft.com/office/drawing/2014/main" id="{FC86AF38-2B90-4E22-B209-761B3AB6610C}"/>
            </a:ext>
          </a:extLst>
        </xdr:cNvPr>
        <xdr:cNvSpPr>
          <a:spLocks/>
        </xdr:cNvSpPr>
      </xdr:nvSpPr>
      <xdr:spPr bwMode="auto">
        <a:xfrm>
          <a:off x="13450458" y="37684363"/>
          <a:ext cx="992907" cy="12122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420515</xdr:colOff>
      <xdr:row>275</xdr:row>
      <xdr:rowOff>4233</xdr:rowOff>
    </xdr:from>
    <xdr:to>
      <xdr:col>4</xdr:col>
      <xdr:colOff>46570</xdr:colOff>
      <xdr:row>277</xdr:row>
      <xdr:rowOff>173567</xdr:rowOff>
    </xdr:to>
    <xdr:sp macro="" textlink="">
      <xdr:nvSpPr>
        <xdr:cNvPr id="4113" name="Isosceles Triangle 4112">
          <a:extLst>
            <a:ext uri="{FF2B5EF4-FFF2-40B4-BE49-F238E27FC236}">
              <a16:creationId xmlns:a16="http://schemas.microsoft.com/office/drawing/2014/main" id="{FDAD4125-6BA4-4831-84B3-0B9189606DDC}"/>
            </a:ext>
          </a:extLst>
        </xdr:cNvPr>
        <xdr:cNvSpPr/>
      </xdr:nvSpPr>
      <xdr:spPr>
        <a:xfrm>
          <a:off x="1283368" y="43258939"/>
          <a:ext cx="623378" cy="505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275</xdr:row>
      <xdr:rowOff>13304</xdr:rowOff>
    </xdr:from>
    <xdr:to>
      <xdr:col>7</xdr:col>
      <xdr:colOff>0</xdr:colOff>
      <xdr:row>278</xdr:row>
      <xdr:rowOff>1209</xdr:rowOff>
    </xdr:to>
    <xdr:sp macro="" textlink="">
      <xdr:nvSpPr>
        <xdr:cNvPr id="4114" name="Isosceles Triangle 4113">
          <a:extLst>
            <a:ext uri="{FF2B5EF4-FFF2-40B4-BE49-F238E27FC236}">
              <a16:creationId xmlns:a16="http://schemas.microsoft.com/office/drawing/2014/main" id="{5A9BB324-B142-4ABC-9C3A-0FC3CAEE9FC9}"/>
            </a:ext>
          </a:extLst>
        </xdr:cNvPr>
        <xdr:cNvSpPr/>
      </xdr:nvSpPr>
      <xdr:spPr>
        <a:xfrm>
          <a:off x="3278015" y="43268010"/>
          <a:ext cx="623379" cy="49217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275</xdr:row>
      <xdr:rowOff>15522</xdr:rowOff>
    </xdr:from>
    <xdr:to>
      <xdr:col>6</xdr:col>
      <xdr:colOff>43746</xdr:colOff>
      <xdr:row>278</xdr:row>
      <xdr:rowOff>8467</xdr:rowOff>
    </xdr:to>
    <xdr:sp macro="" textlink="">
      <xdr:nvSpPr>
        <xdr:cNvPr id="4115" name="Isosceles Triangle 4114">
          <a:extLst>
            <a:ext uri="{FF2B5EF4-FFF2-40B4-BE49-F238E27FC236}">
              <a16:creationId xmlns:a16="http://schemas.microsoft.com/office/drawing/2014/main" id="{E74A0AA3-A133-4506-B54E-4818EA6D5D69}"/>
            </a:ext>
          </a:extLst>
        </xdr:cNvPr>
        <xdr:cNvSpPr/>
      </xdr:nvSpPr>
      <xdr:spPr>
        <a:xfrm>
          <a:off x="2277868" y="43270228"/>
          <a:ext cx="623378" cy="4972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274</xdr:row>
      <xdr:rowOff>173181</xdr:rowOff>
    </xdr:from>
    <xdr:to>
      <xdr:col>3</xdr:col>
      <xdr:colOff>294410</xdr:colOff>
      <xdr:row>275</xdr:row>
      <xdr:rowOff>121226</xdr:rowOff>
    </xdr:to>
    <xdr:sp macro="" textlink="">
      <xdr:nvSpPr>
        <xdr:cNvPr id="4116" name="Freeform 10707">
          <a:extLst>
            <a:ext uri="{FF2B5EF4-FFF2-40B4-BE49-F238E27FC236}">
              <a16:creationId xmlns:a16="http://schemas.microsoft.com/office/drawing/2014/main" id="{57A76E56-B19E-4DED-B310-24D96EF0C8C2}"/>
            </a:ext>
          </a:extLst>
        </xdr:cNvPr>
        <xdr:cNvSpPr>
          <a:spLocks/>
        </xdr:cNvSpPr>
      </xdr:nvSpPr>
      <xdr:spPr bwMode="auto">
        <a:xfrm>
          <a:off x="591199" y="43259799"/>
          <a:ext cx="1003093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274</xdr:row>
      <xdr:rowOff>173181</xdr:rowOff>
    </xdr:from>
    <xdr:to>
      <xdr:col>5</xdr:col>
      <xdr:colOff>294410</xdr:colOff>
      <xdr:row>275</xdr:row>
      <xdr:rowOff>121226</xdr:rowOff>
    </xdr:to>
    <xdr:sp macro="" textlink="">
      <xdr:nvSpPr>
        <xdr:cNvPr id="4117" name="Freeform 10707">
          <a:extLst>
            <a:ext uri="{FF2B5EF4-FFF2-40B4-BE49-F238E27FC236}">
              <a16:creationId xmlns:a16="http://schemas.microsoft.com/office/drawing/2014/main" id="{A5FC799C-CF1A-400D-83B3-956A685AF543}"/>
            </a:ext>
          </a:extLst>
        </xdr:cNvPr>
        <xdr:cNvSpPr>
          <a:spLocks/>
        </xdr:cNvSpPr>
      </xdr:nvSpPr>
      <xdr:spPr bwMode="auto">
        <a:xfrm>
          <a:off x="1588522" y="43259799"/>
          <a:ext cx="1003094" cy="1161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274</xdr:row>
      <xdr:rowOff>159455</xdr:rowOff>
    </xdr:from>
    <xdr:to>
      <xdr:col>2</xdr:col>
      <xdr:colOff>32743</xdr:colOff>
      <xdr:row>277</xdr:row>
      <xdr:rowOff>152400</xdr:rowOff>
    </xdr:to>
    <xdr:sp macro="" textlink="">
      <xdr:nvSpPr>
        <xdr:cNvPr id="4121" name="Isosceles Triangle 4120">
          <a:extLst>
            <a:ext uri="{FF2B5EF4-FFF2-40B4-BE49-F238E27FC236}">
              <a16:creationId xmlns:a16="http://schemas.microsoft.com/office/drawing/2014/main" id="{199CCF99-E816-4B4A-AC82-E81BB4AD8025}"/>
            </a:ext>
          </a:extLst>
        </xdr:cNvPr>
        <xdr:cNvSpPr/>
      </xdr:nvSpPr>
      <xdr:spPr>
        <a:xfrm>
          <a:off x="296796" y="43246073"/>
          <a:ext cx="598800" cy="49720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275</xdr:row>
      <xdr:rowOff>4233</xdr:rowOff>
    </xdr:from>
    <xdr:to>
      <xdr:col>4</xdr:col>
      <xdr:colOff>73463</xdr:colOff>
      <xdr:row>277</xdr:row>
      <xdr:rowOff>165947</xdr:rowOff>
    </xdr:to>
    <xdr:sp macro="" textlink="">
      <xdr:nvSpPr>
        <xdr:cNvPr id="4122" name="Isosceles Triangle 4121">
          <a:extLst>
            <a:ext uri="{FF2B5EF4-FFF2-40B4-BE49-F238E27FC236}">
              <a16:creationId xmlns:a16="http://schemas.microsoft.com/office/drawing/2014/main" id="{01A85041-A17B-429C-8A90-922C4CE77859}"/>
            </a:ext>
          </a:extLst>
        </xdr:cNvPr>
        <xdr:cNvSpPr/>
      </xdr:nvSpPr>
      <xdr:spPr>
        <a:xfrm>
          <a:off x="1300737" y="43258939"/>
          <a:ext cx="632902" cy="49789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9"/>
      <c r="B1" s="69" t="s">
        <v>0</v>
      </c>
      <c r="C1" s="70" t="s">
        <v>1</v>
      </c>
      <c r="D1" s="71" t="s">
        <v>2</v>
      </c>
      <c r="E1" s="72"/>
      <c r="F1" s="73">
        <f ca="1">TODAY()-1</f>
        <v>46207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50"/>
      <c r="B2" s="80" t="s">
        <v>5</v>
      </c>
      <c r="C2" s="652" t="s">
        <v>6</v>
      </c>
      <c r="D2" s="653"/>
      <c r="E2" s="654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50"/>
      <c r="B3" s="80" t="s">
        <v>10</v>
      </c>
      <c r="C3" s="652" t="s">
        <v>11</v>
      </c>
      <c r="D3" s="653"/>
      <c r="E3" s="654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51"/>
      <c r="B4" s="80" t="s">
        <v>15</v>
      </c>
      <c r="C4" s="655">
        <v>46153</v>
      </c>
      <c r="D4" s="655"/>
      <c r="E4" s="656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7" t="s">
        <v>20</v>
      </c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48" t="s">
        <v>21</v>
      </c>
      <c r="B6" s="648"/>
      <c r="C6" s="648"/>
      <c r="D6" s="648"/>
      <c r="E6" s="648"/>
      <c r="F6" s="648"/>
      <c r="G6" s="648"/>
      <c r="H6" s="648"/>
      <c r="I6" s="648"/>
      <c r="J6" s="648"/>
      <c r="K6" s="648"/>
      <c r="L6" s="648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61" t="s">
        <v>39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62" t="s">
        <v>33</v>
      </c>
      <c r="O13" s="662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3" t="s">
        <v>53</v>
      </c>
      <c r="O14" s="663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8"/>
      <c r="O15" s="658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58"/>
      <c r="O16" s="658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1</v>
      </c>
      <c r="I17" s="99">
        <f t="shared" si="1"/>
        <v>0</v>
      </c>
      <c r="J17" s="101">
        <f>D17+H17</f>
        <v>124</v>
      </c>
      <c r="K17" s="102">
        <f t="shared" si="2"/>
        <v>227</v>
      </c>
      <c r="L17" s="99">
        <f>'AOTL - KEC'!K14</f>
        <v>2</v>
      </c>
      <c r="M17" s="99">
        <f>'AOTL - KEC'!L14</f>
        <v>2</v>
      </c>
      <c r="N17" s="658"/>
      <c r="O17" s="658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8"/>
      <c r="O18" s="658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9"/>
      <c r="O19" s="659"/>
    </row>
    <row r="20" spans="1:15" ht="24" customHeight="1">
      <c r="N20" s="660"/>
      <c r="O20" s="660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1" sqref="G1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8"/>
      <c r="B1" s="270" t="s">
        <v>0</v>
      </c>
      <c r="C1" s="671" t="s">
        <v>59</v>
      </c>
      <c r="D1" s="671"/>
      <c r="E1" s="671"/>
      <c r="F1" s="270" t="s">
        <v>2</v>
      </c>
      <c r="G1" s="274">
        <v>46208</v>
      </c>
      <c r="H1" s="270" t="s">
        <v>3</v>
      </c>
      <c r="I1" s="275" t="s">
        <v>4</v>
      </c>
      <c r="J1" s="77"/>
      <c r="K1" s="78"/>
      <c r="L1" s="79"/>
    </row>
    <row r="2" spans="1:15" ht="21">
      <c r="A2" s="668"/>
      <c r="B2" s="270" t="s">
        <v>5</v>
      </c>
      <c r="C2" s="669" t="s">
        <v>60</v>
      </c>
      <c r="D2" s="669"/>
      <c r="E2" s="669"/>
      <c r="F2" s="270" t="s">
        <v>7</v>
      </c>
      <c r="G2" s="274">
        <v>45622</v>
      </c>
      <c r="H2" s="270" t="s">
        <v>8</v>
      </c>
      <c r="I2" s="275" t="s">
        <v>9</v>
      </c>
      <c r="J2" s="84"/>
      <c r="K2" s="78"/>
      <c r="L2" s="79"/>
    </row>
    <row r="3" spans="1:15" ht="21">
      <c r="A3" s="668"/>
      <c r="B3" s="270" t="s">
        <v>10</v>
      </c>
      <c r="C3" s="669" t="s">
        <v>61</v>
      </c>
      <c r="D3" s="669"/>
      <c r="E3" s="669"/>
      <c r="F3" s="270" t="s">
        <v>12</v>
      </c>
      <c r="G3" s="274">
        <v>46320</v>
      </c>
      <c r="H3" s="270" t="s">
        <v>13</v>
      </c>
      <c r="I3" s="275" t="s">
        <v>62</v>
      </c>
      <c r="J3" s="84"/>
      <c r="K3" s="78"/>
      <c r="L3" s="85"/>
    </row>
    <row r="4" spans="1:15" ht="42">
      <c r="A4" s="668"/>
      <c r="B4" s="270" t="s">
        <v>15</v>
      </c>
      <c r="C4" s="670"/>
      <c r="D4" s="670"/>
      <c r="E4" s="670"/>
      <c r="F4" s="270" t="s">
        <v>16</v>
      </c>
      <c r="G4" s="275" t="s">
        <v>63</v>
      </c>
      <c r="H4" s="270" t="s">
        <v>18</v>
      </c>
      <c r="I4" s="275" t="s">
        <v>64</v>
      </c>
      <c r="J4" s="84"/>
      <c r="K4" s="78"/>
      <c r="L4" s="85"/>
      <c r="O4" s="6"/>
    </row>
    <row r="5" spans="1:15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/>
    </row>
    <row r="6" spans="1:15" ht="28.5">
      <c r="A6" s="667" t="s">
        <v>65</v>
      </c>
      <c r="B6" s="667"/>
      <c r="C6" s="667"/>
      <c r="D6" s="667"/>
      <c r="E6" s="667"/>
      <c r="F6" s="667"/>
      <c r="G6" s="667"/>
      <c r="H6" s="667"/>
      <c r="I6" s="667"/>
      <c r="J6" s="667"/>
      <c r="K6" s="667"/>
      <c r="L6" s="667"/>
      <c r="M6"/>
    </row>
    <row r="7" spans="1:15" ht="42">
      <c r="A7" s="270" t="s">
        <v>22</v>
      </c>
      <c r="B7" s="270" t="s">
        <v>23</v>
      </c>
      <c r="C7" s="270" t="s">
        <v>24</v>
      </c>
      <c r="D7" s="270" t="s">
        <v>25</v>
      </c>
      <c r="E7" s="271" t="s">
        <v>26</v>
      </c>
      <c r="F7" s="270" t="s">
        <v>27</v>
      </c>
      <c r="G7" s="270" t="s">
        <v>28</v>
      </c>
      <c r="H7" s="270" t="s">
        <v>29</v>
      </c>
      <c r="I7" s="270" t="s">
        <v>30</v>
      </c>
      <c r="J7" s="270" t="s">
        <v>31</v>
      </c>
      <c r="K7" s="270" t="s">
        <v>32</v>
      </c>
      <c r="L7" s="27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7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73">
        <v>0</v>
      </c>
      <c r="K9" s="272">
        <f>'Survey Anx'!F39</f>
        <v>107.97099999999999</v>
      </c>
      <c r="L9" s="273"/>
      <c r="M9"/>
      <c r="O9" s="207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94.51900000000002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72">
        <v>0</v>
      </c>
      <c r="K10" s="272">
        <f>'Survey Anx'!I39</f>
        <v>94.51900000000002</v>
      </c>
      <c r="L10" s="273"/>
      <c r="O10" s="157"/>
    </row>
    <row r="12" spans="1:15" ht="31.5">
      <c r="A12" s="664" t="s">
        <v>39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4"/>
      <c r="N12" s="664"/>
      <c r="O12" s="664"/>
    </row>
    <row r="13" spans="1:15" ht="93">
      <c r="A13" s="269" t="s">
        <v>22</v>
      </c>
      <c r="B13" s="269" t="s">
        <v>40</v>
      </c>
      <c r="C13" s="269" t="s">
        <v>1121</v>
      </c>
      <c r="D13" s="269" t="s">
        <v>1122</v>
      </c>
      <c r="E13" s="269" t="s">
        <v>43</v>
      </c>
      <c r="F13" s="269" t="s">
        <v>44</v>
      </c>
      <c r="G13" s="269" t="s">
        <v>45</v>
      </c>
      <c r="H13" s="269" t="s">
        <v>46</v>
      </c>
      <c r="I13" s="269" t="s">
        <v>47</v>
      </c>
      <c r="J13" s="269" t="s">
        <v>48</v>
      </c>
      <c r="K13" s="269" t="s">
        <v>49</v>
      </c>
      <c r="L13" s="269" t="s">
        <v>50</v>
      </c>
      <c r="M13" s="269" t="s">
        <v>51</v>
      </c>
      <c r="N13" s="665" t="s">
        <v>33</v>
      </c>
      <c r="O13" s="665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6"/>
      <c r="O14" s="666"/>
    </row>
    <row r="15" spans="1:15" ht="75.75" customHeight="1">
      <c r="A15" s="98" t="s">
        <v>54</v>
      </c>
      <c r="B15" s="99">
        <v>299</v>
      </c>
      <c r="C15" s="99">
        <v>16</v>
      </c>
      <c r="D15" s="99">
        <v>95</v>
      </c>
      <c r="E15" s="99">
        <v>0</v>
      </c>
      <c r="F15" s="99">
        <v>20</v>
      </c>
      <c r="G15" s="100" t="s">
        <v>67</v>
      </c>
      <c r="H15" s="100"/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1</v>
      </c>
      <c r="N15" s="666" t="s">
        <v>67</v>
      </c>
      <c r="O15" s="666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89</v>
      </c>
      <c r="E16" s="99">
        <v>0</v>
      </c>
      <c r="F16" s="99">
        <v>26</v>
      </c>
      <c r="G16" s="100"/>
      <c r="H16" s="100"/>
      <c r="I16" s="99">
        <v>293</v>
      </c>
      <c r="J16" s="101">
        <v>89</v>
      </c>
      <c r="K16" s="102">
        <f t="shared" si="0"/>
        <v>210</v>
      </c>
      <c r="L16" s="104"/>
      <c r="M16" s="104"/>
      <c r="N16" s="666"/>
      <c r="O16" s="666"/>
    </row>
    <row r="17" spans="1:15" ht="40.35" customHeight="1">
      <c r="A17" s="98" t="s">
        <v>56</v>
      </c>
      <c r="B17" s="99">
        <v>299</v>
      </c>
      <c r="C17" s="99">
        <v>30</v>
      </c>
      <c r="D17" s="99">
        <v>45</v>
      </c>
      <c r="E17" s="99">
        <v>0</v>
      </c>
      <c r="F17" s="99">
        <v>15</v>
      </c>
      <c r="G17" s="100" t="s">
        <v>67</v>
      </c>
      <c r="H17" s="100">
        <v>1</v>
      </c>
      <c r="I17" s="99">
        <v>293</v>
      </c>
      <c r="J17" s="101">
        <v>46</v>
      </c>
      <c r="K17" s="102">
        <f>B17-J17</f>
        <v>253</v>
      </c>
      <c r="L17" s="99">
        <v>2</v>
      </c>
      <c r="M17" s="99">
        <v>2</v>
      </c>
      <c r="N17" s="666" t="s">
        <v>67</v>
      </c>
      <c r="O17" s="666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>
        <v>0</v>
      </c>
      <c r="F18" s="99">
        <v>15</v>
      </c>
      <c r="G18" s="100"/>
      <c r="H18" s="100"/>
      <c r="I18" s="99">
        <v>293</v>
      </c>
      <c r="J18" s="101">
        <v>13</v>
      </c>
      <c r="K18" s="102">
        <f>B18-J18</f>
        <v>286</v>
      </c>
      <c r="L18" s="99"/>
      <c r="M18" s="99" t="s">
        <v>337</v>
      </c>
      <c r="N18" s="658"/>
      <c r="O18" s="658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9</v>
      </c>
      <c r="F19" s="99">
        <v>0</v>
      </c>
      <c r="G19" s="100"/>
      <c r="H19" s="100"/>
      <c r="I19" s="99">
        <v>90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9"/>
      <c r="O19" s="659"/>
    </row>
    <row r="20" spans="1:15" ht="40.35" customHeight="1">
      <c r="N20" s="660"/>
      <c r="O20" s="660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zoomScale="85" zoomScaleNormal="85" workbookViewId="0">
      <selection activeCell="J16" sqref="J16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05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7" zoomScaleNormal="90" zoomScaleSheetLayoutView="50" workbookViewId="0">
      <pane xSplit="2" ySplit="5" topLeftCell="D7" activePane="bottomRight" state="frozen"/>
      <selection pane="topRight" activeCell="C1" sqref="C1"/>
      <selection pane="bottomLeft" activeCell="A7" sqref="A7"/>
      <selection pane="bottomRight" activeCell="L16" sqref="L16"/>
    </sheetView>
  </sheetViews>
  <sheetFormatPr defaultColWidth="9.42578125" defaultRowHeight="15.75"/>
  <cols>
    <col min="1" max="1" width="7.42578125" style="232" customWidth="1"/>
    <col min="2" max="2" width="23.42578125" style="208" bestFit="1" customWidth="1"/>
    <col min="3" max="3" width="15.42578125" style="208" bestFit="1" customWidth="1"/>
    <col min="4" max="4" width="21.42578125" style="208" customWidth="1"/>
    <col min="5" max="5" width="19.42578125" style="232" bestFit="1" customWidth="1"/>
    <col min="6" max="6" width="17" style="232" bestFit="1" customWidth="1"/>
    <col min="7" max="7" width="8.85546875" style="208" bestFit="1" customWidth="1"/>
    <col min="8" max="8" width="11.42578125" style="208" bestFit="1" customWidth="1"/>
    <col min="9" max="9" width="14.5703125" style="208" customWidth="1"/>
    <col min="10" max="10" width="10.42578125" style="208" customWidth="1"/>
    <col min="11" max="11" width="4.5703125" style="208" bestFit="1" customWidth="1"/>
    <col min="12" max="12" width="6.5703125" style="232" bestFit="1" customWidth="1"/>
    <col min="13" max="13" width="16.7109375" style="208" customWidth="1"/>
    <col min="14" max="14" width="25.5703125" style="208" hidden="1" customWidth="1"/>
    <col min="15" max="15" width="11.5703125" style="208" bestFit="1" customWidth="1"/>
    <col min="16" max="16384" width="9.42578125" style="208"/>
  </cols>
  <sheetData>
    <row r="1" spans="1:15" ht="21" customHeight="1">
      <c r="A1" s="672" t="s">
        <v>86</v>
      </c>
      <c r="B1" s="672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246">
        <f>'765KV ASOTL'!G1</f>
        <v>46208</v>
      </c>
    </row>
    <row r="2" spans="1:15" s="209" customFormat="1">
      <c r="A2" s="235" t="s">
        <v>87</v>
      </c>
      <c r="B2" s="236"/>
      <c r="C2" s="673" t="s">
        <v>72</v>
      </c>
      <c r="D2" s="673"/>
      <c r="E2" s="673"/>
      <c r="F2" s="673"/>
      <c r="G2" s="673"/>
      <c r="H2" s="673"/>
      <c r="I2" s="673"/>
      <c r="J2" s="673"/>
      <c r="K2" s="673"/>
      <c r="L2" s="673"/>
      <c r="M2" s="673"/>
    </row>
    <row r="3" spans="1:15" s="209" customFormat="1">
      <c r="A3" s="235" t="s">
        <v>88</v>
      </c>
      <c r="B3" s="236"/>
      <c r="C3" s="673" t="s">
        <v>89</v>
      </c>
      <c r="D3" s="673"/>
      <c r="E3" s="673"/>
      <c r="F3" s="673"/>
      <c r="G3" s="673"/>
      <c r="H3" s="673"/>
      <c r="I3" s="673"/>
      <c r="J3" s="673"/>
      <c r="K3" s="673"/>
      <c r="L3" s="673"/>
      <c r="M3" s="673"/>
    </row>
    <row r="4" spans="1:15" s="209" customFormat="1">
      <c r="A4" s="237" t="s">
        <v>90</v>
      </c>
      <c r="B4" s="237"/>
      <c r="C4" s="674" t="s">
        <v>91</v>
      </c>
      <c r="D4" s="674"/>
      <c r="E4" s="674"/>
      <c r="F4" s="674"/>
      <c r="G4" s="674"/>
      <c r="H4" s="674"/>
      <c r="I4" s="674"/>
      <c r="J4" s="674"/>
      <c r="K4" s="674"/>
      <c r="L4" s="674"/>
      <c r="M4" s="674"/>
      <c r="O4" s="211"/>
    </row>
    <row r="5" spans="1:15" s="209" customFormat="1" ht="63">
      <c r="A5" s="238" t="s">
        <v>92</v>
      </c>
      <c r="B5" s="238" t="s">
        <v>22</v>
      </c>
      <c r="C5" s="238" t="s">
        <v>93</v>
      </c>
      <c r="D5" s="238" t="s">
        <v>1123</v>
      </c>
      <c r="E5" s="238" t="s">
        <v>1124</v>
      </c>
      <c r="F5" s="238" t="s">
        <v>1125</v>
      </c>
      <c r="G5" s="238" t="s">
        <v>45</v>
      </c>
      <c r="H5" s="238" t="s">
        <v>94</v>
      </c>
      <c r="I5" s="238" t="s">
        <v>95</v>
      </c>
      <c r="J5" s="238" t="s">
        <v>96</v>
      </c>
      <c r="K5" s="238" t="s">
        <v>97</v>
      </c>
      <c r="L5" s="238" t="s">
        <v>98</v>
      </c>
      <c r="M5" s="238" t="s">
        <v>99</v>
      </c>
      <c r="O5" s="211"/>
    </row>
    <row r="6" spans="1:15" s="209" customFormat="1" ht="25.35" customHeight="1">
      <c r="A6" s="239">
        <v>1</v>
      </c>
      <c r="B6" s="212" t="s">
        <v>100</v>
      </c>
      <c r="C6" s="213">
        <v>114.51600000000001</v>
      </c>
      <c r="D6" s="214">
        <v>114.51600000000001</v>
      </c>
      <c r="E6" s="214">
        <v>0</v>
      </c>
      <c r="F6" s="213">
        <f>C6-D6</f>
        <v>0</v>
      </c>
      <c r="G6" s="214"/>
      <c r="H6" s="214"/>
      <c r="I6" s="215">
        <f t="shared" ref="I6:I19" si="0">D6+H6</f>
        <v>114.51600000000001</v>
      </c>
      <c r="J6" s="215">
        <f t="shared" ref="J6:J19" si="1">C6-I6</f>
        <v>0</v>
      </c>
      <c r="K6" s="214"/>
      <c r="L6" s="214"/>
      <c r="M6" s="240"/>
      <c r="N6" s="216"/>
      <c r="O6" s="211"/>
    </row>
    <row r="7" spans="1:15" s="209" customFormat="1" ht="25.35" customHeight="1">
      <c r="A7" s="239">
        <v>2</v>
      </c>
      <c r="B7" s="212" t="s">
        <v>101</v>
      </c>
      <c r="C7" s="213">
        <v>114.51600000000001</v>
      </c>
      <c r="D7" s="213">
        <f>'Survey Anx'!F39</f>
        <v>107.97099999999999</v>
      </c>
      <c r="E7" s="214">
        <v>0</v>
      </c>
      <c r="F7" s="213">
        <f t="shared" ref="F7:F9" si="2">C7-D7</f>
        <v>6.5450000000000159</v>
      </c>
      <c r="G7" s="214"/>
      <c r="H7" s="214"/>
      <c r="I7" s="215">
        <f t="shared" si="0"/>
        <v>107.97099999999999</v>
      </c>
      <c r="J7" s="215">
        <f>C7-I7</f>
        <v>6.5450000000000159</v>
      </c>
      <c r="K7" s="214"/>
      <c r="L7" s="214"/>
      <c r="M7" s="241"/>
      <c r="N7" s="216"/>
      <c r="O7" s="211"/>
    </row>
    <row r="8" spans="1:15" s="222" customFormat="1" ht="25.35" customHeight="1">
      <c r="A8" s="242">
        <v>3</v>
      </c>
      <c r="B8" s="217" t="s">
        <v>102</v>
      </c>
      <c r="C8" s="218">
        <v>114.51600000000001</v>
      </c>
      <c r="D8" s="218">
        <f>'Survey Anx'!C39-'Survey Anx'!C38</f>
        <v>107.65647999999999</v>
      </c>
      <c r="E8" s="233">
        <v>0</v>
      </c>
      <c r="F8" s="213">
        <f t="shared" si="2"/>
        <v>6.8595200000000176</v>
      </c>
      <c r="G8" s="218"/>
      <c r="H8" s="219"/>
      <c r="I8" s="220">
        <f t="shared" si="0"/>
        <v>107.65647999999999</v>
      </c>
      <c r="J8" s="220">
        <f t="shared" si="1"/>
        <v>6.8595200000000176</v>
      </c>
      <c r="K8" s="219"/>
      <c r="L8" s="219"/>
      <c r="M8" s="240"/>
      <c r="N8" s="221"/>
      <c r="O8" s="221"/>
    </row>
    <row r="9" spans="1:15" s="209" customFormat="1" ht="25.35" customHeight="1">
      <c r="A9" s="239">
        <v>4</v>
      </c>
      <c r="B9" s="212" t="s">
        <v>103</v>
      </c>
      <c r="C9" s="213">
        <v>114.51600000000001</v>
      </c>
      <c r="D9" s="213">
        <f>'Survey Anx'!I39</f>
        <v>94.51900000000002</v>
      </c>
      <c r="E9" s="214">
        <v>0</v>
      </c>
      <c r="F9" s="213">
        <f t="shared" si="2"/>
        <v>19.996999999999986</v>
      </c>
      <c r="G9" s="214"/>
      <c r="H9" s="214"/>
      <c r="I9" s="215">
        <f t="shared" si="0"/>
        <v>94.51900000000002</v>
      </c>
      <c r="J9" s="215">
        <f t="shared" si="1"/>
        <v>19.996999999999986</v>
      </c>
      <c r="K9" s="214"/>
      <c r="L9" s="214"/>
      <c r="M9" s="243"/>
      <c r="O9" s="211"/>
    </row>
    <row r="10" spans="1:15" s="209" customFormat="1" ht="25.35" customHeight="1">
      <c r="A10" s="239">
        <v>5</v>
      </c>
      <c r="B10" s="223" t="s">
        <v>104</v>
      </c>
      <c r="C10" s="214">
        <v>30</v>
      </c>
      <c r="D10" s="214">
        <v>30</v>
      </c>
      <c r="E10" s="214">
        <v>0</v>
      </c>
      <c r="F10" s="214">
        <f>C10-D10</f>
        <v>0</v>
      </c>
      <c r="G10" s="214"/>
      <c r="H10" s="214"/>
      <c r="I10" s="224">
        <v>30</v>
      </c>
      <c r="J10" s="224">
        <f t="shared" si="1"/>
        <v>0</v>
      </c>
      <c r="K10" s="214"/>
      <c r="L10" s="214"/>
      <c r="M10" s="241"/>
    </row>
    <row r="11" spans="1:15" s="209" customFormat="1" ht="25.35" customHeight="1">
      <c r="A11" s="239">
        <v>6</v>
      </c>
      <c r="B11" s="212" t="s">
        <v>105</v>
      </c>
      <c r="C11" s="214">
        <v>293</v>
      </c>
      <c r="D11" s="214">
        <v>96</v>
      </c>
      <c r="E11" s="214">
        <v>0</v>
      </c>
      <c r="F11" s="214">
        <v>34</v>
      </c>
      <c r="G11" s="214"/>
      <c r="H11" s="214"/>
      <c r="I11" s="224">
        <v>92</v>
      </c>
      <c r="J11" s="224">
        <f t="shared" si="1"/>
        <v>201</v>
      </c>
      <c r="K11" s="214"/>
      <c r="L11" s="214"/>
      <c r="M11" s="244"/>
      <c r="N11" s="211"/>
    </row>
    <row r="12" spans="1:15" s="209" customFormat="1" ht="53.25" customHeight="1">
      <c r="A12" s="239">
        <v>7</v>
      </c>
      <c r="B12" s="212" t="s">
        <v>106</v>
      </c>
      <c r="C12" s="214">
        <v>293</v>
      </c>
      <c r="D12" s="214">
        <v>95</v>
      </c>
      <c r="E12" s="214">
        <v>293</v>
      </c>
      <c r="F12" s="214">
        <v>20</v>
      </c>
      <c r="G12" s="214" t="s">
        <v>67</v>
      </c>
      <c r="H12" s="214"/>
      <c r="I12" s="224">
        <v>95</v>
      </c>
      <c r="J12" s="224">
        <f t="shared" si="1"/>
        <v>198</v>
      </c>
      <c r="K12" s="214">
        <v>1</v>
      </c>
      <c r="L12" s="214">
        <v>1</v>
      </c>
      <c r="M12" s="675" t="s">
        <v>1119</v>
      </c>
      <c r="N12" s="675"/>
    </row>
    <row r="13" spans="1:15" s="222" customFormat="1" ht="25.35" customHeight="1">
      <c r="A13" s="242">
        <v>8</v>
      </c>
      <c r="B13" s="217" t="s">
        <v>107</v>
      </c>
      <c r="C13" s="219">
        <v>293</v>
      </c>
      <c r="D13" s="219">
        <v>89</v>
      </c>
      <c r="E13" s="219">
        <v>293</v>
      </c>
      <c r="F13" s="219">
        <v>26</v>
      </c>
      <c r="G13" s="219" t="s">
        <v>67</v>
      </c>
      <c r="H13" s="214"/>
      <c r="I13" s="225">
        <v>89</v>
      </c>
      <c r="J13" s="225">
        <f t="shared" si="1"/>
        <v>204</v>
      </c>
      <c r="K13" s="219"/>
      <c r="L13" s="219"/>
      <c r="M13" s="247"/>
    </row>
    <row r="14" spans="1:15" s="209" customFormat="1" ht="25.35" customHeight="1">
      <c r="A14" s="239">
        <v>9</v>
      </c>
      <c r="B14" s="212" t="s">
        <v>108</v>
      </c>
      <c r="C14" s="214">
        <v>293</v>
      </c>
      <c r="D14" s="214">
        <v>45</v>
      </c>
      <c r="E14" s="214">
        <v>285</v>
      </c>
      <c r="F14" s="214">
        <v>15</v>
      </c>
      <c r="G14" s="214" t="s">
        <v>67</v>
      </c>
      <c r="H14" s="214">
        <v>1</v>
      </c>
      <c r="I14" s="224">
        <v>46</v>
      </c>
      <c r="J14" s="224">
        <f t="shared" si="1"/>
        <v>247</v>
      </c>
      <c r="K14" s="214">
        <v>2</v>
      </c>
      <c r="L14" s="214">
        <v>2</v>
      </c>
      <c r="M14" s="247"/>
    </row>
    <row r="15" spans="1:15" s="209" customFormat="1" ht="25.35" customHeight="1">
      <c r="A15" s="239">
        <v>10</v>
      </c>
      <c r="B15" s="212" t="s">
        <v>109</v>
      </c>
      <c r="C15" s="214">
        <v>293</v>
      </c>
      <c r="D15" s="214">
        <v>13</v>
      </c>
      <c r="E15" s="214">
        <v>285</v>
      </c>
      <c r="F15" s="214">
        <v>15</v>
      </c>
      <c r="G15" s="214"/>
      <c r="H15" s="214"/>
      <c r="I15" s="224">
        <v>13</v>
      </c>
      <c r="J15" s="224">
        <f t="shared" si="1"/>
        <v>280</v>
      </c>
      <c r="K15" s="214"/>
      <c r="L15" s="214"/>
      <c r="M15" s="241"/>
    </row>
    <row r="16" spans="1:15" s="209" customFormat="1" ht="25.35" customHeight="1">
      <c r="A16" s="239">
        <v>11</v>
      </c>
      <c r="B16" s="212" t="s">
        <v>110</v>
      </c>
      <c r="C16" s="213">
        <v>114.51600000000001</v>
      </c>
      <c r="D16" s="213">
        <v>0</v>
      </c>
      <c r="E16" s="214">
        <v>95</v>
      </c>
      <c r="F16" s="214">
        <v>0</v>
      </c>
      <c r="G16" s="214"/>
      <c r="H16" s="214"/>
      <c r="I16" s="215">
        <f t="shared" si="0"/>
        <v>0</v>
      </c>
      <c r="J16" s="215">
        <f t="shared" si="1"/>
        <v>114.51600000000001</v>
      </c>
      <c r="K16" s="213"/>
      <c r="L16" s="214"/>
      <c r="M16" s="241"/>
    </row>
    <row r="17" spans="1:15" s="209" customFormat="1" ht="25.35" customHeight="1">
      <c r="A17" s="239" t="s">
        <v>111</v>
      </c>
      <c r="B17" s="212" t="s">
        <v>112</v>
      </c>
      <c r="C17" s="213">
        <v>114.51600000000001</v>
      </c>
      <c r="D17" s="213">
        <v>0</v>
      </c>
      <c r="E17" s="214">
        <v>95</v>
      </c>
      <c r="F17" s="234">
        <v>0</v>
      </c>
      <c r="G17" s="214"/>
      <c r="H17" s="214"/>
      <c r="I17" s="215">
        <f t="shared" si="0"/>
        <v>0</v>
      </c>
      <c r="J17" s="215">
        <f t="shared" si="1"/>
        <v>114.51600000000001</v>
      </c>
      <c r="K17" s="226"/>
      <c r="L17" s="214"/>
      <c r="M17" s="241"/>
      <c r="N17" s="227"/>
      <c r="O17" s="216"/>
    </row>
    <row r="18" spans="1:15" s="209" customFormat="1" ht="25.35" customHeight="1">
      <c r="A18" s="239" t="s">
        <v>113</v>
      </c>
      <c r="B18" s="212" t="s">
        <v>114</v>
      </c>
      <c r="C18" s="213">
        <v>114.51600000000001</v>
      </c>
      <c r="D18" s="213">
        <v>0</v>
      </c>
      <c r="E18" s="214">
        <v>95</v>
      </c>
      <c r="F18" s="234">
        <v>0</v>
      </c>
      <c r="G18" s="214"/>
      <c r="H18" s="213"/>
      <c r="I18" s="215">
        <f t="shared" si="0"/>
        <v>0</v>
      </c>
      <c r="J18" s="215">
        <f t="shared" si="1"/>
        <v>114.51600000000001</v>
      </c>
      <c r="K18" s="226"/>
      <c r="L18" s="214"/>
      <c r="M18" s="241"/>
      <c r="N18" s="228"/>
      <c r="O18" s="229"/>
    </row>
    <row r="19" spans="1:15" s="209" customFormat="1" ht="25.35" customHeight="1">
      <c r="A19" s="239">
        <v>12</v>
      </c>
      <c r="B19" s="212" t="s">
        <v>115</v>
      </c>
      <c r="C19" s="213">
        <v>114.51600000000001</v>
      </c>
      <c r="D19" s="213">
        <v>0</v>
      </c>
      <c r="E19" s="214">
        <v>75.27</v>
      </c>
      <c r="F19" s="234">
        <v>0</v>
      </c>
      <c r="G19" s="214"/>
      <c r="H19" s="226"/>
      <c r="I19" s="215">
        <f t="shared" si="0"/>
        <v>0</v>
      </c>
      <c r="J19" s="215">
        <f t="shared" si="1"/>
        <v>114.51600000000001</v>
      </c>
      <c r="K19" s="226"/>
      <c r="L19" s="214"/>
      <c r="M19" s="245"/>
    </row>
    <row r="20" spans="1:15" s="209" customFormat="1">
      <c r="G20" s="227"/>
      <c r="H20" s="227"/>
      <c r="I20" s="227"/>
      <c r="J20" s="227"/>
      <c r="L20" s="230"/>
      <c r="M20" s="230"/>
    </row>
    <row r="21" spans="1:15" s="209" customFormat="1">
      <c r="D21" s="229"/>
      <c r="K21" s="227"/>
      <c r="L21" s="230"/>
      <c r="M21" s="231"/>
    </row>
    <row r="22" spans="1:15" s="209" customFormat="1">
      <c r="G22" s="210"/>
      <c r="L22" s="230"/>
      <c r="M22" s="230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8" sqref="B28:G28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8" t="s">
        <v>86</v>
      </c>
      <c r="C2" s="689"/>
      <c r="D2" s="689"/>
      <c r="E2" s="689"/>
      <c r="F2" s="689"/>
      <c r="G2" s="690"/>
    </row>
    <row r="3" spans="2:11" ht="16.5" thickBot="1">
      <c r="B3" s="691" t="s">
        <v>116</v>
      </c>
      <c r="C3" s="692"/>
      <c r="D3" s="692"/>
      <c r="E3" s="692"/>
      <c r="F3" s="692"/>
      <c r="G3" s="248">
        <f>+'AOTL - KEC'!M1</f>
        <v>46208</v>
      </c>
    </row>
    <row r="4" spans="2:11" ht="16.5" thickBot="1">
      <c r="B4" s="693" t="s">
        <v>117</v>
      </c>
      <c r="C4" s="694"/>
      <c r="D4" s="698" t="s">
        <v>89</v>
      </c>
      <c r="E4" s="699"/>
      <c r="F4" s="699"/>
      <c r="G4" s="700"/>
    </row>
    <row r="5" spans="2:11" ht="16.5" thickBot="1">
      <c r="B5" s="693" t="s">
        <v>118</v>
      </c>
      <c r="C5" s="694"/>
      <c r="D5" s="695" t="s">
        <v>119</v>
      </c>
      <c r="E5" s="696"/>
      <c r="F5" s="696"/>
      <c r="G5" s="697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5" t="s">
        <v>120</v>
      </c>
      <c r="C7" s="686"/>
      <c r="D7" s="686"/>
      <c r="E7" s="686"/>
      <c r="F7" s="686"/>
      <c r="G7" s="687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8" t="s">
        <v>125</v>
      </c>
      <c r="G8" s="679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6">
        <f>'AOTL - KEC'!J6</f>
        <v>0</v>
      </c>
      <c r="G9" s="677"/>
    </row>
    <row r="10" spans="2:11" ht="15.75" thickBot="1">
      <c r="B10" s="682" t="s">
        <v>126</v>
      </c>
      <c r="C10" s="683"/>
      <c r="D10" s="683"/>
      <c r="E10" s="683"/>
      <c r="F10" s="683"/>
      <c r="G10" s="684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8" t="s">
        <v>125</v>
      </c>
      <c r="G11" s="679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80">
        <f>B12-E12</f>
        <v>0</v>
      </c>
      <c r="G12" s="681"/>
    </row>
    <row r="13" spans="2:11" ht="15.75" thickBot="1">
      <c r="B13" s="682" t="s">
        <v>127</v>
      </c>
      <c r="C13" s="683"/>
      <c r="D13" s="683"/>
      <c r="E13" s="683"/>
      <c r="F13" s="683"/>
      <c r="G13" s="684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8" t="s">
        <v>125</v>
      </c>
      <c r="G14" s="679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6">
        <f>B15-E15</f>
        <v>6.5450000000000159</v>
      </c>
      <c r="G15" s="677"/>
      <c r="K15" s="6"/>
    </row>
    <row r="16" spans="2:11" ht="15.75" thickBot="1">
      <c r="B16" s="682" t="s">
        <v>128</v>
      </c>
      <c r="C16" s="683"/>
      <c r="D16" s="683"/>
      <c r="E16" s="683"/>
      <c r="F16" s="683"/>
      <c r="G16" s="684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8" t="s">
        <v>125</v>
      </c>
      <c r="G17" s="679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342">
        <v>0</v>
      </c>
      <c r="E18" s="4">
        <f>C18+D18</f>
        <v>94.51900000000002</v>
      </c>
      <c r="F18" s="676">
        <f>B18-E18</f>
        <v>19.996999999999986</v>
      </c>
      <c r="G18" s="677"/>
      <c r="K18" s="13"/>
    </row>
    <row r="19" spans="2:11" ht="15.75" thickBot="1">
      <c r="B19" s="682" t="s">
        <v>129</v>
      </c>
      <c r="C19" s="683"/>
      <c r="D19" s="683"/>
      <c r="E19" s="683"/>
      <c r="F19" s="683"/>
      <c r="G19" s="684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8" t="s">
        <v>125</v>
      </c>
      <c r="G20" s="679"/>
      <c r="K20" s="14"/>
    </row>
    <row r="21" spans="2:11" ht="15.75" thickBot="1">
      <c r="B21" s="9">
        <f>'AOTL - KEC'!C12</f>
        <v>293</v>
      </c>
      <c r="C21" s="16">
        <v>95</v>
      </c>
      <c r="D21" s="16" t="s">
        <v>67</v>
      </c>
      <c r="E21" s="19">
        <v>95</v>
      </c>
      <c r="F21" s="680">
        <f>B21-E21</f>
        <v>198</v>
      </c>
      <c r="G21" s="681"/>
    </row>
    <row r="22" spans="2:11" ht="15.75" thickBot="1">
      <c r="B22" s="682" t="s">
        <v>1097</v>
      </c>
      <c r="C22" s="683"/>
      <c r="D22" s="683"/>
      <c r="E22" s="683"/>
      <c r="F22" s="683"/>
      <c r="G22" s="684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8" t="s">
        <v>125</v>
      </c>
      <c r="G23" s="679"/>
    </row>
    <row r="24" spans="2:11" ht="15.75" thickBot="1">
      <c r="B24" s="3">
        <f>'AOTL - KEC'!C13</f>
        <v>293</v>
      </c>
      <c r="C24" s="16">
        <v>89</v>
      </c>
      <c r="D24" s="16" t="s">
        <v>67</v>
      </c>
      <c r="E24" s="19">
        <v>89</v>
      </c>
      <c r="F24" s="680">
        <f>B24-E24</f>
        <v>204</v>
      </c>
      <c r="G24" s="681"/>
    </row>
    <row r="25" spans="2:11" ht="15.75" thickBot="1">
      <c r="B25" s="682" t="s">
        <v>131</v>
      </c>
      <c r="C25" s="683"/>
      <c r="D25" s="683"/>
      <c r="E25" s="683"/>
      <c r="F25" s="683"/>
      <c r="G25" s="684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8" t="s">
        <v>125</v>
      </c>
      <c r="G26" s="679"/>
    </row>
    <row r="27" spans="2:11" ht="15.75" thickBot="1">
      <c r="B27" s="3">
        <f>'AOTL - KEC'!C14</f>
        <v>293</v>
      </c>
      <c r="C27" s="16">
        <v>45</v>
      </c>
      <c r="D27" s="16">
        <v>1</v>
      </c>
      <c r="E27" s="12">
        <v>46</v>
      </c>
      <c r="F27" s="680">
        <f>B27-E27</f>
        <v>247</v>
      </c>
      <c r="G27" s="681"/>
    </row>
    <row r="28" spans="2:11" ht="15.75" thickBot="1">
      <c r="B28" s="682" t="s">
        <v>132</v>
      </c>
      <c r="C28" s="683"/>
      <c r="D28" s="683"/>
      <c r="E28" s="683"/>
      <c r="F28" s="683"/>
      <c r="G28" s="684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8" t="s">
        <v>133</v>
      </c>
      <c r="G29" s="679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6">
        <f>B30-E30</f>
        <v>114.51600000000001</v>
      </c>
      <c r="G30" s="677"/>
    </row>
    <row r="31" spans="2:11" ht="15.75" thickBot="1">
      <c r="B31" s="682" t="s">
        <v>134</v>
      </c>
      <c r="C31" s="683"/>
      <c r="D31" s="683"/>
      <c r="E31" s="683"/>
      <c r="F31" s="683"/>
      <c r="G31" s="684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8" t="s">
        <v>125</v>
      </c>
      <c r="G32" s="679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6">
        <f>B33-E33</f>
        <v>114.51600000000001</v>
      </c>
      <c r="G33" s="677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18" zoomScaleNormal="100" zoomScaleSheetLayoutView="101" workbookViewId="0">
      <selection activeCell="F36" sqref="F36"/>
    </sheetView>
  </sheetViews>
  <sheetFormatPr defaultColWidth="8.85546875" defaultRowHeight="15.75"/>
  <cols>
    <col min="1" max="1" width="8.85546875" style="249"/>
    <col min="2" max="2" width="14.140625" style="249" bestFit="1" customWidth="1"/>
    <col min="3" max="3" width="13.42578125" style="249" bestFit="1" customWidth="1"/>
    <col min="4" max="4" width="3.42578125" style="249" bestFit="1" customWidth="1"/>
    <col min="5" max="5" width="6.5703125" style="249" customWidth="1"/>
    <col min="6" max="6" width="33.7109375" style="249" customWidth="1"/>
    <col min="7" max="7" width="22.5703125" style="249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49" hidden="1" customWidth="1"/>
    <col min="12" max="16384" width="8.85546875" style="249"/>
  </cols>
  <sheetData>
    <row r="1" spans="1:11" ht="14.85" customHeight="1">
      <c r="A1" s="701" t="s">
        <v>257</v>
      </c>
      <c r="B1" s="701"/>
      <c r="C1" s="701"/>
      <c r="D1" s="701"/>
      <c r="E1" s="701"/>
      <c r="F1" s="701"/>
      <c r="G1" s="701"/>
      <c r="H1" s="701"/>
      <c r="I1" s="354"/>
      <c r="J1" s="355"/>
    </row>
    <row r="2" spans="1:11" ht="47.25">
      <c r="A2" s="356" t="s">
        <v>244</v>
      </c>
      <c r="B2" s="356" t="s">
        <v>258</v>
      </c>
      <c r="C2" s="356" t="s">
        <v>259</v>
      </c>
      <c r="D2" s="356" t="s">
        <v>260</v>
      </c>
      <c r="E2" s="356" t="s">
        <v>261</v>
      </c>
      <c r="F2" s="356" t="s">
        <v>262</v>
      </c>
      <c r="G2" s="356" t="s">
        <v>263</v>
      </c>
      <c r="H2" s="356" t="s">
        <v>264</v>
      </c>
      <c r="I2" s="356" t="s">
        <v>33</v>
      </c>
      <c r="J2" s="356" t="s">
        <v>265</v>
      </c>
      <c r="K2" s="356" t="s">
        <v>266</v>
      </c>
    </row>
    <row r="3" spans="1:11">
      <c r="A3" s="357">
        <v>1</v>
      </c>
      <c r="B3" s="357" t="s">
        <v>267</v>
      </c>
      <c r="C3" s="358" t="s">
        <v>268</v>
      </c>
      <c r="D3" s="357"/>
      <c r="E3" s="357">
        <v>10</v>
      </c>
      <c r="F3" s="374" t="s">
        <v>207</v>
      </c>
      <c r="G3" s="375" t="s">
        <v>269</v>
      </c>
      <c r="H3" s="359">
        <v>45802</v>
      </c>
      <c r="I3" s="359"/>
      <c r="J3" s="359" t="s">
        <v>270</v>
      </c>
      <c r="K3" s="375" t="s">
        <v>271</v>
      </c>
    </row>
    <row r="4" spans="1:11">
      <c r="A4" s="357">
        <f>A3+1</f>
        <v>2</v>
      </c>
      <c r="B4" s="357" t="s">
        <v>272</v>
      </c>
      <c r="C4" s="372" t="s">
        <v>273</v>
      </c>
      <c r="D4" s="357"/>
      <c r="E4" s="357">
        <v>20</v>
      </c>
      <c r="F4" s="374" t="s">
        <v>207</v>
      </c>
      <c r="G4" s="375" t="s">
        <v>274</v>
      </c>
      <c r="H4" s="359">
        <v>46173</v>
      </c>
      <c r="I4" s="375" t="s">
        <v>275</v>
      </c>
      <c r="J4" s="362" t="s">
        <v>270</v>
      </c>
      <c r="K4" s="376" t="s">
        <v>276</v>
      </c>
    </row>
    <row r="5" spans="1:11">
      <c r="A5" s="357">
        <f t="shared" ref="A5:A34" si="0">A4+1</f>
        <v>3</v>
      </c>
      <c r="B5" s="357" t="s">
        <v>277</v>
      </c>
      <c r="C5" s="372" t="s">
        <v>278</v>
      </c>
      <c r="D5" s="357"/>
      <c r="E5" s="357">
        <v>20</v>
      </c>
      <c r="F5" s="374" t="s">
        <v>207</v>
      </c>
      <c r="G5" s="375" t="s">
        <v>279</v>
      </c>
      <c r="H5" s="359">
        <v>46173</v>
      </c>
      <c r="I5" s="519" t="s">
        <v>280</v>
      </c>
      <c r="J5" s="362" t="s">
        <v>270</v>
      </c>
      <c r="K5" s="376" t="s">
        <v>276</v>
      </c>
    </row>
    <row r="6" spans="1:11">
      <c r="A6" s="357">
        <f t="shared" si="0"/>
        <v>4</v>
      </c>
      <c r="B6" s="357" t="s">
        <v>281</v>
      </c>
      <c r="C6" s="372" t="s">
        <v>278</v>
      </c>
      <c r="D6" s="357"/>
      <c r="E6" s="357">
        <v>20</v>
      </c>
      <c r="F6" s="374" t="s">
        <v>207</v>
      </c>
      <c r="G6" s="375" t="s">
        <v>282</v>
      </c>
      <c r="H6" s="359">
        <v>46173</v>
      </c>
      <c r="I6" s="375" t="s">
        <v>283</v>
      </c>
      <c r="J6" s="362" t="s">
        <v>270</v>
      </c>
      <c r="K6" s="376" t="s">
        <v>276</v>
      </c>
    </row>
    <row r="7" spans="1:11">
      <c r="A7" s="357">
        <f t="shared" si="0"/>
        <v>5</v>
      </c>
      <c r="B7" s="357" t="s">
        <v>284</v>
      </c>
      <c r="C7" s="372" t="s">
        <v>285</v>
      </c>
      <c r="D7" s="357"/>
      <c r="E7" s="357">
        <v>20</v>
      </c>
      <c r="F7" s="374" t="s">
        <v>207</v>
      </c>
      <c r="G7" s="375" t="s">
        <v>282</v>
      </c>
      <c r="H7" s="359">
        <v>46173</v>
      </c>
      <c r="I7" s="519" t="s">
        <v>280</v>
      </c>
      <c r="J7" s="362" t="s">
        <v>270</v>
      </c>
      <c r="K7" s="376" t="s">
        <v>276</v>
      </c>
    </row>
    <row r="8" spans="1:11">
      <c r="A8" s="363">
        <f t="shared" si="0"/>
        <v>6</v>
      </c>
      <c r="B8" s="363" t="s">
        <v>286</v>
      </c>
      <c r="C8" s="364"/>
      <c r="D8" s="363"/>
      <c r="E8" s="363">
        <v>10</v>
      </c>
      <c r="F8" s="377" t="s">
        <v>207</v>
      </c>
      <c r="G8" s="378" t="s">
        <v>269</v>
      </c>
      <c r="H8" s="365">
        <v>45802</v>
      </c>
      <c r="I8" s="365" t="s">
        <v>287</v>
      </c>
      <c r="J8" s="250" t="s">
        <v>270</v>
      </c>
      <c r="K8" s="251" t="s">
        <v>271</v>
      </c>
    </row>
    <row r="9" spans="1:11">
      <c r="A9" s="366"/>
      <c r="B9" s="366" t="s">
        <v>288</v>
      </c>
      <c r="C9" s="367"/>
      <c r="D9" s="366"/>
      <c r="E9" s="366"/>
      <c r="F9" s="379"/>
      <c r="G9" s="380"/>
      <c r="H9" s="367"/>
      <c r="I9" s="368" t="s">
        <v>287</v>
      </c>
      <c r="J9" s="250" t="s">
        <v>270</v>
      </c>
      <c r="K9" s="251"/>
    </row>
    <row r="10" spans="1:11" ht="15.6" customHeight="1">
      <c r="A10" s="357">
        <f>A8+1</f>
        <v>7</v>
      </c>
      <c r="B10" s="357" t="s">
        <v>289</v>
      </c>
      <c r="C10" s="372" t="s">
        <v>290</v>
      </c>
      <c r="D10" s="358"/>
      <c r="E10" s="358">
        <v>10</v>
      </c>
      <c r="F10" s="374" t="s">
        <v>207</v>
      </c>
      <c r="G10" s="375" t="s">
        <v>274</v>
      </c>
      <c r="H10" s="359">
        <v>46160</v>
      </c>
      <c r="I10" s="358"/>
      <c r="J10" s="362" t="s">
        <v>270</v>
      </c>
      <c r="K10" s="369" t="s">
        <v>271</v>
      </c>
    </row>
    <row r="11" spans="1:11">
      <c r="A11" s="357">
        <f t="shared" si="0"/>
        <v>8</v>
      </c>
      <c r="B11" s="358" t="s">
        <v>291</v>
      </c>
      <c r="C11" s="372" t="s">
        <v>292</v>
      </c>
      <c r="D11" s="358"/>
      <c r="E11" s="358">
        <v>40</v>
      </c>
      <c r="F11" s="374" t="s">
        <v>207</v>
      </c>
      <c r="G11" s="375" t="s">
        <v>293</v>
      </c>
      <c r="H11" s="359">
        <v>46092</v>
      </c>
      <c r="I11" s="359"/>
      <c r="J11" s="359" t="s">
        <v>270</v>
      </c>
      <c r="K11" s="375" t="s">
        <v>271</v>
      </c>
    </row>
    <row r="12" spans="1:11" ht="15.6" customHeight="1">
      <c r="A12" s="357">
        <f t="shared" si="0"/>
        <v>9</v>
      </c>
      <c r="B12" s="358" t="s">
        <v>294</v>
      </c>
      <c r="C12" s="372" t="s">
        <v>295</v>
      </c>
      <c r="D12" s="358"/>
      <c r="E12" s="358">
        <v>40</v>
      </c>
      <c r="F12" s="374" t="s">
        <v>207</v>
      </c>
      <c r="G12" s="375" t="s">
        <v>293</v>
      </c>
      <c r="H12" s="359">
        <v>46160</v>
      </c>
      <c r="I12" s="358"/>
      <c r="J12" s="359" t="s">
        <v>270</v>
      </c>
      <c r="K12" s="375" t="s">
        <v>271</v>
      </c>
    </row>
    <row r="13" spans="1:11">
      <c r="A13" s="357">
        <f t="shared" si="0"/>
        <v>10</v>
      </c>
      <c r="B13" s="357" t="s">
        <v>296</v>
      </c>
      <c r="C13" s="372" t="s">
        <v>295</v>
      </c>
      <c r="D13" s="358"/>
      <c r="E13" s="358">
        <v>10</v>
      </c>
      <c r="F13" s="374" t="s">
        <v>207</v>
      </c>
      <c r="G13" s="375" t="s">
        <v>269</v>
      </c>
      <c r="H13" s="358"/>
      <c r="I13" s="358"/>
      <c r="J13" s="359" t="s">
        <v>270</v>
      </c>
      <c r="K13" s="375" t="s">
        <v>271</v>
      </c>
    </row>
    <row r="14" spans="1:11">
      <c r="A14" s="357">
        <f t="shared" si="0"/>
        <v>11</v>
      </c>
      <c r="B14" s="357" t="s">
        <v>297</v>
      </c>
      <c r="C14" s="372" t="s">
        <v>298</v>
      </c>
      <c r="D14" s="358"/>
      <c r="E14" s="358">
        <v>10</v>
      </c>
      <c r="F14" s="374" t="s">
        <v>207</v>
      </c>
      <c r="G14" s="375" t="s">
        <v>269</v>
      </c>
      <c r="H14" s="359">
        <v>45802</v>
      </c>
      <c r="I14" s="359"/>
      <c r="J14" s="359" t="s">
        <v>270</v>
      </c>
      <c r="K14" s="375" t="s">
        <v>271</v>
      </c>
    </row>
    <row r="15" spans="1:11">
      <c r="A15" s="357">
        <f t="shared" si="0"/>
        <v>12</v>
      </c>
      <c r="B15" s="357" t="s">
        <v>299</v>
      </c>
      <c r="C15" s="358" t="s">
        <v>300</v>
      </c>
      <c r="D15" s="358"/>
      <c r="E15" s="358">
        <v>10</v>
      </c>
      <c r="F15" s="374" t="s">
        <v>207</v>
      </c>
      <c r="G15" s="375" t="s">
        <v>269</v>
      </c>
      <c r="H15" s="359">
        <v>45802</v>
      </c>
      <c r="I15" s="359"/>
      <c r="J15" s="359" t="s">
        <v>270</v>
      </c>
      <c r="K15" s="375" t="s">
        <v>271</v>
      </c>
    </row>
    <row r="16" spans="1:11">
      <c r="A16" s="357">
        <f t="shared" si="0"/>
        <v>13</v>
      </c>
      <c r="B16" s="357" t="s">
        <v>301</v>
      </c>
      <c r="C16" s="358" t="s">
        <v>302</v>
      </c>
      <c r="D16" s="358"/>
      <c r="E16" s="358">
        <v>10</v>
      </c>
      <c r="F16" s="374" t="s">
        <v>207</v>
      </c>
      <c r="G16" s="375" t="s">
        <v>303</v>
      </c>
      <c r="H16" s="359">
        <v>45802</v>
      </c>
      <c r="I16" s="359"/>
      <c r="J16" s="359" t="s">
        <v>270</v>
      </c>
      <c r="K16" s="375" t="s">
        <v>271</v>
      </c>
    </row>
    <row r="17" spans="1:11">
      <c r="A17" s="357">
        <f t="shared" si="0"/>
        <v>14</v>
      </c>
      <c r="B17" s="357" t="s">
        <v>304</v>
      </c>
      <c r="C17" s="358" t="s">
        <v>305</v>
      </c>
      <c r="D17" s="358"/>
      <c r="E17" s="358">
        <v>10</v>
      </c>
      <c r="F17" s="374" t="s">
        <v>207</v>
      </c>
      <c r="G17" s="375" t="s">
        <v>306</v>
      </c>
      <c r="H17" s="359">
        <v>45802</v>
      </c>
      <c r="I17" s="359"/>
      <c r="J17" s="359" t="s">
        <v>270</v>
      </c>
      <c r="K17" s="375" t="s">
        <v>271</v>
      </c>
    </row>
    <row r="18" spans="1:11">
      <c r="A18" s="357">
        <f t="shared" si="0"/>
        <v>15</v>
      </c>
      <c r="B18" s="357" t="s">
        <v>307</v>
      </c>
      <c r="C18" s="358" t="s">
        <v>300</v>
      </c>
      <c r="D18" s="358"/>
      <c r="E18" s="358">
        <v>10</v>
      </c>
      <c r="F18" s="374" t="s">
        <v>207</v>
      </c>
      <c r="G18" s="375" t="s">
        <v>303</v>
      </c>
      <c r="H18" s="359">
        <v>45802</v>
      </c>
      <c r="I18" s="359"/>
      <c r="J18" s="359" t="s">
        <v>270</v>
      </c>
      <c r="K18" s="375" t="s">
        <v>271</v>
      </c>
    </row>
    <row r="19" spans="1:11" ht="15" customHeight="1">
      <c r="A19" s="357">
        <f t="shared" si="0"/>
        <v>16</v>
      </c>
      <c r="B19" s="357" t="s">
        <v>308</v>
      </c>
      <c r="C19" s="358" t="s">
        <v>309</v>
      </c>
      <c r="D19" s="358"/>
      <c r="E19" s="358">
        <v>10</v>
      </c>
      <c r="F19" s="374" t="s">
        <v>207</v>
      </c>
      <c r="G19" s="375" t="s">
        <v>303</v>
      </c>
      <c r="H19" s="359">
        <v>45802</v>
      </c>
      <c r="I19" s="359"/>
      <c r="J19" s="359" t="s">
        <v>270</v>
      </c>
      <c r="K19" s="375" t="s">
        <v>271</v>
      </c>
    </row>
    <row r="20" spans="1:11">
      <c r="A20" s="357">
        <f t="shared" si="0"/>
        <v>17</v>
      </c>
      <c r="B20" s="357" t="s">
        <v>310</v>
      </c>
      <c r="C20" s="358" t="s">
        <v>305</v>
      </c>
      <c r="D20" s="358"/>
      <c r="E20" s="358">
        <v>10</v>
      </c>
      <c r="F20" s="374" t="s">
        <v>207</v>
      </c>
      <c r="G20" s="375" t="s">
        <v>303</v>
      </c>
      <c r="H20" s="359">
        <v>45802</v>
      </c>
      <c r="I20" s="359"/>
      <c r="J20" s="359" t="s">
        <v>270</v>
      </c>
      <c r="K20" s="375" t="s">
        <v>271</v>
      </c>
    </row>
    <row r="21" spans="1:11">
      <c r="A21" s="357">
        <f t="shared" si="0"/>
        <v>18</v>
      </c>
      <c r="B21" s="357" t="s">
        <v>311</v>
      </c>
      <c r="C21" s="358" t="s">
        <v>305</v>
      </c>
      <c r="D21" s="358"/>
      <c r="E21" s="358">
        <v>10</v>
      </c>
      <c r="F21" s="374" t="s">
        <v>207</v>
      </c>
      <c r="G21" s="375" t="s">
        <v>303</v>
      </c>
      <c r="H21" s="359">
        <v>45802</v>
      </c>
      <c r="I21" s="359"/>
      <c r="J21" s="359" t="s">
        <v>270</v>
      </c>
      <c r="K21" s="375" t="s">
        <v>271</v>
      </c>
    </row>
    <row r="22" spans="1:11">
      <c r="A22" s="357">
        <f t="shared" si="0"/>
        <v>19</v>
      </c>
      <c r="B22" s="357" t="s">
        <v>312</v>
      </c>
      <c r="C22" s="358"/>
      <c r="D22" s="358"/>
      <c r="E22" s="358">
        <v>10</v>
      </c>
      <c r="F22" s="374" t="s">
        <v>207</v>
      </c>
      <c r="G22" s="375" t="s">
        <v>303</v>
      </c>
      <c r="H22" s="359">
        <v>45802</v>
      </c>
      <c r="I22" s="359"/>
      <c r="J22" s="359" t="s">
        <v>270</v>
      </c>
      <c r="K22" s="375" t="s">
        <v>271</v>
      </c>
    </row>
    <row r="23" spans="1:11">
      <c r="A23" s="357">
        <f t="shared" si="0"/>
        <v>20</v>
      </c>
      <c r="B23" s="357" t="s">
        <v>313</v>
      </c>
      <c r="C23" s="358"/>
      <c r="D23" s="358"/>
      <c r="E23" s="358">
        <v>10</v>
      </c>
      <c r="F23" s="374" t="s">
        <v>207</v>
      </c>
      <c r="G23" s="375" t="s">
        <v>303</v>
      </c>
      <c r="H23" s="359">
        <v>45802</v>
      </c>
      <c r="I23" s="359"/>
      <c r="J23" s="359" t="s">
        <v>270</v>
      </c>
      <c r="K23" s="375" t="s">
        <v>271</v>
      </c>
    </row>
    <row r="24" spans="1:11" ht="15.6" customHeight="1">
      <c r="A24" s="360">
        <f t="shared" si="0"/>
        <v>21</v>
      </c>
      <c r="B24" s="360" t="s">
        <v>314</v>
      </c>
      <c r="C24" s="361" t="s">
        <v>290</v>
      </c>
      <c r="D24" s="361"/>
      <c r="E24" s="361">
        <v>10</v>
      </c>
      <c r="F24" s="373" t="s">
        <v>315</v>
      </c>
      <c r="G24" s="369"/>
      <c r="H24" s="361"/>
      <c r="I24" s="361"/>
      <c r="J24" s="362" t="s">
        <v>316</v>
      </c>
      <c r="K24" s="376" t="s">
        <v>276</v>
      </c>
    </row>
    <row r="25" spans="1:11">
      <c r="A25" s="357">
        <f t="shared" si="0"/>
        <v>22</v>
      </c>
      <c r="B25" s="358" t="s">
        <v>317</v>
      </c>
      <c r="C25" s="358" t="s">
        <v>318</v>
      </c>
      <c r="D25" s="358"/>
      <c r="E25" s="358">
        <v>40</v>
      </c>
      <c r="F25" s="374" t="s">
        <v>207</v>
      </c>
      <c r="G25" s="375" t="s">
        <v>293</v>
      </c>
      <c r="H25" s="359">
        <v>46094</v>
      </c>
      <c r="I25" s="359"/>
      <c r="J25" s="359" t="s">
        <v>270</v>
      </c>
      <c r="K25" s="375" t="s">
        <v>271</v>
      </c>
    </row>
    <row r="26" spans="1:11">
      <c r="A26" s="357">
        <f t="shared" si="0"/>
        <v>23</v>
      </c>
      <c r="B26" s="357" t="s">
        <v>319</v>
      </c>
      <c r="C26" s="358" t="s">
        <v>320</v>
      </c>
      <c r="D26" s="358"/>
      <c r="E26" s="358">
        <v>40</v>
      </c>
      <c r="F26" s="374" t="s">
        <v>207</v>
      </c>
      <c r="G26" s="375" t="s">
        <v>293</v>
      </c>
      <c r="H26" s="359">
        <v>46095</v>
      </c>
      <c r="I26" s="359"/>
      <c r="J26" s="359" t="s">
        <v>270</v>
      </c>
      <c r="K26" s="375" t="s">
        <v>271</v>
      </c>
    </row>
    <row r="27" spans="1:11">
      <c r="A27" s="357">
        <f t="shared" si="0"/>
        <v>24</v>
      </c>
      <c r="B27" s="357" t="s">
        <v>321</v>
      </c>
      <c r="C27" s="358" t="s">
        <v>322</v>
      </c>
      <c r="D27" s="358"/>
      <c r="E27" s="358">
        <v>40</v>
      </c>
      <c r="F27" s="374" t="s">
        <v>207</v>
      </c>
      <c r="G27" s="375" t="s">
        <v>293</v>
      </c>
      <c r="H27" s="359">
        <v>46095</v>
      </c>
      <c r="I27" s="359"/>
      <c r="J27" s="359" t="s">
        <v>270</v>
      </c>
      <c r="K27" s="375" t="s">
        <v>271</v>
      </c>
    </row>
    <row r="28" spans="1:11">
      <c r="A28" s="360">
        <f t="shared" si="0"/>
        <v>25</v>
      </c>
      <c r="B28" s="360" t="s">
        <v>323</v>
      </c>
      <c r="C28" s="361" t="s">
        <v>324</v>
      </c>
      <c r="D28" s="361"/>
      <c r="E28" s="361">
        <v>10</v>
      </c>
      <c r="F28" s="373" t="s">
        <v>315</v>
      </c>
      <c r="G28" s="369" t="s">
        <v>303</v>
      </c>
      <c r="H28" s="361"/>
      <c r="I28" s="361"/>
      <c r="J28" s="250" t="s">
        <v>270</v>
      </c>
      <c r="K28" s="380" t="s">
        <v>276</v>
      </c>
    </row>
    <row r="29" spans="1:11">
      <c r="A29" s="360">
        <f t="shared" si="0"/>
        <v>26</v>
      </c>
      <c r="B29" s="360" t="s">
        <v>325</v>
      </c>
      <c r="C29" s="361" t="s">
        <v>326</v>
      </c>
      <c r="D29" s="361"/>
      <c r="E29" s="361">
        <v>10</v>
      </c>
      <c r="F29" s="373" t="s">
        <v>315</v>
      </c>
      <c r="G29" s="369" t="s">
        <v>279</v>
      </c>
      <c r="H29" s="361"/>
      <c r="I29" s="361"/>
      <c r="J29" s="250" t="s">
        <v>270</v>
      </c>
      <c r="K29" s="380" t="s">
        <v>276</v>
      </c>
    </row>
    <row r="30" spans="1:11">
      <c r="A30" s="370"/>
      <c r="B30" s="370" t="s">
        <v>327</v>
      </c>
      <c r="C30" s="371"/>
      <c r="D30" s="371"/>
      <c r="E30" s="371"/>
      <c r="F30" s="245"/>
      <c r="G30" s="381"/>
      <c r="H30" s="371"/>
      <c r="I30" s="381" t="s">
        <v>328</v>
      </c>
      <c r="J30" s="250"/>
      <c r="K30" s="251"/>
    </row>
    <row r="31" spans="1:11">
      <c r="A31" s="357">
        <f>A29+1</f>
        <v>27</v>
      </c>
      <c r="B31" s="357" t="s">
        <v>329</v>
      </c>
      <c r="C31" s="358" t="s">
        <v>330</v>
      </c>
      <c r="D31" s="358"/>
      <c r="E31" s="358">
        <v>10</v>
      </c>
      <c r="F31" s="374" t="s">
        <v>207</v>
      </c>
      <c r="G31" s="375" t="s">
        <v>303</v>
      </c>
      <c r="H31" s="359">
        <v>46099</v>
      </c>
      <c r="I31" s="375" t="s">
        <v>331</v>
      </c>
      <c r="J31" s="359" t="s">
        <v>270</v>
      </c>
      <c r="K31" s="375" t="s">
        <v>271</v>
      </c>
    </row>
    <row r="32" spans="1:11">
      <c r="A32" s="357">
        <f t="shared" si="0"/>
        <v>28</v>
      </c>
      <c r="B32" s="357" t="s">
        <v>332</v>
      </c>
      <c r="C32" s="358" t="s">
        <v>300</v>
      </c>
      <c r="D32" s="358"/>
      <c r="E32" s="358">
        <v>10</v>
      </c>
      <c r="F32" s="374" t="s">
        <v>207</v>
      </c>
      <c r="G32" s="375" t="s">
        <v>303</v>
      </c>
      <c r="H32" s="359">
        <v>46099</v>
      </c>
      <c r="I32" s="359"/>
      <c r="J32" s="359" t="s">
        <v>270</v>
      </c>
      <c r="K32" s="375" t="s">
        <v>271</v>
      </c>
    </row>
    <row r="33" spans="1:11">
      <c r="A33" s="357">
        <f t="shared" si="0"/>
        <v>29</v>
      </c>
      <c r="B33" s="357" t="s">
        <v>333</v>
      </c>
      <c r="C33" s="358" t="s">
        <v>330</v>
      </c>
      <c r="D33" s="358"/>
      <c r="E33" s="358">
        <v>10</v>
      </c>
      <c r="F33" s="374" t="s">
        <v>207</v>
      </c>
      <c r="G33" s="375" t="s">
        <v>303</v>
      </c>
      <c r="H33" s="359">
        <v>46099</v>
      </c>
      <c r="I33" s="359"/>
      <c r="J33" s="359" t="s">
        <v>270</v>
      </c>
      <c r="K33" s="375" t="s">
        <v>271</v>
      </c>
    </row>
    <row r="34" spans="1:11">
      <c r="A34" s="357">
        <f t="shared" si="0"/>
        <v>30</v>
      </c>
      <c r="B34" s="357" t="s">
        <v>334</v>
      </c>
      <c r="C34" s="358" t="s">
        <v>335</v>
      </c>
      <c r="D34" s="358"/>
      <c r="E34" s="358">
        <v>10</v>
      </c>
      <c r="F34" s="374" t="s">
        <v>207</v>
      </c>
      <c r="G34" s="375" t="s">
        <v>303</v>
      </c>
      <c r="H34" s="359">
        <v>46099</v>
      </c>
      <c r="I34" s="359"/>
      <c r="J34" s="359" t="s">
        <v>270</v>
      </c>
      <c r="K34" s="375" t="s">
        <v>271</v>
      </c>
    </row>
    <row r="35" spans="1:11">
      <c r="A35" s="357"/>
      <c r="B35" s="357"/>
      <c r="C35" s="358"/>
      <c r="D35" s="358"/>
      <c r="E35" s="358"/>
      <c r="F35" s="382"/>
      <c r="G35" s="375"/>
      <c r="H35" s="358"/>
      <c r="I35" s="358"/>
      <c r="J35" s="359" t="s">
        <v>270</v>
      </c>
      <c r="K35" s="375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23" activePane="bottomRight" state="frozen"/>
      <selection activeCell="D6" sqref="D6"/>
      <selection pane="topRight" activeCell="D6" sqref="D6"/>
      <selection pane="bottomLeft" activeCell="D6" sqref="D6"/>
      <selection pane="bottomRight" activeCell="N33" sqref="N33"/>
    </sheetView>
  </sheetViews>
  <sheetFormatPr defaultColWidth="9.28515625" defaultRowHeight="15.75"/>
  <cols>
    <col min="1" max="1" width="11.28515625" style="252" customWidth="1"/>
    <col min="2" max="2" width="15.140625" style="252" bestFit="1" customWidth="1"/>
    <col min="3" max="7" width="12.5703125" style="252" customWidth="1"/>
    <col min="8" max="8" width="11.7109375" style="252" bestFit="1" customWidth="1"/>
    <col min="9" max="9" width="12.5703125" style="252" customWidth="1"/>
    <col min="10" max="11" width="12.5703125" style="252" hidden="1" customWidth="1"/>
    <col min="12" max="16384" width="9.28515625" style="252"/>
  </cols>
  <sheetData>
    <row r="1" spans="1:10">
      <c r="A1" s="702" t="s">
        <v>89</v>
      </c>
      <c r="B1" s="702"/>
      <c r="C1" s="702"/>
      <c r="D1" s="702"/>
      <c r="E1" s="702"/>
      <c r="F1" s="702"/>
      <c r="G1" s="702"/>
      <c r="H1" s="702"/>
      <c r="I1" s="702"/>
    </row>
    <row r="2" spans="1:10" ht="20.100000000000001" customHeight="1">
      <c r="A2" s="703" t="s">
        <v>193</v>
      </c>
      <c r="B2" s="703" t="s">
        <v>203</v>
      </c>
      <c r="C2" s="705" t="s">
        <v>204</v>
      </c>
      <c r="D2" s="703" t="s">
        <v>205</v>
      </c>
      <c r="E2" s="703"/>
      <c r="F2" s="703"/>
      <c r="G2" s="703" t="s">
        <v>21</v>
      </c>
      <c r="H2" s="703"/>
      <c r="I2" s="703"/>
    </row>
    <row r="3" spans="1:10" ht="20.100000000000001" customHeight="1">
      <c r="A3" s="703"/>
      <c r="B3" s="703"/>
      <c r="C3" s="706"/>
      <c r="D3" s="336" t="s">
        <v>38</v>
      </c>
      <c r="E3" s="336" t="s">
        <v>206</v>
      </c>
      <c r="F3" s="336" t="s">
        <v>207</v>
      </c>
      <c r="G3" s="336" t="s">
        <v>38</v>
      </c>
      <c r="H3" s="336" t="s">
        <v>206</v>
      </c>
      <c r="I3" s="336" t="s">
        <v>207</v>
      </c>
    </row>
    <row r="4" spans="1:10" ht="20.100000000000001" customHeight="1">
      <c r="A4" s="337" t="s">
        <v>208</v>
      </c>
      <c r="B4" s="337" t="s">
        <v>209</v>
      </c>
      <c r="C4" s="338">
        <v>0.62</v>
      </c>
      <c r="D4" s="338">
        <v>0.62</v>
      </c>
      <c r="E4" s="338">
        <v>0.62</v>
      </c>
      <c r="F4" s="338">
        <v>0.62</v>
      </c>
      <c r="G4" s="338">
        <v>0.62</v>
      </c>
      <c r="H4" s="338">
        <v>0.62</v>
      </c>
      <c r="I4" s="338">
        <v>0.62</v>
      </c>
    </row>
    <row r="5" spans="1:10" ht="20.100000000000001" customHeight="1">
      <c r="A5" s="337" t="s">
        <v>208</v>
      </c>
      <c r="B5" s="337" t="s">
        <v>210</v>
      </c>
      <c r="C5" s="338">
        <v>1.5720000000000001</v>
      </c>
      <c r="D5" s="338">
        <v>1.5720000000000001</v>
      </c>
      <c r="E5" s="338">
        <v>1.5720000000000001</v>
      </c>
      <c r="F5" s="338">
        <v>1.5720000000000001</v>
      </c>
      <c r="G5" s="338">
        <v>1.5720000000000001</v>
      </c>
      <c r="H5" s="338">
        <v>1.5720000000000001</v>
      </c>
      <c r="I5" s="338">
        <v>1.5720000000000001</v>
      </c>
    </row>
    <row r="6" spans="1:10" ht="20.100000000000001" customHeight="1">
      <c r="A6" s="337" t="s">
        <v>208</v>
      </c>
      <c r="B6" s="337" t="s">
        <v>211</v>
      </c>
      <c r="C6" s="338">
        <v>1.228</v>
      </c>
      <c r="D6" s="338">
        <v>1.228</v>
      </c>
      <c r="E6" s="338">
        <v>1.228</v>
      </c>
      <c r="F6" s="338">
        <v>1.228</v>
      </c>
      <c r="G6" s="338">
        <f>F6</f>
        <v>1.228</v>
      </c>
      <c r="H6" s="338">
        <f t="shared" ref="H6:I6" si="0">G6</f>
        <v>1.228</v>
      </c>
      <c r="I6" s="338">
        <f t="shared" si="0"/>
        <v>1.228</v>
      </c>
    </row>
    <row r="7" spans="1:10" ht="20.100000000000001" customHeight="1">
      <c r="A7" s="337" t="s">
        <v>208</v>
      </c>
      <c r="B7" s="337" t="s">
        <v>212</v>
      </c>
      <c r="C7" s="339">
        <v>3.9940000000000002</v>
      </c>
      <c r="D7" s="338">
        <f>C7</f>
        <v>3.9940000000000002</v>
      </c>
      <c r="E7" s="338">
        <f>D7</f>
        <v>3.9940000000000002</v>
      </c>
      <c r="F7" s="338">
        <f t="shared" ref="F7:I7" si="1">E7</f>
        <v>3.9940000000000002</v>
      </c>
      <c r="G7" s="338">
        <f t="shared" si="1"/>
        <v>3.9940000000000002</v>
      </c>
      <c r="H7" s="338">
        <f t="shared" si="1"/>
        <v>3.9940000000000002</v>
      </c>
      <c r="I7" s="338">
        <f t="shared" si="1"/>
        <v>3.9940000000000002</v>
      </c>
      <c r="J7" s="340"/>
    </row>
    <row r="8" spans="1:10" ht="20.100000000000001" customHeight="1">
      <c r="A8" s="337" t="s">
        <v>213</v>
      </c>
      <c r="B8" s="337" t="s">
        <v>214</v>
      </c>
      <c r="C8" s="339">
        <v>2.694</v>
      </c>
      <c r="D8" s="338">
        <v>2.694</v>
      </c>
      <c r="E8" s="338">
        <v>2.694</v>
      </c>
      <c r="F8" s="338">
        <v>2.694</v>
      </c>
      <c r="G8" s="338">
        <v>2.694</v>
      </c>
      <c r="H8" s="338">
        <v>2.694</v>
      </c>
      <c r="I8" s="338">
        <v>2.694</v>
      </c>
      <c r="J8" s="340"/>
    </row>
    <row r="9" spans="1:10" ht="20.100000000000001" customHeight="1">
      <c r="A9" s="337" t="s">
        <v>213</v>
      </c>
      <c r="B9" s="337" t="s">
        <v>215</v>
      </c>
      <c r="C9" s="338">
        <v>1.5549999999999999</v>
      </c>
      <c r="D9" s="338">
        <v>1.5549999999999999</v>
      </c>
      <c r="E9" s="338">
        <v>1.5549999999999999</v>
      </c>
      <c r="F9" s="338">
        <v>1.5549999999999999</v>
      </c>
      <c r="G9" s="338">
        <v>1.5549999999999999</v>
      </c>
      <c r="H9" s="338">
        <v>1.5549999999999999</v>
      </c>
      <c r="I9" s="338">
        <v>1.5549999999999999</v>
      </c>
    </row>
    <row r="10" spans="1:10" ht="20.100000000000001" customHeight="1">
      <c r="A10" s="337" t="s">
        <v>200</v>
      </c>
      <c r="B10" s="337" t="s">
        <v>216</v>
      </c>
      <c r="C10" s="338">
        <v>0.42199999999999999</v>
      </c>
      <c r="D10" s="338">
        <v>0.42199999999999999</v>
      </c>
      <c r="E10" s="338">
        <v>0.42199999999999999</v>
      </c>
      <c r="F10" s="338">
        <v>0.42199999999999999</v>
      </c>
      <c r="G10" s="338">
        <v>0.42199999999999999</v>
      </c>
      <c r="H10" s="338">
        <v>0.42199999999999999</v>
      </c>
      <c r="I10" s="338">
        <v>0.42199999999999999</v>
      </c>
    </row>
    <row r="11" spans="1:10" ht="20.100000000000001" customHeight="1">
      <c r="A11" s="337" t="s">
        <v>200</v>
      </c>
      <c r="B11" s="337" t="s">
        <v>217</v>
      </c>
      <c r="C11" s="338">
        <v>3.8809999999999998</v>
      </c>
      <c r="D11" s="338">
        <v>3.8809999999999998</v>
      </c>
      <c r="E11" s="338">
        <v>3.8809999999999998</v>
      </c>
      <c r="F11" s="338">
        <v>3.8809999999999998</v>
      </c>
      <c r="G11" s="338">
        <v>3.8809999999999998</v>
      </c>
      <c r="H11" s="338">
        <v>3.8809999999999998</v>
      </c>
      <c r="I11" s="338">
        <v>3.8809999999999998</v>
      </c>
    </row>
    <row r="12" spans="1:10" ht="20.100000000000001" customHeight="1">
      <c r="A12" s="337" t="s">
        <v>200</v>
      </c>
      <c r="B12" s="337" t="s">
        <v>218</v>
      </c>
      <c r="C12" s="338">
        <v>4.3280000000000003</v>
      </c>
      <c r="D12" s="338">
        <v>4.3280000000000003</v>
      </c>
      <c r="E12" s="338">
        <v>4.3280000000000003</v>
      </c>
      <c r="F12" s="338">
        <v>4.3280000000000003</v>
      </c>
      <c r="G12" s="338">
        <v>4.3280000000000003</v>
      </c>
      <c r="H12" s="338">
        <v>4.3280000000000003</v>
      </c>
      <c r="I12" s="338">
        <v>4.3280000000000003</v>
      </c>
    </row>
    <row r="13" spans="1:10" ht="20.100000000000001" customHeight="1">
      <c r="A13" s="337" t="s">
        <v>200</v>
      </c>
      <c r="B13" s="337" t="s">
        <v>219</v>
      </c>
      <c r="C13" s="338">
        <v>2.9</v>
      </c>
      <c r="D13" s="338">
        <v>2.9</v>
      </c>
      <c r="E13" s="338">
        <v>2.9</v>
      </c>
      <c r="F13" s="338">
        <v>2.9</v>
      </c>
      <c r="G13" s="338">
        <v>2.9</v>
      </c>
      <c r="H13" s="338">
        <v>2.9</v>
      </c>
      <c r="I13" s="338">
        <v>2.9</v>
      </c>
    </row>
    <row r="14" spans="1:10" ht="20.100000000000001" customHeight="1">
      <c r="A14" s="337" t="s">
        <v>200</v>
      </c>
      <c r="B14" s="337" t="s">
        <v>220</v>
      </c>
      <c r="C14" s="338">
        <v>3.5259999999999998</v>
      </c>
      <c r="D14" s="338">
        <v>3.5259999999999998</v>
      </c>
      <c r="E14" s="338">
        <v>3.5259999999999998</v>
      </c>
      <c r="F14" s="338">
        <v>3.5259999999999998</v>
      </c>
      <c r="G14" s="338">
        <v>3.5259999999999998</v>
      </c>
      <c r="H14" s="338">
        <v>3.5259999999999998</v>
      </c>
      <c r="I14" s="338">
        <v>3.5259999999999998</v>
      </c>
    </row>
    <row r="15" spans="1:10" ht="20.100000000000001" customHeight="1">
      <c r="A15" s="337" t="s">
        <v>200</v>
      </c>
      <c r="B15" s="337" t="s">
        <v>221</v>
      </c>
      <c r="C15" s="338">
        <v>2.3119999999999998</v>
      </c>
      <c r="D15" s="338">
        <v>2.3119999999999998</v>
      </c>
      <c r="E15" s="338">
        <v>2.3119999999999998</v>
      </c>
      <c r="F15" s="338">
        <v>2.3119999999999998</v>
      </c>
      <c r="G15" s="338">
        <v>2.3119999999999998</v>
      </c>
      <c r="H15" s="338">
        <v>2.3119999999999998</v>
      </c>
      <c r="I15" s="338">
        <v>2.3119999999999998</v>
      </c>
    </row>
    <row r="16" spans="1:10" ht="20.100000000000001" customHeight="1">
      <c r="A16" s="337" t="s">
        <v>200</v>
      </c>
      <c r="B16" s="337" t="s">
        <v>222</v>
      </c>
      <c r="C16" s="338">
        <v>4.7039999999999997</v>
      </c>
      <c r="D16" s="338">
        <v>4.7039999999999997</v>
      </c>
      <c r="E16" s="338">
        <v>4.7039999999999997</v>
      </c>
      <c r="F16" s="338">
        <v>4.7039999999999997</v>
      </c>
      <c r="G16" s="338">
        <v>4.7039999999999997</v>
      </c>
      <c r="H16" s="338">
        <v>4.7039999999999997</v>
      </c>
      <c r="I16" s="338">
        <v>4.7039999999999997</v>
      </c>
    </row>
    <row r="17" spans="1:11" ht="20.100000000000001" customHeight="1">
      <c r="A17" s="337" t="s">
        <v>200</v>
      </c>
      <c r="B17" s="337" t="s">
        <v>223</v>
      </c>
      <c r="C17" s="338">
        <v>1.5569999999999999</v>
      </c>
      <c r="D17" s="338">
        <v>1.5569999999999999</v>
      </c>
      <c r="E17" s="338">
        <v>1.5569999999999999</v>
      </c>
      <c r="F17" s="338">
        <v>1.5569999999999999</v>
      </c>
      <c r="G17" s="338">
        <v>1.5569999999999999</v>
      </c>
      <c r="H17" s="338">
        <v>1.5569999999999999</v>
      </c>
      <c r="I17" s="338">
        <v>1.5569999999999999</v>
      </c>
    </row>
    <row r="18" spans="1:11" ht="20.100000000000001" customHeight="1">
      <c r="A18" s="337" t="s">
        <v>200</v>
      </c>
      <c r="B18" s="337" t="s">
        <v>224</v>
      </c>
      <c r="C18" s="338">
        <v>1.9470000000000001</v>
      </c>
      <c r="D18" s="338">
        <v>1.9470000000000001</v>
      </c>
      <c r="E18" s="338">
        <v>1.9470000000000001</v>
      </c>
      <c r="F18" s="338">
        <v>1.9470000000000001</v>
      </c>
      <c r="G18" s="338">
        <v>1.9470000000000001</v>
      </c>
      <c r="H18" s="338">
        <v>1.9470000000000001</v>
      </c>
      <c r="I18" s="338">
        <v>1.9470000000000001</v>
      </c>
    </row>
    <row r="19" spans="1:11" ht="20.100000000000001" customHeight="1">
      <c r="A19" s="337" t="s">
        <v>200</v>
      </c>
      <c r="B19" s="337" t="s">
        <v>225</v>
      </c>
      <c r="C19" s="338">
        <v>0.40500000000000003</v>
      </c>
      <c r="D19" s="338">
        <v>0.40500000000000003</v>
      </c>
      <c r="E19" s="338">
        <v>0.40500000000000003</v>
      </c>
      <c r="F19" s="338">
        <v>0.40500000000000003</v>
      </c>
      <c r="G19" s="338">
        <v>0.40500000000000003</v>
      </c>
      <c r="H19" s="338">
        <v>0.40500000000000003</v>
      </c>
      <c r="I19" s="338">
        <v>0.40500000000000003</v>
      </c>
    </row>
    <row r="20" spans="1:11" ht="20.100000000000001" customHeight="1">
      <c r="A20" s="337" t="s">
        <v>200</v>
      </c>
      <c r="B20" s="337" t="s">
        <v>226</v>
      </c>
      <c r="C20" s="338">
        <f>5.966+2.39</f>
        <v>8.3559999999999999</v>
      </c>
      <c r="D20" s="338">
        <f t="shared" ref="D20:I20" si="2">5.966+2.39</f>
        <v>8.3559999999999999</v>
      </c>
      <c r="E20" s="338">
        <f t="shared" si="2"/>
        <v>8.3559999999999999</v>
      </c>
      <c r="F20" s="338">
        <f t="shared" si="2"/>
        <v>8.3559999999999999</v>
      </c>
      <c r="G20" s="338">
        <f t="shared" si="2"/>
        <v>8.3559999999999999</v>
      </c>
      <c r="H20" s="338">
        <f t="shared" si="2"/>
        <v>8.3559999999999999</v>
      </c>
      <c r="I20" s="338">
        <f t="shared" si="2"/>
        <v>8.3559999999999999</v>
      </c>
    </row>
    <row r="21" spans="1:11" ht="20.100000000000001" customHeight="1">
      <c r="A21" s="337" t="s">
        <v>200</v>
      </c>
      <c r="B21" s="337" t="s">
        <v>227</v>
      </c>
      <c r="C21" s="338">
        <v>0.81699999999999995</v>
      </c>
      <c r="D21" s="338">
        <v>0.81699999999999995</v>
      </c>
      <c r="E21" s="338">
        <v>0.81699999999999995</v>
      </c>
      <c r="F21" s="338">
        <v>0.81699999999999995</v>
      </c>
      <c r="G21" s="338">
        <v>0.81699999999999995</v>
      </c>
      <c r="H21" s="338">
        <v>0.81699999999999995</v>
      </c>
      <c r="I21" s="338">
        <v>0.81699999999999995</v>
      </c>
    </row>
    <row r="22" spans="1:11" ht="20.100000000000001" customHeight="1">
      <c r="A22" s="341" t="s">
        <v>200</v>
      </c>
      <c r="B22" s="337" t="s">
        <v>228</v>
      </c>
      <c r="C22" s="338">
        <v>5.2190000000000003</v>
      </c>
      <c r="D22" s="338">
        <v>5.2190000000000003</v>
      </c>
      <c r="E22" s="338">
        <v>5.2190000000000003</v>
      </c>
      <c r="F22" s="338">
        <v>5.2190000000000003</v>
      </c>
      <c r="G22" s="338">
        <v>5.2190000000000003</v>
      </c>
      <c r="H22" s="338">
        <v>5.2190000000000003</v>
      </c>
      <c r="I22" s="338">
        <v>5.2190000000000003</v>
      </c>
    </row>
    <row r="23" spans="1:11" ht="20.100000000000001" customHeight="1">
      <c r="A23" s="341" t="s">
        <v>200</v>
      </c>
      <c r="B23" s="337" t="s">
        <v>1099</v>
      </c>
      <c r="C23" s="338">
        <f>2.845+3.405</f>
        <v>6.25</v>
      </c>
      <c r="D23" s="338">
        <f>C23</f>
        <v>6.25</v>
      </c>
      <c r="E23" s="338">
        <f>D23</f>
        <v>6.25</v>
      </c>
      <c r="F23" s="338">
        <f>E23</f>
        <v>6.25</v>
      </c>
      <c r="G23" s="338">
        <f>F23</f>
        <v>6.25</v>
      </c>
      <c r="H23" s="338">
        <f>F23</f>
        <v>6.25</v>
      </c>
      <c r="I23" s="338">
        <f>H23</f>
        <v>6.25</v>
      </c>
      <c r="J23" s="252" t="s">
        <v>1102</v>
      </c>
      <c r="K23" s="252">
        <v>2.8450000000000002</v>
      </c>
    </row>
    <row r="24" spans="1:11" ht="20.100000000000001" customHeight="1">
      <c r="A24" s="548" t="s">
        <v>200</v>
      </c>
      <c r="B24" s="548" t="s">
        <v>1100</v>
      </c>
      <c r="C24" s="547">
        <v>5.0114799999999997</v>
      </c>
      <c r="D24" s="547">
        <f>C24</f>
        <v>5.0114799999999997</v>
      </c>
      <c r="E24" s="547">
        <f>D24</f>
        <v>5.0114799999999997</v>
      </c>
      <c r="F24" s="547"/>
      <c r="G24" s="547"/>
      <c r="H24" s="547"/>
      <c r="I24" s="547"/>
      <c r="J24" s="252" t="s">
        <v>1101</v>
      </c>
      <c r="K24" s="252">
        <v>3.4049999999999998</v>
      </c>
    </row>
    <row r="25" spans="1:11" ht="20.100000000000001" customHeight="1">
      <c r="A25" s="337" t="s">
        <v>200</v>
      </c>
      <c r="B25" s="337" t="s">
        <v>229</v>
      </c>
      <c r="C25" s="338">
        <v>5.3010000000000002</v>
      </c>
      <c r="D25" s="338">
        <f>C25</f>
        <v>5.3010000000000002</v>
      </c>
      <c r="E25" s="338">
        <f>D25</f>
        <v>5.3010000000000002</v>
      </c>
      <c r="F25" s="338">
        <f>E25</f>
        <v>5.3010000000000002</v>
      </c>
      <c r="G25" s="338">
        <v>5.3010000000000002</v>
      </c>
      <c r="H25" s="338">
        <v>5.3010000000000002</v>
      </c>
      <c r="I25" s="547">
        <v>4.49</v>
      </c>
    </row>
    <row r="26" spans="1:11" ht="20.100000000000001" customHeight="1">
      <c r="A26" s="337" t="s">
        <v>200</v>
      </c>
      <c r="B26" s="337" t="s">
        <v>230</v>
      </c>
      <c r="C26" s="338">
        <v>3.992</v>
      </c>
      <c r="D26" s="338">
        <v>3.992</v>
      </c>
      <c r="E26" s="338">
        <v>3.992</v>
      </c>
      <c r="F26" s="338">
        <f>E26</f>
        <v>3.992</v>
      </c>
      <c r="G26" s="338">
        <f t="shared" ref="G26:H26" si="3">F26</f>
        <v>3.992</v>
      </c>
      <c r="H26" s="338">
        <f t="shared" si="3"/>
        <v>3.992</v>
      </c>
      <c r="I26" s="547"/>
    </row>
    <row r="27" spans="1:11" ht="20.100000000000001" customHeight="1">
      <c r="A27" s="337" t="s">
        <v>200</v>
      </c>
      <c r="B27" s="337" t="s">
        <v>231</v>
      </c>
      <c r="C27" s="338">
        <v>3.1419999999999999</v>
      </c>
      <c r="D27" s="338">
        <v>3.1419999999999999</v>
      </c>
      <c r="E27" s="338">
        <v>3.1419999999999999</v>
      </c>
      <c r="F27" s="338">
        <v>3.1419999999999999</v>
      </c>
      <c r="G27" s="338">
        <v>3.1419999999999999</v>
      </c>
      <c r="H27" s="338">
        <v>3.1419999999999999</v>
      </c>
      <c r="I27" s="338">
        <v>3.1419999999999999</v>
      </c>
    </row>
    <row r="28" spans="1:11" ht="20.100000000000001" customHeight="1">
      <c r="A28" s="337" t="s">
        <v>200</v>
      </c>
      <c r="B28" s="337" t="s">
        <v>232</v>
      </c>
      <c r="C28" s="338">
        <v>2.4769999999999999</v>
      </c>
      <c r="D28" s="338">
        <v>2.4769999999999999</v>
      </c>
      <c r="E28" s="338">
        <v>2.4769999999999999</v>
      </c>
      <c r="F28" s="338">
        <v>2.4769999999999999</v>
      </c>
      <c r="G28" s="338">
        <v>2.4769999999999999</v>
      </c>
      <c r="H28" s="338">
        <v>2.4769999999999999</v>
      </c>
      <c r="I28" s="338">
        <v>2.4769999999999999</v>
      </c>
      <c r="J28" s="340"/>
      <c r="K28" s="252">
        <v>353.55</v>
      </c>
    </row>
    <row r="29" spans="1:11" ht="20.100000000000001" customHeight="1">
      <c r="A29" s="337" t="s">
        <v>200</v>
      </c>
      <c r="B29" s="337" t="s">
        <v>233</v>
      </c>
      <c r="C29" s="338">
        <v>1.1279999999999999</v>
      </c>
      <c r="D29" s="338">
        <v>1.1279999999999999</v>
      </c>
      <c r="E29" s="338">
        <v>1.1279999999999999</v>
      </c>
      <c r="F29" s="338">
        <v>1.1279999999999999</v>
      </c>
      <c r="G29" s="338">
        <v>1.1279999999999999</v>
      </c>
      <c r="H29" s="338">
        <v>1.1279999999999999</v>
      </c>
      <c r="I29" s="338">
        <v>1.1279999999999999</v>
      </c>
      <c r="K29" s="252">
        <v>362.84</v>
      </c>
    </row>
    <row r="30" spans="1:11" ht="20.100000000000001" customHeight="1">
      <c r="A30" s="337" t="s">
        <v>200</v>
      </c>
      <c r="B30" s="337" t="s">
        <v>234</v>
      </c>
      <c r="C30" s="338">
        <v>5.9160000000000004</v>
      </c>
      <c r="D30" s="338">
        <v>5.9160000000000004</v>
      </c>
      <c r="E30" s="338">
        <v>5.9160000000000004</v>
      </c>
      <c r="F30" s="547">
        <v>4.5140000000000002</v>
      </c>
      <c r="G30" s="547"/>
      <c r="H30" s="547"/>
      <c r="I30" s="547"/>
      <c r="J30" s="340"/>
      <c r="K30" s="252">
        <v>410.43</v>
      </c>
    </row>
    <row r="31" spans="1:11" ht="20.100000000000001" customHeight="1">
      <c r="A31" s="337" t="s">
        <v>200</v>
      </c>
      <c r="B31" s="337" t="s">
        <v>235</v>
      </c>
      <c r="C31" s="338">
        <v>0.24399999999999999</v>
      </c>
      <c r="D31" s="338">
        <v>0.24399999999999999</v>
      </c>
      <c r="E31" s="338">
        <v>0.24399999999999999</v>
      </c>
      <c r="F31" s="338">
        <v>0.24399999999999999</v>
      </c>
      <c r="G31" s="338">
        <v>0.24399999999999999</v>
      </c>
      <c r="H31" s="338">
        <v>0.24399999999999999</v>
      </c>
      <c r="I31" s="338">
        <v>0.24399999999999999</v>
      </c>
      <c r="K31" s="252">
        <v>406.38</v>
      </c>
    </row>
    <row r="32" spans="1:11" ht="20.100000000000001" customHeight="1">
      <c r="A32" s="337" t="s">
        <v>200</v>
      </c>
      <c r="B32" s="337" t="s">
        <v>236</v>
      </c>
      <c r="C32" s="338">
        <v>6.5970000000000004</v>
      </c>
      <c r="D32" s="338">
        <v>6.5970000000000004</v>
      </c>
      <c r="E32" s="338">
        <v>6.5970000000000004</v>
      </c>
      <c r="F32" s="338">
        <v>6.5970000000000004</v>
      </c>
      <c r="G32" s="338">
        <v>6.5970000000000004</v>
      </c>
      <c r="H32" s="338">
        <v>6.5970000000000004</v>
      </c>
      <c r="I32" s="338">
        <v>6.5970000000000004</v>
      </c>
      <c r="K32" s="252">
        <v>413.88</v>
      </c>
    </row>
    <row r="33" spans="1:11" ht="20.100000000000001" customHeight="1">
      <c r="A33" s="337" t="s">
        <v>200</v>
      </c>
      <c r="B33" s="337" t="s">
        <v>237</v>
      </c>
      <c r="C33" s="338">
        <v>0.24299999999999999</v>
      </c>
      <c r="D33" s="338">
        <v>0.24299999999999999</v>
      </c>
      <c r="E33" s="338">
        <v>0.24299999999999999</v>
      </c>
      <c r="F33" s="338">
        <v>0.24299999999999999</v>
      </c>
      <c r="G33" s="338">
        <v>0.24299999999999999</v>
      </c>
      <c r="H33" s="338">
        <v>0.24299999999999999</v>
      </c>
      <c r="I33" s="338">
        <v>0.24299999999999999</v>
      </c>
      <c r="K33" s="252">
        <v>397.98</v>
      </c>
    </row>
    <row r="34" spans="1:11" ht="20.100000000000001" customHeight="1">
      <c r="A34" s="337" t="s">
        <v>200</v>
      </c>
      <c r="B34" s="337" t="s">
        <v>238</v>
      </c>
      <c r="C34" s="338">
        <v>5.0609999999999999</v>
      </c>
      <c r="D34" s="338">
        <v>5.0609999999999999</v>
      </c>
      <c r="E34" s="338">
        <v>5.0609999999999999</v>
      </c>
      <c r="F34" s="338">
        <v>5.0609999999999999</v>
      </c>
      <c r="G34" s="338">
        <v>5.0609999999999999</v>
      </c>
      <c r="H34" s="338">
        <v>5.0609999999999999</v>
      </c>
      <c r="I34" s="338">
        <v>5.0609999999999999</v>
      </c>
      <c r="K34" s="252">
        <v>444.34</v>
      </c>
    </row>
    <row r="35" spans="1:11" ht="20.100000000000001" customHeight="1">
      <c r="A35" s="337" t="s">
        <v>200</v>
      </c>
      <c r="B35" s="337" t="s">
        <v>239</v>
      </c>
      <c r="C35" s="338">
        <v>4.7119999999999997</v>
      </c>
      <c r="D35" s="338">
        <v>4.7119999999999997</v>
      </c>
      <c r="E35" s="338">
        <v>4.7119999999999997</v>
      </c>
      <c r="F35" s="338">
        <v>4.7119999999999997</v>
      </c>
      <c r="G35" s="338">
        <v>4.7119999999999997</v>
      </c>
      <c r="H35" s="338">
        <v>4.7119999999999997</v>
      </c>
      <c r="I35" s="338">
        <v>4.7119999999999997</v>
      </c>
      <c r="K35" s="252">
        <v>163.1</v>
      </c>
    </row>
    <row r="36" spans="1:11" ht="20.100000000000001" customHeight="1">
      <c r="A36" s="337" t="s">
        <v>200</v>
      </c>
      <c r="B36" s="337" t="s">
        <v>240</v>
      </c>
      <c r="C36" s="338">
        <v>2.794</v>
      </c>
      <c r="D36" s="338">
        <v>2.794</v>
      </c>
      <c r="E36" s="338">
        <v>2.794</v>
      </c>
      <c r="F36" s="338">
        <v>2.794</v>
      </c>
      <c r="G36" s="338">
        <v>2.794</v>
      </c>
      <c r="H36" s="338">
        <v>2.794</v>
      </c>
      <c r="I36" s="338">
        <v>2.794</v>
      </c>
      <c r="K36" s="252">
        <v>516.34</v>
      </c>
    </row>
    <row r="37" spans="1:11" ht="20.100000000000001" customHeight="1">
      <c r="A37" s="337" t="s">
        <v>201</v>
      </c>
      <c r="B37" s="337" t="s">
        <v>241</v>
      </c>
      <c r="C37" s="338">
        <v>2.7509999999999999</v>
      </c>
      <c r="D37" s="338">
        <v>2.7509999999999999</v>
      </c>
      <c r="E37" s="338">
        <v>2.7509999999999999</v>
      </c>
      <c r="F37" s="338">
        <v>2.7509999999999999</v>
      </c>
      <c r="G37" s="338">
        <v>2.7509999999999999</v>
      </c>
      <c r="H37" s="338">
        <v>2.7509999999999999</v>
      </c>
      <c r="I37" s="338">
        <v>2.7509999999999999</v>
      </c>
      <c r="K37" s="252">
        <v>300.73</v>
      </c>
    </row>
    <row r="38" spans="1:11" ht="20.100000000000001" customHeight="1">
      <c r="A38" s="337" t="s">
        <v>201</v>
      </c>
      <c r="B38" s="337" t="s">
        <v>242</v>
      </c>
      <c r="C38" s="338">
        <v>6.7279999999999998</v>
      </c>
      <c r="D38" s="338">
        <v>6.7279999999999998</v>
      </c>
      <c r="E38" s="338">
        <v>6.7279999999999998</v>
      </c>
      <c r="F38" s="338">
        <v>6.7279999999999998</v>
      </c>
      <c r="G38" s="338">
        <f>F38</f>
        <v>6.7279999999999998</v>
      </c>
      <c r="H38" s="338">
        <f>G38</f>
        <v>6.7279999999999998</v>
      </c>
      <c r="I38" s="338">
        <v>2.593</v>
      </c>
      <c r="K38" s="252">
        <v>491.39</v>
      </c>
    </row>
    <row r="39" spans="1:11" ht="20.100000000000001" customHeight="1">
      <c r="A39" s="704"/>
      <c r="B39" s="704"/>
      <c r="C39" s="343">
        <f t="shared" ref="C39:I39" si="4">SUM(C4:C38)</f>
        <v>114.38447999999998</v>
      </c>
      <c r="D39" s="343">
        <f t="shared" si="4"/>
        <v>114.38447999999998</v>
      </c>
      <c r="E39" s="343">
        <f t="shared" si="4"/>
        <v>114.38447999999998</v>
      </c>
      <c r="F39" s="343">
        <f t="shared" si="4"/>
        <v>107.97099999999999</v>
      </c>
      <c r="G39" s="343">
        <f t="shared" si="4"/>
        <v>103.45700000000001</v>
      </c>
      <c r="H39" s="343">
        <f t="shared" si="4"/>
        <v>103.45700000000001</v>
      </c>
      <c r="I39" s="343">
        <f t="shared" si="4"/>
        <v>94.51900000000002</v>
      </c>
      <c r="K39" s="252">
        <f>SUM(K26:K38)</f>
        <v>4260.96</v>
      </c>
    </row>
    <row r="40" spans="1:11" ht="20.100000000000001" hidden="1" customHeight="1">
      <c r="E40" s="549" t="s">
        <v>1104</v>
      </c>
      <c r="F40" s="550">
        <f>C39-F39</f>
        <v>6.4134799999999927</v>
      </c>
      <c r="I40" s="550">
        <f>F39-I39</f>
        <v>13.45199999999997</v>
      </c>
    </row>
    <row r="41" spans="1:11" ht="20.100000000000001" hidden="1" customHeight="1">
      <c r="E41" s="551" t="s">
        <v>1100</v>
      </c>
      <c r="F41" s="550">
        <f>E24</f>
        <v>5.0114799999999997</v>
      </c>
      <c r="K41" s="252" t="s">
        <v>67</v>
      </c>
    </row>
    <row r="42" spans="1:11" ht="20.100000000000001" hidden="1" customHeight="1">
      <c r="E42" s="551" t="s">
        <v>1103</v>
      </c>
      <c r="F42" s="550">
        <f>E30-F30</f>
        <v>1.4020000000000001</v>
      </c>
    </row>
    <row r="43" spans="1:11" ht="20.100000000000001" hidden="1" customHeight="1">
      <c r="F43" s="340"/>
    </row>
    <row r="44" spans="1:11" ht="20.100000000000001" customHeight="1">
      <c r="H44" s="340">
        <f>C39-H39</f>
        <v>10.927479999999974</v>
      </c>
      <c r="I44" s="340">
        <f>H39-I39</f>
        <v>8.9379999999999882</v>
      </c>
      <c r="K44" s="340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340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344"/>
    <col min="2" max="2" width="25.28515625" style="344" bestFit="1" customWidth="1"/>
    <col min="3" max="4" width="12.85546875" style="344"/>
    <col min="5" max="5" width="30.28515625" style="344" bestFit="1" customWidth="1"/>
    <col min="6" max="16384" width="12.85546875" style="344"/>
  </cols>
  <sheetData>
    <row r="1" spans="1:6" ht="15.75">
      <c r="A1" s="493"/>
      <c r="B1" s="494"/>
      <c r="C1" s="494"/>
      <c r="D1" s="495" t="s">
        <v>2</v>
      </c>
      <c r="E1" s="496">
        <f>+'AOTL - KEC'!M1</f>
        <v>46208</v>
      </c>
    </row>
    <row r="2" spans="1:6">
      <c r="A2" s="497"/>
      <c r="E2" s="498"/>
    </row>
    <row r="3" spans="1:6" ht="15.75">
      <c r="A3" s="707" t="s">
        <v>243</v>
      </c>
      <c r="B3" s="708"/>
      <c r="C3" s="708"/>
      <c r="D3" s="708"/>
      <c r="E3" s="709"/>
    </row>
    <row r="4" spans="1:6" s="346" customFormat="1" ht="22.35" customHeight="1">
      <c r="A4" s="499" t="s">
        <v>244</v>
      </c>
      <c r="B4" s="345" t="s">
        <v>245</v>
      </c>
      <c r="C4" s="345" t="s">
        <v>246</v>
      </c>
      <c r="D4" s="345" t="s">
        <v>247</v>
      </c>
      <c r="E4" s="500" t="s">
        <v>33</v>
      </c>
    </row>
    <row r="5" spans="1:6" s="350" customFormat="1" ht="27.6" customHeight="1">
      <c r="A5" s="501">
        <v>1</v>
      </c>
      <c r="B5" s="348" t="s">
        <v>248</v>
      </c>
      <c r="C5" s="347" t="s">
        <v>249</v>
      </c>
      <c r="D5" s="349">
        <f>'Survey Anx'!C39</f>
        <v>114.38447999999998</v>
      </c>
      <c r="E5" s="502"/>
    </row>
    <row r="6" spans="1:6" s="350" customFormat="1" ht="27.6" customHeight="1">
      <c r="A6" s="501">
        <v>2</v>
      </c>
      <c r="B6" s="348" t="s">
        <v>250</v>
      </c>
      <c r="C6" s="347" t="s">
        <v>249</v>
      </c>
      <c r="D6" s="349">
        <f>'Survey Anx'!D39</f>
        <v>114.38447999999998</v>
      </c>
      <c r="E6" s="502"/>
    </row>
    <row r="7" spans="1:6" s="350" customFormat="1" ht="27.6" customHeight="1">
      <c r="A7" s="501">
        <v>3</v>
      </c>
      <c r="B7" s="348" t="s">
        <v>28</v>
      </c>
      <c r="C7" s="347" t="s">
        <v>249</v>
      </c>
      <c r="D7" s="349">
        <f>D5-D6</f>
        <v>0</v>
      </c>
      <c r="E7" s="502" t="s">
        <v>251</v>
      </c>
      <c r="F7" s="351"/>
    </row>
    <row r="8" spans="1:6" s="350" customFormat="1" ht="27.6" customHeight="1">
      <c r="A8" s="501">
        <v>4</v>
      </c>
      <c r="B8" s="348" t="s">
        <v>252</v>
      </c>
      <c r="C8" s="347" t="s">
        <v>249</v>
      </c>
      <c r="D8" s="349">
        <f>'Survey Anx'!F39</f>
        <v>107.97099999999999</v>
      </c>
      <c r="E8" s="502"/>
    </row>
    <row r="9" spans="1:6" s="350" customFormat="1" ht="27.6" customHeight="1">
      <c r="A9" s="501">
        <v>5</v>
      </c>
      <c r="B9" s="348" t="s">
        <v>29</v>
      </c>
      <c r="C9" s="347" t="s">
        <v>249</v>
      </c>
      <c r="D9" s="349">
        <v>16.838999999999999</v>
      </c>
      <c r="E9" s="502" t="s">
        <v>253</v>
      </c>
    </row>
    <row r="10" spans="1:6" s="350" customFormat="1" ht="27.6" customHeight="1">
      <c r="A10" s="501">
        <v>6</v>
      </c>
      <c r="B10" s="348" t="s">
        <v>254</v>
      </c>
      <c r="C10" s="347" t="s">
        <v>249</v>
      </c>
      <c r="D10" s="349">
        <f>'Survey Anx'!G39</f>
        <v>103.45700000000001</v>
      </c>
      <c r="E10" s="503"/>
      <c r="F10" s="352"/>
    </row>
    <row r="11" spans="1:6" s="350" customFormat="1" ht="27.6" customHeight="1">
      <c r="A11" s="501">
        <v>7</v>
      </c>
      <c r="B11" s="348" t="s">
        <v>255</v>
      </c>
      <c r="C11" s="347" t="s">
        <v>249</v>
      </c>
      <c r="D11" s="349">
        <f>'Survey Anx'!I39</f>
        <v>94.51900000000002</v>
      </c>
      <c r="E11" s="502"/>
      <c r="F11" s="351">
        <f>D10-D11</f>
        <v>8.9379999999999882</v>
      </c>
    </row>
    <row r="12" spans="1:6" s="350" customFormat="1" ht="27.6" customHeight="1">
      <c r="A12" s="501">
        <v>8</v>
      </c>
      <c r="B12" s="348" t="s">
        <v>29</v>
      </c>
      <c r="C12" s="347" t="s">
        <v>249</v>
      </c>
      <c r="D12" s="349">
        <f>D10-D11</f>
        <v>8.9379999999999882</v>
      </c>
      <c r="E12" s="502"/>
    </row>
    <row r="13" spans="1:6" s="350" customFormat="1" ht="27.6" customHeight="1" thickBot="1">
      <c r="A13" s="504">
        <v>9</v>
      </c>
      <c r="B13" s="505" t="s">
        <v>256</v>
      </c>
      <c r="C13" s="506" t="s">
        <v>249</v>
      </c>
      <c r="D13" s="507">
        <f>D8-D11</f>
        <v>13.45199999999997</v>
      </c>
      <c r="E13" s="508"/>
    </row>
    <row r="14" spans="1:6" s="350" customFormat="1" ht="22.35" customHeight="1"/>
    <row r="15" spans="1:6">
      <c r="D15" s="353"/>
      <c r="E15" s="353"/>
    </row>
    <row r="16" spans="1:6">
      <c r="D16" s="353"/>
      <c r="E16" s="353"/>
    </row>
    <row r="17" spans="4:5">
      <c r="D17" s="353"/>
      <c r="E17" s="353"/>
    </row>
    <row r="18" spans="4:5">
      <c r="D18" s="353"/>
      <c r="E18" s="353"/>
    </row>
    <row r="19" spans="4:5">
      <c r="D19" s="353"/>
      <c r="E19" s="353"/>
    </row>
    <row r="20" spans="4:5">
      <c r="D20" s="353"/>
      <c r="E20" s="353"/>
    </row>
    <row r="21" spans="4:5">
      <c r="D21" s="353"/>
      <c r="E21" s="353"/>
    </row>
    <row r="22" spans="4:5">
      <c r="D22" s="353"/>
      <c r="E22" s="353"/>
    </row>
    <row r="23" spans="4:5">
      <c r="D23" s="353"/>
      <c r="E23" s="353"/>
    </row>
    <row r="24" spans="4:5">
      <c r="D24" s="353"/>
      <c r="E24" s="353"/>
    </row>
    <row r="25" spans="4:5">
      <c r="D25" s="353"/>
      <c r="E25" s="353"/>
    </row>
    <row r="26" spans="4:5">
      <c r="D26" s="353"/>
      <c r="E26" s="353"/>
    </row>
    <row r="27" spans="4:5">
      <c r="D27" s="353"/>
      <c r="E27" s="353"/>
    </row>
    <row r="28" spans="4:5">
      <c r="D28" s="353"/>
      <c r="E28" s="353"/>
    </row>
    <row r="29" spans="4:5">
      <c r="D29" s="353"/>
      <c r="E29" s="353"/>
    </row>
    <row r="30" spans="4:5">
      <c r="D30" s="353"/>
      <c r="E30" s="353"/>
    </row>
    <row r="31" spans="4:5">
      <c r="D31" s="353"/>
      <c r="E31" s="353"/>
    </row>
    <row r="32" spans="4:5">
      <c r="D32" s="353"/>
      <c r="E32" s="353"/>
    </row>
    <row r="33" spans="4:5">
      <c r="D33" s="353"/>
      <c r="E33" s="353"/>
    </row>
    <row r="34" spans="4:5">
      <c r="D34" s="353"/>
      <c r="E34" s="353"/>
    </row>
    <row r="35" spans="4:5">
      <c r="D35" s="353"/>
      <c r="E35" s="353"/>
    </row>
    <row r="36" spans="4:5">
      <c r="D36" s="353"/>
      <c r="E36" s="353"/>
    </row>
    <row r="37" spans="4:5">
      <c r="D37" s="353"/>
      <c r="E37" s="353"/>
    </row>
    <row r="38" spans="4:5">
      <c r="D38" s="353"/>
      <c r="E38" s="353"/>
    </row>
    <row r="39" spans="4:5">
      <c r="D39" s="353"/>
      <c r="E39" s="353"/>
    </row>
    <row r="40" spans="4:5">
      <c r="D40" s="353"/>
      <c r="E40" s="353"/>
    </row>
    <row r="41" spans="4:5">
      <c r="D41" s="353"/>
      <c r="E41" s="353"/>
    </row>
    <row r="42" spans="4:5">
      <c r="D42" s="353"/>
      <c r="E42" s="353"/>
    </row>
    <row r="43" spans="4:5">
      <c r="D43" s="353"/>
      <c r="E43" s="353"/>
    </row>
    <row r="44" spans="4:5">
      <c r="D44" s="353"/>
      <c r="E44" s="353"/>
    </row>
    <row r="45" spans="4:5">
      <c r="D45" s="353"/>
      <c r="E45" s="35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5" activePane="bottomLeft" state="frozen"/>
      <selection pane="bottomLeft" activeCell="H103" sqref="H103"/>
    </sheetView>
  </sheetViews>
  <sheetFormatPr defaultColWidth="9.42578125" defaultRowHeight="15"/>
  <cols>
    <col min="1" max="1" width="7.5703125" style="350" customWidth="1"/>
    <col min="2" max="2" width="11.28515625" style="350" customWidth="1"/>
    <col min="3" max="3" width="13.28515625" style="350" customWidth="1"/>
    <col min="4" max="4" width="11.7109375" style="350" customWidth="1"/>
    <col min="5" max="5" width="16.7109375" style="351" customWidth="1"/>
    <col min="6" max="6" width="16.5703125" style="350" customWidth="1"/>
    <col min="7" max="7" width="34.42578125" style="420" customWidth="1"/>
    <col min="8" max="8" width="16.7109375" style="387" customWidth="1"/>
    <col min="9" max="9" width="15" style="350" customWidth="1"/>
    <col min="10" max="10" width="12.85546875" style="350" customWidth="1"/>
    <col min="11" max="11" width="23.7109375" style="393" bestFit="1" customWidth="1"/>
    <col min="12" max="12" width="13" style="350" customWidth="1"/>
    <col min="13" max="13" width="20.5703125" style="350" customWidth="1"/>
    <col min="14" max="14" width="16.28515625" style="350" customWidth="1"/>
    <col min="15" max="16384" width="9.42578125" style="383"/>
  </cols>
  <sheetData>
    <row r="1" spans="1:16" s="395" customFormat="1" ht="15.75">
      <c r="A1" s="710" t="s">
        <v>336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2"/>
      <c r="N1" s="407">
        <f>'765KV ASOTL'!G1</f>
        <v>46208</v>
      </c>
      <c r="P1" s="395" t="s">
        <v>337</v>
      </c>
    </row>
    <row r="2" spans="1:16" s="346" customFormat="1" ht="34.5">
      <c r="A2" s="384" t="s">
        <v>244</v>
      </c>
      <c r="B2" s="384" t="s">
        <v>338</v>
      </c>
      <c r="C2" s="384" t="s">
        <v>339</v>
      </c>
      <c r="D2" s="384" t="s">
        <v>263</v>
      </c>
      <c r="E2" s="385" t="s">
        <v>340</v>
      </c>
      <c r="F2" s="384" t="s">
        <v>341</v>
      </c>
      <c r="G2" s="384" t="s">
        <v>342</v>
      </c>
      <c r="H2" s="384" t="s">
        <v>343</v>
      </c>
      <c r="I2" s="384" t="s">
        <v>344</v>
      </c>
      <c r="J2" s="384" t="s">
        <v>33</v>
      </c>
      <c r="K2" s="384" t="s">
        <v>345</v>
      </c>
      <c r="L2" s="384" t="s">
        <v>346</v>
      </c>
      <c r="M2" s="384" t="s">
        <v>347</v>
      </c>
      <c r="N2" s="384" t="s">
        <v>348</v>
      </c>
    </row>
    <row r="3" spans="1:16" ht="25.15" customHeight="1">
      <c r="A3" s="423" t="e">
        <f>A2+1</f>
        <v>#VALUE!</v>
      </c>
      <c r="B3" s="423" t="s">
        <v>358</v>
      </c>
      <c r="C3" s="423" t="s">
        <v>350</v>
      </c>
      <c r="D3" s="423" t="s">
        <v>274</v>
      </c>
      <c r="E3" s="424">
        <f>5.618+57.728</f>
        <v>63.346000000000004</v>
      </c>
      <c r="F3" s="425">
        <v>45700</v>
      </c>
      <c r="G3" s="426"/>
      <c r="H3" s="423" t="s">
        <v>38</v>
      </c>
      <c r="I3" s="425">
        <v>45705</v>
      </c>
      <c r="J3" s="427"/>
      <c r="K3" s="428" t="s">
        <v>352</v>
      </c>
      <c r="L3" s="423" t="s">
        <v>353</v>
      </c>
      <c r="M3" s="425">
        <v>45720</v>
      </c>
      <c r="N3" s="423"/>
    </row>
    <row r="4" spans="1:16" ht="25.15" customHeight="1">
      <c r="A4" s="423" t="e">
        <f>A3+1</f>
        <v>#VALUE!</v>
      </c>
      <c r="B4" s="423" t="s">
        <v>354</v>
      </c>
      <c r="C4" s="423" t="s">
        <v>350</v>
      </c>
      <c r="D4" s="423" t="s">
        <v>351</v>
      </c>
      <c r="E4" s="424">
        <f>3.264+35.862</f>
        <v>39.126000000000005</v>
      </c>
      <c r="F4" s="425">
        <v>45706</v>
      </c>
      <c r="G4" s="426"/>
      <c r="H4" s="423" t="s">
        <v>38</v>
      </c>
      <c r="I4" s="425">
        <v>45710</v>
      </c>
      <c r="J4" s="427"/>
      <c r="K4" s="428" t="s">
        <v>355</v>
      </c>
      <c r="L4" s="423" t="s">
        <v>353</v>
      </c>
      <c r="M4" s="425">
        <v>45717</v>
      </c>
      <c r="N4" s="423"/>
    </row>
    <row r="5" spans="1:16" ht="25.15" customHeight="1">
      <c r="A5" s="423">
        <v>1</v>
      </c>
      <c r="B5" s="423" t="s">
        <v>349</v>
      </c>
      <c r="C5" s="423" t="s">
        <v>350</v>
      </c>
      <c r="D5" s="423" t="s">
        <v>351</v>
      </c>
      <c r="E5" s="424">
        <f>3.264+35.862</f>
        <v>39.126000000000005</v>
      </c>
      <c r="F5" s="425">
        <v>45706</v>
      </c>
      <c r="G5" s="426"/>
      <c r="H5" s="423" t="s">
        <v>38</v>
      </c>
      <c r="I5" s="425">
        <v>45713</v>
      </c>
      <c r="J5" s="427"/>
      <c r="K5" s="428" t="s">
        <v>352</v>
      </c>
      <c r="L5" s="423" t="s">
        <v>353</v>
      </c>
      <c r="M5" s="425">
        <v>45715</v>
      </c>
      <c r="N5" s="423"/>
    </row>
    <row r="6" spans="1:16" ht="25.15" customHeight="1">
      <c r="A6" s="423">
        <f t="shared" ref="A6:A37" si="0">A5+1</f>
        <v>2</v>
      </c>
      <c r="B6" s="423" t="s">
        <v>356</v>
      </c>
      <c r="C6" s="423" t="s">
        <v>357</v>
      </c>
      <c r="D6" s="423" t="s">
        <v>351</v>
      </c>
      <c r="E6" s="424">
        <f>3.486+37.148</f>
        <v>40.634</v>
      </c>
      <c r="F6" s="425">
        <v>45711</v>
      </c>
      <c r="G6" s="426"/>
      <c r="H6" s="423" t="s">
        <v>38</v>
      </c>
      <c r="I6" s="425">
        <v>45715</v>
      </c>
      <c r="J6" s="427"/>
      <c r="K6" s="428" t="s">
        <v>355</v>
      </c>
      <c r="L6" s="423" t="s">
        <v>353</v>
      </c>
      <c r="M6" s="425">
        <v>45717</v>
      </c>
      <c r="N6" s="423"/>
    </row>
    <row r="7" spans="1:16" ht="25.15" customHeight="1">
      <c r="A7" s="423">
        <f t="shared" si="0"/>
        <v>3</v>
      </c>
      <c r="B7" s="423" t="s">
        <v>361</v>
      </c>
      <c r="C7" s="423" t="s">
        <v>300</v>
      </c>
      <c r="D7" s="423" t="s">
        <v>351</v>
      </c>
      <c r="E7" s="424">
        <f>5.294+57.588</f>
        <v>62.881999999999998</v>
      </c>
      <c r="F7" s="446">
        <v>45721</v>
      </c>
      <c r="G7" s="447"/>
      <c r="H7" s="448" t="s">
        <v>38</v>
      </c>
      <c r="I7" s="446">
        <v>45728</v>
      </c>
      <c r="J7" s="449"/>
      <c r="K7" s="450" t="s">
        <v>355</v>
      </c>
      <c r="L7" s="448" t="s">
        <v>353</v>
      </c>
      <c r="M7" s="446">
        <v>45732</v>
      </c>
      <c r="N7" s="448"/>
    </row>
    <row r="8" spans="1:16" ht="25.15" customHeight="1">
      <c r="A8" s="423">
        <f t="shared" si="0"/>
        <v>4</v>
      </c>
      <c r="B8" s="423" t="s">
        <v>360</v>
      </c>
      <c r="C8" s="423" t="s">
        <v>357</v>
      </c>
      <c r="D8" s="423" t="s">
        <v>274</v>
      </c>
      <c r="E8" s="424">
        <f>5.951+59.68</f>
        <v>65.631</v>
      </c>
      <c r="F8" s="425">
        <v>45721</v>
      </c>
      <c r="G8" s="426"/>
      <c r="H8" s="423" t="s">
        <v>38</v>
      </c>
      <c r="I8" s="425">
        <v>45729</v>
      </c>
      <c r="J8" s="427"/>
      <c r="K8" s="428" t="s">
        <v>352</v>
      </c>
      <c r="L8" s="423" t="s">
        <v>353</v>
      </c>
      <c r="M8" s="425">
        <v>45731</v>
      </c>
      <c r="N8" s="423"/>
    </row>
    <row r="9" spans="1:16" ht="25.15" customHeight="1">
      <c r="A9" s="423">
        <f t="shared" si="0"/>
        <v>5</v>
      </c>
      <c r="B9" s="423" t="s">
        <v>362</v>
      </c>
      <c r="C9" s="423" t="s">
        <v>350</v>
      </c>
      <c r="D9" s="423" t="s">
        <v>351</v>
      </c>
      <c r="E9" s="424">
        <f>3.264+35.862</f>
        <v>39.126000000000005</v>
      </c>
      <c r="F9" s="425">
        <v>45729</v>
      </c>
      <c r="G9" s="426"/>
      <c r="H9" s="423" t="s">
        <v>38</v>
      </c>
      <c r="I9" s="425">
        <v>45732</v>
      </c>
      <c r="J9" s="427"/>
      <c r="K9" s="428" t="s">
        <v>355</v>
      </c>
      <c r="L9" s="423" t="s">
        <v>353</v>
      </c>
      <c r="M9" s="425">
        <v>45733</v>
      </c>
      <c r="N9" s="423"/>
    </row>
    <row r="10" spans="1:16" ht="25.15" customHeight="1">
      <c r="A10" s="423">
        <f t="shared" si="0"/>
        <v>6</v>
      </c>
      <c r="B10" s="423" t="s">
        <v>363</v>
      </c>
      <c r="C10" s="423" t="s">
        <v>357</v>
      </c>
      <c r="D10" s="423" t="s">
        <v>351</v>
      </c>
      <c r="E10" s="424">
        <f>3.486+37.148</f>
        <v>40.634</v>
      </c>
      <c r="F10" s="425">
        <v>45737</v>
      </c>
      <c r="G10" s="429"/>
      <c r="H10" s="423" t="s">
        <v>38</v>
      </c>
      <c r="I10" s="425">
        <v>45741</v>
      </c>
      <c r="J10" s="427"/>
      <c r="K10" s="430" t="s">
        <v>352</v>
      </c>
      <c r="L10" s="423" t="s">
        <v>353</v>
      </c>
      <c r="M10" s="425">
        <v>45744</v>
      </c>
      <c r="N10" s="423"/>
    </row>
    <row r="11" spans="1:16" ht="25.15" customHeight="1">
      <c r="A11" s="423">
        <f t="shared" si="0"/>
        <v>7</v>
      </c>
      <c r="B11" s="423" t="s">
        <v>359</v>
      </c>
      <c r="C11" s="423" t="s">
        <v>350</v>
      </c>
      <c r="D11" s="423" t="s">
        <v>351</v>
      </c>
      <c r="E11" s="424">
        <f>3.264+35.862</f>
        <v>39.126000000000005</v>
      </c>
      <c r="F11" s="425">
        <v>45742</v>
      </c>
      <c r="G11" s="426"/>
      <c r="H11" s="423" t="s">
        <v>38</v>
      </c>
      <c r="I11" s="425">
        <v>45746</v>
      </c>
      <c r="J11" s="427"/>
      <c r="K11" s="428" t="s">
        <v>352</v>
      </c>
      <c r="L11" s="423" t="s">
        <v>353</v>
      </c>
      <c r="M11" s="425">
        <v>45750</v>
      </c>
      <c r="N11" s="423"/>
    </row>
    <row r="12" spans="1:16" ht="25.15" customHeight="1">
      <c r="A12" s="423">
        <f t="shared" si="0"/>
        <v>8</v>
      </c>
      <c r="B12" s="423" t="s">
        <v>137</v>
      </c>
      <c r="C12" s="423" t="s">
        <v>350</v>
      </c>
      <c r="D12" s="423" t="s">
        <v>351</v>
      </c>
      <c r="E12" s="424">
        <f>3.264+35.862</f>
        <v>39.126000000000005</v>
      </c>
      <c r="F12" s="425">
        <v>45742</v>
      </c>
      <c r="G12" s="426"/>
      <c r="H12" s="423" t="s">
        <v>38</v>
      </c>
      <c r="I12" s="425">
        <v>45763</v>
      </c>
      <c r="J12" s="427"/>
      <c r="K12" s="428" t="s">
        <v>366</v>
      </c>
      <c r="L12" s="423" t="s">
        <v>353</v>
      </c>
      <c r="M12" s="425">
        <v>45783</v>
      </c>
      <c r="N12" s="423"/>
    </row>
    <row r="13" spans="1:16" ht="25.15" customHeight="1">
      <c r="A13" s="423">
        <f t="shared" si="0"/>
        <v>9</v>
      </c>
      <c r="B13" s="423" t="s">
        <v>369</v>
      </c>
      <c r="C13" s="423" t="s">
        <v>298</v>
      </c>
      <c r="D13" s="423" t="s">
        <v>351</v>
      </c>
      <c r="E13" s="424">
        <f>11.31+166.88</f>
        <v>178.19</v>
      </c>
      <c r="F13" s="425">
        <v>45752</v>
      </c>
      <c r="G13" s="426"/>
      <c r="H13" s="423" t="s">
        <v>38</v>
      </c>
      <c r="I13" s="425">
        <v>45768</v>
      </c>
      <c r="J13" s="427"/>
      <c r="K13" s="428" t="s">
        <v>366</v>
      </c>
      <c r="L13" s="423" t="s">
        <v>353</v>
      </c>
      <c r="M13" s="425">
        <v>45788</v>
      </c>
      <c r="N13" s="423"/>
    </row>
    <row r="14" spans="1:16" ht="25.15" customHeight="1">
      <c r="A14" s="423">
        <f t="shared" si="0"/>
        <v>10</v>
      </c>
      <c r="B14" s="423" t="s">
        <v>364</v>
      </c>
      <c r="C14" s="423" t="s">
        <v>350</v>
      </c>
      <c r="D14" s="423" t="s">
        <v>351</v>
      </c>
      <c r="E14" s="424">
        <f>3.264+35.862</f>
        <v>39.126000000000005</v>
      </c>
      <c r="F14" s="425">
        <v>45761</v>
      </c>
      <c r="G14" s="426"/>
      <c r="H14" s="423" t="s">
        <v>38</v>
      </c>
      <c r="I14" s="425">
        <v>45768</v>
      </c>
      <c r="J14" s="427"/>
      <c r="K14" s="428" t="s">
        <v>355</v>
      </c>
      <c r="L14" s="423" t="s">
        <v>353</v>
      </c>
      <c r="M14" s="425">
        <v>45770</v>
      </c>
      <c r="N14" s="423"/>
    </row>
    <row r="15" spans="1:16" ht="25.15" customHeight="1">
      <c r="A15" s="423">
        <f t="shared" si="0"/>
        <v>11</v>
      </c>
      <c r="B15" s="423" t="s">
        <v>368</v>
      </c>
      <c r="C15" s="423" t="s">
        <v>302</v>
      </c>
      <c r="D15" s="423" t="s">
        <v>351</v>
      </c>
      <c r="E15" s="424">
        <f>9.059+119.368</f>
        <v>128.42699999999999</v>
      </c>
      <c r="F15" s="425">
        <v>45761</v>
      </c>
      <c r="G15" s="426"/>
      <c r="H15" s="423" t="s">
        <v>38</v>
      </c>
      <c r="I15" s="425">
        <v>45774</v>
      </c>
      <c r="J15" s="427"/>
      <c r="K15" s="428" t="s">
        <v>366</v>
      </c>
      <c r="L15" s="423" t="s">
        <v>353</v>
      </c>
      <c r="M15" s="425">
        <v>45788</v>
      </c>
      <c r="N15" s="423"/>
    </row>
    <row r="16" spans="1:16" ht="25.15" customHeight="1">
      <c r="A16" s="423">
        <f t="shared" si="0"/>
        <v>12</v>
      </c>
      <c r="B16" s="423" t="s">
        <v>365</v>
      </c>
      <c r="C16" s="423" t="s">
        <v>350</v>
      </c>
      <c r="D16" s="423" t="s">
        <v>351</v>
      </c>
      <c r="E16" s="424">
        <f>3.264+35.862</f>
        <v>39.126000000000005</v>
      </c>
      <c r="F16" s="425">
        <v>45770</v>
      </c>
      <c r="G16" s="426"/>
      <c r="H16" s="423" t="s">
        <v>38</v>
      </c>
      <c r="I16" s="425">
        <v>45775</v>
      </c>
      <c r="J16" s="427"/>
      <c r="K16" s="428" t="s">
        <v>355</v>
      </c>
      <c r="L16" s="423" t="s">
        <v>353</v>
      </c>
      <c r="M16" s="425">
        <v>45779</v>
      </c>
      <c r="N16" s="423"/>
    </row>
    <row r="17" spans="1:14" ht="25.15" customHeight="1">
      <c r="A17" s="423">
        <f t="shared" si="0"/>
        <v>13</v>
      </c>
      <c r="B17" s="423" t="s">
        <v>367</v>
      </c>
      <c r="C17" s="423" t="s">
        <v>350</v>
      </c>
      <c r="D17" s="423" t="s">
        <v>351</v>
      </c>
      <c r="E17" s="424">
        <f>3.264+35.862</f>
        <v>39.126000000000005</v>
      </c>
      <c r="F17" s="425">
        <v>45761</v>
      </c>
      <c r="G17" s="426"/>
      <c r="H17" s="423" t="s">
        <v>38</v>
      </c>
      <c r="I17" s="425">
        <v>45776</v>
      </c>
      <c r="J17" s="427"/>
      <c r="K17" s="428" t="s">
        <v>366</v>
      </c>
      <c r="L17" s="423" t="s">
        <v>353</v>
      </c>
      <c r="M17" s="425">
        <v>45783</v>
      </c>
      <c r="N17" s="423"/>
    </row>
    <row r="18" spans="1:14" ht="25.15" customHeight="1">
      <c r="A18" s="423">
        <f t="shared" si="0"/>
        <v>14</v>
      </c>
      <c r="B18" s="423" t="s">
        <v>370</v>
      </c>
      <c r="C18" s="423" t="s">
        <v>298</v>
      </c>
      <c r="D18" s="423" t="s">
        <v>351</v>
      </c>
      <c r="E18" s="424">
        <f>11.31+166.88</f>
        <v>178.19</v>
      </c>
      <c r="F18" s="425">
        <v>45772</v>
      </c>
      <c r="G18" s="426"/>
      <c r="H18" s="423" t="s">
        <v>38</v>
      </c>
      <c r="I18" s="425">
        <v>45791</v>
      </c>
      <c r="J18" s="427"/>
      <c r="K18" s="428" t="s">
        <v>366</v>
      </c>
      <c r="L18" s="423" t="s">
        <v>353</v>
      </c>
      <c r="M18" s="425">
        <v>45791</v>
      </c>
      <c r="N18" s="423"/>
    </row>
    <row r="19" spans="1:14" ht="25.15" customHeight="1">
      <c r="A19" s="423">
        <f t="shared" si="0"/>
        <v>15</v>
      </c>
      <c r="B19" s="443" t="s">
        <v>383</v>
      </c>
      <c r="C19" s="443" t="s">
        <v>350</v>
      </c>
      <c r="D19" s="443" t="s">
        <v>274</v>
      </c>
      <c r="E19" s="441">
        <f>5.618+57.728</f>
        <v>63.346000000000004</v>
      </c>
      <c r="F19" s="444">
        <v>45780</v>
      </c>
      <c r="G19" s="433"/>
      <c r="H19" s="443" t="s">
        <v>38</v>
      </c>
      <c r="I19" s="444">
        <v>45792</v>
      </c>
      <c r="J19" s="439"/>
      <c r="K19" s="445" t="s">
        <v>355</v>
      </c>
      <c r="L19" s="448" t="s">
        <v>384</v>
      </c>
      <c r="M19" s="448"/>
      <c r="N19" s="443"/>
    </row>
    <row r="20" spans="1:14" ht="25.15" customHeight="1">
      <c r="A20" s="423">
        <f t="shared" si="0"/>
        <v>16</v>
      </c>
      <c r="B20" s="423" t="s">
        <v>371</v>
      </c>
      <c r="C20" s="423" t="s">
        <v>357</v>
      </c>
      <c r="D20" s="423" t="s">
        <v>351</v>
      </c>
      <c r="E20" s="424">
        <f>3.486+37.148</f>
        <v>40.634</v>
      </c>
      <c r="F20" s="425">
        <v>45790</v>
      </c>
      <c r="G20" s="426"/>
      <c r="H20" s="423" t="s">
        <v>38</v>
      </c>
      <c r="I20" s="425">
        <v>45798</v>
      </c>
      <c r="J20" s="427"/>
      <c r="K20" s="428" t="s">
        <v>355</v>
      </c>
      <c r="L20" s="423" t="s">
        <v>353</v>
      </c>
      <c r="M20" s="425">
        <v>45801</v>
      </c>
      <c r="N20" s="423"/>
    </row>
    <row r="21" spans="1:14" ht="25.15" customHeight="1">
      <c r="A21" s="423">
        <f t="shared" si="0"/>
        <v>17</v>
      </c>
      <c r="B21" s="423" t="s">
        <v>385</v>
      </c>
      <c r="C21" s="423" t="s">
        <v>350</v>
      </c>
      <c r="D21" s="423" t="s">
        <v>351</v>
      </c>
      <c r="E21" s="424">
        <f>3.264+35.862</f>
        <v>39.126000000000005</v>
      </c>
      <c r="F21" s="425">
        <v>45792</v>
      </c>
      <c r="G21" s="426"/>
      <c r="H21" s="423" t="s">
        <v>38</v>
      </c>
      <c r="I21" s="425">
        <v>45800</v>
      </c>
      <c r="J21" s="427"/>
      <c r="K21" s="428" t="s">
        <v>355</v>
      </c>
      <c r="L21" s="448" t="s">
        <v>384</v>
      </c>
      <c r="M21" s="448"/>
      <c r="N21" s="423"/>
    </row>
    <row r="22" spans="1:14" ht="25.15" customHeight="1">
      <c r="A22" s="423">
        <f t="shared" si="0"/>
        <v>18</v>
      </c>
      <c r="B22" s="423" t="s">
        <v>372</v>
      </c>
      <c r="C22" s="423" t="s">
        <v>373</v>
      </c>
      <c r="D22" s="423" t="s">
        <v>351</v>
      </c>
      <c r="E22" s="424">
        <f>7.224+85.068</f>
        <v>92.292000000000002</v>
      </c>
      <c r="F22" s="425">
        <v>45792</v>
      </c>
      <c r="G22" s="426"/>
      <c r="H22" s="423" t="s">
        <v>38</v>
      </c>
      <c r="I22" s="425">
        <v>45802</v>
      </c>
      <c r="J22" s="427"/>
      <c r="K22" s="428" t="s">
        <v>366</v>
      </c>
      <c r="L22" s="423" t="s">
        <v>353</v>
      </c>
      <c r="M22" s="425">
        <v>45803</v>
      </c>
      <c r="N22" s="423"/>
    </row>
    <row r="23" spans="1:14" ht="25.15" customHeight="1">
      <c r="A23" s="423">
        <f t="shared" si="0"/>
        <v>19</v>
      </c>
      <c r="B23" s="423" t="s">
        <v>387</v>
      </c>
      <c r="C23" s="423" t="s">
        <v>350</v>
      </c>
      <c r="D23" s="423" t="s">
        <v>351</v>
      </c>
      <c r="E23" s="424">
        <f>3.264+35.862</f>
        <v>39.126000000000005</v>
      </c>
      <c r="F23" s="425">
        <v>45794</v>
      </c>
      <c r="G23" s="426"/>
      <c r="H23" s="423" t="s">
        <v>38</v>
      </c>
      <c r="I23" s="425">
        <v>45805</v>
      </c>
      <c r="J23" s="427"/>
      <c r="K23" s="428" t="s">
        <v>355</v>
      </c>
      <c r="L23" s="448" t="s">
        <v>384</v>
      </c>
      <c r="M23" s="448"/>
      <c r="N23" s="423"/>
    </row>
    <row r="24" spans="1:14" ht="25.15" customHeight="1">
      <c r="A24" s="423">
        <f t="shared" si="0"/>
        <v>20</v>
      </c>
      <c r="B24" s="423" t="s">
        <v>386</v>
      </c>
      <c r="C24" s="423" t="s">
        <v>350</v>
      </c>
      <c r="D24" s="423" t="s">
        <v>274</v>
      </c>
      <c r="E24" s="441">
        <f>5.618+57.728</f>
        <v>63.346000000000004</v>
      </c>
      <c r="F24" s="425">
        <v>45796</v>
      </c>
      <c r="G24" s="426"/>
      <c r="H24" s="423" t="s">
        <v>38</v>
      </c>
      <c r="I24" s="425">
        <v>45808</v>
      </c>
      <c r="J24" s="427"/>
      <c r="K24" s="428" t="s">
        <v>355</v>
      </c>
      <c r="L24" s="448" t="s">
        <v>384</v>
      </c>
      <c r="M24" s="448"/>
      <c r="N24" s="423"/>
    </row>
    <row r="25" spans="1:14" ht="25.15" customHeight="1">
      <c r="A25" s="423">
        <f t="shared" si="0"/>
        <v>21</v>
      </c>
      <c r="B25" s="423" t="s">
        <v>376</v>
      </c>
      <c r="C25" s="423" t="s">
        <v>357</v>
      </c>
      <c r="D25" s="423" t="s">
        <v>351</v>
      </c>
      <c r="E25" s="424">
        <f>3.486+37.148</f>
        <v>40.634</v>
      </c>
      <c r="F25" s="425">
        <v>45802</v>
      </c>
      <c r="G25" s="426"/>
      <c r="H25" s="423" t="s">
        <v>38</v>
      </c>
      <c r="I25" s="425">
        <v>45810</v>
      </c>
      <c r="J25" s="427"/>
      <c r="K25" s="428" t="s">
        <v>375</v>
      </c>
      <c r="L25" s="423" t="s">
        <v>353</v>
      </c>
      <c r="M25" s="425">
        <v>45818</v>
      </c>
      <c r="N25" s="423"/>
    </row>
    <row r="26" spans="1:14" ht="25.15" customHeight="1">
      <c r="A26" s="423">
        <f t="shared" si="0"/>
        <v>22</v>
      </c>
      <c r="B26" s="423" t="s">
        <v>377</v>
      </c>
      <c r="C26" s="423" t="s">
        <v>350</v>
      </c>
      <c r="D26" s="423" t="s">
        <v>351</v>
      </c>
      <c r="E26" s="424">
        <f>3.264+35.862</f>
        <v>39.126000000000005</v>
      </c>
      <c r="F26" s="425">
        <v>45807</v>
      </c>
      <c r="G26" s="426"/>
      <c r="H26" s="423" t="s">
        <v>38</v>
      </c>
      <c r="I26" s="425">
        <v>45813</v>
      </c>
      <c r="J26" s="427"/>
      <c r="K26" s="428" t="s">
        <v>375</v>
      </c>
      <c r="L26" s="423" t="s">
        <v>353</v>
      </c>
      <c r="M26" s="425">
        <v>45818</v>
      </c>
      <c r="N26" s="423"/>
    </row>
    <row r="27" spans="1:14" ht="25.15" customHeight="1">
      <c r="A27" s="423">
        <f t="shared" si="0"/>
        <v>23</v>
      </c>
      <c r="B27" s="423" t="s">
        <v>374</v>
      </c>
      <c r="C27" s="423" t="s">
        <v>335</v>
      </c>
      <c r="D27" s="423" t="s">
        <v>351</v>
      </c>
      <c r="E27" s="424">
        <f>4.343+50.332</f>
        <v>54.674999999999997</v>
      </c>
      <c r="F27" s="425">
        <v>45809</v>
      </c>
      <c r="G27" s="426"/>
      <c r="H27" s="423" t="s">
        <v>38</v>
      </c>
      <c r="I27" s="425">
        <v>45875</v>
      </c>
      <c r="J27" s="427"/>
      <c r="K27" s="428" t="s">
        <v>375</v>
      </c>
      <c r="L27" s="423" t="s">
        <v>353</v>
      </c>
      <c r="M27" s="425">
        <v>45816</v>
      </c>
      <c r="N27" s="423"/>
    </row>
    <row r="28" spans="1:14" ht="25.15" customHeight="1">
      <c r="A28" s="423">
        <f t="shared" si="0"/>
        <v>24</v>
      </c>
      <c r="B28" s="423" t="s">
        <v>168</v>
      </c>
      <c r="C28" s="423" t="s">
        <v>300</v>
      </c>
      <c r="D28" s="423" t="s">
        <v>351</v>
      </c>
      <c r="E28" s="424">
        <f>5.294+57.588</f>
        <v>62.881999999999998</v>
      </c>
      <c r="F28" s="425">
        <v>45861</v>
      </c>
      <c r="G28" s="426"/>
      <c r="H28" s="423" t="s">
        <v>38</v>
      </c>
      <c r="I28" s="425">
        <v>45916</v>
      </c>
      <c r="J28" s="427"/>
      <c r="K28" s="428"/>
      <c r="L28" s="423" t="s">
        <v>353</v>
      </c>
      <c r="M28" s="425">
        <v>45921</v>
      </c>
      <c r="N28" s="423"/>
    </row>
    <row r="29" spans="1:14" s="442" customFormat="1" ht="25.15" customHeight="1">
      <c r="A29" s="423">
        <f t="shared" si="0"/>
        <v>25</v>
      </c>
      <c r="B29" s="423" t="s">
        <v>378</v>
      </c>
      <c r="C29" s="423" t="s">
        <v>350</v>
      </c>
      <c r="D29" s="423" t="s">
        <v>351</v>
      </c>
      <c r="E29" s="424">
        <f>3.264+35.862</f>
        <v>39.126000000000005</v>
      </c>
      <c r="F29" s="425">
        <v>45900</v>
      </c>
      <c r="G29" s="429"/>
      <c r="H29" s="423" t="s">
        <v>38</v>
      </c>
      <c r="I29" s="425">
        <v>45918</v>
      </c>
      <c r="J29" s="427"/>
      <c r="K29" s="430" t="s">
        <v>355</v>
      </c>
      <c r="L29" s="423" t="s">
        <v>353</v>
      </c>
      <c r="M29" s="425">
        <v>45922</v>
      </c>
      <c r="N29" s="423"/>
    </row>
    <row r="30" spans="1:14" ht="25.15" customHeight="1">
      <c r="A30" s="423">
        <f t="shared" si="0"/>
        <v>26</v>
      </c>
      <c r="B30" s="423" t="s">
        <v>176</v>
      </c>
      <c r="C30" s="423" t="s">
        <v>350</v>
      </c>
      <c r="D30" s="423" t="s">
        <v>351</v>
      </c>
      <c r="E30" s="424">
        <f>3.264+35.862</f>
        <v>39.126000000000005</v>
      </c>
      <c r="F30" s="425">
        <v>45921</v>
      </c>
      <c r="G30" s="426"/>
      <c r="H30" s="423" t="s">
        <v>38</v>
      </c>
      <c r="I30" s="425">
        <v>45934</v>
      </c>
      <c r="J30" s="427"/>
      <c r="K30" s="428" t="s">
        <v>379</v>
      </c>
      <c r="L30" s="423" t="s">
        <v>353</v>
      </c>
      <c r="M30" s="425">
        <v>45938</v>
      </c>
      <c r="N30" s="423"/>
    </row>
    <row r="31" spans="1:14" ht="25.15" customHeight="1">
      <c r="A31" s="423">
        <f t="shared" si="0"/>
        <v>27</v>
      </c>
      <c r="B31" s="423" t="s">
        <v>380</v>
      </c>
      <c r="C31" s="423" t="s">
        <v>350</v>
      </c>
      <c r="D31" s="423" t="s">
        <v>351</v>
      </c>
      <c r="E31" s="424">
        <f>3.264+35.862</f>
        <v>39.126000000000005</v>
      </c>
      <c r="F31" s="425">
        <v>45919</v>
      </c>
      <c r="G31" s="426"/>
      <c r="H31" s="423" t="s">
        <v>38</v>
      </c>
      <c r="I31" s="425">
        <v>45935</v>
      </c>
      <c r="J31" s="427"/>
      <c r="K31" s="428" t="s">
        <v>381</v>
      </c>
      <c r="L31" s="423" t="s">
        <v>353</v>
      </c>
      <c r="M31" s="425">
        <v>45941</v>
      </c>
      <c r="N31" s="423"/>
    </row>
    <row r="32" spans="1:14" ht="25.15" customHeight="1">
      <c r="A32" s="423">
        <f t="shared" si="0"/>
        <v>28</v>
      </c>
      <c r="B32" s="423" t="s">
        <v>382</v>
      </c>
      <c r="C32" s="423" t="s">
        <v>357</v>
      </c>
      <c r="D32" s="423" t="s">
        <v>351</v>
      </c>
      <c r="E32" s="424">
        <f>3.486+37.148</f>
        <v>40.634</v>
      </c>
      <c r="F32" s="425">
        <v>45924</v>
      </c>
      <c r="G32" s="426"/>
      <c r="H32" s="423" t="s">
        <v>38</v>
      </c>
      <c r="I32" s="425">
        <v>45940</v>
      </c>
      <c r="J32" s="427"/>
      <c r="K32" s="428" t="s">
        <v>379</v>
      </c>
      <c r="L32" s="423" t="s">
        <v>353</v>
      </c>
      <c r="M32" s="425">
        <v>45921</v>
      </c>
      <c r="N32" s="423"/>
    </row>
    <row r="33" spans="1:14" ht="25.15" customHeight="1">
      <c r="A33" s="423">
        <f t="shared" si="0"/>
        <v>29</v>
      </c>
      <c r="B33" s="423" t="s">
        <v>388</v>
      </c>
      <c r="C33" s="423" t="s">
        <v>389</v>
      </c>
      <c r="D33" s="423" t="s">
        <v>351</v>
      </c>
      <c r="E33" s="424">
        <f>5.555+59.58</f>
        <v>65.134999999999991</v>
      </c>
      <c r="F33" s="425">
        <v>45925</v>
      </c>
      <c r="G33" s="426"/>
      <c r="H33" s="423" t="s">
        <v>38</v>
      </c>
      <c r="I33" s="425">
        <v>45949</v>
      </c>
      <c r="J33" s="427"/>
      <c r="K33" s="428" t="s">
        <v>381</v>
      </c>
      <c r="L33" s="423" t="s">
        <v>353</v>
      </c>
      <c r="M33" s="425">
        <v>45969</v>
      </c>
      <c r="N33" s="423"/>
    </row>
    <row r="34" spans="1:14" ht="25.15" customHeight="1">
      <c r="A34" s="423">
        <f t="shared" si="0"/>
        <v>30</v>
      </c>
      <c r="B34" s="423" t="s">
        <v>138</v>
      </c>
      <c r="C34" s="423" t="s">
        <v>357</v>
      </c>
      <c r="D34" s="423" t="s">
        <v>351</v>
      </c>
      <c r="E34" s="424">
        <f>3.486+37.148</f>
        <v>40.634</v>
      </c>
      <c r="F34" s="425">
        <v>45945</v>
      </c>
      <c r="G34" s="426"/>
      <c r="H34" s="423" t="s">
        <v>38</v>
      </c>
      <c r="I34" s="425">
        <v>45954</v>
      </c>
      <c r="J34" s="427"/>
      <c r="K34" s="428" t="s">
        <v>379</v>
      </c>
      <c r="L34" s="423" t="s">
        <v>353</v>
      </c>
      <c r="M34" s="425">
        <v>46022</v>
      </c>
      <c r="N34" s="423"/>
    </row>
    <row r="35" spans="1:14" ht="25.15" customHeight="1">
      <c r="A35" s="423">
        <f t="shared" si="0"/>
        <v>31</v>
      </c>
      <c r="B35" s="423" t="s">
        <v>390</v>
      </c>
      <c r="C35" s="423" t="s">
        <v>350</v>
      </c>
      <c r="D35" s="423" t="s">
        <v>351</v>
      </c>
      <c r="E35" s="424">
        <f>3.264+35.862</f>
        <v>39.126000000000005</v>
      </c>
      <c r="F35" s="425">
        <v>45910</v>
      </c>
      <c r="G35" s="426"/>
      <c r="H35" s="423" t="s">
        <v>38</v>
      </c>
      <c r="I35" s="425">
        <v>45980</v>
      </c>
      <c r="J35" s="427"/>
      <c r="K35" s="428" t="s">
        <v>379</v>
      </c>
      <c r="L35" s="423" t="s">
        <v>353</v>
      </c>
      <c r="M35" s="425">
        <v>45987</v>
      </c>
      <c r="N35" s="423"/>
    </row>
    <row r="36" spans="1:14" ht="25.15" customHeight="1">
      <c r="A36" s="423">
        <f t="shared" si="0"/>
        <v>32</v>
      </c>
      <c r="B36" s="423" t="s">
        <v>136</v>
      </c>
      <c r="C36" s="423" t="s">
        <v>391</v>
      </c>
      <c r="D36" s="423" t="s">
        <v>351</v>
      </c>
      <c r="E36" s="424">
        <f>4.38+50.612</f>
        <v>54.992000000000004</v>
      </c>
      <c r="F36" s="425">
        <v>45972</v>
      </c>
      <c r="G36" s="426"/>
      <c r="H36" s="423" t="s">
        <v>38</v>
      </c>
      <c r="I36" s="425">
        <v>45985</v>
      </c>
      <c r="J36" s="427"/>
      <c r="K36" s="428" t="s">
        <v>355</v>
      </c>
      <c r="L36" s="423" t="s">
        <v>353</v>
      </c>
      <c r="M36" s="425">
        <v>45989</v>
      </c>
      <c r="N36" s="423"/>
    </row>
    <row r="37" spans="1:14" ht="25.15" customHeight="1">
      <c r="A37" s="423">
        <f t="shared" si="0"/>
        <v>33</v>
      </c>
      <c r="B37" s="423" t="s">
        <v>392</v>
      </c>
      <c r="C37" s="423" t="s">
        <v>393</v>
      </c>
      <c r="D37" s="423" t="s">
        <v>351</v>
      </c>
      <c r="E37" s="424">
        <f>4.38+50.612</f>
        <v>54.992000000000004</v>
      </c>
      <c r="F37" s="425">
        <v>45972</v>
      </c>
      <c r="G37" s="426"/>
      <c r="H37" s="423" t="s">
        <v>38</v>
      </c>
      <c r="I37" s="425">
        <v>45985</v>
      </c>
      <c r="J37" s="427"/>
      <c r="K37" s="428" t="s">
        <v>394</v>
      </c>
      <c r="L37" s="423" t="s">
        <v>353</v>
      </c>
      <c r="M37" s="425">
        <v>45988</v>
      </c>
      <c r="N37" s="423"/>
    </row>
    <row r="38" spans="1:14" ht="25.15" customHeight="1">
      <c r="A38" s="423">
        <f t="shared" ref="A38:A69" si="1">A37+1</f>
        <v>34</v>
      </c>
      <c r="B38" s="423" t="s">
        <v>395</v>
      </c>
      <c r="C38" s="423" t="s">
        <v>396</v>
      </c>
      <c r="D38" s="423" t="s">
        <v>351</v>
      </c>
      <c r="E38" s="424">
        <f>3.264+35.862</f>
        <v>39.126000000000005</v>
      </c>
      <c r="F38" s="425">
        <v>45979</v>
      </c>
      <c r="G38" s="426"/>
      <c r="H38" s="423" t="s">
        <v>38</v>
      </c>
      <c r="I38" s="425">
        <v>45988</v>
      </c>
      <c r="J38" s="427"/>
      <c r="K38" s="428" t="s">
        <v>379</v>
      </c>
      <c r="L38" s="423" t="s">
        <v>353</v>
      </c>
      <c r="M38" s="425">
        <v>45989</v>
      </c>
      <c r="N38" s="423"/>
    </row>
    <row r="39" spans="1:14" ht="25.15" customHeight="1">
      <c r="A39" s="423">
        <f t="shared" si="1"/>
        <v>35</v>
      </c>
      <c r="B39" s="423" t="s">
        <v>397</v>
      </c>
      <c r="C39" s="423" t="s">
        <v>357</v>
      </c>
      <c r="D39" s="423" t="s">
        <v>274</v>
      </c>
      <c r="E39" s="424">
        <f>5.951+59.68</f>
        <v>65.631</v>
      </c>
      <c r="F39" s="425">
        <v>45976</v>
      </c>
      <c r="G39" s="426"/>
      <c r="H39" s="423" t="s">
        <v>38</v>
      </c>
      <c r="I39" s="425">
        <v>45991</v>
      </c>
      <c r="J39" s="427"/>
      <c r="K39" s="428" t="s">
        <v>398</v>
      </c>
      <c r="L39" s="423" t="s">
        <v>353</v>
      </c>
      <c r="M39" s="425">
        <v>46013</v>
      </c>
      <c r="N39" s="423"/>
    </row>
    <row r="40" spans="1:14" ht="25.15" customHeight="1">
      <c r="A40" s="423">
        <f t="shared" si="1"/>
        <v>36</v>
      </c>
      <c r="B40" s="423" t="s">
        <v>177</v>
      </c>
      <c r="C40" s="423" t="s">
        <v>399</v>
      </c>
      <c r="D40" s="423" t="s">
        <v>351</v>
      </c>
      <c r="E40" s="424">
        <f>3.486+37.148</f>
        <v>40.634</v>
      </c>
      <c r="F40" s="425">
        <v>45991</v>
      </c>
      <c r="G40" s="426"/>
      <c r="H40" s="423" t="s">
        <v>38</v>
      </c>
      <c r="I40" s="425">
        <v>45998</v>
      </c>
      <c r="J40" s="427"/>
      <c r="K40" s="428" t="s">
        <v>394</v>
      </c>
      <c r="L40" s="423" t="s">
        <v>353</v>
      </c>
      <c r="M40" s="425">
        <v>46000</v>
      </c>
      <c r="N40" s="423"/>
    </row>
    <row r="41" spans="1:14" ht="25.15" customHeight="1">
      <c r="A41" s="423">
        <f t="shared" si="1"/>
        <v>37</v>
      </c>
      <c r="B41" s="423" t="s">
        <v>400</v>
      </c>
      <c r="C41" s="423" t="s">
        <v>373</v>
      </c>
      <c r="D41" s="423" t="s">
        <v>351</v>
      </c>
      <c r="E41" s="424">
        <f>7.224+85.068</f>
        <v>92.292000000000002</v>
      </c>
      <c r="F41" s="425">
        <v>45991</v>
      </c>
      <c r="G41" s="426"/>
      <c r="H41" s="423" t="s">
        <v>38</v>
      </c>
      <c r="I41" s="425">
        <v>46000</v>
      </c>
      <c r="J41" s="427"/>
      <c r="K41" s="428" t="s">
        <v>379</v>
      </c>
      <c r="L41" s="423" t="s">
        <v>353</v>
      </c>
      <c r="M41" s="425">
        <v>46000</v>
      </c>
      <c r="N41" s="423"/>
    </row>
    <row r="42" spans="1:14" ht="25.15" customHeight="1">
      <c r="A42" s="423">
        <f t="shared" si="1"/>
        <v>38</v>
      </c>
      <c r="B42" s="423" t="s">
        <v>178</v>
      </c>
      <c r="C42" s="423" t="s">
        <v>350</v>
      </c>
      <c r="D42" s="423" t="s">
        <v>351</v>
      </c>
      <c r="E42" s="424">
        <f>3.264+35.862</f>
        <v>39.126000000000005</v>
      </c>
      <c r="F42" s="425">
        <v>45976</v>
      </c>
      <c r="G42" s="426"/>
      <c r="H42" s="423" t="s">
        <v>38</v>
      </c>
      <c r="I42" s="425">
        <v>46000</v>
      </c>
      <c r="J42" s="427"/>
      <c r="K42" s="428" t="s">
        <v>401</v>
      </c>
      <c r="L42" s="423" t="s">
        <v>353</v>
      </c>
      <c r="M42" s="425">
        <v>46005</v>
      </c>
      <c r="N42" s="423"/>
    </row>
    <row r="43" spans="1:14" ht="25.15" customHeight="1">
      <c r="A43" s="423">
        <f t="shared" si="1"/>
        <v>39</v>
      </c>
      <c r="B43" s="423" t="s">
        <v>180</v>
      </c>
      <c r="C43" s="423" t="s">
        <v>350</v>
      </c>
      <c r="D43" s="423" t="s">
        <v>274</v>
      </c>
      <c r="E43" s="424">
        <f>5.618+57.728</f>
        <v>63.346000000000004</v>
      </c>
      <c r="F43" s="425">
        <v>45988</v>
      </c>
      <c r="G43" s="426"/>
      <c r="H43" s="423" t="s">
        <v>38</v>
      </c>
      <c r="I43" s="425">
        <v>46005</v>
      </c>
      <c r="J43" s="427"/>
      <c r="K43" s="430" t="s">
        <v>402</v>
      </c>
      <c r="L43" s="423" t="s">
        <v>353</v>
      </c>
      <c r="M43" s="425">
        <v>46004</v>
      </c>
      <c r="N43" s="423"/>
    </row>
    <row r="44" spans="1:14" ht="25.15" customHeight="1">
      <c r="A44" s="423">
        <f t="shared" si="1"/>
        <v>40</v>
      </c>
      <c r="B44" s="423" t="s">
        <v>403</v>
      </c>
      <c r="C44" s="423" t="s">
        <v>350</v>
      </c>
      <c r="D44" s="423" t="s">
        <v>274</v>
      </c>
      <c r="E44" s="424">
        <f>5.618+57.728</f>
        <v>63.346000000000004</v>
      </c>
      <c r="F44" s="425">
        <v>45992</v>
      </c>
      <c r="G44" s="426"/>
      <c r="H44" s="423" t="s">
        <v>38</v>
      </c>
      <c r="I44" s="425">
        <v>46014</v>
      </c>
      <c r="J44" s="427"/>
      <c r="K44" s="428" t="s">
        <v>398</v>
      </c>
      <c r="L44" s="423" t="s">
        <v>353</v>
      </c>
      <c r="M44" s="425">
        <v>46016</v>
      </c>
      <c r="N44" s="423"/>
    </row>
    <row r="45" spans="1:14" ht="25.15" customHeight="1">
      <c r="A45" s="423">
        <f t="shared" si="1"/>
        <v>41</v>
      </c>
      <c r="B45" s="423" t="s">
        <v>404</v>
      </c>
      <c r="C45" s="423" t="s">
        <v>350</v>
      </c>
      <c r="D45" s="423" t="s">
        <v>274</v>
      </c>
      <c r="E45" s="424">
        <f>5.618+57.728</f>
        <v>63.346000000000004</v>
      </c>
      <c r="F45" s="425">
        <v>45992</v>
      </c>
      <c r="G45" s="426"/>
      <c r="H45" s="423" t="s">
        <v>38</v>
      </c>
      <c r="I45" s="425">
        <v>46018</v>
      </c>
      <c r="J45" s="427"/>
      <c r="K45" s="428" t="s">
        <v>381</v>
      </c>
      <c r="L45" s="423" t="s">
        <v>353</v>
      </c>
      <c r="M45" s="425">
        <v>46019</v>
      </c>
      <c r="N45" s="423"/>
    </row>
    <row r="46" spans="1:14" ht="25.15" customHeight="1">
      <c r="A46" s="423">
        <f t="shared" si="1"/>
        <v>42</v>
      </c>
      <c r="B46" s="423" t="s">
        <v>405</v>
      </c>
      <c r="C46" s="423" t="s">
        <v>350</v>
      </c>
      <c r="D46" s="423" t="s">
        <v>274</v>
      </c>
      <c r="E46" s="424">
        <f>5.618+57.728</f>
        <v>63.346000000000004</v>
      </c>
      <c r="F46" s="425">
        <v>46001</v>
      </c>
      <c r="G46" s="426"/>
      <c r="H46" s="423" t="s">
        <v>38</v>
      </c>
      <c r="I46" s="425">
        <v>46020</v>
      </c>
      <c r="J46" s="427"/>
      <c r="K46" s="428" t="s">
        <v>394</v>
      </c>
      <c r="L46" s="423" t="s">
        <v>353</v>
      </c>
      <c r="M46" s="425">
        <v>46019</v>
      </c>
      <c r="N46" s="423"/>
    </row>
    <row r="47" spans="1:14" ht="25.15" customHeight="1">
      <c r="A47" s="423">
        <f t="shared" si="1"/>
        <v>43</v>
      </c>
      <c r="B47" s="423" t="s">
        <v>140</v>
      </c>
      <c r="C47" s="423" t="s">
        <v>302</v>
      </c>
      <c r="D47" s="423" t="s">
        <v>351</v>
      </c>
      <c r="E47" s="424">
        <f>9.059+119.368</f>
        <v>128.42699999999999</v>
      </c>
      <c r="F47" s="425">
        <v>46007</v>
      </c>
      <c r="G47" s="426"/>
      <c r="H47" s="423" t="s">
        <v>38</v>
      </c>
      <c r="I47" s="425">
        <v>46021</v>
      </c>
      <c r="J47" s="427"/>
      <c r="K47" s="428" t="s">
        <v>379</v>
      </c>
      <c r="L47" s="423" t="s">
        <v>353</v>
      </c>
      <c r="M47" s="425">
        <v>46023</v>
      </c>
      <c r="N47" s="423"/>
    </row>
    <row r="48" spans="1:14" ht="25.15" customHeight="1">
      <c r="A48" s="423">
        <f t="shared" si="1"/>
        <v>44</v>
      </c>
      <c r="B48" s="423" t="s">
        <v>406</v>
      </c>
      <c r="C48" s="423" t="s">
        <v>350</v>
      </c>
      <c r="D48" s="423" t="s">
        <v>274</v>
      </c>
      <c r="E48" s="424">
        <f>5.618+57.728</f>
        <v>63.346000000000004</v>
      </c>
      <c r="F48" s="425">
        <v>46012</v>
      </c>
      <c r="G48" s="426"/>
      <c r="H48" s="423" t="s">
        <v>38</v>
      </c>
      <c r="I48" s="425">
        <v>46021</v>
      </c>
      <c r="J48" s="427"/>
      <c r="K48" s="430" t="s">
        <v>402</v>
      </c>
      <c r="L48" s="423" t="s">
        <v>353</v>
      </c>
      <c r="M48" s="425">
        <v>46021</v>
      </c>
      <c r="N48" s="423"/>
    </row>
    <row r="49" spans="1:14" ht="25.15" customHeight="1">
      <c r="A49" s="423">
        <f t="shared" si="1"/>
        <v>45</v>
      </c>
      <c r="B49" s="423" t="s">
        <v>407</v>
      </c>
      <c r="C49" s="423" t="s">
        <v>350</v>
      </c>
      <c r="D49" s="423" t="s">
        <v>274</v>
      </c>
      <c r="E49" s="424">
        <f>5.618+57.728</f>
        <v>63.346000000000004</v>
      </c>
      <c r="F49" s="425">
        <v>46001</v>
      </c>
      <c r="G49" s="426"/>
      <c r="H49" s="423" t="s">
        <v>38</v>
      </c>
      <c r="I49" s="425">
        <v>46022</v>
      </c>
      <c r="J49" s="427"/>
      <c r="K49" s="428" t="s">
        <v>379</v>
      </c>
      <c r="L49" s="423" t="s">
        <v>353</v>
      </c>
      <c r="M49" s="425">
        <v>46023</v>
      </c>
      <c r="N49" s="423"/>
    </row>
    <row r="50" spans="1:14" ht="25.15" customHeight="1">
      <c r="A50" s="423">
        <f t="shared" si="1"/>
        <v>46</v>
      </c>
      <c r="B50" s="423" t="s">
        <v>408</v>
      </c>
      <c r="C50" s="423" t="s">
        <v>350</v>
      </c>
      <c r="D50" s="423" t="s">
        <v>274</v>
      </c>
      <c r="E50" s="424">
        <f>5.618+57.728</f>
        <v>63.346000000000004</v>
      </c>
      <c r="F50" s="425">
        <v>46012</v>
      </c>
      <c r="G50" s="426"/>
      <c r="H50" s="423" t="s">
        <v>38</v>
      </c>
      <c r="I50" s="425">
        <v>46026</v>
      </c>
      <c r="J50" s="427"/>
      <c r="K50" s="438" t="s">
        <v>409</v>
      </c>
      <c r="L50" s="423" t="s">
        <v>353</v>
      </c>
      <c r="M50" s="425">
        <v>46069</v>
      </c>
      <c r="N50" s="423"/>
    </row>
    <row r="51" spans="1:14" ht="25.15" customHeight="1">
      <c r="A51" s="423">
        <f t="shared" si="1"/>
        <v>47</v>
      </c>
      <c r="B51" s="423" t="s">
        <v>410</v>
      </c>
      <c r="C51" s="423" t="s">
        <v>396</v>
      </c>
      <c r="D51" s="423" t="s">
        <v>351</v>
      </c>
      <c r="E51" s="424">
        <v>39.125999999999998</v>
      </c>
      <c r="F51" s="425">
        <v>46023</v>
      </c>
      <c r="G51" s="426"/>
      <c r="H51" s="423" t="s">
        <v>38</v>
      </c>
      <c r="I51" s="425">
        <v>46030</v>
      </c>
      <c r="J51" s="427"/>
      <c r="K51" s="428" t="s">
        <v>394</v>
      </c>
      <c r="L51" s="423" t="s">
        <v>353</v>
      </c>
      <c r="M51" s="425">
        <v>46031</v>
      </c>
      <c r="N51" s="423"/>
    </row>
    <row r="52" spans="1:14" ht="25.15" customHeight="1">
      <c r="A52" s="423">
        <f t="shared" si="1"/>
        <v>48</v>
      </c>
      <c r="B52" s="423" t="s">
        <v>411</v>
      </c>
      <c r="C52" s="423" t="s">
        <v>300</v>
      </c>
      <c r="D52" s="423" t="s">
        <v>274</v>
      </c>
      <c r="E52" s="431">
        <f>83.272+6.633</f>
        <v>89.905000000000001</v>
      </c>
      <c r="F52" s="425">
        <v>46006</v>
      </c>
      <c r="G52" s="426"/>
      <c r="H52" s="423" t="s">
        <v>38</v>
      </c>
      <c r="I52" s="425">
        <v>46035</v>
      </c>
      <c r="J52" s="427"/>
      <c r="K52" s="430" t="s">
        <v>402</v>
      </c>
      <c r="L52" s="423" t="s">
        <v>353</v>
      </c>
      <c r="M52" s="425">
        <v>46035</v>
      </c>
      <c r="N52" s="423"/>
    </row>
    <row r="53" spans="1:14" ht="25.15" customHeight="1">
      <c r="A53" s="423">
        <f t="shared" si="1"/>
        <v>49</v>
      </c>
      <c r="B53" s="423" t="s">
        <v>412</v>
      </c>
      <c r="C53" s="423" t="s">
        <v>350</v>
      </c>
      <c r="D53" s="423" t="s">
        <v>274</v>
      </c>
      <c r="E53" s="424">
        <f>5.618+57.728</f>
        <v>63.346000000000004</v>
      </c>
      <c r="F53" s="425">
        <v>46027</v>
      </c>
      <c r="G53" s="426"/>
      <c r="H53" s="423" t="s">
        <v>38</v>
      </c>
      <c r="I53" s="425">
        <v>46035</v>
      </c>
      <c r="J53" s="427"/>
      <c r="K53" s="428" t="s">
        <v>413</v>
      </c>
      <c r="L53" s="423" t="s">
        <v>353</v>
      </c>
      <c r="M53" s="425">
        <v>46031</v>
      </c>
      <c r="N53" s="423"/>
    </row>
    <row r="54" spans="1:14" ht="25.15" customHeight="1">
      <c r="A54" s="423">
        <f t="shared" si="1"/>
        <v>50</v>
      </c>
      <c r="B54" s="423" t="s">
        <v>414</v>
      </c>
      <c r="C54" s="423" t="s">
        <v>335</v>
      </c>
      <c r="D54" s="423" t="s">
        <v>274</v>
      </c>
      <c r="E54" s="424">
        <f>72.684+7.26</f>
        <v>79.944000000000003</v>
      </c>
      <c r="F54" s="425">
        <v>46031</v>
      </c>
      <c r="G54" s="426"/>
      <c r="H54" s="423" t="s">
        <v>38</v>
      </c>
      <c r="I54" s="425">
        <v>46043</v>
      </c>
      <c r="J54" s="427"/>
      <c r="K54" s="438" t="s">
        <v>409</v>
      </c>
      <c r="L54" s="423" t="s">
        <v>353</v>
      </c>
      <c r="M54" s="425">
        <v>46045</v>
      </c>
      <c r="N54" s="423"/>
    </row>
    <row r="55" spans="1:14" ht="25.15" customHeight="1">
      <c r="A55" s="423">
        <f t="shared" si="1"/>
        <v>51</v>
      </c>
      <c r="B55" s="423" t="s">
        <v>415</v>
      </c>
      <c r="C55" s="423" t="s">
        <v>399</v>
      </c>
      <c r="D55" s="423" t="s">
        <v>416</v>
      </c>
      <c r="E55" s="424">
        <f>8.411+86.212</f>
        <v>94.623000000000005</v>
      </c>
      <c r="F55" s="425">
        <v>46038</v>
      </c>
      <c r="G55" s="426"/>
      <c r="H55" s="423" t="s">
        <v>38</v>
      </c>
      <c r="I55" s="425">
        <v>46047</v>
      </c>
      <c r="J55" s="427"/>
      <c r="K55" s="428" t="s">
        <v>413</v>
      </c>
      <c r="L55" s="423" t="s">
        <v>353</v>
      </c>
      <c r="M55" s="425">
        <v>46049</v>
      </c>
      <c r="N55" s="423"/>
    </row>
    <row r="56" spans="1:14" ht="25.15" customHeight="1">
      <c r="A56" s="423">
        <f t="shared" si="1"/>
        <v>52</v>
      </c>
      <c r="B56" s="423" t="s">
        <v>417</v>
      </c>
      <c r="C56" s="423" t="s">
        <v>396</v>
      </c>
      <c r="D56" s="423" t="s">
        <v>274</v>
      </c>
      <c r="E56" s="424">
        <f>5.618+57.728</f>
        <v>63.346000000000004</v>
      </c>
      <c r="F56" s="425">
        <v>46030</v>
      </c>
      <c r="G56" s="426"/>
      <c r="H56" s="423" t="s">
        <v>38</v>
      </c>
      <c r="I56" s="425">
        <v>46052</v>
      </c>
      <c r="J56" s="427"/>
      <c r="K56" s="428" t="s">
        <v>381</v>
      </c>
      <c r="L56" s="423" t="s">
        <v>353</v>
      </c>
      <c r="M56" s="425">
        <v>46055</v>
      </c>
      <c r="N56" s="423"/>
    </row>
    <row r="57" spans="1:14" ht="25.15" customHeight="1">
      <c r="A57" s="423">
        <f t="shared" si="1"/>
        <v>53</v>
      </c>
      <c r="B57" s="423" t="s">
        <v>418</v>
      </c>
      <c r="C57" s="423" t="s">
        <v>300</v>
      </c>
      <c r="D57" s="423" t="s">
        <v>351</v>
      </c>
      <c r="E57" s="424">
        <f>57.588+5.294</f>
        <v>62.881999999999998</v>
      </c>
      <c r="F57" s="425">
        <v>46049</v>
      </c>
      <c r="G57" s="426"/>
      <c r="H57" s="423" t="s">
        <v>38</v>
      </c>
      <c r="I57" s="425">
        <v>46055</v>
      </c>
      <c r="J57" s="427"/>
      <c r="K57" s="430" t="s">
        <v>402</v>
      </c>
      <c r="L57" s="423" t="s">
        <v>353</v>
      </c>
      <c r="M57" s="425">
        <v>45690</v>
      </c>
      <c r="N57" s="423"/>
    </row>
    <row r="58" spans="1:14" ht="25.15" customHeight="1">
      <c r="A58" s="423">
        <f t="shared" si="1"/>
        <v>54</v>
      </c>
      <c r="B58" s="423" t="s">
        <v>419</v>
      </c>
      <c r="C58" s="423" t="s">
        <v>302</v>
      </c>
      <c r="D58" s="423" t="s">
        <v>420</v>
      </c>
      <c r="E58" s="424">
        <f>289.172+21.966</f>
        <v>311.13800000000003</v>
      </c>
      <c r="F58" s="425">
        <v>46028</v>
      </c>
      <c r="G58" s="426"/>
      <c r="H58" s="423" t="s">
        <v>38</v>
      </c>
      <c r="I58" s="425">
        <v>46056</v>
      </c>
      <c r="J58" s="427"/>
      <c r="K58" s="428" t="s">
        <v>394</v>
      </c>
      <c r="L58" s="423" t="s">
        <v>353</v>
      </c>
      <c r="M58" s="425">
        <v>46057</v>
      </c>
      <c r="N58" s="423"/>
    </row>
    <row r="59" spans="1:14" ht="25.15" customHeight="1">
      <c r="A59" s="423">
        <f t="shared" si="1"/>
        <v>55</v>
      </c>
      <c r="B59" s="423" t="s">
        <v>421</v>
      </c>
      <c r="C59" s="423" t="s">
        <v>399</v>
      </c>
      <c r="D59" s="423" t="s">
        <v>274</v>
      </c>
      <c r="E59" s="424">
        <f>5.951+59.68</f>
        <v>65.631</v>
      </c>
      <c r="F59" s="425">
        <v>46054</v>
      </c>
      <c r="G59" s="426"/>
      <c r="H59" s="423" t="s">
        <v>38</v>
      </c>
      <c r="I59" s="425">
        <v>46063</v>
      </c>
      <c r="J59" s="427"/>
      <c r="K59" s="438" t="s">
        <v>409</v>
      </c>
      <c r="L59" s="423" t="s">
        <v>353</v>
      </c>
      <c r="M59" s="425">
        <v>46065</v>
      </c>
      <c r="N59" s="423"/>
    </row>
    <row r="60" spans="1:14" ht="25.15" customHeight="1">
      <c r="A60" s="423">
        <f t="shared" si="1"/>
        <v>56</v>
      </c>
      <c r="B60" s="423" t="s">
        <v>422</v>
      </c>
      <c r="C60" s="423" t="s">
        <v>350</v>
      </c>
      <c r="D60" s="423" t="s">
        <v>274</v>
      </c>
      <c r="E60" s="424">
        <f>5.618+57.728</f>
        <v>63.346000000000004</v>
      </c>
      <c r="F60" s="425">
        <v>46055</v>
      </c>
      <c r="G60" s="426"/>
      <c r="H60" s="423" t="s">
        <v>38</v>
      </c>
      <c r="I60" s="425">
        <v>46065</v>
      </c>
      <c r="J60" s="427"/>
      <c r="K60" s="428" t="s">
        <v>402</v>
      </c>
      <c r="L60" s="423" t="s">
        <v>353</v>
      </c>
      <c r="M60" s="425">
        <v>46066</v>
      </c>
      <c r="N60" s="423"/>
    </row>
    <row r="61" spans="1:14" ht="25.15" customHeight="1">
      <c r="A61" s="423">
        <f t="shared" si="1"/>
        <v>57</v>
      </c>
      <c r="B61" s="423" t="s">
        <v>423</v>
      </c>
      <c r="C61" s="423" t="s">
        <v>350</v>
      </c>
      <c r="D61" s="423" t="s">
        <v>274</v>
      </c>
      <c r="E61" s="424">
        <f>5.618+57.728</f>
        <v>63.346000000000004</v>
      </c>
      <c r="F61" s="425">
        <v>46056</v>
      </c>
      <c r="G61" s="426"/>
      <c r="H61" s="423" t="s">
        <v>38</v>
      </c>
      <c r="I61" s="425">
        <v>46067</v>
      </c>
      <c r="J61" s="427"/>
      <c r="K61" s="428" t="s">
        <v>424</v>
      </c>
      <c r="L61" s="423" t="s">
        <v>353</v>
      </c>
      <c r="M61" s="425">
        <v>46067</v>
      </c>
      <c r="N61" s="423"/>
    </row>
    <row r="62" spans="1:14" ht="25.15" customHeight="1">
      <c r="A62" s="423">
        <f t="shared" si="1"/>
        <v>58</v>
      </c>
      <c r="B62" s="423" t="s">
        <v>425</v>
      </c>
      <c r="C62" s="423" t="s">
        <v>330</v>
      </c>
      <c r="D62" s="423" t="s">
        <v>274</v>
      </c>
      <c r="E62" s="431">
        <f>107.372+9.661</f>
        <v>117.033</v>
      </c>
      <c r="F62" s="425">
        <v>46054</v>
      </c>
      <c r="G62" s="426"/>
      <c r="H62" s="423" t="s">
        <v>38</v>
      </c>
      <c r="I62" s="425">
        <v>46080</v>
      </c>
      <c r="J62" s="427"/>
      <c r="K62" s="428" t="s">
        <v>426</v>
      </c>
      <c r="L62" s="423" t="s">
        <v>353</v>
      </c>
      <c r="M62" s="425">
        <v>46080</v>
      </c>
      <c r="N62" s="423"/>
    </row>
    <row r="63" spans="1:14" ht="25.15" customHeight="1">
      <c r="A63" s="423">
        <f t="shared" si="1"/>
        <v>59</v>
      </c>
      <c r="B63" s="423" t="s">
        <v>427</v>
      </c>
      <c r="C63" s="423" t="s">
        <v>292</v>
      </c>
      <c r="D63" s="423" t="s">
        <v>274</v>
      </c>
      <c r="E63" s="432">
        <f>178.06+14.314</f>
        <v>192.374</v>
      </c>
      <c r="F63" s="425">
        <v>46069</v>
      </c>
      <c r="G63" s="433"/>
      <c r="H63" s="423" t="s">
        <v>38</v>
      </c>
      <c r="I63" s="425">
        <v>46092</v>
      </c>
      <c r="J63" s="434"/>
      <c r="K63" s="430" t="s">
        <v>402</v>
      </c>
      <c r="L63" s="423" t="s">
        <v>353</v>
      </c>
      <c r="M63" s="425">
        <v>46096</v>
      </c>
      <c r="N63" s="423"/>
    </row>
    <row r="64" spans="1:14" ht="25.15" customHeight="1">
      <c r="A64" s="423">
        <f t="shared" si="1"/>
        <v>60</v>
      </c>
      <c r="B64" s="423" t="s">
        <v>428</v>
      </c>
      <c r="C64" s="423" t="s">
        <v>373</v>
      </c>
      <c r="D64" s="423" t="s">
        <v>274</v>
      </c>
      <c r="E64" s="424">
        <f>123.384+11.401</f>
        <v>134.785</v>
      </c>
      <c r="F64" s="425">
        <v>46070</v>
      </c>
      <c r="G64" s="426"/>
      <c r="H64" s="423" t="s">
        <v>38</v>
      </c>
      <c r="I64" s="425">
        <v>46103</v>
      </c>
      <c r="J64" s="427"/>
      <c r="K64" s="428" t="s">
        <v>424</v>
      </c>
      <c r="L64" s="423" t="s">
        <v>353</v>
      </c>
      <c r="M64" s="425">
        <v>46103</v>
      </c>
      <c r="N64" s="423"/>
    </row>
    <row r="65" spans="1:14" ht="25.15" customHeight="1">
      <c r="A65" s="423">
        <f t="shared" si="1"/>
        <v>61</v>
      </c>
      <c r="B65" s="423" t="s">
        <v>429</v>
      </c>
      <c r="C65" s="423" t="s">
        <v>357</v>
      </c>
      <c r="D65" s="423" t="s">
        <v>274</v>
      </c>
      <c r="E65" s="424">
        <f>59.68+5.951</f>
        <v>65.631</v>
      </c>
      <c r="F65" s="425">
        <v>46095</v>
      </c>
      <c r="G65" s="426"/>
      <c r="H65" s="423" t="s">
        <v>38</v>
      </c>
      <c r="I65" s="425">
        <v>46104</v>
      </c>
      <c r="J65" s="427"/>
      <c r="K65" s="430" t="s">
        <v>402</v>
      </c>
      <c r="L65" s="423" t="s">
        <v>353</v>
      </c>
      <c r="M65" s="425">
        <v>46105</v>
      </c>
      <c r="N65" s="423"/>
    </row>
    <row r="66" spans="1:14" ht="25.15" customHeight="1">
      <c r="A66" s="423">
        <f t="shared" si="1"/>
        <v>62</v>
      </c>
      <c r="B66" s="436" t="s">
        <v>430</v>
      </c>
      <c r="C66" s="435" t="s">
        <v>350</v>
      </c>
      <c r="D66" s="437" t="s">
        <v>274</v>
      </c>
      <c r="E66" s="424">
        <f>57.728+5.618</f>
        <v>63.346000000000004</v>
      </c>
      <c r="F66" s="425">
        <v>46070</v>
      </c>
      <c r="G66" s="426"/>
      <c r="H66" s="423" t="s">
        <v>38</v>
      </c>
      <c r="I66" s="425">
        <v>46112</v>
      </c>
      <c r="J66" s="427"/>
      <c r="K66" s="430" t="s">
        <v>402</v>
      </c>
      <c r="L66" s="423" t="s">
        <v>353</v>
      </c>
      <c r="M66" s="425">
        <v>46112</v>
      </c>
      <c r="N66" s="423"/>
    </row>
    <row r="67" spans="1:14" ht="25.15" customHeight="1">
      <c r="A67" s="423">
        <f t="shared" si="1"/>
        <v>63</v>
      </c>
      <c r="B67" s="436" t="s">
        <v>434</v>
      </c>
      <c r="C67" s="435" t="s">
        <v>357</v>
      </c>
      <c r="D67" s="437" t="s">
        <v>274</v>
      </c>
      <c r="E67" s="424">
        <f>59.68+5.951</f>
        <v>65.631</v>
      </c>
      <c r="F67" s="425">
        <v>46114</v>
      </c>
      <c r="G67" s="426"/>
      <c r="H67" s="423" t="s">
        <v>38</v>
      </c>
      <c r="I67" s="425">
        <v>46119</v>
      </c>
      <c r="J67" s="427"/>
      <c r="K67" s="430" t="s">
        <v>433</v>
      </c>
      <c r="L67" s="423" t="s">
        <v>353</v>
      </c>
      <c r="M67" s="425">
        <v>46119</v>
      </c>
      <c r="N67" s="423"/>
    </row>
    <row r="68" spans="1:14" ht="25.15" customHeight="1">
      <c r="A68" s="423">
        <f t="shared" si="1"/>
        <v>64</v>
      </c>
      <c r="B68" s="436" t="s">
        <v>139</v>
      </c>
      <c r="C68" s="435" t="s">
        <v>357</v>
      </c>
      <c r="D68" s="437" t="s">
        <v>351</v>
      </c>
      <c r="E68" s="424">
        <f>37.148+3.486</f>
        <v>40.634</v>
      </c>
      <c r="F68" s="425">
        <v>46116</v>
      </c>
      <c r="G68" s="426"/>
      <c r="H68" s="423" t="s">
        <v>38</v>
      </c>
      <c r="I68" s="425">
        <v>46125</v>
      </c>
      <c r="J68" s="427"/>
      <c r="K68" s="430" t="s">
        <v>402</v>
      </c>
      <c r="L68" s="423" t="s">
        <v>353</v>
      </c>
      <c r="M68" s="425">
        <v>46133</v>
      </c>
      <c r="N68" s="423"/>
    </row>
    <row r="69" spans="1:14" ht="25.15" customHeight="1">
      <c r="A69" s="423">
        <f t="shared" si="1"/>
        <v>65</v>
      </c>
      <c r="B69" s="436" t="s">
        <v>435</v>
      </c>
      <c r="C69" s="435" t="s">
        <v>350</v>
      </c>
      <c r="D69" s="437" t="s">
        <v>274</v>
      </c>
      <c r="E69" s="424">
        <f>57.728+5.618</f>
        <v>63.346000000000004</v>
      </c>
      <c r="F69" s="425">
        <v>46120</v>
      </c>
      <c r="G69" s="426"/>
      <c r="H69" s="423" t="s">
        <v>38</v>
      </c>
      <c r="I69" s="425">
        <v>46125</v>
      </c>
      <c r="J69" s="427"/>
      <c r="K69" s="430" t="s">
        <v>433</v>
      </c>
      <c r="L69" s="423" t="s">
        <v>353</v>
      </c>
      <c r="M69" s="425">
        <v>46126</v>
      </c>
      <c r="N69" s="423"/>
    </row>
    <row r="70" spans="1:14" ht="25.15" customHeight="1">
      <c r="A70" s="423">
        <f t="shared" ref="A70:A88" si="2">A69+1</f>
        <v>66</v>
      </c>
      <c r="B70" s="436" t="s">
        <v>436</v>
      </c>
      <c r="C70" s="435" t="s">
        <v>357</v>
      </c>
      <c r="D70" s="437" t="s">
        <v>351</v>
      </c>
      <c r="E70" s="424">
        <f>3.486+37.148</f>
        <v>40.634</v>
      </c>
      <c r="F70" s="425">
        <v>46124</v>
      </c>
      <c r="G70" s="426"/>
      <c r="H70" s="423" t="s">
        <v>38</v>
      </c>
      <c r="I70" s="425">
        <v>46131</v>
      </c>
      <c r="J70" s="427"/>
      <c r="K70" s="430" t="s">
        <v>433</v>
      </c>
      <c r="L70" s="423" t="s">
        <v>353</v>
      </c>
      <c r="M70" s="425">
        <v>46131</v>
      </c>
      <c r="N70" s="423"/>
    </row>
    <row r="71" spans="1:14" ht="25.15" customHeight="1">
      <c r="A71" s="423">
        <f t="shared" si="2"/>
        <v>67</v>
      </c>
      <c r="B71" s="436" t="s">
        <v>431</v>
      </c>
      <c r="C71" s="435" t="s">
        <v>350</v>
      </c>
      <c r="D71" s="437" t="s">
        <v>274</v>
      </c>
      <c r="E71" s="424">
        <f>57.728+5.618</f>
        <v>63.346000000000004</v>
      </c>
      <c r="F71" s="425">
        <v>46126</v>
      </c>
      <c r="G71" s="426"/>
      <c r="H71" s="423" t="s">
        <v>38</v>
      </c>
      <c r="I71" s="425">
        <v>46132</v>
      </c>
      <c r="J71" s="427"/>
      <c r="K71" s="438" t="s">
        <v>409</v>
      </c>
      <c r="L71" s="448" t="s">
        <v>353</v>
      </c>
      <c r="M71" s="446">
        <v>46160</v>
      </c>
      <c r="N71" s="423"/>
    </row>
    <row r="72" spans="1:14" ht="25.15" customHeight="1">
      <c r="A72" s="423">
        <f t="shared" si="2"/>
        <v>68</v>
      </c>
      <c r="B72" s="436" t="s">
        <v>174</v>
      </c>
      <c r="C72" s="435" t="s">
        <v>298</v>
      </c>
      <c r="D72" s="437" t="s">
        <v>351</v>
      </c>
      <c r="E72" s="424">
        <f>166.88+11.31</f>
        <v>178.19</v>
      </c>
      <c r="F72" s="425">
        <v>46113</v>
      </c>
      <c r="G72" s="426"/>
      <c r="H72" s="423" t="s">
        <v>38</v>
      </c>
      <c r="I72" s="425">
        <v>46133</v>
      </c>
      <c r="J72" s="427"/>
      <c r="K72" s="430" t="s">
        <v>402</v>
      </c>
      <c r="L72" s="423" t="s">
        <v>353</v>
      </c>
      <c r="M72" s="425">
        <v>46134</v>
      </c>
      <c r="N72" s="423"/>
    </row>
    <row r="73" spans="1:14" ht="25.15" customHeight="1">
      <c r="A73" s="423">
        <f t="shared" si="2"/>
        <v>69</v>
      </c>
      <c r="B73" s="436" t="s">
        <v>150</v>
      </c>
      <c r="C73" s="435" t="s">
        <v>309</v>
      </c>
      <c r="D73" s="437" t="s">
        <v>274</v>
      </c>
      <c r="E73" s="431">
        <f>9.997+110.464</f>
        <v>120.461</v>
      </c>
      <c r="F73" s="425">
        <v>46131</v>
      </c>
      <c r="G73" s="426" t="s">
        <v>67</v>
      </c>
      <c r="H73" s="423" t="s">
        <v>38</v>
      </c>
      <c r="I73" s="425">
        <v>46140</v>
      </c>
      <c r="J73" s="427"/>
      <c r="K73" s="430" t="s">
        <v>433</v>
      </c>
      <c r="L73" s="423" t="s">
        <v>353</v>
      </c>
      <c r="M73" s="425">
        <v>46140</v>
      </c>
      <c r="N73" s="423"/>
    </row>
    <row r="74" spans="1:14" ht="25.15" customHeight="1">
      <c r="A74" s="423">
        <f t="shared" si="2"/>
        <v>70</v>
      </c>
      <c r="B74" s="436" t="s">
        <v>437</v>
      </c>
      <c r="C74" s="435" t="s">
        <v>357</v>
      </c>
      <c r="D74" s="437" t="s">
        <v>351</v>
      </c>
      <c r="E74" s="424">
        <f>3.486+37.148</f>
        <v>40.634</v>
      </c>
      <c r="F74" s="425">
        <v>46131</v>
      </c>
      <c r="G74" s="426" t="s">
        <v>67</v>
      </c>
      <c r="H74" s="423" t="s">
        <v>38</v>
      </c>
      <c r="I74" s="425">
        <v>46141</v>
      </c>
      <c r="J74" s="427"/>
      <c r="K74" s="438" t="s">
        <v>409</v>
      </c>
      <c r="L74" s="443" t="s">
        <v>353</v>
      </c>
      <c r="M74" s="444">
        <v>46171</v>
      </c>
      <c r="N74" s="423"/>
    </row>
    <row r="75" spans="1:14" ht="25.15" customHeight="1">
      <c r="A75" s="423">
        <f t="shared" si="2"/>
        <v>71</v>
      </c>
      <c r="B75" s="436" t="s">
        <v>432</v>
      </c>
      <c r="C75" s="435" t="s">
        <v>350</v>
      </c>
      <c r="D75" s="437" t="s">
        <v>274</v>
      </c>
      <c r="E75" s="424">
        <f>57.728+5.618</f>
        <v>63.346000000000004</v>
      </c>
      <c r="F75" s="425">
        <v>46141</v>
      </c>
      <c r="G75" s="426" t="s">
        <v>67</v>
      </c>
      <c r="H75" s="423" t="s">
        <v>38</v>
      </c>
      <c r="I75" s="425">
        <v>46148</v>
      </c>
      <c r="J75" s="439"/>
      <c r="K75" s="438" t="s">
        <v>433</v>
      </c>
      <c r="L75" s="423" t="s">
        <v>353</v>
      </c>
      <c r="M75" s="425">
        <v>46150</v>
      </c>
      <c r="N75" s="423"/>
    </row>
    <row r="76" spans="1:14" ht="25.15" customHeight="1">
      <c r="A76" s="423">
        <f t="shared" si="2"/>
        <v>72</v>
      </c>
      <c r="B76" s="436" t="s">
        <v>438</v>
      </c>
      <c r="C76" s="435" t="s">
        <v>350</v>
      </c>
      <c r="D76" s="437" t="s">
        <v>351</v>
      </c>
      <c r="E76" s="424">
        <f>3.264+35.862</f>
        <v>39.126000000000005</v>
      </c>
      <c r="F76" s="425">
        <v>46149</v>
      </c>
      <c r="G76" s="426"/>
      <c r="H76" s="423" t="s">
        <v>38</v>
      </c>
      <c r="I76" s="425">
        <v>46155</v>
      </c>
      <c r="J76" s="427"/>
      <c r="K76" s="430" t="s">
        <v>433</v>
      </c>
      <c r="L76" s="423" t="s">
        <v>353</v>
      </c>
      <c r="M76" s="425">
        <v>46157</v>
      </c>
      <c r="N76" s="423"/>
    </row>
    <row r="77" spans="1:14" ht="25.15" customHeight="1">
      <c r="A77" s="423">
        <f t="shared" si="2"/>
        <v>73</v>
      </c>
      <c r="B77" s="436" t="s">
        <v>439</v>
      </c>
      <c r="C77" s="435" t="s">
        <v>350</v>
      </c>
      <c r="D77" s="437" t="s">
        <v>274</v>
      </c>
      <c r="E77" s="424">
        <f>57.728+5.618</f>
        <v>63.346000000000004</v>
      </c>
      <c r="F77" s="425">
        <v>46134</v>
      </c>
      <c r="G77" s="435" t="s">
        <v>67</v>
      </c>
      <c r="H77" s="423" t="s">
        <v>38</v>
      </c>
      <c r="I77" s="425">
        <v>46158</v>
      </c>
      <c r="J77" s="427"/>
      <c r="K77" s="430" t="s">
        <v>440</v>
      </c>
      <c r="L77" s="423" t="s">
        <v>353</v>
      </c>
      <c r="M77" s="425">
        <v>46159</v>
      </c>
      <c r="N77" s="423"/>
    </row>
    <row r="78" spans="1:14" ht="25.15" customHeight="1">
      <c r="A78" s="423">
        <f t="shared" si="2"/>
        <v>74</v>
      </c>
      <c r="B78" s="436" t="s">
        <v>441</v>
      </c>
      <c r="C78" s="435" t="s">
        <v>350</v>
      </c>
      <c r="D78" s="437" t="s">
        <v>351</v>
      </c>
      <c r="E78" s="424">
        <f>3.264+35.862</f>
        <v>39.126000000000005</v>
      </c>
      <c r="F78" s="425">
        <v>46153</v>
      </c>
      <c r="G78" s="435" t="s">
        <v>67</v>
      </c>
      <c r="H78" s="423" t="s">
        <v>38</v>
      </c>
      <c r="I78" s="425">
        <v>46159</v>
      </c>
      <c r="J78" s="427"/>
      <c r="K78" s="430" t="s">
        <v>433</v>
      </c>
      <c r="L78" s="423" t="s">
        <v>353</v>
      </c>
      <c r="M78" s="425">
        <v>46160</v>
      </c>
      <c r="N78" s="423"/>
    </row>
    <row r="79" spans="1:14" ht="25.15" customHeight="1">
      <c r="A79" s="423">
        <f t="shared" si="2"/>
        <v>75</v>
      </c>
      <c r="B79" s="436" t="s">
        <v>442</v>
      </c>
      <c r="C79" s="435" t="s">
        <v>373</v>
      </c>
      <c r="D79" s="437" t="s">
        <v>351</v>
      </c>
      <c r="E79" s="424">
        <f>7.224+85.068</f>
        <v>92.292000000000002</v>
      </c>
      <c r="F79" s="425">
        <v>46151</v>
      </c>
      <c r="G79" s="435"/>
      <c r="H79" s="423" t="s">
        <v>38</v>
      </c>
      <c r="I79" s="425">
        <v>46160</v>
      </c>
      <c r="J79" s="427"/>
      <c r="K79" s="430" t="s">
        <v>402</v>
      </c>
      <c r="L79" s="423" t="s">
        <v>353</v>
      </c>
      <c r="M79" s="425">
        <v>46159</v>
      </c>
      <c r="N79" s="423"/>
    </row>
    <row r="80" spans="1:14" ht="33" customHeight="1">
      <c r="A80" s="423">
        <f t="shared" si="2"/>
        <v>76</v>
      </c>
      <c r="B80" s="436" t="s">
        <v>445</v>
      </c>
      <c r="C80" s="435" t="s">
        <v>298</v>
      </c>
      <c r="D80" s="437" t="s">
        <v>446</v>
      </c>
      <c r="E80" s="424">
        <f>19.88+286.172</f>
        <v>306.05200000000002</v>
      </c>
      <c r="F80" s="425">
        <v>46116</v>
      </c>
      <c r="G80" s="426" t="s">
        <v>67</v>
      </c>
      <c r="H80" s="423" t="s">
        <v>38</v>
      </c>
      <c r="I80" s="425">
        <v>46162</v>
      </c>
      <c r="J80" s="427"/>
      <c r="K80" s="430" t="s">
        <v>447</v>
      </c>
      <c r="L80" s="423" t="s">
        <v>353</v>
      </c>
      <c r="M80" s="425">
        <v>46150</v>
      </c>
      <c r="N80" s="423"/>
    </row>
    <row r="81" spans="1:14" ht="29.45" customHeight="1">
      <c r="A81" s="423">
        <f t="shared" si="2"/>
        <v>77</v>
      </c>
      <c r="B81" s="436" t="s">
        <v>443</v>
      </c>
      <c r="C81" s="435" t="s">
        <v>357</v>
      </c>
      <c r="D81" s="437" t="s">
        <v>351</v>
      </c>
      <c r="E81" s="424">
        <f>37.148+3.486</f>
        <v>40.634</v>
      </c>
      <c r="F81" s="425">
        <v>46159</v>
      </c>
      <c r="G81" s="426" t="s">
        <v>67</v>
      </c>
      <c r="H81" s="423" t="s">
        <v>38</v>
      </c>
      <c r="I81" s="425">
        <v>46162</v>
      </c>
      <c r="J81" s="427"/>
      <c r="K81" s="430" t="s">
        <v>433</v>
      </c>
      <c r="L81" s="423" t="s">
        <v>353</v>
      </c>
      <c r="M81" s="425">
        <v>46162</v>
      </c>
      <c r="N81" s="423" t="s">
        <v>444</v>
      </c>
    </row>
    <row r="82" spans="1:14" ht="29.45" customHeight="1">
      <c r="A82" s="423">
        <f t="shared" si="2"/>
        <v>78</v>
      </c>
      <c r="B82" s="436" t="s">
        <v>448</v>
      </c>
      <c r="C82" s="435" t="s">
        <v>357</v>
      </c>
      <c r="D82" s="437" t="s">
        <v>351</v>
      </c>
      <c r="E82" s="424">
        <f>37.148+3.486</f>
        <v>40.634</v>
      </c>
      <c r="F82" s="425">
        <v>46161</v>
      </c>
      <c r="G82" s="426" t="s">
        <v>67</v>
      </c>
      <c r="H82" s="423" t="s">
        <v>38</v>
      </c>
      <c r="I82" s="425">
        <v>46165</v>
      </c>
      <c r="J82" s="427"/>
      <c r="K82" s="430" t="s">
        <v>402</v>
      </c>
      <c r="L82" s="423" t="s">
        <v>353</v>
      </c>
      <c r="M82" s="425">
        <v>46166</v>
      </c>
      <c r="N82" s="423" t="s">
        <v>67</v>
      </c>
    </row>
    <row r="83" spans="1:14" ht="29.45" customHeight="1">
      <c r="A83" s="423">
        <f t="shared" si="2"/>
        <v>79</v>
      </c>
      <c r="B83" s="436" t="s">
        <v>449</v>
      </c>
      <c r="C83" s="435" t="s">
        <v>357</v>
      </c>
      <c r="D83" s="437" t="s">
        <v>274</v>
      </c>
      <c r="E83" s="424">
        <f>59.68+5.951</f>
        <v>65.631</v>
      </c>
      <c r="F83" s="425">
        <v>46162</v>
      </c>
      <c r="G83" s="426" t="s">
        <v>67</v>
      </c>
      <c r="H83" s="423" t="s">
        <v>38</v>
      </c>
      <c r="I83" s="425">
        <v>46168</v>
      </c>
      <c r="J83" s="427"/>
      <c r="K83" s="430" t="s">
        <v>433</v>
      </c>
      <c r="L83" s="423" t="s">
        <v>353</v>
      </c>
      <c r="M83" s="425">
        <v>46169</v>
      </c>
      <c r="N83" s="423" t="s">
        <v>67</v>
      </c>
    </row>
    <row r="84" spans="1:14" ht="29.45" customHeight="1">
      <c r="A84" s="423">
        <f t="shared" si="2"/>
        <v>80</v>
      </c>
      <c r="B84" s="436" t="s">
        <v>151</v>
      </c>
      <c r="C84" s="435" t="s">
        <v>335</v>
      </c>
      <c r="D84" s="437" t="s">
        <v>274</v>
      </c>
      <c r="E84" s="424">
        <f>72.684+7.26</f>
        <v>79.944000000000003</v>
      </c>
      <c r="F84" s="425">
        <v>46142</v>
      </c>
      <c r="G84" s="426" t="s">
        <v>67</v>
      </c>
      <c r="H84" s="423" t="s">
        <v>38</v>
      </c>
      <c r="I84" s="425">
        <v>46169</v>
      </c>
      <c r="J84" s="427"/>
      <c r="K84" s="430" t="s">
        <v>409</v>
      </c>
      <c r="L84" s="423" t="s">
        <v>353</v>
      </c>
      <c r="M84" s="425">
        <v>46173</v>
      </c>
      <c r="N84" s="423"/>
    </row>
    <row r="85" spans="1:14" ht="29.45" customHeight="1">
      <c r="A85" s="423">
        <f t="shared" si="2"/>
        <v>81</v>
      </c>
      <c r="B85" s="436" t="s">
        <v>452</v>
      </c>
      <c r="C85" s="435" t="s">
        <v>357</v>
      </c>
      <c r="D85" s="437" t="s">
        <v>274</v>
      </c>
      <c r="E85" s="424">
        <f>59.68+5.951</f>
        <v>65.631</v>
      </c>
      <c r="F85" s="425">
        <v>46164</v>
      </c>
      <c r="G85" s="426"/>
      <c r="H85" s="423" t="s">
        <v>38</v>
      </c>
      <c r="I85" s="425">
        <v>46173</v>
      </c>
      <c r="J85" s="427"/>
      <c r="K85" s="430" t="s">
        <v>381</v>
      </c>
      <c r="L85" s="423" t="s">
        <v>353</v>
      </c>
      <c r="M85" s="425">
        <v>46182</v>
      </c>
      <c r="N85" s="423"/>
    </row>
    <row r="86" spans="1:14" ht="29.45" customHeight="1">
      <c r="A86" s="423">
        <f t="shared" si="2"/>
        <v>82</v>
      </c>
      <c r="B86" s="423" t="s">
        <v>453</v>
      </c>
      <c r="C86" s="423" t="s">
        <v>350</v>
      </c>
      <c r="D86" s="437" t="s">
        <v>274</v>
      </c>
      <c r="E86" s="424">
        <f>57.728+5.618</f>
        <v>63.346000000000004</v>
      </c>
      <c r="F86" s="425">
        <v>46170</v>
      </c>
      <c r="G86" s="429"/>
      <c r="H86" s="423" t="s">
        <v>38</v>
      </c>
      <c r="I86" s="425">
        <v>46173</v>
      </c>
      <c r="J86" s="427"/>
      <c r="K86" s="430" t="s">
        <v>433</v>
      </c>
      <c r="L86" s="423" t="s">
        <v>353</v>
      </c>
      <c r="M86" s="425">
        <v>46176</v>
      </c>
      <c r="N86" s="423"/>
    </row>
    <row r="87" spans="1:14" ht="36.6" customHeight="1">
      <c r="A87" s="423">
        <f t="shared" si="2"/>
        <v>83</v>
      </c>
      <c r="B87" s="423" t="s">
        <v>450</v>
      </c>
      <c r="C87" s="423" t="s">
        <v>300</v>
      </c>
      <c r="D87" s="437" t="s">
        <v>420</v>
      </c>
      <c r="E87" s="432">
        <f>111.81+15.7</f>
        <v>127.51</v>
      </c>
      <c r="F87" s="425">
        <v>46164</v>
      </c>
      <c r="G87" s="429"/>
      <c r="H87" s="423" t="s">
        <v>38</v>
      </c>
      <c r="I87" s="425">
        <v>46173</v>
      </c>
      <c r="J87" s="427"/>
      <c r="K87" s="430" t="s">
        <v>451</v>
      </c>
      <c r="L87" s="423" t="s">
        <v>353</v>
      </c>
      <c r="M87" s="425">
        <v>46181</v>
      </c>
      <c r="N87" s="423"/>
    </row>
    <row r="88" spans="1:14" ht="36.6" customHeight="1">
      <c r="A88" s="423">
        <f t="shared" si="2"/>
        <v>84</v>
      </c>
      <c r="B88" s="423" t="s">
        <v>454</v>
      </c>
      <c r="C88" s="423" t="s">
        <v>357</v>
      </c>
      <c r="D88" s="437" t="s">
        <v>351</v>
      </c>
      <c r="E88" s="424">
        <f>37.148+3.486</f>
        <v>40.634</v>
      </c>
      <c r="F88" s="425">
        <v>46170</v>
      </c>
      <c r="G88" s="429" t="s">
        <v>67</v>
      </c>
      <c r="H88" s="423" t="s">
        <v>38</v>
      </c>
      <c r="I88" s="425">
        <v>46179</v>
      </c>
      <c r="J88" s="427"/>
      <c r="K88" s="430" t="s">
        <v>381</v>
      </c>
      <c r="L88" s="423" t="s">
        <v>353</v>
      </c>
      <c r="M88" s="425">
        <v>46181</v>
      </c>
      <c r="N88" s="423" t="s">
        <v>67</v>
      </c>
    </row>
    <row r="89" spans="1:14" ht="36.6" customHeight="1">
      <c r="A89" s="423">
        <v>87</v>
      </c>
      <c r="B89" s="423" t="s">
        <v>456</v>
      </c>
      <c r="C89" s="423" t="s">
        <v>357</v>
      </c>
      <c r="D89" s="437" t="s">
        <v>351</v>
      </c>
      <c r="E89" s="424">
        <f>37.148+3.486</f>
        <v>40.634</v>
      </c>
      <c r="F89" s="425">
        <v>46162</v>
      </c>
      <c r="G89" s="429" t="s">
        <v>67</v>
      </c>
      <c r="H89" s="423" t="s">
        <v>38</v>
      </c>
      <c r="I89" s="425">
        <v>46179</v>
      </c>
      <c r="J89" s="427"/>
      <c r="K89" s="430" t="s">
        <v>457</v>
      </c>
      <c r="L89" s="423"/>
      <c r="M89" s="425"/>
      <c r="N89" s="423" t="s">
        <v>67</v>
      </c>
    </row>
    <row r="90" spans="1:14" ht="36.6" customHeight="1">
      <c r="A90" s="423">
        <v>88</v>
      </c>
      <c r="B90" s="423" t="s">
        <v>455</v>
      </c>
      <c r="C90" s="423" t="s">
        <v>373</v>
      </c>
      <c r="D90" s="437" t="s">
        <v>446</v>
      </c>
      <c r="E90" s="424">
        <f>155.628+13.285</f>
        <v>168.91299999999998</v>
      </c>
      <c r="F90" s="425">
        <v>46170</v>
      </c>
      <c r="G90" s="429" t="s">
        <v>67</v>
      </c>
      <c r="H90" s="423" t="s">
        <v>38</v>
      </c>
      <c r="I90" s="425">
        <v>46183</v>
      </c>
      <c r="J90" s="427"/>
      <c r="K90" s="430" t="s">
        <v>433</v>
      </c>
      <c r="L90" s="423"/>
      <c r="M90" s="425"/>
      <c r="N90" s="423" t="s">
        <v>67</v>
      </c>
    </row>
    <row r="91" spans="1:14" ht="36.6" customHeight="1">
      <c r="A91" s="423">
        <v>89</v>
      </c>
      <c r="B91" s="423" t="s">
        <v>458</v>
      </c>
      <c r="C91" s="423" t="s">
        <v>357</v>
      </c>
      <c r="D91" s="437" t="s">
        <v>351</v>
      </c>
      <c r="E91" s="424">
        <f>37.148+3.486</f>
        <v>40.634</v>
      </c>
      <c r="F91" s="425">
        <v>46176</v>
      </c>
      <c r="G91" s="429" t="s">
        <v>67</v>
      </c>
      <c r="H91" s="423" t="s">
        <v>38</v>
      </c>
      <c r="I91" s="425">
        <v>46184</v>
      </c>
      <c r="J91" s="427"/>
      <c r="K91" s="430" t="s">
        <v>381</v>
      </c>
      <c r="L91" s="423"/>
      <c r="M91" s="425"/>
      <c r="N91" s="423"/>
    </row>
    <row r="92" spans="1:14" ht="36.6" customHeight="1">
      <c r="A92" s="423">
        <f>A91+1</f>
        <v>90</v>
      </c>
      <c r="B92" s="423" t="s">
        <v>459</v>
      </c>
      <c r="C92" s="423" t="s">
        <v>460</v>
      </c>
      <c r="D92" s="437" t="s">
        <v>274</v>
      </c>
      <c r="E92" s="424">
        <v>117.033</v>
      </c>
      <c r="F92" s="425">
        <v>46181</v>
      </c>
      <c r="G92" s="429" t="s">
        <v>67</v>
      </c>
      <c r="H92" s="423" t="s">
        <v>38</v>
      </c>
      <c r="I92" s="425">
        <v>46187</v>
      </c>
      <c r="J92" s="427"/>
      <c r="K92" s="430" t="s">
        <v>433</v>
      </c>
      <c r="L92" s="423" t="s">
        <v>353</v>
      </c>
      <c r="M92" s="425">
        <v>46188</v>
      </c>
      <c r="N92" s="423"/>
    </row>
    <row r="93" spans="1:14" ht="45.6" customHeight="1">
      <c r="A93" s="423">
        <v>91</v>
      </c>
      <c r="B93" s="423" t="s">
        <v>580</v>
      </c>
      <c r="C93" s="423" t="s">
        <v>350</v>
      </c>
      <c r="D93" s="437" t="s">
        <v>274</v>
      </c>
      <c r="E93" s="424">
        <v>63.346000000000004</v>
      </c>
      <c r="F93" s="425">
        <v>46181</v>
      </c>
      <c r="G93" s="429" t="s">
        <v>67</v>
      </c>
      <c r="H93" s="423" t="s">
        <v>38</v>
      </c>
      <c r="I93" s="425">
        <v>46187</v>
      </c>
      <c r="J93" s="427"/>
      <c r="K93" s="430" t="s">
        <v>402</v>
      </c>
      <c r="L93" s="423" t="s">
        <v>353</v>
      </c>
      <c r="M93" s="425">
        <v>46188</v>
      </c>
      <c r="N93" s="423"/>
    </row>
    <row r="94" spans="1:14" ht="45.6" customHeight="1">
      <c r="A94" s="423">
        <v>92</v>
      </c>
      <c r="B94" s="423" t="s">
        <v>555</v>
      </c>
      <c r="C94" s="423" t="s">
        <v>350</v>
      </c>
      <c r="D94" s="437" t="s">
        <v>351</v>
      </c>
      <c r="E94" s="424">
        <v>39.126000000000005</v>
      </c>
      <c r="F94" s="425">
        <v>46181</v>
      </c>
      <c r="G94" s="429" t="s">
        <v>67</v>
      </c>
      <c r="H94" s="423" t="s">
        <v>38</v>
      </c>
      <c r="I94" s="425">
        <v>46188</v>
      </c>
      <c r="J94" s="427"/>
      <c r="K94" s="430" t="s">
        <v>426</v>
      </c>
      <c r="L94" s="423" t="s">
        <v>353</v>
      </c>
      <c r="M94" s="425">
        <v>46189</v>
      </c>
      <c r="N94" s="423"/>
    </row>
    <row r="95" spans="1:14" ht="45.6" customHeight="1">
      <c r="A95" s="423">
        <v>93</v>
      </c>
      <c r="B95" s="423" t="s">
        <v>562</v>
      </c>
      <c r="C95" s="423" t="s">
        <v>396</v>
      </c>
      <c r="D95" s="437" t="s">
        <v>274</v>
      </c>
      <c r="E95" s="424">
        <f>5.618+57.728</f>
        <v>63.346000000000004</v>
      </c>
      <c r="F95" s="425">
        <v>46188</v>
      </c>
      <c r="G95" s="429"/>
      <c r="H95" s="423" t="s">
        <v>38</v>
      </c>
      <c r="I95" s="425">
        <v>46193</v>
      </c>
      <c r="J95" s="427"/>
      <c r="K95" s="430" t="s">
        <v>433</v>
      </c>
      <c r="L95" s="423"/>
      <c r="M95" s="425"/>
      <c r="N95" s="423"/>
    </row>
    <row r="96" spans="1:14" ht="45.6" customHeight="1">
      <c r="A96" s="423">
        <v>94</v>
      </c>
      <c r="B96" s="423" t="s">
        <v>552</v>
      </c>
      <c r="C96" s="423" t="s">
        <v>373</v>
      </c>
      <c r="D96" s="437" t="s">
        <v>274</v>
      </c>
      <c r="E96" s="424">
        <v>134.785</v>
      </c>
      <c r="F96" s="425">
        <v>46185</v>
      </c>
      <c r="G96" s="429" t="s">
        <v>67</v>
      </c>
      <c r="H96" s="423" t="s">
        <v>38</v>
      </c>
      <c r="I96" s="425">
        <v>46198</v>
      </c>
      <c r="J96" s="427"/>
      <c r="K96" s="430" t="s">
        <v>1086</v>
      </c>
      <c r="L96" s="423" t="s">
        <v>353</v>
      </c>
      <c r="M96" s="425">
        <v>46199</v>
      </c>
      <c r="N96" s="423"/>
    </row>
    <row r="97" spans="1:14" ht="45.6" customHeight="1">
      <c r="A97" s="423">
        <v>97</v>
      </c>
      <c r="B97" s="423" t="s">
        <v>559</v>
      </c>
      <c r="C97" s="423" t="s">
        <v>561</v>
      </c>
      <c r="D97" s="437" t="s">
        <v>274</v>
      </c>
      <c r="E97" s="424">
        <v>65.631</v>
      </c>
      <c r="F97" s="425">
        <v>46194</v>
      </c>
      <c r="G97" s="429" t="s">
        <v>67</v>
      </c>
      <c r="H97" s="423" t="s">
        <v>38</v>
      </c>
      <c r="I97" s="425">
        <v>46198</v>
      </c>
      <c r="J97" s="427"/>
      <c r="K97" s="430" t="s">
        <v>433</v>
      </c>
      <c r="L97" s="423" t="s">
        <v>353</v>
      </c>
      <c r="M97" s="425">
        <v>46199</v>
      </c>
      <c r="N97" s="423"/>
    </row>
    <row r="98" spans="1:14" ht="51.75" customHeight="1">
      <c r="A98" s="543">
        <v>96</v>
      </c>
      <c r="B98" s="516" t="s">
        <v>567</v>
      </c>
      <c r="C98" s="517" t="s">
        <v>300</v>
      </c>
      <c r="D98" s="511" t="s">
        <v>274</v>
      </c>
      <c r="E98" s="515">
        <v>89.905000000000001</v>
      </c>
      <c r="F98" s="512">
        <v>46193</v>
      </c>
      <c r="G98" s="517" t="s">
        <v>1184</v>
      </c>
      <c r="H98" s="510"/>
      <c r="I98" s="512" t="s">
        <v>67</v>
      </c>
      <c r="J98" s="513"/>
      <c r="K98" s="514" t="s">
        <v>355</v>
      </c>
      <c r="L98" s="510"/>
      <c r="M98" s="518"/>
      <c r="N98" s="510"/>
    </row>
    <row r="99" spans="1:14" ht="49.5" customHeight="1">
      <c r="A99" s="543">
        <v>95</v>
      </c>
      <c r="B99" s="516" t="s">
        <v>579</v>
      </c>
      <c r="C99" s="517" t="s">
        <v>350</v>
      </c>
      <c r="D99" s="511" t="s">
        <v>351</v>
      </c>
      <c r="E99" s="515">
        <v>39.126000000000005</v>
      </c>
      <c r="F99" s="512" t="s">
        <v>1098</v>
      </c>
      <c r="G99" s="567" t="s">
        <v>1108</v>
      </c>
      <c r="H99" s="510"/>
      <c r="I99" s="512"/>
      <c r="J99" s="513"/>
      <c r="K99" s="514" t="s">
        <v>1090</v>
      </c>
      <c r="L99" s="512"/>
      <c r="M99" s="518"/>
      <c r="N99" s="510"/>
    </row>
    <row r="100" spans="1:14" ht="49.5" customHeight="1">
      <c r="A100" s="543">
        <v>98</v>
      </c>
      <c r="B100" s="516" t="s">
        <v>625</v>
      </c>
      <c r="C100" s="517" t="s">
        <v>902</v>
      </c>
      <c r="D100" s="511" t="s">
        <v>274</v>
      </c>
      <c r="E100" s="515"/>
      <c r="F100" s="512"/>
      <c r="G100" s="568"/>
      <c r="H100" s="510"/>
      <c r="I100" s="512"/>
      <c r="J100" s="513"/>
      <c r="K100" s="514" t="s">
        <v>67</v>
      </c>
      <c r="L100" s="510"/>
      <c r="M100" s="518"/>
      <c r="N100" s="510"/>
    </row>
    <row r="101" spans="1:14" ht="30" customHeight="1">
      <c r="A101" s="387"/>
      <c r="B101" s="388"/>
      <c r="C101" s="389"/>
      <c r="D101" s="390"/>
      <c r="E101" s="391"/>
      <c r="F101" s="421"/>
      <c r="G101" s="396"/>
      <c r="H101" s="406"/>
      <c r="I101" s="422"/>
      <c r="J101" s="394"/>
      <c r="K101" s="411"/>
      <c r="M101" s="408"/>
    </row>
    <row r="102" spans="1:14" ht="30" customHeight="1">
      <c r="A102" s="387"/>
      <c r="C102" s="389"/>
      <c r="D102" s="390"/>
      <c r="E102" s="391"/>
      <c r="F102" s="421"/>
      <c r="G102" s="396"/>
      <c r="H102" s="406"/>
      <c r="I102" s="422"/>
      <c r="J102" s="394"/>
      <c r="K102" s="411"/>
      <c r="M102" s="409"/>
    </row>
    <row r="103" spans="1:14" ht="30" customHeight="1">
      <c r="A103" s="387"/>
      <c r="B103" s="388"/>
      <c r="C103" s="389"/>
      <c r="D103" s="390"/>
      <c r="E103" s="391"/>
      <c r="F103" s="421"/>
      <c r="G103" s="396"/>
      <c r="H103" s="392"/>
      <c r="I103" s="422"/>
      <c r="J103" s="394"/>
      <c r="K103" s="411"/>
      <c r="M103" s="408"/>
    </row>
    <row r="104" spans="1:14" ht="30" customHeight="1">
      <c r="A104" s="387"/>
      <c r="B104" s="388"/>
      <c r="C104" s="389"/>
      <c r="D104" s="390"/>
      <c r="E104" s="391"/>
      <c r="F104" s="421"/>
      <c r="G104" s="396"/>
      <c r="H104" s="406"/>
      <c r="I104" s="422"/>
      <c r="J104" s="394"/>
      <c r="K104" s="411"/>
      <c r="M104" s="408"/>
    </row>
    <row r="105" spans="1:14" ht="30" customHeight="1">
      <c r="A105" s="387"/>
      <c r="B105" s="388"/>
      <c r="C105" s="389"/>
      <c r="D105" s="390"/>
      <c r="E105" s="391"/>
      <c r="F105" s="421"/>
      <c r="G105" s="396"/>
      <c r="H105" s="406"/>
      <c r="I105" s="422"/>
      <c r="J105" s="394"/>
      <c r="K105" s="411"/>
    </row>
    <row r="106" spans="1:14" ht="30" customHeight="1">
      <c r="A106" s="387"/>
      <c r="B106" s="388"/>
      <c r="C106" s="389"/>
      <c r="D106" s="390"/>
      <c r="E106" s="391"/>
      <c r="F106" s="421"/>
      <c r="G106" s="399"/>
      <c r="H106" s="406"/>
      <c r="I106" s="422"/>
      <c r="J106" s="394"/>
      <c r="K106" s="411"/>
      <c r="M106" s="408"/>
    </row>
    <row r="107" spans="1:14" ht="30" customHeight="1">
      <c r="A107" s="387"/>
      <c r="B107" s="388"/>
      <c r="C107" s="389"/>
      <c r="D107" s="390"/>
      <c r="E107" s="391"/>
      <c r="F107" s="421"/>
      <c r="G107" s="396"/>
      <c r="H107" s="406"/>
      <c r="I107" s="422"/>
      <c r="J107" s="394"/>
      <c r="K107" s="411"/>
    </row>
    <row r="108" spans="1:14" ht="30" customHeight="1">
      <c r="A108" s="387"/>
      <c r="B108" s="388"/>
      <c r="C108" s="389"/>
      <c r="D108" s="390"/>
      <c r="E108" s="391"/>
      <c r="F108" s="421"/>
      <c r="G108" s="396"/>
      <c r="H108" s="406"/>
      <c r="I108" s="422"/>
      <c r="J108" s="394"/>
      <c r="K108" s="411"/>
      <c r="M108" s="408"/>
    </row>
    <row r="109" spans="1:14" ht="30" customHeight="1">
      <c r="A109" s="387"/>
      <c r="B109" s="388"/>
      <c r="C109" s="389"/>
      <c r="D109" s="390"/>
      <c r="E109" s="391"/>
      <c r="F109" s="421"/>
      <c r="G109" s="396"/>
      <c r="H109" s="406"/>
      <c r="I109" s="422"/>
      <c r="J109" s="394"/>
      <c r="K109" s="411"/>
    </row>
    <row r="110" spans="1:14" ht="30" customHeight="1">
      <c r="A110" s="387"/>
      <c r="B110" s="388"/>
      <c r="C110" s="389"/>
      <c r="D110" s="390"/>
      <c r="E110" s="391"/>
      <c r="F110" s="421"/>
      <c r="G110" s="396"/>
      <c r="H110" s="406"/>
      <c r="I110" s="422"/>
      <c r="J110" s="394"/>
      <c r="K110" s="411"/>
    </row>
    <row r="111" spans="1:14" ht="30" customHeight="1">
      <c r="A111" s="387"/>
      <c r="B111" s="388"/>
      <c r="C111" s="389"/>
      <c r="D111" s="390"/>
      <c r="E111" s="391"/>
      <c r="F111" s="421"/>
      <c r="G111" s="396"/>
      <c r="H111" s="406"/>
      <c r="I111" s="422"/>
      <c r="J111" s="394"/>
      <c r="K111" s="411"/>
      <c r="M111" s="408"/>
    </row>
    <row r="112" spans="1:14" ht="30" customHeight="1">
      <c r="A112" s="387"/>
      <c r="B112" s="388"/>
      <c r="C112" s="389"/>
      <c r="D112" s="390"/>
      <c r="E112" s="391"/>
      <c r="F112" s="421"/>
      <c r="G112" s="396"/>
      <c r="H112" s="406"/>
      <c r="I112" s="422"/>
      <c r="J112" s="394"/>
      <c r="K112" s="411"/>
    </row>
    <row r="113" spans="1:14" ht="30" customHeight="1">
      <c r="A113" s="387"/>
      <c r="B113" s="388"/>
      <c r="C113" s="389"/>
      <c r="D113" s="390"/>
      <c r="E113" s="391"/>
      <c r="F113" s="421"/>
      <c r="G113" s="399"/>
      <c r="H113" s="392"/>
      <c r="I113" s="422"/>
      <c r="J113" s="394"/>
      <c r="K113" s="411"/>
    </row>
    <row r="114" spans="1:14" ht="30" customHeight="1">
      <c r="A114" s="387"/>
      <c r="B114" s="388"/>
      <c r="C114" s="389"/>
      <c r="D114" s="390"/>
      <c r="E114" s="391"/>
      <c r="F114" s="421"/>
      <c r="G114" s="396"/>
      <c r="H114" s="392"/>
      <c r="I114" s="422"/>
      <c r="J114" s="394"/>
      <c r="K114" s="411"/>
    </row>
    <row r="115" spans="1:14" ht="30" customHeight="1">
      <c r="A115" s="387"/>
      <c r="B115" s="388"/>
      <c r="C115" s="389"/>
      <c r="D115" s="390"/>
      <c r="E115" s="391"/>
      <c r="F115" s="421"/>
      <c r="G115" s="396"/>
      <c r="H115" s="392"/>
      <c r="I115" s="422"/>
      <c r="J115" s="394"/>
      <c r="K115" s="411"/>
    </row>
    <row r="116" spans="1:14" ht="30" customHeight="1">
      <c r="A116" s="387"/>
      <c r="B116" s="388"/>
      <c r="C116" s="389"/>
      <c r="D116" s="390"/>
      <c r="E116" s="391"/>
      <c r="F116" s="421"/>
      <c r="G116" s="396"/>
      <c r="H116" s="392"/>
      <c r="I116" s="422"/>
      <c r="J116" s="394"/>
      <c r="K116" s="411"/>
      <c r="M116" s="408"/>
    </row>
    <row r="117" spans="1:14" ht="30" customHeight="1">
      <c r="A117" s="387"/>
      <c r="B117" s="388"/>
      <c r="C117" s="389"/>
      <c r="D117" s="390"/>
      <c r="E117" s="391"/>
      <c r="F117" s="421"/>
      <c r="G117" s="396"/>
      <c r="H117" s="392"/>
      <c r="I117" s="422"/>
      <c r="J117" s="394"/>
      <c r="K117" s="411"/>
      <c r="M117" s="408"/>
    </row>
    <row r="118" spans="1:14" s="386" customFormat="1" ht="44.1" customHeight="1">
      <c r="A118" s="387"/>
      <c r="B118" s="388"/>
      <c r="C118" s="389"/>
      <c r="D118" s="390"/>
      <c r="E118" s="391"/>
      <c r="F118" s="421"/>
      <c r="G118" s="396"/>
      <c r="H118" s="392"/>
      <c r="I118" s="422"/>
      <c r="J118" s="397"/>
      <c r="K118" s="411"/>
      <c r="L118" s="350"/>
      <c r="M118" s="408"/>
      <c r="N118" s="406"/>
    </row>
    <row r="119" spans="1:14" ht="44.1" customHeight="1">
      <c r="A119" s="387"/>
      <c r="B119" s="388"/>
      <c r="C119" s="389"/>
      <c r="D119" s="390"/>
      <c r="E119" s="391"/>
      <c r="F119" s="421"/>
      <c r="G119" s="396"/>
      <c r="H119" s="392"/>
      <c r="I119" s="422"/>
      <c r="J119" s="397"/>
      <c r="K119" s="411"/>
      <c r="M119" s="402"/>
      <c r="N119" s="406"/>
    </row>
    <row r="120" spans="1:14" s="386" customFormat="1" ht="44.1" customHeight="1">
      <c r="A120" s="387"/>
      <c r="B120" s="388"/>
      <c r="C120" s="389"/>
      <c r="D120" s="390"/>
      <c r="E120" s="391"/>
      <c r="F120" s="421"/>
      <c r="G120" s="396"/>
      <c r="H120" s="392"/>
      <c r="I120" s="422"/>
      <c r="J120" s="398"/>
      <c r="K120" s="411"/>
      <c r="L120" s="406"/>
      <c r="M120" s="406"/>
      <c r="N120" s="406"/>
    </row>
    <row r="121" spans="1:14" ht="30" customHeight="1">
      <c r="A121" s="387"/>
      <c r="B121" s="388"/>
      <c r="C121" s="389"/>
      <c r="D121" s="390"/>
      <c r="E121" s="391"/>
      <c r="F121" s="421"/>
      <c r="G121" s="396"/>
      <c r="H121" s="392"/>
      <c r="I121" s="422"/>
      <c r="J121" s="394"/>
      <c r="K121" s="411"/>
    </row>
    <row r="122" spans="1:14" s="386" customFormat="1" ht="48" customHeight="1">
      <c r="A122" s="387"/>
      <c r="B122" s="388"/>
      <c r="C122" s="389"/>
      <c r="D122" s="390"/>
      <c r="E122" s="391"/>
      <c r="F122" s="421"/>
      <c r="G122" s="399"/>
      <c r="H122" s="392"/>
      <c r="I122" s="422"/>
      <c r="J122" s="394"/>
      <c r="K122" s="411"/>
      <c r="L122" s="350"/>
      <c r="M122" s="350"/>
      <c r="N122" s="350"/>
    </row>
    <row r="123" spans="1:14" ht="43.35" customHeight="1">
      <c r="A123" s="387"/>
      <c r="B123" s="388"/>
      <c r="C123" s="389"/>
      <c r="D123" s="390"/>
      <c r="E123" s="391"/>
      <c r="F123" s="421"/>
      <c r="G123" s="396"/>
      <c r="H123" s="392"/>
      <c r="I123" s="422"/>
      <c r="J123" s="394"/>
      <c r="K123" s="411"/>
    </row>
    <row r="124" spans="1:14" ht="30" customHeight="1">
      <c r="A124" s="387"/>
      <c r="B124" s="388"/>
      <c r="C124" s="389"/>
      <c r="D124" s="390"/>
      <c r="E124" s="391"/>
      <c r="F124" s="421"/>
      <c r="G124" s="399"/>
      <c r="H124" s="389"/>
      <c r="I124" s="422"/>
      <c r="J124" s="394"/>
      <c r="K124" s="411"/>
    </row>
    <row r="125" spans="1:14" ht="30" customHeight="1">
      <c r="A125" s="387"/>
      <c r="B125" s="388"/>
      <c r="C125" s="389"/>
      <c r="D125" s="390"/>
      <c r="E125" s="391"/>
      <c r="F125" s="421"/>
      <c r="G125" s="396"/>
      <c r="H125" s="392"/>
      <c r="I125" s="422"/>
      <c r="J125" s="394"/>
      <c r="K125" s="411"/>
    </row>
    <row r="126" spans="1:14" ht="30" customHeight="1">
      <c r="A126" s="387"/>
      <c r="B126" s="388"/>
      <c r="C126" s="389"/>
      <c r="D126" s="390"/>
      <c r="E126" s="391"/>
      <c r="F126" s="421"/>
      <c r="G126" s="396"/>
      <c r="H126" s="392"/>
      <c r="I126" s="422"/>
      <c r="J126" s="394"/>
      <c r="K126" s="411"/>
    </row>
    <row r="127" spans="1:14" s="386" customFormat="1" ht="30" customHeight="1">
      <c r="A127" s="387"/>
      <c r="B127" s="388"/>
      <c r="C127" s="389"/>
      <c r="D127" s="390"/>
      <c r="E127" s="391"/>
      <c r="F127" s="421"/>
      <c r="G127" s="399"/>
      <c r="H127" s="392"/>
      <c r="I127" s="422"/>
      <c r="J127" s="397"/>
      <c r="K127" s="411"/>
      <c r="L127" s="406"/>
      <c r="M127" s="406"/>
      <c r="N127" s="406"/>
    </row>
    <row r="128" spans="1:14" s="386" customFormat="1" ht="30" customHeight="1">
      <c r="A128" s="387"/>
      <c r="B128" s="388"/>
      <c r="C128" s="389"/>
      <c r="D128" s="390"/>
      <c r="E128" s="391"/>
      <c r="F128" s="421"/>
      <c r="G128" s="396"/>
      <c r="H128" s="392"/>
      <c r="I128" s="422"/>
      <c r="J128" s="394"/>
      <c r="K128" s="411"/>
      <c r="L128" s="350"/>
      <c r="M128" s="408"/>
      <c r="N128" s="350"/>
    </row>
    <row r="129" spans="1:14" ht="30" customHeight="1">
      <c r="A129" s="387"/>
      <c r="B129" s="388"/>
      <c r="C129" s="389"/>
      <c r="D129" s="390"/>
      <c r="E129" s="391"/>
      <c r="F129" s="421"/>
      <c r="G129" s="396"/>
      <c r="H129" s="392"/>
      <c r="I129" s="422"/>
      <c r="J129" s="394"/>
      <c r="K129" s="411"/>
    </row>
    <row r="130" spans="1:14" ht="30" customHeight="1">
      <c r="A130" s="387"/>
      <c r="B130" s="388"/>
      <c r="C130" s="389"/>
      <c r="D130" s="390"/>
      <c r="E130" s="391"/>
      <c r="F130" s="421"/>
      <c r="G130" s="396"/>
      <c r="H130" s="406"/>
      <c r="I130" s="422"/>
      <c r="J130" s="394"/>
      <c r="K130" s="411"/>
      <c r="M130" s="408"/>
    </row>
    <row r="131" spans="1:14" ht="30" customHeight="1">
      <c r="A131" s="387"/>
      <c r="B131" s="388"/>
      <c r="C131" s="389"/>
      <c r="D131" s="390"/>
      <c r="E131" s="391"/>
      <c r="F131" s="421"/>
      <c r="G131" s="399"/>
      <c r="H131" s="389"/>
      <c r="I131" s="422"/>
      <c r="J131" s="394"/>
      <c r="K131" s="411"/>
    </row>
    <row r="132" spans="1:14" ht="30" customHeight="1">
      <c r="A132" s="387"/>
      <c r="B132" s="388"/>
      <c r="C132" s="389"/>
      <c r="D132" s="390"/>
      <c r="E132" s="391"/>
      <c r="F132" s="421"/>
      <c r="G132" s="396"/>
      <c r="H132" s="392"/>
      <c r="I132" s="422"/>
      <c r="J132" s="394"/>
      <c r="K132" s="411"/>
    </row>
    <row r="133" spans="1:14" ht="30" customHeight="1">
      <c r="A133" s="387"/>
      <c r="B133" s="388"/>
      <c r="C133" s="389"/>
      <c r="D133" s="390"/>
      <c r="E133" s="391"/>
      <c r="F133" s="421"/>
      <c r="G133" s="396"/>
      <c r="H133" s="392"/>
      <c r="I133" s="422"/>
      <c r="J133" s="394"/>
      <c r="K133" s="411"/>
    </row>
    <row r="134" spans="1:14" ht="30" customHeight="1">
      <c r="A134" s="387"/>
      <c r="B134" s="388"/>
      <c r="C134" s="389"/>
      <c r="D134" s="390"/>
      <c r="E134" s="391"/>
      <c r="F134" s="421"/>
      <c r="G134" s="396"/>
      <c r="H134" s="392"/>
      <c r="I134" s="422"/>
      <c r="J134" s="394"/>
      <c r="K134" s="411"/>
    </row>
    <row r="135" spans="1:14" ht="30" customHeight="1">
      <c r="A135" s="387"/>
      <c r="B135" s="388"/>
      <c r="C135" s="389"/>
      <c r="D135" s="390"/>
      <c r="E135" s="391"/>
      <c r="F135" s="421"/>
      <c r="G135" s="396"/>
      <c r="H135" s="392"/>
      <c r="I135" s="422"/>
      <c r="J135" s="394"/>
      <c r="K135" s="411"/>
    </row>
    <row r="136" spans="1:14" ht="30" customHeight="1">
      <c r="A136" s="387"/>
      <c r="B136" s="388"/>
      <c r="C136" s="389"/>
      <c r="D136" s="390"/>
      <c r="E136" s="391"/>
      <c r="F136" s="421"/>
      <c r="G136" s="396"/>
      <c r="H136" s="392"/>
      <c r="I136" s="422"/>
      <c r="J136" s="394"/>
      <c r="K136" s="411"/>
    </row>
    <row r="137" spans="1:14" ht="30" customHeight="1">
      <c r="A137" s="387"/>
      <c r="B137" s="388"/>
      <c r="C137" s="389"/>
      <c r="D137" s="390"/>
      <c r="E137" s="391"/>
      <c r="F137" s="421"/>
      <c r="G137" s="396"/>
      <c r="H137" s="392"/>
      <c r="I137" s="422"/>
      <c r="J137" s="397"/>
      <c r="K137" s="411"/>
      <c r="L137" s="406"/>
      <c r="M137" s="406"/>
      <c r="N137" s="406"/>
    </row>
    <row r="138" spans="1:14" ht="30" customHeight="1">
      <c r="A138" s="387"/>
      <c r="B138" s="388"/>
      <c r="C138" s="389"/>
      <c r="D138" s="390"/>
      <c r="E138" s="391"/>
      <c r="F138" s="421"/>
      <c r="G138" s="396"/>
      <c r="H138" s="392"/>
      <c r="I138" s="422"/>
      <c r="J138" s="394"/>
      <c r="K138" s="411"/>
    </row>
    <row r="139" spans="1:14" ht="30" customHeight="1">
      <c r="A139" s="387"/>
      <c r="B139" s="388"/>
      <c r="C139" s="389"/>
      <c r="D139" s="390"/>
      <c r="E139" s="391"/>
      <c r="F139" s="421"/>
      <c r="G139" s="396"/>
      <c r="H139" s="392"/>
      <c r="I139" s="422"/>
      <c r="J139" s="394"/>
      <c r="K139" s="411"/>
    </row>
    <row r="140" spans="1:14" ht="30" customHeight="1">
      <c r="A140" s="387"/>
      <c r="B140" s="388"/>
      <c r="C140" s="389"/>
      <c r="D140" s="390"/>
      <c r="E140" s="391"/>
      <c r="F140" s="421"/>
      <c r="G140" s="396"/>
      <c r="H140" s="392"/>
      <c r="I140" s="422"/>
      <c r="J140" s="394"/>
      <c r="K140" s="411"/>
    </row>
    <row r="141" spans="1:14" ht="30" customHeight="1">
      <c r="A141" s="387"/>
      <c r="B141" s="388"/>
      <c r="C141" s="389"/>
      <c r="D141" s="390"/>
      <c r="E141" s="391"/>
      <c r="F141" s="421"/>
      <c r="G141" s="396"/>
      <c r="H141" s="392"/>
      <c r="I141" s="422"/>
      <c r="J141" s="394"/>
      <c r="K141" s="411"/>
    </row>
    <row r="142" spans="1:14" ht="30" customHeight="1">
      <c r="A142" s="387"/>
      <c r="B142" s="388"/>
      <c r="C142" s="389"/>
      <c r="D142" s="390"/>
      <c r="E142" s="391"/>
      <c r="F142" s="421"/>
      <c r="G142" s="396"/>
      <c r="H142" s="392"/>
      <c r="I142" s="422"/>
      <c r="J142" s="394"/>
      <c r="K142" s="411"/>
      <c r="M142" s="408"/>
    </row>
    <row r="143" spans="1:14" ht="30" customHeight="1">
      <c r="A143" s="387"/>
      <c r="B143" s="388"/>
      <c r="C143" s="389"/>
      <c r="D143" s="390"/>
      <c r="E143" s="391"/>
      <c r="F143" s="421"/>
      <c r="G143" s="396"/>
      <c r="H143" s="392"/>
      <c r="I143" s="422"/>
      <c r="J143" s="394"/>
      <c r="K143" s="411"/>
    </row>
    <row r="144" spans="1:14" ht="30" customHeight="1">
      <c r="A144" s="387"/>
      <c r="B144" s="388"/>
      <c r="C144" s="389"/>
      <c r="D144" s="390"/>
      <c r="E144" s="391"/>
      <c r="F144" s="421"/>
      <c r="G144" s="396"/>
      <c r="H144" s="392"/>
      <c r="I144" s="422"/>
      <c r="J144" s="394"/>
      <c r="K144" s="411"/>
    </row>
    <row r="145" spans="1:13" ht="30" customHeight="1">
      <c r="A145" s="387"/>
      <c r="B145" s="388"/>
      <c r="C145" s="389"/>
      <c r="D145" s="390"/>
      <c r="E145" s="391"/>
      <c r="F145" s="421"/>
      <c r="G145" s="396"/>
      <c r="H145" s="392"/>
      <c r="I145" s="422"/>
      <c r="J145" s="394"/>
      <c r="K145" s="411"/>
    </row>
    <row r="146" spans="1:13" ht="30" customHeight="1">
      <c r="A146" s="387"/>
      <c r="B146" s="388"/>
      <c r="C146" s="389"/>
      <c r="D146" s="390"/>
      <c r="E146" s="391"/>
      <c r="F146" s="421"/>
      <c r="G146" s="396"/>
      <c r="H146" s="392"/>
      <c r="I146" s="422"/>
      <c r="J146" s="394"/>
      <c r="K146" s="411"/>
    </row>
    <row r="147" spans="1:13" ht="30" customHeight="1">
      <c r="A147" s="387"/>
      <c r="B147" s="388"/>
      <c r="C147" s="389"/>
      <c r="D147" s="390"/>
      <c r="E147" s="391"/>
      <c r="F147" s="421"/>
      <c r="G147" s="396"/>
      <c r="H147" s="392"/>
      <c r="I147" s="422"/>
      <c r="J147" s="394"/>
      <c r="K147" s="411"/>
      <c r="M147" s="408"/>
    </row>
    <row r="148" spans="1:13" ht="30" customHeight="1">
      <c r="A148" s="387"/>
      <c r="B148" s="388"/>
      <c r="C148" s="389"/>
      <c r="D148" s="390"/>
      <c r="E148" s="391"/>
      <c r="F148" s="421"/>
      <c r="G148" s="396"/>
      <c r="H148" s="392"/>
      <c r="I148" s="422"/>
      <c r="J148" s="394"/>
      <c r="K148" s="411"/>
      <c r="M148" s="408"/>
    </row>
    <row r="149" spans="1:13" ht="30" customHeight="1">
      <c r="A149" s="387"/>
      <c r="B149" s="388"/>
      <c r="C149" s="389"/>
      <c r="D149" s="390"/>
      <c r="E149" s="391"/>
      <c r="F149" s="421"/>
      <c r="G149" s="396"/>
      <c r="H149" s="392"/>
      <c r="I149" s="422"/>
      <c r="J149" s="394"/>
      <c r="K149" s="411"/>
      <c r="M149" s="408"/>
    </row>
    <row r="150" spans="1:13" ht="30" customHeight="1">
      <c r="A150" s="387"/>
      <c r="B150" s="388"/>
      <c r="C150" s="389"/>
      <c r="D150" s="390"/>
      <c r="E150" s="391"/>
      <c r="F150" s="421"/>
      <c r="G150" s="396"/>
      <c r="H150" s="392"/>
      <c r="I150" s="422"/>
      <c r="J150" s="394"/>
      <c r="K150" s="411"/>
    </row>
    <row r="151" spans="1:13" ht="30" customHeight="1">
      <c r="A151" s="387"/>
      <c r="B151" s="388"/>
      <c r="C151" s="389"/>
      <c r="D151" s="390"/>
      <c r="E151" s="391"/>
      <c r="F151" s="421"/>
      <c r="G151" s="396"/>
      <c r="H151" s="392"/>
      <c r="I151" s="422"/>
      <c r="J151" s="394"/>
      <c r="K151" s="411"/>
    </row>
    <row r="152" spans="1:13" ht="30" customHeight="1">
      <c r="A152" s="387"/>
      <c r="B152" s="388"/>
      <c r="C152" s="389"/>
      <c r="D152" s="390"/>
      <c r="E152" s="391"/>
      <c r="F152" s="421"/>
      <c r="G152" s="396"/>
      <c r="H152" s="392"/>
      <c r="I152" s="422"/>
      <c r="J152" s="394"/>
      <c r="K152" s="411"/>
      <c r="M152" s="409"/>
    </row>
    <row r="153" spans="1:13" ht="30" customHeight="1">
      <c r="A153" s="387"/>
      <c r="B153" s="388"/>
      <c r="C153" s="389"/>
      <c r="D153" s="390"/>
      <c r="E153" s="391"/>
      <c r="F153" s="421"/>
      <c r="G153" s="396"/>
      <c r="H153" s="392"/>
      <c r="I153" s="422"/>
      <c r="J153" s="394"/>
      <c r="K153" s="411"/>
    </row>
    <row r="154" spans="1:13" ht="30" customHeight="1">
      <c r="A154" s="387"/>
      <c r="B154" s="400"/>
      <c r="C154" s="387"/>
      <c r="D154" s="401"/>
      <c r="E154" s="391"/>
      <c r="F154" s="422"/>
      <c r="G154" s="396"/>
      <c r="H154" s="392"/>
      <c r="I154" s="422"/>
      <c r="J154" s="394"/>
      <c r="K154" s="412"/>
    </row>
    <row r="155" spans="1:13" ht="30" customHeight="1">
      <c r="A155" s="387"/>
      <c r="B155" s="388"/>
      <c r="C155" s="389"/>
      <c r="D155" s="390"/>
      <c r="E155" s="391"/>
      <c r="F155" s="421"/>
      <c r="G155" s="396"/>
      <c r="H155" s="392"/>
      <c r="I155" s="422"/>
      <c r="J155" s="394"/>
      <c r="K155" s="411"/>
    </row>
    <row r="156" spans="1:13" ht="30" customHeight="1">
      <c r="A156" s="387"/>
      <c r="B156" s="388"/>
      <c r="C156" s="389"/>
      <c r="D156" s="390"/>
      <c r="E156" s="391"/>
      <c r="F156" s="421"/>
      <c r="G156" s="396"/>
      <c r="H156" s="392"/>
      <c r="I156" s="422"/>
      <c r="J156" s="394"/>
      <c r="K156" s="411"/>
    </row>
    <row r="157" spans="1:13" ht="30" customHeight="1">
      <c r="A157" s="387"/>
      <c r="B157" s="388"/>
      <c r="C157" s="389"/>
      <c r="D157" s="390"/>
      <c r="E157" s="391"/>
      <c r="F157" s="421"/>
      <c r="G157" s="396"/>
      <c r="H157" s="392"/>
      <c r="I157" s="422"/>
      <c r="J157" s="394"/>
      <c r="K157" s="411"/>
    </row>
    <row r="158" spans="1:13" ht="30" customHeight="1">
      <c r="A158" s="387"/>
      <c r="B158" s="388"/>
      <c r="C158" s="389"/>
      <c r="D158" s="390"/>
      <c r="E158" s="391"/>
      <c r="F158" s="421"/>
      <c r="G158" s="396"/>
      <c r="H158" s="392"/>
      <c r="I158" s="422"/>
      <c r="J158" s="394"/>
      <c r="K158" s="411"/>
    </row>
    <row r="159" spans="1:13" ht="30" customHeight="1">
      <c r="A159" s="387"/>
      <c r="B159" s="388"/>
      <c r="C159" s="389"/>
      <c r="D159" s="390"/>
      <c r="E159" s="391"/>
      <c r="F159" s="421"/>
      <c r="G159" s="399"/>
      <c r="H159" s="392"/>
      <c r="I159" s="422"/>
      <c r="J159" s="394"/>
      <c r="K159" s="411"/>
    </row>
    <row r="160" spans="1:13" ht="30" customHeight="1">
      <c r="A160" s="387"/>
      <c r="B160" s="388"/>
      <c r="C160" s="389"/>
      <c r="D160" s="390"/>
      <c r="E160" s="391"/>
      <c r="F160" s="421"/>
      <c r="G160" s="396"/>
      <c r="H160" s="392"/>
      <c r="I160" s="422"/>
      <c r="J160" s="394"/>
      <c r="K160" s="411"/>
    </row>
    <row r="161" spans="1:14" ht="30" customHeight="1">
      <c r="A161" s="387"/>
      <c r="B161" s="388"/>
      <c r="C161" s="389"/>
      <c r="D161" s="390"/>
      <c r="E161" s="391"/>
      <c r="F161" s="421"/>
      <c r="G161" s="396"/>
      <c r="H161" s="392"/>
      <c r="I161" s="422"/>
      <c r="J161" s="394"/>
      <c r="K161" s="411"/>
    </row>
    <row r="162" spans="1:14" ht="30" customHeight="1">
      <c r="A162" s="387"/>
      <c r="B162" s="388"/>
      <c r="C162" s="389"/>
      <c r="D162" s="390"/>
      <c r="E162" s="391"/>
      <c r="F162" s="421"/>
      <c r="G162" s="399"/>
      <c r="H162" s="392"/>
      <c r="I162" s="422"/>
      <c r="J162" s="394"/>
      <c r="K162" s="411"/>
    </row>
    <row r="163" spans="1:14" ht="30" customHeight="1">
      <c r="A163" s="387"/>
      <c r="B163" s="388"/>
      <c r="C163" s="389"/>
      <c r="D163" s="390"/>
      <c r="E163" s="391"/>
      <c r="F163" s="421"/>
      <c r="G163" s="396"/>
      <c r="H163" s="392"/>
      <c r="I163" s="422"/>
      <c r="J163" s="394"/>
      <c r="K163" s="411"/>
    </row>
    <row r="164" spans="1:14" ht="30" customHeight="1">
      <c r="A164" s="387"/>
      <c r="B164" s="388"/>
      <c r="C164" s="389"/>
      <c r="D164" s="390"/>
      <c r="E164" s="391"/>
      <c r="F164" s="421"/>
      <c r="G164" s="396"/>
      <c r="H164" s="392"/>
      <c r="I164" s="422"/>
      <c r="J164" s="394"/>
      <c r="K164" s="411"/>
    </row>
    <row r="165" spans="1:14" ht="30" customHeight="1">
      <c r="A165" s="387"/>
      <c r="B165" s="388"/>
      <c r="C165" s="389"/>
      <c r="D165" s="390"/>
      <c r="E165" s="391"/>
      <c r="F165" s="421"/>
      <c r="G165" s="396"/>
      <c r="H165" s="392"/>
      <c r="I165" s="422"/>
      <c r="J165" s="394"/>
      <c r="K165" s="411"/>
    </row>
    <row r="166" spans="1:14" ht="30" customHeight="1">
      <c r="A166" s="387"/>
      <c r="B166" s="388"/>
      <c r="C166" s="389"/>
      <c r="D166" s="390"/>
      <c r="E166" s="391"/>
      <c r="F166" s="421"/>
      <c r="G166" s="396"/>
      <c r="H166" s="392"/>
      <c r="I166" s="422"/>
      <c r="J166" s="394"/>
      <c r="K166" s="411"/>
    </row>
    <row r="167" spans="1:14" ht="30" customHeight="1">
      <c r="A167" s="387"/>
      <c r="B167" s="388"/>
      <c r="C167" s="389"/>
      <c r="D167" s="390"/>
      <c r="E167" s="391"/>
      <c r="F167" s="421"/>
      <c r="G167" s="396"/>
      <c r="H167" s="392"/>
      <c r="I167" s="422"/>
      <c r="J167" s="394"/>
      <c r="K167" s="411"/>
    </row>
    <row r="168" spans="1:14" s="386" customFormat="1" ht="30" customHeight="1">
      <c r="A168" s="387"/>
      <c r="B168" s="388"/>
      <c r="C168" s="389"/>
      <c r="D168" s="390"/>
      <c r="E168" s="391"/>
      <c r="F168" s="422"/>
      <c r="G168" s="415"/>
      <c r="H168" s="392"/>
      <c r="I168" s="422"/>
      <c r="J168" s="394"/>
      <c r="K168" s="411"/>
      <c r="L168" s="406"/>
      <c r="M168" s="350"/>
      <c r="N168" s="350"/>
    </row>
    <row r="169" spans="1:14" ht="30" customHeight="1">
      <c r="A169" s="387"/>
      <c r="B169" s="388"/>
      <c r="C169" s="389"/>
      <c r="D169" s="390"/>
      <c r="E169" s="391"/>
      <c r="F169" s="421"/>
      <c r="G169" s="396"/>
      <c r="H169" s="392"/>
      <c r="I169" s="422"/>
      <c r="J169" s="394"/>
      <c r="K169" s="411"/>
    </row>
    <row r="170" spans="1:14" ht="30" customHeight="1">
      <c r="A170" s="387"/>
      <c r="B170" s="388"/>
      <c r="C170" s="389"/>
      <c r="D170" s="390"/>
      <c r="E170" s="391"/>
      <c r="F170" s="421"/>
      <c r="G170" s="396"/>
      <c r="H170" s="392"/>
      <c r="I170" s="422"/>
      <c r="J170" s="394"/>
      <c r="K170" s="411"/>
    </row>
    <row r="171" spans="1:14" ht="30" customHeight="1">
      <c r="A171" s="387"/>
      <c r="B171" s="388"/>
      <c r="C171" s="389"/>
      <c r="D171" s="390"/>
      <c r="E171" s="391"/>
      <c r="F171" s="421"/>
      <c r="G171" s="399"/>
      <c r="H171" s="389"/>
      <c r="I171" s="422"/>
      <c r="J171" s="394"/>
      <c r="K171" s="411"/>
    </row>
    <row r="172" spans="1:14" ht="30" customHeight="1">
      <c r="A172" s="387"/>
      <c r="B172" s="388"/>
      <c r="C172" s="389"/>
      <c r="D172" s="390"/>
      <c r="E172" s="391"/>
      <c r="F172" s="421"/>
      <c r="G172" s="396"/>
      <c r="H172" s="392"/>
      <c r="I172" s="422"/>
      <c r="J172" s="394"/>
      <c r="K172" s="411"/>
    </row>
    <row r="173" spans="1:14" ht="30" customHeight="1">
      <c r="A173" s="387"/>
      <c r="B173" s="388"/>
      <c r="C173" s="389"/>
      <c r="D173" s="390"/>
      <c r="E173" s="391"/>
      <c r="F173" s="421"/>
      <c r="G173" s="396"/>
      <c r="H173" s="392"/>
      <c r="I173" s="422"/>
      <c r="J173" s="394"/>
      <c r="K173" s="411"/>
    </row>
    <row r="174" spans="1:14" ht="30" customHeight="1">
      <c r="A174" s="387"/>
      <c r="B174" s="388"/>
      <c r="C174" s="389"/>
      <c r="D174" s="390"/>
      <c r="E174" s="391"/>
      <c r="F174" s="421"/>
      <c r="G174" s="396"/>
      <c r="H174" s="392"/>
      <c r="I174" s="422"/>
      <c r="J174" s="394"/>
      <c r="K174" s="411"/>
    </row>
    <row r="175" spans="1:14" ht="30" customHeight="1">
      <c r="A175" s="387"/>
      <c r="B175" s="388"/>
      <c r="C175" s="389"/>
      <c r="D175" s="390"/>
      <c r="E175" s="391"/>
      <c r="F175" s="421"/>
      <c r="G175" s="396"/>
      <c r="H175" s="392"/>
      <c r="I175" s="422"/>
      <c r="J175" s="394"/>
      <c r="K175" s="411"/>
    </row>
    <row r="176" spans="1:14" ht="30" customHeight="1">
      <c r="A176" s="387"/>
      <c r="B176" s="388"/>
      <c r="C176" s="389"/>
      <c r="D176" s="390"/>
      <c r="E176" s="391"/>
      <c r="F176" s="421"/>
      <c r="G176" s="396"/>
      <c r="H176" s="392"/>
      <c r="I176" s="422"/>
      <c r="J176" s="394"/>
      <c r="K176" s="411"/>
    </row>
    <row r="177" spans="1:12" ht="30" customHeight="1">
      <c r="A177" s="387"/>
      <c r="B177" s="388"/>
      <c r="C177" s="389"/>
      <c r="D177" s="390"/>
      <c r="E177" s="391"/>
      <c r="F177" s="421"/>
      <c r="G177" s="396"/>
      <c r="H177" s="392"/>
      <c r="I177" s="422"/>
      <c r="J177" s="394"/>
      <c r="K177" s="411"/>
    </row>
    <row r="178" spans="1:12" ht="30" customHeight="1">
      <c r="A178" s="387"/>
      <c r="B178" s="388"/>
      <c r="C178" s="389"/>
      <c r="D178" s="390"/>
      <c r="E178" s="391"/>
      <c r="F178" s="421"/>
      <c r="G178" s="396"/>
      <c r="H178" s="392"/>
      <c r="I178" s="422"/>
      <c r="J178" s="394"/>
      <c r="K178" s="411"/>
    </row>
    <row r="179" spans="1:12" ht="30" customHeight="1">
      <c r="A179" s="387"/>
      <c r="B179" s="388"/>
      <c r="C179" s="389"/>
      <c r="D179" s="390"/>
      <c r="E179" s="391"/>
      <c r="F179" s="421"/>
      <c r="G179" s="396"/>
      <c r="H179" s="392"/>
      <c r="I179" s="422"/>
      <c r="J179" s="394"/>
      <c r="K179" s="411"/>
    </row>
    <row r="180" spans="1:12" ht="30" customHeight="1">
      <c r="A180" s="387"/>
      <c r="B180" s="388"/>
      <c r="C180" s="389"/>
      <c r="D180" s="390"/>
      <c r="E180" s="391"/>
      <c r="F180" s="421"/>
      <c r="G180" s="396"/>
      <c r="H180" s="392"/>
      <c r="I180" s="422"/>
      <c r="J180" s="394"/>
      <c r="K180" s="411"/>
    </row>
    <row r="181" spans="1:12" ht="30" customHeight="1">
      <c r="A181" s="387"/>
      <c r="B181" s="388"/>
      <c r="C181" s="389"/>
      <c r="D181" s="390"/>
      <c r="E181" s="391"/>
      <c r="F181" s="421"/>
      <c r="G181" s="396"/>
      <c r="H181" s="392"/>
      <c r="I181" s="422"/>
      <c r="J181" s="394"/>
      <c r="K181" s="411"/>
    </row>
    <row r="182" spans="1:12" ht="30" customHeight="1">
      <c r="A182" s="387"/>
      <c r="B182" s="388"/>
      <c r="C182" s="389"/>
      <c r="D182" s="390"/>
      <c r="E182" s="391"/>
      <c r="F182" s="421"/>
      <c r="G182" s="396"/>
      <c r="H182" s="392"/>
      <c r="I182" s="422"/>
      <c r="J182" s="394"/>
      <c r="K182" s="411"/>
    </row>
    <row r="183" spans="1:12" ht="30" customHeight="1">
      <c r="A183" s="387"/>
      <c r="B183" s="388"/>
      <c r="C183" s="389"/>
      <c r="D183" s="390"/>
      <c r="E183" s="391"/>
      <c r="F183" s="421"/>
      <c r="G183" s="396"/>
      <c r="H183" s="392"/>
      <c r="I183" s="422"/>
      <c r="J183" s="394"/>
      <c r="K183" s="411"/>
    </row>
    <row r="184" spans="1:12" ht="30" customHeight="1">
      <c r="A184" s="387"/>
      <c r="B184" s="388"/>
      <c r="C184" s="389"/>
      <c r="D184" s="390"/>
      <c r="E184" s="391"/>
      <c r="F184" s="421"/>
      <c r="G184" s="396"/>
      <c r="H184" s="392"/>
      <c r="I184" s="422"/>
      <c r="J184" s="394"/>
      <c r="K184" s="411"/>
    </row>
    <row r="185" spans="1:12" ht="30" customHeight="1">
      <c r="A185" s="387"/>
      <c r="B185" s="388"/>
      <c r="C185" s="389"/>
      <c r="D185" s="401"/>
      <c r="E185" s="391"/>
      <c r="F185" s="422"/>
      <c r="G185" s="416"/>
      <c r="H185" s="392"/>
      <c r="I185" s="422"/>
      <c r="J185" s="397"/>
      <c r="K185" s="411"/>
      <c r="L185" s="406"/>
    </row>
    <row r="186" spans="1:12" ht="30" customHeight="1">
      <c r="A186" s="387"/>
      <c r="B186" s="388"/>
      <c r="C186" s="389"/>
      <c r="D186" s="390"/>
      <c r="E186" s="391"/>
      <c r="F186" s="421"/>
      <c r="G186" s="396"/>
      <c r="H186" s="392"/>
      <c r="I186" s="422"/>
      <c r="J186" s="394"/>
      <c r="K186" s="411"/>
    </row>
    <row r="187" spans="1:12" ht="30" customHeight="1">
      <c r="A187" s="387"/>
      <c r="B187" s="388"/>
      <c r="C187" s="389"/>
      <c r="D187" s="401"/>
      <c r="E187" s="391"/>
      <c r="F187" s="422"/>
      <c r="G187" s="399"/>
      <c r="H187" s="406"/>
      <c r="I187" s="422"/>
      <c r="J187" s="397"/>
      <c r="K187" s="411"/>
      <c r="L187" s="406"/>
    </row>
    <row r="188" spans="1:12" ht="30" customHeight="1">
      <c r="A188" s="387"/>
      <c r="B188" s="388"/>
      <c r="C188" s="389"/>
      <c r="D188" s="390"/>
      <c r="E188" s="391"/>
      <c r="F188" s="421"/>
      <c r="G188" s="396"/>
      <c r="H188" s="392"/>
      <c r="I188" s="422"/>
      <c r="J188" s="394"/>
      <c r="K188" s="411"/>
    </row>
    <row r="189" spans="1:12" ht="30" customHeight="1">
      <c r="A189" s="387"/>
      <c r="B189" s="388"/>
      <c r="C189" s="389"/>
      <c r="D189" s="390"/>
      <c r="E189" s="391"/>
      <c r="F189" s="421"/>
      <c r="G189" s="396"/>
      <c r="H189" s="392"/>
      <c r="I189" s="422"/>
      <c r="J189" s="394"/>
      <c r="K189" s="411"/>
    </row>
    <row r="190" spans="1:12" ht="30" customHeight="1">
      <c r="A190" s="387"/>
      <c r="B190" s="388"/>
      <c r="C190" s="389"/>
      <c r="D190" s="390"/>
      <c r="E190" s="391"/>
      <c r="F190" s="421"/>
      <c r="G190" s="396"/>
      <c r="H190" s="392"/>
      <c r="I190" s="422"/>
      <c r="J190" s="394"/>
      <c r="K190" s="412"/>
    </row>
    <row r="191" spans="1:12" ht="30" customHeight="1">
      <c r="A191" s="387"/>
      <c r="B191" s="388"/>
      <c r="C191" s="389"/>
      <c r="D191" s="390"/>
      <c r="E191" s="391"/>
      <c r="F191" s="421"/>
      <c r="G191" s="399"/>
      <c r="H191" s="392"/>
      <c r="I191" s="422"/>
      <c r="J191" s="394"/>
      <c r="K191" s="412"/>
    </row>
    <row r="192" spans="1:12" ht="30" customHeight="1">
      <c r="A192" s="387"/>
      <c r="B192" s="388"/>
      <c r="C192" s="389"/>
      <c r="D192" s="390"/>
      <c r="E192" s="391"/>
      <c r="F192" s="421"/>
      <c r="G192" s="396"/>
      <c r="H192" s="392"/>
      <c r="I192" s="422"/>
      <c r="J192" s="394"/>
      <c r="K192" s="413"/>
    </row>
    <row r="193" spans="1:14" ht="30" customHeight="1">
      <c r="A193" s="387"/>
      <c r="B193" s="388"/>
      <c r="C193" s="389"/>
      <c r="D193" s="390"/>
      <c r="E193" s="391"/>
      <c r="F193" s="421"/>
      <c r="G193" s="396"/>
      <c r="H193" s="392"/>
      <c r="I193" s="422"/>
      <c r="J193" s="394"/>
      <c r="K193" s="412"/>
    </row>
    <row r="194" spans="1:14" ht="30" customHeight="1">
      <c r="A194" s="387"/>
      <c r="B194" s="388"/>
      <c r="C194" s="389"/>
      <c r="D194" s="390"/>
      <c r="E194" s="391"/>
      <c r="F194" s="421"/>
      <c r="G194" s="396"/>
      <c r="H194" s="392"/>
      <c r="I194" s="422"/>
      <c r="J194" s="394"/>
      <c r="K194" s="412"/>
    </row>
    <row r="195" spans="1:14" ht="30" customHeight="1">
      <c r="A195" s="387"/>
      <c r="B195" s="388"/>
      <c r="C195" s="389"/>
      <c r="D195" s="390"/>
      <c r="E195" s="391"/>
      <c r="F195" s="421"/>
      <c r="G195" s="396"/>
      <c r="H195" s="392"/>
      <c r="I195" s="422"/>
      <c r="J195" s="394"/>
      <c r="K195" s="412"/>
    </row>
    <row r="196" spans="1:14" ht="30" customHeight="1">
      <c r="A196" s="387"/>
      <c r="B196" s="388"/>
      <c r="C196" s="389"/>
      <c r="D196" s="390"/>
      <c r="E196" s="391"/>
      <c r="F196" s="421"/>
      <c r="G196" s="396"/>
      <c r="H196" s="392"/>
      <c r="I196" s="422"/>
      <c r="J196" s="394"/>
      <c r="K196" s="413"/>
    </row>
    <row r="197" spans="1:14" ht="30" customHeight="1">
      <c r="A197" s="387"/>
      <c r="B197" s="388"/>
      <c r="C197" s="389"/>
      <c r="D197" s="390"/>
      <c r="E197" s="391"/>
      <c r="F197" s="421"/>
      <c r="G197" s="396"/>
      <c r="H197" s="392"/>
      <c r="I197" s="422"/>
      <c r="J197" s="394"/>
      <c r="K197" s="411"/>
    </row>
    <row r="198" spans="1:14" ht="30" customHeight="1">
      <c r="A198" s="387"/>
      <c r="B198" s="388"/>
      <c r="C198" s="389"/>
      <c r="D198" s="390"/>
      <c r="E198" s="391"/>
      <c r="F198" s="421"/>
      <c r="G198" s="396"/>
      <c r="H198" s="392"/>
      <c r="I198" s="422"/>
      <c r="J198" s="394"/>
      <c r="K198" s="411"/>
      <c r="L198" s="406"/>
    </row>
    <row r="199" spans="1:14" ht="30" customHeight="1">
      <c r="A199" s="387"/>
      <c r="B199" s="388"/>
      <c r="C199" s="389"/>
      <c r="D199" s="390"/>
      <c r="E199" s="391"/>
      <c r="F199" s="421"/>
      <c r="G199" s="396"/>
      <c r="H199" s="392"/>
      <c r="I199" s="422"/>
      <c r="J199" s="397"/>
      <c r="K199" s="411"/>
      <c r="L199" s="406"/>
    </row>
    <row r="200" spans="1:14" ht="30" customHeight="1">
      <c r="A200" s="387"/>
      <c r="B200" s="388"/>
      <c r="C200" s="389"/>
      <c r="D200" s="390"/>
      <c r="E200" s="391"/>
      <c r="F200" s="421"/>
      <c r="G200" s="396"/>
      <c r="H200" s="392"/>
      <c r="I200" s="422"/>
      <c r="J200" s="394"/>
      <c r="K200" s="412"/>
    </row>
    <row r="201" spans="1:14" ht="30" customHeight="1">
      <c r="A201" s="387"/>
      <c r="B201" s="388"/>
      <c r="C201" s="389"/>
      <c r="D201" s="390"/>
      <c r="E201" s="391"/>
      <c r="F201" s="421"/>
      <c r="G201" s="396"/>
      <c r="H201" s="392"/>
      <c r="I201" s="422"/>
      <c r="J201" s="394"/>
      <c r="K201" s="411"/>
      <c r="L201" s="406"/>
      <c r="N201" s="406"/>
    </row>
    <row r="202" spans="1:14" ht="30" customHeight="1">
      <c r="A202" s="387"/>
      <c r="B202" s="388"/>
      <c r="C202" s="389"/>
      <c r="D202" s="390"/>
      <c r="E202" s="391"/>
      <c r="F202" s="421"/>
      <c r="G202" s="396"/>
      <c r="H202" s="392"/>
      <c r="I202" s="422"/>
      <c r="J202" s="397"/>
      <c r="K202" s="411"/>
      <c r="L202" s="406"/>
    </row>
    <row r="203" spans="1:14" ht="30" customHeight="1">
      <c r="A203" s="387"/>
      <c r="B203" s="388"/>
      <c r="C203" s="389"/>
      <c r="D203" s="390"/>
      <c r="E203" s="391"/>
      <c r="F203" s="421"/>
      <c r="G203" s="396"/>
      <c r="H203" s="392"/>
      <c r="I203" s="422"/>
      <c r="J203" s="397"/>
      <c r="K203" s="411"/>
      <c r="L203" s="406"/>
    </row>
    <row r="204" spans="1:14" ht="30" customHeight="1">
      <c r="A204" s="387"/>
      <c r="B204" s="388"/>
      <c r="C204" s="389"/>
      <c r="D204" s="390"/>
      <c r="E204" s="391"/>
      <c r="F204" s="421"/>
      <c r="G204" s="396"/>
      <c r="H204" s="392"/>
      <c r="I204" s="422"/>
      <c r="J204" s="397"/>
      <c r="K204" s="411"/>
      <c r="L204" s="406"/>
    </row>
    <row r="205" spans="1:14" ht="30" customHeight="1">
      <c r="A205" s="387"/>
      <c r="B205" s="388"/>
      <c r="C205" s="389"/>
      <c r="D205" s="390"/>
      <c r="E205" s="391"/>
      <c r="F205" s="421"/>
      <c r="G205" s="396"/>
      <c r="H205" s="392"/>
      <c r="I205" s="422"/>
      <c r="J205" s="394"/>
      <c r="K205" s="411"/>
      <c r="L205" s="406"/>
    </row>
    <row r="206" spans="1:14" ht="30" customHeight="1">
      <c r="A206" s="387"/>
      <c r="B206" s="388"/>
      <c r="C206" s="389"/>
      <c r="D206" s="390"/>
      <c r="E206" s="391"/>
      <c r="F206" s="421"/>
      <c r="G206" s="396"/>
      <c r="H206" s="392"/>
      <c r="I206" s="422"/>
      <c r="J206" s="397"/>
      <c r="K206" s="411"/>
      <c r="L206" s="406"/>
    </row>
    <row r="207" spans="1:14" ht="30" customHeight="1">
      <c r="A207" s="387"/>
      <c r="B207" s="388"/>
      <c r="C207" s="389"/>
      <c r="D207" s="390"/>
      <c r="E207" s="391"/>
      <c r="F207" s="421"/>
      <c r="G207" s="396"/>
      <c r="H207" s="392"/>
      <c r="I207" s="422"/>
      <c r="J207" s="397"/>
      <c r="K207" s="411"/>
      <c r="L207" s="406"/>
    </row>
    <row r="208" spans="1:14" ht="30" customHeight="1">
      <c r="A208" s="387"/>
      <c r="B208" s="388"/>
      <c r="C208" s="389"/>
      <c r="D208" s="390"/>
      <c r="E208" s="391"/>
      <c r="F208" s="421"/>
      <c r="G208" s="396"/>
      <c r="H208" s="392"/>
      <c r="I208" s="422"/>
      <c r="J208" s="394"/>
      <c r="K208" s="411"/>
      <c r="L208" s="406"/>
    </row>
    <row r="209" spans="1:13" ht="30" customHeight="1">
      <c r="A209" s="387"/>
      <c r="B209" s="388"/>
      <c r="C209" s="389"/>
      <c r="D209" s="390"/>
      <c r="E209" s="391"/>
      <c r="F209" s="421"/>
      <c r="G209" s="396"/>
      <c r="H209" s="392"/>
      <c r="I209" s="422"/>
      <c r="J209" s="397"/>
      <c r="K209" s="411"/>
      <c r="L209" s="406"/>
    </row>
    <row r="210" spans="1:13" ht="30" customHeight="1">
      <c r="A210" s="387"/>
      <c r="B210" s="388"/>
      <c r="C210" s="389"/>
      <c r="D210" s="390"/>
      <c r="E210" s="391"/>
      <c r="F210" s="421"/>
      <c r="G210" s="399"/>
      <c r="H210" s="392"/>
      <c r="I210" s="422"/>
      <c r="J210" s="394"/>
      <c r="K210" s="412"/>
    </row>
    <row r="211" spans="1:13" ht="30" customHeight="1">
      <c r="A211" s="387"/>
      <c r="B211" s="388"/>
      <c r="C211" s="389"/>
      <c r="D211" s="390"/>
      <c r="E211" s="391"/>
      <c r="F211" s="421"/>
      <c r="G211" s="396"/>
      <c r="H211" s="392"/>
      <c r="I211" s="422"/>
      <c r="J211" s="394"/>
      <c r="K211" s="411"/>
    </row>
    <row r="212" spans="1:13" ht="30" customHeight="1">
      <c r="A212" s="387"/>
      <c r="B212" s="388"/>
      <c r="C212" s="389"/>
      <c r="D212" s="390"/>
      <c r="E212" s="391"/>
      <c r="F212" s="421"/>
      <c r="G212" s="396"/>
      <c r="H212" s="392"/>
      <c r="I212" s="422"/>
      <c r="J212" s="397"/>
      <c r="K212" s="411"/>
      <c r="L212" s="406"/>
    </row>
    <row r="213" spans="1:13" ht="30" customHeight="1">
      <c r="A213" s="387"/>
      <c r="B213" s="388"/>
      <c r="C213" s="389"/>
      <c r="D213" s="390"/>
      <c r="E213" s="391"/>
      <c r="F213" s="421"/>
      <c r="G213" s="396"/>
      <c r="H213" s="392"/>
      <c r="I213" s="422"/>
      <c r="J213" s="394"/>
      <c r="K213" s="414"/>
      <c r="L213" s="406"/>
    </row>
    <row r="214" spans="1:13" ht="30" customHeight="1">
      <c r="A214" s="387"/>
      <c r="B214" s="388"/>
      <c r="C214" s="389"/>
      <c r="D214" s="390"/>
      <c r="E214" s="391"/>
      <c r="F214" s="421"/>
      <c r="G214" s="396"/>
      <c r="H214" s="392"/>
      <c r="I214" s="422"/>
      <c r="J214" s="397"/>
      <c r="K214" s="411"/>
      <c r="L214" s="406"/>
    </row>
    <row r="215" spans="1:13" ht="30" customHeight="1">
      <c r="A215" s="387"/>
      <c r="B215" s="388"/>
      <c r="C215" s="389"/>
      <c r="D215" s="390"/>
      <c r="E215" s="391"/>
      <c r="F215" s="421"/>
      <c r="G215" s="396"/>
      <c r="H215" s="392"/>
      <c r="I215" s="422"/>
      <c r="J215" s="394"/>
      <c r="K215" s="411"/>
      <c r="L215" s="406"/>
    </row>
    <row r="216" spans="1:13" ht="30" customHeight="1">
      <c r="A216" s="387"/>
      <c r="B216" s="388"/>
      <c r="C216" s="389"/>
      <c r="D216" s="390"/>
      <c r="E216" s="391"/>
      <c r="F216" s="421"/>
      <c r="G216" s="396"/>
      <c r="H216" s="392"/>
      <c r="I216" s="422"/>
      <c r="J216" s="394"/>
      <c r="K216" s="414"/>
      <c r="L216" s="406"/>
    </row>
    <row r="217" spans="1:13" ht="30" customHeight="1">
      <c r="A217" s="387"/>
      <c r="B217" s="388"/>
      <c r="C217" s="389"/>
      <c r="D217" s="390"/>
      <c r="E217" s="391"/>
      <c r="F217" s="421"/>
      <c r="G217" s="396"/>
      <c r="H217" s="392"/>
      <c r="I217" s="422"/>
      <c r="J217" s="397"/>
      <c r="K217" s="411"/>
      <c r="L217" s="406"/>
    </row>
    <row r="218" spans="1:13" ht="30" customHeight="1">
      <c r="A218" s="387"/>
      <c r="B218" s="400"/>
      <c r="C218" s="387"/>
      <c r="D218" s="401"/>
      <c r="E218" s="391"/>
      <c r="F218" s="422"/>
      <c r="G218" s="399"/>
      <c r="H218" s="390"/>
      <c r="I218" s="422"/>
      <c r="J218" s="394"/>
      <c r="K218" s="412"/>
    </row>
    <row r="219" spans="1:13" ht="30" customHeight="1">
      <c r="A219" s="387"/>
      <c r="B219" s="388"/>
      <c r="C219" s="389"/>
      <c r="D219" s="390"/>
      <c r="E219" s="391"/>
      <c r="F219" s="421"/>
      <c r="G219" s="396"/>
      <c r="H219" s="392"/>
      <c r="I219" s="422"/>
      <c r="J219" s="397"/>
      <c r="K219" s="411"/>
      <c r="L219" s="406"/>
    </row>
    <row r="220" spans="1:13" ht="30" customHeight="1">
      <c r="A220" s="387"/>
      <c r="B220" s="388"/>
      <c r="C220" s="389"/>
      <c r="D220" s="390"/>
      <c r="E220" s="391"/>
      <c r="F220" s="421"/>
      <c r="G220" s="396"/>
      <c r="H220" s="392"/>
      <c r="I220" s="422"/>
      <c r="J220" s="394"/>
      <c r="K220" s="414"/>
      <c r="L220" s="406"/>
    </row>
    <row r="221" spans="1:13" ht="30" customHeight="1">
      <c r="A221" s="387"/>
      <c r="B221" s="388"/>
      <c r="C221" s="389"/>
      <c r="D221" s="390"/>
      <c r="E221" s="391"/>
      <c r="F221" s="421"/>
      <c r="G221" s="396"/>
      <c r="H221" s="392"/>
      <c r="I221" s="422"/>
      <c r="J221" s="397"/>
      <c r="K221" s="411"/>
      <c r="L221" s="406"/>
      <c r="M221" s="406"/>
    </row>
    <row r="222" spans="1:13" ht="30" customHeight="1">
      <c r="A222" s="387"/>
      <c r="B222" s="388"/>
      <c r="C222" s="389"/>
      <c r="D222" s="390"/>
      <c r="E222" s="391"/>
      <c r="F222" s="421"/>
      <c r="G222" s="417"/>
      <c r="H222" s="392"/>
      <c r="I222" s="422"/>
      <c r="J222" s="394"/>
      <c r="K222" s="414"/>
      <c r="L222" s="406"/>
    </row>
    <row r="223" spans="1:13" ht="30" customHeight="1">
      <c r="A223" s="387"/>
      <c r="B223" s="388"/>
      <c r="C223" s="389"/>
      <c r="D223" s="390"/>
      <c r="E223" s="391"/>
      <c r="F223" s="421"/>
      <c r="G223" s="417"/>
      <c r="H223" s="392"/>
      <c r="I223" s="422"/>
      <c r="J223" s="394"/>
      <c r="K223" s="411"/>
      <c r="L223" s="406"/>
    </row>
    <row r="224" spans="1:13" ht="30" customHeight="1">
      <c r="A224" s="387"/>
      <c r="B224" s="388"/>
      <c r="C224" s="389"/>
      <c r="D224" s="390"/>
      <c r="E224" s="391"/>
      <c r="F224" s="421"/>
      <c r="G224" s="396"/>
      <c r="H224" s="392"/>
      <c r="I224" s="422"/>
      <c r="J224" s="394"/>
      <c r="K224" s="411"/>
    </row>
    <row r="225" spans="1:12" ht="30" customHeight="1">
      <c r="A225" s="387"/>
      <c r="B225" s="388"/>
      <c r="C225" s="389"/>
      <c r="D225" s="390"/>
      <c r="E225" s="391"/>
      <c r="F225" s="421"/>
      <c r="G225" s="396"/>
      <c r="H225" s="392"/>
      <c r="I225" s="422"/>
      <c r="J225" s="394"/>
      <c r="K225" s="411"/>
      <c r="L225" s="406"/>
    </row>
    <row r="226" spans="1:12" ht="30" customHeight="1">
      <c r="A226" s="387"/>
      <c r="B226" s="388"/>
      <c r="C226" s="389"/>
      <c r="D226" s="390"/>
      <c r="E226" s="391"/>
      <c r="F226" s="421"/>
      <c r="G226" s="396"/>
      <c r="H226" s="392"/>
      <c r="I226" s="422"/>
      <c r="J226" s="394"/>
      <c r="K226" s="414"/>
      <c r="L226" s="406"/>
    </row>
    <row r="227" spans="1:12" ht="30" customHeight="1">
      <c r="A227" s="387"/>
      <c r="B227" s="388"/>
      <c r="C227" s="389"/>
      <c r="D227" s="390"/>
      <c r="E227" s="391"/>
      <c r="F227" s="421"/>
      <c r="G227" s="396"/>
      <c r="H227" s="392"/>
      <c r="I227" s="422"/>
      <c r="J227" s="394"/>
      <c r="K227" s="414"/>
      <c r="L227" s="406"/>
    </row>
    <row r="228" spans="1:12" ht="30" customHeight="1">
      <c r="A228" s="387"/>
      <c r="B228" s="388"/>
      <c r="C228" s="389"/>
      <c r="D228" s="390"/>
      <c r="E228" s="391"/>
      <c r="F228" s="421"/>
      <c r="G228" s="396"/>
      <c r="H228" s="397"/>
      <c r="I228" s="422"/>
      <c r="J228" s="394"/>
      <c r="K228" s="414"/>
      <c r="L228" s="406"/>
    </row>
    <row r="229" spans="1:12" ht="30" customHeight="1">
      <c r="A229" s="387"/>
      <c r="B229" s="388"/>
      <c r="C229" s="389"/>
      <c r="D229" s="390"/>
      <c r="E229" s="391"/>
      <c r="F229" s="421"/>
      <c r="G229" s="396"/>
      <c r="H229" s="392"/>
      <c r="I229" s="422"/>
      <c r="J229" s="394"/>
      <c r="K229" s="411"/>
      <c r="L229" s="406"/>
    </row>
    <row r="230" spans="1:12" ht="30" customHeight="1">
      <c r="A230" s="387"/>
      <c r="B230" s="388"/>
      <c r="C230" s="389"/>
      <c r="D230" s="390"/>
      <c r="E230" s="391"/>
      <c r="F230" s="421"/>
      <c r="G230" s="396"/>
      <c r="H230" s="392"/>
      <c r="I230" s="422"/>
      <c r="J230" s="397"/>
      <c r="K230" s="411"/>
      <c r="L230" s="406"/>
    </row>
    <row r="231" spans="1:12" ht="30" customHeight="1">
      <c r="A231" s="387"/>
      <c r="B231" s="388"/>
      <c r="C231" s="389"/>
      <c r="D231" s="390"/>
      <c r="E231" s="391"/>
      <c r="F231" s="421"/>
      <c r="G231" s="396"/>
      <c r="H231" s="392"/>
      <c r="I231" s="422"/>
      <c r="J231" s="397"/>
      <c r="K231" s="411"/>
      <c r="L231" s="406"/>
    </row>
    <row r="232" spans="1:12" ht="30" customHeight="1">
      <c r="A232" s="387"/>
      <c r="B232" s="400"/>
      <c r="C232" s="387"/>
      <c r="D232" s="401"/>
      <c r="E232" s="391"/>
      <c r="F232" s="422"/>
      <c r="G232" s="418"/>
      <c r="H232" s="392"/>
      <c r="I232" s="422"/>
      <c r="J232" s="394"/>
      <c r="K232" s="412"/>
    </row>
    <row r="233" spans="1:12" ht="30" customHeight="1">
      <c r="A233" s="387"/>
      <c r="B233" s="388"/>
      <c r="C233" s="389"/>
      <c r="D233" s="390"/>
      <c r="E233" s="391"/>
      <c r="F233" s="421"/>
      <c r="G233" s="396"/>
      <c r="H233" s="392"/>
      <c r="I233" s="422"/>
      <c r="J233" s="397"/>
      <c r="K233" s="411"/>
      <c r="L233" s="406"/>
    </row>
    <row r="234" spans="1:12" ht="30" customHeight="1">
      <c r="A234" s="387"/>
      <c r="B234" s="388"/>
      <c r="C234" s="389"/>
      <c r="D234" s="390"/>
      <c r="E234" s="391"/>
      <c r="F234" s="421"/>
      <c r="G234" s="396"/>
      <c r="H234" s="392"/>
      <c r="I234" s="422"/>
      <c r="J234" s="397"/>
      <c r="K234" s="411"/>
      <c r="L234" s="406"/>
    </row>
    <row r="235" spans="1:12" ht="30" customHeight="1">
      <c r="A235" s="387"/>
      <c r="B235" s="388"/>
      <c r="C235" s="389"/>
      <c r="D235" s="390"/>
      <c r="E235" s="391"/>
      <c r="F235" s="421"/>
      <c r="G235" s="396"/>
      <c r="H235" s="392"/>
      <c r="I235" s="422"/>
      <c r="J235" s="394"/>
      <c r="K235" s="414"/>
      <c r="L235" s="406"/>
    </row>
    <row r="236" spans="1:12" ht="30" customHeight="1">
      <c r="A236" s="387"/>
      <c r="B236" s="388"/>
      <c r="C236" s="389"/>
      <c r="D236" s="390"/>
      <c r="E236" s="391"/>
      <c r="F236" s="421"/>
      <c r="G236" s="396"/>
      <c r="H236" s="392"/>
      <c r="I236" s="422"/>
      <c r="J236" s="397"/>
      <c r="K236" s="411"/>
      <c r="L236" s="406"/>
    </row>
    <row r="237" spans="1:12" ht="30" customHeight="1">
      <c r="A237" s="387"/>
      <c r="B237" s="388"/>
      <c r="C237" s="389"/>
      <c r="D237" s="390"/>
      <c r="E237" s="391"/>
      <c r="F237" s="421"/>
      <c r="G237" s="396"/>
      <c r="H237" s="397"/>
      <c r="I237" s="422"/>
      <c r="J237" s="394"/>
      <c r="K237" s="414"/>
      <c r="L237" s="406"/>
    </row>
    <row r="238" spans="1:12" ht="30" customHeight="1">
      <c r="A238" s="387"/>
      <c r="B238" s="388"/>
      <c r="C238" s="389"/>
      <c r="D238" s="390"/>
      <c r="E238" s="391"/>
      <c r="F238" s="421"/>
      <c r="G238" s="396"/>
      <c r="H238" s="392"/>
      <c r="I238" s="422"/>
      <c r="J238" s="394"/>
      <c r="K238" s="414"/>
      <c r="L238" s="406"/>
    </row>
    <row r="239" spans="1:12" ht="30" customHeight="1">
      <c r="A239" s="387"/>
      <c r="B239" s="388"/>
      <c r="C239" s="389"/>
      <c r="D239" s="390"/>
      <c r="E239" s="391"/>
      <c r="F239" s="421"/>
      <c r="G239" s="396"/>
      <c r="H239" s="392"/>
      <c r="I239" s="422"/>
      <c r="J239" s="394"/>
      <c r="K239" s="414"/>
      <c r="L239" s="406"/>
    </row>
    <row r="240" spans="1:12" ht="30" customHeight="1">
      <c r="A240" s="387"/>
      <c r="B240" s="388"/>
      <c r="C240" s="389"/>
      <c r="D240" s="390"/>
      <c r="E240" s="391"/>
      <c r="F240" s="421"/>
      <c r="G240" s="396"/>
      <c r="H240" s="397"/>
      <c r="I240" s="422"/>
      <c r="J240" s="394"/>
      <c r="K240" s="414"/>
      <c r="L240" s="406"/>
    </row>
    <row r="241" spans="1:24" ht="30" customHeight="1">
      <c r="A241" s="387"/>
      <c r="B241" s="388"/>
      <c r="C241" s="389"/>
      <c r="D241" s="390"/>
      <c r="E241" s="391"/>
      <c r="F241" s="421"/>
      <c r="G241" s="396"/>
      <c r="H241" s="392"/>
      <c r="I241" s="422"/>
      <c r="J241" s="394"/>
      <c r="K241" s="414"/>
      <c r="L241" s="406"/>
    </row>
    <row r="242" spans="1:24" ht="30" customHeight="1">
      <c r="A242" s="387"/>
      <c r="B242" s="388"/>
      <c r="C242" s="389"/>
      <c r="D242" s="390"/>
      <c r="E242" s="391"/>
      <c r="F242" s="421"/>
      <c r="G242" s="396"/>
      <c r="H242" s="397"/>
      <c r="I242" s="422"/>
      <c r="J242" s="394"/>
      <c r="K242" s="414"/>
      <c r="L242" s="406"/>
    </row>
    <row r="243" spans="1:24" ht="30" customHeight="1">
      <c r="A243" s="387"/>
      <c r="B243" s="388"/>
      <c r="C243" s="389"/>
      <c r="D243" s="390"/>
      <c r="E243" s="391"/>
      <c r="F243" s="421"/>
      <c r="G243" s="396"/>
      <c r="H243" s="392"/>
      <c r="I243" s="422"/>
      <c r="J243" s="394"/>
      <c r="K243" s="411"/>
      <c r="L243" s="406"/>
    </row>
    <row r="244" spans="1:24" ht="30" customHeight="1">
      <c r="A244" s="387"/>
      <c r="B244" s="388"/>
      <c r="C244" s="389"/>
      <c r="D244" s="390"/>
      <c r="E244" s="391"/>
      <c r="F244" s="421"/>
      <c r="G244" s="396"/>
      <c r="H244" s="392"/>
      <c r="I244" s="422"/>
      <c r="J244" s="394"/>
      <c r="K244" s="411"/>
    </row>
    <row r="245" spans="1:24" ht="30" customHeight="1">
      <c r="A245" s="387"/>
      <c r="B245" s="400"/>
      <c r="C245" s="389"/>
      <c r="D245" s="401"/>
      <c r="E245" s="391"/>
      <c r="F245" s="422"/>
      <c r="G245" s="415"/>
      <c r="H245" s="394"/>
      <c r="I245" s="422"/>
      <c r="J245" s="394"/>
      <c r="K245" s="414"/>
      <c r="L245" s="406"/>
    </row>
    <row r="246" spans="1:24" ht="30" customHeight="1">
      <c r="A246" s="387"/>
      <c r="B246" s="388"/>
      <c r="C246" s="389"/>
      <c r="D246" s="390"/>
      <c r="E246" s="391"/>
      <c r="F246" s="421"/>
      <c r="G246" s="396"/>
      <c r="H246" s="397"/>
      <c r="I246" s="422"/>
      <c r="J246" s="394"/>
      <c r="K246" s="414"/>
      <c r="L246" s="406"/>
    </row>
    <row r="247" spans="1:24" ht="30" customHeight="1">
      <c r="A247" s="387"/>
      <c r="B247" s="388"/>
      <c r="C247" s="389"/>
      <c r="D247" s="390"/>
      <c r="E247" s="391"/>
      <c r="F247" s="421"/>
      <c r="G247" s="396"/>
      <c r="H247" s="397"/>
      <c r="I247" s="422"/>
      <c r="J247" s="394"/>
      <c r="K247" s="414"/>
      <c r="L247" s="406"/>
    </row>
    <row r="248" spans="1:24" ht="30" customHeight="1">
      <c r="A248" s="387"/>
      <c r="B248" s="388"/>
      <c r="C248" s="389"/>
      <c r="D248" s="390"/>
      <c r="E248" s="391"/>
      <c r="F248" s="421"/>
      <c r="G248" s="399"/>
      <c r="H248" s="397"/>
      <c r="I248" s="422"/>
      <c r="J248" s="394"/>
      <c r="K248" s="411"/>
      <c r="L248" s="406"/>
    </row>
    <row r="249" spans="1:24" ht="30" customHeight="1">
      <c r="A249" s="387"/>
      <c r="B249" s="400"/>
      <c r="C249" s="389"/>
      <c r="D249" s="401"/>
      <c r="E249" s="391"/>
      <c r="F249" s="422"/>
      <c r="G249" s="415"/>
      <c r="H249" s="392"/>
      <c r="I249" s="422"/>
      <c r="J249" s="394"/>
      <c r="K249" s="414"/>
      <c r="L249" s="406"/>
    </row>
    <row r="250" spans="1:24" ht="30" customHeight="1">
      <c r="A250" s="387"/>
      <c r="B250" s="388"/>
      <c r="C250" s="389"/>
      <c r="D250" s="390"/>
      <c r="E250" s="391"/>
      <c r="F250" s="421"/>
      <c r="G250" s="396"/>
      <c r="H250" s="397"/>
      <c r="I250" s="422"/>
      <c r="J250" s="394"/>
      <c r="K250" s="414"/>
      <c r="L250" s="406"/>
    </row>
    <row r="251" spans="1:24" ht="30" customHeight="1">
      <c r="A251" s="387"/>
      <c r="B251" s="388"/>
      <c r="C251" s="389"/>
      <c r="D251" s="390"/>
      <c r="E251" s="391"/>
      <c r="F251" s="421"/>
      <c r="G251" s="396"/>
      <c r="H251" s="397"/>
      <c r="I251" s="422"/>
      <c r="J251" s="394"/>
      <c r="K251" s="414"/>
      <c r="L251" s="406"/>
    </row>
    <row r="252" spans="1:24" ht="30" customHeight="1">
      <c r="A252" s="387"/>
      <c r="B252" s="388"/>
      <c r="C252" s="389"/>
      <c r="D252" s="401"/>
      <c r="E252" s="391"/>
      <c r="F252" s="422"/>
      <c r="G252" s="396"/>
      <c r="H252" s="394"/>
      <c r="I252" s="422"/>
      <c r="J252" s="394"/>
      <c r="K252" s="414"/>
      <c r="L252" s="406"/>
    </row>
    <row r="253" spans="1:24" ht="30" customHeight="1">
      <c r="A253" s="387"/>
      <c r="B253" s="388"/>
      <c r="C253" s="389"/>
      <c r="D253" s="401"/>
      <c r="E253" s="391"/>
      <c r="F253" s="422"/>
      <c r="G253" s="419"/>
      <c r="H253" s="403"/>
      <c r="I253" s="422"/>
      <c r="J253" s="394"/>
      <c r="K253" s="414"/>
      <c r="L253" s="406"/>
    </row>
    <row r="254" spans="1:24" ht="30" customHeight="1">
      <c r="A254" s="387"/>
      <c r="B254" s="388"/>
      <c r="C254" s="389"/>
      <c r="D254" s="390"/>
      <c r="E254" s="391"/>
      <c r="F254" s="421"/>
      <c r="G254" s="396"/>
      <c r="H254" s="392"/>
      <c r="I254" s="422"/>
      <c r="J254" s="394"/>
      <c r="K254" s="414"/>
      <c r="L254" s="406"/>
    </row>
    <row r="255" spans="1:24" ht="30" customHeight="1">
      <c r="A255" s="387"/>
      <c r="B255" s="388"/>
      <c r="C255" s="389"/>
      <c r="D255" s="390"/>
      <c r="E255" s="391"/>
      <c r="F255" s="421"/>
      <c r="G255" s="396"/>
      <c r="H255" s="397"/>
      <c r="I255" s="422"/>
      <c r="J255" s="394"/>
      <c r="K255" s="414"/>
      <c r="L255" s="406"/>
    </row>
    <row r="256" spans="1:24" ht="30" customHeight="1">
      <c r="A256" s="387"/>
      <c r="B256" s="388"/>
      <c r="C256" s="389"/>
      <c r="D256" s="390"/>
      <c r="E256" s="391"/>
      <c r="F256" s="421"/>
      <c r="G256" s="396"/>
      <c r="H256" s="392"/>
      <c r="I256" s="422"/>
      <c r="J256" s="397"/>
      <c r="K256" s="411"/>
      <c r="L256" s="406"/>
      <c r="X256" s="400" t="s">
        <v>462</v>
      </c>
    </row>
    <row r="257" spans="1:24" ht="30" customHeight="1">
      <c r="A257" s="387"/>
      <c r="B257" s="388"/>
      <c r="C257" s="389"/>
      <c r="D257" s="390"/>
      <c r="E257" s="391"/>
      <c r="F257" s="421"/>
      <c r="G257" s="396"/>
      <c r="H257" s="397"/>
      <c r="I257" s="422"/>
      <c r="J257" s="394"/>
      <c r="K257" s="414"/>
      <c r="L257" s="406"/>
      <c r="X257" s="400" t="s">
        <v>463</v>
      </c>
    </row>
    <row r="258" spans="1:24" ht="30" customHeight="1">
      <c r="A258" s="387"/>
      <c r="B258" s="388"/>
      <c r="C258" s="389"/>
      <c r="D258" s="390"/>
      <c r="E258" s="391"/>
      <c r="F258" s="421"/>
      <c r="G258" s="396"/>
      <c r="H258" s="392"/>
      <c r="I258" s="422"/>
      <c r="J258" s="397"/>
      <c r="K258" s="411"/>
      <c r="L258" s="406"/>
      <c r="X258" s="400" t="s">
        <v>464</v>
      </c>
    </row>
    <row r="259" spans="1:24" ht="30" customHeight="1">
      <c r="A259" s="387"/>
      <c r="B259" s="388"/>
      <c r="C259" s="389"/>
      <c r="D259" s="390"/>
      <c r="E259" s="391"/>
      <c r="F259" s="421"/>
      <c r="G259" s="396"/>
      <c r="H259" s="392"/>
      <c r="I259" s="422"/>
      <c r="J259" s="394"/>
      <c r="K259" s="411"/>
      <c r="L259" s="406"/>
      <c r="X259" s="400"/>
    </row>
    <row r="260" spans="1:24" ht="30" customHeight="1">
      <c r="A260" s="387"/>
      <c r="B260" s="388"/>
      <c r="C260" s="389"/>
      <c r="D260" s="390"/>
      <c r="E260" s="391"/>
      <c r="F260" s="421"/>
      <c r="G260" s="396"/>
      <c r="H260" s="397"/>
      <c r="I260" s="422"/>
      <c r="J260" s="394"/>
      <c r="K260" s="414"/>
      <c r="L260" s="406"/>
      <c r="X260" s="400"/>
    </row>
    <row r="261" spans="1:24" ht="30" customHeight="1">
      <c r="A261" s="387"/>
      <c r="B261" s="388"/>
      <c r="C261" s="389"/>
      <c r="D261" s="390"/>
      <c r="E261" s="391"/>
      <c r="F261" s="421"/>
      <c r="G261" s="396"/>
      <c r="H261" s="397"/>
      <c r="I261" s="422"/>
      <c r="J261" s="394"/>
      <c r="K261" s="414"/>
      <c r="L261" s="406"/>
      <c r="X261" s="400" t="s">
        <v>418</v>
      </c>
    </row>
    <row r="262" spans="1:24" ht="30" customHeight="1">
      <c r="A262" s="387"/>
      <c r="B262" s="388"/>
      <c r="C262" s="389"/>
      <c r="D262" s="390"/>
      <c r="E262" s="391"/>
      <c r="F262" s="421"/>
      <c r="G262" s="396"/>
      <c r="H262" s="397"/>
      <c r="I262" s="422"/>
      <c r="J262" s="394"/>
      <c r="K262" s="414"/>
      <c r="L262" s="406"/>
      <c r="X262" s="400" t="s">
        <v>174</v>
      </c>
    </row>
    <row r="263" spans="1:24" ht="30" customHeight="1">
      <c r="A263" s="387"/>
      <c r="B263" s="388"/>
      <c r="C263" s="389"/>
      <c r="D263" s="390"/>
      <c r="E263" s="391"/>
      <c r="F263" s="421"/>
      <c r="G263" s="396"/>
      <c r="H263" s="397"/>
      <c r="I263" s="422"/>
      <c r="J263" s="394"/>
      <c r="K263" s="414"/>
      <c r="L263" s="406"/>
      <c r="X263" s="400" t="s">
        <v>178</v>
      </c>
    </row>
    <row r="264" spans="1:24" ht="30" customHeight="1">
      <c r="A264" s="387"/>
      <c r="B264" s="400"/>
      <c r="C264" s="389"/>
      <c r="D264" s="401"/>
      <c r="E264" s="391"/>
      <c r="F264" s="422"/>
      <c r="G264" s="418"/>
      <c r="H264" s="392"/>
      <c r="I264" s="422"/>
      <c r="J264" s="394"/>
      <c r="K264" s="414"/>
      <c r="L264" s="406"/>
      <c r="X264" s="400" t="s">
        <v>179</v>
      </c>
    </row>
    <row r="265" spans="1:24" ht="30" customHeight="1">
      <c r="A265" s="387"/>
      <c r="B265" s="388"/>
      <c r="C265" s="389"/>
      <c r="D265" s="401"/>
      <c r="E265" s="391"/>
      <c r="F265" s="422"/>
      <c r="G265" s="396"/>
      <c r="H265" s="394"/>
      <c r="I265" s="422"/>
      <c r="J265" s="394"/>
      <c r="K265" s="411"/>
      <c r="L265" s="406"/>
      <c r="X265" s="400" t="s">
        <v>176</v>
      </c>
    </row>
    <row r="266" spans="1:24" ht="30" customHeight="1">
      <c r="A266" s="387"/>
      <c r="B266" s="400"/>
      <c r="C266" s="389"/>
      <c r="D266" s="401"/>
      <c r="E266" s="391"/>
      <c r="F266" s="422"/>
      <c r="G266" s="415"/>
      <c r="H266" s="392"/>
      <c r="I266" s="422"/>
      <c r="J266" s="394"/>
      <c r="K266" s="414"/>
      <c r="L266" s="406"/>
      <c r="X266" s="400"/>
    </row>
    <row r="267" spans="1:24" ht="30" customHeight="1">
      <c r="A267" s="387"/>
      <c r="B267" s="388"/>
      <c r="C267" s="389"/>
      <c r="D267" s="401"/>
      <c r="E267" s="391"/>
      <c r="F267" s="422"/>
      <c r="G267" s="416"/>
      <c r="H267" s="392"/>
      <c r="I267" s="422"/>
      <c r="J267" s="394"/>
      <c r="K267" s="414"/>
      <c r="L267" s="406"/>
      <c r="X267" s="400"/>
    </row>
    <row r="268" spans="1:24" ht="30" customHeight="1">
      <c r="A268" s="387"/>
      <c r="B268" s="388"/>
      <c r="C268" s="389"/>
      <c r="D268" s="401"/>
      <c r="E268" s="391"/>
      <c r="F268" s="422"/>
      <c r="G268" s="396"/>
      <c r="H268" s="397"/>
      <c r="I268" s="422"/>
      <c r="J268" s="394"/>
      <c r="K268" s="414"/>
      <c r="L268" s="406"/>
      <c r="X268" s="400"/>
    </row>
    <row r="269" spans="1:24" ht="30" customHeight="1">
      <c r="A269" s="387"/>
      <c r="B269" s="388"/>
      <c r="C269" s="389"/>
      <c r="D269" s="401"/>
      <c r="E269" s="391"/>
      <c r="F269" s="422"/>
      <c r="G269" s="396"/>
      <c r="H269" s="394"/>
      <c r="I269" s="422"/>
      <c r="J269" s="394"/>
      <c r="K269" s="414"/>
      <c r="L269" s="406"/>
      <c r="X269" s="400"/>
    </row>
    <row r="270" spans="1:24" ht="30" customHeight="1">
      <c r="A270" s="387"/>
      <c r="B270" s="388"/>
      <c r="C270" s="389"/>
      <c r="D270" s="401"/>
      <c r="E270" s="391"/>
      <c r="F270" s="422"/>
      <c r="G270" s="396"/>
      <c r="H270" s="394"/>
      <c r="I270" s="422"/>
      <c r="J270" s="394"/>
      <c r="K270" s="414"/>
      <c r="L270" s="406"/>
      <c r="X270" s="400"/>
    </row>
    <row r="271" spans="1:24" ht="30" customHeight="1">
      <c r="A271" s="387"/>
      <c r="B271" s="388"/>
      <c r="C271" s="389"/>
      <c r="D271" s="401"/>
      <c r="E271" s="391"/>
      <c r="F271" s="422"/>
      <c r="G271" s="396"/>
      <c r="H271" s="394"/>
      <c r="I271" s="422"/>
      <c r="J271" s="394"/>
      <c r="K271" s="414"/>
      <c r="L271" s="406"/>
      <c r="X271" s="400"/>
    </row>
    <row r="272" spans="1:24" ht="30" customHeight="1">
      <c r="A272" s="387"/>
      <c r="B272" s="389"/>
      <c r="C272" s="389"/>
      <c r="D272" s="401"/>
      <c r="E272" s="391"/>
      <c r="F272" s="422"/>
      <c r="G272" s="396"/>
      <c r="H272" s="394"/>
      <c r="I272" s="422"/>
      <c r="J272" s="394"/>
      <c r="K272" s="414"/>
      <c r="L272" s="406"/>
      <c r="X272" s="400"/>
    </row>
    <row r="273" spans="1:24" ht="30" customHeight="1">
      <c r="A273" s="387"/>
      <c r="B273" s="388"/>
      <c r="C273" s="389"/>
      <c r="D273" s="401"/>
      <c r="E273" s="391"/>
      <c r="F273" s="422"/>
      <c r="G273" s="396"/>
      <c r="H273" s="397"/>
      <c r="I273" s="422"/>
      <c r="J273" s="394"/>
      <c r="K273" s="414"/>
      <c r="L273" s="406"/>
      <c r="X273" s="400"/>
    </row>
    <row r="274" spans="1:24" ht="30" customHeight="1">
      <c r="A274" s="387"/>
      <c r="B274" s="388"/>
      <c r="C274" s="389"/>
      <c r="D274" s="401"/>
      <c r="E274" s="391"/>
      <c r="F274" s="422"/>
      <c r="G274" s="396"/>
      <c r="H274" s="394"/>
      <c r="I274" s="422"/>
      <c r="J274" s="394"/>
      <c r="K274" s="414"/>
      <c r="L274" s="406"/>
      <c r="X274" s="400"/>
    </row>
    <row r="275" spans="1:24" ht="30" customHeight="1">
      <c r="A275" s="387"/>
      <c r="B275" s="388"/>
      <c r="C275" s="389"/>
      <c r="D275" s="401"/>
      <c r="E275" s="391"/>
      <c r="F275" s="422"/>
      <c r="G275" s="396"/>
      <c r="H275" s="397"/>
      <c r="I275" s="422"/>
      <c r="J275" s="394"/>
      <c r="K275" s="414"/>
      <c r="L275" s="406"/>
      <c r="X275" s="400"/>
    </row>
    <row r="276" spans="1:24" ht="30" customHeight="1">
      <c r="A276" s="387"/>
      <c r="B276" s="388"/>
      <c r="C276" s="389"/>
      <c r="D276" s="389"/>
      <c r="E276" s="391"/>
      <c r="F276" s="422"/>
      <c r="G276" s="416"/>
      <c r="H276" s="392"/>
      <c r="I276" s="422"/>
      <c r="J276" s="394"/>
      <c r="K276" s="414"/>
      <c r="L276" s="406"/>
      <c r="X276" s="400"/>
    </row>
    <row r="277" spans="1:24" ht="30" customHeight="1">
      <c r="A277" s="387"/>
      <c r="B277" s="388"/>
      <c r="C277" s="389"/>
      <c r="D277" s="389"/>
      <c r="E277" s="391"/>
      <c r="F277" s="422"/>
      <c r="G277" s="416"/>
      <c r="H277" s="392"/>
      <c r="I277" s="422"/>
      <c r="J277" s="394"/>
      <c r="K277" s="414"/>
      <c r="L277" s="406"/>
      <c r="X277" s="400"/>
    </row>
    <row r="278" spans="1:24" ht="30" customHeight="1">
      <c r="A278" s="387"/>
      <c r="B278" s="388"/>
      <c r="C278" s="389"/>
      <c r="D278" s="389"/>
      <c r="E278" s="391"/>
      <c r="F278" s="422"/>
      <c r="G278" s="416"/>
      <c r="H278" s="392"/>
      <c r="I278" s="422"/>
      <c r="J278" s="394"/>
      <c r="K278" s="414"/>
      <c r="L278" s="406"/>
      <c r="X278" s="400"/>
    </row>
    <row r="279" spans="1:24" ht="30" customHeight="1">
      <c r="A279" s="387"/>
      <c r="B279" s="388"/>
      <c r="C279" s="389"/>
      <c r="D279" s="389"/>
      <c r="E279" s="391"/>
      <c r="F279" s="422"/>
      <c r="G279" s="396"/>
      <c r="H279" s="397"/>
      <c r="I279" s="422"/>
      <c r="J279" s="394"/>
      <c r="K279" s="414"/>
      <c r="L279" s="406"/>
      <c r="X279" s="400"/>
    </row>
    <row r="280" spans="1:24" ht="30" customHeight="1">
      <c r="A280" s="387"/>
      <c r="B280" s="388"/>
      <c r="C280" s="389"/>
      <c r="D280" s="389"/>
      <c r="E280" s="391"/>
      <c r="F280" s="422"/>
      <c r="G280" s="396"/>
      <c r="H280" s="397"/>
      <c r="I280" s="422"/>
      <c r="J280" s="394"/>
      <c r="K280" s="414"/>
      <c r="L280" s="406"/>
      <c r="X280" s="400"/>
    </row>
    <row r="281" spans="1:24" ht="30" customHeight="1">
      <c r="A281" s="387"/>
      <c r="B281" s="388"/>
      <c r="C281" s="389"/>
      <c r="D281" s="389"/>
      <c r="E281" s="391"/>
      <c r="F281" s="422"/>
      <c r="G281" s="416"/>
      <c r="H281" s="410"/>
      <c r="I281" s="422"/>
      <c r="J281" s="394"/>
      <c r="K281" s="414"/>
      <c r="L281" s="406"/>
      <c r="X281" s="400"/>
    </row>
    <row r="282" spans="1:24" ht="30" customHeight="1">
      <c r="A282" s="387"/>
      <c r="B282" s="388"/>
      <c r="C282" s="389"/>
      <c r="D282" s="389"/>
      <c r="E282" s="391"/>
      <c r="F282" s="422"/>
      <c r="G282" s="416"/>
      <c r="H282" s="392"/>
      <c r="I282" s="422"/>
      <c r="J282" s="394"/>
      <c r="K282" s="414"/>
      <c r="L282" s="406"/>
      <c r="X282" s="400"/>
    </row>
    <row r="283" spans="1:24" ht="30" customHeight="1">
      <c r="A283" s="387"/>
      <c r="B283" s="388"/>
      <c r="C283" s="389"/>
      <c r="D283" s="389"/>
      <c r="E283" s="391"/>
      <c r="F283" s="422"/>
      <c r="G283" s="396"/>
      <c r="H283" s="392"/>
      <c r="I283" s="422"/>
      <c r="J283" s="394"/>
      <c r="K283" s="414"/>
      <c r="L283" s="406"/>
      <c r="X283" s="400"/>
    </row>
    <row r="284" spans="1:24" ht="30" customHeight="1">
      <c r="A284" s="387"/>
      <c r="B284" s="400"/>
      <c r="C284" s="389"/>
      <c r="D284" s="389"/>
      <c r="E284" s="391"/>
      <c r="F284" s="422"/>
      <c r="G284" s="415"/>
      <c r="H284" s="392"/>
      <c r="I284" s="422"/>
      <c r="J284" s="394"/>
      <c r="K284" s="414"/>
      <c r="L284" s="406"/>
      <c r="X284" s="400"/>
    </row>
    <row r="285" spans="1:24" ht="30" customHeight="1">
      <c r="A285" s="387"/>
      <c r="B285" s="388"/>
      <c r="C285" s="389"/>
      <c r="D285" s="389"/>
      <c r="E285" s="391"/>
      <c r="F285" s="422"/>
      <c r="G285" s="416"/>
      <c r="H285" s="392"/>
      <c r="I285" s="422"/>
      <c r="J285" s="394"/>
      <c r="K285" s="414"/>
      <c r="L285" s="406"/>
      <c r="X285" s="400"/>
    </row>
    <row r="286" spans="1:24" ht="30" customHeight="1">
      <c r="A286" s="387"/>
      <c r="B286" s="388"/>
      <c r="C286" s="389"/>
      <c r="D286" s="389"/>
      <c r="E286" s="391"/>
      <c r="F286" s="422"/>
      <c r="G286" s="416"/>
      <c r="H286" s="392"/>
      <c r="I286" s="422"/>
      <c r="J286" s="394"/>
      <c r="K286" s="414"/>
      <c r="L286" s="406"/>
      <c r="X286" s="400"/>
    </row>
    <row r="287" spans="1:24" ht="30" customHeight="1">
      <c r="A287" s="387"/>
      <c r="B287" s="388"/>
      <c r="C287" s="389"/>
      <c r="D287" s="389"/>
      <c r="E287" s="391"/>
      <c r="F287" s="422"/>
      <c r="G287" s="416"/>
      <c r="H287" s="392"/>
      <c r="I287" s="422"/>
      <c r="J287" s="394"/>
      <c r="K287" s="414"/>
      <c r="L287" s="406"/>
      <c r="X287" s="400"/>
    </row>
    <row r="288" spans="1:24" ht="30" customHeight="1">
      <c r="A288" s="387"/>
      <c r="B288" s="388"/>
      <c r="C288" s="389"/>
      <c r="D288" s="389"/>
      <c r="E288" s="391"/>
      <c r="F288" s="422"/>
      <c r="G288" s="416"/>
      <c r="H288" s="392"/>
      <c r="I288" s="422"/>
      <c r="J288" s="394"/>
      <c r="K288" s="414"/>
      <c r="L288" s="406"/>
      <c r="X288" s="400"/>
    </row>
    <row r="289" spans="1:24" ht="30" customHeight="1">
      <c r="A289" s="387"/>
      <c r="B289" s="400"/>
      <c r="C289" s="389"/>
      <c r="D289" s="389"/>
      <c r="E289" s="391"/>
      <c r="F289" s="422"/>
      <c r="G289" s="416"/>
      <c r="H289" s="392"/>
      <c r="I289" s="422"/>
      <c r="J289" s="394"/>
      <c r="K289" s="414"/>
      <c r="L289" s="406"/>
      <c r="X289" s="400"/>
    </row>
    <row r="290" spans="1:24" ht="30" customHeight="1">
      <c r="A290" s="387"/>
      <c r="B290" s="404"/>
      <c r="C290" s="389"/>
      <c r="D290" s="389"/>
      <c r="E290" s="391"/>
      <c r="F290" s="422"/>
      <c r="G290" s="416"/>
      <c r="H290" s="392"/>
      <c r="I290" s="422"/>
      <c r="J290" s="394"/>
      <c r="K290" s="414"/>
      <c r="L290" s="406"/>
      <c r="X290" s="400"/>
    </row>
    <row r="291" spans="1:24" ht="30" customHeight="1">
      <c r="A291" s="387"/>
      <c r="B291" s="400"/>
      <c r="C291" s="389"/>
      <c r="D291" s="389"/>
      <c r="E291" s="391"/>
      <c r="F291" s="422"/>
      <c r="G291" s="416"/>
      <c r="H291" s="392"/>
      <c r="I291" s="422"/>
      <c r="J291" s="394"/>
      <c r="K291" s="414"/>
      <c r="L291" s="406"/>
      <c r="X291" s="400"/>
    </row>
    <row r="292" spans="1:24" ht="30" customHeight="1">
      <c r="A292" s="387"/>
      <c r="B292" s="404"/>
      <c r="C292" s="389"/>
      <c r="D292" s="389"/>
      <c r="E292" s="391"/>
      <c r="F292" s="422"/>
      <c r="G292" s="416"/>
      <c r="H292" s="392"/>
      <c r="I292" s="422"/>
      <c r="J292" s="394"/>
      <c r="K292" s="414"/>
      <c r="L292" s="406"/>
      <c r="X292" s="400"/>
    </row>
    <row r="293" spans="1:24" ht="30" customHeight="1">
      <c r="A293" s="387"/>
      <c r="B293" s="404"/>
      <c r="C293" s="389"/>
      <c r="D293" s="389"/>
      <c r="E293" s="391"/>
      <c r="F293" s="422"/>
      <c r="G293" s="416"/>
      <c r="H293" s="392"/>
      <c r="I293" s="422"/>
      <c r="J293" s="394"/>
      <c r="K293" s="414"/>
      <c r="L293" s="406"/>
      <c r="X293" s="400"/>
    </row>
    <row r="294" spans="1:24" ht="30" customHeight="1">
      <c r="A294" s="387"/>
      <c r="B294" s="400"/>
      <c r="C294" s="389"/>
      <c r="D294" s="389"/>
      <c r="E294" s="391"/>
      <c r="F294" s="422"/>
      <c r="G294" s="416"/>
      <c r="H294" s="392"/>
      <c r="I294" s="422"/>
      <c r="J294" s="394"/>
      <c r="K294" s="414"/>
      <c r="L294" s="406"/>
      <c r="X294" s="400"/>
    </row>
    <row r="295" spans="1:24" ht="30" customHeight="1">
      <c r="A295" s="387"/>
      <c r="B295" s="400"/>
      <c r="C295" s="389"/>
      <c r="D295" s="389"/>
      <c r="E295" s="405"/>
      <c r="F295" s="422"/>
      <c r="G295" s="416"/>
      <c r="H295" s="392"/>
      <c r="I295" s="422"/>
      <c r="J295" s="394"/>
      <c r="K295" s="414"/>
      <c r="L295" s="406"/>
      <c r="X295" s="400"/>
    </row>
    <row r="296" spans="1:24" ht="30" customHeight="1">
      <c r="A296" s="387"/>
      <c r="B296" s="400"/>
      <c r="C296" s="389"/>
      <c r="D296" s="389"/>
      <c r="E296" s="405"/>
      <c r="F296" s="422"/>
      <c r="G296" s="416"/>
      <c r="H296" s="392"/>
      <c r="I296" s="422"/>
      <c r="J296" s="394"/>
      <c r="K296" s="414"/>
      <c r="L296" s="406"/>
      <c r="X296" s="400"/>
    </row>
    <row r="297" spans="1:24" ht="30" customHeight="1">
      <c r="A297" s="387"/>
      <c r="B297" s="400"/>
      <c r="C297" s="389"/>
      <c r="D297" s="389"/>
      <c r="E297" s="391"/>
      <c r="F297" s="422"/>
      <c r="G297" s="416"/>
      <c r="H297" s="392"/>
      <c r="I297" s="422"/>
      <c r="J297" s="394"/>
      <c r="K297" s="414"/>
      <c r="L297" s="406"/>
      <c r="X297" s="400"/>
    </row>
    <row r="298" spans="1:24" ht="30" customHeight="1">
      <c r="A298" s="387"/>
      <c r="B298" s="400"/>
      <c r="C298" s="389"/>
      <c r="D298" s="389"/>
      <c r="E298" s="391"/>
      <c r="F298" s="422"/>
      <c r="G298" s="416"/>
      <c r="H298" s="392"/>
      <c r="I298" s="422"/>
      <c r="J298" s="394"/>
      <c r="K298" s="414"/>
      <c r="L298" s="406"/>
      <c r="X298" s="400"/>
    </row>
    <row r="299" spans="1:24" ht="30" customHeight="1">
      <c r="A299" s="387"/>
      <c r="B299" s="400"/>
      <c r="C299" s="389"/>
      <c r="D299" s="389"/>
      <c r="E299" s="405"/>
      <c r="F299" s="422"/>
      <c r="G299" s="418"/>
      <c r="H299" s="392"/>
      <c r="I299" s="422"/>
      <c r="J299" s="394"/>
      <c r="K299" s="414"/>
      <c r="L299" s="406"/>
      <c r="X299" s="400"/>
    </row>
    <row r="300" spans="1:24" ht="30" customHeight="1">
      <c r="A300" s="387"/>
      <c r="B300" s="400"/>
      <c r="C300" s="389"/>
      <c r="D300" s="389"/>
      <c r="E300" s="405"/>
      <c r="F300" s="422"/>
      <c r="G300" s="418"/>
      <c r="H300" s="392"/>
      <c r="I300" s="422"/>
      <c r="J300" s="394"/>
      <c r="K300" s="414"/>
      <c r="L300" s="406"/>
      <c r="X300" s="400"/>
    </row>
    <row r="301" spans="1:24" ht="30" customHeight="1">
      <c r="A301" s="387"/>
      <c r="B301" s="400"/>
      <c r="C301" s="389"/>
      <c r="D301" s="389"/>
      <c r="E301" s="405"/>
      <c r="F301" s="422"/>
      <c r="G301" s="416"/>
      <c r="H301" s="392"/>
      <c r="I301" s="422"/>
      <c r="J301" s="394"/>
      <c r="K301" s="414"/>
      <c r="L301" s="406"/>
      <c r="X301" s="400"/>
    </row>
    <row r="302" spans="1:24" ht="30" customHeight="1">
      <c r="A302" s="387"/>
      <c r="B302" s="400"/>
      <c r="C302" s="389"/>
      <c r="D302" s="389"/>
      <c r="E302" s="405"/>
      <c r="F302" s="422"/>
      <c r="G302" s="416"/>
      <c r="H302" s="410"/>
      <c r="I302" s="410"/>
      <c r="J302" s="394"/>
      <c r="K302" s="414"/>
      <c r="L302" s="406"/>
      <c r="X302" s="400"/>
    </row>
    <row r="303" spans="1:24" ht="30" customHeight="1">
      <c r="A303" s="387"/>
      <c r="B303" s="400"/>
      <c r="C303" s="389"/>
      <c r="D303" s="389"/>
      <c r="E303" s="405"/>
      <c r="F303" s="422"/>
      <c r="G303" s="416"/>
      <c r="H303" s="410"/>
      <c r="I303" s="410"/>
      <c r="J303" s="394"/>
      <c r="K303" s="414"/>
      <c r="L303" s="406"/>
      <c r="X303" s="400"/>
    </row>
    <row r="304" spans="1:24">
      <c r="B304" s="400"/>
      <c r="C304" s="389"/>
      <c r="F304" s="422"/>
      <c r="G304" s="418"/>
      <c r="H304" s="392"/>
    </row>
    <row r="305" spans="1:24" ht="30" customHeight="1">
      <c r="A305" s="387"/>
      <c r="B305" s="400"/>
      <c r="C305" s="389"/>
      <c r="D305" s="389"/>
      <c r="E305" s="405"/>
      <c r="F305" s="422"/>
      <c r="G305" s="416"/>
      <c r="H305" s="392"/>
      <c r="I305" s="422"/>
      <c r="J305" s="394"/>
      <c r="K305" s="414"/>
      <c r="L305" s="406"/>
      <c r="X305" s="400"/>
    </row>
    <row r="306" spans="1:24" ht="30" customHeight="1">
      <c r="A306" s="387"/>
      <c r="B306" s="400"/>
      <c r="C306" s="389"/>
      <c r="D306" s="389"/>
      <c r="E306" s="405"/>
      <c r="F306" s="422"/>
      <c r="G306" s="418"/>
      <c r="H306" s="392"/>
      <c r="I306" s="422"/>
      <c r="J306" s="394"/>
      <c r="K306" s="414"/>
      <c r="L306" s="406"/>
      <c r="X306" s="400"/>
    </row>
    <row r="307" spans="1:24" ht="30" customHeight="1">
      <c r="A307" s="387"/>
      <c r="B307" s="400"/>
      <c r="C307" s="389"/>
      <c r="D307" s="389"/>
      <c r="E307" s="405"/>
      <c r="F307" s="422"/>
      <c r="G307" s="418"/>
      <c r="H307" s="392"/>
      <c r="I307" s="422"/>
      <c r="J307" s="394"/>
      <c r="K307" s="414"/>
      <c r="L307" s="406"/>
      <c r="X307" s="400"/>
    </row>
    <row r="308" spans="1:24" ht="30" customHeight="1">
      <c r="A308" s="387"/>
      <c r="B308" s="400"/>
      <c r="C308" s="389"/>
      <c r="D308" s="389"/>
      <c r="E308" s="405"/>
      <c r="F308" s="422"/>
      <c r="G308" s="418"/>
      <c r="H308" s="392"/>
      <c r="I308" s="422"/>
      <c r="J308" s="394"/>
      <c r="K308" s="414"/>
      <c r="L308" s="406"/>
      <c r="X308" s="400"/>
    </row>
    <row r="309" spans="1:24" ht="30" customHeight="1">
      <c r="A309" s="387"/>
      <c r="B309" s="400"/>
      <c r="C309" s="389"/>
      <c r="D309" s="389"/>
      <c r="E309" s="405"/>
      <c r="F309" s="422"/>
      <c r="G309" s="418"/>
      <c r="H309" s="392"/>
      <c r="I309" s="422"/>
      <c r="J309" s="394"/>
      <c r="K309" s="414"/>
      <c r="L309" s="406"/>
      <c r="X309" s="400"/>
    </row>
    <row r="310" spans="1:24" ht="30" customHeight="1">
      <c r="A310" s="387"/>
      <c r="B310" s="400"/>
      <c r="C310" s="389"/>
      <c r="D310" s="389"/>
      <c r="E310" s="405"/>
      <c r="F310" s="422"/>
      <c r="G310" s="418"/>
      <c r="H310" s="392"/>
      <c r="I310" s="422"/>
      <c r="J310" s="394"/>
      <c r="K310" s="414"/>
      <c r="L310" s="406"/>
      <c r="X310" s="400"/>
    </row>
    <row r="327" spans="2:2">
      <c r="B327" s="440"/>
    </row>
    <row r="328" spans="2:2">
      <c r="B328" s="440"/>
    </row>
    <row r="329" spans="2:2">
      <c r="B329" s="440"/>
    </row>
    <row r="330" spans="2:2">
      <c r="B330" s="440"/>
    </row>
    <row r="331" spans="2:2">
      <c r="B331" s="440"/>
    </row>
    <row r="332" spans="2:2">
      <c r="B332" s="440"/>
    </row>
    <row r="333" spans="2:2">
      <c r="B333" s="440"/>
    </row>
    <row r="334" spans="2:2">
      <c r="B334" s="440"/>
    </row>
    <row r="335" spans="2:2">
      <c r="B335" s="440"/>
    </row>
    <row r="336" spans="2:2">
      <c r="B336" s="440"/>
    </row>
    <row r="337" spans="2:2">
      <c r="B337" s="440"/>
    </row>
  </sheetData>
  <autoFilter ref="A2:N310" xr:uid="{2186F83F-367B-471C-AEB0-65139BA78454}">
    <sortState xmlns:xlrd2="http://schemas.microsoft.com/office/spreadsheetml/2017/richdata2" ref="A3:N310">
      <sortCondition ref="I2:I310"/>
    </sortState>
  </autoFilter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G54" sqref="G54"/>
    </sheetView>
  </sheetViews>
  <sheetFormatPr defaultColWidth="8.85546875" defaultRowHeight="15.75"/>
  <cols>
    <col min="1" max="1" width="8.85546875" style="249"/>
    <col min="2" max="2" width="9.5703125" style="249" customWidth="1"/>
    <col min="3" max="3" width="12.42578125" style="249" customWidth="1"/>
    <col min="4" max="4" width="14.42578125" style="249" bestFit="1" customWidth="1"/>
    <col min="5" max="5" width="12.5703125" style="249" customWidth="1"/>
    <col min="6" max="6" width="21" style="249" bestFit="1" customWidth="1"/>
    <col min="7" max="7" width="17.42578125" style="113" customWidth="1"/>
    <col min="8" max="9" width="29.7109375" style="249" customWidth="1"/>
    <col min="10" max="10" width="20.42578125" style="249" customWidth="1"/>
    <col min="11" max="11" width="16.42578125" style="249" customWidth="1"/>
    <col min="12" max="12" width="15.140625" style="249" bestFit="1" customWidth="1"/>
    <col min="13" max="13" width="14.85546875" style="249" customWidth="1"/>
    <col min="14" max="14" width="16.42578125" style="249" customWidth="1"/>
    <col min="15" max="15" width="21.5703125" style="249" customWidth="1"/>
    <col min="16" max="16" width="23.42578125" style="249" customWidth="1"/>
    <col min="17" max="16384" width="8.85546875" style="249"/>
  </cols>
  <sheetData>
    <row r="1" spans="1:16" ht="16.5" thickBot="1"/>
    <row r="2" spans="1:16" ht="38.1" customHeight="1">
      <c r="A2" s="713" t="s">
        <v>465</v>
      </c>
      <c r="B2" s="714"/>
      <c r="C2" s="714"/>
      <c r="D2" s="714"/>
      <c r="E2" s="714"/>
      <c r="F2" s="714"/>
      <c r="G2" s="714"/>
      <c r="H2" s="714"/>
      <c r="I2" s="714"/>
      <c r="J2" s="714"/>
      <c r="K2" s="714"/>
      <c r="L2" s="714"/>
      <c r="M2" s="714"/>
      <c r="N2" s="714"/>
      <c r="O2" s="714"/>
      <c r="P2" s="451">
        <f>FDN!N1</f>
        <v>46208</v>
      </c>
    </row>
    <row r="3" spans="1:16" ht="47.25">
      <c r="A3" s="452" t="s">
        <v>244</v>
      </c>
      <c r="B3" s="453" t="s">
        <v>466</v>
      </c>
      <c r="C3" s="453" t="s">
        <v>467</v>
      </c>
      <c r="D3" s="454" t="s">
        <v>341</v>
      </c>
      <c r="E3" s="453" t="s">
        <v>468</v>
      </c>
      <c r="F3" s="453" t="s">
        <v>262</v>
      </c>
      <c r="G3" s="454" t="s">
        <v>344</v>
      </c>
      <c r="H3" s="455" t="s">
        <v>469</v>
      </c>
      <c r="I3" s="455" t="s">
        <v>1078</v>
      </c>
      <c r="J3" s="456" t="s">
        <v>470</v>
      </c>
      <c r="K3" s="456" t="s">
        <v>471</v>
      </c>
      <c r="L3" s="456" t="s">
        <v>33</v>
      </c>
      <c r="M3" s="453" t="s">
        <v>472</v>
      </c>
      <c r="N3" s="453" t="s">
        <v>473</v>
      </c>
      <c r="O3" s="453" t="s">
        <v>474</v>
      </c>
      <c r="P3" s="457" t="s">
        <v>475</v>
      </c>
    </row>
    <row r="4" spans="1:16" ht="25.15" customHeight="1">
      <c r="A4" s="458">
        <v>1</v>
      </c>
      <c r="B4" s="459" t="s">
        <v>176</v>
      </c>
      <c r="C4" s="459" t="s">
        <v>350</v>
      </c>
      <c r="D4" s="459">
        <v>46023</v>
      </c>
      <c r="E4" s="460">
        <v>37.729999999999997</v>
      </c>
      <c r="F4" s="461" t="s">
        <v>38</v>
      </c>
      <c r="G4" s="459">
        <v>46029</v>
      </c>
      <c r="H4" s="462" t="s">
        <v>476</v>
      </c>
      <c r="I4" s="462" t="s">
        <v>1079</v>
      </c>
      <c r="J4" s="463"/>
      <c r="K4" s="464"/>
      <c r="L4" s="465"/>
      <c r="M4" s="465"/>
      <c r="N4" s="465"/>
      <c r="O4" s="461"/>
      <c r="P4" s="466"/>
    </row>
    <row r="5" spans="1:16" ht="25.15" customHeight="1">
      <c r="A5" s="458">
        <v>2</v>
      </c>
      <c r="B5" s="459" t="s">
        <v>138</v>
      </c>
      <c r="C5" s="459" t="s">
        <v>357</v>
      </c>
      <c r="D5" s="459">
        <v>46027</v>
      </c>
      <c r="E5" s="467">
        <v>39.457999999999998</v>
      </c>
      <c r="F5" s="461" t="s">
        <v>38</v>
      </c>
      <c r="G5" s="459">
        <v>46034</v>
      </c>
      <c r="H5" s="465" t="s">
        <v>477</v>
      </c>
      <c r="I5" s="465"/>
      <c r="J5" s="461"/>
      <c r="K5" s="461"/>
      <c r="L5" s="461"/>
      <c r="M5" s="461"/>
      <c r="N5" s="461"/>
      <c r="O5" s="461"/>
      <c r="P5" s="461"/>
    </row>
    <row r="6" spans="1:16" ht="25.15" customHeight="1">
      <c r="A6" s="458">
        <v>3</v>
      </c>
      <c r="B6" s="459" t="s">
        <v>168</v>
      </c>
      <c r="C6" s="459" t="s">
        <v>300</v>
      </c>
      <c r="D6" s="459">
        <v>46030</v>
      </c>
      <c r="E6" s="460">
        <v>54.417999999999999</v>
      </c>
      <c r="F6" s="461" t="s">
        <v>38</v>
      </c>
      <c r="G6" s="459">
        <v>46035</v>
      </c>
      <c r="H6" s="462" t="s">
        <v>476</v>
      </c>
      <c r="I6" s="462" t="s">
        <v>1079</v>
      </c>
      <c r="J6" s="461"/>
      <c r="K6" s="461"/>
      <c r="L6" s="461"/>
      <c r="M6" s="461"/>
      <c r="N6" s="461"/>
      <c r="O6" s="461"/>
      <c r="P6" s="461"/>
    </row>
    <row r="7" spans="1:16" ht="25.15" customHeight="1">
      <c r="A7" s="458">
        <v>5</v>
      </c>
      <c r="B7" s="459" t="s">
        <v>382</v>
      </c>
      <c r="C7" s="459" t="s">
        <v>357</v>
      </c>
      <c r="D7" s="459">
        <v>46036</v>
      </c>
      <c r="E7" s="460">
        <v>39.457999999999998</v>
      </c>
      <c r="F7" s="461" t="s">
        <v>38</v>
      </c>
      <c r="G7" s="459">
        <v>46043</v>
      </c>
      <c r="H7" s="462" t="s">
        <v>476</v>
      </c>
      <c r="I7" s="462" t="s">
        <v>1079</v>
      </c>
      <c r="J7" s="461"/>
      <c r="K7" s="461"/>
      <c r="L7" s="461"/>
      <c r="M7" s="461"/>
      <c r="N7" s="461"/>
      <c r="O7" s="461"/>
      <c r="P7" s="461"/>
    </row>
    <row r="8" spans="1:16" ht="25.15" customHeight="1">
      <c r="A8" s="458">
        <v>4</v>
      </c>
      <c r="B8" s="459" t="s">
        <v>136</v>
      </c>
      <c r="C8" s="459" t="s">
        <v>391</v>
      </c>
      <c r="D8" s="459">
        <v>46035</v>
      </c>
      <c r="E8" s="467">
        <v>63.509</v>
      </c>
      <c r="F8" s="461" t="s">
        <v>38</v>
      </c>
      <c r="G8" s="459">
        <v>46047</v>
      </c>
      <c r="H8" s="464" t="s">
        <v>477</v>
      </c>
      <c r="I8" s="464"/>
      <c r="J8" s="461"/>
      <c r="K8" s="461"/>
      <c r="L8" s="461"/>
      <c r="M8" s="461"/>
      <c r="N8" s="461"/>
      <c r="O8" s="461"/>
      <c r="P8" s="461"/>
    </row>
    <row r="9" spans="1:16" ht="25.15" customHeight="1">
      <c r="A9" s="458">
        <v>7</v>
      </c>
      <c r="B9" s="463" t="s">
        <v>407</v>
      </c>
      <c r="C9" s="459" t="s">
        <v>350</v>
      </c>
      <c r="D9" s="459">
        <v>46040</v>
      </c>
      <c r="E9" s="467">
        <v>37.729999999999997</v>
      </c>
      <c r="F9" s="461" t="s">
        <v>38</v>
      </c>
      <c r="G9" s="459">
        <v>46050</v>
      </c>
      <c r="H9" s="464" t="s">
        <v>477</v>
      </c>
      <c r="I9" s="464"/>
      <c r="J9" s="461"/>
      <c r="K9" s="461"/>
      <c r="L9" s="461"/>
      <c r="M9" s="461"/>
      <c r="N9" s="461"/>
      <c r="O9" s="525"/>
      <c r="P9" s="461"/>
    </row>
    <row r="10" spans="1:16" ht="25.15" customHeight="1">
      <c r="A10" s="458">
        <v>6</v>
      </c>
      <c r="B10" s="463" t="s">
        <v>376</v>
      </c>
      <c r="C10" s="459" t="s">
        <v>357</v>
      </c>
      <c r="D10" s="459">
        <v>46038</v>
      </c>
      <c r="E10" s="460">
        <v>39.457999999999998</v>
      </c>
      <c r="F10" s="461" t="s">
        <v>38</v>
      </c>
      <c r="G10" s="459">
        <v>46051</v>
      </c>
      <c r="H10" s="468" t="s">
        <v>478</v>
      </c>
      <c r="I10" s="468"/>
      <c r="J10" s="463"/>
      <c r="K10" s="465"/>
      <c r="L10" s="465"/>
      <c r="M10" s="461" t="s">
        <v>38</v>
      </c>
      <c r="N10" s="525">
        <v>46090</v>
      </c>
      <c r="O10" s="525">
        <v>46090</v>
      </c>
      <c r="P10" s="465" t="s">
        <v>1077</v>
      </c>
    </row>
    <row r="11" spans="1:16" ht="25.15" customHeight="1">
      <c r="A11" s="458">
        <v>8</v>
      </c>
      <c r="B11" s="463" t="s">
        <v>388</v>
      </c>
      <c r="C11" s="459" t="s">
        <v>389</v>
      </c>
      <c r="D11" s="459">
        <v>46044</v>
      </c>
      <c r="E11" s="460">
        <v>65.757000000000005</v>
      </c>
      <c r="F11" s="461" t="s">
        <v>38</v>
      </c>
      <c r="G11" s="459">
        <v>46052</v>
      </c>
      <c r="H11" s="468" t="s">
        <v>476</v>
      </c>
      <c r="I11" s="462" t="s">
        <v>1079</v>
      </c>
      <c r="J11" s="461"/>
      <c r="K11" s="461"/>
      <c r="L11" s="461"/>
      <c r="M11" s="461" t="s">
        <v>38</v>
      </c>
      <c r="N11" s="525">
        <v>46091</v>
      </c>
      <c r="O11" s="525">
        <v>46091</v>
      </c>
      <c r="P11" s="465" t="s">
        <v>1077</v>
      </c>
    </row>
    <row r="12" spans="1:16" ht="25.15" customHeight="1">
      <c r="A12" s="458">
        <v>9</v>
      </c>
      <c r="B12" s="463" t="s">
        <v>178</v>
      </c>
      <c r="C12" s="459" t="s">
        <v>350</v>
      </c>
      <c r="D12" s="459">
        <v>46049</v>
      </c>
      <c r="E12" s="460">
        <v>37.729999999999997</v>
      </c>
      <c r="F12" s="461" t="s">
        <v>38</v>
      </c>
      <c r="G12" s="459">
        <v>46053</v>
      </c>
      <c r="H12" s="464" t="s">
        <v>477</v>
      </c>
      <c r="I12" s="464"/>
      <c r="J12" s="463"/>
      <c r="K12" s="465"/>
      <c r="L12" s="465"/>
      <c r="M12" s="465"/>
      <c r="N12" s="465"/>
      <c r="O12" s="461"/>
      <c r="P12" s="465"/>
    </row>
    <row r="13" spans="1:16" ht="25.15" customHeight="1">
      <c r="A13" s="458">
        <v>11</v>
      </c>
      <c r="B13" s="463" t="s">
        <v>372</v>
      </c>
      <c r="C13" s="459" t="s">
        <v>373</v>
      </c>
      <c r="D13" s="459">
        <v>46054</v>
      </c>
      <c r="E13" s="460">
        <v>64.254000000000005</v>
      </c>
      <c r="F13" s="461" t="s">
        <v>38</v>
      </c>
      <c r="G13" s="459">
        <v>46060</v>
      </c>
      <c r="H13" s="468" t="s">
        <v>476</v>
      </c>
      <c r="I13" s="462" t="s">
        <v>1079</v>
      </c>
      <c r="J13" s="461"/>
      <c r="K13" s="461"/>
      <c r="L13" s="461"/>
      <c r="M13" s="461"/>
      <c r="N13" s="461"/>
      <c r="O13" s="465"/>
      <c r="P13" s="461"/>
    </row>
    <row r="14" spans="1:16" ht="25.15" customHeight="1">
      <c r="A14" s="458">
        <v>10</v>
      </c>
      <c r="B14" s="463" t="s">
        <v>392</v>
      </c>
      <c r="C14" s="459" t="s">
        <v>393</v>
      </c>
      <c r="D14" s="459">
        <v>46052</v>
      </c>
      <c r="E14" s="460">
        <v>65.757000000000005</v>
      </c>
      <c r="F14" s="461" t="s">
        <v>38</v>
      </c>
      <c r="G14" s="459">
        <v>46064</v>
      </c>
      <c r="H14" s="468" t="s">
        <v>478</v>
      </c>
      <c r="I14" s="468"/>
      <c r="J14" s="463"/>
      <c r="K14" s="465"/>
      <c r="L14" s="465"/>
      <c r="M14" s="465"/>
      <c r="N14" s="465"/>
      <c r="O14" s="465"/>
      <c r="P14" s="465"/>
    </row>
    <row r="15" spans="1:16" ht="25.15" customHeight="1">
      <c r="A15" s="458">
        <v>12</v>
      </c>
      <c r="B15" s="463" t="s">
        <v>390</v>
      </c>
      <c r="C15" s="459" t="s">
        <v>350</v>
      </c>
      <c r="D15" s="459">
        <v>46061</v>
      </c>
      <c r="E15" s="460">
        <v>37.729999999999997</v>
      </c>
      <c r="F15" s="461" t="s">
        <v>38</v>
      </c>
      <c r="G15" s="459">
        <v>46066</v>
      </c>
      <c r="H15" s="468" t="s">
        <v>476</v>
      </c>
      <c r="I15" s="462" t="s">
        <v>1079</v>
      </c>
      <c r="J15" s="463"/>
      <c r="K15" s="465"/>
      <c r="L15" s="465"/>
      <c r="M15" s="465"/>
      <c r="N15" s="465"/>
      <c r="O15" s="525"/>
      <c r="P15" s="465"/>
    </row>
    <row r="16" spans="1:16" ht="25.15" customHeight="1">
      <c r="A16" s="458">
        <v>13</v>
      </c>
      <c r="B16" s="463" t="s">
        <v>180</v>
      </c>
      <c r="C16" s="459" t="s">
        <v>350</v>
      </c>
      <c r="D16" s="459">
        <v>46066</v>
      </c>
      <c r="E16" s="460">
        <v>37.729999999999997</v>
      </c>
      <c r="F16" s="461" t="s">
        <v>38</v>
      </c>
      <c r="G16" s="459">
        <v>46070</v>
      </c>
      <c r="H16" s="468" t="s">
        <v>476</v>
      </c>
      <c r="I16" s="462" t="s">
        <v>1079</v>
      </c>
      <c r="J16" s="463"/>
      <c r="K16" s="465"/>
      <c r="L16" s="465"/>
      <c r="M16" s="461" t="s">
        <v>38</v>
      </c>
      <c r="N16" s="525">
        <v>46155</v>
      </c>
      <c r="O16" s="525">
        <v>46155</v>
      </c>
      <c r="P16" s="465" t="s">
        <v>1077</v>
      </c>
    </row>
    <row r="17" spans="1:20" ht="25.15" customHeight="1">
      <c r="A17" s="458">
        <v>14</v>
      </c>
      <c r="B17" s="463" t="s">
        <v>400</v>
      </c>
      <c r="C17" s="459" t="s">
        <v>373</v>
      </c>
      <c r="D17" s="459">
        <v>46065</v>
      </c>
      <c r="E17" s="460">
        <v>64.254000000000005</v>
      </c>
      <c r="F17" s="461" t="s">
        <v>38</v>
      </c>
      <c r="G17" s="459">
        <v>46073</v>
      </c>
      <c r="H17" s="468" t="s">
        <v>478</v>
      </c>
      <c r="I17" s="468"/>
      <c r="J17" s="469"/>
      <c r="K17" s="461"/>
      <c r="L17" s="461"/>
      <c r="M17" s="461"/>
      <c r="N17" s="461"/>
      <c r="O17" s="461"/>
      <c r="P17" s="461"/>
    </row>
    <row r="18" spans="1:20" ht="25.15" customHeight="1">
      <c r="A18" s="458">
        <v>15</v>
      </c>
      <c r="B18" s="463" t="s">
        <v>385</v>
      </c>
      <c r="C18" s="459" t="s">
        <v>350</v>
      </c>
      <c r="D18" s="459">
        <v>46071</v>
      </c>
      <c r="E18" s="460">
        <v>37.729999999999997</v>
      </c>
      <c r="F18" s="461" t="s">
        <v>38</v>
      </c>
      <c r="G18" s="459">
        <v>46075</v>
      </c>
      <c r="H18" s="468" t="s">
        <v>476</v>
      </c>
      <c r="I18" s="462" t="s">
        <v>1079</v>
      </c>
      <c r="J18" s="463"/>
      <c r="K18" s="465"/>
      <c r="L18" s="465"/>
      <c r="M18" s="461" t="s">
        <v>38</v>
      </c>
      <c r="N18" s="525">
        <v>46155</v>
      </c>
      <c r="O18" s="525">
        <v>46155</v>
      </c>
      <c r="P18" s="465" t="s">
        <v>1077</v>
      </c>
    </row>
    <row r="19" spans="1:20" ht="25.15" customHeight="1">
      <c r="A19" s="458">
        <v>16</v>
      </c>
      <c r="B19" s="463" t="s">
        <v>423</v>
      </c>
      <c r="C19" s="459" t="s">
        <v>350</v>
      </c>
      <c r="D19" s="459">
        <v>46076</v>
      </c>
      <c r="E19" s="460">
        <v>37.729999999999997</v>
      </c>
      <c r="F19" s="461" t="s">
        <v>38</v>
      </c>
      <c r="G19" s="459">
        <v>46080</v>
      </c>
      <c r="H19" s="468" t="s">
        <v>476</v>
      </c>
      <c r="I19" s="462" t="s">
        <v>1079</v>
      </c>
      <c r="J19" s="463"/>
      <c r="K19" s="465"/>
      <c r="L19" s="465"/>
      <c r="M19" s="461" t="s">
        <v>38</v>
      </c>
      <c r="N19" s="525">
        <v>46157</v>
      </c>
      <c r="O19" s="525">
        <v>46157</v>
      </c>
      <c r="P19" s="465" t="s">
        <v>1077</v>
      </c>
    </row>
    <row r="20" spans="1:20" ht="25.15" customHeight="1">
      <c r="A20" s="458">
        <v>17</v>
      </c>
      <c r="B20" s="463" t="s">
        <v>403</v>
      </c>
      <c r="C20" s="459" t="s">
        <v>350</v>
      </c>
      <c r="D20" s="459">
        <v>46075</v>
      </c>
      <c r="E20" s="460">
        <v>37.729999999999997</v>
      </c>
      <c r="F20" s="461" t="s">
        <v>38</v>
      </c>
      <c r="G20" s="459">
        <v>46081</v>
      </c>
      <c r="H20" s="468" t="s">
        <v>478</v>
      </c>
      <c r="I20" s="468"/>
      <c r="J20" s="463"/>
      <c r="K20" s="465"/>
      <c r="L20" s="465"/>
      <c r="M20" s="465"/>
      <c r="N20" s="465"/>
      <c r="O20" s="465"/>
      <c r="P20" s="465"/>
    </row>
    <row r="21" spans="1:20" ht="25.15" customHeight="1">
      <c r="A21" s="458">
        <v>18</v>
      </c>
      <c r="B21" s="463" t="s">
        <v>371</v>
      </c>
      <c r="C21" s="459" t="s">
        <v>357</v>
      </c>
      <c r="D21" s="459">
        <v>46080</v>
      </c>
      <c r="E21" s="467">
        <v>39.457999999999998</v>
      </c>
      <c r="F21" s="461" t="s">
        <v>38</v>
      </c>
      <c r="G21" s="459">
        <v>46086</v>
      </c>
      <c r="H21" s="468" t="s">
        <v>476</v>
      </c>
      <c r="I21" s="462" t="s">
        <v>1079</v>
      </c>
      <c r="J21" s="463"/>
      <c r="K21" s="465"/>
      <c r="L21" s="465"/>
      <c r="M21" s="461" t="s">
        <v>38</v>
      </c>
      <c r="N21" s="525">
        <v>46155</v>
      </c>
      <c r="O21" s="525">
        <v>46155</v>
      </c>
      <c r="P21" s="465" t="s">
        <v>1077</v>
      </c>
    </row>
    <row r="22" spans="1:20" ht="25.15" customHeight="1">
      <c r="A22" s="458">
        <v>19</v>
      </c>
      <c r="B22" s="463" t="s">
        <v>397</v>
      </c>
      <c r="C22" s="459" t="s">
        <v>357</v>
      </c>
      <c r="D22" s="459">
        <v>46082</v>
      </c>
      <c r="E22" s="467">
        <v>39.457999999999998</v>
      </c>
      <c r="F22" s="461" t="s">
        <v>38</v>
      </c>
      <c r="G22" s="459">
        <v>46090</v>
      </c>
      <c r="H22" s="468" t="s">
        <v>478</v>
      </c>
      <c r="I22" s="468"/>
      <c r="J22" s="463"/>
      <c r="K22" s="465"/>
      <c r="L22" s="465"/>
      <c r="M22" s="465"/>
      <c r="N22" s="465"/>
      <c r="O22" s="465"/>
      <c r="P22" s="465"/>
    </row>
    <row r="23" spans="1:20" ht="25.15" customHeight="1">
      <c r="A23" s="458">
        <v>20</v>
      </c>
      <c r="B23" s="463" t="s">
        <v>177</v>
      </c>
      <c r="C23" s="459" t="s">
        <v>399</v>
      </c>
      <c r="D23" s="459">
        <v>46089</v>
      </c>
      <c r="E23" s="460">
        <v>44.726999999999997</v>
      </c>
      <c r="F23" s="461" t="s">
        <v>38</v>
      </c>
      <c r="G23" s="459">
        <v>46097</v>
      </c>
      <c r="H23" s="468" t="s">
        <v>476</v>
      </c>
      <c r="I23" s="462" t="s">
        <v>1079</v>
      </c>
      <c r="J23" s="463"/>
      <c r="K23" s="465"/>
      <c r="L23" s="465"/>
      <c r="M23" s="465"/>
      <c r="N23" s="465"/>
      <c r="O23" s="465"/>
      <c r="P23" s="465"/>
    </row>
    <row r="24" spans="1:20" ht="25.15" customHeight="1">
      <c r="A24" s="458">
        <v>21</v>
      </c>
      <c r="B24" s="463" t="s">
        <v>412</v>
      </c>
      <c r="C24" s="459" t="s">
        <v>350</v>
      </c>
      <c r="D24" s="459">
        <v>46091</v>
      </c>
      <c r="E24" s="460">
        <v>37.729999999999997</v>
      </c>
      <c r="F24" s="461" t="s">
        <v>38</v>
      </c>
      <c r="G24" s="459">
        <v>46098</v>
      </c>
      <c r="H24" s="468" t="s">
        <v>478</v>
      </c>
      <c r="I24" s="468"/>
      <c r="J24" s="463"/>
      <c r="K24" s="465"/>
      <c r="L24" s="465"/>
      <c r="M24" s="465"/>
      <c r="N24" s="465"/>
      <c r="O24" s="470"/>
      <c r="P24" s="465"/>
    </row>
    <row r="25" spans="1:20" ht="25.15" customHeight="1">
      <c r="A25" s="458">
        <v>22</v>
      </c>
      <c r="B25" s="463" t="s">
        <v>140</v>
      </c>
      <c r="C25" s="463" t="s">
        <v>302</v>
      </c>
      <c r="D25" s="459">
        <v>46097</v>
      </c>
      <c r="E25" s="460">
        <v>72.233999999999995</v>
      </c>
      <c r="F25" s="461" t="s">
        <v>38</v>
      </c>
      <c r="G25" s="459">
        <v>46105</v>
      </c>
      <c r="H25" s="468" t="s">
        <v>476</v>
      </c>
      <c r="I25" s="462" t="s">
        <v>1079</v>
      </c>
      <c r="J25" s="463"/>
      <c r="K25" s="465"/>
      <c r="L25" s="458"/>
      <c r="M25" s="463"/>
      <c r="N25" s="463"/>
      <c r="O25" s="465"/>
      <c r="P25" s="460"/>
      <c r="Q25" s="526"/>
      <c r="R25" s="527"/>
      <c r="S25" s="528"/>
      <c r="T25" s="113"/>
    </row>
    <row r="26" spans="1:20" ht="25.15" customHeight="1">
      <c r="A26" s="458">
        <v>23</v>
      </c>
      <c r="B26" s="463" t="s">
        <v>421</v>
      </c>
      <c r="C26" s="459" t="s">
        <v>399</v>
      </c>
      <c r="D26" s="459">
        <v>46098</v>
      </c>
      <c r="E26" s="460">
        <v>44.726999999999997</v>
      </c>
      <c r="F26" s="461" t="s">
        <v>38</v>
      </c>
      <c r="G26" s="459">
        <v>46107</v>
      </c>
      <c r="H26" s="468" t="s">
        <v>478</v>
      </c>
      <c r="I26" s="468"/>
      <c r="J26" s="463"/>
      <c r="K26" s="465"/>
      <c r="L26" s="465"/>
      <c r="M26" s="465"/>
      <c r="N26" s="465"/>
      <c r="O26" s="465"/>
      <c r="P26" s="465"/>
    </row>
    <row r="27" spans="1:20" ht="25.15" customHeight="1">
      <c r="A27" s="458">
        <v>24</v>
      </c>
      <c r="B27" s="463" t="s">
        <v>411</v>
      </c>
      <c r="C27" s="459" t="s">
        <v>300</v>
      </c>
      <c r="D27" s="459">
        <v>46105</v>
      </c>
      <c r="E27" s="460">
        <v>54.417999999999999</v>
      </c>
      <c r="F27" s="461" t="s">
        <v>38</v>
      </c>
      <c r="G27" s="459">
        <v>46111</v>
      </c>
      <c r="H27" s="468" t="s">
        <v>476</v>
      </c>
      <c r="I27" s="462" t="s">
        <v>1079</v>
      </c>
      <c r="J27" s="463"/>
      <c r="K27" s="465"/>
      <c r="L27" s="463"/>
      <c r="M27" s="461" t="s">
        <v>38</v>
      </c>
      <c r="N27" s="525">
        <v>46161</v>
      </c>
      <c r="O27" s="525">
        <v>46161</v>
      </c>
      <c r="P27" s="465" t="s">
        <v>1077</v>
      </c>
      <c r="Q27" s="529"/>
      <c r="R27" s="113"/>
      <c r="S27" s="529"/>
      <c r="T27" s="113"/>
    </row>
    <row r="28" spans="1:20" ht="25.15" customHeight="1">
      <c r="A28" s="458">
        <v>25</v>
      </c>
      <c r="B28" s="463" t="s">
        <v>408</v>
      </c>
      <c r="C28" s="459" t="s">
        <v>350</v>
      </c>
      <c r="D28" s="459">
        <v>46107</v>
      </c>
      <c r="E28" s="460">
        <v>37.729999999999997</v>
      </c>
      <c r="F28" s="461" t="s">
        <v>38</v>
      </c>
      <c r="G28" s="459">
        <v>46112</v>
      </c>
      <c r="H28" s="468" t="s">
        <v>478</v>
      </c>
      <c r="I28" s="468"/>
      <c r="J28" s="463"/>
      <c r="K28" s="465"/>
      <c r="L28" s="465"/>
      <c r="M28" s="465"/>
      <c r="N28" s="465"/>
      <c r="O28" s="525"/>
      <c r="P28" s="465"/>
    </row>
    <row r="29" spans="1:20" ht="25.15" customHeight="1">
      <c r="A29" s="458">
        <v>26</v>
      </c>
      <c r="B29" s="463" t="s">
        <v>419</v>
      </c>
      <c r="C29" s="459" t="s">
        <v>302</v>
      </c>
      <c r="D29" s="459">
        <v>46114</v>
      </c>
      <c r="E29" s="461">
        <v>72.233999999999995</v>
      </c>
      <c r="F29" s="461" t="s">
        <v>38</v>
      </c>
      <c r="G29" s="459">
        <v>46121</v>
      </c>
      <c r="H29" s="464" t="s">
        <v>476</v>
      </c>
      <c r="I29" s="462" t="s">
        <v>1079</v>
      </c>
      <c r="J29" s="463"/>
      <c r="K29" s="465"/>
      <c r="L29" s="465"/>
      <c r="M29" s="461" t="s">
        <v>38</v>
      </c>
      <c r="N29" s="525">
        <v>46158</v>
      </c>
      <c r="O29" s="525">
        <v>46158</v>
      </c>
      <c r="P29" s="465" t="s">
        <v>1077</v>
      </c>
    </row>
    <row r="30" spans="1:20" ht="25.15" customHeight="1">
      <c r="A30" s="458">
        <v>27</v>
      </c>
      <c r="B30" s="463" t="s">
        <v>405</v>
      </c>
      <c r="C30" s="463" t="s">
        <v>350</v>
      </c>
      <c r="D30" s="459">
        <v>46121</v>
      </c>
      <c r="E30" s="460">
        <v>37.795999999999999</v>
      </c>
      <c r="F30" s="461" t="s">
        <v>38</v>
      </c>
      <c r="G30" s="459">
        <v>46127</v>
      </c>
      <c r="H30" s="464" t="s">
        <v>476</v>
      </c>
      <c r="I30" s="462" t="s">
        <v>1079</v>
      </c>
      <c r="J30" s="463"/>
      <c r="K30" s="465"/>
      <c r="L30" s="465"/>
      <c r="M30" s="461" t="s">
        <v>38</v>
      </c>
      <c r="N30" s="525">
        <v>46159</v>
      </c>
      <c r="O30" s="525">
        <v>46159</v>
      </c>
      <c r="P30" s="465" t="s">
        <v>1077</v>
      </c>
    </row>
    <row r="31" spans="1:20" ht="25.15" customHeight="1">
      <c r="A31" s="458">
        <v>28</v>
      </c>
      <c r="B31" s="463" t="s">
        <v>430</v>
      </c>
      <c r="C31" s="463" t="s">
        <v>350</v>
      </c>
      <c r="D31" s="459">
        <v>46127</v>
      </c>
      <c r="E31" s="460">
        <v>37.795999999999999</v>
      </c>
      <c r="F31" s="461" t="s">
        <v>38</v>
      </c>
      <c r="G31" s="459">
        <v>46133</v>
      </c>
      <c r="H31" s="464" t="s">
        <v>476</v>
      </c>
      <c r="I31" s="462" t="s">
        <v>1079</v>
      </c>
      <c r="J31" s="463"/>
      <c r="K31" s="465"/>
      <c r="L31" s="465"/>
      <c r="M31" s="461" t="s">
        <v>38</v>
      </c>
      <c r="N31" s="525">
        <v>46160</v>
      </c>
      <c r="O31" s="525">
        <v>46160</v>
      </c>
      <c r="P31" s="465" t="s">
        <v>1077</v>
      </c>
    </row>
    <row r="32" spans="1:20" ht="25.15" customHeight="1">
      <c r="A32" s="458">
        <v>29</v>
      </c>
      <c r="B32" s="463" t="s">
        <v>406</v>
      </c>
      <c r="C32" s="463" t="s">
        <v>350</v>
      </c>
      <c r="D32" s="459">
        <v>46134</v>
      </c>
      <c r="E32" s="460">
        <v>37.795999999999999</v>
      </c>
      <c r="F32" s="461" t="s">
        <v>38</v>
      </c>
      <c r="G32" s="459">
        <v>46141</v>
      </c>
      <c r="H32" s="468" t="s">
        <v>476</v>
      </c>
      <c r="I32" s="462" t="s">
        <v>1079</v>
      </c>
      <c r="J32" s="463"/>
      <c r="K32" s="465"/>
      <c r="L32" s="465"/>
      <c r="M32" s="461" t="s">
        <v>38</v>
      </c>
      <c r="N32" s="525">
        <v>46160</v>
      </c>
      <c r="O32" s="525">
        <v>46160</v>
      </c>
      <c r="P32" s="465" t="s">
        <v>1077</v>
      </c>
    </row>
    <row r="33" spans="1:16" s="475" customFormat="1" ht="25.15" customHeight="1">
      <c r="A33" s="458">
        <v>30</v>
      </c>
      <c r="B33" s="463" t="s">
        <v>404</v>
      </c>
      <c r="C33" s="463" t="s">
        <v>350</v>
      </c>
      <c r="D33" s="459">
        <v>46142</v>
      </c>
      <c r="E33" s="460">
        <v>37.795999999999999</v>
      </c>
      <c r="F33" s="461" t="s">
        <v>38</v>
      </c>
      <c r="G33" s="459">
        <v>46148</v>
      </c>
      <c r="H33" s="468" t="s">
        <v>476</v>
      </c>
      <c r="I33" s="468" t="s">
        <v>1079</v>
      </c>
      <c r="J33" s="463"/>
      <c r="K33" s="465"/>
      <c r="L33" s="465"/>
      <c r="M33" s="461" t="s">
        <v>38</v>
      </c>
      <c r="N33" s="525">
        <v>46163</v>
      </c>
      <c r="O33" s="525">
        <v>46163</v>
      </c>
      <c r="P33" s="465" t="s">
        <v>1077</v>
      </c>
    </row>
    <row r="34" spans="1:16" s="475" customFormat="1" ht="25.15" customHeight="1">
      <c r="A34" s="458">
        <v>31</v>
      </c>
      <c r="B34" s="463" t="s">
        <v>383</v>
      </c>
      <c r="C34" s="463" t="s">
        <v>350</v>
      </c>
      <c r="D34" s="459">
        <v>46145</v>
      </c>
      <c r="E34" s="460">
        <v>37.795999999999999</v>
      </c>
      <c r="F34" s="461" t="s">
        <v>38</v>
      </c>
      <c r="G34" s="459">
        <v>46149</v>
      </c>
      <c r="H34" s="468" t="s">
        <v>479</v>
      </c>
      <c r="I34" s="468"/>
      <c r="J34" s="463"/>
      <c r="K34" s="465"/>
      <c r="L34" s="465"/>
      <c r="M34" s="465"/>
      <c r="N34" s="465"/>
      <c r="O34" s="465"/>
      <c r="P34" s="465"/>
    </row>
    <row r="35" spans="1:16" s="475" customFormat="1" ht="25.15" customHeight="1">
      <c r="A35" s="458">
        <v>32</v>
      </c>
      <c r="B35" s="463" t="s">
        <v>422</v>
      </c>
      <c r="C35" s="463" t="s">
        <v>350</v>
      </c>
      <c r="D35" s="459">
        <v>46149</v>
      </c>
      <c r="E35" s="460">
        <v>37.795999999999999</v>
      </c>
      <c r="F35" s="461" t="s">
        <v>38</v>
      </c>
      <c r="G35" s="459">
        <v>46155</v>
      </c>
      <c r="H35" s="468" t="s">
        <v>476</v>
      </c>
      <c r="I35" s="462" t="s">
        <v>1079</v>
      </c>
      <c r="J35" s="463"/>
      <c r="K35" s="465"/>
      <c r="L35" s="465"/>
      <c r="M35" s="461" t="s">
        <v>38</v>
      </c>
      <c r="N35" s="525">
        <v>46162</v>
      </c>
      <c r="O35" s="525">
        <v>46162</v>
      </c>
      <c r="P35" s="465" t="s">
        <v>1077</v>
      </c>
    </row>
    <row r="36" spans="1:16" s="475" customFormat="1" ht="25.15" customHeight="1">
      <c r="A36" s="458">
        <v>33</v>
      </c>
      <c r="B36" s="463" t="s">
        <v>386</v>
      </c>
      <c r="C36" s="463" t="s">
        <v>350</v>
      </c>
      <c r="D36" s="459">
        <v>46150</v>
      </c>
      <c r="E36" s="460">
        <v>37.795999999999999</v>
      </c>
      <c r="F36" s="461" t="s">
        <v>38</v>
      </c>
      <c r="G36" s="459">
        <v>46154</v>
      </c>
      <c r="H36" s="468" t="s">
        <v>479</v>
      </c>
      <c r="I36" s="468"/>
      <c r="J36" s="463" t="s">
        <v>67</v>
      </c>
      <c r="K36" s="465"/>
      <c r="L36" s="465"/>
      <c r="M36" s="465"/>
      <c r="N36" s="465"/>
      <c r="O36" s="465"/>
      <c r="P36" s="465"/>
    </row>
    <row r="37" spans="1:16" s="475" customFormat="1" ht="25.15" customHeight="1">
      <c r="A37" s="458">
        <v>34</v>
      </c>
      <c r="B37" s="463" t="s">
        <v>387</v>
      </c>
      <c r="C37" s="463" t="s">
        <v>350</v>
      </c>
      <c r="D37" s="459">
        <v>46155</v>
      </c>
      <c r="E37" s="460">
        <v>37.795999999999999</v>
      </c>
      <c r="F37" s="461" t="s">
        <v>38</v>
      </c>
      <c r="G37" s="459">
        <v>46159</v>
      </c>
      <c r="H37" s="468" t="s">
        <v>479</v>
      </c>
      <c r="I37" s="468"/>
      <c r="J37" s="463"/>
      <c r="K37" s="465"/>
      <c r="L37" s="465"/>
      <c r="M37" s="465"/>
      <c r="N37" s="465"/>
      <c r="O37" s="465"/>
      <c r="P37" s="465"/>
    </row>
    <row r="38" spans="1:16" s="475" customFormat="1" ht="25.15" customHeight="1">
      <c r="A38" s="458">
        <v>35</v>
      </c>
      <c r="B38" s="463" t="s">
        <v>417</v>
      </c>
      <c r="C38" s="463" t="s">
        <v>396</v>
      </c>
      <c r="D38" s="459">
        <v>46156</v>
      </c>
      <c r="E38" s="460">
        <v>36.043999999999997</v>
      </c>
      <c r="F38" s="461" t="s">
        <v>38</v>
      </c>
      <c r="G38" s="459">
        <v>46160</v>
      </c>
      <c r="H38" s="468" t="s">
        <v>476</v>
      </c>
      <c r="I38" s="462" t="s">
        <v>1079</v>
      </c>
      <c r="J38" s="463"/>
      <c r="K38" s="465"/>
      <c r="L38" s="465"/>
      <c r="M38" s="465"/>
      <c r="N38" s="465"/>
      <c r="O38" s="465"/>
      <c r="P38" s="465"/>
    </row>
    <row r="39" spans="1:16" s="475" customFormat="1" ht="25.15" customHeight="1">
      <c r="A39" s="458">
        <v>36</v>
      </c>
      <c r="B39" s="463" t="s">
        <v>139</v>
      </c>
      <c r="C39" s="463" t="s">
        <v>357</v>
      </c>
      <c r="D39" s="459">
        <v>46151</v>
      </c>
      <c r="E39" s="460">
        <v>39.457999999999998</v>
      </c>
      <c r="F39" s="461" t="s">
        <v>38</v>
      </c>
      <c r="G39" s="459">
        <v>46163</v>
      </c>
      <c r="H39" s="468" t="s">
        <v>478</v>
      </c>
      <c r="I39" s="468"/>
      <c r="J39" s="463" t="s">
        <v>67</v>
      </c>
      <c r="K39" s="465"/>
      <c r="L39" s="465"/>
      <c r="M39" s="465"/>
      <c r="N39" s="465"/>
      <c r="O39" s="465"/>
      <c r="P39" s="465"/>
    </row>
    <row r="40" spans="1:16" s="475" customFormat="1" ht="30.75" customHeight="1">
      <c r="A40" s="458">
        <v>37</v>
      </c>
      <c r="B40" s="463" t="s">
        <v>410</v>
      </c>
      <c r="C40" s="463" t="s">
        <v>396</v>
      </c>
      <c r="D40" s="459">
        <v>46160</v>
      </c>
      <c r="E40" s="460">
        <v>36.043999999999997</v>
      </c>
      <c r="F40" s="461" t="s">
        <v>38</v>
      </c>
      <c r="G40" s="459">
        <v>46164</v>
      </c>
      <c r="H40" s="468" t="s">
        <v>476</v>
      </c>
      <c r="I40" s="462" t="s">
        <v>1079</v>
      </c>
      <c r="J40" s="463" t="s">
        <v>67</v>
      </c>
      <c r="K40" s="465"/>
      <c r="L40" s="465"/>
      <c r="M40" s="465"/>
      <c r="N40" s="465"/>
      <c r="O40" s="465"/>
      <c r="P40" s="465"/>
    </row>
    <row r="41" spans="1:16" ht="30.75" customHeight="1">
      <c r="A41" s="458">
        <v>38</v>
      </c>
      <c r="B41" s="463" t="s">
        <v>425</v>
      </c>
      <c r="C41" s="463" t="s">
        <v>330</v>
      </c>
      <c r="D41" s="459">
        <v>46161</v>
      </c>
      <c r="E41" s="460">
        <v>64.254000000000005</v>
      </c>
      <c r="F41" s="461" t="s">
        <v>38</v>
      </c>
      <c r="G41" s="459">
        <v>46167</v>
      </c>
      <c r="H41" s="468" t="s">
        <v>479</v>
      </c>
      <c r="I41" s="468"/>
      <c r="J41" s="463" t="s">
        <v>67</v>
      </c>
      <c r="K41" s="465"/>
      <c r="L41" s="465"/>
      <c r="M41" s="465"/>
      <c r="N41" s="465"/>
      <c r="O41" s="465"/>
      <c r="P41" s="465"/>
    </row>
    <row r="42" spans="1:16" ht="30.75" customHeight="1">
      <c r="A42" s="458">
        <v>39</v>
      </c>
      <c r="B42" s="463" t="s">
        <v>418</v>
      </c>
      <c r="C42" s="463" t="s">
        <v>300</v>
      </c>
      <c r="D42" s="459">
        <v>46165</v>
      </c>
      <c r="E42" s="460">
        <v>54.417999999999999</v>
      </c>
      <c r="F42" s="461" t="s">
        <v>38</v>
      </c>
      <c r="G42" s="459">
        <v>46170</v>
      </c>
      <c r="H42" s="468" t="s">
        <v>476</v>
      </c>
      <c r="I42" s="468"/>
      <c r="J42" s="463" t="s">
        <v>67</v>
      </c>
      <c r="K42" s="465"/>
      <c r="L42" s="465"/>
      <c r="M42" s="465"/>
      <c r="N42" s="465"/>
      <c r="O42" s="465"/>
      <c r="P42" s="465"/>
    </row>
    <row r="43" spans="1:16" ht="30.75" customHeight="1">
      <c r="A43" s="458">
        <v>40</v>
      </c>
      <c r="B43" s="463" t="s">
        <v>364</v>
      </c>
      <c r="C43" s="463" t="s">
        <v>350</v>
      </c>
      <c r="D43" s="459">
        <v>46164</v>
      </c>
      <c r="E43" s="460">
        <v>37.795999999999999</v>
      </c>
      <c r="F43" s="461" t="s">
        <v>38</v>
      </c>
      <c r="G43" s="459">
        <v>46172</v>
      </c>
      <c r="H43" s="468" t="s">
        <v>478</v>
      </c>
      <c r="I43" s="468"/>
      <c r="J43" s="463" t="s">
        <v>67</v>
      </c>
      <c r="K43" s="465"/>
      <c r="L43" s="465"/>
      <c r="M43" s="465"/>
      <c r="N43" s="465"/>
      <c r="O43" s="465"/>
      <c r="P43" s="465"/>
    </row>
    <row r="44" spans="1:16" ht="30.75" customHeight="1">
      <c r="A44" s="458">
        <v>41</v>
      </c>
      <c r="B44" s="463" t="s">
        <v>370</v>
      </c>
      <c r="C44" s="463" t="s">
        <v>298</v>
      </c>
      <c r="D44" s="459">
        <v>46170</v>
      </c>
      <c r="E44" s="460">
        <v>80.254999999999995</v>
      </c>
      <c r="F44" s="461" t="s">
        <v>38</v>
      </c>
      <c r="G44" s="459">
        <v>46177</v>
      </c>
      <c r="H44" s="468" t="s">
        <v>479</v>
      </c>
      <c r="I44" s="468"/>
      <c r="J44" s="463" t="s">
        <v>67</v>
      </c>
      <c r="K44" s="465"/>
      <c r="L44" s="465"/>
      <c r="M44" s="465"/>
      <c r="N44" s="465"/>
      <c r="O44" s="465"/>
      <c r="P44" s="465"/>
    </row>
    <row r="45" spans="1:16" ht="30.75" customHeight="1">
      <c r="A45" s="458">
        <v>42</v>
      </c>
      <c r="B45" s="463" t="s">
        <v>374</v>
      </c>
      <c r="C45" s="463" t="s">
        <v>335</v>
      </c>
      <c r="D45" s="459">
        <v>46171</v>
      </c>
      <c r="E45" s="460">
        <v>54.417999999999999</v>
      </c>
      <c r="F45" s="461" t="s">
        <v>38</v>
      </c>
      <c r="G45" s="459">
        <v>46177</v>
      </c>
      <c r="H45" s="468" t="s">
        <v>476</v>
      </c>
      <c r="I45" s="468"/>
      <c r="J45" s="463" t="s">
        <v>67</v>
      </c>
      <c r="K45" s="465"/>
      <c r="L45" s="465"/>
      <c r="M45" s="465"/>
      <c r="N45" s="465"/>
      <c r="O45" s="465"/>
      <c r="P45" s="465"/>
    </row>
    <row r="46" spans="1:16" ht="30.75" customHeight="1">
      <c r="A46" s="458">
        <v>43</v>
      </c>
      <c r="B46" s="463" t="s">
        <v>137</v>
      </c>
      <c r="C46" s="463" t="s">
        <v>350</v>
      </c>
      <c r="D46" s="459">
        <v>46173</v>
      </c>
      <c r="E46" s="460">
        <v>37.795999999999999</v>
      </c>
      <c r="F46" s="461" t="s">
        <v>38</v>
      </c>
      <c r="G46" s="459">
        <v>46181</v>
      </c>
      <c r="H46" s="468" t="s">
        <v>478</v>
      </c>
      <c r="I46" s="468"/>
      <c r="J46" s="463" t="s">
        <v>67</v>
      </c>
      <c r="K46" s="465"/>
      <c r="L46" s="465"/>
      <c r="M46" s="465"/>
      <c r="N46" s="465"/>
      <c r="O46" s="465"/>
      <c r="P46" s="465"/>
    </row>
    <row r="47" spans="1:16" ht="30.75" customHeight="1">
      <c r="A47" s="458">
        <v>44</v>
      </c>
      <c r="B47" s="463" t="s">
        <v>377</v>
      </c>
      <c r="C47" s="463" t="s">
        <v>350</v>
      </c>
      <c r="D47" s="459">
        <v>46178</v>
      </c>
      <c r="E47" s="460">
        <v>37.795999999999999</v>
      </c>
      <c r="F47" s="461" t="s">
        <v>38</v>
      </c>
      <c r="G47" s="459">
        <v>46182</v>
      </c>
      <c r="H47" s="468" t="s">
        <v>476</v>
      </c>
      <c r="I47" s="468"/>
      <c r="J47" s="463">
        <v>33</v>
      </c>
      <c r="K47" s="465"/>
      <c r="L47" s="465"/>
      <c r="M47" s="465"/>
      <c r="N47" s="465"/>
      <c r="O47" s="465"/>
      <c r="P47" s="465"/>
    </row>
    <row r="48" spans="1:16" ht="30.75" customHeight="1">
      <c r="A48" s="458">
        <v>45</v>
      </c>
      <c r="B48" s="463" t="s">
        <v>369</v>
      </c>
      <c r="C48" s="463" t="s">
        <v>298</v>
      </c>
      <c r="D48" s="459">
        <v>46178</v>
      </c>
      <c r="E48" s="460">
        <v>80.254999999999995</v>
      </c>
      <c r="F48" s="461" t="s">
        <v>38</v>
      </c>
      <c r="G48" s="459">
        <v>46186</v>
      </c>
      <c r="H48" s="468" t="s">
        <v>479</v>
      </c>
      <c r="I48" s="468"/>
      <c r="J48" s="463">
        <v>30</v>
      </c>
      <c r="K48" s="465"/>
      <c r="L48" s="465"/>
      <c r="M48" s="465"/>
      <c r="N48" s="465"/>
      <c r="O48" s="465"/>
      <c r="P48" s="465"/>
    </row>
    <row r="49" spans="1:16" s="571" customFormat="1" ht="34.5" customHeight="1">
      <c r="A49" s="469">
        <v>46</v>
      </c>
      <c r="B49" s="461" t="s">
        <v>367</v>
      </c>
      <c r="C49" s="461" t="s">
        <v>350</v>
      </c>
      <c r="D49" s="470">
        <v>46199</v>
      </c>
      <c r="E49" s="460">
        <v>37.795999999999999</v>
      </c>
      <c r="F49" s="570" t="s">
        <v>1142</v>
      </c>
      <c r="G49" s="459">
        <v>46206</v>
      </c>
      <c r="H49" s="465" t="s">
        <v>1120</v>
      </c>
      <c r="I49" s="465"/>
      <c r="J49" s="463">
        <v>30</v>
      </c>
      <c r="K49" s="465"/>
      <c r="L49" s="465"/>
      <c r="M49" s="465"/>
      <c r="N49" s="465"/>
      <c r="O49" s="465"/>
      <c r="P49" s="465"/>
    </row>
    <row r="50" spans="1:16" s="475" customFormat="1" ht="46.5" customHeight="1">
      <c r="A50" s="478">
        <v>47</v>
      </c>
      <c r="B50" s="471" t="s">
        <v>359</v>
      </c>
      <c r="C50" s="471" t="s">
        <v>350</v>
      </c>
      <c r="D50" s="479">
        <v>46203</v>
      </c>
      <c r="E50" s="474">
        <v>37.795999999999999</v>
      </c>
      <c r="F50" s="569" t="s">
        <v>1185</v>
      </c>
      <c r="G50" s="250"/>
      <c r="H50" s="473" t="s">
        <v>1126</v>
      </c>
      <c r="I50" s="473"/>
      <c r="J50" s="472">
        <v>35</v>
      </c>
      <c r="K50" s="473"/>
      <c r="L50" s="473"/>
      <c r="M50" s="473"/>
      <c r="N50" s="473"/>
      <c r="O50" s="473"/>
      <c r="P50" s="473"/>
    </row>
    <row r="51" spans="1:16" s="475" customFormat="1" ht="36.75" customHeight="1">
      <c r="A51" s="478">
        <v>48</v>
      </c>
      <c r="B51" s="471" t="s">
        <v>395</v>
      </c>
      <c r="C51" s="471" t="s">
        <v>396</v>
      </c>
      <c r="D51" s="479">
        <v>46207</v>
      </c>
      <c r="E51" s="474">
        <v>36.045000000000002</v>
      </c>
      <c r="F51" s="569" t="s">
        <v>1185</v>
      </c>
      <c r="G51" s="250"/>
      <c r="H51" s="473" t="s">
        <v>1120</v>
      </c>
      <c r="I51" s="473"/>
      <c r="J51" s="472">
        <v>30</v>
      </c>
      <c r="K51" s="473"/>
      <c r="L51" s="473"/>
      <c r="M51" s="473"/>
      <c r="N51" s="473"/>
      <c r="O51" s="473"/>
      <c r="P51" s="473"/>
    </row>
    <row r="52" spans="1:16" s="475" customFormat="1" ht="25.15" customHeight="1">
      <c r="A52" s="478"/>
      <c r="B52" s="471"/>
      <c r="C52" s="471"/>
      <c r="D52" s="479"/>
      <c r="E52" s="477"/>
      <c r="F52" s="480"/>
      <c r="G52" s="250"/>
      <c r="H52" s="473"/>
      <c r="I52" s="473"/>
      <c r="J52" s="472"/>
      <c r="K52" s="473"/>
      <c r="L52" s="473"/>
      <c r="M52" s="473"/>
      <c r="N52" s="473"/>
      <c r="O52" s="473"/>
      <c r="P52" s="473"/>
    </row>
    <row r="53" spans="1:16" s="475" customFormat="1" ht="25.15" customHeight="1">
      <c r="A53" s="478"/>
      <c r="B53" s="471"/>
      <c r="C53" s="471"/>
      <c r="D53" s="479"/>
      <c r="E53" s="477"/>
      <c r="F53" s="480"/>
      <c r="G53" s="250"/>
      <c r="H53" s="473"/>
      <c r="I53" s="473"/>
      <c r="J53" s="472"/>
      <c r="K53" s="473"/>
      <c r="L53" s="483"/>
      <c r="M53" s="473"/>
      <c r="N53" s="473"/>
      <c r="O53" s="473"/>
      <c r="P53" s="473"/>
    </row>
    <row r="54" spans="1:16" s="475" customFormat="1" ht="25.15" customHeight="1">
      <c r="A54" s="478"/>
      <c r="B54" s="471"/>
      <c r="C54" s="471"/>
      <c r="D54" s="479"/>
      <c r="E54" s="471"/>
      <c r="F54" s="480"/>
      <c r="G54" s="250"/>
      <c r="H54" s="476"/>
      <c r="I54" s="476"/>
      <c r="J54" s="472"/>
      <c r="K54" s="473"/>
      <c r="L54" s="473"/>
      <c r="M54" s="473"/>
      <c r="N54" s="473"/>
      <c r="O54" s="473"/>
      <c r="P54" s="473"/>
    </row>
    <row r="55" spans="1:16" s="475" customFormat="1" ht="25.15" customHeight="1">
      <c r="A55" s="478"/>
      <c r="B55" s="471"/>
      <c r="C55" s="471"/>
      <c r="D55" s="479"/>
      <c r="E55" s="471"/>
      <c r="F55" s="480"/>
      <c r="G55" s="250"/>
      <c r="H55" s="476"/>
      <c r="I55" s="476"/>
      <c r="J55" s="472"/>
      <c r="K55" s="473"/>
      <c r="L55" s="473"/>
      <c r="M55" s="473"/>
      <c r="N55" s="473"/>
      <c r="O55" s="473"/>
      <c r="P55" s="473"/>
    </row>
    <row r="56" spans="1:16" s="475" customFormat="1" ht="25.15" customHeight="1">
      <c r="A56" s="478"/>
      <c r="B56" s="471"/>
      <c r="C56" s="471"/>
      <c r="D56" s="479"/>
      <c r="E56" s="471"/>
      <c r="F56" s="480"/>
      <c r="G56" s="250"/>
      <c r="H56" s="476"/>
      <c r="I56" s="476"/>
      <c r="J56" s="472"/>
      <c r="K56" s="473"/>
      <c r="L56" s="473"/>
      <c r="M56" s="473"/>
      <c r="N56" s="473"/>
      <c r="O56" s="473"/>
      <c r="P56" s="473"/>
    </row>
    <row r="57" spans="1:16" s="475" customFormat="1" ht="25.15" customHeight="1">
      <c r="A57" s="478"/>
      <c r="B57" s="471"/>
      <c r="C57" s="471"/>
      <c r="D57" s="479"/>
      <c r="E57" s="474"/>
      <c r="F57" s="480"/>
      <c r="G57" s="250"/>
      <c r="H57" s="476"/>
      <c r="I57" s="476"/>
      <c r="J57" s="472"/>
      <c r="K57" s="473"/>
      <c r="L57" s="473"/>
      <c r="M57" s="473"/>
      <c r="N57" s="473"/>
      <c r="O57" s="473"/>
      <c r="P57" s="473"/>
    </row>
    <row r="58" spans="1:16" s="475" customFormat="1" ht="25.15" customHeight="1">
      <c r="A58" s="478"/>
      <c r="B58" s="471"/>
      <c r="C58" s="471"/>
      <c r="D58" s="479"/>
      <c r="E58" s="477"/>
      <c r="F58" s="480"/>
      <c r="G58" s="250"/>
      <c r="H58" s="476"/>
      <c r="I58" s="476"/>
      <c r="J58" s="472"/>
      <c r="K58" s="473"/>
      <c r="L58" s="473"/>
      <c r="M58" s="473"/>
      <c r="N58" s="473"/>
      <c r="O58" s="473"/>
      <c r="P58" s="473"/>
    </row>
    <row r="59" spans="1:16" s="475" customFormat="1" ht="25.15" customHeight="1">
      <c r="A59" s="478"/>
      <c r="B59" s="471"/>
      <c r="C59" s="471"/>
      <c r="D59" s="479"/>
      <c r="E59" s="482"/>
      <c r="F59" s="480"/>
      <c r="G59" s="250"/>
      <c r="H59" s="476"/>
      <c r="I59" s="476"/>
      <c r="J59" s="472"/>
      <c r="K59" s="473"/>
      <c r="L59" s="473"/>
      <c r="M59" s="473"/>
      <c r="N59" s="473"/>
      <c r="O59" s="473"/>
      <c r="P59" s="473"/>
    </row>
    <row r="60" spans="1:16" s="475" customFormat="1" ht="25.15" customHeight="1">
      <c r="A60" s="478"/>
      <c r="B60" s="471"/>
      <c r="C60" s="471"/>
      <c r="D60" s="479"/>
      <c r="E60" s="482"/>
      <c r="F60" s="480"/>
      <c r="G60" s="250"/>
      <c r="H60" s="476"/>
      <c r="I60" s="476"/>
      <c r="J60" s="472"/>
      <c r="K60" s="473"/>
      <c r="L60" s="473"/>
      <c r="M60" s="473"/>
      <c r="N60" s="473"/>
      <c r="O60" s="473"/>
      <c r="P60" s="473"/>
    </row>
    <row r="61" spans="1:16" s="475" customFormat="1" ht="25.15" customHeight="1">
      <c r="A61" s="478"/>
      <c r="B61" s="471"/>
      <c r="C61" s="471"/>
      <c r="D61" s="479"/>
      <c r="E61" s="474"/>
      <c r="F61" s="480"/>
      <c r="G61" s="250"/>
      <c r="H61" s="476"/>
      <c r="I61" s="476"/>
      <c r="J61" s="472"/>
      <c r="K61" s="473"/>
      <c r="L61" s="473"/>
      <c r="M61" s="473"/>
      <c r="N61" s="473"/>
      <c r="O61" s="473"/>
      <c r="P61" s="473"/>
    </row>
    <row r="62" spans="1:16" s="475" customFormat="1" ht="25.15" customHeight="1">
      <c r="A62" s="478"/>
      <c r="B62" s="471"/>
      <c r="C62" s="471"/>
      <c r="D62" s="479"/>
      <c r="E62" s="474"/>
      <c r="F62" s="480"/>
      <c r="G62" s="250"/>
      <c r="H62" s="476"/>
      <c r="I62" s="476"/>
      <c r="J62" s="472"/>
      <c r="K62" s="473"/>
      <c r="L62" s="473"/>
      <c r="M62" s="473"/>
      <c r="N62" s="473"/>
      <c r="O62" s="473"/>
      <c r="P62" s="473"/>
    </row>
    <row r="63" spans="1:16" s="475" customFormat="1" ht="25.15" customHeight="1">
      <c r="A63" s="478"/>
      <c r="B63" s="471"/>
      <c r="C63" s="471"/>
      <c r="D63" s="479"/>
      <c r="E63" s="471"/>
      <c r="F63" s="480"/>
      <c r="G63" s="250"/>
      <c r="H63" s="476"/>
      <c r="I63" s="476"/>
      <c r="J63" s="472"/>
      <c r="K63" s="473"/>
      <c r="L63" s="473"/>
      <c r="M63" s="473"/>
      <c r="N63" s="473"/>
      <c r="O63" s="473"/>
      <c r="P63" s="473"/>
    </row>
    <row r="64" spans="1:16" s="475" customFormat="1" ht="25.15" customHeight="1">
      <c r="A64" s="478"/>
      <c r="B64" s="471"/>
      <c r="C64" s="471"/>
      <c r="D64" s="479"/>
      <c r="E64" s="474"/>
      <c r="F64" s="480"/>
      <c r="G64" s="250"/>
      <c r="H64" s="476"/>
      <c r="I64" s="476"/>
      <c r="J64" s="472"/>
      <c r="K64" s="473"/>
      <c r="L64" s="473"/>
      <c r="M64" s="473"/>
      <c r="N64" s="473"/>
      <c r="O64" s="473"/>
      <c r="P64" s="473"/>
    </row>
    <row r="65" spans="1:16" s="475" customFormat="1" ht="25.15" customHeight="1">
      <c r="A65" s="478"/>
      <c r="B65" s="471"/>
      <c r="C65" s="471"/>
      <c r="D65" s="479"/>
      <c r="E65" s="474"/>
      <c r="F65" s="480"/>
      <c r="G65" s="250"/>
      <c r="H65" s="476"/>
      <c r="I65" s="476"/>
      <c r="J65" s="481"/>
      <c r="K65" s="473"/>
      <c r="L65" s="473"/>
      <c r="M65" s="473"/>
      <c r="N65" s="473"/>
      <c r="O65" s="473"/>
      <c r="P65" s="473"/>
    </row>
    <row r="66" spans="1:16" s="475" customFormat="1" ht="25.15" customHeight="1">
      <c r="A66" s="478"/>
      <c r="B66" s="471"/>
      <c r="C66" s="471"/>
      <c r="D66" s="479"/>
      <c r="E66" s="474"/>
      <c r="F66" s="480"/>
      <c r="G66" s="250"/>
      <c r="H66" s="476"/>
      <c r="I66" s="476"/>
      <c r="J66" s="472"/>
      <c r="K66" s="473"/>
      <c r="L66" s="473"/>
      <c r="M66" s="473"/>
      <c r="N66" s="473"/>
      <c r="O66" s="473"/>
      <c r="P66" s="473"/>
    </row>
    <row r="67" spans="1:16" s="475" customFormat="1" ht="25.15" customHeight="1">
      <c r="A67" s="478"/>
      <c r="B67" s="471"/>
      <c r="C67" s="471"/>
      <c r="D67" s="479"/>
      <c r="E67" s="474"/>
      <c r="F67" s="480"/>
      <c r="G67" s="250"/>
      <c r="H67" s="484"/>
      <c r="I67" s="484"/>
      <c r="J67" s="472"/>
      <c r="K67" s="473"/>
      <c r="L67" s="473"/>
      <c r="M67" s="473"/>
      <c r="N67" s="473"/>
      <c r="O67" s="473"/>
      <c r="P67" s="473"/>
    </row>
    <row r="68" spans="1:16" s="475" customFormat="1" ht="25.15" customHeight="1">
      <c r="A68" s="478"/>
      <c r="B68" s="471"/>
      <c r="C68" s="471"/>
      <c r="D68" s="479"/>
      <c r="E68" s="474"/>
      <c r="F68" s="480"/>
      <c r="G68" s="250"/>
      <c r="H68" s="476"/>
      <c r="I68" s="476"/>
      <c r="J68" s="481"/>
      <c r="K68" s="473"/>
      <c r="L68" s="473"/>
      <c r="M68" s="473"/>
      <c r="N68" s="473"/>
      <c r="O68" s="473"/>
      <c r="P68" s="473"/>
    </row>
    <row r="69" spans="1:16" s="475" customFormat="1" ht="25.15" customHeight="1">
      <c r="A69" s="478"/>
      <c r="B69" s="471"/>
      <c r="C69" s="471"/>
      <c r="D69" s="479"/>
      <c r="E69" s="474"/>
      <c r="F69" s="480"/>
      <c r="G69" s="250"/>
      <c r="H69" s="476"/>
      <c r="I69" s="476"/>
      <c r="J69" s="472"/>
      <c r="K69" s="473"/>
      <c r="L69" s="473"/>
      <c r="M69" s="473"/>
      <c r="N69" s="473"/>
      <c r="O69" s="473"/>
      <c r="P69" s="473"/>
    </row>
    <row r="70" spans="1:16" s="475" customFormat="1" ht="25.15" customHeight="1">
      <c r="A70" s="478"/>
      <c r="B70" s="471"/>
      <c r="C70" s="471"/>
      <c r="D70" s="479"/>
      <c r="E70" s="474"/>
      <c r="F70" s="480"/>
      <c r="G70" s="250"/>
      <c r="H70" s="476"/>
      <c r="I70" s="476"/>
      <c r="J70" s="472"/>
      <c r="K70" s="473"/>
      <c r="L70" s="473"/>
      <c r="M70" s="473"/>
      <c r="N70" s="473"/>
      <c r="O70" s="473"/>
      <c r="P70" s="473"/>
    </row>
    <row r="71" spans="1:16" s="475" customFormat="1" ht="30" customHeight="1">
      <c r="A71" s="478"/>
      <c r="B71" s="471"/>
      <c r="C71" s="471"/>
      <c r="D71" s="479"/>
      <c r="E71" s="474"/>
      <c r="F71" s="480"/>
      <c r="G71" s="250"/>
      <c r="H71" s="476"/>
      <c r="I71" s="476"/>
      <c r="J71" s="472"/>
      <c r="K71" s="473"/>
      <c r="L71" s="473"/>
      <c r="M71" s="473"/>
      <c r="N71" s="473"/>
      <c r="O71" s="473"/>
      <c r="P71" s="473"/>
    </row>
    <row r="72" spans="1:16" s="475" customFormat="1" ht="30" customHeight="1">
      <c r="A72" s="478"/>
      <c r="B72" s="471"/>
      <c r="C72" s="471"/>
      <c r="D72" s="479"/>
      <c r="E72" s="474"/>
      <c r="F72" s="480"/>
      <c r="G72" s="250"/>
      <c r="H72" s="476"/>
      <c r="I72" s="476"/>
      <c r="J72" s="472"/>
      <c r="K72" s="473"/>
      <c r="L72" s="473"/>
      <c r="M72" s="473"/>
      <c r="N72" s="473"/>
      <c r="O72" s="473"/>
      <c r="P72" s="473"/>
    </row>
    <row r="73" spans="1:16" s="475" customFormat="1" ht="30" customHeight="1">
      <c r="A73" s="478"/>
      <c r="B73" s="471"/>
      <c r="C73" s="471"/>
      <c r="D73" s="479"/>
      <c r="E73" s="474"/>
      <c r="F73" s="480"/>
      <c r="G73" s="250"/>
      <c r="H73" s="476"/>
      <c r="I73" s="476"/>
      <c r="J73" s="472"/>
      <c r="K73" s="473"/>
      <c r="L73" s="473"/>
      <c r="M73" s="473"/>
      <c r="N73" s="473"/>
      <c r="O73" s="473"/>
      <c r="P73" s="473"/>
    </row>
    <row r="74" spans="1:16" s="475" customFormat="1" ht="30" customHeight="1">
      <c r="A74" s="478"/>
      <c r="B74" s="471"/>
      <c r="C74" s="471"/>
      <c r="D74" s="479"/>
      <c r="E74" s="474"/>
      <c r="F74" s="480"/>
      <c r="G74" s="250"/>
      <c r="H74" s="476"/>
      <c r="I74" s="476"/>
      <c r="J74" s="481"/>
      <c r="K74" s="473"/>
      <c r="L74" s="473"/>
      <c r="M74" s="473"/>
      <c r="N74" s="473"/>
      <c r="O74" s="473"/>
      <c r="P74" s="473"/>
    </row>
    <row r="75" spans="1:16" s="475" customFormat="1" ht="30" customHeight="1">
      <c r="A75" s="478"/>
      <c r="B75" s="471"/>
      <c r="C75" s="471"/>
      <c r="D75" s="479"/>
      <c r="E75" s="474"/>
      <c r="F75" s="480"/>
      <c r="G75" s="250"/>
      <c r="H75" s="476"/>
      <c r="I75" s="476"/>
      <c r="J75" s="472"/>
      <c r="K75" s="473"/>
      <c r="L75" s="473"/>
      <c r="M75" s="473"/>
      <c r="N75" s="473"/>
      <c r="O75" s="473"/>
      <c r="P75" s="473"/>
    </row>
    <row r="76" spans="1:16" s="475" customFormat="1" ht="30" customHeight="1">
      <c r="A76" s="478"/>
      <c r="B76" s="471"/>
      <c r="C76" s="471"/>
      <c r="D76" s="479"/>
      <c r="E76" s="474"/>
      <c r="F76" s="480"/>
      <c r="G76" s="250"/>
      <c r="H76" s="476"/>
      <c r="I76" s="476"/>
      <c r="J76" s="472"/>
      <c r="K76" s="473"/>
      <c r="L76" s="473"/>
      <c r="M76" s="473"/>
      <c r="N76" s="473"/>
      <c r="O76" s="473"/>
      <c r="P76" s="473"/>
    </row>
    <row r="77" spans="1:16" s="475" customFormat="1" ht="30" customHeight="1">
      <c r="A77" s="478"/>
      <c r="B77" s="471"/>
      <c r="C77" s="471"/>
      <c r="D77" s="479"/>
      <c r="E77" s="474"/>
      <c r="F77" s="480"/>
      <c r="G77" s="250"/>
      <c r="H77" s="476"/>
      <c r="I77" s="476"/>
      <c r="J77" s="472"/>
      <c r="K77" s="473"/>
      <c r="L77" s="473"/>
      <c r="M77" s="473"/>
      <c r="N77" s="473"/>
      <c r="O77" s="473"/>
      <c r="P77" s="473"/>
    </row>
    <row r="78" spans="1:16" s="475" customFormat="1" ht="30" customHeight="1">
      <c r="A78" s="478"/>
      <c r="B78" s="471"/>
      <c r="C78" s="471"/>
      <c r="D78" s="479"/>
      <c r="E78" s="474"/>
      <c r="F78" s="480"/>
      <c r="G78" s="250"/>
      <c r="H78" s="476"/>
      <c r="I78" s="476"/>
      <c r="J78" s="472"/>
      <c r="K78" s="473"/>
      <c r="L78" s="473"/>
      <c r="M78" s="473"/>
      <c r="N78" s="473"/>
      <c r="O78" s="473"/>
      <c r="P78" s="473"/>
    </row>
    <row r="79" spans="1:16" s="475" customFormat="1" ht="30" customHeight="1">
      <c r="A79" s="478"/>
      <c r="B79" s="471"/>
      <c r="C79" s="471"/>
      <c r="D79" s="479"/>
      <c r="E79" s="474"/>
      <c r="F79" s="480"/>
      <c r="G79" s="250"/>
      <c r="H79" s="473"/>
      <c r="I79" s="473"/>
      <c r="J79" s="472"/>
      <c r="K79" s="473"/>
      <c r="L79" s="473"/>
      <c r="M79" s="473"/>
      <c r="N79" s="473"/>
      <c r="O79" s="473"/>
      <c r="P79" s="473"/>
    </row>
    <row r="80" spans="1:16" s="475" customFormat="1" ht="30" customHeight="1">
      <c r="A80" s="478"/>
      <c r="B80" s="471"/>
      <c r="C80" s="471"/>
      <c r="D80" s="479"/>
      <c r="E80" s="474"/>
      <c r="F80" s="480"/>
      <c r="G80" s="250"/>
      <c r="H80" s="473"/>
      <c r="I80" s="473"/>
      <c r="J80" s="472"/>
      <c r="K80" s="473"/>
      <c r="L80" s="473"/>
      <c r="M80" s="473"/>
      <c r="N80" s="473"/>
      <c r="O80" s="473"/>
      <c r="P80" s="473"/>
    </row>
    <row r="81" spans="1:16" s="475" customFormat="1" ht="30" customHeight="1">
      <c r="A81" s="478"/>
      <c r="B81" s="471"/>
      <c r="C81" s="471"/>
      <c r="D81" s="479"/>
      <c r="E81" s="474"/>
      <c r="F81" s="480"/>
      <c r="G81" s="250"/>
      <c r="H81" s="473"/>
      <c r="I81" s="473"/>
      <c r="J81" s="472"/>
      <c r="K81" s="473"/>
      <c r="L81" s="473"/>
      <c r="M81" s="473"/>
      <c r="N81" s="473"/>
      <c r="O81" s="473"/>
      <c r="P81" s="473"/>
    </row>
    <row r="82" spans="1:16" s="475" customFormat="1" ht="30" customHeight="1">
      <c r="A82" s="478"/>
      <c r="B82" s="471"/>
      <c r="C82" s="471"/>
      <c r="D82" s="479"/>
      <c r="E82" s="474"/>
      <c r="F82" s="480"/>
      <c r="G82" s="250"/>
      <c r="H82" s="485"/>
      <c r="I82" s="485"/>
      <c r="J82" s="472"/>
      <c r="K82" s="473"/>
      <c r="L82" s="473"/>
      <c r="M82" s="473"/>
      <c r="N82" s="473"/>
      <c r="O82" s="473"/>
      <c r="P82" s="473"/>
    </row>
    <row r="83" spans="1:16" s="475" customFormat="1" ht="30" customHeight="1">
      <c r="A83" s="478"/>
      <c r="B83" s="471"/>
      <c r="C83" s="471"/>
      <c r="D83" s="479"/>
      <c r="E83" s="474"/>
      <c r="F83" s="480"/>
      <c r="G83" s="250"/>
      <c r="H83" s="485"/>
      <c r="I83" s="485"/>
      <c r="J83" s="472"/>
      <c r="K83" s="473"/>
      <c r="L83" s="473"/>
      <c r="M83" s="473"/>
      <c r="N83" s="473"/>
      <c r="O83" s="473"/>
      <c r="P83" s="473"/>
    </row>
    <row r="84" spans="1:16" s="475" customFormat="1" ht="30" customHeight="1">
      <c r="A84" s="478"/>
      <c r="B84" s="471"/>
      <c r="C84" s="471"/>
      <c r="D84" s="479"/>
      <c r="E84" s="474"/>
      <c r="F84" s="480"/>
      <c r="G84" s="250"/>
      <c r="H84" s="485"/>
      <c r="I84" s="485"/>
      <c r="J84" s="472"/>
      <c r="K84" s="473"/>
      <c r="L84" s="473"/>
      <c r="M84" s="473"/>
      <c r="N84" s="473"/>
      <c r="O84" s="473"/>
      <c r="P84" s="473"/>
    </row>
    <row r="85" spans="1:16" s="475" customFormat="1" ht="30" customHeight="1">
      <c r="A85" s="478"/>
      <c r="B85" s="471"/>
      <c r="C85" s="471"/>
      <c r="D85" s="479"/>
      <c r="E85" s="474"/>
      <c r="F85" s="480"/>
      <c r="G85" s="250"/>
      <c r="H85" s="485"/>
      <c r="I85" s="485"/>
      <c r="J85" s="472"/>
      <c r="K85" s="473"/>
      <c r="L85" s="473"/>
      <c r="M85" s="473"/>
      <c r="N85" s="473"/>
      <c r="O85" s="473"/>
      <c r="P85" s="473"/>
    </row>
    <row r="86" spans="1:16" s="475" customFormat="1" ht="30" customHeight="1">
      <c r="A86" s="478"/>
      <c r="B86" s="471"/>
      <c r="C86" s="471"/>
      <c r="D86" s="479"/>
      <c r="E86" s="474"/>
      <c r="F86" s="480"/>
      <c r="G86" s="250"/>
      <c r="H86" s="485"/>
      <c r="I86" s="485"/>
      <c r="J86" s="472"/>
      <c r="K86" s="473"/>
      <c r="L86" s="473"/>
      <c r="M86" s="473"/>
      <c r="N86" s="473"/>
      <c r="O86" s="473"/>
      <c r="P86" s="473"/>
    </row>
    <row r="87" spans="1:16" s="475" customFormat="1" ht="30" customHeight="1">
      <c r="A87" s="478"/>
      <c r="B87" s="471"/>
      <c r="C87" s="471"/>
      <c r="D87" s="479"/>
      <c r="E87" s="474"/>
      <c r="F87" s="480"/>
      <c r="G87" s="250"/>
      <c r="H87" s="485"/>
      <c r="I87" s="530"/>
      <c r="J87" s="481"/>
      <c r="K87" s="473"/>
      <c r="L87" s="473"/>
      <c r="M87" s="473"/>
      <c r="N87" s="473"/>
      <c r="O87" s="473"/>
      <c r="P87" s="473"/>
    </row>
    <row r="88" spans="1:16" s="475" customFormat="1" ht="30" customHeight="1">
      <c r="A88" s="478"/>
      <c r="B88" s="471"/>
      <c r="C88" s="471"/>
      <c r="D88" s="479"/>
      <c r="E88" s="474"/>
      <c r="F88" s="480"/>
      <c r="G88" s="250"/>
      <c r="H88" s="473"/>
      <c r="I88" s="473"/>
      <c r="J88" s="472"/>
      <c r="K88" s="473"/>
      <c r="L88" s="473"/>
      <c r="M88" s="473"/>
      <c r="N88" s="473"/>
      <c r="O88" s="473"/>
      <c r="P88" s="473"/>
    </row>
    <row r="89" spans="1:16" s="475" customFormat="1" ht="30" customHeight="1">
      <c r="A89" s="478"/>
      <c r="B89" s="471"/>
      <c r="C89" s="471"/>
      <c r="D89" s="479"/>
      <c r="E89" s="474"/>
      <c r="F89" s="480"/>
      <c r="G89" s="250"/>
      <c r="H89" s="485"/>
      <c r="I89" s="485"/>
      <c r="J89" s="472"/>
      <c r="K89" s="473"/>
      <c r="L89" s="473"/>
      <c r="M89" s="473"/>
      <c r="N89" s="473"/>
      <c r="O89" s="473"/>
      <c r="P89" s="473"/>
    </row>
    <row r="90" spans="1:16" s="475" customFormat="1" ht="30" customHeight="1">
      <c r="A90" s="478"/>
      <c r="B90" s="471"/>
      <c r="C90" s="471"/>
      <c r="D90" s="479"/>
      <c r="E90" s="474"/>
      <c r="F90" s="480"/>
      <c r="G90" s="250"/>
      <c r="H90" s="485"/>
      <c r="I90" s="530"/>
      <c r="J90" s="481"/>
      <c r="K90" s="473"/>
      <c r="L90" s="473"/>
      <c r="M90" s="473"/>
      <c r="N90" s="473"/>
      <c r="O90" s="473"/>
      <c r="P90" s="473"/>
    </row>
    <row r="91" spans="1:16" s="475" customFormat="1" ht="30" customHeight="1">
      <c r="A91" s="478"/>
      <c r="B91" s="471"/>
      <c r="C91" s="471"/>
      <c r="D91" s="479"/>
      <c r="E91" s="474"/>
      <c r="F91" s="480"/>
      <c r="G91" s="250"/>
      <c r="H91" s="485"/>
      <c r="I91" s="485"/>
      <c r="J91" s="472"/>
      <c r="K91" s="473"/>
      <c r="L91" s="473"/>
      <c r="M91" s="473"/>
      <c r="N91" s="473"/>
      <c r="O91" s="473"/>
      <c r="P91" s="473"/>
    </row>
    <row r="92" spans="1:16" s="475" customFormat="1" ht="30" customHeight="1">
      <c r="A92" s="478"/>
      <c r="B92" s="471"/>
      <c r="C92" s="471"/>
      <c r="D92" s="479"/>
      <c r="E92" s="474"/>
      <c r="F92" s="480"/>
      <c r="G92" s="250"/>
      <c r="H92" s="485"/>
      <c r="I92" s="485"/>
      <c r="J92" s="472"/>
      <c r="K92" s="473"/>
      <c r="L92" s="473"/>
      <c r="M92" s="473"/>
      <c r="N92" s="473"/>
      <c r="O92" s="473"/>
      <c r="P92" s="473"/>
    </row>
    <row r="93" spans="1:16" s="475" customFormat="1" ht="30" customHeight="1">
      <c r="A93" s="478"/>
      <c r="B93" s="471"/>
      <c r="C93" s="471"/>
      <c r="D93" s="479"/>
      <c r="E93" s="474"/>
      <c r="F93" s="480"/>
      <c r="G93" s="250"/>
      <c r="H93" s="473"/>
      <c r="I93" s="473"/>
      <c r="J93" s="472"/>
      <c r="K93" s="473"/>
      <c r="L93" s="473"/>
      <c r="M93" s="473"/>
      <c r="N93" s="473"/>
      <c r="O93" s="473"/>
      <c r="P93" s="473"/>
    </row>
    <row r="94" spans="1:16" s="475" customFormat="1" ht="30" customHeight="1">
      <c r="A94" s="478"/>
      <c r="B94" s="471"/>
      <c r="C94" s="471"/>
      <c r="D94" s="479"/>
      <c r="E94" s="474"/>
      <c r="F94" s="480"/>
      <c r="G94" s="250"/>
      <c r="H94" s="473"/>
      <c r="I94" s="473"/>
      <c r="J94" s="472"/>
      <c r="K94" s="473"/>
      <c r="L94" s="473"/>
      <c r="M94" s="473"/>
      <c r="N94" s="473"/>
      <c r="O94" s="473"/>
      <c r="P94" s="473"/>
    </row>
    <row r="95" spans="1:16" s="475" customFormat="1" ht="30" customHeight="1">
      <c r="A95" s="478"/>
      <c r="B95" s="471"/>
      <c r="C95" s="471"/>
      <c r="D95" s="479"/>
      <c r="E95" s="474"/>
      <c r="F95" s="480"/>
      <c r="G95" s="250"/>
      <c r="H95" s="473"/>
      <c r="I95" s="473"/>
      <c r="J95" s="472"/>
      <c r="K95" s="473"/>
      <c r="L95" s="472"/>
      <c r="M95" s="473"/>
      <c r="N95" s="473"/>
      <c r="O95" s="473"/>
      <c r="P95" s="473"/>
    </row>
    <row r="96" spans="1:16" s="475" customFormat="1" ht="30" customHeight="1">
      <c r="A96" s="478"/>
      <c r="B96" s="471"/>
      <c r="C96" s="471"/>
      <c r="D96" s="479"/>
      <c r="E96" s="474"/>
      <c r="F96" s="472"/>
      <c r="G96" s="250"/>
      <c r="H96" s="247"/>
      <c r="I96" s="247"/>
      <c r="J96" s="472"/>
      <c r="K96" s="473"/>
      <c r="L96" s="472"/>
      <c r="M96" s="473"/>
      <c r="N96" s="473"/>
      <c r="O96" s="473"/>
      <c r="P96" s="473"/>
    </row>
    <row r="97" spans="1:25" s="475" customFormat="1" ht="30" customHeight="1">
      <c r="A97" s="478"/>
      <c r="B97" s="471"/>
      <c r="C97" s="471"/>
      <c r="D97" s="479"/>
      <c r="E97" s="474"/>
      <c r="F97" s="480"/>
      <c r="G97" s="250"/>
      <c r="H97" s="247"/>
      <c r="I97" s="491"/>
      <c r="J97" s="481"/>
      <c r="K97" s="473"/>
      <c r="L97" s="473"/>
      <c r="M97" s="473"/>
      <c r="N97" s="473"/>
      <c r="O97" s="473"/>
      <c r="P97" s="473"/>
    </row>
    <row r="98" spans="1:25" s="475" customFormat="1" ht="30" customHeight="1">
      <c r="A98" s="478"/>
      <c r="B98" s="471"/>
      <c r="C98" s="471"/>
      <c r="D98" s="479"/>
      <c r="E98" s="474"/>
      <c r="F98" s="480"/>
      <c r="G98" s="250"/>
      <c r="H98" s="247"/>
      <c r="I98" s="247"/>
      <c r="J98" s="472"/>
      <c r="K98" s="473"/>
      <c r="L98" s="473"/>
      <c r="M98" s="473"/>
      <c r="N98" s="473"/>
      <c r="O98" s="473"/>
      <c r="P98" s="473"/>
    </row>
    <row r="99" spans="1:25" s="475" customFormat="1" ht="30" customHeight="1">
      <c r="A99" s="478"/>
      <c r="B99" s="471"/>
      <c r="C99" s="471"/>
      <c r="D99" s="479"/>
      <c r="E99" s="474"/>
      <c r="F99" s="480"/>
      <c r="G99" s="250"/>
      <c r="H99" s="247"/>
      <c r="I99" s="247"/>
      <c r="J99" s="472"/>
      <c r="K99" s="473"/>
      <c r="L99" s="473"/>
      <c r="M99" s="473"/>
      <c r="N99" s="473"/>
      <c r="O99" s="473"/>
      <c r="P99" s="473"/>
    </row>
    <row r="100" spans="1:25" s="475" customFormat="1" ht="30" customHeight="1">
      <c r="A100" s="478"/>
      <c r="B100" s="471"/>
      <c r="C100" s="471"/>
      <c r="D100" s="479"/>
      <c r="E100" s="474"/>
      <c r="F100" s="480"/>
      <c r="G100" s="250"/>
      <c r="H100" s="247"/>
      <c r="I100" s="247"/>
      <c r="J100" s="472"/>
      <c r="K100" s="473"/>
      <c r="L100" s="473"/>
      <c r="M100" s="473"/>
      <c r="N100" s="473"/>
      <c r="O100" s="473"/>
      <c r="P100" s="473"/>
    </row>
    <row r="101" spans="1:25" s="475" customFormat="1" ht="30" customHeight="1">
      <c r="A101" s="478"/>
      <c r="B101" s="471"/>
      <c r="C101" s="471"/>
      <c r="D101" s="479"/>
      <c r="E101" s="471"/>
      <c r="F101" s="480"/>
      <c r="G101" s="250"/>
      <c r="H101" s="247"/>
      <c r="I101" s="247"/>
      <c r="J101" s="472"/>
      <c r="K101" s="473"/>
      <c r="L101" s="472"/>
      <c r="M101" s="473"/>
      <c r="N101" s="473"/>
      <c r="O101" s="473"/>
      <c r="P101" s="473"/>
    </row>
    <row r="102" spans="1:25" s="475" customFormat="1" ht="30" customHeight="1">
      <c r="A102" s="478"/>
      <c r="B102" s="471"/>
      <c r="C102" s="471"/>
      <c r="D102" s="479"/>
      <c r="E102" s="474"/>
      <c r="F102" s="480"/>
      <c r="G102" s="250"/>
      <c r="H102" s="247"/>
      <c r="I102" s="491"/>
      <c r="J102" s="481"/>
      <c r="K102" s="473"/>
      <c r="L102" s="472"/>
      <c r="M102" s="473"/>
      <c r="N102" s="473"/>
      <c r="O102" s="473"/>
      <c r="P102" s="473"/>
    </row>
    <row r="103" spans="1:25" s="475" customFormat="1" ht="30" customHeight="1">
      <c r="A103" s="478"/>
      <c r="B103" s="471"/>
      <c r="C103" s="471"/>
      <c r="D103" s="479"/>
      <c r="E103" s="474"/>
      <c r="F103" s="480"/>
      <c r="G103" s="250"/>
      <c r="H103" s="247"/>
      <c r="I103" s="491"/>
      <c r="J103" s="481"/>
      <c r="K103" s="473"/>
      <c r="L103" s="472"/>
      <c r="M103" s="473"/>
      <c r="N103" s="473"/>
      <c r="O103" s="473"/>
      <c r="P103" s="473"/>
    </row>
    <row r="104" spans="1:25" s="475" customFormat="1" ht="30" customHeight="1">
      <c r="A104" s="478"/>
      <c r="B104" s="471"/>
      <c r="C104" s="471"/>
      <c r="D104" s="479"/>
      <c r="E104" s="474"/>
      <c r="F104" s="480"/>
      <c r="G104" s="250"/>
      <c r="H104" s="247"/>
      <c r="I104" s="247"/>
      <c r="J104" s="472"/>
      <c r="K104" s="473"/>
      <c r="L104" s="472"/>
      <c r="M104" s="473"/>
      <c r="N104" s="473"/>
      <c r="O104" s="473"/>
      <c r="P104" s="473"/>
    </row>
    <row r="105" spans="1:25" s="475" customFormat="1" ht="30" customHeight="1">
      <c r="A105" s="478"/>
      <c r="B105" s="471"/>
      <c r="C105" s="471"/>
      <c r="D105" s="479"/>
      <c r="E105" s="474"/>
      <c r="F105" s="480"/>
      <c r="G105" s="250"/>
      <c r="H105" s="247"/>
      <c r="I105" s="247"/>
      <c r="J105" s="472"/>
      <c r="K105" s="473"/>
      <c r="L105" s="472"/>
      <c r="M105" s="473"/>
      <c r="N105" s="473"/>
      <c r="O105" s="473"/>
      <c r="P105" s="473"/>
    </row>
    <row r="106" spans="1:25" s="475" customFormat="1" ht="30" customHeight="1">
      <c r="A106" s="478"/>
      <c r="B106" s="471"/>
      <c r="C106" s="471"/>
      <c r="D106" s="479"/>
      <c r="E106" s="474"/>
      <c r="F106" s="480"/>
      <c r="G106" s="250"/>
      <c r="H106" s="247"/>
      <c r="I106" s="247"/>
      <c r="J106" s="472"/>
      <c r="K106" s="473"/>
      <c r="L106" s="472"/>
      <c r="M106" s="473"/>
      <c r="N106" s="473"/>
      <c r="O106" s="473"/>
      <c r="P106" s="473"/>
    </row>
    <row r="107" spans="1:25" s="475" customFormat="1" ht="30" customHeight="1">
      <c r="A107" s="478"/>
      <c r="B107" s="471"/>
      <c r="C107" s="471"/>
      <c r="D107" s="479"/>
      <c r="E107" s="474"/>
      <c r="F107" s="480"/>
      <c r="G107" s="250"/>
      <c r="H107" s="247"/>
      <c r="I107" s="247"/>
      <c r="J107" s="472"/>
      <c r="K107" s="473"/>
      <c r="L107" s="472"/>
      <c r="M107" s="473"/>
      <c r="N107" s="473"/>
      <c r="O107" s="473"/>
      <c r="P107" s="473"/>
    </row>
    <row r="108" spans="1:25" s="475" customFormat="1" ht="30" customHeight="1">
      <c r="A108" s="478"/>
      <c r="B108" s="471"/>
      <c r="C108" s="471"/>
      <c r="D108" s="479"/>
      <c r="E108" s="474"/>
      <c r="F108" s="480"/>
      <c r="G108" s="250"/>
      <c r="H108" s="247"/>
      <c r="I108" s="247"/>
      <c r="J108" s="472"/>
      <c r="K108" s="473"/>
      <c r="L108" s="472"/>
      <c r="M108" s="473"/>
      <c r="N108" s="473"/>
      <c r="O108" s="473"/>
      <c r="P108" s="473"/>
    </row>
    <row r="109" spans="1:25" s="475" customFormat="1" ht="30" customHeight="1">
      <c r="A109" s="478"/>
      <c r="B109" s="471"/>
      <c r="C109" s="471"/>
      <c r="D109" s="479"/>
      <c r="E109" s="474"/>
      <c r="F109" s="480"/>
      <c r="G109" s="250"/>
      <c r="H109" s="247"/>
      <c r="I109" s="491"/>
      <c r="J109" s="481"/>
      <c r="K109" s="473"/>
      <c r="L109" s="472"/>
      <c r="M109" s="473"/>
      <c r="N109" s="473"/>
      <c r="O109" s="473"/>
      <c r="P109" s="473"/>
    </row>
    <row r="110" spans="1:25" s="475" customFormat="1" ht="30" customHeight="1">
      <c r="A110" s="478"/>
      <c r="B110" s="471"/>
      <c r="C110" s="471"/>
      <c r="D110" s="479"/>
      <c r="E110" s="474"/>
      <c r="F110" s="480"/>
      <c r="G110" s="250"/>
      <c r="H110" s="247"/>
      <c r="I110" s="491"/>
      <c r="J110" s="481"/>
      <c r="K110" s="473"/>
      <c r="L110" s="472"/>
      <c r="M110" s="473"/>
      <c r="N110" s="473"/>
      <c r="O110" s="473"/>
      <c r="P110" s="473"/>
    </row>
    <row r="111" spans="1:25" s="475" customFormat="1" ht="30" customHeight="1">
      <c r="A111" s="478"/>
      <c r="B111" s="471"/>
      <c r="C111" s="471"/>
      <c r="D111" s="479"/>
      <c r="E111" s="474"/>
      <c r="F111" s="480"/>
      <c r="G111" s="250"/>
      <c r="H111" s="247"/>
      <c r="I111" s="491"/>
      <c r="J111" s="481"/>
      <c r="K111" s="473"/>
      <c r="L111" s="472"/>
      <c r="M111" s="473"/>
      <c r="N111" s="473"/>
      <c r="O111" s="473"/>
      <c r="P111" s="473"/>
    </row>
    <row r="112" spans="1:25" s="475" customFormat="1" ht="30" customHeight="1">
      <c r="A112" s="478"/>
      <c r="B112" s="486"/>
      <c r="C112" s="471"/>
      <c r="D112" s="479"/>
      <c r="E112" s="487"/>
      <c r="F112" s="480"/>
      <c r="G112" s="250"/>
      <c r="H112" s="247"/>
      <c r="I112" s="247"/>
      <c r="J112" s="472"/>
      <c r="K112" s="473"/>
      <c r="L112" s="472"/>
      <c r="M112" s="473"/>
      <c r="N112" s="473"/>
      <c r="Y112" s="480"/>
    </row>
    <row r="113" spans="1:16" s="475" customFormat="1" ht="30" customHeight="1">
      <c r="A113" s="478"/>
      <c r="B113" s="471"/>
      <c r="C113" s="471"/>
      <c r="D113" s="479"/>
      <c r="E113" s="474"/>
      <c r="F113" s="480"/>
      <c r="G113" s="250"/>
      <c r="H113" s="247"/>
      <c r="I113" s="247"/>
      <c r="J113" s="472"/>
      <c r="K113" s="473"/>
      <c r="L113" s="472"/>
      <c r="M113" s="473"/>
      <c r="N113" s="473"/>
      <c r="O113" s="473"/>
      <c r="P113" s="473"/>
    </row>
    <row r="114" spans="1:16" s="475" customFormat="1" ht="30" customHeight="1">
      <c r="A114" s="478"/>
      <c r="B114" s="480"/>
      <c r="C114" s="471"/>
      <c r="D114" s="479"/>
      <c r="E114" s="474"/>
      <c r="F114" s="480"/>
      <c r="G114" s="250"/>
      <c r="H114" s="247"/>
      <c r="I114" s="247"/>
      <c r="J114" s="472"/>
      <c r="K114" s="488"/>
      <c r="L114" s="489"/>
      <c r="M114" s="473"/>
      <c r="N114" s="473"/>
      <c r="O114" s="473"/>
      <c r="P114" s="473"/>
    </row>
    <row r="115" spans="1:16" s="475" customFormat="1" ht="30" customHeight="1">
      <c r="A115" s="478"/>
      <c r="B115" s="471"/>
      <c r="C115" s="471"/>
      <c r="D115" s="479"/>
      <c r="E115" s="474"/>
      <c r="F115" s="480"/>
      <c r="G115" s="250"/>
      <c r="H115" s="247"/>
      <c r="I115" s="247"/>
      <c r="J115" s="472"/>
      <c r="K115" s="473"/>
      <c r="L115" s="472"/>
      <c r="M115" s="473"/>
      <c r="N115" s="473"/>
      <c r="O115" s="473"/>
      <c r="P115" s="473"/>
    </row>
    <row r="116" spans="1:16" s="475" customFormat="1" ht="30" customHeight="1">
      <c r="A116" s="478"/>
      <c r="B116" s="471"/>
      <c r="C116" s="471"/>
      <c r="D116" s="479"/>
      <c r="E116" s="474"/>
      <c r="F116" s="480"/>
      <c r="G116" s="250"/>
      <c r="H116" s="247"/>
      <c r="I116" s="247"/>
      <c r="J116" s="472"/>
      <c r="K116" s="473"/>
      <c r="L116" s="472"/>
      <c r="M116" s="473"/>
      <c r="N116" s="473"/>
      <c r="O116" s="473"/>
      <c r="P116" s="473"/>
    </row>
    <row r="117" spans="1:16" s="475" customFormat="1" ht="30" customHeight="1">
      <c r="A117" s="478"/>
      <c r="B117" s="471"/>
      <c r="C117" s="471"/>
      <c r="D117" s="479"/>
      <c r="E117" s="474"/>
      <c r="F117" s="480"/>
      <c r="G117" s="250"/>
      <c r="H117" s="247"/>
      <c r="I117" s="491"/>
      <c r="J117" s="481"/>
      <c r="K117" s="473"/>
      <c r="L117" s="472"/>
      <c r="M117" s="473"/>
      <c r="N117" s="473"/>
      <c r="O117" s="473"/>
      <c r="P117" s="473"/>
    </row>
    <row r="118" spans="1:16" s="475" customFormat="1" ht="30" customHeight="1">
      <c r="A118" s="478"/>
      <c r="B118" s="471"/>
      <c r="C118" s="471"/>
      <c r="D118" s="479"/>
      <c r="E118" s="474"/>
      <c r="F118" s="480"/>
      <c r="G118" s="250"/>
      <c r="H118" s="247"/>
      <c r="I118" s="247"/>
      <c r="J118" s="472"/>
      <c r="K118" s="473"/>
      <c r="L118" s="472"/>
      <c r="M118" s="473"/>
      <c r="N118" s="473"/>
      <c r="O118" s="473"/>
      <c r="P118" s="473"/>
    </row>
    <row r="119" spans="1:16" s="475" customFormat="1" ht="30" customHeight="1">
      <c r="A119" s="478"/>
      <c r="B119" s="471"/>
      <c r="C119" s="471"/>
      <c r="D119" s="479"/>
      <c r="E119" s="474"/>
      <c r="F119" s="472"/>
      <c r="G119" s="250"/>
      <c r="H119" s="247"/>
      <c r="I119" s="247"/>
      <c r="J119" s="472"/>
      <c r="K119" s="473"/>
      <c r="L119" s="472"/>
      <c r="M119" s="473"/>
      <c r="N119" s="473"/>
      <c r="O119" s="473"/>
      <c r="P119" s="473"/>
    </row>
    <row r="120" spans="1:16" s="475" customFormat="1" ht="30" customHeight="1">
      <c r="A120" s="478"/>
      <c r="B120" s="471"/>
      <c r="C120" s="471"/>
      <c r="D120" s="479"/>
      <c r="E120" s="474"/>
      <c r="F120" s="480"/>
      <c r="G120" s="250"/>
      <c r="H120" s="247"/>
      <c r="I120" s="491"/>
      <c r="J120" s="481"/>
      <c r="K120" s="473"/>
      <c r="L120" s="472"/>
      <c r="M120" s="473"/>
      <c r="N120" s="473"/>
      <c r="O120" s="473"/>
      <c r="P120" s="473"/>
    </row>
    <row r="121" spans="1:16" s="475" customFormat="1" ht="30" customHeight="1">
      <c r="A121" s="478"/>
      <c r="B121" s="471"/>
      <c r="C121" s="471"/>
      <c r="D121" s="479"/>
      <c r="E121" s="474"/>
      <c r="F121" s="480"/>
      <c r="G121" s="250"/>
      <c r="H121" s="247"/>
      <c r="I121" s="247"/>
      <c r="J121" s="472"/>
      <c r="K121" s="473"/>
      <c r="L121" s="472"/>
      <c r="M121" s="473"/>
      <c r="N121" s="473"/>
      <c r="O121" s="473"/>
      <c r="P121" s="473"/>
    </row>
    <row r="122" spans="1:16" s="475" customFormat="1" ht="30" customHeight="1">
      <c r="A122" s="478"/>
      <c r="B122" s="471"/>
      <c r="C122" s="471"/>
      <c r="D122" s="479"/>
      <c r="E122" s="474"/>
      <c r="F122" s="480"/>
      <c r="G122" s="250"/>
      <c r="H122" s="247"/>
      <c r="I122" s="247"/>
      <c r="J122" s="472"/>
      <c r="K122" s="473"/>
      <c r="L122" s="472"/>
      <c r="M122" s="473"/>
      <c r="N122" s="473"/>
      <c r="O122" s="473"/>
      <c r="P122" s="473"/>
    </row>
    <row r="123" spans="1:16" s="475" customFormat="1" ht="30" customHeight="1">
      <c r="A123" s="478"/>
      <c r="B123" s="471"/>
      <c r="C123" s="471"/>
      <c r="D123" s="479"/>
      <c r="E123" s="474"/>
      <c r="F123" s="480"/>
      <c r="G123" s="250"/>
      <c r="H123" s="247"/>
      <c r="I123" s="491"/>
      <c r="J123" s="481"/>
      <c r="K123" s="473"/>
      <c r="L123" s="472"/>
      <c r="M123" s="473"/>
      <c r="N123" s="473"/>
      <c r="O123" s="473"/>
      <c r="P123" s="473"/>
    </row>
    <row r="124" spans="1:16" s="475" customFormat="1" ht="30" customHeight="1">
      <c r="A124" s="478"/>
      <c r="B124" s="471"/>
      <c r="C124" s="471"/>
      <c r="D124" s="479"/>
      <c r="E124" s="487"/>
      <c r="F124" s="480"/>
      <c r="G124" s="250"/>
      <c r="H124" s="247"/>
      <c r="I124" s="491"/>
      <c r="J124" s="481"/>
      <c r="K124" s="473"/>
      <c r="L124" s="472"/>
      <c r="M124" s="473"/>
      <c r="N124" s="473"/>
      <c r="O124" s="473"/>
      <c r="P124" s="473"/>
    </row>
    <row r="125" spans="1:16" s="475" customFormat="1" ht="30" customHeight="1">
      <c r="A125" s="478"/>
      <c r="B125" s="471"/>
      <c r="C125" s="471"/>
      <c r="D125" s="479"/>
      <c r="E125" s="474"/>
      <c r="F125" s="480"/>
      <c r="G125" s="250"/>
      <c r="H125" s="247"/>
      <c r="I125" s="247"/>
      <c r="J125" s="472"/>
      <c r="K125" s="473"/>
      <c r="L125" s="472"/>
      <c r="M125" s="473"/>
      <c r="N125" s="473"/>
      <c r="O125" s="473"/>
      <c r="P125" s="473"/>
    </row>
    <row r="126" spans="1:16" s="475" customFormat="1" ht="30" customHeight="1">
      <c r="A126" s="478"/>
      <c r="B126" s="471"/>
      <c r="C126" s="471"/>
      <c r="D126" s="479"/>
      <c r="E126" s="474"/>
      <c r="F126" s="480"/>
      <c r="G126" s="250"/>
      <c r="H126" s="247"/>
      <c r="I126" s="247"/>
      <c r="J126" s="472"/>
      <c r="K126" s="473"/>
      <c r="L126" s="472"/>
      <c r="M126" s="473"/>
      <c r="N126" s="473"/>
      <c r="O126" s="473"/>
      <c r="P126" s="473"/>
    </row>
    <row r="127" spans="1:16" s="475" customFormat="1" ht="30" customHeight="1">
      <c r="A127" s="478"/>
      <c r="B127" s="471"/>
      <c r="C127" s="471"/>
      <c r="D127" s="479"/>
      <c r="E127" s="474"/>
      <c r="F127" s="480"/>
      <c r="G127" s="250"/>
      <c r="H127" s="247"/>
      <c r="I127" s="491"/>
      <c r="J127" s="481"/>
      <c r="K127" s="473"/>
      <c r="L127" s="472"/>
      <c r="M127" s="473"/>
      <c r="N127" s="473"/>
      <c r="O127" s="473"/>
      <c r="P127" s="473"/>
    </row>
    <row r="128" spans="1:16" s="475" customFormat="1" ht="30" customHeight="1">
      <c r="A128" s="478"/>
      <c r="B128" s="471"/>
      <c r="C128" s="471"/>
      <c r="D128" s="479"/>
      <c r="E128" s="474"/>
      <c r="F128" s="480"/>
      <c r="G128" s="250"/>
      <c r="H128" s="247"/>
      <c r="I128" s="491"/>
      <c r="J128" s="481"/>
      <c r="K128" s="473"/>
      <c r="L128" s="472"/>
      <c r="M128" s="473"/>
      <c r="N128" s="473"/>
      <c r="O128" s="473"/>
      <c r="P128" s="473"/>
    </row>
    <row r="129" spans="1:16" s="475" customFormat="1" ht="30" customHeight="1">
      <c r="A129" s="478"/>
      <c r="B129" s="471"/>
      <c r="C129" s="471"/>
      <c r="D129" s="479"/>
      <c r="E129" s="474"/>
      <c r="F129" s="480"/>
      <c r="G129" s="250"/>
      <c r="H129" s="247"/>
      <c r="I129" s="247"/>
      <c r="J129" s="472"/>
      <c r="K129" s="473"/>
      <c r="L129" s="472"/>
      <c r="M129" s="473"/>
      <c r="N129" s="473"/>
      <c r="O129" s="473"/>
      <c r="P129" s="473"/>
    </row>
    <row r="130" spans="1:16" s="475" customFormat="1" ht="30" customHeight="1">
      <c r="A130" s="478"/>
      <c r="B130" s="471"/>
      <c r="C130" s="471"/>
      <c r="D130" s="479"/>
      <c r="E130" s="474"/>
      <c r="F130" s="480"/>
      <c r="G130" s="250"/>
      <c r="H130" s="247"/>
      <c r="I130" s="247"/>
      <c r="J130" s="472"/>
      <c r="K130" s="473"/>
      <c r="L130" s="472"/>
      <c r="M130" s="473"/>
      <c r="N130" s="473"/>
      <c r="O130" s="473"/>
      <c r="P130" s="473"/>
    </row>
    <row r="131" spans="1:16" s="475" customFormat="1" ht="30" customHeight="1">
      <c r="A131" s="478"/>
      <c r="B131" s="471"/>
      <c r="C131" s="471"/>
      <c r="D131" s="479"/>
      <c r="E131" s="474"/>
      <c r="F131" s="480"/>
      <c r="G131" s="250"/>
      <c r="H131" s="247"/>
      <c r="I131" s="491"/>
      <c r="J131" s="481"/>
      <c r="K131" s="473"/>
      <c r="L131" s="472"/>
      <c r="M131" s="473"/>
      <c r="N131" s="473"/>
      <c r="O131" s="473"/>
      <c r="P131" s="473"/>
    </row>
    <row r="132" spans="1:16" s="475" customFormat="1" ht="30" customHeight="1">
      <c r="A132" s="478"/>
      <c r="B132" s="471"/>
      <c r="C132" s="471"/>
      <c r="D132" s="479"/>
      <c r="E132" s="474"/>
      <c r="F132" s="480"/>
      <c r="G132" s="250"/>
      <c r="H132" s="247"/>
      <c r="I132" s="247"/>
      <c r="J132" s="472"/>
      <c r="K132" s="473"/>
      <c r="L132" s="472"/>
      <c r="M132" s="473"/>
      <c r="N132" s="473"/>
      <c r="O132" s="473"/>
      <c r="P132" s="473"/>
    </row>
    <row r="133" spans="1:16" s="475" customFormat="1" ht="30" customHeight="1">
      <c r="A133" s="478"/>
      <c r="B133" s="471"/>
      <c r="C133" s="471"/>
      <c r="D133" s="479"/>
      <c r="E133" s="474"/>
      <c r="F133" s="480"/>
      <c r="G133" s="250"/>
      <c r="H133" s="247"/>
      <c r="I133" s="247"/>
      <c r="J133" s="472"/>
      <c r="K133" s="473"/>
      <c r="L133" s="472"/>
      <c r="M133" s="473"/>
      <c r="N133" s="473"/>
      <c r="O133" s="473"/>
      <c r="P133" s="473"/>
    </row>
    <row r="134" spans="1:16" s="475" customFormat="1" ht="30" customHeight="1">
      <c r="A134" s="478"/>
      <c r="B134" s="471"/>
      <c r="C134" s="471"/>
      <c r="D134" s="479"/>
      <c r="E134" s="471"/>
      <c r="F134" s="480"/>
      <c r="G134" s="250"/>
      <c r="H134" s="247"/>
      <c r="I134" s="491"/>
      <c r="J134" s="481"/>
      <c r="K134" s="473"/>
      <c r="L134" s="472"/>
      <c r="M134" s="473"/>
      <c r="N134" s="473"/>
      <c r="O134" s="473"/>
      <c r="P134" s="473"/>
    </row>
    <row r="135" spans="1:16" s="475" customFormat="1" ht="30" customHeight="1">
      <c r="A135" s="478"/>
      <c r="B135" s="471"/>
      <c r="C135" s="471"/>
      <c r="D135" s="479"/>
      <c r="E135" s="474"/>
      <c r="F135" s="480"/>
      <c r="G135" s="250"/>
      <c r="H135" s="247"/>
      <c r="I135" s="491"/>
      <c r="J135" s="481"/>
      <c r="K135" s="473"/>
      <c r="L135" s="472"/>
      <c r="M135" s="473"/>
      <c r="N135" s="473"/>
      <c r="O135" s="473"/>
      <c r="P135" s="473"/>
    </row>
    <row r="136" spans="1:16" s="475" customFormat="1" ht="30" customHeight="1">
      <c r="A136" s="478"/>
      <c r="B136" s="471"/>
      <c r="C136" s="471"/>
      <c r="D136" s="479"/>
      <c r="E136" s="471"/>
      <c r="F136" s="480"/>
      <c r="G136" s="250"/>
      <c r="H136" s="247"/>
      <c r="I136" s="491"/>
      <c r="J136" s="481"/>
      <c r="K136" s="473"/>
      <c r="L136" s="472"/>
      <c r="M136" s="473"/>
      <c r="N136" s="473"/>
      <c r="O136" s="473"/>
      <c r="P136" s="473"/>
    </row>
    <row r="137" spans="1:16" s="475" customFormat="1" ht="30" customHeight="1">
      <c r="A137" s="478"/>
      <c r="B137" s="471"/>
      <c r="C137" s="471"/>
      <c r="D137" s="479"/>
      <c r="E137" s="471"/>
      <c r="F137" s="480"/>
      <c r="G137" s="250"/>
      <c r="H137" s="247"/>
      <c r="I137" s="491"/>
      <c r="J137" s="481"/>
      <c r="K137" s="473"/>
      <c r="L137" s="472"/>
      <c r="M137" s="473"/>
      <c r="N137" s="473"/>
      <c r="O137" s="473"/>
      <c r="P137" s="473"/>
    </row>
    <row r="138" spans="1:16" s="475" customFormat="1" ht="30" customHeight="1">
      <c r="A138" s="478"/>
      <c r="B138" s="471"/>
      <c r="C138" s="471"/>
      <c r="D138" s="479"/>
      <c r="E138" s="474"/>
      <c r="F138" s="480"/>
      <c r="G138" s="479"/>
      <c r="H138" s="247"/>
      <c r="I138" s="491"/>
      <c r="J138" s="481"/>
      <c r="K138" s="473"/>
      <c r="L138" s="472"/>
      <c r="M138" s="473"/>
      <c r="N138" s="473"/>
      <c r="O138" s="473"/>
      <c r="P138" s="473"/>
    </row>
    <row r="139" spans="1:16" s="475" customFormat="1" ht="30" customHeight="1">
      <c r="A139" s="478"/>
      <c r="B139" s="471"/>
      <c r="C139" s="471"/>
      <c r="D139" s="479"/>
      <c r="E139" s="474"/>
      <c r="F139" s="472"/>
      <c r="G139" s="479"/>
      <c r="H139" s="247"/>
      <c r="I139" s="491"/>
      <c r="J139" s="481"/>
      <c r="K139" s="473"/>
      <c r="L139" s="472"/>
      <c r="M139" s="473"/>
      <c r="N139" s="473"/>
      <c r="O139" s="473"/>
      <c r="P139" s="473"/>
    </row>
    <row r="140" spans="1:16" s="475" customFormat="1" ht="30" customHeight="1">
      <c r="A140" s="478"/>
      <c r="B140" s="471"/>
      <c r="C140" s="471"/>
      <c r="D140" s="479"/>
      <c r="E140" s="474"/>
      <c r="F140" s="480"/>
      <c r="G140" s="479"/>
      <c r="H140" s="247"/>
      <c r="I140" s="491"/>
      <c r="J140" s="481"/>
      <c r="K140" s="473"/>
      <c r="L140" s="472"/>
      <c r="M140" s="473"/>
      <c r="N140" s="473"/>
      <c r="O140" s="473"/>
      <c r="P140" s="473"/>
    </row>
    <row r="141" spans="1:16" s="475" customFormat="1" ht="30" customHeight="1">
      <c r="A141" s="478"/>
      <c r="B141" s="471"/>
      <c r="C141" s="471"/>
      <c r="D141" s="479"/>
      <c r="E141" s="474"/>
      <c r="F141" s="480"/>
      <c r="G141" s="479"/>
      <c r="H141" s="247"/>
      <c r="I141" s="491"/>
      <c r="J141" s="481"/>
      <c r="K141" s="473"/>
      <c r="L141" s="472"/>
      <c r="M141" s="473"/>
      <c r="N141" s="473"/>
      <c r="O141" s="473"/>
      <c r="P141" s="473"/>
    </row>
    <row r="142" spans="1:16" s="475" customFormat="1" ht="30" customHeight="1">
      <c r="A142" s="478"/>
      <c r="B142" s="471"/>
      <c r="C142" s="471"/>
      <c r="D142" s="479"/>
      <c r="E142" s="471"/>
      <c r="F142" s="480"/>
      <c r="G142" s="479"/>
      <c r="H142" s="247"/>
      <c r="I142" s="491"/>
      <c r="J142" s="481"/>
      <c r="K142" s="473"/>
      <c r="L142" s="472"/>
      <c r="M142" s="473"/>
      <c r="N142" s="473"/>
      <c r="O142" s="473"/>
      <c r="P142" s="473"/>
    </row>
    <row r="143" spans="1:16" s="475" customFormat="1" ht="30" customHeight="1">
      <c r="A143" s="478"/>
      <c r="B143" s="471"/>
      <c r="C143" s="471"/>
      <c r="D143" s="479"/>
      <c r="E143" s="474"/>
      <c r="F143" s="480"/>
      <c r="G143" s="479"/>
      <c r="H143" s="247"/>
      <c r="I143" s="491"/>
      <c r="J143" s="481"/>
      <c r="K143" s="473"/>
      <c r="L143" s="472"/>
      <c r="M143" s="473"/>
      <c r="N143" s="473"/>
      <c r="O143" s="473"/>
      <c r="P143" s="473"/>
    </row>
    <row r="144" spans="1:16" s="475" customFormat="1" ht="30" customHeight="1">
      <c r="A144" s="478"/>
      <c r="B144" s="471"/>
      <c r="C144" s="471"/>
      <c r="D144" s="479"/>
      <c r="E144" s="474"/>
      <c r="F144" s="472"/>
      <c r="G144" s="479"/>
      <c r="H144" s="247"/>
      <c r="I144" s="491"/>
      <c r="J144" s="481"/>
      <c r="K144" s="473"/>
      <c r="L144" s="472"/>
      <c r="M144" s="473"/>
      <c r="N144" s="473"/>
      <c r="O144" s="473"/>
      <c r="P144" s="473"/>
    </row>
    <row r="145" spans="1:16" s="475" customFormat="1" ht="30" customHeight="1">
      <c r="A145" s="478"/>
      <c r="B145" s="471"/>
      <c r="C145" s="471"/>
      <c r="D145" s="479"/>
      <c r="E145" s="474"/>
      <c r="F145" s="480"/>
      <c r="G145" s="479"/>
      <c r="H145" s="247"/>
      <c r="I145" s="491"/>
      <c r="J145" s="481"/>
      <c r="K145" s="473"/>
      <c r="L145" s="472"/>
      <c r="M145" s="473"/>
      <c r="N145" s="473"/>
      <c r="O145" s="473"/>
      <c r="P145" s="473"/>
    </row>
    <row r="146" spans="1:16" s="475" customFormat="1" ht="30" customHeight="1">
      <c r="A146" s="478"/>
      <c r="B146" s="471"/>
      <c r="C146" s="471"/>
      <c r="D146" s="479"/>
      <c r="E146" s="474"/>
      <c r="F146" s="480"/>
      <c r="G146" s="479"/>
      <c r="H146" s="247"/>
      <c r="I146" s="491"/>
      <c r="J146" s="481"/>
      <c r="K146" s="473"/>
      <c r="L146" s="472"/>
      <c r="M146" s="473"/>
      <c r="N146" s="473"/>
      <c r="O146" s="473"/>
      <c r="P146" s="473"/>
    </row>
    <row r="147" spans="1:16" s="475" customFormat="1" ht="30" customHeight="1">
      <c r="A147" s="478"/>
      <c r="B147" s="471"/>
      <c r="C147" s="471"/>
      <c r="D147" s="479"/>
      <c r="E147" s="474"/>
      <c r="F147" s="480"/>
      <c r="G147" s="479"/>
      <c r="H147" s="247"/>
      <c r="I147" s="491"/>
      <c r="J147" s="481"/>
      <c r="K147" s="473"/>
      <c r="L147" s="472"/>
      <c r="M147" s="473"/>
      <c r="N147" s="473"/>
      <c r="O147" s="473"/>
      <c r="P147" s="473"/>
    </row>
    <row r="148" spans="1:16" s="475" customFormat="1" ht="30" customHeight="1">
      <c r="A148" s="478"/>
      <c r="B148" s="471"/>
      <c r="C148" s="471"/>
      <c r="D148" s="479"/>
      <c r="E148" s="474"/>
      <c r="F148" s="480"/>
      <c r="G148" s="479"/>
      <c r="H148" s="247"/>
      <c r="I148" s="491"/>
      <c r="J148" s="481"/>
      <c r="K148" s="473"/>
      <c r="L148" s="472"/>
      <c r="M148" s="473"/>
      <c r="N148" s="473"/>
      <c r="O148" s="473"/>
      <c r="P148" s="473"/>
    </row>
    <row r="149" spans="1:16" s="475" customFormat="1" ht="30" customHeight="1">
      <c r="A149" s="478"/>
      <c r="B149" s="471"/>
      <c r="C149" s="471"/>
      <c r="D149" s="479"/>
      <c r="E149" s="474"/>
      <c r="F149" s="480"/>
      <c r="G149" s="479"/>
      <c r="H149" s="247"/>
      <c r="I149" s="491"/>
      <c r="J149" s="481"/>
      <c r="K149" s="473"/>
      <c r="L149" s="472"/>
      <c r="M149" s="473"/>
      <c r="N149" s="473"/>
      <c r="O149" s="473"/>
      <c r="P149" s="473"/>
    </row>
    <row r="150" spans="1:16" s="475" customFormat="1" ht="30" customHeight="1">
      <c r="A150" s="478"/>
      <c r="B150" s="471"/>
      <c r="C150" s="471"/>
      <c r="D150" s="479"/>
      <c r="E150" s="474"/>
      <c r="F150" s="480"/>
      <c r="G150" s="479"/>
      <c r="H150" s="247"/>
      <c r="I150" s="491"/>
      <c r="J150" s="481"/>
      <c r="K150" s="473"/>
      <c r="L150" s="472"/>
      <c r="M150" s="473"/>
      <c r="N150" s="473"/>
      <c r="O150" s="473"/>
      <c r="P150" s="473"/>
    </row>
    <row r="151" spans="1:16" s="475" customFormat="1" ht="30" customHeight="1">
      <c r="A151" s="478"/>
      <c r="B151" s="471"/>
      <c r="C151" s="471"/>
      <c r="D151" s="479"/>
      <c r="E151" s="474"/>
      <c r="F151" s="480"/>
      <c r="G151" s="479"/>
      <c r="H151" s="247"/>
      <c r="I151" s="491"/>
      <c r="J151" s="481"/>
      <c r="K151" s="473"/>
      <c r="L151" s="472"/>
      <c r="M151" s="473"/>
      <c r="N151" s="473"/>
      <c r="O151" s="473"/>
      <c r="P151" s="473"/>
    </row>
    <row r="152" spans="1:16" s="475" customFormat="1" ht="30" customHeight="1">
      <c r="A152" s="478"/>
      <c r="B152" s="471"/>
      <c r="C152" s="471"/>
      <c r="D152" s="479"/>
      <c r="E152" s="471"/>
      <c r="F152" s="480"/>
      <c r="G152" s="479"/>
      <c r="H152" s="247"/>
      <c r="I152" s="491"/>
      <c r="J152" s="481"/>
      <c r="K152" s="473"/>
      <c r="L152" s="472"/>
      <c r="M152" s="473"/>
      <c r="N152" s="473"/>
      <c r="O152" s="473"/>
      <c r="P152" s="473"/>
    </row>
    <row r="153" spans="1:16" s="475" customFormat="1" ht="30" customHeight="1">
      <c r="A153" s="478"/>
      <c r="B153" s="471"/>
      <c r="C153" s="471"/>
      <c r="D153" s="479"/>
      <c r="E153" s="477"/>
      <c r="F153" s="480"/>
      <c r="G153" s="479"/>
      <c r="H153" s="247"/>
      <c r="I153" s="247"/>
      <c r="J153" s="472"/>
      <c r="K153" s="473"/>
      <c r="L153" s="472"/>
      <c r="M153" s="473"/>
      <c r="N153" s="473"/>
      <c r="O153" s="473"/>
      <c r="P153" s="473"/>
    </row>
    <row r="154" spans="1:16" s="475" customFormat="1" ht="30" customHeight="1">
      <c r="A154" s="478"/>
      <c r="B154" s="471"/>
      <c r="C154" s="471"/>
      <c r="D154" s="479"/>
      <c r="E154" s="471"/>
      <c r="F154" s="480"/>
      <c r="G154" s="479"/>
      <c r="H154" s="247"/>
      <c r="I154" s="491"/>
      <c r="J154" s="481"/>
      <c r="K154" s="473"/>
      <c r="L154" s="472"/>
      <c r="M154" s="473"/>
      <c r="N154" s="473"/>
      <c r="O154" s="473"/>
      <c r="P154" s="473"/>
    </row>
    <row r="155" spans="1:16" s="475" customFormat="1" ht="30" customHeight="1">
      <c r="A155" s="478"/>
      <c r="B155" s="471"/>
      <c r="C155" s="471"/>
      <c r="D155" s="479"/>
      <c r="E155" s="474"/>
      <c r="F155" s="480"/>
      <c r="G155" s="479"/>
      <c r="H155" s="247"/>
      <c r="I155" s="491"/>
      <c r="J155" s="481"/>
      <c r="K155" s="473"/>
      <c r="L155" s="472"/>
      <c r="M155" s="473"/>
      <c r="N155" s="473"/>
      <c r="O155" s="473"/>
      <c r="P155" s="473"/>
    </row>
    <row r="156" spans="1:16" s="475" customFormat="1" ht="30" customHeight="1">
      <c r="A156" s="478"/>
      <c r="B156" s="471"/>
      <c r="C156" s="471"/>
      <c r="D156" s="479"/>
      <c r="E156" s="474"/>
      <c r="F156" s="480"/>
      <c r="G156" s="479"/>
      <c r="H156" s="247"/>
      <c r="I156" s="491"/>
      <c r="J156" s="481"/>
      <c r="K156" s="473"/>
      <c r="L156" s="472"/>
      <c r="M156" s="473"/>
      <c r="N156" s="473"/>
      <c r="O156" s="473"/>
      <c r="P156" s="473"/>
    </row>
    <row r="157" spans="1:16" s="475" customFormat="1" ht="30" customHeight="1">
      <c r="A157" s="478"/>
      <c r="B157" s="471"/>
      <c r="C157" s="471"/>
      <c r="D157" s="479"/>
      <c r="E157" s="474"/>
      <c r="F157" s="472"/>
      <c r="G157" s="479"/>
      <c r="H157" s="247"/>
      <c r="I157" s="491"/>
      <c r="J157" s="481"/>
      <c r="K157" s="473"/>
      <c r="L157" s="472"/>
      <c r="M157" s="473"/>
      <c r="N157" s="473"/>
      <c r="O157" s="473"/>
      <c r="P157" s="473"/>
    </row>
    <row r="158" spans="1:16" s="475" customFormat="1" ht="30" customHeight="1">
      <c r="A158" s="478"/>
      <c r="B158" s="471"/>
      <c r="C158" s="471"/>
      <c r="D158" s="479"/>
      <c r="E158" s="487"/>
      <c r="F158" s="480"/>
      <c r="G158" s="479"/>
      <c r="H158" s="247"/>
      <c r="I158" s="491"/>
      <c r="J158" s="481"/>
      <c r="K158" s="473"/>
      <c r="L158" s="473"/>
      <c r="M158" s="473"/>
      <c r="N158" s="473"/>
      <c r="O158" s="473"/>
      <c r="P158" s="473"/>
    </row>
    <row r="159" spans="1:16" s="475" customFormat="1" ht="30" customHeight="1">
      <c r="A159" s="478"/>
      <c r="B159" s="471"/>
      <c r="C159" s="471"/>
      <c r="D159" s="479"/>
      <c r="E159" s="474"/>
      <c r="F159" s="480"/>
      <c r="G159" s="479"/>
      <c r="H159" s="247"/>
      <c r="I159" s="247"/>
      <c r="J159" s="472"/>
      <c r="K159" s="473"/>
      <c r="L159" s="472"/>
      <c r="M159" s="473"/>
      <c r="N159" s="473"/>
      <c r="O159" s="473"/>
      <c r="P159" s="473"/>
    </row>
    <row r="160" spans="1:16" s="475" customFormat="1" ht="30" customHeight="1">
      <c r="A160" s="478"/>
      <c r="B160" s="472"/>
      <c r="C160" s="471"/>
      <c r="D160" s="479"/>
      <c r="E160" s="474"/>
      <c r="F160" s="480"/>
      <c r="G160" s="479"/>
      <c r="H160" s="247"/>
      <c r="I160" s="491"/>
      <c r="J160" s="481"/>
      <c r="K160" s="473"/>
      <c r="L160" s="472"/>
      <c r="M160" s="473"/>
      <c r="N160" s="473"/>
      <c r="O160" s="473"/>
      <c r="P160" s="473"/>
    </row>
    <row r="161" spans="1:16" s="475" customFormat="1" ht="30" customHeight="1">
      <c r="A161" s="478"/>
      <c r="B161" s="471"/>
      <c r="C161" s="471"/>
      <c r="D161" s="479"/>
      <c r="E161" s="474"/>
      <c r="F161" s="480"/>
      <c r="G161" s="479"/>
      <c r="H161" s="247"/>
      <c r="I161" s="491"/>
      <c r="J161" s="481"/>
      <c r="K161" s="473"/>
      <c r="L161" s="472"/>
      <c r="M161" s="473"/>
      <c r="N161" s="473"/>
      <c r="O161" s="473"/>
      <c r="P161" s="473"/>
    </row>
    <row r="162" spans="1:16" s="475" customFormat="1" ht="30" customHeight="1">
      <c r="A162" s="478"/>
      <c r="B162" s="471"/>
      <c r="C162" s="471"/>
      <c r="D162" s="479"/>
      <c r="E162" s="474"/>
      <c r="F162" s="480"/>
      <c r="G162" s="479"/>
      <c r="H162" s="247"/>
      <c r="I162" s="491"/>
      <c r="J162" s="481"/>
      <c r="K162" s="473"/>
      <c r="L162" s="472"/>
      <c r="M162" s="473"/>
      <c r="N162" s="473"/>
      <c r="O162" s="473"/>
      <c r="P162" s="473"/>
    </row>
    <row r="163" spans="1:16" s="475" customFormat="1" ht="30" customHeight="1">
      <c r="A163" s="478"/>
      <c r="B163" s="471"/>
      <c r="C163" s="471"/>
      <c r="D163" s="479"/>
      <c r="E163" s="474"/>
      <c r="F163" s="480"/>
      <c r="G163" s="479"/>
      <c r="H163" s="247"/>
      <c r="I163" s="491"/>
      <c r="J163" s="481"/>
      <c r="K163" s="473"/>
      <c r="L163" s="472"/>
      <c r="M163" s="473"/>
      <c r="N163" s="473"/>
      <c r="O163" s="473"/>
      <c r="P163" s="473"/>
    </row>
    <row r="164" spans="1:16" s="475" customFormat="1" ht="30" customHeight="1">
      <c r="A164" s="478"/>
      <c r="B164" s="471"/>
      <c r="C164" s="471"/>
      <c r="D164" s="479"/>
      <c r="E164" s="474"/>
      <c r="F164" s="480"/>
      <c r="G164" s="479"/>
      <c r="H164" s="247"/>
      <c r="I164" s="491"/>
      <c r="J164" s="481"/>
      <c r="K164" s="473"/>
      <c r="L164" s="472"/>
      <c r="M164" s="473"/>
      <c r="N164" s="473"/>
      <c r="O164" s="473"/>
      <c r="P164" s="473"/>
    </row>
    <row r="165" spans="1:16" s="475" customFormat="1" ht="30" customHeight="1">
      <c r="A165" s="478"/>
      <c r="B165" s="471"/>
      <c r="C165" s="471"/>
      <c r="D165" s="479"/>
      <c r="E165" s="471"/>
      <c r="F165" s="480"/>
      <c r="G165" s="479"/>
      <c r="H165" s="247"/>
      <c r="I165" s="247"/>
      <c r="J165" s="472"/>
      <c r="K165" s="473"/>
      <c r="L165" s="472"/>
      <c r="M165" s="473"/>
      <c r="N165" s="473"/>
      <c r="O165" s="473"/>
      <c r="P165" s="473"/>
    </row>
    <row r="166" spans="1:16" s="475" customFormat="1" ht="30" customHeight="1">
      <c r="A166" s="478"/>
      <c r="B166" s="471"/>
      <c r="C166" s="471"/>
      <c r="D166" s="479"/>
      <c r="E166" s="477"/>
      <c r="F166" s="472"/>
      <c r="G166" s="479"/>
      <c r="H166" s="247"/>
      <c r="I166" s="491"/>
      <c r="J166" s="481"/>
      <c r="K166" s="473"/>
      <c r="L166" s="472"/>
      <c r="M166" s="473"/>
      <c r="N166" s="473"/>
      <c r="O166" s="473"/>
      <c r="P166" s="473"/>
    </row>
    <row r="167" spans="1:16" s="475" customFormat="1" ht="30" customHeight="1">
      <c r="A167" s="478"/>
      <c r="B167" s="471"/>
      <c r="C167" s="471"/>
      <c r="D167" s="479"/>
      <c r="E167" s="487"/>
      <c r="F167" s="480"/>
      <c r="G167" s="479"/>
      <c r="H167" s="247"/>
      <c r="I167" s="491"/>
      <c r="J167" s="481"/>
      <c r="K167" s="473"/>
      <c r="L167" s="472"/>
      <c r="M167" s="473"/>
      <c r="N167" s="473"/>
      <c r="O167" s="473"/>
      <c r="P167" s="473"/>
    </row>
    <row r="168" spans="1:16" s="475" customFormat="1" ht="30" customHeight="1">
      <c r="A168" s="478"/>
      <c r="B168" s="471"/>
      <c r="C168" s="471"/>
      <c r="D168" s="479"/>
      <c r="E168" s="474"/>
      <c r="F168" s="480"/>
      <c r="G168" s="479"/>
      <c r="H168" s="247"/>
      <c r="I168" s="491"/>
      <c r="J168" s="481"/>
      <c r="K168" s="473"/>
      <c r="L168" s="472"/>
      <c r="M168" s="473"/>
      <c r="N168" s="473"/>
      <c r="O168" s="473"/>
      <c r="P168" s="473"/>
    </row>
    <row r="169" spans="1:16" s="475" customFormat="1" ht="30" customHeight="1">
      <c r="A169" s="478"/>
      <c r="B169" s="471"/>
      <c r="C169" s="471"/>
      <c r="D169" s="479"/>
      <c r="E169" s="474"/>
      <c r="F169" s="472"/>
      <c r="G169" s="479"/>
      <c r="H169" s="490"/>
      <c r="I169" s="490"/>
      <c r="J169" s="472"/>
      <c r="K169" s="473"/>
      <c r="L169" s="472"/>
      <c r="M169" s="473"/>
      <c r="N169" s="473"/>
      <c r="O169" s="473"/>
      <c r="P169" s="473"/>
    </row>
    <row r="170" spans="1:16" s="475" customFormat="1" ht="30" customHeight="1">
      <c r="A170" s="478"/>
      <c r="B170" s="472"/>
      <c r="C170" s="471"/>
      <c r="D170" s="479"/>
      <c r="E170" s="474"/>
      <c r="F170" s="480"/>
      <c r="G170" s="479"/>
      <c r="H170" s="247"/>
      <c r="I170" s="491"/>
      <c r="J170" s="481"/>
      <c r="K170" s="473"/>
      <c r="L170" s="472"/>
      <c r="M170" s="473"/>
      <c r="N170" s="473"/>
      <c r="O170" s="473"/>
      <c r="P170" s="473"/>
    </row>
    <row r="171" spans="1:16" s="475" customFormat="1" ht="30" customHeight="1">
      <c r="A171" s="478"/>
      <c r="B171" s="471"/>
      <c r="C171" s="471"/>
      <c r="D171" s="479"/>
      <c r="E171" s="474"/>
      <c r="F171" s="480"/>
      <c r="G171" s="479"/>
      <c r="H171" s="247"/>
      <c r="I171" s="247"/>
      <c r="J171" s="472"/>
      <c r="K171" s="473"/>
      <c r="L171" s="472"/>
      <c r="M171" s="473"/>
      <c r="N171" s="473"/>
      <c r="O171" s="473"/>
      <c r="P171" s="473"/>
    </row>
    <row r="172" spans="1:16" s="475" customFormat="1" ht="30" customHeight="1">
      <c r="A172" s="478"/>
      <c r="B172" s="471"/>
      <c r="C172" s="471"/>
      <c r="D172" s="479"/>
      <c r="E172" s="487"/>
      <c r="F172" s="480"/>
      <c r="G172" s="479"/>
      <c r="H172" s="247"/>
      <c r="I172" s="491"/>
      <c r="J172" s="481"/>
      <c r="K172" s="473"/>
      <c r="L172" s="472"/>
      <c r="M172" s="473"/>
      <c r="N172" s="473"/>
      <c r="O172" s="473"/>
      <c r="P172" s="473"/>
    </row>
    <row r="173" spans="1:16" s="475" customFormat="1" ht="30" customHeight="1">
      <c r="A173" s="478"/>
      <c r="B173" s="471"/>
      <c r="C173" s="471"/>
      <c r="D173" s="479"/>
      <c r="E173" s="474"/>
      <c r="F173" s="472"/>
      <c r="G173" s="479"/>
      <c r="H173" s="247"/>
      <c r="I173" s="491"/>
      <c r="J173" s="481"/>
      <c r="K173" s="473"/>
      <c r="L173" s="472"/>
      <c r="M173" s="473"/>
      <c r="N173" s="473"/>
      <c r="O173" s="473"/>
      <c r="P173" s="473"/>
    </row>
    <row r="174" spans="1:16" s="475" customFormat="1" ht="30" customHeight="1">
      <c r="A174" s="478"/>
      <c r="B174" s="471"/>
      <c r="C174" s="471"/>
      <c r="D174" s="479"/>
      <c r="E174" s="474"/>
      <c r="F174" s="472"/>
      <c r="G174" s="479"/>
      <c r="H174" s="247"/>
      <c r="I174" s="491"/>
      <c r="J174" s="481"/>
      <c r="K174" s="473"/>
      <c r="L174" s="472"/>
      <c r="M174" s="473"/>
      <c r="N174" s="473"/>
      <c r="O174" s="473"/>
      <c r="P174" s="473"/>
    </row>
    <row r="175" spans="1:16" s="475" customFormat="1" ht="30" customHeight="1">
      <c r="A175" s="478"/>
      <c r="B175" s="471"/>
      <c r="C175" s="471"/>
      <c r="D175" s="479"/>
      <c r="E175" s="471"/>
      <c r="F175" s="472"/>
      <c r="G175" s="479"/>
      <c r="H175" s="247"/>
      <c r="I175" s="247"/>
      <c r="J175" s="472"/>
      <c r="K175" s="473"/>
      <c r="L175" s="472"/>
      <c r="M175" s="473"/>
      <c r="N175" s="473"/>
      <c r="O175" s="473"/>
      <c r="P175" s="473"/>
    </row>
    <row r="176" spans="1:16" s="475" customFormat="1" ht="30" customHeight="1">
      <c r="A176" s="478"/>
      <c r="B176" s="471"/>
      <c r="C176" s="471"/>
      <c r="D176" s="479"/>
      <c r="E176" s="474"/>
      <c r="F176" s="472"/>
      <c r="G176" s="479"/>
      <c r="H176" s="247"/>
      <c r="I176" s="247"/>
      <c r="J176" s="472"/>
      <c r="K176" s="473"/>
      <c r="L176" s="472"/>
      <c r="M176" s="473"/>
      <c r="N176" s="473"/>
      <c r="O176" s="473"/>
      <c r="P176" s="473"/>
    </row>
    <row r="177" spans="1:16" s="475" customFormat="1" ht="30" customHeight="1">
      <c r="A177" s="478"/>
      <c r="B177" s="471"/>
      <c r="C177" s="471"/>
      <c r="D177" s="479"/>
      <c r="E177" s="471"/>
      <c r="F177" s="472"/>
      <c r="G177" s="479"/>
      <c r="H177" s="247"/>
      <c r="I177" s="247"/>
      <c r="J177" s="472"/>
      <c r="K177" s="473"/>
      <c r="L177" s="472"/>
      <c r="M177" s="473"/>
      <c r="N177" s="473"/>
      <c r="O177" s="473"/>
      <c r="P177" s="473"/>
    </row>
    <row r="178" spans="1:16" s="475" customFormat="1" ht="30" customHeight="1">
      <c r="A178" s="478"/>
      <c r="B178" s="471"/>
      <c r="C178" s="471"/>
      <c r="D178" s="479"/>
      <c r="E178" s="474"/>
      <c r="F178" s="480"/>
      <c r="G178" s="479"/>
      <c r="H178" s="490"/>
      <c r="I178" s="490"/>
      <c r="J178" s="472"/>
      <c r="K178" s="473"/>
      <c r="L178" s="472"/>
      <c r="M178" s="473"/>
      <c r="N178" s="473"/>
      <c r="O178" s="473"/>
      <c r="P178" s="473"/>
    </row>
    <row r="179" spans="1:16" s="475" customFormat="1" ht="30" customHeight="1">
      <c r="A179" s="478"/>
      <c r="B179" s="471"/>
      <c r="C179" s="471"/>
      <c r="D179" s="479"/>
      <c r="E179" s="474"/>
      <c r="F179" s="472"/>
      <c r="G179" s="479"/>
      <c r="H179" s="247"/>
      <c r="I179" s="491"/>
      <c r="J179" s="481"/>
      <c r="K179" s="473"/>
      <c r="L179" s="472"/>
      <c r="M179" s="473"/>
      <c r="N179" s="473"/>
      <c r="O179" s="473"/>
      <c r="P179" s="473"/>
    </row>
    <row r="180" spans="1:16" s="475" customFormat="1" ht="30" customHeight="1">
      <c r="A180" s="478"/>
      <c r="B180" s="471"/>
      <c r="C180" s="471"/>
      <c r="D180" s="479"/>
      <c r="E180" s="474"/>
      <c r="F180" s="472"/>
      <c r="G180" s="479"/>
      <c r="H180" s="247"/>
      <c r="I180" s="491"/>
      <c r="J180" s="481"/>
      <c r="K180" s="473"/>
      <c r="L180" s="472"/>
      <c r="M180" s="473"/>
      <c r="N180" s="473"/>
      <c r="O180" s="473"/>
      <c r="P180" s="473"/>
    </row>
    <row r="181" spans="1:16" s="475" customFormat="1" ht="30" customHeight="1">
      <c r="A181" s="478"/>
      <c r="B181" s="471"/>
      <c r="C181" s="471"/>
      <c r="D181" s="479"/>
      <c r="E181" s="474"/>
      <c r="F181" s="472"/>
      <c r="G181" s="479"/>
      <c r="H181" s="247"/>
      <c r="I181" s="491"/>
      <c r="J181" s="481"/>
      <c r="K181" s="473"/>
      <c r="L181" s="472"/>
      <c r="M181" s="473"/>
      <c r="N181" s="473"/>
      <c r="O181" s="473"/>
      <c r="P181" s="473"/>
    </row>
    <row r="182" spans="1:16" s="475" customFormat="1" ht="30" customHeight="1">
      <c r="A182" s="478"/>
      <c r="B182" s="471"/>
      <c r="C182" s="471"/>
      <c r="D182" s="479"/>
      <c r="E182" s="474"/>
      <c r="F182" s="472"/>
      <c r="G182" s="479"/>
      <c r="H182" s="490"/>
      <c r="I182" s="531"/>
      <c r="J182" s="481"/>
      <c r="K182" s="473"/>
      <c r="L182" s="472"/>
      <c r="M182" s="473"/>
      <c r="N182" s="473"/>
      <c r="O182" s="473"/>
      <c r="P182" s="473"/>
    </row>
    <row r="183" spans="1:16" s="475" customFormat="1" ht="30" customHeight="1">
      <c r="A183" s="478"/>
      <c r="B183" s="471"/>
      <c r="C183" s="471"/>
      <c r="D183" s="479"/>
      <c r="E183" s="474"/>
      <c r="F183" s="472"/>
      <c r="G183" s="479"/>
      <c r="H183" s="247"/>
      <c r="I183" s="247"/>
      <c r="J183" s="472"/>
      <c r="K183" s="473"/>
      <c r="L183" s="472"/>
      <c r="M183" s="473"/>
      <c r="N183" s="473"/>
      <c r="O183" s="473"/>
      <c r="P183" s="473"/>
    </row>
    <row r="184" spans="1:16" s="475" customFormat="1" ht="30" customHeight="1">
      <c r="A184" s="478"/>
      <c r="B184" s="471"/>
      <c r="C184" s="471"/>
      <c r="D184" s="479"/>
      <c r="E184" s="474"/>
      <c r="F184" s="480"/>
      <c r="G184" s="479"/>
      <c r="H184" s="247"/>
      <c r="I184" s="247"/>
      <c r="J184" s="472"/>
      <c r="K184" s="473"/>
      <c r="L184" s="472"/>
      <c r="M184" s="473"/>
      <c r="N184" s="473"/>
      <c r="O184" s="473"/>
      <c r="P184" s="473"/>
    </row>
    <row r="185" spans="1:16" s="475" customFormat="1" ht="30" customHeight="1">
      <c r="A185" s="478"/>
      <c r="B185" s="471"/>
      <c r="C185" s="471"/>
      <c r="D185" s="479"/>
      <c r="E185" s="474"/>
      <c r="F185" s="480"/>
      <c r="G185" s="479"/>
      <c r="H185" s="247"/>
      <c r="I185" s="491"/>
      <c r="J185" s="481"/>
      <c r="K185" s="473"/>
      <c r="L185" s="472"/>
      <c r="M185" s="473"/>
      <c r="N185" s="473"/>
      <c r="O185" s="473"/>
      <c r="P185" s="473"/>
    </row>
    <row r="186" spans="1:16" ht="27" customHeight="1">
      <c r="A186" s="478"/>
      <c r="B186" s="471"/>
      <c r="C186" s="471"/>
      <c r="D186" s="479"/>
      <c r="E186" s="474"/>
      <c r="F186" s="472"/>
      <c r="G186" s="479"/>
      <c r="H186" s="491"/>
      <c r="I186" s="491"/>
      <c r="J186" s="472"/>
      <c r="K186" s="475"/>
      <c r="L186" s="492"/>
      <c r="M186" s="475"/>
      <c r="N186" s="475"/>
      <c r="O186" s="475"/>
      <c r="P186" s="475"/>
    </row>
    <row r="187" spans="1:16" ht="29.25" customHeight="1">
      <c r="A187" s="478"/>
      <c r="B187" s="471"/>
      <c r="C187" s="471"/>
      <c r="D187" s="479"/>
      <c r="E187" s="474"/>
      <c r="F187" s="472"/>
      <c r="G187" s="479"/>
      <c r="H187" s="247"/>
      <c r="I187" s="247"/>
      <c r="J187" s="472"/>
      <c r="K187" s="475"/>
      <c r="L187" s="492"/>
      <c r="M187" s="475"/>
      <c r="N187" s="475"/>
      <c r="O187" s="475"/>
      <c r="P187" s="475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BW876"/>
  <sheetViews>
    <sheetView showGridLines="0" view="pageBreakPreview" topLeftCell="A199" zoomScale="60" zoomScaleNormal="40" workbookViewId="0">
      <selection activeCell="BY224" sqref="BY224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82" t="s">
        <v>480</v>
      </c>
      <c r="B1" s="783"/>
      <c r="C1" s="783"/>
      <c r="D1" s="783"/>
      <c r="E1" s="783"/>
      <c r="F1" s="783"/>
      <c r="G1" s="783"/>
      <c r="H1" s="783"/>
      <c r="I1" s="783"/>
      <c r="J1" s="783"/>
      <c r="K1" s="783"/>
      <c r="L1" s="783"/>
      <c r="M1" s="783"/>
      <c r="N1" s="783"/>
      <c r="O1" s="783"/>
      <c r="P1" s="783"/>
      <c r="Q1" s="783"/>
      <c r="R1" s="783"/>
      <c r="S1" s="783"/>
      <c r="T1" s="783"/>
      <c r="U1" s="783"/>
      <c r="V1" s="783"/>
      <c r="W1" s="783"/>
      <c r="X1" s="783"/>
      <c r="Y1" s="783"/>
      <c r="Z1" s="783"/>
      <c r="AA1" s="783"/>
      <c r="AB1" s="783"/>
      <c r="AC1" s="783"/>
      <c r="AD1" s="783"/>
      <c r="AE1" s="783"/>
      <c r="AF1" s="784"/>
      <c r="AG1" s="170"/>
      <c r="AH1" s="170"/>
      <c r="AI1" s="170"/>
      <c r="AJ1" s="170"/>
      <c r="AK1" s="170"/>
      <c r="AL1" s="170"/>
      <c r="AM1" s="751"/>
      <c r="AN1" s="751"/>
      <c r="AO1" s="752"/>
    </row>
    <row r="2" spans="1:41" s="159" customFormat="1" ht="17.25">
      <c r="A2" s="574" t="s">
        <v>481</v>
      </c>
      <c r="B2" s="575"/>
      <c r="C2" s="575"/>
      <c r="D2" s="576"/>
      <c r="E2" s="577" t="s">
        <v>482</v>
      </c>
      <c r="F2" s="578"/>
      <c r="G2" s="579"/>
      <c r="H2" s="579"/>
      <c r="I2" s="579"/>
      <c r="J2" s="579"/>
      <c r="K2" s="576"/>
      <c r="L2" s="576"/>
      <c r="M2" s="576"/>
      <c r="N2" s="576"/>
      <c r="O2" s="576"/>
      <c r="P2" s="576"/>
      <c r="Q2" s="576"/>
      <c r="R2" s="576"/>
      <c r="S2" s="576"/>
      <c r="T2" s="576" t="s">
        <v>20</v>
      </c>
      <c r="U2" s="576"/>
      <c r="V2" s="579"/>
      <c r="W2" s="579"/>
      <c r="X2" s="579"/>
      <c r="Y2" s="579"/>
      <c r="Z2" s="579"/>
      <c r="AA2" s="579"/>
      <c r="AB2" s="579"/>
      <c r="AC2" s="579"/>
      <c r="AD2" s="579"/>
      <c r="AE2" s="579"/>
      <c r="AF2" s="580"/>
      <c r="AG2" s="753"/>
      <c r="AH2" s="753"/>
      <c r="AI2" s="753"/>
      <c r="AJ2" s="753"/>
      <c r="AK2" s="753"/>
      <c r="AL2" s="753"/>
      <c r="AM2" s="753"/>
      <c r="AN2" s="753"/>
      <c r="AO2" s="754"/>
    </row>
    <row r="3" spans="1:41" s="159" customFormat="1" ht="17.100000000000001" customHeight="1">
      <c r="A3" s="574" t="s">
        <v>483</v>
      </c>
      <c r="B3" s="575"/>
      <c r="C3" s="575"/>
      <c r="D3" s="581"/>
      <c r="E3" s="577" t="s">
        <v>484</v>
      </c>
      <c r="F3" s="581"/>
      <c r="G3" s="581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  <c r="V3" s="579"/>
      <c r="W3" s="579"/>
      <c r="X3" s="579"/>
      <c r="Y3" s="579"/>
      <c r="Z3" s="579"/>
      <c r="AA3" s="579"/>
      <c r="AB3" s="579"/>
      <c r="AC3" s="579"/>
      <c r="AD3" s="579"/>
      <c r="AE3" s="579"/>
      <c r="AF3" s="580"/>
      <c r="AG3" s="755" t="s">
        <v>485</v>
      </c>
      <c r="AH3" s="756"/>
      <c r="AI3" s="756"/>
      <c r="AJ3" s="171" t="s">
        <v>486</v>
      </c>
      <c r="AK3" s="171"/>
      <c r="AL3" s="171"/>
      <c r="AM3" s="757" t="s">
        <v>487</v>
      </c>
      <c r="AN3" s="757" t="s">
        <v>488</v>
      </c>
      <c r="AO3" s="760" t="s">
        <v>489</v>
      </c>
    </row>
    <row r="4" spans="1:41" s="159" customFormat="1" ht="17.100000000000001" customHeight="1">
      <c r="A4" s="582" t="s">
        <v>265</v>
      </c>
      <c r="B4" s="583"/>
      <c r="C4" s="583"/>
      <c r="D4" s="584"/>
      <c r="E4" s="577" t="s">
        <v>490</v>
      </c>
      <c r="F4" s="584"/>
      <c r="G4" s="584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79"/>
      <c r="W4" s="579"/>
      <c r="X4" s="579"/>
      <c r="Y4" s="579"/>
      <c r="Z4" s="579"/>
      <c r="AA4" s="579"/>
      <c r="AB4" s="579"/>
      <c r="AC4" s="579"/>
      <c r="AD4" s="579"/>
      <c r="AE4" s="579"/>
      <c r="AF4" s="580"/>
      <c r="AG4" s="755" t="s">
        <v>491</v>
      </c>
      <c r="AH4" s="756" t="s">
        <v>492</v>
      </c>
      <c r="AI4" s="756" t="s">
        <v>493</v>
      </c>
      <c r="AJ4" s="756" t="s">
        <v>491</v>
      </c>
      <c r="AK4" s="756" t="s">
        <v>492</v>
      </c>
      <c r="AL4" s="756" t="s">
        <v>493</v>
      </c>
      <c r="AM4" s="758"/>
      <c r="AN4" s="758"/>
      <c r="AO4" s="761"/>
    </row>
    <row r="5" spans="1:41" s="159" customFormat="1" ht="17.45" customHeight="1" thickBot="1">
      <c r="A5" s="585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803">
        <f>'765KV ASOTL'!G1</f>
        <v>46208</v>
      </c>
      <c r="AF5" s="804"/>
      <c r="AG5" s="755"/>
      <c r="AH5" s="756"/>
      <c r="AI5" s="756"/>
      <c r="AJ5" s="756"/>
      <c r="AK5" s="756"/>
      <c r="AL5" s="756"/>
      <c r="AM5" s="759"/>
      <c r="AN5" s="759"/>
      <c r="AO5" s="762"/>
    </row>
    <row r="6" spans="1:41" s="159" customFormat="1" ht="13.35" customHeight="1">
      <c r="A6" s="789" t="s">
        <v>494</v>
      </c>
      <c r="B6" s="790"/>
      <c r="C6" s="790"/>
      <c r="D6" s="790"/>
      <c r="E6" s="790"/>
      <c r="F6" s="790"/>
      <c r="G6" s="790"/>
      <c r="H6" s="790"/>
      <c r="I6" s="790"/>
      <c r="J6" s="790"/>
      <c r="K6" s="790"/>
      <c r="L6" s="805" t="s">
        <v>495</v>
      </c>
      <c r="M6" s="806"/>
      <c r="N6" s="806"/>
      <c r="O6" s="806"/>
      <c r="P6" s="806"/>
      <c r="Q6" s="806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586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91"/>
      <c r="B7" s="792"/>
      <c r="C7" s="792"/>
      <c r="D7" s="792"/>
      <c r="E7" s="792"/>
      <c r="F7" s="792"/>
      <c r="G7" s="792"/>
      <c r="H7" s="792"/>
      <c r="I7" s="792"/>
      <c r="J7" s="792"/>
      <c r="K7" s="792"/>
      <c r="L7" s="807"/>
      <c r="M7" s="808"/>
      <c r="N7" s="808"/>
      <c r="O7" s="808"/>
      <c r="P7" s="808"/>
      <c r="Q7" s="808"/>
      <c r="R7" s="175"/>
      <c r="S7" s="175"/>
      <c r="T7" s="175"/>
      <c r="U7" s="175"/>
      <c r="V7" s="175"/>
      <c r="W7" s="176"/>
      <c r="X7" s="587"/>
      <c r="Y7" s="587"/>
      <c r="Z7" s="587"/>
      <c r="AA7" s="587"/>
      <c r="AB7" s="587"/>
      <c r="AC7" s="587"/>
      <c r="AD7" s="587"/>
      <c r="AE7" s="587"/>
      <c r="AF7" s="588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3" t="s">
        <v>244</v>
      </c>
      <c r="B8" s="795" t="s">
        <v>22</v>
      </c>
      <c r="C8" s="796"/>
      <c r="D8" s="797"/>
      <c r="E8" s="801" t="s">
        <v>246</v>
      </c>
      <c r="F8" s="795" t="s">
        <v>496</v>
      </c>
      <c r="G8" s="797"/>
      <c r="H8" s="795" t="s">
        <v>497</v>
      </c>
      <c r="I8" s="797"/>
      <c r="J8" s="795" t="s">
        <v>498</v>
      </c>
      <c r="K8" s="797"/>
      <c r="L8" s="816" t="s">
        <v>244</v>
      </c>
      <c r="M8" s="818" t="s">
        <v>499</v>
      </c>
      <c r="N8" s="819"/>
      <c r="O8" s="822" t="s">
        <v>500</v>
      </c>
      <c r="P8" s="816" t="s">
        <v>501</v>
      </c>
      <c r="Q8" s="785" t="s">
        <v>502</v>
      </c>
      <c r="T8" s="589"/>
      <c r="U8" s="589"/>
      <c r="V8" s="589"/>
      <c r="W8" s="589"/>
      <c r="X8" s="589"/>
      <c r="Y8" s="589"/>
      <c r="Z8" s="589"/>
      <c r="AA8" s="589"/>
      <c r="AB8" s="589"/>
      <c r="AC8" s="589"/>
      <c r="AD8" s="589"/>
      <c r="AE8" s="589"/>
      <c r="AF8" s="590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4"/>
      <c r="B9" s="798"/>
      <c r="C9" s="799"/>
      <c r="D9" s="800"/>
      <c r="E9" s="802"/>
      <c r="F9" s="798"/>
      <c r="G9" s="800"/>
      <c r="H9" s="798"/>
      <c r="I9" s="800"/>
      <c r="J9" s="798"/>
      <c r="K9" s="800"/>
      <c r="L9" s="817"/>
      <c r="M9" s="820"/>
      <c r="N9" s="821"/>
      <c r="O9" s="823"/>
      <c r="P9" s="817"/>
      <c r="Q9" s="786"/>
      <c r="T9" s="589"/>
      <c r="U9" s="589"/>
      <c r="V9" s="589"/>
      <c r="W9" s="589"/>
      <c r="X9" s="589"/>
      <c r="Y9" s="589"/>
      <c r="Z9" s="589"/>
      <c r="AA9" s="589"/>
      <c r="AB9" s="589"/>
      <c r="AC9" s="589"/>
      <c r="AD9" s="589"/>
      <c r="AE9" s="589"/>
      <c r="AF9" s="590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591">
        <v>1</v>
      </c>
      <c r="B10" s="809" t="s">
        <v>37</v>
      </c>
      <c r="C10" s="810"/>
      <c r="D10" s="811"/>
      <c r="E10" s="177" t="s">
        <v>503</v>
      </c>
      <c r="F10" s="812">
        <v>114.51600000000001</v>
      </c>
      <c r="G10" s="813"/>
      <c r="H10" s="814">
        <f>'Survey Anx'!F39</f>
        <v>107.97099999999999</v>
      </c>
      <c r="I10" s="815"/>
      <c r="J10" s="812">
        <f t="shared" ref="J10:J19" si="0">F10-H10</f>
        <v>6.5450000000000159</v>
      </c>
      <c r="K10" s="813"/>
      <c r="L10" s="177">
        <v>1</v>
      </c>
      <c r="M10" s="787" t="s">
        <v>504</v>
      </c>
      <c r="N10" s="788"/>
      <c r="O10" s="178"/>
      <c r="P10" s="178"/>
      <c r="Q10" s="178"/>
      <c r="T10" s="592"/>
      <c r="U10" s="592"/>
      <c r="V10" s="592"/>
      <c r="W10" s="592"/>
      <c r="X10" s="592"/>
      <c r="Y10" s="592"/>
      <c r="Z10" s="592"/>
      <c r="AA10" s="592"/>
      <c r="AB10" s="592"/>
      <c r="AC10" s="592"/>
      <c r="AD10" s="592"/>
      <c r="AE10" s="592"/>
      <c r="AF10" s="593"/>
      <c r="AG10" s="742"/>
      <c r="AH10" s="742"/>
      <c r="AI10" s="742"/>
      <c r="AJ10" s="742"/>
      <c r="AK10" s="742"/>
      <c r="AL10" s="742"/>
      <c r="AM10" s="743"/>
      <c r="AN10" s="743"/>
      <c r="AO10" s="745"/>
    </row>
    <row r="11" spans="1:41" s="159" customFormat="1" ht="17.25">
      <c r="A11" s="594">
        <v>2</v>
      </c>
      <c r="B11" s="771" t="s">
        <v>21</v>
      </c>
      <c r="C11" s="772"/>
      <c r="D11" s="773"/>
      <c r="E11" s="179" t="s">
        <v>503</v>
      </c>
      <c r="F11" s="774">
        <v>114.51600000000001</v>
      </c>
      <c r="G11" s="775"/>
      <c r="H11" s="776">
        <f>'Survey Anx'!I39</f>
        <v>94.51900000000002</v>
      </c>
      <c r="I11" s="777"/>
      <c r="J11" s="774">
        <f t="shared" si="0"/>
        <v>19.996999999999986</v>
      </c>
      <c r="K11" s="775"/>
      <c r="L11" s="204">
        <f t="shared" ref="L11:L18" si="1">L10+1</f>
        <v>2</v>
      </c>
      <c r="M11" s="747" t="s">
        <v>505</v>
      </c>
      <c r="N11" s="748"/>
      <c r="O11" s="168"/>
      <c r="P11" s="168"/>
      <c r="Q11" s="168"/>
      <c r="T11" s="592"/>
      <c r="U11" s="592"/>
      <c r="V11" s="592"/>
      <c r="W11" s="592"/>
      <c r="X11" s="592"/>
      <c r="Y11" s="592"/>
      <c r="Z11" s="592"/>
      <c r="AA11" s="592"/>
      <c r="AB11" s="592"/>
      <c r="AC11" s="592"/>
      <c r="AD11" s="592"/>
      <c r="AE11" s="592"/>
      <c r="AF11" s="593"/>
      <c r="AG11" s="742"/>
      <c r="AH11" s="742"/>
      <c r="AI11" s="742"/>
      <c r="AJ11" s="742"/>
      <c r="AK11" s="742"/>
      <c r="AL11" s="742"/>
      <c r="AM11" s="743"/>
      <c r="AN11" s="743"/>
      <c r="AO11" s="745"/>
    </row>
    <row r="12" spans="1:41" s="159" customFormat="1" ht="17.45" customHeight="1">
      <c r="A12" s="594">
        <v>3</v>
      </c>
      <c r="B12" s="771" t="s">
        <v>52</v>
      </c>
      <c r="C12" s="772"/>
      <c r="D12" s="773"/>
      <c r="E12" s="179" t="s">
        <v>506</v>
      </c>
      <c r="F12" s="778">
        <v>30</v>
      </c>
      <c r="G12" s="779"/>
      <c r="H12" s="780">
        <v>30</v>
      </c>
      <c r="I12" s="781"/>
      <c r="J12" s="778">
        <f t="shared" si="0"/>
        <v>0</v>
      </c>
      <c r="K12" s="779"/>
      <c r="L12" s="204">
        <f t="shared" si="1"/>
        <v>3</v>
      </c>
      <c r="M12" s="747" t="s">
        <v>507</v>
      </c>
      <c r="N12" s="748"/>
      <c r="O12" s="168"/>
      <c r="P12" s="168"/>
      <c r="Q12" s="168"/>
      <c r="T12" s="592"/>
      <c r="U12" s="592"/>
      <c r="V12" s="592"/>
      <c r="W12" s="592"/>
      <c r="X12" s="592"/>
      <c r="Y12" s="592"/>
      <c r="Z12" s="592"/>
      <c r="AA12" s="592"/>
      <c r="AB12" s="592"/>
      <c r="AC12" s="592"/>
      <c r="AD12" s="592"/>
      <c r="AE12" s="592"/>
      <c r="AF12" s="593"/>
      <c r="AG12" s="743"/>
      <c r="AH12" s="743"/>
      <c r="AI12" s="743"/>
      <c r="AJ12" s="743"/>
      <c r="AK12" s="743"/>
      <c r="AL12" s="743"/>
      <c r="AM12" s="743"/>
      <c r="AN12" s="743"/>
      <c r="AO12" s="745"/>
    </row>
    <row r="13" spans="1:41" s="159" customFormat="1" ht="17.45" customHeight="1">
      <c r="A13" s="594">
        <v>4</v>
      </c>
      <c r="B13" s="771" t="s">
        <v>54</v>
      </c>
      <c r="C13" s="772"/>
      <c r="D13" s="773"/>
      <c r="E13" s="179" t="s">
        <v>506</v>
      </c>
      <c r="F13" s="778">
        <v>293</v>
      </c>
      <c r="G13" s="779"/>
      <c r="H13" s="780">
        <f>BV20</f>
        <v>95</v>
      </c>
      <c r="I13" s="781"/>
      <c r="J13" s="778">
        <f t="shared" si="0"/>
        <v>198</v>
      </c>
      <c r="K13" s="779"/>
      <c r="L13" s="204">
        <f t="shared" si="1"/>
        <v>4</v>
      </c>
      <c r="M13" s="747" t="s">
        <v>508</v>
      </c>
      <c r="N13" s="748"/>
      <c r="O13" s="168"/>
      <c r="P13" s="168"/>
      <c r="Q13" s="168"/>
      <c r="T13" s="592"/>
      <c r="U13" s="592"/>
      <c r="V13" s="592"/>
      <c r="W13" s="592"/>
      <c r="X13" s="592"/>
      <c r="Y13" s="592"/>
      <c r="Z13" s="592"/>
      <c r="AA13" s="592"/>
      <c r="AB13" s="592"/>
      <c r="AC13" s="592"/>
      <c r="AD13" s="592"/>
      <c r="AE13" s="592"/>
      <c r="AF13" s="593"/>
      <c r="AG13" s="743"/>
      <c r="AH13" s="743"/>
      <c r="AI13" s="743"/>
      <c r="AJ13" s="743"/>
      <c r="AK13" s="743"/>
      <c r="AL13" s="743"/>
      <c r="AM13" s="743"/>
      <c r="AN13" s="743"/>
      <c r="AO13" s="745"/>
    </row>
    <row r="14" spans="1:41" s="159" customFormat="1" ht="17.45" customHeight="1">
      <c r="A14" s="594">
        <v>5</v>
      </c>
      <c r="B14" s="771" t="s">
        <v>55</v>
      </c>
      <c r="C14" s="772"/>
      <c r="D14" s="773"/>
      <c r="E14" s="179" t="s">
        <v>506</v>
      </c>
      <c r="F14" s="778">
        <v>293</v>
      </c>
      <c r="G14" s="779"/>
      <c r="H14" s="780">
        <v>89</v>
      </c>
      <c r="I14" s="781"/>
      <c r="J14" s="778">
        <f t="shared" si="0"/>
        <v>204</v>
      </c>
      <c r="K14" s="779"/>
      <c r="L14" s="204">
        <f t="shared" si="1"/>
        <v>5</v>
      </c>
      <c r="M14" s="747" t="s">
        <v>509</v>
      </c>
      <c r="N14" s="748"/>
      <c r="O14" s="168"/>
      <c r="P14" s="168"/>
      <c r="Q14" s="168"/>
      <c r="T14" s="592"/>
      <c r="U14" s="592"/>
      <c r="V14" s="592"/>
      <c r="W14" s="592"/>
      <c r="X14" s="592"/>
      <c r="Y14" s="592"/>
      <c r="Z14" s="592"/>
      <c r="AA14" s="592"/>
      <c r="AB14" s="592"/>
      <c r="AC14" s="592"/>
      <c r="AD14" s="592"/>
      <c r="AE14" s="592"/>
      <c r="AF14" s="593"/>
      <c r="AG14" s="743"/>
      <c r="AH14" s="743"/>
      <c r="AI14" s="743"/>
      <c r="AJ14" s="743"/>
      <c r="AK14" s="743"/>
      <c r="AL14" s="743"/>
      <c r="AM14" s="743"/>
      <c r="AN14" s="743"/>
      <c r="AO14" s="745"/>
    </row>
    <row r="15" spans="1:41" s="159" customFormat="1" ht="17.100000000000001" customHeight="1">
      <c r="A15" s="594">
        <v>6</v>
      </c>
      <c r="B15" s="771" t="s">
        <v>510</v>
      </c>
      <c r="C15" s="772"/>
      <c r="D15" s="773"/>
      <c r="E15" s="179" t="s">
        <v>506</v>
      </c>
      <c r="F15" s="778">
        <v>293</v>
      </c>
      <c r="G15" s="779"/>
      <c r="H15" s="780">
        <f>BW20</f>
        <v>46</v>
      </c>
      <c r="I15" s="781"/>
      <c r="J15" s="778">
        <f t="shared" si="0"/>
        <v>247</v>
      </c>
      <c r="K15" s="779"/>
      <c r="L15" s="204">
        <f t="shared" si="1"/>
        <v>6</v>
      </c>
      <c r="M15" s="747" t="s">
        <v>511</v>
      </c>
      <c r="N15" s="748"/>
      <c r="O15" s="168"/>
      <c r="P15" s="168"/>
      <c r="Q15" s="168"/>
      <c r="T15" s="592"/>
      <c r="U15" s="592"/>
      <c r="V15" s="592"/>
      <c r="W15" s="592"/>
      <c r="X15" s="592"/>
      <c r="Y15" s="592"/>
      <c r="Z15" s="592"/>
      <c r="AA15" s="592"/>
      <c r="AB15" s="592"/>
      <c r="AC15" s="592"/>
      <c r="AD15" s="592"/>
      <c r="AE15" s="592"/>
      <c r="AF15" s="593"/>
      <c r="AG15" s="743"/>
      <c r="AH15" s="743"/>
      <c r="AI15" s="743"/>
      <c r="AJ15" s="743"/>
      <c r="AK15" s="743"/>
      <c r="AL15" s="743"/>
      <c r="AM15" s="743"/>
      <c r="AN15" s="743"/>
      <c r="AO15" s="745"/>
    </row>
    <row r="16" spans="1:41" s="159" customFormat="1" ht="17.45" customHeight="1">
      <c r="A16" s="594">
        <v>7</v>
      </c>
      <c r="B16" s="771" t="s">
        <v>512</v>
      </c>
      <c r="C16" s="772"/>
      <c r="D16" s="773"/>
      <c r="E16" s="179" t="s">
        <v>506</v>
      </c>
      <c r="F16" s="778">
        <v>293</v>
      </c>
      <c r="G16" s="779"/>
      <c r="H16" s="780">
        <v>13</v>
      </c>
      <c r="I16" s="781"/>
      <c r="J16" s="778">
        <f t="shared" si="0"/>
        <v>280</v>
      </c>
      <c r="K16" s="779"/>
      <c r="L16" s="204">
        <f t="shared" si="1"/>
        <v>7</v>
      </c>
      <c r="M16" s="747" t="s">
        <v>67</v>
      </c>
      <c r="N16" s="748"/>
      <c r="O16" s="168"/>
      <c r="P16" s="168"/>
      <c r="Q16" s="168"/>
      <c r="T16" s="592"/>
      <c r="U16" s="592"/>
      <c r="V16" s="592"/>
      <c r="W16" s="592"/>
      <c r="X16" s="592"/>
      <c r="Y16" s="592"/>
      <c r="Z16" s="592"/>
      <c r="AA16" s="592"/>
      <c r="AB16" s="592"/>
      <c r="AC16" s="592"/>
      <c r="AD16" s="592"/>
      <c r="AE16" s="592"/>
      <c r="AF16" s="593"/>
      <c r="AG16" s="743"/>
      <c r="AH16" s="743"/>
      <c r="AI16" s="743"/>
      <c r="AJ16" s="743"/>
      <c r="AK16" s="743"/>
      <c r="AL16" s="743"/>
      <c r="AM16" s="743"/>
      <c r="AN16" s="743"/>
      <c r="AO16" s="745"/>
    </row>
    <row r="17" spans="1:75" s="159" customFormat="1" ht="17.45" customHeight="1">
      <c r="A17" s="594">
        <v>8</v>
      </c>
      <c r="B17" s="771" t="s">
        <v>513</v>
      </c>
      <c r="C17" s="772"/>
      <c r="D17" s="773"/>
      <c r="E17" s="179" t="s">
        <v>503</v>
      </c>
      <c r="F17" s="774">
        <v>114.51600000000001</v>
      </c>
      <c r="G17" s="775"/>
      <c r="H17" s="776">
        <v>0</v>
      </c>
      <c r="I17" s="777"/>
      <c r="J17" s="774">
        <f t="shared" si="0"/>
        <v>114.51600000000001</v>
      </c>
      <c r="K17" s="775"/>
      <c r="L17" s="204">
        <f t="shared" si="1"/>
        <v>8</v>
      </c>
      <c r="M17" s="747" t="s">
        <v>67</v>
      </c>
      <c r="N17" s="748"/>
      <c r="O17" s="168"/>
      <c r="P17" s="168"/>
      <c r="Q17" s="168"/>
      <c r="T17" s="592"/>
      <c r="U17" s="592"/>
      <c r="V17" s="592"/>
      <c r="W17" s="592"/>
      <c r="X17" s="592"/>
      <c r="Y17" s="592"/>
      <c r="Z17" s="592"/>
      <c r="AA17" s="592"/>
      <c r="AB17" s="592"/>
      <c r="AC17" s="592"/>
      <c r="AD17" s="592"/>
      <c r="AE17" s="592"/>
      <c r="AF17" s="593"/>
      <c r="AG17" s="743"/>
      <c r="AH17" s="743"/>
      <c r="AI17" s="743"/>
      <c r="AJ17" s="743"/>
      <c r="AK17" s="743"/>
      <c r="AL17" s="743"/>
      <c r="AM17" s="743"/>
      <c r="AN17" s="743"/>
      <c r="AO17" s="745"/>
    </row>
    <row r="18" spans="1:75" s="159" customFormat="1" ht="17.45" customHeight="1">
      <c r="A18" s="594">
        <v>9</v>
      </c>
      <c r="B18" s="771" t="s">
        <v>514</v>
      </c>
      <c r="C18" s="772"/>
      <c r="D18" s="773"/>
      <c r="E18" s="179" t="s">
        <v>503</v>
      </c>
      <c r="F18" s="774">
        <v>114.51600000000001</v>
      </c>
      <c r="G18" s="775"/>
      <c r="H18" s="776">
        <v>0</v>
      </c>
      <c r="I18" s="777"/>
      <c r="J18" s="774">
        <f t="shared" si="0"/>
        <v>114.51600000000001</v>
      </c>
      <c r="K18" s="775"/>
      <c r="L18" s="204">
        <f t="shared" si="1"/>
        <v>9</v>
      </c>
      <c r="M18" s="747" t="s">
        <v>67</v>
      </c>
      <c r="N18" s="748"/>
      <c r="O18" s="168"/>
      <c r="P18" s="168"/>
      <c r="Q18" s="168"/>
      <c r="T18" s="592"/>
      <c r="U18" s="592"/>
      <c r="V18" s="592"/>
      <c r="W18" s="592"/>
      <c r="X18" s="592"/>
      <c r="Y18" s="592"/>
      <c r="Z18" s="592"/>
      <c r="AA18" s="592"/>
      <c r="AB18" s="592"/>
      <c r="AC18" s="592"/>
      <c r="AD18" s="592"/>
      <c r="AE18" s="592"/>
      <c r="AF18" s="593"/>
      <c r="AG18" s="743"/>
      <c r="AH18" s="743"/>
      <c r="AI18" s="743"/>
      <c r="AJ18" s="743"/>
      <c r="AK18" s="743"/>
      <c r="AL18" s="743"/>
      <c r="AM18" s="743"/>
      <c r="AN18" s="743"/>
      <c r="AO18" s="745"/>
    </row>
    <row r="19" spans="1:75" s="159" customFormat="1" ht="18" customHeight="1" thickBot="1">
      <c r="A19" s="595">
        <v>10</v>
      </c>
      <c r="B19" s="764" t="s">
        <v>515</v>
      </c>
      <c r="C19" s="765"/>
      <c r="D19" s="766"/>
      <c r="E19" s="180" t="s">
        <v>503</v>
      </c>
      <c r="F19" s="767">
        <v>114.51600000000001</v>
      </c>
      <c r="G19" s="768"/>
      <c r="H19" s="769">
        <v>0</v>
      </c>
      <c r="I19" s="770"/>
      <c r="J19" s="767">
        <f t="shared" si="0"/>
        <v>114.51600000000001</v>
      </c>
      <c r="K19" s="768"/>
      <c r="L19" s="204">
        <f>L18+1</f>
        <v>10</v>
      </c>
      <c r="M19" s="749" t="s">
        <v>67</v>
      </c>
      <c r="N19" s="750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596"/>
      <c r="AG19" s="744"/>
      <c r="AH19" s="744"/>
      <c r="AI19" s="744"/>
      <c r="AJ19" s="744"/>
      <c r="AK19" s="744"/>
      <c r="AL19" s="744"/>
      <c r="AM19" s="744"/>
      <c r="AN19" s="744"/>
      <c r="AO19" s="746"/>
      <c r="BV19" s="324" t="s">
        <v>516</v>
      </c>
      <c r="BW19" s="324" t="s">
        <v>517</v>
      </c>
    </row>
    <row r="20" spans="1:75" s="159" customFormat="1" ht="18" customHeight="1">
      <c r="A20" s="597"/>
      <c r="B20" s="598"/>
      <c r="C20" s="598"/>
      <c r="D20" s="598"/>
      <c r="E20" s="599"/>
      <c r="F20" s="600"/>
      <c r="G20" s="600"/>
      <c r="H20" s="601"/>
      <c r="I20" s="601"/>
      <c r="J20" s="600"/>
      <c r="K20" s="600"/>
      <c r="L20" s="602"/>
      <c r="M20" s="599"/>
      <c r="N20" s="599"/>
      <c r="O20" s="603"/>
      <c r="P20" s="603"/>
      <c r="Q20" s="603"/>
      <c r="T20" s="592"/>
      <c r="U20" s="592"/>
      <c r="V20" s="592"/>
      <c r="W20" s="592"/>
      <c r="X20" s="592"/>
      <c r="Y20" s="592"/>
      <c r="Z20" s="592"/>
      <c r="AA20" s="592"/>
      <c r="AB20" s="592"/>
      <c r="AC20" s="592"/>
      <c r="AD20" s="592"/>
      <c r="AE20" s="592"/>
      <c r="AF20" s="593"/>
      <c r="AG20" s="303"/>
      <c r="AH20" s="303"/>
      <c r="AI20" s="303"/>
      <c r="AJ20" s="303"/>
      <c r="AK20" s="303"/>
      <c r="AL20" s="303"/>
      <c r="AM20" s="303"/>
      <c r="AN20" s="303"/>
      <c r="AO20" s="303"/>
      <c r="BV20" s="324">
        <v>95</v>
      </c>
      <c r="BW20" s="324">
        <v>46</v>
      </c>
    </row>
    <row r="21" spans="1:75" s="166" customFormat="1" ht="12.95" customHeight="1">
      <c r="A21" s="206"/>
      <c r="B21" s="200">
        <v>1</v>
      </c>
      <c r="C21" s="200"/>
      <c r="D21" s="200">
        <v>2</v>
      </c>
      <c r="E21" s="200"/>
      <c r="F21" s="200">
        <v>3</v>
      </c>
      <c r="G21" s="200"/>
      <c r="H21" s="200">
        <v>4</v>
      </c>
      <c r="I21" s="200"/>
      <c r="J21" s="200">
        <v>5</v>
      </c>
      <c r="K21" s="200"/>
      <c r="L21" s="200">
        <v>6</v>
      </c>
      <c r="M21" s="200"/>
      <c r="N21" s="200">
        <v>7</v>
      </c>
      <c r="O21" s="200"/>
      <c r="P21" s="200">
        <v>8</v>
      </c>
      <c r="Q21" s="200"/>
      <c r="R21" s="200">
        <v>9</v>
      </c>
      <c r="S21" s="200"/>
      <c r="T21" s="200">
        <v>10</v>
      </c>
      <c r="U21" s="200"/>
      <c r="V21" s="200">
        <v>11</v>
      </c>
      <c r="W21" s="200"/>
      <c r="X21" s="200">
        <v>12</v>
      </c>
      <c r="Y21" s="200"/>
      <c r="Z21" s="200">
        <v>13</v>
      </c>
      <c r="AA21" s="200"/>
      <c r="AB21" s="200">
        <v>14</v>
      </c>
      <c r="AC21" s="200"/>
      <c r="AD21" s="200">
        <v>15</v>
      </c>
      <c r="AE21" s="200"/>
      <c r="AF21" s="604"/>
      <c r="AG21" s="303"/>
      <c r="AH21" s="303"/>
      <c r="AI21" s="303"/>
      <c r="AJ21" s="302"/>
      <c r="AK21" s="159"/>
      <c r="AL21" s="159"/>
      <c r="AM21" s="159"/>
      <c r="AN21" s="159"/>
      <c r="AO21" s="159"/>
    </row>
    <row r="22" spans="1:75" s="159" customFormat="1" ht="18" customHeight="1">
      <c r="A22" s="206"/>
      <c r="B22" s="200"/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604"/>
      <c r="AG22" s="303"/>
      <c r="AH22" s="303"/>
      <c r="AI22" s="303"/>
      <c r="AJ22" s="302"/>
    </row>
    <row r="23" spans="1:75" s="564" customFormat="1" ht="12.95" customHeight="1">
      <c r="A23" s="605"/>
      <c r="B23" s="563" t="s">
        <v>518</v>
      </c>
      <c r="C23" s="606"/>
      <c r="D23" s="563" t="s">
        <v>519</v>
      </c>
      <c r="E23" s="607"/>
      <c r="F23" s="563" t="s">
        <v>520</v>
      </c>
      <c r="G23" s="607"/>
      <c r="H23" s="563" t="s">
        <v>521</v>
      </c>
      <c r="I23" s="607"/>
      <c r="J23" s="563" t="s">
        <v>522</v>
      </c>
      <c r="K23" s="607"/>
      <c r="L23" s="563" t="s">
        <v>523</v>
      </c>
      <c r="M23" s="607"/>
      <c r="N23" s="563" t="s">
        <v>524</v>
      </c>
      <c r="O23" s="607"/>
      <c r="P23" s="563" t="s">
        <v>525</v>
      </c>
      <c r="Q23" s="607"/>
      <c r="R23" s="563" t="s">
        <v>272</v>
      </c>
      <c r="S23" s="607"/>
      <c r="T23" s="563" t="s">
        <v>526</v>
      </c>
      <c r="U23" s="607"/>
      <c r="V23" s="563" t="s">
        <v>527</v>
      </c>
      <c r="W23" s="607"/>
      <c r="X23" s="563" t="s">
        <v>277</v>
      </c>
      <c r="Y23" s="607"/>
      <c r="Z23" s="563" t="s">
        <v>528</v>
      </c>
      <c r="AA23" s="607"/>
      <c r="AB23" s="563" t="s">
        <v>529</v>
      </c>
      <c r="AC23" s="607"/>
      <c r="AD23" s="563" t="s">
        <v>530</v>
      </c>
      <c r="AE23" s="607"/>
      <c r="AF23" s="608"/>
      <c r="AG23" s="303"/>
      <c r="AH23" s="303"/>
      <c r="AI23" s="303"/>
      <c r="AJ23" s="302"/>
    </row>
    <row r="24" spans="1:75" s="159" customFormat="1" ht="12.95" customHeight="1">
      <c r="A24" s="206"/>
      <c r="B24" s="200"/>
      <c r="C24" s="200"/>
      <c r="D24" s="200"/>
      <c r="E24" s="200"/>
      <c r="F24" s="200"/>
      <c r="G24" s="200"/>
      <c r="H24" s="200"/>
      <c r="I24" s="200"/>
      <c r="J24" s="200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604"/>
      <c r="AG24" s="303"/>
      <c r="AH24" s="303"/>
      <c r="AI24" s="303"/>
      <c r="AJ24" s="302"/>
    </row>
    <row r="25" spans="1:75" s="159" customFormat="1" ht="12.95" customHeight="1">
      <c r="A25" s="206"/>
      <c r="B25" s="254"/>
      <c r="C25" s="200"/>
      <c r="D25" s="254"/>
      <c r="E25" s="254"/>
      <c r="F25" s="254"/>
      <c r="G25" s="200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00"/>
      <c r="X25" s="254"/>
      <c r="Y25" s="254"/>
      <c r="Z25" s="254"/>
      <c r="AA25" s="200"/>
      <c r="AB25" s="254"/>
      <c r="AC25" s="254"/>
      <c r="AD25" s="254"/>
      <c r="AE25" s="254"/>
      <c r="AF25" s="604"/>
      <c r="AG25" s="303"/>
      <c r="AH25" s="303"/>
      <c r="AI25" s="303"/>
      <c r="AJ25" s="302"/>
    </row>
    <row r="26" spans="1:75" s="159" customFormat="1" ht="12.95" customHeight="1" thickBot="1">
      <c r="A26" s="206"/>
      <c r="B26" s="254"/>
      <c r="C26" s="200"/>
      <c r="D26" s="254"/>
      <c r="E26" s="254"/>
      <c r="F26" s="254"/>
      <c r="G26" s="200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00"/>
      <c r="X26" s="254"/>
      <c r="Y26" s="254"/>
      <c r="Z26" s="254"/>
      <c r="AA26" s="200"/>
      <c r="AB26" s="254"/>
      <c r="AC26" s="254"/>
      <c r="AD26" s="254"/>
      <c r="AE26" s="254"/>
      <c r="AF26" s="604"/>
      <c r="AG26" s="303"/>
      <c r="AH26" s="303"/>
      <c r="AI26" s="303"/>
      <c r="AJ26" s="302"/>
    </row>
    <row r="27" spans="1:75" s="159" customFormat="1" ht="12.95" customHeight="1">
      <c r="A27" s="206"/>
      <c r="B27" s="261"/>
      <c r="C27" s="609"/>
      <c r="D27" s="261"/>
      <c r="E27" s="609"/>
      <c r="F27" s="261"/>
      <c r="G27" s="609"/>
      <c r="H27" s="261"/>
      <c r="I27" s="609"/>
      <c r="J27" s="261"/>
      <c r="K27" s="609"/>
      <c r="L27" s="261"/>
      <c r="M27" s="609"/>
      <c r="N27" s="719" t="s">
        <v>531</v>
      </c>
      <c r="O27" s="609"/>
      <c r="P27" s="719" t="s">
        <v>531</v>
      </c>
      <c r="Q27" s="609"/>
      <c r="R27" s="261"/>
      <c r="S27" s="609"/>
      <c r="T27" s="261"/>
      <c r="U27" s="609"/>
      <c r="V27" s="261"/>
      <c r="W27" s="609"/>
      <c r="X27" s="261"/>
      <c r="Y27" s="609"/>
      <c r="Z27" s="261"/>
      <c r="AA27" s="609"/>
      <c r="AB27" s="261"/>
      <c r="AC27" s="609"/>
      <c r="AD27" s="261"/>
      <c r="AE27" s="609"/>
      <c r="AF27" s="610"/>
      <c r="AG27" s="303"/>
      <c r="AH27" s="303"/>
      <c r="AI27" s="303"/>
      <c r="AJ27" s="302"/>
    </row>
    <row r="28" spans="1:75" s="159" customFormat="1" ht="12.95" customHeight="1">
      <c r="A28" s="206"/>
      <c r="B28" s="263" t="s">
        <v>531</v>
      </c>
      <c r="C28" s="611">
        <v>393.72</v>
      </c>
      <c r="D28" s="263" t="s">
        <v>531</v>
      </c>
      <c r="E28" s="611">
        <v>225.97</v>
      </c>
      <c r="F28" s="263" t="s">
        <v>531</v>
      </c>
      <c r="G28" s="611">
        <v>193.84</v>
      </c>
      <c r="H28" s="263" t="s">
        <v>531</v>
      </c>
      <c r="I28" s="611">
        <v>401.38</v>
      </c>
      <c r="J28" s="263" t="s">
        <v>531</v>
      </c>
      <c r="K28" s="611">
        <v>284.73</v>
      </c>
      <c r="L28" s="263" t="s">
        <v>531</v>
      </c>
      <c r="M28" s="611">
        <v>238.17</v>
      </c>
      <c r="N28" s="720"/>
      <c r="O28" s="611">
        <v>164.96</v>
      </c>
      <c r="P28" s="720"/>
      <c r="Q28" s="611">
        <v>343</v>
      </c>
      <c r="R28" s="263" t="s">
        <v>531</v>
      </c>
      <c r="S28" s="611">
        <v>453</v>
      </c>
      <c r="T28" s="263" t="s">
        <v>531</v>
      </c>
      <c r="U28" s="611">
        <v>369</v>
      </c>
      <c r="V28" s="263" t="s">
        <v>531</v>
      </c>
      <c r="W28" s="611">
        <v>405</v>
      </c>
      <c r="X28" s="263" t="s">
        <v>531</v>
      </c>
      <c r="Y28" s="611">
        <v>416</v>
      </c>
      <c r="Z28" s="263" t="s">
        <v>531</v>
      </c>
      <c r="AA28" s="611">
        <v>420</v>
      </c>
      <c r="AB28" s="263" t="s">
        <v>531</v>
      </c>
      <c r="AC28" s="611">
        <v>364</v>
      </c>
      <c r="AD28" s="263" t="s">
        <v>531</v>
      </c>
      <c r="AE28" s="611">
        <v>401</v>
      </c>
      <c r="AF28" s="604"/>
      <c r="AG28" s="303"/>
      <c r="AH28" s="303"/>
      <c r="AI28" s="303"/>
      <c r="AJ28" s="302"/>
    </row>
    <row r="29" spans="1:75" s="159" customFormat="1" ht="12.95" customHeight="1" thickBot="1">
      <c r="A29" s="206"/>
      <c r="B29" s="264"/>
      <c r="C29" s="200"/>
      <c r="D29" s="264"/>
      <c r="E29" s="200"/>
      <c r="F29" s="264"/>
      <c r="G29" s="200"/>
      <c r="H29" s="264"/>
      <c r="I29" s="200"/>
      <c r="J29" s="264"/>
      <c r="K29" s="200"/>
      <c r="L29" s="264"/>
      <c r="M29" s="200"/>
      <c r="N29" s="721"/>
      <c r="O29" s="200"/>
      <c r="P29" s="721"/>
      <c r="Q29" s="200"/>
      <c r="R29" s="264"/>
      <c r="S29" s="200"/>
      <c r="T29" s="264"/>
      <c r="U29" s="200"/>
      <c r="V29" s="264"/>
      <c r="W29" s="200"/>
      <c r="X29" s="264"/>
      <c r="Y29" s="200"/>
      <c r="Z29" s="264"/>
      <c r="AA29" s="200"/>
      <c r="AB29" s="264"/>
      <c r="AC29" s="200"/>
      <c r="AD29" s="264"/>
      <c r="AE29" s="200"/>
      <c r="AF29" s="604"/>
      <c r="AG29" s="303"/>
      <c r="AH29" s="303"/>
      <c r="AI29" s="303"/>
      <c r="AJ29" s="302"/>
    </row>
    <row r="30" spans="1:75" s="258" customFormat="1" ht="25.5" customHeight="1">
      <c r="A30" s="612"/>
      <c r="B30" s="258" t="s">
        <v>532</v>
      </c>
      <c r="D30" s="258" t="s">
        <v>268</v>
      </c>
      <c r="F30" s="258" t="s">
        <v>268</v>
      </c>
      <c r="H30" s="258" t="s">
        <v>533</v>
      </c>
      <c r="J30" s="258" t="s">
        <v>534</v>
      </c>
      <c r="L30" s="258" t="s">
        <v>534</v>
      </c>
      <c r="N30" s="258" t="s">
        <v>534</v>
      </c>
      <c r="P30" s="258" t="s">
        <v>534</v>
      </c>
      <c r="R30" s="258" t="s">
        <v>535</v>
      </c>
      <c r="S30" s="258" t="s">
        <v>67</v>
      </c>
      <c r="T30" s="258" t="s">
        <v>285</v>
      </c>
      <c r="V30" s="258" t="s">
        <v>536</v>
      </c>
      <c r="X30" s="258" t="s">
        <v>278</v>
      </c>
      <c r="Z30" s="258" t="s">
        <v>285</v>
      </c>
      <c r="AB30" s="258" t="s">
        <v>285</v>
      </c>
      <c r="AD30" s="258" t="s">
        <v>285</v>
      </c>
      <c r="AF30" s="613"/>
    </row>
    <row r="31" spans="1:75" s="159" customFormat="1" ht="12.95" customHeight="1">
      <c r="A31" s="206"/>
      <c r="B31" s="200"/>
      <c r="C31" s="254"/>
      <c r="D31" s="200"/>
      <c r="E31" s="254"/>
      <c r="F31" s="200"/>
      <c r="G31" s="200"/>
      <c r="H31" s="200"/>
      <c r="I31" s="200"/>
      <c r="J31" s="200"/>
      <c r="K31" s="614" t="s">
        <v>1075</v>
      </c>
      <c r="L31" s="200"/>
      <c r="M31" s="254"/>
      <c r="N31" s="200"/>
      <c r="O31" s="614" t="s">
        <v>1106</v>
      </c>
      <c r="P31" s="200"/>
      <c r="Q31" s="254"/>
      <c r="R31" s="200"/>
      <c r="S31" s="254"/>
      <c r="T31" s="200"/>
      <c r="U31" s="254"/>
      <c r="V31" s="200"/>
      <c r="W31" s="254"/>
      <c r="X31" s="200"/>
      <c r="Y31" s="254"/>
      <c r="Z31" s="200"/>
      <c r="AA31" s="254"/>
      <c r="AB31" s="200"/>
      <c r="AC31" s="615"/>
      <c r="AD31" s="200"/>
      <c r="AE31" s="200"/>
      <c r="AF31" s="604"/>
      <c r="AG31" s="303"/>
      <c r="AH31" s="303"/>
      <c r="AI31" s="303"/>
      <c r="AJ31" s="302"/>
    </row>
    <row r="32" spans="1:75" s="159" customFormat="1" ht="12.95" customHeight="1">
      <c r="A32" s="206"/>
      <c r="O32" s="616" t="s">
        <v>1107</v>
      </c>
      <c r="AE32" s="200"/>
      <c r="AF32" s="604"/>
      <c r="AG32" s="303"/>
      <c r="AH32" s="303"/>
      <c r="AI32" s="303"/>
      <c r="AJ32" s="303"/>
    </row>
    <row r="33" spans="1:75" s="159" customFormat="1" ht="12.95" customHeight="1">
      <c r="A33" s="206"/>
      <c r="B33" s="200">
        <v>16</v>
      </c>
      <c r="C33" s="200"/>
      <c r="D33" s="200">
        <v>17</v>
      </c>
      <c r="E33" s="200"/>
      <c r="F33" s="200">
        <v>18</v>
      </c>
      <c r="G33" s="200"/>
      <c r="H33" s="200">
        <v>19</v>
      </c>
      <c r="I33" s="200"/>
      <c r="J33" s="200">
        <v>20</v>
      </c>
      <c r="K33" s="200"/>
      <c r="L33" s="200">
        <v>21</v>
      </c>
      <c r="M33" s="200"/>
      <c r="N33" s="200">
        <v>22</v>
      </c>
      <c r="P33" s="200">
        <v>23</v>
      </c>
      <c r="Q33" s="200"/>
      <c r="R33" s="200">
        <v>24</v>
      </c>
      <c r="S33" s="200"/>
      <c r="T33" s="200">
        <v>25</v>
      </c>
      <c r="U33" s="200"/>
      <c r="V33" s="200">
        <v>26</v>
      </c>
      <c r="W33" s="200"/>
      <c r="X33" s="200">
        <v>27</v>
      </c>
      <c r="Y33" s="200"/>
      <c r="Z33" s="200">
        <v>28</v>
      </c>
      <c r="AA33" s="200"/>
      <c r="AB33" s="200">
        <v>29</v>
      </c>
      <c r="AC33" s="200"/>
      <c r="AD33" s="200">
        <v>30</v>
      </c>
      <c r="AE33" s="200"/>
      <c r="AF33" s="604"/>
      <c r="AG33" s="303"/>
      <c r="AH33" s="303"/>
      <c r="AI33" s="303"/>
      <c r="AJ33" s="302"/>
    </row>
    <row r="34" spans="1:75" s="559" customFormat="1" ht="12.95" customHeight="1">
      <c r="A34" s="617"/>
      <c r="B34" s="560" t="s">
        <v>281</v>
      </c>
      <c r="C34" s="618"/>
      <c r="D34" s="560" t="s">
        <v>537</v>
      </c>
      <c r="E34" s="258"/>
      <c r="F34" s="560" t="s">
        <v>538</v>
      </c>
      <c r="G34" s="258"/>
      <c r="H34" s="560" t="s">
        <v>284</v>
      </c>
      <c r="I34" s="258"/>
      <c r="J34" s="560" t="s">
        <v>539</v>
      </c>
      <c r="K34" s="258"/>
      <c r="L34" s="560" t="s">
        <v>540</v>
      </c>
      <c r="M34" s="258"/>
      <c r="N34" s="560" t="s">
        <v>541</v>
      </c>
      <c r="O34" s="258"/>
      <c r="P34" s="560" t="s">
        <v>542</v>
      </c>
      <c r="Q34" s="258"/>
      <c r="R34" s="560" t="s">
        <v>543</v>
      </c>
      <c r="S34" s="258"/>
      <c r="T34" s="560" t="s">
        <v>544</v>
      </c>
      <c r="U34" s="258"/>
      <c r="V34" s="560" t="s">
        <v>545</v>
      </c>
      <c r="W34" s="258"/>
      <c r="X34" s="560" t="s">
        <v>442</v>
      </c>
      <c r="Y34" s="258"/>
      <c r="Z34" s="560" t="s">
        <v>448</v>
      </c>
      <c r="AA34" s="258"/>
      <c r="AB34" s="560" t="s">
        <v>378</v>
      </c>
      <c r="AC34" s="258"/>
      <c r="AD34" s="560" t="s">
        <v>372</v>
      </c>
      <c r="AE34" s="258"/>
      <c r="AF34" s="619"/>
      <c r="AG34" s="561"/>
      <c r="AH34" s="561"/>
      <c r="AI34" s="561"/>
      <c r="AJ34" s="562"/>
    </row>
    <row r="35" spans="1:75" s="159" customFormat="1" ht="12.95" customHeight="1">
      <c r="A35" s="206"/>
      <c r="B35" s="200"/>
      <c r="C35" s="200"/>
      <c r="D35" s="200"/>
      <c r="E35" s="200"/>
      <c r="F35" s="62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200"/>
      <c r="S35" s="200"/>
      <c r="T35" s="200"/>
      <c r="U35" s="200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604"/>
      <c r="AG35" s="303"/>
      <c r="AH35" s="303"/>
      <c r="AI35" s="303"/>
      <c r="AJ35" s="302"/>
    </row>
    <row r="36" spans="1:75" s="159" customFormat="1" ht="12.95" customHeight="1">
      <c r="A36" s="206"/>
      <c r="B36" s="254"/>
      <c r="C36" s="254"/>
      <c r="D36" s="254"/>
      <c r="E36" s="254"/>
      <c r="F36" s="254"/>
      <c r="G36" s="254"/>
      <c r="H36" s="254"/>
      <c r="I36" s="254"/>
      <c r="J36" s="254"/>
      <c r="K36" s="254"/>
      <c r="L36" s="254"/>
      <c r="M36" s="200"/>
      <c r="N36" s="254"/>
      <c r="O36" s="254"/>
      <c r="P36" s="254"/>
      <c r="Q36" s="200"/>
      <c r="R36" s="254"/>
      <c r="S36" s="254"/>
      <c r="T36" s="254"/>
      <c r="U36" s="254"/>
      <c r="V36" s="254"/>
      <c r="W36" s="254"/>
      <c r="X36" s="254"/>
      <c r="Y36" s="200"/>
      <c r="Z36" s="254"/>
      <c r="AA36" s="254"/>
      <c r="AB36" s="254"/>
      <c r="AC36" s="200"/>
      <c r="AD36" s="254"/>
      <c r="AE36" s="254"/>
      <c r="AF36" s="604"/>
      <c r="AG36" s="303"/>
      <c r="AH36" s="303"/>
      <c r="AI36" s="303"/>
      <c r="AJ36" s="302"/>
    </row>
    <row r="37" spans="1:75" s="159" customFormat="1" ht="12.95" customHeight="1" thickBot="1">
      <c r="A37" s="206"/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00"/>
      <c r="N37" s="254"/>
      <c r="O37" s="254"/>
      <c r="P37" s="254"/>
      <c r="Q37" s="200"/>
      <c r="R37" s="254"/>
      <c r="S37" s="254"/>
      <c r="T37" s="254"/>
      <c r="U37" s="254"/>
      <c r="V37" s="254"/>
      <c r="W37" s="254"/>
      <c r="X37" s="254"/>
      <c r="Y37" s="200"/>
      <c r="Z37" s="254"/>
      <c r="AA37" s="254"/>
      <c r="AB37" s="254"/>
      <c r="AC37" s="200"/>
      <c r="AD37" s="254"/>
      <c r="AE37" s="254"/>
      <c r="AF37" s="604"/>
      <c r="AG37" s="303"/>
      <c r="AH37" s="303"/>
      <c r="AI37" s="303"/>
      <c r="AJ37" s="302"/>
    </row>
    <row r="38" spans="1:75" s="159" customFormat="1" ht="12.95" customHeight="1">
      <c r="A38" s="206"/>
      <c r="B38" s="261"/>
      <c r="C38" s="609"/>
      <c r="D38" s="261"/>
      <c r="E38" s="609"/>
      <c r="F38" s="261"/>
      <c r="G38" s="609"/>
      <c r="H38" s="261"/>
      <c r="I38" s="609"/>
      <c r="J38" s="261"/>
      <c r="K38" s="609"/>
      <c r="L38" s="261"/>
      <c r="M38" s="609"/>
      <c r="N38" s="261"/>
      <c r="O38" s="609"/>
      <c r="P38" s="261"/>
      <c r="Q38" s="609"/>
      <c r="R38" s="261"/>
      <c r="S38" s="609"/>
      <c r="T38" s="261"/>
      <c r="U38" s="609"/>
      <c r="V38" s="261"/>
      <c r="W38" s="609"/>
      <c r="X38" s="184"/>
      <c r="Y38" s="621"/>
      <c r="Z38" s="184"/>
      <c r="AA38" s="621"/>
      <c r="AB38" s="184"/>
      <c r="AC38" s="621"/>
      <c r="AD38" s="184"/>
      <c r="AE38" s="621"/>
      <c r="AF38" s="604"/>
      <c r="AG38" s="303"/>
      <c r="AH38" s="303"/>
      <c r="AI38" s="303"/>
      <c r="AJ38" s="302"/>
      <c r="BV38" s="521">
        <v>4</v>
      </c>
      <c r="BW38" s="521">
        <f>1</f>
        <v>1</v>
      </c>
    </row>
    <row r="39" spans="1:75" s="159" customFormat="1" ht="12.95" customHeight="1">
      <c r="A39" s="206"/>
      <c r="B39" s="263" t="s">
        <v>531</v>
      </c>
      <c r="C39" s="611">
        <v>412</v>
      </c>
      <c r="D39" s="263" t="s">
        <v>531</v>
      </c>
      <c r="E39" s="611">
        <v>405</v>
      </c>
      <c r="F39" s="263" t="s">
        <v>531</v>
      </c>
      <c r="G39" s="611">
        <v>391</v>
      </c>
      <c r="H39" s="263" t="s">
        <v>531</v>
      </c>
      <c r="I39" s="611">
        <v>397</v>
      </c>
      <c r="J39" s="263" t="s">
        <v>531</v>
      </c>
      <c r="K39" s="611">
        <v>390</v>
      </c>
      <c r="L39" s="263" t="s">
        <v>531</v>
      </c>
      <c r="M39" s="611">
        <v>397.5</v>
      </c>
      <c r="N39" s="263" t="s">
        <v>531</v>
      </c>
      <c r="O39" s="611">
        <v>591</v>
      </c>
      <c r="P39" s="263" t="s">
        <v>531</v>
      </c>
      <c r="Q39" s="611">
        <v>534</v>
      </c>
      <c r="R39" s="263" t="s">
        <v>531</v>
      </c>
      <c r="S39" s="611">
        <v>799</v>
      </c>
      <c r="T39" s="263" t="s">
        <v>531</v>
      </c>
      <c r="U39" s="611">
        <v>321</v>
      </c>
      <c r="V39" s="263" t="s">
        <v>531</v>
      </c>
      <c r="W39" s="611">
        <v>449</v>
      </c>
      <c r="X39" s="191"/>
      <c r="Y39" s="622">
        <v>412.99900000000002</v>
      </c>
      <c r="Z39" s="191"/>
      <c r="AA39" s="622">
        <v>390</v>
      </c>
      <c r="AB39" s="187"/>
      <c r="AC39" s="622">
        <v>377.19900000000001</v>
      </c>
      <c r="AD39" s="187"/>
      <c r="AE39" s="622">
        <v>374.428</v>
      </c>
      <c r="AF39" s="604"/>
      <c r="AG39" s="303"/>
      <c r="AH39" s="303"/>
      <c r="AI39" s="303"/>
      <c r="AJ39" s="302"/>
    </row>
    <row r="40" spans="1:75" s="159" customFormat="1" ht="12.95" customHeight="1" thickBot="1">
      <c r="A40" s="206"/>
      <c r="B40" s="264"/>
      <c r="C40" s="200"/>
      <c r="D40" s="264"/>
      <c r="E40" s="200"/>
      <c r="F40" s="264"/>
      <c r="G40" s="200"/>
      <c r="H40" s="264"/>
      <c r="I40" s="200"/>
      <c r="J40" s="264"/>
      <c r="K40" s="200"/>
      <c r="L40" s="264"/>
      <c r="M40" s="200"/>
      <c r="N40" s="264"/>
      <c r="O40" s="200"/>
      <c r="P40" s="264"/>
      <c r="Q40" s="200"/>
      <c r="R40" s="264"/>
      <c r="S40" s="200"/>
      <c r="T40" s="264"/>
      <c r="U40" s="200"/>
      <c r="V40" s="264"/>
      <c r="W40" s="200"/>
      <c r="X40" s="189"/>
      <c r="Y40" s="166"/>
      <c r="Z40" s="189"/>
      <c r="AA40" s="166"/>
      <c r="AB40" s="189"/>
      <c r="AC40" s="166"/>
      <c r="AD40" s="189"/>
      <c r="AE40" s="166"/>
      <c r="AF40" s="604"/>
      <c r="AG40" s="303"/>
      <c r="AH40" s="303"/>
      <c r="AI40" s="303"/>
      <c r="AJ40" s="302"/>
    </row>
    <row r="41" spans="1:75" s="258" customFormat="1" ht="25.5" customHeight="1">
      <c r="A41" s="612"/>
      <c r="B41" s="258" t="s">
        <v>278</v>
      </c>
      <c r="D41" s="258" t="s">
        <v>285</v>
      </c>
      <c r="F41" s="258" t="s">
        <v>285</v>
      </c>
      <c r="H41" s="258" t="s">
        <v>285</v>
      </c>
      <c r="J41" s="258" t="s">
        <v>285</v>
      </c>
      <c r="L41" s="258" t="s">
        <v>546</v>
      </c>
      <c r="N41" s="258" t="s">
        <v>290</v>
      </c>
      <c r="P41" s="258" t="s">
        <v>292</v>
      </c>
      <c r="R41" s="258" t="s">
        <v>295</v>
      </c>
      <c r="T41" s="258" t="s">
        <v>295</v>
      </c>
      <c r="V41" s="258" t="s">
        <v>547</v>
      </c>
      <c r="X41" s="258" t="s">
        <v>373</v>
      </c>
      <c r="Z41" s="258" t="s">
        <v>357</v>
      </c>
      <c r="AB41" s="258" t="s">
        <v>350</v>
      </c>
      <c r="AD41" s="258" t="s">
        <v>373</v>
      </c>
      <c r="AF41" s="613"/>
    </row>
    <row r="42" spans="1:75" s="159" customFormat="1" ht="12.95" customHeight="1">
      <c r="A42" s="206"/>
      <c r="B42" s="200"/>
      <c r="C42" s="254"/>
      <c r="D42" s="200"/>
      <c r="E42" s="254"/>
      <c r="F42" s="200"/>
      <c r="G42" s="254"/>
      <c r="H42" s="715" t="s">
        <v>548</v>
      </c>
      <c r="I42" s="715"/>
      <c r="J42" s="715"/>
      <c r="K42" s="715"/>
      <c r="L42" s="715"/>
      <c r="R42" s="623" t="s">
        <v>1076</v>
      </c>
      <c r="S42" s="200"/>
      <c r="T42" s="200"/>
      <c r="U42" s="254"/>
      <c r="V42" s="200"/>
      <c r="W42" s="254"/>
      <c r="X42" s="254"/>
      <c r="Y42" s="254"/>
      <c r="Z42" s="254"/>
      <c r="AA42" s="254"/>
      <c r="AB42" s="254"/>
      <c r="AC42" s="254"/>
      <c r="AD42" s="254"/>
      <c r="AE42" s="254"/>
      <c r="AF42" s="604"/>
      <c r="AG42" s="303"/>
      <c r="AH42" s="303"/>
      <c r="AI42" s="303"/>
      <c r="AJ42" s="302"/>
    </row>
    <row r="43" spans="1:75" s="159" customFormat="1" ht="12.95" customHeight="1" thickBot="1">
      <c r="A43" s="206"/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0"/>
      <c r="N43" s="200"/>
      <c r="O43" s="200"/>
      <c r="P43" s="200"/>
      <c r="R43" s="200"/>
      <c r="S43" s="200"/>
      <c r="T43" s="200"/>
      <c r="U43" s="200"/>
      <c r="V43" s="200"/>
      <c r="W43" s="200"/>
      <c r="X43" s="200"/>
      <c r="Y43" s="200"/>
      <c r="Z43" s="200"/>
      <c r="AA43" s="200"/>
      <c r="AB43" s="200"/>
      <c r="AC43" s="200"/>
      <c r="AD43" s="200"/>
      <c r="AE43" s="615"/>
      <c r="AF43" s="604"/>
      <c r="AG43" s="303"/>
      <c r="AH43" s="303"/>
      <c r="AI43" s="303"/>
      <c r="AJ43" s="302"/>
    </row>
    <row r="44" spans="1:75" s="166" customFormat="1" ht="12.95" customHeight="1">
      <c r="A44" s="206"/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604"/>
      <c r="AG44" s="763">
        <v>10</v>
      </c>
      <c r="AH44" s="740">
        <v>2</v>
      </c>
      <c r="AI44" s="740">
        <f>AG44-AH44</f>
        <v>8</v>
      </c>
      <c r="AJ44" s="740">
        <f>AG44</f>
        <v>10</v>
      </c>
      <c r="AK44" s="740">
        <v>1</v>
      </c>
      <c r="AL44" s="740">
        <f>AJ44-AK44</f>
        <v>9</v>
      </c>
      <c r="AM44" s="740"/>
      <c r="AN44" s="740"/>
      <c r="AO44" s="741"/>
    </row>
    <row r="45" spans="1:75" s="166" customFormat="1" ht="12.95" customHeight="1">
      <c r="A45" s="206"/>
      <c r="B45" s="200">
        <v>31</v>
      </c>
      <c r="C45" s="200"/>
      <c r="D45" s="200">
        <v>32</v>
      </c>
      <c r="E45" s="200"/>
      <c r="F45" s="200">
        <v>33</v>
      </c>
      <c r="G45" s="200"/>
      <c r="H45" s="200">
        <v>34</v>
      </c>
      <c r="I45" s="200"/>
      <c r="J45" s="200">
        <v>35</v>
      </c>
      <c r="K45" s="200"/>
      <c r="L45" s="200">
        <v>36</v>
      </c>
      <c r="M45" s="200"/>
      <c r="N45" s="200">
        <v>37</v>
      </c>
      <c r="O45" s="200"/>
      <c r="P45" s="200">
        <v>38</v>
      </c>
      <c r="Q45" s="200"/>
      <c r="R45" s="200">
        <v>39</v>
      </c>
      <c r="S45" s="200"/>
      <c r="T45" s="200">
        <v>40</v>
      </c>
      <c r="U45" s="200"/>
      <c r="V45" s="200">
        <v>41</v>
      </c>
      <c r="W45" s="200"/>
      <c r="X45" s="200">
        <v>42</v>
      </c>
      <c r="Y45" s="200"/>
      <c r="Z45" s="200">
        <v>43</v>
      </c>
      <c r="AA45" s="200"/>
      <c r="AB45" s="200">
        <v>44</v>
      </c>
      <c r="AC45" s="200"/>
      <c r="AD45" s="200">
        <v>45</v>
      </c>
      <c r="AE45" s="200"/>
      <c r="AF45" s="604"/>
      <c r="AG45" s="732"/>
      <c r="AH45" s="728"/>
      <c r="AI45" s="728"/>
      <c r="AJ45" s="728"/>
      <c r="AK45" s="728"/>
      <c r="AL45" s="728"/>
      <c r="AM45" s="728"/>
      <c r="AN45" s="728"/>
      <c r="AO45" s="730"/>
    </row>
    <row r="46" spans="1:75" s="193" customFormat="1" ht="12.95" customHeight="1">
      <c r="A46" s="617"/>
      <c r="B46" s="558" t="s">
        <v>136</v>
      </c>
      <c r="C46" s="258"/>
      <c r="D46" s="558" t="s">
        <v>370</v>
      </c>
      <c r="E46" s="258"/>
      <c r="F46" s="558" t="s">
        <v>368</v>
      </c>
      <c r="G46" s="258"/>
      <c r="H46" s="558" t="s">
        <v>369</v>
      </c>
      <c r="I46" s="258"/>
      <c r="J46" s="558" t="s">
        <v>367</v>
      </c>
      <c r="K46" s="258"/>
      <c r="L46" s="558" t="s">
        <v>380</v>
      </c>
      <c r="M46" s="618"/>
      <c r="N46" s="558" t="s">
        <v>395</v>
      </c>
      <c r="O46" s="258"/>
      <c r="P46" s="558" t="s">
        <v>174</v>
      </c>
      <c r="Q46" s="258"/>
      <c r="R46" s="558" t="s">
        <v>137</v>
      </c>
      <c r="S46" s="258"/>
      <c r="T46" s="558" t="s">
        <v>138</v>
      </c>
      <c r="U46" s="258"/>
      <c r="V46" s="558" t="s">
        <v>139</v>
      </c>
      <c r="W46" s="258"/>
      <c r="X46" s="558" t="s">
        <v>365</v>
      </c>
      <c r="Y46" s="258"/>
      <c r="Z46" s="558" t="s">
        <v>364</v>
      </c>
      <c r="AA46" s="258"/>
      <c r="AB46" s="558" t="s">
        <v>140</v>
      </c>
      <c r="AC46" s="258"/>
      <c r="AD46" s="558" t="s">
        <v>382</v>
      </c>
      <c r="AE46" s="258"/>
      <c r="AF46" s="619"/>
      <c r="AG46" s="732"/>
      <c r="AH46" s="728"/>
      <c r="AI46" s="728"/>
      <c r="AJ46" s="728"/>
      <c r="AK46" s="728"/>
      <c r="AL46" s="728"/>
      <c r="AM46" s="728"/>
      <c r="AN46" s="728"/>
      <c r="AO46" s="730"/>
    </row>
    <row r="47" spans="1:75" s="166" customFormat="1" ht="12.95" customHeight="1">
      <c r="A47" s="206"/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  <c r="AA47" s="200"/>
      <c r="AB47" s="200"/>
      <c r="AC47" s="200"/>
      <c r="AD47" s="200"/>
      <c r="AE47" s="200"/>
      <c r="AF47" s="604"/>
      <c r="AG47" s="732"/>
      <c r="AH47" s="728"/>
      <c r="AI47" s="728"/>
      <c r="AJ47" s="728"/>
      <c r="AK47" s="728"/>
      <c r="AL47" s="728"/>
      <c r="AM47" s="728"/>
      <c r="AN47" s="728"/>
      <c r="AO47" s="730"/>
    </row>
    <row r="48" spans="1:75" s="166" customFormat="1" ht="12.95" customHeight="1">
      <c r="A48" s="206"/>
      <c r="B48" s="254"/>
      <c r="C48" s="254"/>
      <c r="D48" s="254"/>
      <c r="E48" s="254"/>
      <c r="F48" s="254"/>
      <c r="G48" s="254"/>
      <c r="H48" s="254"/>
      <c r="I48" s="254"/>
      <c r="J48" s="254"/>
      <c r="K48" s="254"/>
      <c r="L48" s="254"/>
      <c r="M48" s="254"/>
      <c r="N48" s="254"/>
      <c r="O48" s="200"/>
      <c r="P48" s="254"/>
      <c r="Q48" s="254"/>
      <c r="R48" s="254"/>
      <c r="S48" s="200"/>
      <c r="T48" s="254"/>
      <c r="U48" s="254"/>
      <c r="V48" s="254"/>
      <c r="W48" s="254"/>
      <c r="X48" s="254"/>
      <c r="Y48" s="254"/>
      <c r="Z48" s="254"/>
      <c r="AA48" s="254"/>
      <c r="AB48" s="254"/>
      <c r="AC48" s="254"/>
      <c r="AD48" s="254"/>
      <c r="AE48" s="254"/>
      <c r="AF48" s="604"/>
      <c r="AG48" s="732"/>
      <c r="AH48" s="728"/>
      <c r="AI48" s="728"/>
      <c r="AJ48" s="728"/>
      <c r="AK48" s="728"/>
      <c r="AL48" s="728"/>
      <c r="AM48" s="728"/>
      <c r="AN48" s="728"/>
      <c r="AO48" s="730"/>
    </row>
    <row r="49" spans="1:75" s="166" customFormat="1" ht="12.95" customHeight="1" thickBot="1">
      <c r="A49" s="206"/>
      <c r="B49" s="254"/>
      <c r="C49" s="254"/>
      <c r="D49" s="254"/>
      <c r="E49" s="254"/>
      <c r="F49" s="254"/>
      <c r="G49" s="254"/>
      <c r="H49" s="254"/>
      <c r="I49" s="254"/>
      <c r="J49" s="254"/>
      <c r="K49" s="254"/>
      <c r="L49" s="254"/>
      <c r="M49" s="254"/>
      <c r="N49" s="254"/>
      <c r="O49" s="200"/>
      <c r="P49" s="254"/>
      <c r="Q49" s="254"/>
      <c r="R49" s="254"/>
      <c r="S49" s="200"/>
      <c r="T49" s="254"/>
      <c r="U49" s="254"/>
      <c r="V49" s="254"/>
      <c r="W49" s="254"/>
      <c r="X49" s="254"/>
      <c r="Y49" s="254"/>
      <c r="Z49" s="254"/>
      <c r="AA49" s="254"/>
      <c r="AB49" s="254"/>
      <c r="AC49" s="254"/>
      <c r="AD49" s="254"/>
      <c r="AE49" s="254"/>
      <c r="AF49" s="604"/>
      <c r="AG49" s="732"/>
      <c r="AH49" s="728"/>
      <c r="AI49" s="728"/>
      <c r="AJ49" s="728"/>
      <c r="AK49" s="728"/>
      <c r="AL49" s="728"/>
      <c r="AM49" s="728"/>
      <c r="AN49" s="728"/>
      <c r="AO49" s="730"/>
    </row>
    <row r="50" spans="1:75" s="166" customFormat="1" ht="12.6" customHeight="1">
      <c r="A50" s="624"/>
      <c r="B50" s="202"/>
      <c r="C50" s="621"/>
      <c r="D50" s="184"/>
      <c r="E50" s="621"/>
      <c r="F50" s="184"/>
      <c r="G50" s="621"/>
      <c r="H50" s="184"/>
      <c r="I50" s="621"/>
      <c r="J50" s="184"/>
      <c r="K50" s="621"/>
      <c r="L50" s="184"/>
      <c r="M50" s="621"/>
      <c r="N50" s="184"/>
      <c r="O50" s="621"/>
      <c r="P50" s="184"/>
      <c r="Q50" s="621"/>
      <c r="R50" s="184"/>
      <c r="S50" s="621"/>
      <c r="T50" s="184"/>
      <c r="U50" s="621"/>
      <c r="V50" s="184"/>
      <c r="W50" s="621"/>
      <c r="X50" s="184"/>
      <c r="Y50" s="621"/>
      <c r="Z50" s="184"/>
      <c r="AA50" s="621"/>
      <c r="AB50" s="722"/>
      <c r="AC50" s="621"/>
      <c r="AD50" s="184"/>
      <c r="AE50" s="621"/>
      <c r="AF50" s="604"/>
      <c r="AG50" s="732"/>
      <c r="AH50" s="728"/>
      <c r="AI50" s="728"/>
      <c r="AJ50" s="728"/>
      <c r="AK50" s="728"/>
      <c r="AL50" s="728"/>
      <c r="AM50" s="728"/>
      <c r="AN50" s="728"/>
      <c r="AO50" s="730"/>
      <c r="BV50" s="522">
        <f>15</f>
        <v>15</v>
      </c>
      <c r="BW50" s="522">
        <v>10</v>
      </c>
    </row>
    <row r="51" spans="1:75" s="166" customFormat="1" ht="13.5" customHeight="1">
      <c r="A51" s="624"/>
      <c r="B51" s="187"/>
      <c r="C51" s="622">
        <v>421.99400000000003</v>
      </c>
      <c r="D51" s="187"/>
      <c r="E51" s="622">
        <v>232.608</v>
      </c>
      <c r="F51" s="187"/>
      <c r="G51" s="622">
        <v>216.64099999999999</v>
      </c>
      <c r="H51" s="187"/>
      <c r="I51" s="622">
        <v>355.99799999999999</v>
      </c>
      <c r="J51" s="187"/>
      <c r="K51" s="622">
        <v>384</v>
      </c>
      <c r="L51" s="187"/>
      <c r="M51" s="622">
        <v>362</v>
      </c>
      <c r="N51" s="191"/>
      <c r="O51" s="622">
        <v>307.02800000000002</v>
      </c>
      <c r="P51" s="191"/>
      <c r="Q51" s="622">
        <v>379.00200000000001</v>
      </c>
      <c r="R51" s="187"/>
      <c r="S51" s="622">
        <v>412</v>
      </c>
      <c r="T51" s="187"/>
      <c r="U51" s="622">
        <v>429</v>
      </c>
      <c r="V51" s="187"/>
      <c r="W51" s="622">
        <v>408</v>
      </c>
      <c r="X51" s="191"/>
      <c r="Y51" s="622">
        <v>395</v>
      </c>
      <c r="Z51" s="187"/>
      <c r="AA51" s="622">
        <v>380.68599999999998</v>
      </c>
      <c r="AB51" s="723"/>
      <c r="AC51" s="622">
        <v>410.99700000000001</v>
      </c>
      <c r="AD51" s="187"/>
      <c r="AE51" s="622">
        <v>413</v>
      </c>
      <c r="AF51" s="604"/>
      <c r="AG51" s="732"/>
      <c r="AH51" s="728"/>
      <c r="AI51" s="728"/>
      <c r="AJ51" s="728"/>
      <c r="AK51" s="728"/>
      <c r="AL51" s="728"/>
      <c r="AM51" s="728"/>
      <c r="AN51" s="728"/>
      <c r="AO51" s="730"/>
    </row>
    <row r="52" spans="1:75" s="166" customFormat="1" ht="13.5" customHeight="1" thickBot="1">
      <c r="A52" s="624"/>
      <c r="B52" s="203"/>
      <c r="D52" s="189"/>
      <c r="F52" s="189"/>
      <c r="H52" s="189"/>
      <c r="J52" s="189"/>
      <c r="L52" s="189"/>
      <c r="N52" s="189"/>
      <c r="P52" s="189"/>
      <c r="R52" s="189"/>
      <c r="T52" s="189"/>
      <c r="V52" s="189"/>
      <c r="X52" s="189"/>
      <c r="Z52" s="189"/>
      <c r="AB52" s="724"/>
      <c r="AD52" s="189"/>
      <c r="AF52" s="604"/>
      <c r="AG52" s="732"/>
      <c r="AH52" s="728"/>
      <c r="AI52" s="728"/>
      <c r="AJ52" s="728"/>
      <c r="AK52" s="728"/>
      <c r="AL52" s="728"/>
      <c r="AM52" s="728"/>
      <c r="AN52" s="728"/>
      <c r="AO52" s="730"/>
    </row>
    <row r="53" spans="1:75" s="166" customFormat="1" ht="14.1" customHeight="1">
      <c r="A53" s="206"/>
      <c r="B53" s="258" t="s">
        <v>391</v>
      </c>
      <c r="C53" s="254"/>
      <c r="D53" s="258" t="s">
        <v>298</v>
      </c>
      <c r="E53" s="254"/>
      <c r="F53" s="258" t="s">
        <v>302</v>
      </c>
      <c r="G53" s="254"/>
      <c r="H53" s="625" t="s">
        <v>298</v>
      </c>
      <c r="I53" s="254"/>
      <c r="J53" s="254" t="s">
        <v>350</v>
      </c>
      <c r="K53" s="254"/>
      <c r="L53" s="254" t="s">
        <v>350</v>
      </c>
      <c r="M53" s="254"/>
      <c r="N53" s="254" t="s">
        <v>396</v>
      </c>
      <c r="O53" s="254"/>
      <c r="P53" s="258" t="s">
        <v>298</v>
      </c>
      <c r="Q53" s="254"/>
      <c r="R53" s="254" t="s">
        <v>350</v>
      </c>
      <c r="S53" s="254"/>
      <c r="T53" s="254" t="s">
        <v>357</v>
      </c>
      <c r="U53" s="254"/>
      <c r="V53" s="258" t="s">
        <v>357</v>
      </c>
      <c r="W53" s="254"/>
      <c r="X53" s="254" t="s">
        <v>350</v>
      </c>
      <c r="Y53" s="254"/>
      <c r="Z53" s="258" t="s">
        <v>350</v>
      </c>
      <c r="AA53" s="254"/>
      <c r="AB53" s="258" t="s">
        <v>302</v>
      </c>
      <c r="AC53" s="254"/>
      <c r="AD53" s="258" t="s">
        <v>357</v>
      </c>
      <c r="AE53" s="254"/>
      <c r="AF53" s="604"/>
      <c r="AG53" s="732"/>
      <c r="AH53" s="728"/>
      <c r="AI53" s="728"/>
      <c r="AJ53" s="728"/>
      <c r="AK53" s="728"/>
      <c r="AL53" s="728"/>
      <c r="AM53" s="728"/>
      <c r="AN53" s="728"/>
      <c r="AO53" s="730"/>
    </row>
    <row r="54" spans="1:75" s="166" customFormat="1" ht="14.1" customHeight="1">
      <c r="A54" s="206"/>
      <c r="B54" s="254"/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00"/>
      <c r="O54" s="626"/>
      <c r="P54" s="200"/>
      <c r="Q54" s="626"/>
      <c r="R54" s="200"/>
      <c r="S54" s="626"/>
      <c r="T54" s="200"/>
      <c r="U54" s="626"/>
      <c r="V54" s="200"/>
      <c r="W54" s="626"/>
      <c r="X54" s="200"/>
      <c r="Y54" s="626"/>
      <c r="Z54" s="200"/>
      <c r="AA54" s="627"/>
      <c r="AB54" s="200"/>
      <c r="AC54" s="626"/>
      <c r="AD54" s="200"/>
      <c r="AE54" s="626"/>
      <c r="AF54" s="604"/>
      <c r="AG54" s="733"/>
      <c r="AH54" s="729"/>
      <c r="AI54" s="729"/>
      <c r="AJ54" s="729"/>
      <c r="AK54" s="729"/>
      <c r="AL54" s="729"/>
      <c r="AM54" s="729"/>
      <c r="AN54" s="729"/>
      <c r="AO54" s="731"/>
    </row>
    <row r="55" spans="1:75" s="166" customFormat="1" ht="14.1" customHeight="1">
      <c r="A55" s="206"/>
      <c r="B55" s="200"/>
      <c r="C55" s="200"/>
      <c r="D55" s="200"/>
      <c r="E55" s="200"/>
      <c r="F55" s="200"/>
      <c r="G55" s="200"/>
      <c r="H55" s="200"/>
      <c r="I55" s="200"/>
      <c r="J55" s="628"/>
      <c r="K55" s="615"/>
      <c r="L55" s="200"/>
      <c r="M55" s="200"/>
      <c r="N55" s="200"/>
      <c r="O55" s="200"/>
      <c r="P55" s="200"/>
      <c r="Q55" s="200"/>
      <c r="R55" s="200"/>
      <c r="S55" s="200"/>
      <c r="T55" s="200"/>
      <c r="U55" s="200"/>
      <c r="V55" s="200"/>
      <c r="W55" s="200"/>
      <c r="X55" s="200"/>
      <c r="Y55" s="200"/>
      <c r="Z55" s="200"/>
      <c r="AA55" s="200"/>
      <c r="AB55" s="200"/>
      <c r="AC55" s="200"/>
      <c r="AD55" s="200"/>
      <c r="AE55" s="200"/>
      <c r="AF55" s="604"/>
      <c r="AG55" s="737">
        <v>10</v>
      </c>
      <c r="AH55" s="738">
        <v>10</v>
      </c>
      <c r="AI55" s="738">
        <f>AG55-AH55</f>
        <v>0</v>
      </c>
      <c r="AJ55" s="738">
        <f>AG55</f>
        <v>10</v>
      </c>
      <c r="AK55" s="738">
        <v>10</v>
      </c>
      <c r="AL55" s="738">
        <f>AJ55-AK55</f>
        <v>0</v>
      </c>
      <c r="AM55" s="738">
        <v>1.2729999999999999</v>
      </c>
      <c r="AN55" s="738">
        <v>1.2729999999999999</v>
      </c>
      <c r="AO55" s="739"/>
    </row>
    <row r="56" spans="1:75" s="166" customFormat="1" ht="14.1" customHeight="1">
      <c r="A56" s="206"/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0"/>
      <c r="AB56" s="200"/>
      <c r="AC56" s="200"/>
      <c r="AD56" s="200"/>
      <c r="AE56" s="615"/>
      <c r="AF56" s="604"/>
      <c r="AG56" s="732"/>
      <c r="AH56" s="728"/>
      <c r="AI56" s="728"/>
      <c r="AJ56" s="728"/>
      <c r="AK56" s="728"/>
      <c r="AL56" s="728"/>
      <c r="AM56" s="728"/>
      <c r="AN56" s="728"/>
      <c r="AO56" s="730"/>
    </row>
    <row r="57" spans="1:75" s="166" customFormat="1" ht="14.1" customHeight="1">
      <c r="A57" s="206"/>
      <c r="B57" s="200">
        <v>46</v>
      </c>
      <c r="C57" s="200"/>
      <c r="D57" s="200">
        <v>47</v>
      </c>
      <c r="E57" s="200"/>
      <c r="F57" s="200">
        <v>48</v>
      </c>
      <c r="G57" s="200"/>
      <c r="H57" s="200">
        <v>49</v>
      </c>
      <c r="I57" s="200"/>
      <c r="J57" s="200">
        <v>50</v>
      </c>
      <c r="K57" s="200"/>
      <c r="L57" s="200">
        <v>51</v>
      </c>
      <c r="M57" s="200"/>
      <c r="N57" s="200">
        <v>52</v>
      </c>
      <c r="O57" s="200"/>
      <c r="P57" s="200">
        <v>53</v>
      </c>
      <c r="Q57" s="200"/>
      <c r="R57" s="200">
        <v>54</v>
      </c>
      <c r="S57" s="200"/>
      <c r="T57" s="200">
        <v>55</v>
      </c>
      <c r="U57" s="200"/>
      <c r="V57" s="200">
        <v>56</v>
      </c>
      <c r="W57" s="200"/>
      <c r="X57" s="200">
        <v>57</v>
      </c>
      <c r="Y57" s="200"/>
      <c r="Z57" s="200">
        <v>58</v>
      </c>
      <c r="AA57" s="200"/>
      <c r="AB57" s="200">
        <v>59</v>
      </c>
      <c r="AC57" s="200"/>
      <c r="AD57" s="200">
        <v>60</v>
      </c>
      <c r="AE57" s="200"/>
      <c r="AF57" s="604"/>
      <c r="AG57" s="732"/>
      <c r="AH57" s="728"/>
      <c r="AI57" s="728"/>
      <c r="AJ57" s="728"/>
      <c r="AK57" s="728"/>
      <c r="AL57" s="728"/>
      <c r="AM57" s="728"/>
      <c r="AN57" s="728"/>
      <c r="AO57" s="730"/>
    </row>
    <row r="58" spans="1:75" s="193" customFormat="1" ht="14.1" customHeight="1">
      <c r="A58" s="617"/>
      <c r="B58" s="558" t="s">
        <v>390</v>
      </c>
      <c r="C58" s="618"/>
      <c r="D58" s="558" t="s">
        <v>168</v>
      </c>
      <c r="E58" s="258"/>
      <c r="F58" s="558" t="s">
        <v>176</v>
      </c>
      <c r="G58" s="258"/>
      <c r="H58" s="558" t="s">
        <v>177</v>
      </c>
      <c r="I58" s="258"/>
      <c r="J58" s="558" t="s">
        <v>418</v>
      </c>
      <c r="K58" s="258"/>
      <c r="L58" s="558" t="s">
        <v>400</v>
      </c>
      <c r="M58" s="258"/>
      <c r="N58" s="558" t="s">
        <v>376</v>
      </c>
      <c r="O58" s="258"/>
      <c r="P58" s="558" t="s">
        <v>377</v>
      </c>
      <c r="Q58" s="258"/>
      <c r="R58" s="558" t="s">
        <v>374</v>
      </c>
      <c r="S58" s="258"/>
      <c r="T58" s="558" t="s">
        <v>388</v>
      </c>
      <c r="U58" s="258"/>
      <c r="V58" s="558" t="s">
        <v>392</v>
      </c>
      <c r="W58" s="258"/>
      <c r="X58" s="558" t="s">
        <v>549</v>
      </c>
      <c r="Y58" s="258"/>
      <c r="Z58" s="558" t="s">
        <v>404</v>
      </c>
      <c r="AA58" s="258"/>
      <c r="AB58" s="558" t="s">
        <v>407</v>
      </c>
      <c r="AC58" s="258"/>
      <c r="AD58" s="558" t="s">
        <v>178</v>
      </c>
      <c r="AE58" s="258"/>
      <c r="AF58" s="619"/>
      <c r="AG58" s="732"/>
      <c r="AH58" s="728"/>
      <c r="AI58" s="728"/>
      <c r="AJ58" s="728"/>
      <c r="AK58" s="728"/>
      <c r="AL58" s="728"/>
      <c r="AM58" s="728"/>
      <c r="AN58" s="728"/>
      <c r="AO58" s="730"/>
    </row>
    <row r="59" spans="1:75" s="166" customFormat="1" ht="13.5" customHeight="1">
      <c r="A59" s="206"/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0"/>
      <c r="AB59" s="200"/>
      <c r="AC59" s="200"/>
      <c r="AD59" s="200"/>
      <c r="AE59" s="200"/>
      <c r="AF59" s="604"/>
      <c r="AG59" s="732"/>
      <c r="AH59" s="728"/>
      <c r="AI59" s="728"/>
      <c r="AJ59" s="728"/>
      <c r="AK59" s="728"/>
      <c r="AL59" s="728"/>
      <c r="AM59" s="728"/>
      <c r="AN59" s="728"/>
      <c r="AO59" s="730"/>
    </row>
    <row r="60" spans="1:75" s="166" customFormat="1" ht="13.5" customHeight="1">
      <c r="A60" s="206"/>
      <c r="B60" s="254"/>
      <c r="C60" s="254"/>
      <c r="D60" s="254"/>
      <c r="E60" s="200"/>
      <c r="F60" s="254"/>
      <c r="G60" s="254"/>
      <c r="H60" s="254"/>
      <c r="I60" s="200"/>
      <c r="J60" s="254"/>
      <c r="K60" s="254"/>
      <c r="L60" s="254"/>
      <c r="M60" s="254"/>
      <c r="N60" s="254"/>
      <c r="O60" s="254"/>
      <c r="P60" s="254"/>
      <c r="Q60" s="254"/>
      <c r="R60" s="254"/>
      <c r="S60" s="254"/>
      <c r="T60" s="254"/>
      <c r="U60" s="254"/>
      <c r="V60" s="254"/>
      <c r="W60" s="254"/>
      <c r="X60" s="254"/>
      <c r="Y60" s="200"/>
      <c r="Z60" s="254"/>
      <c r="AA60" s="254"/>
      <c r="AB60" s="254"/>
      <c r="AC60" s="200"/>
      <c r="AD60" s="254"/>
      <c r="AE60" s="254"/>
      <c r="AF60" s="604"/>
      <c r="AG60" s="732"/>
      <c r="AH60" s="728"/>
      <c r="AI60" s="728"/>
      <c r="AJ60" s="728"/>
      <c r="AK60" s="728"/>
      <c r="AL60" s="728"/>
      <c r="AM60" s="728"/>
      <c r="AN60" s="728"/>
      <c r="AO60" s="730"/>
    </row>
    <row r="61" spans="1:75" s="166" customFormat="1" ht="13.5" customHeight="1" thickBot="1">
      <c r="A61" s="206"/>
      <c r="B61" s="254"/>
      <c r="C61" s="254"/>
      <c r="D61" s="254"/>
      <c r="E61" s="200"/>
      <c r="F61" s="254"/>
      <c r="G61" s="254"/>
      <c r="H61" s="254"/>
      <c r="I61" s="200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00"/>
      <c r="Z61" s="254"/>
      <c r="AA61" s="254"/>
      <c r="AB61" s="254"/>
      <c r="AC61" s="200"/>
      <c r="AD61" s="254"/>
      <c r="AE61" s="254"/>
      <c r="AF61" s="604"/>
      <c r="AG61" s="732"/>
      <c r="AH61" s="728"/>
      <c r="AI61" s="728"/>
      <c r="AJ61" s="728"/>
      <c r="AK61" s="728"/>
      <c r="AL61" s="728"/>
      <c r="AM61" s="728"/>
      <c r="AN61" s="728"/>
      <c r="AO61" s="730"/>
    </row>
    <row r="62" spans="1:75" s="166" customFormat="1" ht="13.5" customHeight="1">
      <c r="A62" s="206"/>
      <c r="B62" s="184"/>
      <c r="C62" s="621"/>
      <c r="D62" s="184"/>
      <c r="E62" s="621"/>
      <c r="F62" s="184"/>
      <c r="G62" s="621"/>
      <c r="H62" s="184"/>
      <c r="I62" s="621"/>
      <c r="J62" s="184"/>
      <c r="K62" s="621"/>
      <c r="L62" s="184"/>
      <c r="M62" s="621"/>
      <c r="N62" s="184"/>
      <c r="O62" s="621"/>
      <c r="P62" s="184"/>
      <c r="Q62" s="621"/>
      <c r="R62" s="184"/>
      <c r="S62" s="621"/>
      <c r="T62" s="184"/>
      <c r="U62" s="621"/>
      <c r="V62" s="722"/>
      <c r="W62" s="621"/>
      <c r="X62" s="725" t="s">
        <v>550</v>
      </c>
      <c r="Y62" s="621"/>
      <c r="Z62" s="722"/>
      <c r="AA62" s="621"/>
      <c r="AB62" s="722"/>
      <c r="AC62" s="621"/>
      <c r="AD62" s="722"/>
      <c r="AE62" s="621"/>
      <c r="AF62" s="604"/>
      <c r="AG62" s="732"/>
      <c r="AH62" s="728"/>
      <c r="AI62" s="728"/>
      <c r="AJ62" s="728"/>
      <c r="AK62" s="728"/>
      <c r="AL62" s="728"/>
      <c r="AM62" s="728"/>
      <c r="AN62" s="728"/>
      <c r="AO62" s="730"/>
      <c r="BV62" s="522">
        <f>14</f>
        <v>14</v>
      </c>
      <c r="BW62" s="522">
        <v>14</v>
      </c>
    </row>
    <row r="63" spans="1:75" s="166" customFormat="1" ht="13.5" customHeight="1">
      <c r="A63" s="206"/>
      <c r="B63" s="191"/>
      <c r="C63" s="622">
        <v>386.81599999999997</v>
      </c>
      <c r="D63" s="187"/>
      <c r="E63" s="622">
        <v>324.00400000000002</v>
      </c>
      <c r="F63" s="187"/>
      <c r="G63" s="622">
        <v>416</v>
      </c>
      <c r="H63" s="191"/>
      <c r="I63" s="622">
        <v>404.53</v>
      </c>
      <c r="J63" s="191"/>
      <c r="K63" s="622">
        <v>374.07600000000002</v>
      </c>
      <c r="L63" s="191"/>
      <c r="M63" s="622">
        <v>423.00299999999999</v>
      </c>
      <c r="N63" s="187"/>
      <c r="O63" s="622">
        <v>420</v>
      </c>
      <c r="P63" s="187"/>
      <c r="Q63" s="622">
        <v>375.06400000000002</v>
      </c>
      <c r="R63" s="187"/>
      <c r="S63" s="622">
        <v>417.21499999999997</v>
      </c>
      <c r="T63" s="187"/>
      <c r="U63" s="622">
        <v>498.00099999999998</v>
      </c>
      <c r="V63" s="723"/>
      <c r="W63" s="622">
        <v>448</v>
      </c>
      <c r="X63" s="726"/>
      <c r="Y63" s="622">
        <v>394</v>
      </c>
      <c r="Z63" s="723"/>
      <c r="AA63" s="622">
        <v>383</v>
      </c>
      <c r="AB63" s="723"/>
      <c r="AC63" s="622">
        <v>379</v>
      </c>
      <c r="AD63" s="723"/>
      <c r="AE63" s="622">
        <v>380.83699999999999</v>
      </c>
      <c r="AF63" s="604"/>
      <c r="AG63" s="732"/>
      <c r="AH63" s="728"/>
      <c r="AI63" s="728"/>
      <c r="AJ63" s="728"/>
      <c r="AK63" s="728"/>
      <c r="AL63" s="728"/>
      <c r="AM63" s="728"/>
      <c r="AN63" s="728"/>
      <c r="AO63" s="730"/>
    </row>
    <row r="64" spans="1:75" s="166" customFormat="1" ht="13.5" customHeight="1" thickBot="1">
      <c r="A64" s="206"/>
      <c r="B64" s="189"/>
      <c r="D64" s="189"/>
      <c r="F64" s="189"/>
      <c r="H64" s="189"/>
      <c r="J64" s="189"/>
      <c r="L64" s="189"/>
      <c r="N64" s="189"/>
      <c r="P64" s="189"/>
      <c r="R64" s="189"/>
      <c r="T64" s="189"/>
      <c r="V64" s="724"/>
      <c r="X64" s="727"/>
      <c r="Z64" s="724"/>
      <c r="AB64" s="724"/>
      <c r="AD64" s="724"/>
      <c r="AF64" s="604"/>
      <c r="AG64" s="732"/>
      <c r="AH64" s="728"/>
      <c r="AI64" s="728"/>
      <c r="AJ64" s="728"/>
      <c r="AK64" s="728"/>
      <c r="AL64" s="728"/>
      <c r="AM64" s="728"/>
      <c r="AN64" s="728"/>
      <c r="AO64" s="730"/>
    </row>
    <row r="65" spans="1:75" s="166" customFormat="1" ht="14.1" customHeight="1">
      <c r="A65" s="206"/>
      <c r="B65" s="258" t="s">
        <v>350</v>
      </c>
      <c r="C65" s="254"/>
      <c r="D65" s="258" t="s">
        <v>300</v>
      </c>
      <c r="E65" s="254"/>
      <c r="F65" s="258" t="s">
        <v>350</v>
      </c>
      <c r="G65" s="254"/>
      <c r="H65" s="258" t="s">
        <v>399</v>
      </c>
      <c r="I65" s="254"/>
      <c r="J65" s="258" t="s">
        <v>300</v>
      </c>
      <c r="K65" s="254"/>
      <c r="L65" s="258" t="s">
        <v>373</v>
      </c>
      <c r="M65" s="254"/>
      <c r="N65" s="258" t="s">
        <v>357</v>
      </c>
      <c r="O65" s="254"/>
      <c r="P65" s="254" t="s">
        <v>350</v>
      </c>
      <c r="Q65" s="254"/>
      <c r="R65" s="258" t="s">
        <v>335</v>
      </c>
      <c r="S65" s="254"/>
      <c r="T65" s="258" t="s">
        <v>389</v>
      </c>
      <c r="U65" s="254"/>
      <c r="V65" s="258" t="s">
        <v>393</v>
      </c>
      <c r="W65" s="254"/>
      <c r="X65" s="258" t="s">
        <v>357</v>
      </c>
      <c r="Y65" s="254"/>
      <c r="Z65" s="254" t="s">
        <v>350</v>
      </c>
      <c r="AA65" s="254"/>
      <c r="AB65" s="254" t="s">
        <v>350</v>
      </c>
      <c r="AC65" s="254"/>
      <c r="AD65" s="254" t="s">
        <v>350</v>
      </c>
      <c r="AE65" s="254"/>
      <c r="AF65" s="604"/>
      <c r="AG65" s="732"/>
      <c r="AH65" s="728"/>
      <c r="AI65" s="728"/>
      <c r="AJ65" s="728"/>
      <c r="AK65" s="728"/>
      <c r="AL65" s="728"/>
      <c r="AM65" s="728"/>
      <c r="AN65" s="728"/>
      <c r="AO65" s="730"/>
    </row>
    <row r="66" spans="1:75" s="166" customFormat="1" ht="14.1" customHeight="1">
      <c r="A66" s="206"/>
      <c r="B66" s="200"/>
      <c r="C66" s="200"/>
      <c r="D66" s="200"/>
      <c r="E66" s="626"/>
      <c r="F66" s="200"/>
      <c r="G66" s="626"/>
      <c r="H66" s="200"/>
      <c r="I66" s="200"/>
      <c r="J66" s="200"/>
      <c r="K66" s="626"/>
      <c r="L66" s="200"/>
      <c r="M66" s="626"/>
      <c r="N66" s="200"/>
      <c r="O66" s="626"/>
      <c r="P66" s="200"/>
      <c r="Q66" s="200"/>
      <c r="R66" s="200"/>
      <c r="S66" s="200"/>
      <c r="T66" s="200"/>
      <c r="U66" s="626"/>
      <c r="V66" s="200"/>
      <c r="W66" s="615"/>
      <c r="X66" s="200"/>
      <c r="Y66" s="200"/>
      <c r="Z66" s="200"/>
      <c r="AA66" s="200"/>
      <c r="AB66" s="200"/>
      <c r="AC66" s="629"/>
      <c r="AD66" s="200"/>
      <c r="AE66" s="629"/>
      <c r="AF66" s="604"/>
      <c r="AG66" s="733"/>
      <c r="AH66" s="729"/>
      <c r="AI66" s="729"/>
      <c r="AJ66" s="729"/>
      <c r="AK66" s="729"/>
      <c r="AL66" s="729"/>
      <c r="AM66" s="729"/>
      <c r="AN66" s="729"/>
      <c r="AO66" s="731"/>
    </row>
    <row r="67" spans="1:75" s="166" customFormat="1" ht="13.5" customHeight="1">
      <c r="A67" s="206"/>
      <c r="B67" s="200"/>
      <c r="C67" s="200"/>
      <c r="D67" s="200"/>
      <c r="E67" s="200"/>
      <c r="F67" s="200"/>
      <c r="G67" s="200"/>
      <c r="H67" s="200"/>
      <c r="I67" s="627"/>
      <c r="J67" s="200"/>
      <c r="K67" s="200"/>
      <c r="L67" s="200"/>
      <c r="M67" s="200"/>
      <c r="N67" s="200"/>
      <c r="O67" s="200"/>
      <c r="P67" s="200"/>
      <c r="Q67" s="200"/>
      <c r="R67" s="200"/>
      <c r="S67" s="614" t="s">
        <v>1109</v>
      </c>
      <c r="T67" s="200"/>
      <c r="U67" s="200"/>
      <c r="V67" s="200"/>
      <c r="W67" s="614" t="s">
        <v>1110</v>
      </c>
      <c r="X67" s="200"/>
      <c r="Y67" s="200"/>
      <c r="Z67" s="200"/>
      <c r="AA67" s="614" t="s">
        <v>1109</v>
      </c>
      <c r="AB67" s="200"/>
      <c r="AC67" s="200"/>
      <c r="AD67" s="200"/>
      <c r="AE67" s="200"/>
      <c r="AF67" s="604"/>
      <c r="AG67" s="737">
        <v>10</v>
      </c>
      <c r="AH67" s="738">
        <v>9</v>
      </c>
      <c r="AI67" s="738">
        <f>AG67-AH67</f>
        <v>1</v>
      </c>
      <c r="AJ67" s="738">
        <f>COUNTA($D$58:$V$58)</f>
        <v>10</v>
      </c>
      <c r="AK67" s="738">
        <v>7</v>
      </c>
      <c r="AL67" s="738">
        <f>AJ67-AK67</f>
        <v>3</v>
      </c>
      <c r="AM67" s="738">
        <v>0.91500000000000004</v>
      </c>
      <c r="AN67" s="738">
        <f>0.672+0.243</f>
        <v>0.91500000000000004</v>
      </c>
      <c r="AO67" s="739"/>
    </row>
    <row r="68" spans="1:75" s="166" customFormat="1" ht="14.1" customHeight="1">
      <c r="A68" s="206"/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B68" s="200"/>
      <c r="AC68" s="200"/>
      <c r="AD68" s="200"/>
      <c r="AE68" s="200"/>
      <c r="AF68" s="604"/>
      <c r="AG68" s="733"/>
      <c r="AH68" s="729"/>
      <c r="AI68" s="729"/>
      <c r="AJ68" s="729"/>
      <c r="AK68" s="729"/>
      <c r="AL68" s="729"/>
      <c r="AM68" s="729"/>
      <c r="AN68" s="729"/>
      <c r="AO68" s="731"/>
    </row>
    <row r="69" spans="1:75" s="166" customFormat="1" ht="13.5" customHeight="1">
      <c r="A69" s="206"/>
      <c r="B69" s="200"/>
      <c r="C69" s="200"/>
      <c r="D69" s="200"/>
      <c r="E69" s="200"/>
      <c r="F69" s="200"/>
      <c r="G69" s="200"/>
      <c r="H69" s="200"/>
      <c r="I69" s="200"/>
      <c r="J69" s="200"/>
      <c r="K69" s="627"/>
      <c r="L69" s="200"/>
      <c r="M69" s="200"/>
      <c r="N69" s="200"/>
      <c r="O69" s="200"/>
      <c r="P69" s="200"/>
      <c r="Q69" s="200"/>
      <c r="R69" s="200"/>
      <c r="S69" s="200"/>
      <c r="T69" s="200"/>
      <c r="U69" s="200"/>
      <c r="V69" s="200"/>
      <c r="W69" s="200"/>
      <c r="X69" s="200"/>
      <c r="Y69" s="200"/>
      <c r="Z69" s="200"/>
      <c r="AA69" s="200"/>
      <c r="AB69" s="200"/>
      <c r="AC69" s="200"/>
      <c r="AD69" s="200"/>
      <c r="AE69" s="200"/>
      <c r="AF69" s="604"/>
      <c r="AG69" s="737">
        <v>10</v>
      </c>
      <c r="AH69" s="738">
        <v>10</v>
      </c>
      <c r="AI69" s="738">
        <f>AG69-AH69</f>
        <v>0</v>
      </c>
      <c r="AJ69" s="738">
        <f>COUNTA($B$71:$L$71)</f>
        <v>6</v>
      </c>
      <c r="AK69" s="738">
        <v>9</v>
      </c>
      <c r="AL69" s="738">
        <f>AJ69-AK69</f>
        <v>-3</v>
      </c>
      <c r="AM69" s="738"/>
      <c r="AN69" s="738"/>
      <c r="AO69" s="739"/>
    </row>
    <row r="70" spans="1:75" s="166" customFormat="1" ht="13.5" customHeight="1">
      <c r="A70" s="206"/>
      <c r="B70" s="200">
        <v>61</v>
      </c>
      <c r="C70" s="200"/>
      <c r="D70" s="200">
        <v>62</v>
      </c>
      <c r="E70" s="200"/>
      <c r="F70" s="200">
        <v>63</v>
      </c>
      <c r="G70" s="200"/>
      <c r="H70" s="200">
        <v>64</v>
      </c>
      <c r="I70" s="200"/>
      <c r="J70" s="200">
        <v>65</v>
      </c>
      <c r="K70" s="200"/>
      <c r="L70" s="200">
        <v>66</v>
      </c>
      <c r="M70" s="200"/>
      <c r="N70" s="200">
        <v>67</v>
      </c>
      <c r="O70" s="200"/>
      <c r="P70" s="200">
        <v>68</v>
      </c>
      <c r="Q70" s="200"/>
      <c r="R70" s="200">
        <v>69</v>
      </c>
      <c r="S70" s="200"/>
      <c r="T70" s="200">
        <v>70</v>
      </c>
      <c r="U70" s="200"/>
      <c r="V70" s="200">
        <v>71</v>
      </c>
      <c r="W70" s="200"/>
      <c r="X70" s="200">
        <v>72</v>
      </c>
      <c r="Y70" s="200"/>
      <c r="Z70" s="200">
        <v>73</v>
      </c>
      <c r="AA70" s="200"/>
      <c r="AB70" s="200">
        <v>74</v>
      </c>
      <c r="AC70" s="200"/>
      <c r="AD70" s="200">
        <v>75</v>
      </c>
      <c r="AE70" s="200"/>
      <c r="AF70" s="604"/>
      <c r="AG70" s="732"/>
      <c r="AH70" s="728"/>
      <c r="AI70" s="728"/>
      <c r="AJ70" s="728"/>
      <c r="AK70" s="728"/>
      <c r="AL70" s="728"/>
      <c r="AM70" s="728"/>
      <c r="AN70" s="728"/>
      <c r="AO70" s="730"/>
    </row>
    <row r="71" spans="1:75" s="193" customFormat="1" ht="13.5" customHeight="1">
      <c r="A71" s="617"/>
      <c r="B71" s="558" t="s">
        <v>419</v>
      </c>
      <c r="C71" s="258"/>
      <c r="D71" s="558" t="s">
        <v>405</v>
      </c>
      <c r="E71" s="258"/>
      <c r="F71" s="558" t="s">
        <v>430</v>
      </c>
      <c r="G71" s="258"/>
      <c r="H71" s="558" t="s">
        <v>406</v>
      </c>
      <c r="I71" s="258"/>
      <c r="J71" s="558" t="s">
        <v>411</v>
      </c>
      <c r="K71" s="258"/>
      <c r="L71" s="558" t="s">
        <v>422</v>
      </c>
      <c r="M71" s="258"/>
      <c r="N71" s="558" t="s">
        <v>551</v>
      </c>
      <c r="O71" s="258"/>
      <c r="P71" s="558" t="s">
        <v>417</v>
      </c>
      <c r="Q71" s="258"/>
      <c r="R71" s="558" t="s">
        <v>410</v>
      </c>
      <c r="S71" s="258"/>
      <c r="T71" s="558" t="s">
        <v>425</v>
      </c>
      <c r="U71" s="258"/>
      <c r="V71" s="558" t="s">
        <v>423</v>
      </c>
      <c r="W71" s="258"/>
      <c r="X71" s="558" t="s">
        <v>385</v>
      </c>
      <c r="Y71" s="258"/>
      <c r="Z71" s="558" t="s">
        <v>180</v>
      </c>
      <c r="AA71" s="258"/>
      <c r="AB71" s="558" t="s">
        <v>371</v>
      </c>
      <c r="AC71" s="258"/>
      <c r="AD71" s="558" t="s">
        <v>383</v>
      </c>
      <c r="AE71" s="258"/>
      <c r="AF71" s="619"/>
      <c r="AG71" s="732"/>
      <c r="AH71" s="728"/>
      <c r="AI71" s="728"/>
      <c r="AJ71" s="728"/>
      <c r="AK71" s="728"/>
      <c r="AL71" s="728"/>
      <c r="AM71" s="728"/>
      <c r="AN71" s="728"/>
      <c r="AO71" s="730"/>
    </row>
    <row r="72" spans="1:75" s="166" customFormat="1" ht="13.5" customHeight="1">
      <c r="A72" s="206"/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0"/>
      <c r="N72" s="200"/>
      <c r="O72" s="200"/>
      <c r="P72" s="200"/>
      <c r="Q72" s="200"/>
      <c r="R72" s="200"/>
      <c r="S72" s="200"/>
      <c r="T72" s="200"/>
      <c r="U72" s="200"/>
      <c r="V72" s="200"/>
      <c r="W72" s="200"/>
      <c r="X72" s="200"/>
      <c r="Y72" s="200"/>
      <c r="Z72" s="200"/>
      <c r="AA72" s="200"/>
      <c r="AB72" s="200"/>
      <c r="AC72" s="200"/>
      <c r="AD72" s="200"/>
      <c r="AE72" s="200"/>
      <c r="AF72" s="604"/>
      <c r="AG72" s="732"/>
      <c r="AH72" s="728"/>
      <c r="AI72" s="728"/>
      <c r="AJ72" s="728"/>
      <c r="AK72" s="728"/>
      <c r="AL72" s="728"/>
      <c r="AM72" s="728"/>
      <c r="AN72" s="728"/>
      <c r="AO72" s="730"/>
    </row>
    <row r="73" spans="1:75" s="166" customFormat="1" ht="13.5" customHeight="1">
      <c r="A73" s="206"/>
      <c r="B73" s="254"/>
      <c r="C73" s="254"/>
      <c r="D73" s="254"/>
      <c r="E73" s="254"/>
      <c r="F73" s="254"/>
      <c r="G73" s="254"/>
      <c r="H73" s="254"/>
      <c r="I73" s="254"/>
      <c r="J73" s="254"/>
      <c r="K73" s="254"/>
      <c r="L73" s="254"/>
      <c r="M73" s="254"/>
      <c r="N73" s="254"/>
      <c r="O73" s="200"/>
      <c r="P73" s="254"/>
      <c r="Q73" s="254"/>
      <c r="R73" s="254"/>
      <c r="S73" s="200"/>
      <c r="T73" s="254"/>
      <c r="U73" s="254"/>
      <c r="V73" s="254"/>
      <c r="W73" s="254"/>
      <c r="X73" s="254"/>
      <c r="Y73" s="254"/>
      <c r="Z73" s="254"/>
      <c r="AA73" s="254"/>
      <c r="AB73" s="254"/>
      <c r="AC73" s="254"/>
      <c r="AD73" s="254"/>
      <c r="AE73" s="254"/>
      <c r="AF73" s="604"/>
      <c r="AG73" s="732"/>
      <c r="AH73" s="728"/>
      <c r="AI73" s="728"/>
      <c r="AJ73" s="728"/>
      <c r="AK73" s="728"/>
      <c r="AL73" s="728"/>
      <c r="AM73" s="728"/>
      <c r="AN73" s="728"/>
      <c r="AO73" s="730"/>
    </row>
    <row r="74" spans="1:75" s="166" customFormat="1" ht="13.5" customHeight="1" thickBot="1">
      <c r="A74" s="206"/>
      <c r="B74" s="254"/>
      <c r="C74" s="254"/>
      <c r="D74" s="254"/>
      <c r="E74" s="254"/>
      <c r="F74" s="254"/>
      <c r="G74" s="254"/>
      <c r="H74" s="254"/>
      <c r="I74" s="254"/>
      <c r="J74" s="254"/>
      <c r="K74" s="254"/>
      <c r="L74" s="254"/>
      <c r="M74" s="254"/>
      <c r="N74" s="254"/>
      <c r="O74" s="200"/>
      <c r="P74" s="254"/>
      <c r="Q74" s="254"/>
      <c r="R74" s="254"/>
      <c r="S74" s="200"/>
      <c r="T74" s="254"/>
      <c r="U74" s="254"/>
      <c r="V74" s="254"/>
      <c r="W74" s="254"/>
      <c r="X74" s="254"/>
      <c r="Y74" s="254"/>
      <c r="Z74" s="254"/>
      <c r="AA74" s="254"/>
      <c r="AB74" s="254"/>
      <c r="AC74" s="254"/>
      <c r="AD74" s="254"/>
      <c r="AE74" s="254"/>
      <c r="AF74" s="604"/>
      <c r="AG74" s="732"/>
      <c r="AH74" s="728"/>
      <c r="AI74" s="728"/>
      <c r="AJ74" s="728"/>
      <c r="AK74" s="728"/>
      <c r="AL74" s="728"/>
      <c r="AM74" s="728"/>
      <c r="AN74" s="728"/>
      <c r="AO74" s="730"/>
      <c r="BV74" s="522">
        <v>14</v>
      </c>
      <c r="BW74" s="522">
        <v>14</v>
      </c>
    </row>
    <row r="75" spans="1:75" s="166" customFormat="1" ht="13.5" customHeight="1">
      <c r="A75" s="624"/>
      <c r="B75" s="184"/>
      <c r="C75" s="621"/>
      <c r="D75" s="184"/>
      <c r="E75" s="621"/>
      <c r="F75" s="184"/>
      <c r="G75" s="621"/>
      <c r="H75" s="184"/>
      <c r="I75" s="621"/>
      <c r="J75" s="184"/>
      <c r="K75" s="621"/>
      <c r="L75" s="184"/>
      <c r="M75" s="621"/>
      <c r="N75" s="194"/>
      <c r="O75" s="621"/>
      <c r="P75" s="184"/>
      <c r="Q75" s="621"/>
      <c r="R75" s="722"/>
      <c r="S75" s="621"/>
      <c r="T75" s="722"/>
      <c r="U75" s="621"/>
      <c r="V75" s="722"/>
      <c r="W75" s="621"/>
      <c r="X75" s="184"/>
      <c r="Y75" s="621"/>
      <c r="Z75" s="184"/>
      <c r="AA75" s="621"/>
      <c r="AB75" s="184"/>
      <c r="AC75" s="621"/>
      <c r="AD75" s="184"/>
      <c r="AE75" s="621"/>
      <c r="AF75" s="604"/>
      <c r="AG75" s="732"/>
      <c r="AH75" s="728"/>
      <c r="AI75" s="728"/>
      <c r="AJ75" s="728"/>
      <c r="AK75" s="728"/>
      <c r="AL75" s="728"/>
      <c r="AM75" s="728"/>
      <c r="AN75" s="728"/>
      <c r="AO75" s="730"/>
    </row>
    <row r="76" spans="1:75" s="166" customFormat="1" ht="13.5" customHeight="1">
      <c r="A76" s="624"/>
      <c r="B76" s="187"/>
      <c r="C76" s="622">
        <v>366.00299999999999</v>
      </c>
      <c r="D76" s="187"/>
      <c r="E76" s="622">
        <v>376</v>
      </c>
      <c r="F76" s="187"/>
      <c r="G76" s="622">
        <v>368</v>
      </c>
      <c r="H76" s="191"/>
      <c r="I76" s="622">
        <v>373.96499999999997</v>
      </c>
      <c r="J76" s="191"/>
      <c r="K76" s="622">
        <v>373.005</v>
      </c>
      <c r="L76" s="191"/>
      <c r="M76" s="622">
        <v>362.45</v>
      </c>
      <c r="N76" s="195"/>
      <c r="O76" s="622">
        <v>323</v>
      </c>
      <c r="P76" s="191"/>
      <c r="Q76" s="622">
        <v>299</v>
      </c>
      <c r="R76" s="723"/>
      <c r="S76" s="622">
        <v>350.38099999999997</v>
      </c>
      <c r="T76" s="723"/>
      <c r="U76" s="622">
        <v>333.99700000000001</v>
      </c>
      <c r="V76" s="723"/>
      <c r="W76" s="622">
        <v>394</v>
      </c>
      <c r="X76" s="191"/>
      <c r="Y76" s="622">
        <v>363</v>
      </c>
      <c r="Z76" s="187"/>
      <c r="AA76" s="622">
        <v>413</v>
      </c>
      <c r="AB76" s="187"/>
      <c r="AC76" s="622">
        <v>376</v>
      </c>
      <c r="AD76" s="187"/>
      <c r="AE76" s="622">
        <v>388</v>
      </c>
      <c r="AF76" s="604"/>
      <c r="AG76" s="732"/>
      <c r="AH76" s="728"/>
      <c r="AI76" s="728"/>
      <c r="AJ76" s="728"/>
      <c r="AK76" s="728"/>
      <c r="AL76" s="728"/>
      <c r="AM76" s="728"/>
      <c r="AN76" s="728"/>
      <c r="AO76" s="730"/>
    </row>
    <row r="77" spans="1:75" s="166" customFormat="1" ht="13.5" customHeight="1" thickBot="1">
      <c r="A77" s="624"/>
      <c r="B77" s="189"/>
      <c r="D77" s="189"/>
      <c r="F77" s="189"/>
      <c r="H77" s="189"/>
      <c r="J77" s="189"/>
      <c r="L77" s="189"/>
      <c r="N77" s="196"/>
      <c r="P77" s="189"/>
      <c r="R77" s="724"/>
      <c r="T77" s="724"/>
      <c r="V77" s="724"/>
      <c r="X77" s="189"/>
      <c r="Z77" s="189"/>
      <c r="AB77" s="189"/>
      <c r="AD77" s="189"/>
      <c r="AF77" s="604"/>
      <c r="AG77" s="732"/>
      <c r="AH77" s="728"/>
      <c r="AI77" s="728"/>
      <c r="AJ77" s="728"/>
      <c r="AK77" s="728"/>
      <c r="AL77" s="728"/>
      <c r="AM77" s="728"/>
      <c r="AN77" s="728"/>
      <c r="AO77" s="730"/>
    </row>
    <row r="78" spans="1:75" s="166" customFormat="1" ht="14.1" customHeight="1">
      <c r="A78" s="206"/>
      <c r="B78" s="258" t="s">
        <v>302</v>
      </c>
      <c r="C78" s="254"/>
      <c r="D78" s="258" t="s">
        <v>350</v>
      </c>
      <c r="E78" s="254"/>
      <c r="F78" s="258" t="s">
        <v>350</v>
      </c>
      <c r="G78" s="254"/>
      <c r="H78" s="258" t="s">
        <v>350</v>
      </c>
      <c r="I78" s="254"/>
      <c r="J78" s="254" t="s">
        <v>300</v>
      </c>
      <c r="K78" s="254"/>
      <c r="L78" s="258" t="s">
        <v>396</v>
      </c>
      <c r="M78" s="254"/>
      <c r="N78" s="258" t="s">
        <v>298</v>
      </c>
      <c r="O78" s="254"/>
      <c r="P78" s="254" t="s">
        <v>396</v>
      </c>
      <c r="Q78" s="254"/>
      <c r="R78" s="258" t="s">
        <v>396</v>
      </c>
      <c r="S78" s="254"/>
      <c r="T78" s="258" t="s">
        <v>330</v>
      </c>
      <c r="U78" s="254"/>
      <c r="V78" s="258" t="s">
        <v>350</v>
      </c>
      <c r="W78" s="254"/>
      <c r="X78" s="254" t="s">
        <v>350</v>
      </c>
      <c r="Y78" s="254"/>
      <c r="Z78" s="258" t="s">
        <v>350</v>
      </c>
      <c r="AA78" s="254"/>
      <c r="AB78" s="254" t="s">
        <v>357</v>
      </c>
      <c r="AC78" s="254"/>
      <c r="AD78" s="254" t="s">
        <v>350</v>
      </c>
      <c r="AE78" s="254"/>
      <c r="AF78" s="604"/>
      <c r="AG78" s="732"/>
      <c r="AH78" s="728"/>
      <c r="AI78" s="728"/>
      <c r="AJ78" s="728"/>
      <c r="AK78" s="728"/>
      <c r="AL78" s="728"/>
      <c r="AM78" s="728"/>
      <c r="AN78" s="728"/>
      <c r="AO78" s="730"/>
    </row>
    <row r="79" spans="1:75" s="200" customFormat="1" ht="14.1" customHeight="1" thickBot="1">
      <c r="A79" s="206"/>
      <c r="C79" s="626"/>
      <c r="G79" s="615"/>
      <c r="I79" s="630"/>
      <c r="O79" s="631" t="s">
        <v>1111</v>
      </c>
      <c r="Q79" s="627"/>
      <c r="W79" s="254"/>
      <c r="AA79" s="254"/>
      <c r="AC79" s="254"/>
      <c r="AE79" s="254"/>
      <c r="AF79" s="604"/>
      <c r="AG79" s="734"/>
      <c r="AH79" s="735"/>
      <c r="AI79" s="735"/>
      <c r="AJ79" s="735"/>
      <c r="AK79" s="735"/>
      <c r="AL79" s="735"/>
      <c r="AM79" s="735"/>
      <c r="AN79" s="735"/>
      <c r="AO79" s="736"/>
    </row>
    <row r="80" spans="1:75" s="166" customFormat="1" ht="13.5" customHeight="1">
      <c r="A80" s="206"/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0"/>
      <c r="Y80" s="200"/>
      <c r="Z80" s="200"/>
      <c r="AA80" s="200"/>
      <c r="AB80" s="200"/>
      <c r="AC80" s="200"/>
      <c r="AD80" s="200"/>
      <c r="AE80" s="200"/>
      <c r="AF80" s="604"/>
      <c r="AG80" s="732"/>
      <c r="AH80" s="728"/>
      <c r="AI80" s="728"/>
      <c r="AJ80" s="728"/>
      <c r="AK80" s="728"/>
      <c r="AL80" s="728"/>
      <c r="AM80" s="728"/>
      <c r="AN80" s="728"/>
      <c r="AO80" s="730"/>
    </row>
    <row r="81" spans="1:75" s="166" customFormat="1" ht="13.5" customHeight="1">
      <c r="A81" s="206"/>
      <c r="B81" s="200">
        <v>76</v>
      </c>
      <c r="C81" s="200"/>
      <c r="D81" s="200">
        <v>77</v>
      </c>
      <c r="E81" s="200"/>
      <c r="F81" s="200">
        <v>78</v>
      </c>
      <c r="G81" s="200"/>
      <c r="H81" s="200">
        <v>79</v>
      </c>
      <c r="I81" s="200"/>
      <c r="J81" s="200">
        <v>80</v>
      </c>
      <c r="K81" s="200"/>
      <c r="L81" s="200">
        <v>81</v>
      </c>
      <c r="M81" s="200"/>
      <c r="N81" s="200">
        <v>82</v>
      </c>
      <c r="O81" s="200"/>
      <c r="P81" s="200">
        <v>83</v>
      </c>
      <c r="Q81" s="200"/>
      <c r="R81" s="200">
        <v>84</v>
      </c>
      <c r="S81" s="200"/>
      <c r="T81" s="200">
        <v>85</v>
      </c>
      <c r="U81" s="200"/>
      <c r="V81" s="200">
        <v>86</v>
      </c>
      <c r="W81" s="200"/>
      <c r="X81" s="200">
        <v>87</v>
      </c>
      <c r="Y81" s="200"/>
      <c r="Z81" s="200">
        <v>88</v>
      </c>
      <c r="AA81" s="200"/>
      <c r="AB81" s="200">
        <v>89</v>
      </c>
      <c r="AC81" s="200"/>
      <c r="AD81" s="200">
        <v>90</v>
      </c>
      <c r="AE81" s="200"/>
      <c r="AF81" s="604"/>
      <c r="AG81" s="732"/>
      <c r="AH81" s="728"/>
      <c r="AI81" s="728"/>
      <c r="AJ81" s="728"/>
      <c r="AK81" s="728"/>
      <c r="AL81" s="728"/>
      <c r="AM81" s="728"/>
      <c r="AN81" s="728"/>
      <c r="AO81" s="730"/>
    </row>
    <row r="82" spans="1:75" s="193" customFormat="1" ht="13.5" customHeight="1">
      <c r="A82" s="617"/>
      <c r="B82" s="258" t="s">
        <v>386</v>
      </c>
      <c r="C82" s="258"/>
      <c r="D82" s="258" t="s">
        <v>387</v>
      </c>
      <c r="E82" s="258"/>
      <c r="F82" s="258" t="s">
        <v>552</v>
      </c>
      <c r="G82" s="258"/>
      <c r="H82" s="258" t="s">
        <v>553</v>
      </c>
      <c r="I82" s="258"/>
      <c r="J82" s="258" t="s">
        <v>169</v>
      </c>
      <c r="K82" s="258"/>
      <c r="L82" s="258" t="s">
        <v>554</v>
      </c>
      <c r="M82" s="258"/>
      <c r="N82" s="258" t="s">
        <v>555</v>
      </c>
      <c r="O82" s="258"/>
      <c r="P82" s="258" t="s">
        <v>452</v>
      </c>
      <c r="Q82" s="258"/>
      <c r="R82" s="258" t="s">
        <v>458</v>
      </c>
      <c r="S82" s="258"/>
      <c r="T82" s="258" t="s">
        <v>454</v>
      </c>
      <c r="U82" s="258"/>
      <c r="V82" s="258" t="s">
        <v>556</v>
      </c>
      <c r="W82" s="258"/>
      <c r="X82" s="258" t="s">
        <v>557</v>
      </c>
      <c r="Y82" s="258"/>
      <c r="Z82" s="258" t="s">
        <v>558</v>
      </c>
      <c r="AA82" s="258"/>
      <c r="AB82" s="618" t="s">
        <v>559</v>
      </c>
      <c r="AC82" s="618"/>
      <c r="AD82" s="258" t="s">
        <v>445</v>
      </c>
      <c r="AE82" s="258"/>
      <c r="AF82" s="619"/>
      <c r="AG82" s="732"/>
      <c r="AH82" s="728"/>
      <c r="AI82" s="728"/>
      <c r="AJ82" s="728"/>
      <c r="AK82" s="728"/>
      <c r="AL82" s="728"/>
      <c r="AM82" s="728"/>
      <c r="AN82" s="728"/>
      <c r="AO82" s="730"/>
    </row>
    <row r="83" spans="1:75" s="166" customFormat="1" ht="13.5" customHeight="1">
      <c r="A83" s="206"/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0"/>
      <c r="N83" s="200"/>
      <c r="O83" s="200"/>
      <c r="P83" s="200"/>
      <c r="Q83" s="200"/>
      <c r="R83" s="200"/>
      <c r="S83" s="200"/>
      <c r="T83" s="200"/>
      <c r="U83" s="200"/>
      <c r="V83" s="200"/>
      <c r="W83" s="200"/>
      <c r="X83" s="200"/>
      <c r="Y83" s="200"/>
      <c r="Z83" s="200"/>
      <c r="AA83" s="200"/>
      <c r="AB83" s="200"/>
      <c r="AC83" s="200"/>
      <c r="AD83" s="200"/>
      <c r="AE83" s="200"/>
      <c r="AF83" s="604"/>
      <c r="AG83" s="732"/>
      <c r="AH83" s="728"/>
      <c r="AI83" s="728"/>
      <c r="AJ83" s="728"/>
      <c r="AK83" s="728"/>
      <c r="AL83" s="728"/>
      <c r="AM83" s="728"/>
      <c r="AN83" s="728"/>
      <c r="AO83" s="730"/>
    </row>
    <row r="84" spans="1:75" s="166" customFormat="1" ht="13.5" customHeight="1">
      <c r="A84" s="206"/>
      <c r="B84" s="254"/>
      <c r="C84" s="254"/>
      <c r="D84" s="254"/>
      <c r="E84" s="200"/>
      <c r="F84" s="254"/>
      <c r="G84" s="254"/>
      <c r="H84" s="254"/>
      <c r="I84" s="200"/>
      <c r="J84" s="254"/>
      <c r="K84" s="254"/>
      <c r="L84" s="254"/>
      <c r="M84" s="254"/>
      <c r="N84" s="254"/>
      <c r="O84" s="254"/>
      <c r="P84" s="254"/>
      <c r="Q84" s="254"/>
      <c r="R84" s="254"/>
      <c r="S84" s="254"/>
      <c r="T84" s="254"/>
      <c r="U84" s="254"/>
      <c r="V84" s="254"/>
      <c r="W84" s="254"/>
      <c r="X84" s="254"/>
      <c r="Y84" s="200"/>
      <c r="Z84" s="254"/>
      <c r="AA84" s="254"/>
      <c r="AB84" s="254"/>
      <c r="AC84" s="200"/>
      <c r="AD84" s="254"/>
      <c r="AE84" s="254"/>
      <c r="AF84" s="604"/>
      <c r="AG84" s="732"/>
      <c r="AH84" s="728"/>
      <c r="AI84" s="728"/>
      <c r="AJ84" s="728"/>
      <c r="AK84" s="728"/>
      <c r="AL84" s="728"/>
      <c r="AM84" s="728"/>
      <c r="AN84" s="728"/>
      <c r="AO84" s="730"/>
    </row>
    <row r="85" spans="1:75" s="166" customFormat="1" ht="13.5" customHeight="1" thickBot="1">
      <c r="A85" s="206"/>
      <c r="B85" s="254"/>
      <c r="C85" s="254"/>
      <c r="D85" s="254"/>
      <c r="E85" s="200"/>
      <c r="F85" s="254"/>
      <c r="G85" s="254"/>
      <c r="H85" s="254"/>
      <c r="I85" s="200"/>
      <c r="J85" s="254"/>
      <c r="K85" s="254"/>
      <c r="L85" s="254"/>
      <c r="M85" s="254"/>
      <c r="N85" s="254"/>
      <c r="O85" s="254"/>
      <c r="P85" s="254"/>
      <c r="Q85" s="254"/>
      <c r="R85" s="254"/>
      <c r="S85" s="254"/>
      <c r="T85" s="254"/>
      <c r="U85" s="254"/>
      <c r="V85" s="254"/>
      <c r="W85" s="254"/>
      <c r="X85" s="254"/>
      <c r="Y85" s="200"/>
      <c r="Z85" s="254"/>
      <c r="AA85" s="254"/>
      <c r="AB85" s="254"/>
      <c r="AC85" s="200"/>
      <c r="AD85" s="254"/>
      <c r="AE85" s="254"/>
      <c r="AF85" s="604"/>
      <c r="AG85" s="732"/>
      <c r="AH85" s="728"/>
      <c r="AI85" s="728"/>
      <c r="AJ85" s="728"/>
      <c r="AK85" s="728"/>
      <c r="AL85" s="728"/>
      <c r="AM85" s="728"/>
      <c r="AN85" s="728"/>
      <c r="AO85" s="730"/>
    </row>
    <row r="86" spans="1:75" s="166" customFormat="1" ht="14.1" customHeight="1">
      <c r="A86" s="624"/>
      <c r="B86" s="184"/>
      <c r="C86" s="621"/>
      <c r="D86" s="184"/>
      <c r="E86" s="621"/>
      <c r="F86" s="184"/>
      <c r="G86" s="621"/>
      <c r="H86" s="183"/>
      <c r="I86" s="621"/>
      <c r="J86" s="183"/>
      <c r="K86" s="621"/>
      <c r="L86" s="183"/>
      <c r="M86" s="621"/>
      <c r="N86" s="716" t="s">
        <v>67</v>
      </c>
      <c r="O86" s="621"/>
      <c r="P86" s="184"/>
      <c r="Q86" s="621"/>
      <c r="R86" s="184"/>
      <c r="S86" s="621"/>
      <c r="T86" s="184"/>
      <c r="U86" s="621"/>
      <c r="V86" s="183"/>
      <c r="W86" s="621"/>
      <c r="X86" s="255"/>
      <c r="Y86" s="621"/>
      <c r="Z86" s="183"/>
      <c r="AA86" s="621"/>
      <c r="AB86" s="184"/>
      <c r="AC86" s="621"/>
      <c r="AD86" s="184"/>
      <c r="AE86" s="621"/>
      <c r="AF86" s="604"/>
      <c r="AG86" s="732"/>
      <c r="AH86" s="728"/>
      <c r="AI86" s="728"/>
      <c r="AJ86" s="728"/>
      <c r="AK86" s="728"/>
      <c r="AL86" s="728"/>
      <c r="AM86" s="728"/>
      <c r="AN86" s="728"/>
      <c r="AO86" s="730"/>
      <c r="BV86" s="522">
        <v>9</v>
      </c>
      <c r="BW86" s="522">
        <v>2</v>
      </c>
    </row>
    <row r="87" spans="1:75" s="166" customFormat="1" ht="14.1" customHeight="1">
      <c r="A87" s="624"/>
      <c r="B87" s="187"/>
      <c r="C87" s="622">
        <v>378</v>
      </c>
      <c r="D87" s="187"/>
      <c r="E87" s="622">
        <v>342.70600000000002</v>
      </c>
      <c r="F87" s="187" t="s">
        <v>67</v>
      </c>
      <c r="G87" s="622">
        <v>259.34199999999998</v>
      </c>
      <c r="H87" s="186"/>
      <c r="I87" s="622">
        <v>268</v>
      </c>
      <c r="J87" s="186"/>
      <c r="K87" s="622">
        <v>276.41000000000003</v>
      </c>
      <c r="L87" s="186"/>
      <c r="M87" s="622">
        <v>438.12599999999998</v>
      </c>
      <c r="N87" s="717"/>
      <c r="O87" s="622">
        <v>399.67099999999999</v>
      </c>
      <c r="P87" s="187"/>
      <c r="Q87" s="622">
        <v>438.27600000000001</v>
      </c>
      <c r="R87" s="187" t="s">
        <v>67</v>
      </c>
      <c r="S87" s="622">
        <v>400</v>
      </c>
      <c r="T87" s="187"/>
      <c r="U87" s="622">
        <v>440</v>
      </c>
      <c r="V87" s="186"/>
      <c r="W87" s="622">
        <v>375</v>
      </c>
      <c r="X87" s="256"/>
      <c r="Y87" s="622">
        <v>298.19299999999998</v>
      </c>
      <c r="Z87" s="186"/>
      <c r="AA87" s="622">
        <v>348</v>
      </c>
      <c r="AB87" s="187" t="s">
        <v>67</v>
      </c>
      <c r="AC87" s="622">
        <v>422</v>
      </c>
      <c r="AD87" s="187"/>
      <c r="AE87" s="622">
        <v>242.87700000000001</v>
      </c>
      <c r="AF87" s="604"/>
      <c r="AG87" s="733"/>
      <c r="AH87" s="729"/>
      <c r="AI87" s="729"/>
      <c r="AJ87" s="729"/>
      <c r="AK87" s="729"/>
      <c r="AL87" s="729"/>
      <c r="AM87" s="729"/>
      <c r="AN87" s="729"/>
      <c r="AO87" s="731"/>
    </row>
    <row r="88" spans="1:75" s="166" customFormat="1" ht="13.5" customHeight="1" thickBot="1">
      <c r="A88" s="624"/>
      <c r="B88" s="189"/>
      <c r="D88" s="189"/>
      <c r="F88" s="189"/>
      <c r="H88" s="188"/>
      <c r="J88" s="188"/>
      <c r="L88" s="188"/>
      <c r="N88" s="718"/>
      <c r="P88" s="189"/>
      <c r="R88" s="189"/>
      <c r="T88" s="189"/>
      <c r="V88" s="188"/>
      <c r="X88" s="257"/>
      <c r="Z88" s="188"/>
      <c r="AB88" s="189"/>
      <c r="AD88" s="189"/>
      <c r="AF88" s="604"/>
      <c r="AG88" s="737">
        <v>10</v>
      </c>
      <c r="AH88" s="738">
        <v>7</v>
      </c>
      <c r="AI88" s="738">
        <f>AG88-AH88</f>
        <v>3</v>
      </c>
      <c r="AJ88" s="738">
        <f>COUNTA(#REF!)</f>
        <v>1</v>
      </c>
      <c r="AK88" s="738">
        <v>5</v>
      </c>
      <c r="AL88" s="738">
        <v>5</v>
      </c>
      <c r="AM88" s="738"/>
      <c r="AN88" s="738"/>
      <c r="AO88" s="739"/>
    </row>
    <row r="89" spans="1:75" s="166" customFormat="1" ht="16.5" customHeight="1">
      <c r="A89" s="206"/>
      <c r="B89" s="254" t="s">
        <v>350</v>
      </c>
      <c r="C89" s="254"/>
      <c r="D89" s="254" t="s">
        <v>350</v>
      </c>
      <c r="E89" s="254"/>
      <c r="F89" s="254" t="s">
        <v>373</v>
      </c>
      <c r="G89" s="254"/>
      <c r="H89" s="258" t="s">
        <v>330</v>
      </c>
      <c r="I89" s="254"/>
      <c r="J89" s="258" t="s">
        <v>560</v>
      </c>
      <c r="K89" s="254"/>
      <c r="L89" s="258" t="s">
        <v>560</v>
      </c>
      <c r="M89" s="254"/>
      <c r="N89" s="254" t="s">
        <v>357</v>
      </c>
      <c r="O89" s="254"/>
      <c r="P89" s="254" t="s">
        <v>357</v>
      </c>
      <c r="Q89" s="254"/>
      <c r="R89" s="258" t="s">
        <v>357</v>
      </c>
      <c r="S89" s="254"/>
      <c r="T89" s="254" t="s">
        <v>350</v>
      </c>
      <c r="U89" s="254"/>
      <c r="V89" s="254" t="s">
        <v>357</v>
      </c>
      <c r="W89" s="254"/>
      <c r="X89" s="254" t="s">
        <v>560</v>
      </c>
      <c r="Y89" s="254"/>
      <c r="Z89" s="254" t="s">
        <v>305</v>
      </c>
      <c r="AA89" s="254"/>
      <c r="AB89" s="258" t="s">
        <v>561</v>
      </c>
      <c r="AC89" s="254"/>
      <c r="AD89" s="258" t="s">
        <v>298</v>
      </c>
      <c r="AE89" s="254"/>
      <c r="AF89" s="604"/>
      <c r="AG89" s="732"/>
      <c r="AH89" s="728"/>
      <c r="AI89" s="728"/>
      <c r="AJ89" s="728"/>
      <c r="AK89" s="728"/>
      <c r="AL89" s="728"/>
      <c r="AM89" s="728"/>
      <c r="AN89" s="728"/>
      <c r="AO89" s="730"/>
    </row>
    <row r="90" spans="1:75" s="166" customFormat="1" ht="13.5" customHeight="1">
      <c r="A90" s="206"/>
      <c r="B90" s="200"/>
      <c r="C90" s="615"/>
      <c r="D90" s="200"/>
      <c r="E90" s="254"/>
      <c r="F90" s="200"/>
      <c r="G90" s="614" t="s">
        <v>1112</v>
      </c>
      <c r="H90" s="200"/>
      <c r="I90" s="254"/>
      <c r="J90" s="200"/>
      <c r="K90" s="632" t="s">
        <v>1114</v>
      </c>
      <c r="L90" s="200"/>
      <c r="M90" s="254"/>
      <c r="N90" s="200"/>
      <c r="O90" s="254"/>
      <c r="P90" s="200"/>
      <c r="Q90" s="254"/>
      <c r="R90" s="200"/>
      <c r="S90" s="254"/>
      <c r="T90" s="200"/>
      <c r="U90" s="200"/>
      <c r="V90" s="200"/>
      <c r="W90" s="200"/>
      <c r="X90" s="200"/>
      <c r="Y90" s="614" t="s">
        <v>1115</v>
      </c>
      <c r="Z90" s="200"/>
      <c r="AA90" s="200"/>
      <c r="AB90" s="200"/>
      <c r="AC90" s="615"/>
      <c r="AD90" s="200"/>
      <c r="AE90" s="200"/>
      <c r="AF90" s="604"/>
      <c r="AG90" s="732"/>
      <c r="AH90" s="728"/>
      <c r="AI90" s="728"/>
      <c r="AJ90" s="728"/>
      <c r="AK90" s="728"/>
      <c r="AL90" s="728"/>
      <c r="AM90" s="728"/>
      <c r="AN90" s="728"/>
      <c r="AO90" s="730"/>
    </row>
    <row r="91" spans="1:75" s="166" customFormat="1" ht="13.5" customHeight="1">
      <c r="A91" s="206"/>
      <c r="B91" s="200"/>
      <c r="C91" s="200"/>
      <c r="D91" s="200"/>
      <c r="E91" s="200"/>
      <c r="F91" s="200"/>
      <c r="G91" s="614" t="s">
        <v>1113</v>
      </c>
      <c r="H91" s="200"/>
      <c r="I91" s="200"/>
      <c r="J91" s="200"/>
      <c r="L91" s="200"/>
      <c r="M91" s="200"/>
      <c r="N91" s="200"/>
      <c r="O91" s="200"/>
      <c r="P91" s="200"/>
      <c r="Q91" s="200"/>
      <c r="R91" s="200"/>
      <c r="S91" s="200"/>
      <c r="T91" s="200"/>
      <c r="U91" s="200"/>
      <c r="V91" s="200"/>
      <c r="W91" s="200"/>
      <c r="X91" s="200"/>
      <c r="Y91" s="200"/>
      <c r="Z91" s="200"/>
      <c r="AA91" s="200"/>
      <c r="AC91" s="200"/>
      <c r="AD91" s="200"/>
      <c r="AE91" s="200"/>
      <c r="AF91" s="604"/>
      <c r="AG91" s="732"/>
      <c r="AH91" s="728"/>
      <c r="AI91" s="728"/>
      <c r="AJ91" s="728"/>
      <c r="AK91" s="728"/>
      <c r="AL91" s="728"/>
      <c r="AM91" s="728"/>
      <c r="AN91" s="728"/>
      <c r="AO91" s="730"/>
    </row>
    <row r="92" spans="1:75" s="166" customFormat="1" ht="13.5" customHeight="1">
      <c r="A92" s="206"/>
      <c r="B92" s="200">
        <v>91</v>
      </c>
      <c r="C92" s="200"/>
      <c r="D92" s="200">
        <v>92</v>
      </c>
      <c r="E92" s="200"/>
      <c r="F92" s="200">
        <v>93</v>
      </c>
      <c r="G92" s="200"/>
      <c r="H92" s="200">
        <v>94</v>
      </c>
      <c r="I92" s="200"/>
      <c r="J92" s="200">
        <v>95</v>
      </c>
      <c r="K92" s="200"/>
      <c r="L92" s="200">
        <v>96</v>
      </c>
      <c r="M92" s="200"/>
      <c r="N92" s="200">
        <v>97</v>
      </c>
      <c r="O92" s="200"/>
      <c r="P92" s="200">
        <v>98</v>
      </c>
      <c r="Q92" s="200"/>
      <c r="R92" s="200">
        <v>99</v>
      </c>
      <c r="S92" s="200"/>
      <c r="T92" s="200">
        <v>100</v>
      </c>
      <c r="U92" s="200"/>
      <c r="V92" s="200">
        <v>101</v>
      </c>
      <c r="W92" s="200"/>
      <c r="X92" s="200">
        <v>102</v>
      </c>
      <c r="Y92" s="200"/>
      <c r="Z92" s="200">
        <v>103</v>
      </c>
      <c r="AA92" s="200"/>
      <c r="AB92" s="200">
        <v>104</v>
      </c>
      <c r="AC92" s="200"/>
      <c r="AD92" s="200">
        <v>105</v>
      </c>
      <c r="AE92" s="200"/>
      <c r="AF92" s="604"/>
      <c r="AG92" s="732"/>
      <c r="AH92" s="728"/>
      <c r="AI92" s="728"/>
      <c r="AJ92" s="728"/>
      <c r="AK92" s="728"/>
      <c r="AL92" s="728"/>
      <c r="AM92" s="728"/>
      <c r="AN92" s="728"/>
      <c r="AO92" s="730"/>
    </row>
    <row r="93" spans="1:75" s="166" customFormat="1" ht="13.5" customHeight="1">
      <c r="A93" s="206"/>
      <c r="B93" s="254" t="s">
        <v>453</v>
      </c>
      <c r="C93" s="254"/>
      <c r="D93" s="254" t="s">
        <v>455</v>
      </c>
      <c r="E93" s="254"/>
      <c r="F93" s="254" t="s">
        <v>459</v>
      </c>
      <c r="G93" s="254"/>
      <c r="H93" s="254" t="s">
        <v>562</v>
      </c>
      <c r="I93" s="254"/>
      <c r="J93" s="254" t="s">
        <v>450</v>
      </c>
      <c r="K93" s="254"/>
      <c r="L93" s="254" t="s">
        <v>358</v>
      </c>
      <c r="M93" s="254"/>
      <c r="N93" s="254" t="s">
        <v>456</v>
      </c>
      <c r="O93" s="254"/>
      <c r="P93" s="254" t="s">
        <v>349</v>
      </c>
      <c r="Q93" s="254"/>
      <c r="R93" s="254" t="s">
        <v>354</v>
      </c>
      <c r="S93" s="254"/>
      <c r="T93" s="254" t="s">
        <v>356</v>
      </c>
      <c r="U93" s="254"/>
      <c r="V93" s="254" t="s">
        <v>361</v>
      </c>
      <c r="W93" s="254"/>
      <c r="X93" s="254" t="s">
        <v>360</v>
      </c>
      <c r="Y93" s="200"/>
      <c r="Z93" s="254" t="s">
        <v>359</v>
      </c>
      <c r="AA93" s="254"/>
      <c r="AB93" s="254" t="s">
        <v>362</v>
      </c>
      <c r="AC93" s="254"/>
      <c r="AD93" s="254" t="s">
        <v>363</v>
      </c>
      <c r="AE93" s="254"/>
      <c r="AF93" s="604"/>
      <c r="AG93" s="732"/>
      <c r="AH93" s="728"/>
      <c r="AI93" s="728"/>
      <c r="AJ93" s="728"/>
      <c r="AK93" s="728"/>
      <c r="AL93" s="728"/>
      <c r="AM93" s="728"/>
      <c r="AN93" s="728"/>
      <c r="AO93" s="730"/>
    </row>
    <row r="94" spans="1:75" s="166" customFormat="1" ht="13.5" customHeight="1">
      <c r="A94" s="206"/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0"/>
      <c r="N94" s="200"/>
      <c r="O94" s="200"/>
      <c r="P94" s="200"/>
      <c r="Q94" s="200"/>
      <c r="R94" s="200"/>
      <c r="S94" s="200"/>
      <c r="T94" s="200"/>
      <c r="U94" s="200"/>
      <c r="V94" s="200"/>
      <c r="W94" s="200"/>
      <c r="X94" s="200"/>
      <c r="Y94" s="200"/>
      <c r="Z94" s="200"/>
      <c r="AA94" s="200"/>
      <c r="AB94" s="200"/>
      <c r="AC94" s="200"/>
      <c r="AD94" s="200"/>
      <c r="AE94" s="200"/>
      <c r="AF94" s="604"/>
      <c r="AG94" s="732"/>
      <c r="AH94" s="728"/>
      <c r="AI94" s="728"/>
      <c r="AJ94" s="728"/>
      <c r="AK94" s="728"/>
      <c r="AL94" s="728"/>
      <c r="AM94" s="728"/>
      <c r="AN94" s="728"/>
      <c r="AO94" s="730"/>
    </row>
    <row r="95" spans="1:75" s="166" customFormat="1" ht="13.5" customHeight="1">
      <c r="A95" s="206"/>
      <c r="B95" s="254"/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/>
      <c r="O95" s="200"/>
      <c r="P95" s="254"/>
      <c r="Q95" s="254"/>
      <c r="R95" s="254"/>
      <c r="S95" s="200"/>
      <c r="T95" s="254"/>
      <c r="U95" s="254"/>
      <c r="V95" s="254"/>
      <c r="W95" s="254"/>
      <c r="X95" s="254"/>
      <c r="Y95" s="254"/>
      <c r="Z95" s="254"/>
      <c r="AA95" s="254"/>
      <c r="AB95" s="254"/>
      <c r="AC95" s="254"/>
      <c r="AD95" s="254"/>
      <c r="AE95" s="254"/>
      <c r="AF95" s="604"/>
      <c r="AG95" s="732"/>
      <c r="AH95" s="728"/>
      <c r="AI95" s="728"/>
      <c r="AJ95" s="728"/>
      <c r="AK95" s="728"/>
      <c r="AL95" s="728"/>
      <c r="AM95" s="728"/>
      <c r="AN95" s="728"/>
      <c r="AO95" s="730"/>
    </row>
    <row r="96" spans="1:75" s="166" customFormat="1" ht="13.5" customHeight="1" thickBot="1">
      <c r="A96" s="206"/>
      <c r="B96" s="254"/>
      <c r="C96" s="254"/>
      <c r="D96" s="254"/>
      <c r="E96" s="254"/>
      <c r="F96" s="254"/>
      <c r="G96" s="254"/>
      <c r="H96" s="254"/>
      <c r="I96" s="254"/>
      <c r="J96" s="254"/>
      <c r="K96" s="254"/>
      <c r="L96" s="254"/>
      <c r="M96" s="254"/>
      <c r="N96" s="254"/>
      <c r="O96" s="200"/>
      <c r="P96" s="254"/>
      <c r="Q96" s="254"/>
      <c r="R96" s="254"/>
      <c r="S96" s="200"/>
      <c r="T96" s="254"/>
      <c r="U96" s="254"/>
      <c r="V96" s="254"/>
      <c r="W96" s="254"/>
      <c r="X96" s="254"/>
      <c r="Y96" s="254"/>
      <c r="Z96" s="254"/>
      <c r="AA96" s="254"/>
      <c r="AB96" s="254"/>
      <c r="AC96" s="254"/>
      <c r="AD96" s="254"/>
      <c r="AE96" s="254"/>
      <c r="AF96" s="604"/>
      <c r="AG96" s="732"/>
      <c r="AH96" s="728"/>
      <c r="AI96" s="728"/>
      <c r="AJ96" s="728"/>
      <c r="AK96" s="728"/>
      <c r="AL96" s="728"/>
      <c r="AM96" s="728"/>
      <c r="AN96" s="728"/>
      <c r="AO96" s="730"/>
    </row>
    <row r="97" spans="1:75" s="166" customFormat="1" ht="13.5" customHeight="1">
      <c r="A97" s="624"/>
      <c r="B97" s="184"/>
      <c r="C97" s="621"/>
      <c r="D97" s="184"/>
      <c r="E97" s="621"/>
      <c r="F97" s="184"/>
      <c r="G97" s="621"/>
      <c r="H97" s="202"/>
      <c r="I97" s="621"/>
      <c r="J97" s="202"/>
      <c r="K97" s="621"/>
      <c r="L97" s="184"/>
      <c r="M97" s="621"/>
      <c r="N97" s="184"/>
      <c r="O97" s="621"/>
      <c r="P97" s="184"/>
      <c r="Q97" s="621"/>
      <c r="R97" s="184"/>
      <c r="S97" s="621"/>
      <c r="T97" s="184"/>
      <c r="U97" s="621"/>
      <c r="V97" s="184"/>
      <c r="W97" s="621"/>
      <c r="X97" s="184"/>
      <c r="Y97" s="621"/>
      <c r="Z97" s="184"/>
      <c r="AA97" s="621"/>
      <c r="AB97" s="184"/>
      <c r="AC97" s="621"/>
      <c r="AD97" s="184"/>
      <c r="AE97" s="621"/>
      <c r="AF97" s="604"/>
      <c r="AG97" s="732"/>
      <c r="AH97" s="728"/>
      <c r="AI97" s="728"/>
      <c r="AJ97" s="728"/>
      <c r="AK97" s="728"/>
      <c r="AL97" s="728"/>
      <c r="AM97" s="728"/>
      <c r="AN97" s="728"/>
      <c r="AO97" s="730"/>
      <c r="BV97" s="522">
        <v>15</v>
      </c>
      <c r="BW97" s="522">
        <v>0</v>
      </c>
    </row>
    <row r="98" spans="1:75" s="166" customFormat="1" ht="13.5" customHeight="1">
      <c r="A98" s="624"/>
      <c r="B98" s="187"/>
      <c r="C98" s="622">
        <v>234.98</v>
      </c>
      <c r="D98" s="187" t="s">
        <v>67</v>
      </c>
      <c r="E98" s="622">
        <v>375.72</v>
      </c>
      <c r="F98" s="187" t="s">
        <v>67</v>
      </c>
      <c r="G98" s="622">
        <v>348</v>
      </c>
      <c r="H98" s="187"/>
      <c r="I98" s="622">
        <v>355.50400000000002</v>
      </c>
      <c r="J98" s="187"/>
      <c r="K98" s="622">
        <v>380.67899999999997</v>
      </c>
      <c r="L98" s="187"/>
      <c r="M98" s="622">
        <v>408</v>
      </c>
      <c r="N98" s="187"/>
      <c r="O98" s="622">
        <v>413</v>
      </c>
      <c r="P98" s="187"/>
      <c r="Q98" s="622">
        <v>381</v>
      </c>
      <c r="R98" s="187"/>
      <c r="S98" s="622">
        <v>364</v>
      </c>
      <c r="T98" s="187"/>
      <c r="U98" s="622">
        <v>404.71</v>
      </c>
      <c r="V98" s="187"/>
      <c r="W98" s="622">
        <v>406.00099999999998</v>
      </c>
      <c r="X98" s="191"/>
      <c r="Y98" s="622">
        <v>402</v>
      </c>
      <c r="Z98" s="187"/>
      <c r="AA98" s="622">
        <v>365</v>
      </c>
      <c r="AB98" s="187"/>
      <c r="AC98" s="622">
        <v>420</v>
      </c>
      <c r="AD98" s="187"/>
      <c r="AE98" s="622">
        <v>408.99900000000002</v>
      </c>
      <c r="AF98" s="604"/>
      <c r="AG98" s="732"/>
      <c r="AH98" s="728"/>
      <c r="AI98" s="728"/>
      <c r="AJ98" s="728"/>
      <c r="AK98" s="728"/>
      <c r="AL98" s="728"/>
      <c r="AM98" s="728"/>
      <c r="AN98" s="728"/>
      <c r="AO98" s="730"/>
    </row>
    <row r="99" spans="1:75" s="166" customFormat="1" ht="13.5" customHeight="1" thickBot="1">
      <c r="A99" s="624"/>
      <c r="B99" s="189"/>
      <c r="D99" s="189"/>
      <c r="F99" s="189"/>
      <c r="H99" s="203"/>
      <c r="J99" s="203"/>
      <c r="L99" s="189"/>
      <c r="N99" s="189"/>
      <c r="P99" s="189"/>
      <c r="R99" s="189"/>
      <c r="T99" s="189"/>
      <c r="V99" s="189"/>
      <c r="X99" s="189"/>
      <c r="Z99" s="189"/>
      <c r="AB99" s="189"/>
      <c r="AD99" s="189"/>
      <c r="AF99" s="604"/>
      <c r="AG99" s="732"/>
      <c r="AH99" s="728"/>
      <c r="AI99" s="728"/>
      <c r="AJ99" s="728"/>
      <c r="AK99" s="728"/>
      <c r="AL99" s="728"/>
      <c r="AM99" s="728"/>
      <c r="AN99" s="728"/>
      <c r="AO99" s="730"/>
    </row>
    <row r="100" spans="1:75" s="166" customFormat="1" ht="14.1" customHeight="1">
      <c r="A100" s="206"/>
      <c r="B100" s="254" t="s">
        <v>350</v>
      </c>
      <c r="C100" s="254"/>
      <c r="D100" s="254" t="s">
        <v>373</v>
      </c>
      <c r="E100" s="254"/>
      <c r="F100" s="254" t="s">
        <v>330</v>
      </c>
      <c r="G100" s="254"/>
      <c r="H100" s="258" t="s">
        <v>396</v>
      </c>
      <c r="I100" s="254"/>
      <c r="J100" s="254" t="s">
        <v>300</v>
      </c>
      <c r="K100" s="254"/>
      <c r="L100" s="254" t="s">
        <v>350</v>
      </c>
      <c r="M100" s="254"/>
      <c r="N100" s="254" t="s">
        <v>357</v>
      </c>
      <c r="O100" s="254"/>
      <c r="P100" s="254" t="s">
        <v>350</v>
      </c>
      <c r="Q100" s="254"/>
      <c r="R100" s="254" t="s">
        <v>350</v>
      </c>
      <c r="S100" s="254"/>
      <c r="T100" s="258" t="s">
        <v>357</v>
      </c>
      <c r="U100" s="254"/>
      <c r="V100" s="254" t="s">
        <v>300</v>
      </c>
      <c r="W100" s="254"/>
      <c r="X100" s="254" t="s">
        <v>357</v>
      </c>
      <c r="Y100" s="254"/>
      <c r="Z100" s="254" t="s">
        <v>350</v>
      </c>
      <c r="AA100" s="254"/>
      <c r="AB100" s="254" t="s">
        <v>350</v>
      </c>
      <c r="AC100" s="254"/>
      <c r="AD100" s="254" t="s">
        <v>357</v>
      </c>
      <c r="AE100" s="254"/>
      <c r="AF100" s="604"/>
      <c r="AG100" s="732"/>
      <c r="AH100" s="728"/>
      <c r="AI100" s="728"/>
      <c r="AJ100" s="728"/>
      <c r="AK100" s="728"/>
      <c r="AL100" s="728"/>
      <c r="AM100" s="728"/>
      <c r="AN100" s="728"/>
      <c r="AO100" s="730"/>
    </row>
    <row r="101" spans="1:75" s="166" customFormat="1" ht="14.1" customHeight="1">
      <c r="A101" s="206"/>
      <c r="B101" s="200"/>
      <c r="C101" s="633" t="s">
        <v>1010</v>
      </c>
      <c r="D101" s="200"/>
      <c r="E101" s="633" t="s">
        <v>1116</v>
      </c>
      <c r="F101" s="200" t="s">
        <v>565</v>
      </c>
      <c r="G101" s="254"/>
      <c r="H101" s="200"/>
      <c r="I101" s="623" t="s">
        <v>1118</v>
      </c>
      <c r="J101" s="200"/>
      <c r="K101" s="254"/>
      <c r="L101" s="200"/>
      <c r="M101" s="254"/>
      <c r="N101" s="200"/>
      <c r="O101" s="254"/>
      <c r="P101" s="200"/>
      <c r="Q101" s="254"/>
      <c r="R101" s="200"/>
      <c r="S101" s="254"/>
      <c r="T101" s="200"/>
      <c r="U101" s="254"/>
      <c r="V101" s="200"/>
      <c r="W101" s="254"/>
      <c r="X101" s="200"/>
      <c r="Y101" s="254"/>
      <c r="Z101" s="200"/>
      <c r="AA101" s="254"/>
      <c r="AB101" s="200"/>
      <c r="AC101" s="254"/>
      <c r="AD101" s="200"/>
      <c r="AE101" s="615"/>
      <c r="AF101" s="604"/>
      <c r="AG101" s="733"/>
      <c r="AH101" s="729"/>
      <c r="AI101" s="729"/>
      <c r="AJ101" s="729"/>
      <c r="AK101" s="729"/>
      <c r="AL101" s="729"/>
      <c r="AM101" s="729"/>
      <c r="AN101" s="729"/>
      <c r="AO101" s="731"/>
    </row>
    <row r="102" spans="1:75" s="166" customFormat="1" ht="13.5" customHeight="1">
      <c r="A102" s="206"/>
      <c r="B102" s="200"/>
      <c r="C102" s="633" t="s">
        <v>1117</v>
      </c>
      <c r="D102" s="200"/>
      <c r="E102" s="633" t="s">
        <v>1117</v>
      </c>
      <c r="F102" s="200"/>
      <c r="G102" s="618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614" t="s">
        <v>1127</v>
      </c>
      <c r="Z102" s="200"/>
      <c r="AA102" s="200"/>
      <c r="AB102" s="200"/>
      <c r="AC102" s="200"/>
      <c r="AD102" s="200"/>
      <c r="AE102" s="200"/>
      <c r="AF102" s="604"/>
      <c r="AG102" s="732"/>
      <c r="AH102" s="728"/>
      <c r="AI102" s="728"/>
      <c r="AJ102" s="728"/>
      <c r="AK102" s="728"/>
      <c r="AL102" s="728"/>
      <c r="AM102" s="728"/>
      <c r="AN102" s="728"/>
      <c r="AO102" s="730"/>
    </row>
    <row r="103" spans="1:75" s="166" customFormat="1" ht="13.5" customHeight="1">
      <c r="A103" s="206"/>
      <c r="B103" s="200">
        <v>106</v>
      </c>
      <c r="C103" s="200"/>
      <c r="D103" s="200">
        <v>107</v>
      </c>
      <c r="E103" s="200"/>
      <c r="F103" s="200">
        <v>108</v>
      </c>
      <c r="G103" s="200"/>
      <c r="H103" s="200">
        <v>109</v>
      </c>
      <c r="I103" s="200"/>
      <c r="J103" s="200">
        <v>110</v>
      </c>
      <c r="K103" s="200"/>
      <c r="L103" s="200">
        <v>111</v>
      </c>
      <c r="M103" s="200"/>
      <c r="N103" s="200">
        <v>112</v>
      </c>
      <c r="O103" s="200"/>
      <c r="P103" s="200">
        <v>113</v>
      </c>
      <c r="Q103" s="200"/>
      <c r="R103" s="200">
        <v>114</v>
      </c>
      <c r="S103" s="200"/>
      <c r="T103" s="200">
        <v>115</v>
      </c>
      <c r="U103" s="200"/>
      <c r="V103" s="200">
        <v>116</v>
      </c>
      <c r="W103" s="200"/>
      <c r="X103" s="200">
        <v>117</v>
      </c>
      <c r="Y103" s="200"/>
      <c r="Z103" s="200">
        <v>118</v>
      </c>
      <c r="AA103" s="200"/>
      <c r="AB103" s="200">
        <v>119</v>
      </c>
      <c r="AC103" s="200"/>
      <c r="AD103" s="200">
        <v>120</v>
      </c>
      <c r="AE103" s="200"/>
      <c r="AF103" s="604"/>
      <c r="AG103" s="732"/>
      <c r="AH103" s="728"/>
      <c r="AI103" s="728"/>
      <c r="AJ103" s="728"/>
      <c r="AK103" s="728"/>
      <c r="AL103" s="728"/>
      <c r="AM103" s="728"/>
      <c r="AN103" s="728"/>
      <c r="AO103" s="730"/>
    </row>
    <row r="104" spans="1:75" s="166" customFormat="1" ht="13.5" customHeight="1">
      <c r="A104" s="206"/>
      <c r="B104" s="254" t="s">
        <v>461</v>
      </c>
      <c r="C104" s="254"/>
      <c r="D104" s="254" t="s">
        <v>566</v>
      </c>
      <c r="E104" s="254"/>
      <c r="F104" s="254" t="s">
        <v>567</v>
      </c>
      <c r="G104" s="254"/>
      <c r="H104" s="254" t="s">
        <v>568</v>
      </c>
      <c r="I104" s="254"/>
      <c r="J104" s="254" t="s">
        <v>429</v>
      </c>
      <c r="K104" s="254"/>
      <c r="L104" s="254" t="s">
        <v>569</v>
      </c>
      <c r="M104" s="254"/>
      <c r="N104" s="254" t="s">
        <v>428</v>
      </c>
      <c r="O104" s="254"/>
      <c r="P104" s="254" t="s">
        <v>427</v>
      </c>
      <c r="Q104" s="254"/>
      <c r="R104" s="254" t="s">
        <v>439</v>
      </c>
      <c r="S104" s="254"/>
      <c r="T104" s="254" t="s">
        <v>570</v>
      </c>
      <c r="U104" s="254"/>
      <c r="V104" s="254" t="s">
        <v>571</v>
      </c>
      <c r="W104" s="254"/>
      <c r="X104" s="254" t="s">
        <v>572</v>
      </c>
      <c r="Y104" s="200"/>
      <c r="Z104" s="254" t="s">
        <v>573</v>
      </c>
      <c r="AA104" s="254"/>
      <c r="AB104" s="254" t="s">
        <v>574</v>
      </c>
      <c r="AC104" s="254"/>
      <c r="AD104" s="254" t="s">
        <v>575</v>
      </c>
      <c r="AE104" s="254"/>
      <c r="AF104" s="604"/>
      <c r="AG104" s="732"/>
      <c r="AH104" s="728"/>
      <c r="AI104" s="728"/>
      <c r="AJ104" s="728"/>
      <c r="AK104" s="728"/>
      <c r="AL104" s="728"/>
      <c r="AM104" s="728"/>
      <c r="AN104" s="728"/>
      <c r="AO104" s="730"/>
    </row>
    <row r="105" spans="1:75" s="166" customFormat="1" ht="13.5" customHeight="1">
      <c r="A105" s="206"/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604"/>
      <c r="AG105" s="732"/>
      <c r="AH105" s="728"/>
      <c r="AI105" s="728"/>
      <c r="AJ105" s="728"/>
      <c r="AK105" s="728"/>
      <c r="AL105" s="728"/>
      <c r="AM105" s="728"/>
      <c r="AN105" s="728"/>
      <c r="AO105" s="730"/>
    </row>
    <row r="106" spans="1:75" s="166" customFormat="1" ht="13.5" customHeight="1">
      <c r="A106" s="206"/>
      <c r="B106" s="254"/>
      <c r="C106" s="254"/>
      <c r="D106" s="254"/>
      <c r="E106" s="200"/>
      <c r="F106" s="254"/>
      <c r="G106" s="254"/>
      <c r="H106" s="254"/>
      <c r="I106" s="200"/>
      <c r="J106" s="254"/>
      <c r="K106" s="254"/>
      <c r="L106" s="254"/>
      <c r="M106" s="254"/>
      <c r="N106" s="254"/>
      <c r="O106" s="254"/>
      <c r="P106" s="254"/>
      <c r="Q106" s="254"/>
      <c r="R106" s="254"/>
      <c r="S106" s="254"/>
      <c r="T106" s="254"/>
      <c r="U106" s="254"/>
      <c r="V106" s="254"/>
      <c r="W106" s="254"/>
      <c r="X106" s="254"/>
      <c r="Y106" s="200"/>
      <c r="Z106" s="254"/>
      <c r="AA106" s="254"/>
      <c r="AB106" s="254"/>
      <c r="AC106" s="200"/>
      <c r="AD106" s="254"/>
      <c r="AE106" s="254"/>
      <c r="AF106" s="604"/>
      <c r="AG106" s="732"/>
      <c r="AH106" s="728"/>
      <c r="AI106" s="728"/>
      <c r="AJ106" s="728"/>
      <c r="AK106" s="728"/>
      <c r="AL106" s="728"/>
      <c r="AM106" s="728"/>
      <c r="AN106" s="728"/>
      <c r="AO106" s="730"/>
    </row>
    <row r="107" spans="1:75" s="166" customFormat="1" ht="13.5" customHeight="1" thickBot="1">
      <c r="A107" s="206"/>
      <c r="B107" s="254"/>
      <c r="C107" s="254"/>
      <c r="D107" s="254"/>
      <c r="E107" s="200"/>
      <c r="F107" s="254"/>
      <c r="G107" s="254"/>
      <c r="H107" s="254"/>
      <c r="I107" s="200"/>
      <c r="J107" s="254"/>
      <c r="K107" s="254"/>
      <c r="L107" s="254"/>
      <c r="M107" s="254"/>
      <c r="N107" s="254"/>
      <c r="O107" s="254"/>
      <c r="P107" s="254"/>
      <c r="Q107" s="254"/>
      <c r="R107" s="254"/>
      <c r="S107" s="254"/>
      <c r="T107" s="254"/>
      <c r="U107" s="254"/>
      <c r="V107" s="254"/>
      <c r="W107" s="254"/>
      <c r="X107" s="254"/>
      <c r="Y107" s="200"/>
      <c r="Z107" s="254"/>
      <c r="AA107" s="254"/>
      <c r="AB107" s="254"/>
      <c r="AC107" s="200"/>
      <c r="AD107" s="254"/>
      <c r="AE107" s="254"/>
      <c r="AF107" s="604"/>
      <c r="AG107" s="732"/>
      <c r="AH107" s="728"/>
      <c r="AI107" s="728"/>
      <c r="AJ107" s="728"/>
      <c r="AK107" s="728"/>
      <c r="AL107" s="728"/>
      <c r="AM107" s="728"/>
      <c r="AN107" s="728"/>
      <c r="AO107" s="730"/>
    </row>
    <row r="108" spans="1:75" s="166" customFormat="1" ht="13.5" customHeight="1">
      <c r="A108" s="624"/>
      <c r="B108" s="194"/>
      <c r="C108" s="621"/>
      <c r="D108" s="544"/>
      <c r="E108" s="621"/>
      <c r="F108" s="509"/>
      <c r="G108" s="621"/>
      <c r="H108" s="183"/>
      <c r="I108" s="621"/>
      <c r="J108" s="184"/>
      <c r="K108" s="621"/>
      <c r="L108" s="183"/>
      <c r="M108" s="621"/>
      <c r="N108" s="184"/>
      <c r="O108" s="621"/>
      <c r="P108" s="184"/>
      <c r="Q108" s="621"/>
      <c r="R108" s="184"/>
      <c r="S108" s="621"/>
      <c r="T108" s="183"/>
      <c r="U108" s="621"/>
      <c r="V108" s="183"/>
      <c r="W108" s="621"/>
      <c r="X108" s="261"/>
      <c r="Y108" s="609"/>
      <c r="Z108" s="261"/>
      <c r="AA108" s="609"/>
      <c r="AB108" s="261"/>
      <c r="AC108" s="609"/>
      <c r="AD108" s="261"/>
      <c r="AE108" s="609"/>
      <c r="AF108" s="604"/>
      <c r="AG108" s="732"/>
      <c r="AH108" s="728"/>
      <c r="AI108" s="728"/>
      <c r="AJ108" s="728"/>
      <c r="AK108" s="728"/>
      <c r="AL108" s="728"/>
      <c r="AM108" s="728"/>
      <c r="AN108" s="728"/>
      <c r="AO108" s="730"/>
      <c r="BV108" s="522">
        <f>4</f>
        <v>4</v>
      </c>
      <c r="BW108" s="522">
        <v>0</v>
      </c>
    </row>
    <row r="109" spans="1:75" s="166" customFormat="1" ht="13.5" customHeight="1">
      <c r="A109" s="624"/>
      <c r="B109" s="195" t="s">
        <v>550</v>
      </c>
      <c r="C109" s="622">
        <v>388.00099999999998</v>
      </c>
      <c r="D109" s="546" t="s">
        <v>550</v>
      </c>
      <c r="E109" s="622">
        <v>348.62799999999999</v>
      </c>
      <c r="F109" s="201" t="s">
        <v>97</v>
      </c>
      <c r="G109" s="622">
        <v>424.14</v>
      </c>
      <c r="H109" s="186"/>
      <c r="I109" s="622">
        <v>412</v>
      </c>
      <c r="J109" s="191"/>
      <c r="K109" s="622">
        <v>406</v>
      </c>
      <c r="L109" s="186"/>
      <c r="M109" s="622">
        <v>370.19200000000001</v>
      </c>
      <c r="N109" s="191"/>
      <c r="O109" s="622">
        <v>378.53399999999999</v>
      </c>
      <c r="P109" s="191"/>
      <c r="Q109" s="622">
        <v>408.00400000000002</v>
      </c>
      <c r="R109" s="187"/>
      <c r="S109" s="622">
        <v>405.55099999999999</v>
      </c>
      <c r="T109" s="186"/>
      <c r="U109" s="622">
        <v>405.99900000000002</v>
      </c>
      <c r="V109" s="186"/>
      <c r="W109" s="622">
        <v>386</v>
      </c>
      <c r="X109" s="262"/>
      <c r="Y109" s="611">
        <v>408.363</v>
      </c>
      <c r="Z109" s="263"/>
      <c r="AA109" s="611">
        <v>380.99700000000001</v>
      </c>
      <c r="AB109" s="263"/>
      <c r="AC109" s="611">
        <v>426.00099999999998</v>
      </c>
      <c r="AD109" s="263"/>
      <c r="AE109" s="611">
        <v>394.47500000000002</v>
      </c>
      <c r="AF109" s="604"/>
      <c r="AG109" s="732"/>
      <c r="AH109" s="728"/>
      <c r="AI109" s="728"/>
      <c r="AJ109" s="728"/>
      <c r="AK109" s="728"/>
      <c r="AL109" s="728"/>
      <c r="AM109" s="728"/>
      <c r="AN109" s="728"/>
      <c r="AO109" s="730"/>
    </row>
    <row r="110" spans="1:75" s="166" customFormat="1" ht="13.5" customHeight="1" thickBot="1">
      <c r="A110" s="624"/>
      <c r="B110" s="196"/>
      <c r="D110" s="545"/>
      <c r="F110" s="192"/>
      <c r="H110" s="188"/>
      <c r="J110" s="189"/>
      <c r="L110" s="188"/>
      <c r="N110" s="191"/>
      <c r="P110" s="191"/>
      <c r="R110" s="189"/>
      <c r="T110" s="188"/>
      <c r="V110" s="188"/>
      <c r="X110" s="264"/>
      <c r="Y110" s="200"/>
      <c r="Z110" s="264"/>
      <c r="AA110" s="200"/>
      <c r="AB110" s="264"/>
      <c r="AC110" s="200"/>
      <c r="AD110" s="264"/>
      <c r="AE110" s="200"/>
      <c r="AF110" s="604"/>
      <c r="AG110" s="732"/>
      <c r="AH110" s="728"/>
      <c r="AI110" s="728"/>
      <c r="AJ110" s="728"/>
      <c r="AK110" s="728"/>
      <c r="AL110" s="728"/>
      <c r="AM110" s="728"/>
      <c r="AN110" s="728"/>
      <c r="AO110" s="730"/>
    </row>
    <row r="111" spans="1:75" s="166" customFormat="1" ht="14.1" customHeight="1">
      <c r="A111" s="206"/>
      <c r="B111" s="254" t="s">
        <v>350</v>
      </c>
      <c r="C111" s="254"/>
      <c r="D111" s="254" t="s">
        <v>350</v>
      </c>
      <c r="E111" s="254"/>
      <c r="F111" s="254" t="s">
        <v>300</v>
      </c>
      <c r="G111" s="254"/>
      <c r="H111" s="254" t="s">
        <v>399</v>
      </c>
      <c r="I111" s="254"/>
      <c r="J111" s="254" t="s">
        <v>357</v>
      </c>
      <c r="K111" s="254"/>
      <c r="L111" s="254" t="s">
        <v>350</v>
      </c>
      <c r="M111" s="254"/>
      <c r="N111" s="254" t="s">
        <v>373</v>
      </c>
      <c r="O111" s="254"/>
      <c r="P111" s="254" t="s">
        <v>292</v>
      </c>
      <c r="Q111" s="254"/>
      <c r="R111" s="254" t="s">
        <v>350</v>
      </c>
      <c r="S111" s="254"/>
      <c r="T111" s="254" t="s">
        <v>309</v>
      </c>
      <c r="U111" s="254"/>
      <c r="V111" s="254" t="s">
        <v>350</v>
      </c>
      <c r="W111" s="254"/>
      <c r="X111" s="254" t="s">
        <v>350</v>
      </c>
      <c r="Y111" s="254"/>
      <c r="Z111" s="254" t="s">
        <v>576</v>
      </c>
      <c r="AA111" s="254"/>
      <c r="AB111" s="254" t="s">
        <v>399</v>
      </c>
      <c r="AC111" s="254"/>
      <c r="AD111" s="254" t="s">
        <v>350</v>
      </c>
      <c r="AE111" s="254"/>
      <c r="AF111" s="604"/>
      <c r="AG111" s="732"/>
      <c r="AH111" s="728"/>
      <c r="AI111" s="728"/>
      <c r="AJ111" s="728"/>
      <c r="AK111" s="728"/>
      <c r="AL111" s="728"/>
      <c r="AM111" s="728"/>
      <c r="AN111" s="728"/>
      <c r="AO111" s="730"/>
    </row>
    <row r="112" spans="1:75" s="166" customFormat="1" ht="14.1" customHeight="1">
      <c r="A112" s="206"/>
      <c r="B112" s="200"/>
      <c r="C112" s="200"/>
      <c r="D112" s="200"/>
      <c r="E112" s="200"/>
      <c r="F112" s="200"/>
      <c r="G112" s="254"/>
      <c r="H112" s="200"/>
      <c r="I112" s="254"/>
      <c r="J112" s="200"/>
      <c r="K112" s="254"/>
      <c r="L112" s="200"/>
      <c r="M112" s="254"/>
      <c r="N112" s="200"/>
      <c r="O112" s="633" t="s">
        <v>1117</v>
      </c>
      <c r="P112" s="200"/>
      <c r="Q112" s="200"/>
      <c r="R112" s="200"/>
      <c r="S112" s="627"/>
      <c r="T112" s="200"/>
      <c r="U112" s="633" t="s">
        <v>1117</v>
      </c>
      <c r="V112" s="200"/>
      <c r="W112" s="615"/>
      <c r="X112" s="200"/>
      <c r="Y112" s="254"/>
      <c r="Z112" s="200"/>
      <c r="AA112" s="258" t="s">
        <v>1133</v>
      </c>
      <c r="AB112" s="200"/>
      <c r="AC112" s="634" t="s">
        <v>1131</v>
      </c>
      <c r="AD112" s="200"/>
      <c r="AE112" s="200"/>
      <c r="AF112" s="604"/>
      <c r="AG112" s="733"/>
      <c r="AH112" s="729"/>
      <c r="AI112" s="729"/>
      <c r="AJ112" s="729"/>
      <c r="AK112" s="729"/>
      <c r="AL112" s="729"/>
      <c r="AM112" s="729"/>
      <c r="AN112" s="729"/>
      <c r="AO112" s="731"/>
    </row>
    <row r="113" spans="1:75" s="166" customFormat="1" ht="13.5" customHeight="1">
      <c r="A113" s="206"/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614" t="s">
        <v>1128</v>
      </c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614" t="s">
        <v>1130</v>
      </c>
      <c r="AB113" s="200"/>
      <c r="AC113" s="634" t="s">
        <v>1132</v>
      </c>
      <c r="AD113" s="200"/>
      <c r="AE113" s="200"/>
      <c r="AF113" s="604"/>
      <c r="AG113" s="732"/>
      <c r="AH113" s="728"/>
      <c r="AI113" s="728"/>
      <c r="AJ113" s="728"/>
      <c r="AK113" s="728"/>
      <c r="AL113" s="728"/>
      <c r="AM113" s="728"/>
      <c r="AN113" s="728"/>
      <c r="AO113" s="730"/>
    </row>
    <row r="114" spans="1:75" s="166" customFormat="1" ht="13.5" customHeight="1">
      <c r="A114" s="206"/>
      <c r="B114" s="200">
        <v>120</v>
      </c>
      <c r="C114" s="200"/>
      <c r="D114" s="200">
        <v>121</v>
      </c>
      <c r="E114" s="200"/>
      <c r="F114" s="200">
        <v>123</v>
      </c>
      <c r="G114" s="200"/>
      <c r="H114" s="200">
        <v>124</v>
      </c>
      <c r="I114" s="200"/>
      <c r="J114" s="200">
        <v>125</v>
      </c>
      <c r="K114" s="200"/>
      <c r="L114" s="200">
        <v>126</v>
      </c>
      <c r="M114" s="200"/>
      <c r="N114" s="200">
        <v>127</v>
      </c>
      <c r="O114" s="200"/>
      <c r="P114" s="200">
        <v>128</v>
      </c>
      <c r="Q114" s="200"/>
      <c r="R114" s="200">
        <v>129</v>
      </c>
      <c r="S114" s="200"/>
      <c r="T114" s="200">
        <v>130</v>
      </c>
      <c r="U114" s="200"/>
      <c r="V114" s="200">
        <v>131</v>
      </c>
      <c r="W114" s="200"/>
      <c r="X114" s="200">
        <v>132</v>
      </c>
      <c r="Y114" s="200"/>
      <c r="Z114" s="200">
        <v>133</v>
      </c>
      <c r="AA114" s="200"/>
      <c r="AB114" s="200">
        <v>134</v>
      </c>
      <c r="AC114" s="200"/>
      <c r="AD114" s="200">
        <v>135</v>
      </c>
      <c r="AE114" s="200"/>
      <c r="AF114" s="604"/>
      <c r="AG114" s="732"/>
      <c r="AH114" s="728"/>
      <c r="AI114" s="728"/>
      <c r="AJ114" s="728"/>
      <c r="AK114" s="728"/>
      <c r="AL114" s="728"/>
      <c r="AM114" s="728"/>
      <c r="AN114" s="728"/>
      <c r="AO114" s="730"/>
    </row>
    <row r="115" spans="1:75" s="166" customFormat="1" ht="13.5" customHeight="1">
      <c r="A115" s="206"/>
      <c r="B115" s="254" t="s">
        <v>577</v>
      </c>
      <c r="C115" s="254"/>
      <c r="D115" s="254" t="s">
        <v>578</v>
      </c>
      <c r="E115" s="254"/>
      <c r="F115" s="254" t="s">
        <v>579</v>
      </c>
      <c r="G115" s="254"/>
      <c r="H115" s="254" t="s">
        <v>580</v>
      </c>
      <c r="I115" s="254"/>
      <c r="J115" s="254" t="s">
        <v>181</v>
      </c>
      <c r="K115" s="254"/>
      <c r="L115" s="254" t="s">
        <v>581</v>
      </c>
      <c r="M115" s="254"/>
      <c r="N115" s="254" t="s">
        <v>582</v>
      </c>
      <c r="O115" s="254"/>
      <c r="P115" s="254" t="s">
        <v>583</v>
      </c>
      <c r="Q115" s="254"/>
      <c r="R115" s="254" t="s">
        <v>584</v>
      </c>
      <c r="S115" s="254"/>
      <c r="T115" s="254" t="s">
        <v>585</v>
      </c>
      <c r="U115" s="254"/>
      <c r="V115" s="254" t="s">
        <v>586</v>
      </c>
      <c r="W115" s="254"/>
      <c r="X115" s="254" t="s">
        <v>587</v>
      </c>
      <c r="Y115" s="200"/>
      <c r="Z115" s="254" t="s">
        <v>588</v>
      </c>
      <c r="AA115" s="254"/>
      <c r="AB115" s="254" t="s">
        <v>589</v>
      </c>
      <c r="AC115" s="254"/>
      <c r="AD115" s="254" t="s">
        <v>590</v>
      </c>
      <c r="AE115" s="254"/>
      <c r="AF115" s="604"/>
      <c r="AG115" s="732"/>
      <c r="AH115" s="728"/>
      <c r="AI115" s="728"/>
      <c r="AJ115" s="728"/>
      <c r="AK115" s="728"/>
      <c r="AL115" s="728"/>
      <c r="AM115" s="728"/>
      <c r="AN115" s="728"/>
      <c r="AO115" s="730"/>
    </row>
    <row r="116" spans="1:75" s="166" customFormat="1" ht="13.5" customHeight="1">
      <c r="A116" s="206"/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604"/>
      <c r="AG116" s="732"/>
      <c r="AH116" s="728"/>
      <c r="AI116" s="728"/>
      <c r="AJ116" s="728"/>
      <c r="AK116" s="728"/>
      <c r="AL116" s="728"/>
      <c r="AM116" s="728"/>
      <c r="AN116" s="728"/>
      <c r="AO116" s="730"/>
    </row>
    <row r="117" spans="1:75" s="166" customFormat="1" ht="13.5" customHeight="1">
      <c r="A117" s="206"/>
      <c r="B117" s="254"/>
      <c r="C117" s="254"/>
      <c r="D117" s="254"/>
      <c r="E117" s="254"/>
      <c r="F117" s="254"/>
      <c r="G117" s="254"/>
      <c r="H117" s="254"/>
      <c r="I117" s="254"/>
      <c r="J117" s="254"/>
      <c r="K117" s="254"/>
      <c r="L117" s="254"/>
      <c r="M117" s="254"/>
      <c r="N117" s="254"/>
      <c r="O117" s="200"/>
      <c r="P117" s="254"/>
      <c r="Q117" s="254"/>
      <c r="R117" s="254"/>
      <c r="S117" s="200"/>
      <c r="T117" s="254"/>
      <c r="U117" s="254"/>
      <c r="V117" s="254"/>
      <c r="W117" s="254"/>
      <c r="X117" s="254"/>
      <c r="Y117" s="254"/>
      <c r="Z117" s="254"/>
      <c r="AA117" s="254"/>
      <c r="AB117" s="254"/>
      <c r="AC117" s="254"/>
      <c r="AD117" s="254"/>
      <c r="AE117" s="254"/>
      <c r="AF117" s="604"/>
      <c r="AG117" s="732"/>
      <c r="AH117" s="728"/>
      <c r="AI117" s="728"/>
      <c r="AJ117" s="728"/>
      <c r="AK117" s="728"/>
      <c r="AL117" s="728"/>
      <c r="AM117" s="728"/>
      <c r="AN117" s="728"/>
      <c r="AO117" s="730"/>
    </row>
    <row r="118" spans="1:75" s="166" customFormat="1" ht="13.5" customHeight="1" thickBot="1">
      <c r="A118" s="206"/>
      <c r="B118" s="254"/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4"/>
      <c r="O118" s="200"/>
      <c r="P118" s="254"/>
      <c r="Q118" s="254"/>
      <c r="R118" s="254"/>
      <c r="S118" s="200"/>
      <c r="T118" s="254"/>
      <c r="U118" s="254"/>
      <c r="V118" s="254"/>
      <c r="W118" s="254"/>
      <c r="X118" s="254"/>
      <c r="Y118" s="254"/>
      <c r="Z118" s="254"/>
      <c r="AA118" s="254"/>
      <c r="AB118" s="254"/>
      <c r="AC118" s="254"/>
      <c r="AD118" s="254"/>
      <c r="AE118" s="254"/>
      <c r="AF118" s="604"/>
      <c r="AG118" s="732"/>
      <c r="AH118" s="728"/>
      <c r="AI118" s="728"/>
      <c r="AJ118" s="728"/>
      <c r="AK118" s="728"/>
      <c r="AL118" s="728"/>
      <c r="AM118" s="728"/>
      <c r="AN118" s="728"/>
      <c r="AO118" s="730"/>
    </row>
    <row r="119" spans="1:75" s="166" customFormat="1" ht="13.5" customHeight="1">
      <c r="A119" s="206"/>
      <c r="B119" s="261"/>
      <c r="C119" s="609"/>
      <c r="D119" s="261"/>
      <c r="E119" s="609"/>
      <c r="F119" s="565"/>
      <c r="G119" s="609"/>
      <c r="H119" s="202"/>
      <c r="I119" s="609"/>
      <c r="J119" s="261"/>
      <c r="K119" s="609"/>
      <c r="L119" s="261"/>
      <c r="M119" s="609"/>
      <c r="N119" s="261"/>
      <c r="O119" s="609"/>
      <c r="P119" s="261"/>
      <c r="Q119" s="609"/>
      <c r="R119" s="261"/>
      <c r="S119" s="609"/>
      <c r="T119" s="261"/>
      <c r="U119" s="609"/>
      <c r="V119" s="261"/>
      <c r="W119" s="609"/>
      <c r="X119" s="261"/>
      <c r="Y119" s="609"/>
      <c r="Z119" s="261"/>
      <c r="AA119" s="609"/>
      <c r="AB119" s="261"/>
      <c r="AC119" s="609"/>
      <c r="AD119" s="261"/>
      <c r="AE119" s="609"/>
      <c r="AF119" s="604"/>
      <c r="AG119" s="732"/>
      <c r="AH119" s="728"/>
      <c r="AI119" s="728"/>
      <c r="AJ119" s="728"/>
      <c r="AK119" s="728"/>
      <c r="AL119" s="728"/>
      <c r="AM119" s="728"/>
      <c r="AN119" s="728"/>
      <c r="AO119" s="730"/>
      <c r="BV119" s="522">
        <v>1</v>
      </c>
      <c r="BW119" s="522">
        <v>0</v>
      </c>
    </row>
    <row r="120" spans="1:75" s="166" customFormat="1" ht="13.5" customHeight="1">
      <c r="A120" s="206"/>
      <c r="B120" s="263"/>
      <c r="C120" s="611">
        <v>411.00400000000002</v>
      </c>
      <c r="D120" s="263" t="s">
        <v>550</v>
      </c>
      <c r="E120" s="611">
        <v>423</v>
      </c>
      <c r="F120" s="195" t="s">
        <v>550</v>
      </c>
      <c r="G120" s="611">
        <v>395</v>
      </c>
      <c r="H120" s="187" t="s">
        <v>67</v>
      </c>
      <c r="I120" s="611">
        <v>358.32400000000001</v>
      </c>
      <c r="J120" s="263"/>
      <c r="K120" s="611">
        <v>409.99599999999998</v>
      </c>
      <c r="L120" s="263"/>
      <c r="M120" s="611">
        <v>399.88200000000001</v>
      </c>
      <c r="N120" s="263"/>
      <c r="O120" s="611">
        <v>410.99799999999999</v>
      </c>
      <c r="P120" s="263"/>
      <c r="Q120" s="611">
        <v>402</v>
      </c>
      <c r="R120" s="263"/>
      <c r="S120" s="611">
        <v>422</v>
      </c>
      <c r="T120" s="263"/>
      <c r="U120" s="611">
        <v>409</v>
      </c>
      <c r="V120" s="263"/>
      <c r="W120" s="611">
        <v>394</v>
      </c>
      <c r="X120" s="262"/>
      <c r="Y120" s="611">
        <v>393</v>
      </c>
      <c r="Z120" s="263"/>
      <c r="AA120" s="611">
        <v>405.06099999999998</v>
      </c>
      <c r="AB120" s="263"/>
      <c r="AC120" s="611">
        <v>404.97500000000002</v>
      </c>
      <c r="AD120" s="263"/>
      <c r="AE120" s="611">
        <v>382.005</v>
      </c>
      <c r="AF120" s="604"/>
      <c r="AG120" s="732"/>
      <c r="AH120" s="728"/>
      <c r="AI120" s="728"/>
      <c r="AJ120" s="728"/>
      <c r="AK120" s="728"/>
      <c r="AL120" s="728"/>
      <c r="AM120" s="728"/>
      <c r="AN120" s="728"/>
      <c r="AO120" s="730"/>
    </row>
    <row r="121" spans="1:75" s="166" customFormat="1" ht="13.5" customHeight="1" thickBot="1">
      <c r="A121" s="206"/>
      <c r="B121" s="264"/>
      <c r="C121" s="200"/>
      <c r="D121" s="264"/>
      <c r="E121" s="200"/>
      <c r="F121" s="566"/>
      <c r="G121" s="200"/>
      <c r="H121" s="203"/>
      <c r="I121" s="200"/>
      <c r="J121" s="264"/>
      <c r="K121" s="200"/>
      <c r="L121" s="264"/>
      <c r="M121" s="200"/>
      <c r="N121" s="264"/>
      <c r="O121" s="200"/>
      <c r="P121" s="264"/>
      <c r="Q121" s="200"/>
      <c r="R121" s="264"/>
      <c r="S121" s="200"/>
      <c r="T121" s="264"/>
      <c r="U121" s="200"/>
      <c r="V121" s="264"/>
      <c r="W121" s="200"/>
      <c r="X121" s="264"/>
      <c r="Y121" s="200"/>
      <c r="Z121" s="264"/>
      <c r="AA121" s="200"/>
      <c r="AB121" s="264"/>
      <c r="AC121" s="200"/>
      <c r="AD121" s="264"/>
      <c r="AE121" s="200"/>
      <c r="AF121" s="604"/>
      <c r="AG121" s="732"/>
      <c r="AH121" s="728"/>
      <c r="AI121" s="728"/>
      <c r="AJ121" s="728"/>
      <c r="AK121" s="728"/>
      <c r="AL121" s="728"/>
      <c r="AM121" s="728"/>
      <c r="AN121" s="728"/>
      <c r="AO121" s="730"/>
    </row>
    <row r="122" spans="1:75" s="166" customFormat="1" ht="14.1" customHeight="1">
      <c r="A122" s="206"/>
      <c r="B122" s="254" t="s">
        <v>373</v>
      </c>
      <c r="C122" s="254"/>
      <c r="D122" s="254" t="s">
        <v>357</v>
      </c>
      <c r="E122" s="254"/>
      <c r="F122" s="254" t="s">
        <v>350</v>
      </c>
      <c r="G122" s="254"/>
      <c r="H122" s="254" t="s">
        <v>350</v>
      </c>
      <c r="I122" s="254"/>
      <c r="J122" s="254" t="s">
        <v>302</v>
      </c>
      <c r="K122" s="254"/>
      <c r="L122" s="254" t="s">
        <v>357</v>
      </c>
      <c r="M122" s="254"/>
      <c r="N122" s="254" t="s">
        <v>302</v>
      </c>
      <c r="O122" s="254"/>
      <c r="P122" s="254" t="s">
        <v>357</v>
      </c>
      <c r="Q122" s="254"/>
      <c r="R122" s="254" t="s">
        <v>350</v>
      </c>
      <c r="S122" s="254"/>
      <c r="T122" s="254" t="s">
        <v>357</v>
      </c>
      <c r="U122" s="254"/>
      <c r="V122" s="254" t="s">
        <v>350</v>
      </c>
      <c r="W122" s="254"/>
      <c r="X122" s="254" t="s">
        <v>350</v>
      </c>
      <c r="Y122" s="254"/>
      <c r="Z122" s="254" t="s">
        <v>357</v>
      </c>
      <c r="AA122" s="254"/>
      <c r="AB122" s="254" t="s">
        <v>330</v>
      </c>
      <c r="AC122" s="254"/>
      <c r="AD122" s="254" t="s">
        <v>591</v>
      </c>
      <c r="AE122" s="254"/>
      <c r="AF122" s="604"/>
      <c r="AG122" s="732"/>
      <c r="AH122" s="728"/>
      <c r="AI122" s="728"/>
      <c r="AJ122" s="728"/>
      <c r="AK122" s="728"/>
      <c r="AL122" s="728"/>
      <c r="AM122" s="728"/>
      <c r="AN122" s="728"/>
      <c r="AO122" s="730"/>
    </row>
    <row r="123" spans="1:75" s="166" customFormat="1" ht="14.1" customHeight="1" thickBot="1">
      <c r="A123" s="206"/>
      <c r="B123" s="200"/>
      <c r="C123" s="614" t="s">
        <v>1134</v>
      </c>
      <c r="D123" s="200"/>
      <c r="E123" s="254"/>
      <c r="F123" s="200"/>
      <c r="G123" s="254"/>
      <c r="H123" s="200"/>
      <c r="I123" s="254"/>
      <c r="J123" s="200"/>
      <c r="K123" s="634" t="s">
        <v>1132</v>
      </c>
      <c r="L123" s="200"/>
      <c r="M123" s="254"/>
      <c r="N123" s="200"/>
      <c r="O123" s="254"/>
      <c r="P123" s="200"/>
      <c r="Q123" s="254"/>
      <c r="R123" s="200"/>
      <c r="S123" s="254"/>
      <c r="T123" s="200"/>
      <c r="U123" s="615"/>
      <c r="V123" s="200"/>
      <c r="W123" s="200"/>
      <c r="X123" s="200"/>
      <c r="Y123" s="254"/>
      <c r="Z123" s="200"/>
      <c r="AA123" s="254"/>
      <c r="AB123" s="200"/>
      <c r="AC123" s="634" t="s">
        <v>1117</v>
      </c>
      <c r="AD123" s="200"/>
      <c r="AE123" s="634" t="s">
        <v>1117</v>
      </c>
      <c r="AF123" s="604"/>
      <c r="AG123" s="734"/>
      <c r="AH123" s="735"/>
      <c r="AI123" s="735"/>
      <c r="AJ123" s="735"/>
      <c r="AK123" s="735"/>
      <c r="AL123" s="735"/>
      <c r="AM123" s="735"/>
      <c r="AN123" s="735"/>
      <c r="AO123" s="736"/>
    </row>
    <row r="124" spans="1:75" s="166" customFormat="1" ht="13.5" customHeight="1">
      <c r="A124" s="206"/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614" t="s">
        <v>1135</v>
      </c>
      <c r="T124" s="200"/>
      <c r="U124" s="614" t="s">
        <v>1135</v>
      </c>
      <c r="V124" s="200"/>
      <c r="W124" s="200"/>
      <c r="X124" s="200"/>
      <c r="Y124" s="200"/>
      <c r="Z124" s="200"/>
      <c r="AA124" s="200"/>
      <c r="AB124" s="200"/>
      <c r="AC124" s="634" t="s">
        <v>1020</v>
      </c>
      <c r="AD124" s="200"/>
      <c r="AE124" s="634" t="s">
        <v>997</v>
      </c>
      <c r="AF124" s="604"/>
      <c r="AG124" s="732"/>
      <c r="AH124" s="728"/>
      <c r="AI124" s="728"/>
      <c r="AJ124" s="728"/>
      <c r="AK124" s="728"/>
      <c r="AL124" s="728"/>
      <c r="AM124" s="728"/>
      <c r="AN124" s="728"/>
      <c r="AO124" s="730"/>
    </row>
    <row r="125" spans="1:75" s="166" customFormat="1" ht="13.5" customHeight="1">
      <c r="A125" s="206"/>
      <c r="B125" s="200">
        <v>136</v>
      </c>
      <c r="C125" s="200"/>
      <c r="D125" s="200">
        <v>137</v>
      </c>
      <c r="E125" s="200"/>
      <c r="F125" s="200">
        <v>138</v>
      </c>
      <c r="G125" s="200"/>
      <c r="H125" s="200">
        <v>139</v>
      </c>
      <c r="I125" s="200"/>
      <c r="J125" s="200">
        <v>140</v>
      </c>
      <c r="K125" s="200"/>
      <c r="L125" s="200">
        <v>141</v>
      </c>
      <c r="M125" s="200"/>
      <c r="N125" s="200">
        <v>142</v>
      </c>
      <c r="O125" s="200"/>
      <c r="P125" s="200">
        <v>143</v>
      </c>
      <c r="Q125" s="200"/>
      <c r="R125" s="200">
        <v>144</v>
      </c>
      <c r="S125" s="200"/>
      <c r="T125" s="200">
        <v>145</v>
      </c>
      <c r="U125" s="200"/>
      <c r="V125" s="200">
        <v>146</v>
      </c>
      <c r="W125" s="200"/>
      <c r="X125" s="200">
        <v>147</v>
      </c>
      <c r="Y125" s="200"/>
      <c r="Z125" s="200">
        <v>148</v>
      </c>
      <c r="AA125" s="200"/>
      <c r="AB125" s="200">
        <v>149</v>
      </c>
      <c r="AC125" s="200"/>
      <c r="AD125" s="200">
        <v>150</v>
      </c>
      <c r="AE125" s="200"/>
      <c r="AF125" s="604"/>
      <c r="AG125" s="732"/>
      <c r="AH125" s="728"/>
      <c r="AI125" s="728"/>
      <c r="AJ125" s="728"/>
      <c r="AK125" s="728"/>
      <c r="AL125" s="728"/>
      <c r="AM125" s="728"/>
      <c r="AN125" s="728"/>
      <c r="AO125" s="730"/>
    </row>
    <row r="126" spans="1:75" s="166" customFormat="1" ht="13.5" customHeight="1">
      <c r="A126" s="206"/>
      <c r="B126" s="254" t="s">
        <v>592</v>
      </c>
      <c r="C126" s="254"/>
      <c r="D126" s="254" t="s">
        <v>165</v>
      </c>
      <c r="E126" s="254"/>
      <c r="F126" s="254" t="s">
        <v>593</v>
      </c>
      <c r="G126" s="254"/>
      <c r="H126" s="254" t="s">
        <v>594</v>
      </c>
      <c r="I126" s="254"/>
      <c r="J126" s="254" t="s">
        <v>595</v>
      </c>
      <c r="K126" s="254"/>
      <c r="L126" s="254" t="s">
        <v>596</v>
      </c>
      <c r="M126" s="254"/>
      <c r="N126" s="254" t="s">
        <v>597</v>
      </c>
      <c r="O126" s="254"/>
      <c r="P126" s="254" t="s">
        <v>598</v>
      </c>
      <c r="Q126" s="254"/>
      <c r="R126" s="254" t="s">
        <v>599</v>
      </c>
      <c r="S126" s="254"/>
      <c r="T126" s="254" t="s">
        <v>600</v>
      </c>
      <c r="U126" s="254"/>
      <c r="V126" s="254" t="s">
        <v>601</v>
      </c>
      <c r="W126" s="254"/>
      <c r="X126" s="254" t="s">
        <v>602</v>
      </c>
      <c r="Y126" s="200"/>
      <c r="Z126" s="254" t="s">
        <v>182</v>
      </c>
      <c r="AA126" s="254"/>
      <c r="AB126" s="254" t="s">
        <v>141</v>
      </c>
      <c r="AC126" s="254"/>
      <c r="AD126" s="254" t="s">
        <v>449</v>
      </c>
      <c r="AE126" s="254"/>
      <c r="AF126" s="604"/>
      <c r="AG126" s="732"/>
      <c r="AH126" s="728"/>
      <c r="AI126" s="728"/>
      <c r="AJ126" s="728"/>
      <c r="AK126" s="728"/>
      <c r="AL126" s="728"/>
      <c r="AM126" s="728"/>
      <c r="AN126" s="728"/>
      <c r="AO126" s="730"/>
    </row>
    <row r="127" spans="1:75" s="166" customFormat="1" ht="13.5" customHeight="1">
      <c r="A127" s="206"/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604"/>
      <c r="AG127" s="732"/>
      <c r="AH127" s="728"/>
      <c r="AI127" s="728"/>
      <c r="AJ127" s="728"/>
      <c r="AK127" s="728"/>
      <c r="AL127" s="728"/>
      <c r="AM127" s="728"/>
      <c r="AN127" s="728"/>
      <c r="AO127" s="730"/>
    </row>
    <row r="128" spans="1:75" s="166" customFormat="1" ht="13.5" customHeight="1">
      <c r="A128" s="206"/>
      <c r="B128" s="254"/>
      <c r="C128" s="254"/>
      <c r="D128" s="254"/>
      <c r="E128" s="200"/>
      <c r="F128" s="254"/>
      <c r="G128" s="254"/>
      <c r="H128" s="254"/>
      <c r="I128" s="200"/>
      <c r="J128" s="254"/>
      <c r="K128" s="254"/>
      <c r="L128" s="254"/>
      <c r="M128" s="254"/>
      <c r="N128" s="254"/>
      <c r="O128" s="254"/>
      <c r="P128" s="254"/>
      <c r="Q128" s="254"/>
      <c r="R128" s="254"/>
      <c r="S128" s="254"/>
      <c r="T128" s="254"/>
      <c r="U128" s="254"/>
      <c r="V128" s="254"/>
      <c r="W128" s="254"/>
      <c r="X128" s="254"/>
      <c r="Y128" s="200"/>
      <c r="Z128" s="254"/>
      <c r="AA128" s="254"/>
      <c r="AB128" s="254"/>
      <c r="AC128" s="200"/>
      <c r="AD128" s="254"/>
      <c r="AE128" s="254"/>
      <c r="AF128" s="604"/>
      <c r="AG128" s="732"/>
      <c r="AH128" s="728"/>
      <c r="AI128" s="728"/>
      <c r="AJ128" s="728"/>
      <c r="AK128" s="728"/>
      <c r="AL128" s="728"/>
      <c r="AM128" s="728"/>
      <c r="AN128" s="728"/>
      <c r="AO128" s="730"/>
    </row>
    <row r="129" spans="1:75" s="166" customFormat="1" ht="13.5" customHeight="1" thickBot="1">
      <c r="A129" s="206"/>
      <c r="B129" s="254"/>
      <c r="C129" s="254"/>
      <c r="D129" s="254"/>
      <c r="E129" s="200"/>
      <c r="F129" s="254"/>
      <c r="G129" s="254"/>
      <c r="H129" s="254"/>
      <c r="I129" s="200"/>
      <c r="J129" s="254"/>
      <c r="K129" s="254"/>
      <c r="L129" s="254"/>
      <c r="M129" s="254"/>
      <c r="N129" s="254"/>
      <c r="O129" s="254"/>
      <c r="P129" s="254"/>
      <c r="Q129" s="254"/>
      <c r="R129" s="254"/>
      <c r="S129" s="254"/>
      <c r="T129" s="254"/>
      <c r="U129" s="254"/>
      <c r="V129" s="254"/>
      <c r="W129" s="254"/>
      <c r="X129" s="254"/>
      <c r="Y129" s="200"/>
      <c r="Z129" s="254"/>
      <c r="AA129" s="254"/>
      <c r="AB129" s="254"/>
      <c r="AC129" s="200"/>
      <c r="AD129" s="254"/>
      <c r="AE129" s="254"/>
      <c r="AF129" s="604"/>
      <c r="AG129" s="732"/>
      <c r="AH129" s="728"/>
      <c r="AI129" s="728"/>
      <c r="AJ129" s="728"/>
      <c r="AK129" s="728"/>
      <c r="AL129" s="728"/>
      <c r="AM129" s="728"/>
      <c r="AN129" s="728"/>
      <c r="AO129" s="730"/>
    </row>
    <row r="130" spans="1:75" s="166" customFormat="1" ht="13.5" customHeight="1">
      <c r="A130" s="206"/>
      <c r="B130" s="261"/>
      <c r="C130" s="609"/>
      <c r="D130" s="261"/>
      <c r="E130" s="609"/>
      <c r="F130" s="261"/>
      <c r="G130" s="609"/>
      <c r="H130" s="261"/>
      <c r="I130" s="609"/>
      <c r="J130" s="261"/>
      <c r="K130" s="609"/>
      <c r="L130" s="261"/>
      <c r="M130" s="609"/>
      <c r="N130" s="261"/>
      <c r="O130" s="609"/>
      <c r="P130" s="261"/>
      <c r="Q130" s="609"/>
      <c r="R130" s="261"/>
      <c r="S130" s="609"/>
      <c r="T130" s="261"/>
      <c r="U130" s="609"/>
      <c r="V130" s="261"/>
      <c r="W130" s="609"/>
      <c r="X130" s="261"/>
      <c r="Y130" s="609"/>
      <c r="Z130" s="261"/>
      <c r="AA130" s="609"/>
      <c r="AB130" s="261"/>
      <c r="AC130" s="609"/>
      <c r="AD130" s="184"/>
      <c r="AE130" s="609"/>
      <c r="AF130" s="604"/>
      <c r="AG130" s="732"/>
      <c r="AH130" s="728"/>
      <c r="AI130" s="728"/>
      <c r="AJ130" s="728"/>
      <c r="AK130" s="728"/>
      <c r="AL130" s="728"/>
      <c r="AM130" s="728"/>
      <c r="AN130" s="728"/>
      <c r="AO130" s="730"/>
    </row>
    <row r="131" spans="1:75" s="166" customFormat="1" ht="13.5" customHeight="1">
      <c r="A131" s="206"/>
      <c r="B131" s="263"/>
      <c r="C131" s="611">
        <v>428.053</v>
      </c>
      <c r="D131" s="263"/>
      <c r="E131" s="611">
        <v>155.72499999999999</v>
      </c>
      <c r="F131" s="263"/>
      <c r="G131" s="611">
        <v>387</v>
      </c>
      <c r="H131" s="263"/>
      <c r="I131" s="611">
        <v>344</v>
      </c>
      <c r="J131" s="263"/>
      <c r="K131" s="611">
        <v>384</v>
      </c>
      <c r="L131" s="263"/>
      <c r="M131" s="611">
        <v>391</v>
      </c>
      <c r="N131" s="263"/>
      <c r="O131" s="611">
        <v>426</v>
      </c>
      <c r="P131" s="263"/>
      <c r="Q131" s="611">
        <v>328.995</v>
      </c>
      <c r="R131" s="263"/>
      <c r="S131" s="611">
        <v>428.03899999999999</v>
      </c>
      <c r="T131" s="263"/>
      <c r="U131" s="611">
        <v>314</v>
      </c>
      <c r="V131" s="263"/>
      <c r="W131" s="611">
        <v>365.78</v>
      </c>
      <c r="X131" s="262"/>
      <c r="Y131" s="611">
        <v>407</v>
      </c>
      <c r="Z131" s="263" t="s">
        <v>550</v>
      </c>
      <c r="AA131" s="611">
        <v>276</v>
      </c>
      <c r="AB131" s="263" t="s">
        <v>550</v>
      </c>
      <c r="AC131" s="611">
        <v>410</v>
      </c>
      <c r="AD131" s="187"/>
      <c r="AE131" s="611">
        <v>418</v>
      </c>
      <c r="AF131" s="604"/>
      <c r="AG131" s="732"/>
      <c r="AH131" s="728"/>
      <c r="AI131" s="728"/>
      <c r="AJ131" s="728"/>
      <c r="AK131" s="728"/>
      <c r="AL131" s="728"/>
      <c r="AM131" s="728"/>
      <c r="AN131" s="728"/>
      <c r="AO131" s="730"/>
      <c r="BV131" s="522">
        <v>1</v>
      </c>
      <c r="BW131" s="522">
        <v>0</v>
      </c>
    </row>
    <row r="132" spans="1:75" s="166" customFormat="1" ht="13.5" customHeight="1" thickBot="1">
      <c r="A132" s="206"/>
      <c r="B132" s="264"/>
      <c r="C132" s="200"/>
      <c r="D132" s="264"/>
      <c r="E132" s="200"/>
      <c r="F132" s="264"/>
      <c r="G132" s="200"/>
      <c r="H132" s="264"/>
      <c r="I132" s="200"/>
      <c r="J132" s="264"/>
      <c r="K132" s="200"/>
      <c r="L132" s="264"/>
      <c r="M132" s="200"/>
      <c r="N132" s="264"/>
      <c r="O132" s="200"/>
      <c r="P132" s="264"/>
      <c r="Q132" s="200"/>
      <c r="R132" s="264"/>
      <c r="S132" s="200"/>
      <c r="T132" s="264"/>
      <c r="U132" s="200"/>
      <c r="V132" s="264"/>
      <c r="W132" s="200"/>
      <c r="X132" s="264"/>
      <c r="Y132" s="200"/>
      <c r="Z132" s="264"/>
      <c r="AA132" s="200"/>
      <c r="AB132" s="264"/>
      <c r="AC132" s="200"/>
      <c r="AD132" s="189"/>
      <c r="AE132" s="200"/>
      <c r="AF132" s="604"/>
      <c r="AG132" s="732"/>
      <c r="AH132" s="728"/>
      <c r="AI132" s="728"/>
      <c r="AJ132" s="728"/>
      <c r="AK132" s="728"/>
      <c r="AL132" s="728"/>
      <c r="AM132" s="728"/>
      <c r="AN132" s="728"/>
      <c r="AO132" s="730"/>
    </row>
    <row r="133" spans="1:75" s="166" customFormat="1" ht="14.1" customHeight="1">
      <c r="A133" s="206"/>
      <c r="B133" s="254" t="s">
        <v>350</v>
      </c>
      <c r="C133" s="254"/>
      <c r="D133" s="254" t="s">
        <v>305</v>
      </c>
      <c r="E133" s="254"/>
      <c r="F133" s="254" t="s">
        <v>305</v>
      </c>
      <c r="G133" s="254"/>
      <c r="H133" s="254" t="s">
        <v>396</v>
      </c>
      <c r="I133" s="254"/>
      <c r="J133" s="254" t="s">
        <v>350</v>
      </c>
      <c r="K133" s="254"/>
      <c r="L133" s="254" t="s">
        <v>350</v>
      </c>
      <c r="M133" s="254"/>
      <c r="N133" s="254" t="s">
        <v>350</v>
      </c>
      <c r="O133" s="254"/>
      <c r="P133" s="254" t="s">
        <v>322</v>
      </c>
      <c r="Q133" s="254"/>
      <c r="R133" s="254" t="s">
        <v>561</v>
      </c>
      <c r="S133" s="254"/>
      <c r="T133" s="254" t="s">
        <v>302</v>
      </c>
      <c r="U133" s="254"/>
      <c r="V133" s="254" t="s">
        <v>350</v>
      </c>
      <c r="W133" s="254"/>
      <c r="X133" s="254" t="s">
        <v>396</v>
      </c>
      <c r="Y133" s="254"/>
      <c r="Z133" s="254" t="s">
        <v>305</v>
      </c>
      <c r="AA133" s="254"/>
      <c r="AB133" s="254" t="s">
        <v>560</v>
      </c>
      <c r="AC133" s="254"/>
      <c r="AD133" s="254" t="s">
        <v>357</v>
      </c>
      <c r="AE133" s="254"/>
      <c r="AF133" s="604"/>
      <c r="AG133" s="732"/>
      <c r="AH133" s="728"/>
      <c r="AI133" s="728"/>
      <c r="AJ133" s="728"/>
      <c r="AK133" s="728"/>
      <c r="AL133" s="728"/>
      <c r="AM133" s="728"/>
      <c r="AN133" s="728"/>
      <c r="AO133" s="730"/>
    </row>
    <row r="134" spans="1:75" s="166" customFormat="1" ht="14.1" customHeight="1">
      <c r="A134" s="20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54"/>
      <c r="N134" s="200"/>
      <c r="O134" s="254"/>
      <c r="P134" s="200"/>
      <c r="Q134" s="254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604"/>
      <c r="AG134" s="733"/>
      <c r="AH134" s="729"/>
      <c r="AI134" s="729"/>
      <c r="AJ134" s="729"/>
      <c r="AK134" s="729"/>
      <c r="AL134" s="729"/>
      <c r="AM134" s="729"/>
      <c r="AN134" s="729"/>
      <c r="AO134" s="731"/>
    </row>
    <row r="135" spans="1:75" s="166" customFormat="1" ht="13.5" customHeight="1">
      <c r="A135" s="206"/>
      <c r="B135" s="200"/>
      <c r="C135" s="200"/>
      <c r="D135" s="200"/>
      <c r="E135" s="614" t="s">
        <v>1136</v>
      </c>
      <c r="F135" s="200"/>
      <c r="G135" s="614" t="s">
        <v>1137</v>
      </c>
      <c r="H135" s="200"/>
      <c r="I135" s="614" t="s">
        <v>1138</v>
      </c>
      <c r="J135" s="200"/>
      <c r="K135" s="200"/>
      <c r="L135" s="200"/>
      <c r="M135" s="200"/>
      <c r="N135" s="200"/>
      <c r="O135" s="614" t="s">
        <v>1138</v>
      </c>
      <c r="P135" s="200"/>
      <c r="Q135" s="634" t="s">
        <v>1117</v>
      </c>
      <c r="R135" s="200"/>
      <c r="S135" s="614" t="s">
        <v>1140</v>
      </c>
      <c r="T135" s="200"/>
      <c r="U135" s="200"/>
      <c r="V135" s="200"/>
      <c r="W135" s="614" t="s">
        <v>1140</v>
      </c>
      <c r="X135" s="200"/>
      <c r="Y135" s="200"/>
      <c r="Z135" s="200"/>
      <c r="AA135" s="634" t="s">
        <v>1114</v>
      </c>
      <c r="AB135" s="200"/>
      <c r="AC135" s="200"/>
      <c r="AD135" s="200"/>
      <c r="AE135" s="614" t="s">
        <v>1129</v>
      </c>
      <c r="AF135" s="604"/>
      <c r="AG135" s="197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0"/>
    </row>
    <row r="136" spans="1:75" s="166" customFormat="1" ht="13.5" customHeight="1">
      <c r="A136" s="206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614" t="s">
        <v>1139</v>
      </c>
      <c r="R136" s="200"/>
      <c r="S136" s="200"/>
      <c r="T136" s="200"/>
      <c r="U136" s="200"/>
      <c r="V136" s="200"/>
      <c r="W136" s="200"/>
      <c r="X136" s="200"/>
      <c r="Y136" s="200"/>
      <c r="Z136" s="200"/>
      <c r="AA136" s="614" t="s">
        <v>1139</v>
      </c>
      <c r="AB136" s="200"/>
      <c r="AC136" s="200"/>
      <c r="AD136" s="200"/>
      <c r="AE136" s="200"/>
      <c r="AF136" s="635"/>
      <c r="AG136" s="197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0"/>
    </row>
    <row r="137" spans="1:75" s="166" customFormat="1" ht="13.5" customHeight="1">
      <c r="A137" s="206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635"/>
      <c r="AG137" s="320"/>
      <c r="AH137" s="321"/>
      <c r="AI137" s="321"/>
      <c r="AJ137" s="321"/>
      <c r="AK137" s="321"/>
      <c r="AL137" s="321"/>
      <c r="AM137" s="321"/>
      <c r="AN137" s="321"/>
      <c r="AO137" s="322"/>
    </row>
    <row r="138" spans="1:75" s="166" customFormat="1" ht="13.5" customHeight="1">
      <c r="A138" s="206"/>
      <c r="B138" s="200">
        <v>151</v>
      </c>
      <c r="C138" s="200"/>
      <c r="D138" s="200">
        <v>152</v>
      </c>
      <c r="E138" s="200"/>
      <c r="F138" s="200">
        <v>153</v>
      </c>
      <c r="G138" s="200"/>
      <c r="H138" s="200">
        <v>154</v>
      </c>
      <c r="I138" s="200"/>
      <c r="J138" s="200">
        <v>155</v>
      </c>
      <c r="K138" s="200"/>
      <c r="L138" s="200">
        <v>156</v>
      </c>
      <c r="M138" s="200"/>
      <c r="N138" s="200">
        <v>157</v>
      </c>
      <c r="O138" s="200"/>
      <c r="P138" s="200">
        <v>158</v>
      </c>
      <c r="Q138" s="200"/>
      <c r="R138" s="200">
        <v>159</v>
      </c>
      <c r="S138" s="200"/>
      <c r="T138" s="200">
        <v>160</v>
      </c>
      <c r="U138" s="200"/>
      <c r="V138" s="200">
        <v>161</v>
      </c>
      <c r="W138" s="200"/>
      <c r="X138" s="200">
        <v>162</v>
      </c>
      <c r="Y138" s="200"/>
      <c r="Z138" s="200">
        <v>163</v>
      </c>
      <c r="AA138" s="200"/>
      <c r="AB138" s="200">
        <v>164</v>
      </c>
      <c r="AC138" s="200"/>
      <c r="AD138" s="200">
        <v>165</v>
      </c>
      <c r="AE138" s="200"/>
      <c r="AF138" s="604"/>
      <c r="AG138" s="320"/>
      <c r="AH138" s="321"/>
      <c r="AI138" s="321"/>
      <c r="AJ138" s="321"/>
      <c r="AK138" s="321"/>
      <c r="AL138" s="321"/>
      <c r="AM138" s="321"/>
      <c r="AN138" s="322"/>
    </row>
    <row r="139" spans="1:75" s="166" customFormat="1" ht="13.5" customHeight="1">
      <c r="A139" s="206"/>
      <c r="B139" s="254" t="s">
        <v>438</v>
      </c>
      <c r="C139" s="254"/>
      <c r="D139" s="254" t="s">
        <v>441</v>
      </c>
      <c r="E139" s="254"/>
      <c r="F139" s="254" t="s">
        <v>443</v>
      </c>
      <c r="G139" s="254"/>
      <c r="H139" s="254" t="s">
        <v>603</v>
      </c>
      <c r="I139" s="254"/>
      <c r="J139" s="254" t="s">
        <v>604</v>
      </c>
      <c r="K139" s="254"/>
      <c r="L139" s="254" t="s">
        <v>605</v>
      </c>
      <c r="M139" s="254"/>
      <c r="N139" s="254" t="s">
        <v>606</v>
      </c>
      <c r="O139" s="254"/>
      <c r="P139" s="254" t="s">
        <v>607</v>
      </c>
      <c r="Q139" s="254"/>
      <c r="R139" s="254" t="s">
        <v>608</v>
      </c>
      <c r="S139" s="254"/>
      <c r="T139" s="254" t="s">
        <v>609</v>
      </c>
      <c r="U139" s="254"/>
      <c r="V139" s="254" t="s">
        <v>610</v>
      </c>
      <c r="W139" s="254"/>
      <c r="X139" s="254" t="s">
        <v>611</v>
      </c>
      <c r="Y139" s="254"/>
      <c r="Z139" s="254" t="s">
        <v>612</v>
      </c>
      <c r="AA139" s="254"/>
      <c r="AB139" s="304" t="s">
        <v>745</v>
      </c>
      <c r="AC139" s="254"/>
      <c r="AD139" s="304" t="s">
        <v>142</v>
      </c>
      <c r="AE139" s="254"/>
      <c r="AF139" s="604"/>
      <c r="AG139" s="320"/>
      <c r="AH139" s="321"/>
      <c r="AI139" s="321"/>
      <c r="AJ139" s="321"/>
      <c r="AK139" s="321"/>
      <c r="AL139" s="321"/>
      <c r="AM139" s="321"/>
      <c r="AN139" s="322"/>
    </row>
    <row r="140" spans="1:75" s="166" customFormat="1" ht="13.5" customHeight="1">
      <c r="A140" s="206"/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604"/>
      <c r="AG140" s="320"/>
      <c r="AH140" s="321"/>
      <c r="AI140" s="321"/>
      <c r="AJ140" s="321"/>
      <c r="AK140" s="321"/>
      <c r="AL140" s="321"/>
      <c r="AM140" s="321"/>
      <c r="AN140" s="322"/>
    </row>
    <row r="141" spans="1:75" s="166" customFormat="1" ht="13.5" customHeight="1">
      <c r="A141" s="206"/>
      <c r="B141" s="254"/>
      <c r="C141" s="254"/>
      <c r="D141" s="254"/>
      <c r="E141" s="254"/>
      <c r="F141" s="254"/>
      <c r="G141" s="254"/>
      <c r="H141" s="254"/>
      <c r="I141" s="254"/>
      <c r="J141" s="254"/>
      <c r="K141" s="254"/>
      <c r="L141" s="254"/>
      <c r="M141" s="254"/>
      <c r="N141" s="254"/>
      <c r="O141" s="254"/>
      <c r="P141" s="254"/>
      <c r="Q141" s="254"/>
      <c r="R141" s="254"/>
      <c r="S141" s="200"/>
      <c r="T141" s="254"/>
      <c r="U141" s="254"/>
      <c r="V141" s="254"/>
      <c r="W141" s="254"/>
      <c r="X141" s="254"/>
      <c r="Y141" s="254"/>
      <c r="Z141" s="254"/>
      <c r="AA141" s="254"/>
      <c r="AB141" s="254"/>
      <c r="AC141" s="254"/>
      <c r="AD141" s="254"/>
      <c r="AE141" s="254"/>
      <c r="AF141" s="604"/>
      <c r="AG141" s="320"/>
      <c r="AH141" s="321"/>
      <c r="AI141" s="321"/>
      <c r="AJ141" s="321"/>
      <c r="AK141" s="321"/>
      <c r="AL141" s="321"/>
      <c r="AM141" s="321"/>
      <c r="AN141" s="322"/>
    </row>
    <row r="142" spans="1:75" s="166" customFormat="1" ht="13.5" customHeight="1" thickBot="1">
      <c r="A142" s="206"/>
      <c r="B142" s="254"/>
      <c r="C142" s="254"/>
      <c r="D142" s="254"/>
      <c r="E142" s="254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00"/>
      <c r="T142" s="254"/>
      <c r="U142" s="254"/>
      <c r="V142" s="254"/>
      <c r="W142" s="254"/>
      <c r="X142" s="254"/>
      <c r="Y142" s="254"/>
      <c r="Z142" s="254"/>
      <c r="AA142" s="254"/>
      <c r="AB142" s="254"/>
      <c r="AC142" s="254"/>
      <c r="AD142" s="254"/>
      <c r="AE142" s="254"/>
      <c r="AF142" s="604"/>
      <c r="AG142" s="320"/>
      <c r="AH142" s="321"/>
      <c r="AI142" s="321"/>
      <c r="AJ142" s="321"/>
      <c r="AK142" s="321"/>
      <c r="AL142" s="321"/>
      <c r="AM142" s="321"/>
      <c r="AN142" s="322"/>
    </row>
    <row r="143" spans="1:75" s="166" customFormat="1" ht="13.5" customHeight="1">
      <c r="A143" s="206"/>
      <c r="B143" s="184"/>
      <c r="C143" s="609"/>
      <c r="D143" s="184"/>
      <c r="E143" s="609"/>
      <c r="F143" s="184"/>
      <c r="G143" s="609"/>
      <c r="H143" s="261"/>
      <c r="I143" s="609"/>
      <c r="J143" s="261"/>
      <c r="K143" s="609"/>
      <c r="L143" s="261"/>
      <c r="M143" s="609"/>
      <c r="N143" s="261"/>
      <c r="O143" s="609"/>
      <c r="P143" s="261"/>
      <c r="Q143" s="609"/>
      <c r="R143" s="261"/>
      <c r="S143" s="609"/>
      <c r="T143" s="261"/>
      <c r="U143" s="609"/>
      <c r="V143" s="261"/>
      <c r="W143" s="609"/>
      <c r="X143" s="261"/>
      <c r="Y143" s="609"/>
      <c r="Z143" s="261"/>
      <c r="AA143" s="609"/>
      <c r="AB143" s="261"/>
      <c r="AC143" s="609"/>
      <c r="AD143" s="261"/>
      <c r="AE143" s="609"/>
      <c r="AF143" s="610"/>
      <c r="AG143" s="320"/>
      <c r="AH143" s="321"/>
      <c r="AI143" s="321"/>
      <c r="AJ143" s="321"/>
      <c r="AK143" s="321"/>
      <c r="AL143" s="321"/>
      <c r="AM143" s="321"/>
      <c r="AN143" s="322"/>
      <c r="BV143" s="522">
        <v>3</v>
      </c>
      <c r="BW143" s="522">
        <v>0</v>
      </c>
    </row>
    <row r="144" spans="1:75" s="166" customFormat="1" ht="13.5" customHeight="1">
      <c r="A144" s="206"/>
      <c r="B144" s="187"/>
      <c r="C144" s="611">
        <v>383</v>
      </c>
      <c r="D144" s="187"/>
      <c r="E144" s="611">
        <v>409</v>
      </c>
      <c r="F144" s="187"/>
      <c r="G144" s="611">
        <v>420</v>
      </c>
      <c r="H144" s="263"/>
      <c r="I144" s="611">
        <v>414</v>
      </c>
      <c r="J144" s="263"/>
      <c r="K144" s="611">
        <v>406</v>
      </c>
      <c r="L144" s="263"/>
      <c r="M144" s="611">
        <v>403.13900000000001</v>
      </c>
      <c r="N144" s="263"/>
      <c r="O144" s="611">
        <v>381.59</v>
      </c>
      <c r="P144" s="263"/>
      <c r="Q144" s="636">
        <v>357.99599999999998</v>
      </c>
      <c r="R144" s="263"/>
      <c r="S144" s="611">
        <v>365</v>
      </c>
      <c r="T144" s="263"/>
      <c r="U144" s="611">
        <v>378</v>
      </c>
      <c r="V144" s="263"/>
      <c r="W144" s="636">
        <v>370</v>
      </c>
      <c r="X144" s="262"/>
      <c r="Y144" s="611">
        <v>437.53399999999999</v>
      </c>
      <c r="Z144" s="263"/>
      <c r="AA144" s="611"/>
      <c r="AB144" s="263"/>
      <c r="AC144" s="611">
        <v>411</v>
      </c>
      <c r="AD144" s="263"/>
      <c r="AE144" s="636">
        <v>345</v>
      </c>
      <c r="AF144" s="604"/>
      <c r="AG144" s="320"/>
      <c r="AH144" s="321"/>
      <c r="AI144" s="321"/>
      <c r="AJ144" s="321"/>
      <c r="AK144" s="321"/>
      <c r="AL144" s="321"/>
      <c r="AM144" s="321"/>
      <c r="AN144" s="322"/>
    </row>
    <row r="145" spans="1:40" s="166" customFormat="1" ht="13.5" customHeight="1" thickBot="1">
      <c r="A145" s="206"/>
      <c r="B145" s="189"/>
      <c r="C145" s="200"/>
      <c r="D145" s="189"/>
      <c r="E145" s="200"/>
      <c r="F145" s="189"/>
      <c r="G145" s="200"/>
      <c r="H145" s="264"/>
      <c r="I145" s="200"/>
      <c r="J145" s="264"/>
      <c r="K145" s="200"/>
      <c r="L145" s="264"/>
      <c r="M145" s="200"/>
      <c r="N145" s="264"/>
      <c r="O145" s="200"/>
      <c r="P145" s="264"/>
      <c r="Q145" s="254"/>
      <c r="R145" s="264"/>
      <c r="S145" s="200"/>
      <c r="T145" s="264"/>
      <c r="U145" s="200"/>
      <c r="V145" s="264"/>
      <c r="W145" s="254"/>
      <c r="X145" s="264"/>
      <c r="Y145" s="200"/>
      <c r="Z145" s="264"/>
      <c r="AA145" s="200"/>
      <c r="AB145" s="264"/>
      <c r="AC145" s="200"/>
      <c r="AD145" s="264"/>
      <c r="AE145" s="254"/>
      <c r="AF145" s="604"/>
      <c r="AG145" s="320"/>
      <c r="AH145" s="321"/>
      <c r="AI145" s="321"/>
      <c r="AJ145" s="321"/>
      <c r="AK145" s="321"/>
      <c r="AL145" s="321"/>
      <c r="AM145" s="321"/>
      <c r="AN145" s="322"/>
    </row>
    <row r="146" spans="1:40" s="166" customFormat="1" ht="14.1" customHeight="1">
      <c r="A146" s="206"/>
      <c r="B146" s="254" t="s">
        <v>350</v>
      </c>
      <c r="C146" s="254"/>
      <c r="D146" s="254" t="s">
        <v>350</v>
      </c>
      <c r="E146" s="254"/>
      <c r="F146" s="254" t="s">
        <v>357</v>
      </c>
      <c r="G146" s="254"/>
      <c r="H146" s="254" t="s">
        <v>350</v>
      </c>
      <c r="I146" s="254"/>
      <c r="J146" s="254" t="s">
        <v>357</v>
      </c>
      <c r="K146" s="254"/>
      <c r="L146" s="254" t="s">
        <v>302</v>
      </c>
      <c r="M146" s="254"/>
      <c r="N146" s="254" t="s">
        <v>591</v>
      </c>
      <c r="O146" s="254"/>
      <c r="P146" s="254" t="s">
        <v>298</v>
      </c>
      <c r="Q146" s="254"/>
      <c r="R146" s="254" t="s">
        <v>396</v>
      </c>
      <c r="S146" s="254"/>
      <c r="T146" s="254" t="s">
        <v>350</v>
      </c>
      <c r="U146" s="254"/>
      <c r="V146" s="254" t="s">
        <v>350</v>
      </c>
      <c r="W146" s="254"/>
      <c r="X146" s="254" t="s">
        <v>350</v>
      </c>
      <c r="Y146" s="200"/>
      <c r="Z146" s="254" t="s">
        <v>389</v>
      </c>
      <c r="AA146" s="254"/>
      <c r="AB146" s="254" t="s">
        <v>324</v>
      </c>
      <c r="AC146" s="254"/>
      <c r="AD146" s="254" t="s">
        <v>918</v>
      </c>
      <c r="AE146" s="254"/>
      <c r="AF146" s="604"/>
      <c r="AG146" s="320"/>
      <c r="AH146" s="321"/>
      <c r="AI146" s="321"/>
      <c r="AJ146" s="321"/>
      <c r="AK146" s="321"/>
      <c r="AL146" s="321"/>
      <c r="AM146" s="321"/>
      <c r="AN146" s="322"/>
    </row>
    <row r="147" spans="1:40" s="167" customFormat="1" ht="13.35" customHeight="1">
      <c r="A147" s="206"/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634" t="s">
        <v>1117</v>
      </c>
      <c r="Q147" s="200"/>
      <c r="R147" s="200"/>
      <c r="S147" s="200"/>
      <c r="T147" s="200"/>
      <c r="U147" s="634" t="s">
        <v>1141</v>
      </c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604"/>
    </row>
    <row r="148" spans="1:40" s="167" customFormat="1" ht="13.35" customHeight="1">
      <c r="A148" s="206"/>
      <c r="B148" s="200"/>
      <c r="C148" s="200"/>
      <c r="D148" s="200"/>
      <c r="E148" s="200"/>
      <c r="F148" s="200"/>
      <c r="G148" s="200"/>
      <c r="H148" s="200"/>
      <c r="I148" s="200"/>
      <c r="J148" s="200"/>
      <c r="K148" s="614" t="s">
        <v>1137</v>
      </c>
      <c r="L148" s="200"/>
      <c r="M148" s="200"/>
      <c r="N148" s="200"/>
      <c r="O148" s="633" t="s">
        <v>1017</v>
      </c>
      <c r="P148" s="200"/>
      <c r="Q148" s="200"/>
      <c r="R148" s="200"/>
      <c r="S148" s="200"/>
      <c r="T148" s="200"/>
      <c r="U148" s="633" t="s">
        <v>1117</v>
      </c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604"/>
    </row>
    <row r="149" spans="1:40" s="167" customFormat="1" ht="13.35" customHeight="1">
      <c r="A149" s="206"/>
      <c r="B149" s="200"/>
      <c r="C149" s="200"/>
      <c r="D149" s="200"/>
      <c r="E149" s="200"/>
      <c r="F149" s="200"/>
      <c r="G149" s="200"/>
      <c r="H149" s="200"/>
      <c r="I149" s="200"/>
      <c r="J149" s="200"/>
      <c r="K149" s="614"/>
      <c r="L149" s="200"/>
      <c r="M149" s="200"/>
      <c r="N149" s="200"/>
      <c r="O149" s="633"/>
      <c r="P149" s="200"/>
      <c r="Q149" s="200"/>
      <c r="R149" s="200"/>
      <c r="S149" s="200"/>
      <c r="T149" s="200"/>
      <c r="U149" s="633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604"/>
    </row>
    <row r="150" spans="1:40" s="167" customFormat="1" ht="13.35" customHeight="1">
      <c r="A150" s="206"/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604"/>
    </row>
    <row r="151" spans="1:40" s="167" customFormat="1" ht="13.35" customHeight="1">
      <c r="A151" s="206"/>
      <c r="B151" s="200">
        <v>166</v>
      </c>
      <c r="C151" s="200"/>
      <c r="D151" s="200">
        <v>167</v>
      </c>
      <c r="E151" s="200"/>
      <c r="F151" s="200">
        <v>168</v>
      </c>
      <c r="G151" s="200"/>
      <c r="H151" s="200">
        <v>169</v>
      </c>
      <c r="I151" s="200"/>
      <c r="J151" s="200">
        <v>170</v>
      </c>
      <c r="K151" s="200"/>
      <c r="L151" s="200">
        <v>171</v>
      </c>
      <c r="M151" s="200"/>
      <c r="N151" s="200">
        <v>172</v>
      </c>
      <c r="O151" s="200"/>
      <c r="P151" s="200">
        <v>173</v>
      </c>
      <c r="Q151" s="200"/>
      <c r="R151" s="200">
        <v>174</v>
      </c>
      <c r="S151" s="200"/>
      <c r="T151" s="200">
        <v>175</v>
      </c>
      <c r="U151" s="200"/>
      <c r="V151" s="200">
        <v>176</v>
      </c>
      <c r="W151" s="200"/>
      <c r="X151" s="200">
        <v>177</v>
      </c>
      <c r="Y151" s="200"/>
      <c r="Z151" s="200">
        <v>178</v>
      </c>
      <c r="AA151" s="200"/>
      <c r="AB151" s="200">
        <v>179</v>
      </c>
      <c r="AC151" s="200"/>
      <c r="AD151" s="200">
        <v>180</v>
      </c>
      <c r="AE151" s="200"/>
      <c r="AF151" s="604"/>
    </row>
    <row r="152" spans="1:40" s="167" customFormat="1" ht="13.35" customHeight="1">
      <c r="A152" s="206"/>
      <c r="B152" s="304" t="s">
        <v>143</v>
      </c>
      <c r="C152" s="200"/>
      <c r="D152" s="304" t="s">
        <v>1143</v>
      </c>
      <c r="E152" s="254"/>
      <c r="F152" s="304" t="s">
        <v>1144</v>
      </c>
      <c r="G152" s="254"/>
      <c r="H152" s="304" t="s">
        <v>1145</v>
      </c>
      <c r="I152" s="254"/>
      <c r="J152" s="304" t="s">
        <v>1146</v>
      </c>
      <c r="K152" s="254"/>
      <c r="L152" s="304" t="s">
        <v>1147</v>
      </c>
      <c r="M152" s="254"/>
      <c r="N152" s="304" t="s">
        <v>1148</v>
      </c>
      <c r="O152" s="254"/>
      <c r="P152" s="304" t="s">
        <v>1149</v>
      </c>
      <c r="Q152" s="254"/>
      <c r="R152" s="304" t="s">
        <v>1150</v>
      </c>
      <c r="S152" s="254"/>
      <c r="T152" s="304" t="s">
        <v>1151</v>
      </c>
      <c r="U152" s="254"/>
      <c r="V152" s="304" t="s">
        <v>1152</v>
      </c>
      <c r="W152" s="254"/>
      <c r="X152" s="304" t="s">
        <v>1153</v>
      </c>
      <c r="Y152" s="254"/>
      <c r="Z152" s="304" t="s">
        <v>1154</v>
      </c>
      <c r="AA152" s="254"/>
      <c r="AB152" s="304" t="s">
        <v>1155</v>
      </c>
      <c r="AC152" s="254"/>
      <c r="AD152" s="304" t="s">
        <v>1156</v>
      </c>
      <c r="AE152" s="254"/>
      <c r="AF152" s="604"/>
    </row>
    <row r="153" spans="1:40" s="167" customFormat="1" ht="13.35" customHeight="1">
      <c r="A153" s="206"/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604"/>
    </row>
    <row r="154" spans="1:40" s="167" customFormat="1" ht="13.35" customHeight="1">
      <c r="A154" s="206"/>
      <c r="B154" s="254"/>
      <c r="C154" s="200"/>
      <c r="D154" s="254"/>
      <c r="E154" s="254"/>
      <c r="F154" s="254"/>
      <c r="G154" s="200"/>
      <c r="H154" s="254"/>
      <c r="I154" s="254"/>
      <c r="J154" s="254"/>
      <c r="K154" s="254"/>
      <c r="L154" s="254"/>
      <c r="M154" s="254"/>
      <c r="N154" s="254"/>
      <c r="O154" s="254"/>
      <c r="P154" s="254"/>
      <c r="Q154" s="254"/>
      <c r="R154" s="254"/>
      <c r="S154" s="254"/>
      <c r="T154" s="254"/>
      <c r="U154" s="254"/>
      <c r="V154" s="254"/>
      <c r="W154" s="254"/>
      <c r="X154" s="254"/>
      <c r="Y154" s="254"/>
      <c r="Z154" s="254"/>
      <c r="AA154" s="200"/>
      <c r="AB154" s="254"/>
      <c r="AC154" s="254"/>
      <c r="AD154" s="254"/>
      <c r="AE154" s="254"/>
      <c r="AF154" s="604"/>
    </row>
    <row r="155" spans="1:40" s="167" customFormat="1" ht="13.35" customHeight="1" thickBot="1">
      <c r="A155" s="206"/>
      <c r="B155" s="254"/>
      <c r="C155" s="200"/>
      <c r="D155" s="254"/>
      <c r="E155" s="254"/>
      <c r="F155" s="254"/>
      <c r="G155" s="200"/>
      <c r="H155" s="254"/>
      <c r="I155" s="254"/>
      <c r="J155" s="254"/>
      <c r="K155" s="254"/>
      <c r="L155" s="254"/>
      <c r="M155" s="254"/>
      <c r="N155" s="254"/>
      <c r="O155" s="254"/>
      <c r="P155" s="254"/>
      <c r="Q155" s="254"/>
      <c r="R155" s="254"/>
      <c r="S155" s="254"/>
      <c r="T155" s="254"/>
      <c r="U155" s="254"/>
      <c r="V155" s="254"/>
      <c r="W155" s="254"/>
      <c r="X155" s="254"/>
      <c r="Y155" s="254"/>
      <c r="Z155" s="254"/>
      <c r="AA155" s="200"/>
      <c r="AB155" s="254"/>
      <c r="AC155" s="254"/>
      <c r="AD155" s="254"/>
      <c r="AE155" s="254"/>
      <c r="AF155" s="604"/>
    </row>
    <row r="156" spans="1:40" s="167" customFormat="1" ht="13.35" customHeight="1">
      <c r="A156" s="206"/>
      <c r="B156" s="261"/>
      <c r="C156" s="609"/>
      <c r="D156" s="261"/>
      <c r="E156" s="609"/>
      <c r="F156" s="261"/>
      <c r="G156" s="609"/>
      <c r="H156" s="261"/>
      <c r="I156" s="609"/>
      <c r="J156" s="261"/>
      <c r="K156" s="609"/>
      <c r="L156" s="261"/>
      <c r="M156" s="609"/>
      <c r="N156" s="261"/>
      <c r="O156" s="609"/>
      <c r="P156" s="261"/>
      <c r="Q156" s="609"/>
      <c r="R156" s="261"/>
      <c r="S156" s="609"/>
      <c r="T156" s="261"/>
      <c r="U156" s="609"/>
      <c r="V156" s="261"/>
      <c r="W156" s="609"/>
      <c r="X156" s="261"/>
      <c r="Y156" s="609"/>
      <c r="Z156" s="261"/>
      <c r="AA156" s="609"/>
      <c r="AB156" s="261"/>
      <c r="AC156" s="609"/>
      <c r="AD156" s="261"/>
      <c r="AE156" s="609"/>
      <c r="AF156" s="610"/>
    </row>
    <row r="157" spans="1:40" s="167" customFormat="1" ht="13.35" customHeight="1">
      <c r="A157" s="206"/>
      <c r="B157" s="262"/>
      <c r="C157" s="611">
        <v>225.81</v>
      </c>
      <c r="D157" s="263" t="s">
        <v>550</v>
      </c>
      <c r="E157" s="611">
        <v>451</v>
      </c>
      <c r="F157" s="263" t="s">
        <v>550</v>
      </c>
      <c r="G157" s="611">
        <v>385</v>
      </c>
      <c r="H157" s="263"/>
      <c r="I157" s="611">
        <v>429</v>
      </c>
      <c r="J157" s="263"/>
      <c r="K157" s="611">
        <v>408</v>
      </c>
      <c r="L157" s="263" t="s">
        <v>550</v>
      </c>
      <c r="M157" s="611">
        <v>407</v>
      </c>
      <c r="N157" s="263" t="s">
        <v>550</v>
      </c>
      <c r="O157" s="611">
        <v>434</v>
      </c>
      <c r="P157" s="263"/>
      <c r="Q157" s="611">
        <v>401</v>
      </c>
      <c r="R157" s="263"/>
      <c r="S157" s="611">
        <v>296</v>
      </c>
      <c r="T157" s="263"/>
      <c r="U157" s="611">
        <v>677</v>
      </c>
      <c r="V157" s="263"/>
      <c r="W157" s="611">
        <v>642</v>
      </c>
      <c r="X157" s="263"/>
      <c r="Y157" s="636">
        <v>414</v>
      </c>
      <c r="Z157" s="263"/>
      <c r="AA157" s="611">
        <v>446</v>
      </c>
      <c r="AB157" s="263"/>
      <c r="AC157" s="611">
        <v>411</v>
      </c>
      <c r="AD157" s="263"/>
      <c r="AE157" s="636">
        <v>345</v>
      </c>
      <c r="AF157" s="604"/>
    </row>
    <row r="158" spans="1:40" s="167" customFormat="1" ht="13.35" customHeight="1" thickBot="1">
      <c r="A158" s="206"/>
      <c r="B158" s="264"/>
      <c r="C158" s="200"/>
      <c r="D158" s="264"/>
      <c r="E158" s="200"/>
      <c r="F158" s="264"/>
      <c r="G158" s="200"/>
      <c r="H158" s="264"/>
      <c r="I158" s="200"/>
      <c r="J158" s="264"/>
      <c r="K158" s="200"/>
      <c r="L158" s="264"/>
      <c r="M158" s="200"/>
      <c r="N158" s="264"/>
      <c r="O158" s="200"/>
      <c r="P158" s="264"/>
      <c r="Q158" s="200"/>
      <c r="R158" s="264"/>
      <c r="S158" s="200"/>
      <c r="T158" s="264"/>
      <c r="U158" s="200"/>
      <c r="V158" s="264"/>
      <c r="W158" s="200"/>
      <c r="X158" s="264"/>
      <c r="Y158" s="254"/>
      <c r="Z158" s="264"/>
      <c r="AA158" s="200"/>
      <c r="AB158" s="264"/>
      <c r="AC158" s="200"/>
      <c r="AD158" s="264"/>
      <c r="AE158" s="254"/>
      <c r="AF158" s="604"/>
    </row>
    <row r="159" spans="1:40" s="167" customFormat="1" ht="13.35" customHeight="1">
      <c r="A159" s="206"/>
      <c r="B159" s="254" t="s">
        <v>393</v>
      </c>
      <c r="C159" s="254"/>
      <c r="D159" s="254" t="s">
        <v>918</v>
      </c>
      <c r="E159" s="254"/>
      <c r="F159" s="254" t="s">
        <v>396</v>
      </c>
      <c r="G159" s="254"/>
      <c r="H159" s="254" t="s">
        <v>357</v>
      </c>
      <c r="I159" s="254"/>
      <c r="J159" s="254" t="s">
        <v>350</v>
      </c>
      <c r="K159" s="254"/>
      <c r="L159" s="254" t="s">
        <v>357</v>
      </c>
      <c r="M159" s="254"/>
      <c r="N159" s="254" t="s">
        <v>399</v>
      </c>
      <c r="O159" s="254"/>
      <c r="P159" s="254" t="s">
        <v>357</v>
      </c>
      <c r="Q159" s="254"/>
      <c r="R159" s="254" t="s">
        <v>335</v>
      </c>
      <c r="S159" s="254"/>
      <c r="T159" s="254" t="s">
        <v>350</v>
      </c>
      <c r="U159" s="254"/>
      <c r="V159" s="254" t="s">
        <v>396</v>
      </c>
      <c r="W159" s="254"/>
      <c r="X159" s="254" t="s">
        <v>396</v>
      </c>
      <c r="Y159" s="254" t="s">
        <v>67</v>
      </c>
      <c r="Z159" s="254" t="s">
        <v>396</v>
      </c>
      <c r="AA159" s="254"/>
      <c r="AB159" s="254" t="s">
        <v>396</v>
      </c>
      <c r="AC159" s="254"/>
      <c r="AD159" s="254" t="s">
        <v>357</v>
      </c>
      <c r="AE159" s="254"/>
      <c r="AF159" s="604"/>
    </row>
    <row r="160" spans="1:40" s="167" customFormat="1" ht="13.35" customHeight="1">
      <c r="A160" s="206"/>
      <c r="B160" s="254"/>
      <c r="C160" s="254"/>
      <c r="D160" s="254"/>
      <c r="E160" s="254"/>
      <c r="F160" s="254"/>
      <c r="G160" s="254"/>
      <c r="H160" s="254"/>
      <c r="I160" s="254"/>
      <c r="J160" s="254"/>
      <c r="K160" s="254"/>
      <c r="L160" s="254"/>
      <c r="M160" s="254"/>
      <c r="N160" s="254"/>
      <c r="O160" s="254"/>
      <c r="P160" s="254"/>
      <c r="Q160" s="254"/>
      <c r="R160" s="254"/>
      <c r="S160" s="254"/>
      <c r="T160" s="254"/>
      <c r="U160" s="254"/>
      <c r="V160" s="254"/>
      <c r="W160" s="254"/>
      <c r="X160" s="254"/>
      <c r="Y160" s="254"/>
      <c r="Z160" s="254"/>
      <c r="AA160" s="254"/>
      <c r="AB160" s="254"/>
      <c r="AC160" s="254"/>
      <c r="AD160" s="254"/>
      <c r="AE160" s="254"/>
      <c r="AF160" s="604"/>
    </row>
    <row r="161" spans="1:75" s="167" customFormat="1" ht="13.35" customHeight="1">
      <c r="A161" s="206"/>
      <c r="B161" s="254"/>
      <c r="C161" s="254"/>
      <c r="D161" s="254"/>
      <c r="E161" s="254"/>
      <c r="F161" s="254"/>
      <c r="G161" s="254"/>
      <c r="H161" s="254"/>
      <c r="I161" s="254"/>
      <c r="J161" s="254"/>
      <c r="K161" s="254"/>
      <c r="L161" s="254"/>
      <c r="M161" s="254"/>
      <c r="N161" s="254"/>
      <c r="O161" s="254"/>
      <c r="P161" s="254"/>
      <c r="Q161" s="254"/>
      <c r="R161" s="254"/>
      <c r="S161" s="254"/>
      <c r="T161" s="254"/>
      <c r="U161" s="254"/>
      <c r="V161" s="254"/>
      <c r="W161" s="254"/>
      <c r="X161" s="254"/>
      <c r="Y161" s="254"/>
      <c r="Z161" s="254"/>
      <c r="AA161" s="254"/>
      <c r="AB161" s="254"/>
      <c r="AC161" s="254"/>
      <c r="AD161" s="254"/>
      <c r="AE161" s="254"/>
      <c r="AF161" s="604"/>
    </row>
    <row r="162" spans="1:75" s="167" customFormat="1" ht="13.35" customHeight="1">
      <c r="A162" s="206"/>
      <c r="B162" s="200"/>
      <c r="C162" s="200"/>
      <c r="D162" s="200"/>
      <c r="E162" s="200"/>
      <c r="F162" s="200"/>
      <c r="G162" s="200"/>
      <c r="H162" s="200"/>
      <c r="I162" s="200"/>
      <c r="J162" s="200"/>
      <c r="K162" s="614"/>
      <c r="L162" s="200"/>
      <c r="M162" s="200"/>
      <c r="N162" s="200"/>
      <c r="O162" s="633"/>
      <c r="P162" s="200"/>
      <c r="Q162" s="200"/>
      <c r="R162" s="200"/>
      <c r="S162" s="200"/>
      <c r="T162" s="200"/>
      <c r="U162" s="633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604"/>
    </row>
    <row r="163" spans="1:75" s="167" customFormat="1" ht="13.35" customHeight="1">
      <c r="A163" s="206"/>
      <c r="B163" s="200"/>
      <c r="C163" s="200"/>
      <c r="D163" s="200"/>
      <c r="E163" s="200"/>
      <c r="F163" s="200"/>
      <c r="G163" s="200"/>
      <c r="AF163" s="637"/>
    </row>
    <row r="164" spans="1:75" s="167" customFormat="1" ht="13.35" customHeight="1">
      <c r="A164" s="206"/>
      <c r="B164" s="200">
        <v>181</v>
      </c>
      <c r="C164" s="200"/>
      <c r="D164" s="200">
        <v>182</v>
      </c>
      <c r="E164" s="200"/>
      <c r="F164" s="200">
        <v>183</v>
      </c>
      <c r="G164" s="200"/>
      <c r="H164" s="200">
        <v>184</v>
      </c>
      <c r="I164" s="200"/>
      <c r="J164" s="200">
        <v>185</v>
      </c>
      <c r="K164" s="200"/>
      <c r="L164" s="200">
        <v>186</v>
      </c>
      <c r="M164" s="200"/>
      <c r="N164" s="200">
        <v>187</v>
      </c>
      <c r="O164" s="200"/>
      <c r="P164" s="200">
        <v>188</v>
      </c>
      <c r="Q164" s="200"/>
      <c r="R164" s="200">
        <v>189</v>
      </c>
      <c r="S164" s="200"/>
      <c r="T164" s="200">
        <v>190</v>
      </c>
      <c r="U164" s="200"/>
      <c r="V164" s="200">
        <v>191</v>
      </c>
      <c r="W164" s="200"/>
      <c r="X164" s="200">
        <v>192</v>
      </c>
      <c r="Y164" s="200"/>
      <c r="Z164" s="200">
        <v>193</v>
      </c>
      <c r="AA164" s="200"/>
      <c r="AB164" s="200">
        <v>194</v>
      </c>
      <c r="AC164" s="200"/>
      <c r="AD164" s="200">
        <v>195</v>
      </c>
      <c r="AE164" s="200"/>
      <c r="AF164" s="637"/>
    </row>
    <row r="165" spans="1:75" s="167" customFormat="1" ht="13.35" customHeight="1">
      <c r="A165" s="206"/>
      <c r="B165" s="304" t="s">
        <v>686</v>
      </c>
      <c r="C165" s="200"/>
      <c r="D165" s="304" t="s">
        <v>183</v>
      </c>
      <c r="E165" s="254"/>
      <c r="F165" s="304" t="s">
        <v>1157</v>
      </c>
      <c r="G165" s="254"/>
      <c r="H165" s="304" t="s">
        <v>1158</v>
      </c>
      <c r="I165" s="254"/>
      <c r="J165" s="304" t="s">
        <v>1159</v>
      </c>
      <c r="K165" s="254"/>
      <c r="L165" s="304" t="s">
        <v>1160</v>
      </c>
      <c r="M165" s="254"/>
      <c r="N165" s="304" t="s">
        <v>1161</v>
      </c>
      <c r="O165" s="254"/>
      <c r="P165" s="304" t="s">
        <v>753</v>
      </c>
      <c r="Q165" s="254"/>
      <c r="R165" s="304" t="s">
        <v>1037</v>
      </c>
      <c r="S165" s="254"/>
      <c r="T165" s="304" t="s">
        <v>1162</v>
      </c>
      <c r="U165" s="254"/>
      <c r="V165" s="304" t="s">
        <v>1163</v>
      </c>
      <c r="W165" s="254"/>
      <c r="X165" s="304" t="s">
        <v>613</v>
      </c>
      <c r="Y165" s="200"/>
      <c r="Z165" s="304" t="s">
        <v>614</v>
      </c>
      <c r="AA165" s="254"/>
      <c r="AB165" s="304" t="s">
        <v>615</v>
      </c>
      <c r="AC165" s="254"/>
      <c r="AD165" s="304" t="s">
        <v>145</v>
      </c>
      <c r="AE165" s="254"/>
      <c r="AF165" s="637"/>
    </row>
    <row r="166" spans="1:75" s="167" customFormat="1" ht="13.35" customHeight="1">
      <c r="A166" s="206"/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637"/>
    </row>
    <row r="167" spans="1:75" s="167" customFormat="1" ht="13.35" customHeight="1">
      <c r="A167" s="206"/>
      <c r="B167" s="254"/>
      <c r="C167" s="200"/>
      <c r="D167" s="254"/>
      <c r="E167" s="254"/>
      <c r="F167" s="254"/>
      <c r="G167" s="200"/>
      <c r="H167" s="254"/>
      <c r="I167" s="254"/>
      <c r="J167" s="254"/>
      <c r="K167" s="254"/>
      <c r="L167" s="254"/>
      <c r="M167" s="254"/>
      <c r="N167" s="254"/>
      <c r="O167" s="254"/>
      <c r="P167" s="254"/>
      <c r="Q167" s="254"/>
      <c r="R167" s="254"/>
      <c r="S167" s="254"/>
      <c r="T167" s="254"/>
      <c r="U167" s="254"/>
      <c r="V167" s="254"/>
      <c r="W167" s="254"/>
      <c r="X167" s="254"/>
      <c r="Y167" s="200"/>
      <c r="Z167" s="254"/>
      <c r="AA167" s="254"/>
      <c r="AB167" s="254"/>
      <c r="AC167" s="200"/>
      <c r="AD167" s="254"/>
      <c r="AE167" s="254"/>
      <c r="AF167" s="637"/>
    </row>
    <row r="168" spans="1:75" s="167" customFormat="1" ht="13.35" customHeight="1" thickBot="1">
      <c r="A168" s="206"/>
      <c r="B168" s="254"/>
      <c r="C168" s="200"/>
      <c r="D168" s="254"/>
      <c r="E168" s="254"/>
      <c r="F168" s="254"/>
      <c r="G168" s="200"/>
      <c r="H168" s="254"/>
      <c r="I168" s="254"/>
      <c r="J168" s="254"/>
      <c r="K168" s="254"/>
      <c r="L168" s="254"/>
      <c r="M168" s="254"/>
      <c r="N168" s="254"/>
      <c r="O168" s="254"/>
      <c r="P168" s="254"/>
      <c r="Q168" s="254"/>
      <c r="R168" s="254"/>
      <c r="S168" s="254"/>
      <c r="T168" s="254"/>
      <c r="U168" s="254"/>
      <c r="V168" s="254"/>
      <c r="W168" s="254"/>
      <c r="X168" s="254"/>
      <c r="Y168" s="200"/>
      <c r="Z168" s="254"/>
      <c r="AA168" s="254"/>
      <c r="AB168" s="254"/>
      <c r="AC168" s="200"/>
      <c r="AD168" s="254"/>
      <c r="AE168" s="254"/>
      <c r="AF168" s="637"/>
    </row>
    <row r="169" spans="1:75" s="167" customFormat="1" ht="13.35" customHeight="1">
      <c r="A169" s="206"/>
      <c r="B169" s="261"/>
      <c r="C169" s="609"/>
      <c r="D169" s="261"/>
      <c r="E169" s="609"/>
      <c r="F169" s="261"/>
      <c r="G169" s="609"/>
      <c r="H169" s="261"/>
      <c r="I169" s="609"/>
      <c r="J169" s="261"/>
      <c r="K169" s="609"/>
      <c r="L169" s="261"/>
      <c r="M169" s="609"/>
      <c r="N169" s="261"/>
      <c r="O169" s="609"/>
      <c r="P169" s="261"/>
      <c r="Q169" s="609"/>
      <c r="R169" s="261"/>
      <c r="S169" s="609"/>
      <c r="T169" s="261"/>
      <c r="U169" s="609"/>
      <c r="V169" s="261"/>
      <c r="W169" s="609"/>
      <c r="X169" s="261"/>
      <c r="Y169" s="609"/>
      <c r="Z169" s="261"/>
      <c r="AA169" s="609"/>
      <c r="AB169" s="261"/>
      <c r="AC169" s="609"/>
      <c r="AD169" s="261"/>
      <c r="AE169" s="609"/>
      <c r="AF169" s="637"/>
    </row>
    <row r="170" spans="1:75" s="167" customFormat="1" ht="13.35" customHeight="1">
      <c r="A170" s="206"/>
      <c r="B170" s="262"/>
      <c r="C170" s="611">
        <v>225.81</v>
      </c>
      <c r="D170" s="263" t="s">
        <v>550</v>
      </c>
      <c r="E170" s="611">
        <v>451</v>
      </c>
      <c r="F170" s="263" t="s">
        <v>550</v>
      </c>
      <c r="G170" s="611">
        <v>385</v>
      </c>
      <c r="H170" s="263"/>
      <c r="I170" s="611">
        <v>429</v>
      </c>
      <c r="J170" s="263"/>
      <c r="K170" s="611">
        <v>408</v>
      </c>
      <c r="L170" s="263" t="s">
        <v>550</v>
      </c>
      <c r="M170" s="611">
        <v>407</v>
      </c>
      <c r="N170" s="263" t="s">
        <v>550</v>
      </c>
      <c r="O170" s="611">
        <v>434</v>
      </c>
      <c r="P170" s="263"/>
      <c r="Q170" s="611">
        <v>401</v>
      </c>
      <c r="R170" s="263"/>
      <c r="S170" s="611">
        <v>296</v>
      </c>
      <c r="T170" s="263"/>
      <c r="U170" s="611">
        <v>677</v>
      </c>
      <c r="V170" s="263"/>
      <c r="W170" s="611">
        <v>642</v>
      </c>
      <c r="X170" s="262"/>
      <c r="Y170" s="611">
        <v>225.81</v>
      </c>
      <c r="Z170" s="263" t="s">
        <v>550</v>
      </c>
      <c r="AA170" s="611">
        <v>451</v>
      </c>
      <c r="AB170" s="263" t="s">
        <v>550</v>
      </c>
      <c r="AC170" s="611">
        <v>385</v>
      </c>
      <c r="AD170" s="263"/>
      <c r="AE170" s="611">
        <v>429</v>
      </c>
      <c r="AF170" s="637"/>
    </row>
    <row r="171" spans="1:75" s="167" customFormat="1" ht="13.35" customHeight="1" thickBot="1">
      <c r="A171" s="206"/>
      <c r="B171" s="264"/>
      <c r="C171" s="200"/>
      <c r="D171" s="264"/>
      <c r="E171" s="200"/>
      <c r="F171" s="264"/>
      <c r="G171" s="200"/>
      <c r="H171" s="264"/>
      <c r="I171" s="200"/>
      <c r="J171" s="264"/>
      <c r="K171" s="200"/>
      <c r="L171" s="264"/>
      <c r="M171" s="200"/>
      <c r="N171" s="264"/>
      <c r="O171" s="200"/>
      <c r="P171" s="264"/>
      <c r="Q171" s="200"/>
      <c r="R171" s="264"/>
      <c r="S171" s="200"/>
      <c r="T171" s="264"/>
      <c r="U171" s="200"/>
      <c r="V171" s="264"/>
      <c r="W171" s="200"/>
      <c r="X171" s="264"/>
      <c r="Y171" s="200"/>
      <c r="Z171" s="264"/>
      <c r="AA171" s="200"/>
      <c r="AB171" s="264"/>
      <c r="AC171" s="200"/>
      <c r="AD171" s="264"/>
      <c r="AE171" s="200"/>
      <c r="AF171" s="637"/>
    </row>
    <row r="172" spans="1:75" s="167" customFormat="1" ht="13.5" customHeight="1">
      <c r="A172" s="206"/>
      <c r="B172" s="254" t="s">
        <v>335</v>
      </c>
      <c r="C172" s="254"/>
      <c r="D172" s="254" t="s">
        <v>350</v>
      </c>
      <c r="E172" s="254"/>
      <c r="F172" s="254" t="s">
        <v>357</v>
      </c>
      <c r="G172" s="254"/>
      <c r="H172" s="254" t="s">
        <v>350</v>
      </c>
      <c r="I172" s="254"/>
      <c r="J172" s="254" t="s">
        <v>357</v>
      </c>
      <c r="K172" s="254"/>
      <c r="L172" s="254" t="s">
        <v>357</v>
      </c>
      <c r="M172" s="254"/>
      <c r="N172" s="254" t="s">
        <v>322</v>
      </c>
      <c r="O172" s="254"/>
      <c r="P172" s="254" t="s">
        <v>298</v>
      </c>
      <c r="Q172" s="254"/>
      <c r="R172" s="254" t="s">
        <v>298</v>
      </c>
      <c r="S172" s="254"/>
      <c r="T172" s="254" t="s">
        <v>396</v>
      </c>
      <c r="U172" s="254"/>
      <c r="V172" s="254" t="s">
        <v>357</v>
      </c>
      <c r="W172" s="254"/>
      <c r="X172" s="254" t="s">
        <v>904</v>
      </c>
      <c r="Y172" s="254"/>
      <c r="Z172" s="254" t="s">
        <v>904</v>
      </c>
      <c r="AA172" s="254"/>
      <c r="AB172" s="254" t="s">
        <v>350</v>
      </c>
      <c r="AC172" s="254"/>
      <c r="AD172" s="254" t="s">
        <v>357</v>
      </c>
      <c r="AE172" s="254"/>
      <c r="AF172" s="637"/>
    </row>
    <row r="173" spans="1:75" s="167" customFormat="1" ht="13.5" customHeight="1">
      <c r="A173" s="206"/>
      <c r="B173" s="254"/>
      <c r="C173" s="254"/>
      <c r="D173" s="254"/>
      <c r="E173" s="254"/>
      <c r="F173" s="254"/>
      <c r="G173" s="254"/>
      <c r="H173" s="254"/>
      <c r="I173" s="254"/>
      <c r="J173" s="254"/>
      <c r="K173" s="254"/>
      <c r="L173" s="254"/>
      <c r="M173" s="254"/>
      <c r="N173" s="254"/>
      <c r="O173" s="254"/>
      <c r="P173" s="254"/>
      <c r="Q173" s="254"/>
      <c r="R173" s="254"/>
      <c r="S173" s="254"/>
      <c r="T173" s="254"/>
      <c r="U173" s="254"/>
      <c r="V173" s="254"/>
      <c r="W173" s="254"/>
      <c r="X173" s="254"/>
      <c r="Y173" s="254"/>
      <c r="Z173" s="254"/>
      <c r="AA173" s="254"/>
      <c r="AB173" s="254"/>
      <c r="AC173" s="254"/>
      <c r="AD173" s="254"/>
      <c r="AE173" s="254"/>
      <c r="AF173" s="604"/>
      <c r="BW173" s="200"/>
    </row>
    <row r="174" spans="1:75" s="167" customFormat="1" ht="13.5" customHeight="1">
      <c r="A174" s="206"/>
      <c r="B174" s="254"/>
      <c r="C174" s="254"/>
      <c r="D174" s="254"/>
      <c r="E174" s="254"/>
      <c r="F174" s="254"/>
      <c r="G174" s="254"/>
      <c r="H174" s="254"/>
      <c r="I174" s="254"/>
      <c r="J174" s="254"/>
      <c r="K174" s="254"/>
      <c r="L174" s="254"/>
      <c r="M174" s="254"/>
      <c r="N174" s="254"/>
      <c r="O174" s="254"/>
      <c r="P174" s="254"/>
      <c r="Q174" s="254"/>
      <c r="R174" s="254"/>
      <c r="S174" s="254"/>
      <c r="T174" s="254"/>
      <c r="U174" s="254"/>
      <c r="V174" s="254"/>
      <c r="W174" s="254"/>
      <c r="X174" s="254"/>
      <c r="Y174" s="254"/>
      <c r="AF174" s="604"/>
      <c r="BW174" s="200"/>
    </row>
    <row r="175" spans="1:75" s="167" customFormat="1" ht="13.5" customHeight="1">
      <c r="A175" s="206"/>
      <c r="B175" s="254"/>
      <c r="C175" s="254"/>
      <c r="D175" s="254"/>
      <c r="E175" s="254"/>
      <c r="F175" s="254"/>
      <c r="G175" s="254"/>
      <c r="H175" s="254"/>
      <c r="I175" s="254"/>
      <c r="J175" s="254"/>
      <c r="K175" s="254"/>
      <c r="L175" s="254"/>
      <c r="M175" s="254"/>
      <c r="N175" s="254"/>
      <c r="O175" s="254"/>
      <c r="P175" s="254"/>
      <c r="Q175" s="254"/>
      <c r="R175" s="254"/>
      <c r="S175" s="254"/>
      <c r="T175" s="254"/>
      <c r="U175" s="254"/>
      <c r="V175" s="254"/>
      <c r="W175" s="254"/>
      <c r="X175" s="254"/>
      <c r="Y175" s="254"/>
      <c r="Z175" s="254"/>
      <c r="AA175" s="254"/>
      <c r="AB175" s="254"/>
      <c r="AC175" s="254"/>
      <c r="AD175" s="254"/>
      <c r="AE175" s="254"/>
      <c r="AF175" s="638"/>
      <c r="BW175" s="254"/>
    </row>
    <row r="176" spans="1:75" s="167" customFormat="1" ht="13.5" customHeight="1">
      <c r="A176" s="206"/>
      <c r="B176" s="200">
        <v>196</v>
      </c>
      <c r="C176" s="200"/>
      <c r="D176" s="200">
        <v>197</v>
      </c>
      <c r="E176" s="200"/>
      <c r="F176" s="200">
        <v>198</v>
      </c>
      <c r="G176" s="200"/>
      <c r="H176" s="200">
        <v>199</v>
      </c>
      <c r="I176" s="200"/>
      <c r="J176" s="200">
        <v>200</v>
      </c>
      <c r="K176" s="200"/>
      <c r="L176" s="200">
        <v>201</v>
      </c>
      <c r="M176" s="200"/>
      <c r="N176" s="200">
        <v>202</v>
      </c>
      <c r="O176" s="200"/>
      <c r="P176" s="200">
        <v>203</v>
      </c>
      <c r="Q176" s="200"/>
      <c r="R176" s="200">
        <v>204</v>
      </c>
      <c r="S176" s="200"/>
      <c r="T176" s="200">
        <v>205</v>
      </c>
      <c r="U176" s="200"/>
      <c r="V176" s="200">
        <v>206</v>
      </c>
      <c r="W176" s="200"/>
      <c r="X176" s="254">
        <v>207</v>
      </c>
      <c r="Y176" s="254"/>
      <c r="Z176" s="254">
        <v>208</v>
      </c>
      <c r="AA176" s="254"/>
      <c r="AB176" s="254">
        <v>209</v>
      </c>
      <c r="AC176" s="254"/>
      <c r="AD176" s="254">
        <v>210</v>
      </c>
      <c r="AE176" s="254"/>
      <c r="AF176" s="637"/>
      <c r="BW176" s="254"/>
    </row>
    <row r="177" spans="1:75" s="167" customFormat="1" ht="13.5" customHeight="1">
      <c r="A177" s="206"/>
      <c r="B177" s="304" t="s">
        <v>616</v>
      </c>
      <c r="C177" s="254"/>
      <c r="D177" s="304" t="s">
        <v>617</v>
      </c>
      <c r="E177" s="254"/>
      <c r="F177" s="304" t="s">
        <v>618</v>
      </c>
      <c r="G177" s="254"/>
      <c r="H177" s="304" t="s">
        <v>619</v>
      </c>
      <c r="I177" s="254"/>
      <c r="J177" s="304" t="s">
        <v>146</v>
      </c>
      <c r="K177" s="254"/>
      <c r="L177" s="304" t="s">
        <v>620</v>
      </c>
      <c r="M177" s="254"/>
      <c r="N177" s="304" t="s">
        <v>621</v>
      </c>
      <c r="O177" s="254"/>
      <c r="P177" s="304" t="s">
        <v>622</v>
      </c>
      <c r="Q177" s="254"/>
      <c r="R177" s="304" t="s">
        <v>184</v>
      </c>
      <c r="S177" s="254"/>
      <c r="T177" s="304" t="s">
        <v>185</v>
      </c>
      <c r="U177" s="254"/>
      <c r="V177" s="304" t="s">
        <v>186</v>
      </c>
      <c r="W177" s="254"/>
      <c r="X177" s="304" t="s">
        <v>623</v>
      </c>
      <c r="Y177" s="200"/>
      <c r="Z177" s="304" t="s">
        <v>624</v>
      </c>
      <c r="AA177" s="200"/>
      <c r="AB177" s="304" t="s">
        <v>1164</v>
      </c>
      <c r="AC177" s="200"/>
      <c r="AD177" s="304" t="s">
        <v>1165</v>
      </c>
      <c r="AE177" s="200"/>
      <c r="AF177" s="637"/>
    </row>
    <row r="178" spans="1:75" s="167" customFormat="1" ht="13.5" customHeight="1">
      <c r="A178" s="20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637"/>
      <c r="BW178" s="254"/>
    </row>
    <row r="179" spans="1:75" s="167" customFormat="1" ht="13.5" customHeight="1">
      <c r="A179" s="206"/>
      <c r="B179" s="254"/>
      <c r="C179" s="254"/>
      <c r="D179" s="254"/>
      <c r="E179" s="254"/>
      <c r="F179" s="254"/>
      <c r="G179" s="254"/>
      <c r="H179" s="254"/>
      <c r="I179" s="254"/>
      <c r="J179" s="254"/>
      <c r="K179" s="254"/>
      <c r="L179" s="254"/>
      <c r="M179" s="254"/>
      <c r="N179" s="254"/>
      <c r="O179" s="254"/>
      <c r="P179" s="254"/>
      <c r="Q179" s="254"/>
      <c r="R179" s="254"/>
      <c r="S179" s="200"/>
      <c r="T179" s="254"/>
      <c r="U179" s="254"/>
      <c r="V179" s="254"/>
      <c r="W179" s="254"/>
      <c r="X179" s="254"/>
      <c r="Y179" s="200"/>
      <c r="Z179" s="254"/>
      <c r="AA179" s="254"/>
      <c r="AB179" s="254"/>
      <c r="AC179" s="200"/>
      <c r="AD179" s="254"/>
      <c r="AE179" s="200"/>
      <c r="AF179" s="637"/>
    </row>
    <row r="180" spans="1:75" s="167" customFormat="1" ht="13.5" customHeight="1" thickBot="1">
      <c r="A180" s="206"/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00"/>
      <c r="T180" s="254"/>
      <c r="U180" s="254"/>
      <c r="V180" s="254"/>
      <c r="W180" s="254"/>
      <c r="X180" s="254"/>
      <c r="Y180" s="200"/>
      <c r="Z180" s="254"/>
      <c r="AA180" s="254"/>
      <c r="AB180" s="254"/>
      <c r="AC180" s="200"/>
      <c r="AD180" s="254"/>
      <c r="AE180" s="200"/>
      <c r="AF180" s="637"/>
    </row>
    <row r="181" spans="1:75" s="167" customFormat="1" ht="13.5" customHeight="1">
      <c r="A181" s="206"/>
      <c r="B181" s="261"/>
      <c r="C181" s="609"/>
      <c r="D181" s="261"/>
      <c r="E181" s="609"/>
      <c r="F181" s="261"/>
      <c r="G181" s="609"/>
      <c r="H181" s="261"/>
      <c r="I181" s="609"/>
      <c r="J181" s="261"/>
      <c r="K181" s="609"/>
      <c r="L181" s="261"/>
      <c r="M181" s="609"/>
      <c r="N181" s="261"/>
      <c r="O181" s="609"/>
      <c r="P181" s="261"/>
      <c r="Q181" s="609"/>
      <c r="R181" s="261"/>
      <c r="S181" s="609"/>
      <c r="T181" s="261"/>
      <c r="U181" s="609"/>
      <c r="V181" s="261"/>
      <c r="W181" s="609"/>
      <c r="X181" s="261"/>
      <c r="Y181" s="609"/>
      <c r="Z181" s="261"/>
      <c r="AA181" s="609"/>
      <c r="AB181" s="261"/>
      <c r="AC181" s="609"/>
      <c r="AD181" s="261"/>
      <c r="AE181" s="609"/>
      <c r="AF181" s="637"/>
    </row>
    <row r="182" spans="1:75" s="167" customFormat="1" ht="13.5" customHeight="1">
      <c r="A182" s="206"/>
      <c r="B182" s="263"/>
      <c r="C182" s="611">
        <v>408</v>
      </c>
      <c r="D182" s="263" t="s">
        <v>550</v>
      </c>
      <c r="E182" s="611">
        <v>407</v>
      </c>
      <c r="F182" s="263" t="s">
        <v>550</v>
      </c>
      <c r="G182" s="611">
        <v>434</v>
      </c>
      <c r="H182" s="263"/>
      <c r="I182" s="611">
        <v>401</v>
      </c>
      <c r="J182" s="263"/>
      <c r="K182" s="611">
        <v>296</v>
      </c>
      <c r="L182" s="263"/>
      <c r="M182" s="611">
        <v>677</v>
      </c>
      <c r="N182" s="263"/>
      <c r="O182" s="611">
        <v>642</v>
      </c>
      <c r="P182" s="263"/>
      <c r="Q182" s="636">
        <v>414</v>
      </c>
      <c r="R182" s="263"/>
      <c r="S182" s="611">
        <v>446</v>
      </c>
      <c r="T182" s="263"/>
      <c r="U182" s="611">
        <v>411</v>
      </c>
      <c r="V182" s="263"/>
      <c r="W182" s="636">
        <v>345</v>
      </c>
      <c r="X182" s="262"/>
      <c r="Y182" s="611">
        <v>345</v>
      </c>
      <c r="Z182" s="262"/>
      <c r="AA182" s="611">
        <v>372</v>
      </c>
      <c r="AB182" s="262"/>
      <c r="AC182" s="611" t="s">
        <v>67</v>
      </c>
      <c r="AD182" s="262"/>
      <c r="AE182" s="611" t="s">
        <v>67</v>
      </c>
      <c r="AF182" s="637"/>
    </row>
    <row r="183" spans="1:75" s="167" customFormat="1" ht="13.5" customHeight="1" thickBot="1">
      <c r="A183" s="206"/>
      <c r="B183" s="264"/>
      <c r="C183" s="200"/>
      <c r="D183" s="264"/>
      <c r="E183" s="200"/>
      <c r="F183" s="264"/>
      <c r="G183" s="200"/>
      <c r="H183" s="264"/>
      <c r="I183" s="200"/>
      <c r="J183" s="264"/>
      <c r="K183" s="200"/>
      <c r="L183" s="264"/>
      <c r="M183" s="200"/>
      <c r="N183" s="264"/>
      <c r="O183" s="200"/>
      <c r="P183" s="264"/>
      <c r="Q183" s="254"/>
      <c r="R183" s="264"/>
      <c r="S183" s="200"/>
      <c r="T183" s="264"/>
      <c r="U183" s="200"/>
      <c r="V183" s="264"/>
      <c r="W183" s="254"/>
      <c r="X183" s="264"/>
      <c r="Y183" s="200"/>
      <c r="Z183" s="264"/>
      <c r="AA183" s="200"/>
      <c r="AB183" s="264"/>
      <c r="AC183" s="200"/>
      <c r="AD183" s="264"/>
      <c r="AE183" s="200"/>
      <c r="AF183" s="637"/>
    </row>
    <row r="184" spans="1:75" s="167" customFormat="1" ht="13.5" customHeight="1">
      <c r="A184" s="206"/>
      <c r="B184" s="254" t="s">
        <v>357</v>
      </c>
      <c r="C184" s="254"/>
      <c r="D184" s="254" t="s">
        <v>335</v>
      </c>
      <c r="E184" s="254"/>
      <c r="F184" s="254" t="s">
        <v>399</v>
      </c>
      <c r="G184" s="254"/>
      <c r="H184" s="254" t="s">
        <v>350</v>
      </c>
      <c r="I184" s="254"/>
      <c r="J184" s="254" t="s">
        <v>591</v>
      </c>
      <c r="K184" s="254"/>
      <c r="L184" s="254" t="s">
        <v>290</v>
      </c>
      <c r="M184" s="254"/>
      <c r="N184" s="254" t="s">
        <v>318</v>
      </c>
      <c r="O184" s="254"/>
      <c r="P184" s="254" t="s">
        <v>320</v>
      </c>
      <c r="Q184" s="254" t="s">
        <v>67</v>
      </c>
      <c r="R184" s="254" t="s">
        <v>322</v>
      </c>
      <c r="S184" s="254"/>
      <c r="T184" s="254" t="s">
        <v>324</v>
      </c>
      <c r="U184" s="254"/>
      <c r="V184" s="254" t="s">
        <v>350</v>
      </c>
      <c r="W184" s="254"/>
      <c r="X184" s="167" t="s">
        <v>350</v>
      </c>
      <c r="Z184" s="167" t="s">
        <v>326</v>
      </c>
      <c r="AB184" s="167" t="s">
        <v>393</v>
      </c>
      <c r="AD184" s="167" t="s">
        <v>350</v>
      </c>
      <c r="AF184" s="637"/>
      <c r="BV184" s="198"/>
    </row>
    <row r="185" spans="1:75" s="167" customFormat="1" ht="13.5" customHeight="1">
      <c r="A185" s="206"/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  <c r="T185" s="254"/>
      <c r="U185" s="254"/>
      <c r="V185" s="254"/>
      <c r="W185" s="254"/>
      <c r="X185" s="258"/>
      <c r="Y185" s="254"/>
      <c r="Z185" s="254"/>
      <c r="AA185" s="254"/>
      <c r="AB185" s="254"/>
      <c r="AC185" s="254"/>
      <c r="AF185" s="638"/>
      <c r="BW185" s="158"/>
    </row>
    <row r="186" spans="1:75" s="167" customFormat="1" ht="13.5" customHeight="1">
      <c r="A186" s="206"/>
      <c r="Z186" s="254"/>
      <c r="AA186" s="254"/>
      <c r="AB186" s="254"/>
      <c r="AC186" s="254"/>
      <c r="AD186" s="254"/>
      <c r="AE186" s="254"/>
      <c r="AF186" s="604"/>
      <c r="BW186" s="158"/>
    </row>
    <row r="187" spans="1:75" s="167" customFormat="1" ht="13.5" customHeight="1">
      <c r="A187" s="206"/>
      <c r="Z187" s="200"/>
      <c r="AA187" s="254"/>
      <c r="AB187" s="200"/>
      <c r="AC187" s="615"/>
      <c r="AD187" s="200"/>
      <c r="AE187" s="200"/>
      <c r="AF187" s="604"/>
      <c r="BW187" s="158"/>
    </row>
    <row r="188" spans="1:75" s="167" customFormat="1" ht="13.5" customHeight="1">
      <c r="A188" s="206"/>
      <c r="B188" s="254"/>
      <c r="C188" s="254"/>
      <c r="D188" s="254"/>
      <c r="E188" s="254"/>
      <c r="F188" s="254"/>
      <c r="G188" s="254"/>
      <c r="H188" s="254"/>
      <c r="I188" s="254"/>
      <c r="J188" s="254"/>
      <c r="K188" s="254"/>
      <c r="L188" s="254"/>
      <c r="M188" s="254"/>
      <c r="N188" s="254"/>
      <c r="O188" s="254"/>
      <c r="P188" s="254"/>
      <c r="Q188" s="254"/>
      <c r="R188" s="254"/>
      <c r="S188" s="254"/>
      <c r="T188" s="254"/>
      <c r="U188" s="254"/>
      <c r="V188" s="254"/>
      <c r="W188" s="254"/>
      <c r="X188" s="258"/>
      <c r="Y188" s="254"/>
      <c r="Z188" s="254"/>
      <c r="AA188" s="254"/>
      <c r="AB188" s="254"/>
      <c r="AC188" s="254"/>
      <c r="AF188" s="638"/>
      <c r="BW188" s="158"/>
    </row>
    <row r="189" spans="1:75" s="167" customFormat="1" ht="13.5" customHeight="1">
      <c r="A189" s="206"/>
      <c r="B189" s="200">
        <v>211</v>
      </c>
      <c r="C189" s="200"/>
      <c r="D189" s="200">
        <v>212</v>
      </c>
      <c r="E189" s="200"/>
      <c r="F189" s="200">
        <v>213</v>
      </c>
      <c r="G189" s="200"/>
      <c r="H189" s="200">
        <v>214</v>
      </c>
      <c r="I189" s="200"/>
      <c r="J189" s="200">
        <v>215</v>
      </c>
      <c r="K189" s="200" t="s">
        <v>67</v>
      </c>
      <c r="L189" s="200">
        <v>216</v>
      </c>
      <c r="M189" s="200"/>
      <c r="N189" s="200">
        <v>217</v>
      </c>
      <c r="O189" s="200"/>
      <c r="P189" s="200">
        <v>218</v>
      </c>
      <c r="Q189" s="200"/>
      <c r="R189" s="200">
        <v>219</v>
      </c>
      <c r="S189" s="200"/>
      <c r="T189" s="200">
        <v>220</v>
      </c>
      <c r="U189" s="200"/>
      <c r="V189" s="200">
        <v>221</v>
      </c>
      <c r="W189" s="200"/>
      <c r="X189" s="200">
        <v>222</v>
      </c>
      <c r="Y189" s="200"/>
      <c r="Z189" s="200">
        <v>223</v>
      </c>
      <c r="AA189" s="200"/>
      <c r="AB189" s="200">
        <v>224</v>
      </c>
      <c r="AC189" s="200"/>
      <c r="AD189" s="200">
        <v>225</v>
      </c>
      <c r="AE189" s="254"/>
      <c r="AF189" s="638"/>
      <c r="BW189" s="158"/>
    </row>
    <row r="190" spans="1:75" s="167" customFormat="1" ht="13.5" customHeight="1">
      <c r="A190" s="206"/>
      <c r="B190" s="304" t="s">
        <v>1166</v>
      </c>
      <c r="C190" s="254"/>
      <c r="D190" s="304" t="s">
        <v>1167</v>
      </c>
      <c r="E190" s="254"/>
      <c r="F190" s="304" t="s">
        <v>1168</v>
      </c>
      <c r="G190" s="254"/>
      <c r="H190" s="304" t="s">
        <v>1169</v>
      </c>
      <c r="I190" s="254"/>
      <c r="J190" s="304" t="s">
        <v>1170</v>
      </c>
      <c r="K190" s="254"/>
      <c r="L190" s="304" t="s">
        <v>1171</v>
      </c>
      <c r="M190" s="254"/>
      <c r="N190" s="304" t="s">
        <v>1172</v>
      </c>
      <c r="O190" s="254"/>
      <c r="P190" s="304" t="s">
        <v>1047</v>
      </c>
      <c r="Q190" s="254"/>
      <c r="R190" s="304" t="s">
        <v>1048</v>
      </c>
      <c r="S190" s="254"/>
      <c r="T190" s="304" t="s">
        <v>1173</v>
      </c>
      <c r="U190" s="254"/>
      <c r="V190" s="304" t="s">
        <v>1174</v>
      </c>
      <c r="W190" s="254"/>
      <c r="X190" s="304" t="s">
        <v>1175</v>
      </c>
      <c r="Y190" s="200"/>
      <c r="Z190" s="304" t="s">
        <v>625</v>
      </c>
      <c r="AA190" s="200"/>
      <c r="AB190" s="304" t="s">
        <v>464</v>
      </c>
      <c r="AC190" s="200"/>
      <c r="AD190" s="304" t="s">
        <v>412</v>
      </c>
      <c r="AE190" s="200"/>
      <c r="AF190" s="637"/>
      <c r="BW190" s="158"/>
    </row>
    <row r="191" spans="1:75" s="167" customFormat="1" ht="13.5" customHeight="1">
      <c r="A191" s="206"/>
      <c r="Z191" s="200"/>
      <c r="AA191" s="200"/>
      <c r="AB191" s="200"/>
      <c r="AC191" s="200"/>
      <c r="AD191" s="200"/>
      <c r="AE191" s="200"/>
      <c r="AF191" s="604"/>
      <c r="BW191" s="158"/>
    </row>
    <row r="192" spans="1:75" s="167" customFormat="1" ht="13.5" customHeight="1">
      <c r="A192" s="206"/>
      <c r="B192" s="254"/>
      <c r="C192" s="254"/>
      <c r="D192" s="254"/>
      <c r="E192" s="254"/>
      <c r="F192" s="254"/>
      <c r="G192" s="254"/>
      <c r="H192" s="254"/>
      <c r="I192" s="254"/>
      <c r="J192" s="254"/>
      <c r="K192" s="254"/>
      <c r="L192" s="254"/>
      <c r="M192" s="200"/>
      <c r="N192" s="254"/>
      <c r="O192" s="254"/>
      <c r="P192" s="254"/>
      <c r="Q192" s="200"/>
      <c r="R192" s="254"/>
      <c r="S192" s="254"/>
      <c r="T192" s="254"/>
      <c r="U192" s="254"/>
      <c r="V192" s="254"/>
      <c r="W192" s="254"/>
      <c r="X192" s="254"/>
      <c r="Y192" s="254"/>
      <c r="Z192" s="254"/>
      <c r="AA192" s="254"/>
      <c r="AB192" s="254"/>
      <c r="AC192" s="254"/>
      <c r="AD192" s="254"/>
      <c r="AE192" s="254"/>
      <c r="AF192" s="604"/>
      <c r="BW192" s="158"/>
    </row>
    <row r="193" spans="1:75" s="167" customFormat="1" ht="13.5" customHeight="1" thickBot="1">
      <c r="A193" s="206"/>
      <c r="B193" s="254"/>
      <c r="C193" s="254"/>
      <c r="D193" s="254"/>
      <c r="E193" s="254"/>
      <c r="F193" s="254"/>
      <c r="G193" s="254"/>
      <c r="H193" s="254"/>
      <c r="I193" s="254"/>
      <c r="J193" s="254"/>
      <c r="K193" s="254"/>
      <c r="L193" s="254"/>
      <c r="M193" s="200"/>
      <c r="N193" s="254"/>
      <c r="O193" s="254"/>
      <c r="P193" s="254"/>
      <c r="Q193" s="200"/>
      <c r="R193" s="254"/>
      <c r="S193" s="254"/>
      <c r="T193" s="254"/>
      <c r="U193" s="254"/>
      <c r="V193" s="254"/>
      <c r="W193" s="254"/>
      <c r="X193" s="254"/>
      <c r="Y193" s="254"/>
      <c r="Z193" s="254"/>
      <c r="AA193" s="254"/>
      <c r="AB193" s="254"/>
      <c r="AC193" s="254"/>
      <c r="AD193" s="254"/>
      <c r="AE193" s="254"/>
      <c r="AF193" s="604"/>
      <c r="BW193" s="158"/>
    </row>
    <row r="194" spans="1:75" s="167" customFormat="1" ht="13.5" customHeight="1">
      <c r="A194" s="206"/>
      <c r="B194" s="183"/>
      <c r="C194" s="621"/>
      <c r="D194" s="183"/>
      <c r="E194" s="621"/>
      <c r="F194" s="261"/>
      <c r="G194" s="621"/>
      <c r="H194" s="183"/>
      <c r="I194" s="621"/>
      <c r="J194" s="183"/>
      <c r="K194" s="621"/>
      <c r="L194" s="183"/>
      <c r="M194" s="621"/>
      <c r="N194" s="183"/>
      <c r="O194" s="621"/>
      <c r="P194" s="183"/>
      <c r="Q194" s="621"/>
      <c r="R194" s="183"/>
      <c r="S194" s="621"/>
      <c r="T194" s="183"/>
      <c r="U194" s="621"/>
      <c r="V194" s="183"/>
      <c r="W194" s="621"/>
      <c r="X194" s="183"/>
      <c r="Y194" s="621"/>
      <c r="Z194" s="183"/>
      <c r="AA194" s="621"/>
      <c r="AB194" s="183"/>
      <c r="AC194" s="621"/>
      <c r="AD194" s="183"/>
      <c r="AE194" s="609"/>
      <c r="AF194" s="604"/>
      <c r="BW194" s="158"/>
    </row>
    <row r="195" spans="1:75" s="167" customFormat="1" ht="13.5" customHeight="1">
      <c r="A195" s="206"/>
      <c r="B195" s="201" t="s">
        <v>67</v>
      </c>
      <c r="C195" s="622">
        <v>244</v>
      </c>
      <c r="D195" s="201" t="s">
        <v>550</v>
      </c>
      <c r="E195" s="622">
        <v>390</v>
      </c>
      <c r="F195" s="262"/>
      <c r="G195" s="622">
        <v>377</v>
      </c>
      <c r="H195" s="186"/>
      <c r="I195" s="622">
        <v>382</v>
      </c>
      <c r="J195" s="186"/>
      <c r="K195" s="622">
        <v>390</v>
      </c>
      <c r="L195" s="186"/>
      <c r="M195" s="622">
        <v>364</v>
      </c>
      <c r="N195" s="186"/>
      <c r="O195" s="622">
        <v>390</v>
      </c>
      <c r="P195" s="186"/>
      <c r="Q195" s="622">
        <v>395</v>
      </c>
      <c r="R195" s="186" t="s">
        <v>550</v>
      </c>
      <c r="S195" s="622">
        <v>413</v>
      </c>
      <c r="T195" s="186"/>
      <c r="U195" s="622">
        <v>422</v>
      </c>
      <c r="V195" s="186"/>
      <c r="W195" s="622">
        <v>306</v>
      </c>
      <c r="X195" s="186"/>
      <c r="Y195" s="622">
        <v>357</v>
      </c>
      <c r="Z195" s="186"/>
      <c r="AA195" s="622">
        <v>390</v>
      </c>
      <c r="AB195" s="186"/>
      <c r="AC195" s="622">
        <v>430</v>
      </c>
      <c r="AD195" s="186"/>
      <c r="AE195" s="611">
        <v>399</v>
      </c>
      <c r="AF195" s="604"/>
      <c r="BW195" s="158"/>
    </row>
    <row r="196" spans="1:75" s="167" customFormat="1" ht="13.5" customHeight="1" thickBot="1">
      <c r="A196" s="206"/>
      <c r="B196" s="188"/>
      <c r="C196" s="166"/>
      <c r="D196" s="188"/>
      <c r="E196" s="166"/>
      <c r="F196" s="264"/>
      <c r="G196" s="166"/>
      <c r="H196" s="188"/>
      <c r="I196" s="166"/>
      <c r="J196" s="188"/>
      <c r="K196" s="166"/>
      <c r="L196" s="188"/>
      <c r="M196" s="166"/>
      <c r="N196" s="188"/>
      <c r="O196" s="166"/>
      <c r="P196" s="188"/>
      <c r="Q196" s="166"/>
      <c r="R196" s="188"/>
      <c r="S196" s="166"/>
      <c r="T196" s="188"/>
      <c r="U196" s="166"/>
      <c r="V196" s="188"/>
      <c r="W196" s="166"/>
      <c r="X196" s="188"/>
      <c r="Y196" s="166"/>
      <c r="Z196" s="188"/>
      <c r="AA196" s="166"/>
      <c r="AB196" s="188"/>
      <c r="AC196" s="166"/>
      <c r="AD196" s="188"/>
      <c r="AE196" s="200"/>
      <c r="AF196" s="604"/>
      <c r="BW196" s="158"/>
    </row>
    <row r="197" spans="1:75" s="167" customFormat="1" ht="13.5" customHeight="1">
      <c r="A197" s="206"/>
      <c r="B197" s="258" t="s">
        <v>350</v>
      </c>
      <c r="C197" s="254"/>
      <c r="D197" s="258" t="s">
        <v>350</v>
      </c>
      <c r="E197" s="254"/>
      <c r="F197" s="254" t="s">
        <v>350</v>
      </c>
      <c r="G197" s="254"/>
      <c r="H197" s="254" t="s">
        <v>396</v>
      </c>
      <c r="I197" s="254"/>
      <c r="J197" s="254" t="s">
        <v>335</v>
      </c>
      <c r="K197" s="254"/>
      <c r="L197" s="254" t="s">
        <v>396</v>
      </c>
      <c r="M197" s="254"/>
      <c r="N197" s="258" t="s">
        <v>396</v>
      </c>
      <c r="O197" s="254"/>
      <c r="P197" s="254" t="s">
        <v>396</v>
      </c>
      <c r="Q197" s="254"/>
      <c r="R197" s="258" t="s">
        <v>396</v>
      </c>
      <c r="S197" s="254"/>
      <c r="T197" s="254" t="s">
        <v>350</v>
      </c>
      <c r="U197" s="254"/>
      <c r="V197" s="254" t="s">
        <v>350</v>
      </c>
      <c r="W197" s="254"/>
      <c r="X197" s="254" t="s">
        <v>561</v>
      </c>
      <c r="Y197" s="254"/>
      <c r="Z197" s="254" t="s">
        <v>902</v>
      </c>
      <c r="AA197" s="254"/>
      <c r="AB197" s="254" t="s">
        <v>330</v>
      </c>
      <c r="AC197" s="254"/>
      <c r="AD197" s="254" t="s">
        <v>350</v>
      </c>
      <c r="AE197" s="254"/>
      <c r="AF197" s="604"/>
      <c r="BW197" s="158"/>
    </row>
    <row r="198" spans="1:75" ht="13.5" customHeight="1">
      <c r="A198" s="639"/>
      <c r="AF198" s="640"/>
    </row>
    <row r="199" spans="1:75" ht="13.5" customHeight="1">
      <c r="A199" s="639"/>
      <c r="AF199" s="640"/>
    </row>
    <row r="200" spans="1:75" s="167" customFormat="1" ht="13.5" customHeight="1">
      <c r="A200" s="206"/>
      <c r="AF200" s="637"/>
      <c r="BW200" s="158"/>
    </row>
    <row r="201" spans="1:75" ht="13.5" customHeight="1">
      <c r="A201" s="206"/>
      <c r="AF201" s="640"/>
    </row>
    <row r="202" spans="1:75" ht="13.5" customHeight="1">
      <c r="A202" s="206"/>
      <c r="B202" s="200">
        <v>226</v>
      </c>
      <c r="C202" s="200"/>
      <c r="D202" s="200">
        <v>227</v>
      </c>
      <c r="E202" s="200"/>
      <c r="F202" s="200">
        <v>228</v>
      </c>
      <c r="G202" s="200"/>
      <c r="H202" s="200">
        <v>229</v>
      </c>
      <c r="I202" s="200"/>
      <c r="J202" s="200">
        <v>230</v>
      </c>
      <c r="K202" s="200"/>
      <c r="L202" s="200">
        <v>231</v>
      </c>
      <c r="M202" s="200"/>
      <c r="N202" s="200">
        <v>232</v>
      </c>
      <c r="O202" s="200"/>
      <c r="P202" s="200">
        <v>233</v>
      </c>
      <c r="Q202" s="200"/>
      <c r="R202" s="200">
        <v>234</v>
      </c>
      <c r="S202" s="200"/>
      <c r="T202" s="200">
        <v>235</v>
      </c>
      <c r="U202" s="200"/>
      <c r="V202" s="200">
        <v>236</v>
      </c>
      <c r="W202" s="200"/>
      <c r="X202" s="254">
        <v>237</v>
      </c>
      <c r="Y202" s="254"/>
      <c r="AF202" s="640"/>
    </row>
    <row r="203" spans="1:75" ht="13.5" customHeight="1">
      <c r="A203" s="206"/>
      <c r="B203" s="304" t="s">
        <v>626</v>
      </c>
      <c r="C203" s="254"/>
      <c r="D203" s="304" t="s">
        <v>627</v>
      </c>
      <c r="E203" s="254"/>
      <c r="F203" s="304" t="s">
        <v>628</v>
      </c>
      <c r="G203" s="254"/>
      <c r="H203" s="304" t="s">
        <v>629</v>
      </c>
      <c r="I203" s="254"/>
      <c r="J203" s="304" t="s">
        <v>630</v>
      </c>
      <c r="K203" s="254"/>
      <c r="L203" s="304" t="s">
        <v>631</v>
      </c>
      <c r="M203" s="254"/>
      <c r="N203" s="304" t="s">
        <v>632</v>
      </c>
      <c r="O203" s="254"/>
      <c r="P203" s="304" t="s">
        <v>633</v>
      </c>
      <c r="Q203" s="254"/>
      <c r="R203" s="304" t="s">
        <v>634</v>
      </c>
      <c r="S203" s="254"/>
      <c r="T203" s="304" t="s">
        <v>635</v>
      </c>
      <c r="U203" s="254"/>
      <c r="V203" s="304" t="s">
        <v>636</v>
      </c>
      <c r="W203" s="254"/>
      <c r="X203" s="304" t="s">
        <v>637</v>
      </c>
      <c r="Y203" s="200"/>
      <c r="AF203" s="640"/>
    </row>
    <row r="204" spans="1:75" ht="13.5" customHeight="1">
      <c r="A204" s="206"/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AF204" s="640"/>
    </row>
    <row r="205" spans="1:75" ht="13.5" customHeight="1">
      <c r="A205" s="206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4"/>
      <c r="R205" s="254"/>
      <c r="S205" s="200"/>
      <c r="T205" s="254"/>
      <c r="U205" s="254"/>
      <c r="V205" s="254"/>
      <c r="W205" s="254"/>
      <c r="X205" s="254"/>
      <c r="Y205" s="200"/>
      <c r="AF205" s="640"/>
    </row>
    <row r="206" spans="1:75" ht="13.5" customHeight="1" thickBot="1">
      <c r="A206" s="206"/>
      <c r="B206" s="254"/>
      <c r="C206" s="254"/>
      <c r="D206" s="254"/>
      <c r="E206" s="254"/>
      <c r="F206" s="254"/>
      <c r="G206" s="254"/>
      <c r="H206" s="254"/>
      <c r="I206" s="254"/>
      <c r="J206" s="254"/>
      <c r="K206" s="254"/>
      <c r="L206" s="254"/>
      <c r="M206" s="254"/>
      <c r="N206" s="254"/>
      <c r="O206" s="254"/>
      <c r="P206" s="254"/>
      <c r="Q206" s="254"/>
      <c r="R206" s="254"/>
      <c r="S206" s="200"/>
      <c r="T206" s="254"/>
      <c r="U206" s="254"/>
      <c r="V206" s="254"/>
      <c r="W206" s="254"/>
      <c r="X206" s="254"/>
      <c r="Y206" s="200"/>
      <c r="AF206" s="640"/>
    </row>
    <row r="207" spans="1:75" ht="13.5" customHeight="1">
      <c r="A207" s="206"/>
      <c r="B207" s="261"/>
      <c r="C207" s="609"/>
      <c r="D207" s="261"/>
      <c r="E207" s="609"/>
      <c r="F207" s="261"/>
      <c r="G207" s="609"/>
      <c r="H207" s="261"/>
      <c r="I207" s="609"/>
      <c r="J207" s="261"/>
      <c r="K207" s="609"/>
      <c r="L207" s="261"/>
      <c r="M207" s="609"/>
      <c r="N207" s="261"/>
      <c r="O207" s="609"/>
      <c r="P207" s="261"/>
      <c r="Q207" s="609"/>
      <c r="R207" s="261"/>
      <c r="S207" s="609"/>
      <c r="T207" s="261"/>
      <c r="U207" s="609"/>
      <c r="V207" s="261"/>
      <c r="W207" s="609"/>
      <c r="X207" s="261"/>
      <c r="Y207" s="609"/>
      <c r="AF207" s="640"/>
    </row>
    <row r="208" spans="1:75" ht="13.5" customHeight="1">
      <c r="A208" s="624"/>
      <c r="B208" s="263"/>
      <c r="C208" s="611">
        <v>408</v>
      </c>
      <c r="D208" s="263" t="s">
        <v>550</v>
      </c>
      <c r="E208" s="611">
        <v>407</v>
      </c>
      <c r="F208" s="263" t="s">
        <v>550</v>
      </c>
      <c r="G208" s="611">
        <v>434</v>
      </c>
      <c r="H208" s="263"/>
      <c r="I208" s="611">
        <v>401</v>
      </c>
      <c r="J208" s="263"/>
      <c r="K208" s="611">
        <v>296</v>
      </c>
      <c r="L208" s="263"/>
      <c r="M208" s="611">
        <v>677</v>
      </c>
      <c r="N208" s="263"/>
      <c r="O208" s="611">
        <v>642</v>
      </c>
      <c r="P208" s="263"/>
      <c r="Q208" s="636">
        <v>414</v>
      </c>
      <c r="R208" s="263"/>
      <c r="S208" s="611">
        <v>446</v>
      </c>
      <c r="T208" s="263"/>
      <c r="U208" s="611">
        <v>411</v>
      </c>
      <c r="V208" s="263"/>
      <c r="W208" s="636">
        <v>345</v>
      </c>
      <c r="X208" s="262"/>
      <c r="Y208" s="611">
        <v>345</v>
      </c>
      <c r="AF208" s="640"/>
    </row>
    <row r="209" spans="1:75" ht="13.5" customHeight="1" thickBot="1">
      <c r="A209" s="624"/>
      <c r="B209" s="264"/>
      <c r="C209" s="200"/>
      <c r="D209" s="264"/>
      <c r="E209" s="200"/>
      <c r="F209" s="264"/>
      <c r="G209" s="200"/>
      <c r="H209" s="264"/>
      <c r="I209" s="200"/>
      <c r="J209" s="264"/>
      <c r="K209" s="200"/>
      <c r="L209" s="264"/>
      <c r="M209" s="200"/>
      <c r="N209" s="264"/>
      <c r="O209" s="200"/>
      <c r="P209" s="264"/>
      <c r="Q209" s="254"/>
      <c r="R209" s="264"/>
      <c r="S209" s="200"/>
      <c r="T209" s="264"/>
      <c r="U209" s="200"/>
      <c r="V209" s="264"/>
      <c r="W209" s="254"/>
      <c r="X209" s="264"/>
      <c r="Y209" s="200"/>
      <c r="AF209" s="640"/>
      <c r="BM209" s="523">
        <f>1</f>
        <v>1</v>
      </c>
    </row>
    <row r="210" spans="1:75" ht="13.5" customHeight="1">
      <c r="A210" s="624"/>
      <c r="B210" s="254" t="s">
        <v>350</v>
      </c>
      <c r="C210" s="254"/>
      <c r="D210" s="254" t="s">
        <v>350</v>
      </c>
      <c r="E210" s="254"/>
      <c r="F210" s="254" t="s">
        <v>350</v>
      </c>
      <c r="G210" s="254"/>
      <c r="H210" s="254" t="s">
        <v>335</v>
      </c>
      <c r="I210" s="254"/>
      <c r="J210" s="254" t="s">
        <v>350</v>
      </c>
      <c r="K210" s="254"/>
      <c r="L210" s="254" t="s">
        <v>300</v>
      </c>
      <c r="M210" s="254"/>
      <c r="N210" s="254" t="s">
        <v>357</v>
      </c>
      <c r="O210" s="254"/>
      <c r="P210" s="254" t="s">
        <v>350</v>
      </c>
      <c r="Q210" s="254" t="s">
        <v>67</v>
      </c>
      <c r="R210" s="254" t="s">
        <v>350</v>
      </c>
      <c r="S210" s="254"/>
      <c r="T210" s="254" t="s">
        <v>350</v>
      </c>
      <c r="U210" s="254"/>
      <c r="V210" s="254" t="s">
        <v>357</v>
      </c>
      <c r="W210" s="254"/>
      <c r="X210" s="167" t="s">
        <v>357</v>
      </c>
      <c r="Y210" s="167"/>
      <c r="AF210" s="640"/>
    </row>
    <row r="211" spans="1:75" ht="13.5" customHeight="1">
      <c r="A211" s="206"/>
      <c r="B211" s="254"/>
      <c r="C211" s="254"/>
      <c r="D211" s="254"/>
      <c r="E211" s="254"/>
      <c r="F211" s="254"/>
      <c r="G211" s="254"/>
      <c r="H211" s="254"/>
      <c r="I211" s="254"/>
      <c r="J211" s="254"/>
      <c r="K211" s="254"/>
      <c r="L211" s="254"/>
      <c r="M211" s="254"/>
      <c r="N211" s="254"/>
      <c r="O211" s="254"/>
      <c r="P211" s="254"/>
      <c r="Q211" s="254"/>
      <c r="R211" s="254"/>
      <c r="S211" s="254"/>
      <c r="T211" s="254"/>
      <c r="U211" s="254"/>
      <c r="V211" s="254"/>
      <c r="W211" s="254"/>
      <c r="X211" s="258"/>
      <c r="Y211" s="254"/>
      <c r="AF211" s="640"/>
    </row>
    <row r="212" spans="1:75" ht="13.5" customHeight="1">
      <c r="A212" s="206"/>
      <c r="B212" s="167"/>
      <c r="C212" s="167"/>
      <c r="D212" s="167"/>
      <c r="E212" s="167"/>
      <c r="F212" s="167"/>
      <c r="G212" s="167"/>
      <c r="H212" s="167"/>
      <c r="I212" s="167"/>
      <c r="J212" s="167"/>
      <c r="K212" s="167"/>
      <c r="L212" s="167"/>
      <c r="M212" s="167"/>
      <c r="N212" s="167"/>
      <c r="O212" s="167"/>
      <c r="P212" s="167"/>
      <c r="Q212" s="167"/>
      <c r="R212" s="167"/>
      <c r="S212" s="167"/>
      <c r="T212" s="167"/>
      <c r="U212" s="167"/>
      <c r="V212" s="167"/>
      <c r="W212" s="167"/>
      <c r="X212" s="167"/>
      <c r="Y212" s="167"/>
      <c r="Z212" s="254"/>
      <c r="AA212" s="254"/>
      <c r="AB212" s="254"/>
      <c r="AC212" s="254"/>
      <c r="AD212" s="254"/>
      <c r="AE212" s="254"/>
      <c r="AF212" s="604"/>
    </row>
    <row r="213" spans="1:75" ht="13.5" customHeight="1">
      <c r="A213" s="206"/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604"/>
    </row>
    <row r="214" spans="1:75" ht="13.5" customHeight="1">
      <c r="A214" s="206"/>
      <c r="B214" s="254">
        <v>238</v>
      </c>
      <c r="C214" s="254"/>
      <c r="D214" s="254">
        <v>239</v>
      </c>
      <c r="E214" s="254"/>
      <c r="F214" s="254">
        <v>240</v>
      </c>
      <c r="G214" s="254"/>
      <c r="H214" s="254">
        <v>241</v>
      </c>
      <c r="I214" s="254"/>
      <c r="J214" s="254">
        <v>242</v>
      </c>
      <c r="K214" s="254"/>
      <c r="L214" s="254">
        <v>243</v>
      </c>
      <c r="M214" s="254"/>
      <c r="N214" s="254">
        <v>244</v>
      </c>
      <c r="O214" s="254"/>
      <c r="P214" s="254">
        <v>245</v>
      </c>
      <c r="Q214" s="254"/>
      <c r="R214" s="254">
        <v>246</v>
      </c>
      <c r="S214" s="254"/>
      <c r="T214" s="254">
        <v>247</v>
      </c>
      <c r="U214" s="254"/>
      <c r="V214" s="254">
        <v>248</v>
      </c>
      <c r="W214" s="254"/>
      <c r="X214" s="254">
        <v>249</v>
      </c>
      <c r="Y214" s="254"/>
      <c r="Z214" s="254">
        <v>250</v>
      </c>
      <c r="AA214" s="254"/>
      <c r="AB214" s="254">
        <v>251</v>
      </c>
      <c r="AC214" s="254"/>
      <c r="AD214" s="254">
        <v>252</v>
      </c>
      <c r="AE214" s="254"/>
      <c r="AF214" s="638"/>
    </row>
    <row r="215" spans="1:75" s="167" customFormat="1" ht="13.5" customHeight="1">
      <c r="A215" s="206"/>
      <c r="B215" s="304" t="s">
        <v>638</v>
      </c>
      <c r="C215" s="254"/>
      <c r="D215" s="304" t="s">
        <v>639</v>
      </c>
      <c r="E215" s="254"/>
      <c r="F215" s="304" t="s">
        <v>640</v>
      </c>
      <c r="G215" s="254"/>
      <c r="H215" s="304" t="s">
        <v>641</v>
      </c>
      <c r="I215" s="254"/>
      <c r="J215" s="304" t="s">
        <v>642</v>
      </c>
      <c r="K215" s="254"/>
      <c r="L215" s="304" t="s">
        <v>643</v>
      </c>
      <c r="M215" s="254"/>
      <c r="N215" s="304" t="s">
        <v>644</v>
      </c>
      <c r="O215" s="254"/>
      <c r="P215" s="304" t="s">
        <v>645</v>
      </c>
      <c r="Q215" s="254"/>
      <c r="R215" s="304" t="s">
        <v>646</v>
      </c>
      <c r="S215" s="254"/>
      <c r="T215" s="304" t="s">
        <v>148</v>
      </c>
      <c r="U215" s="254"/>
      <c r="V215" s="304" t="s">
        <v>647</v>
      </c>
      <c r="W215" s="254"/>
      <c r="X215" s="304" t="s">
        <v>648</v>
      </c>
      <c r="Y215" s="200"/>
      <c r="Z215" s="304" t="s">
        <v>649</v>
      </c>
      <c r="AA215" s="200"/>
      <c r="AB215" s="304" t="s">
        <v>650</v>
      </c>
      <c r="AC215" s="200"/>
      <c r="AD215" s="304" t="s">
        <v>651</v>
      </c>
      <c r="AE215" s="200"/>
      <c r="AF215" s="637"/>
      <c r="BW215" s="158"/>
    </row>
    <row r="216" spans="1:75" ht="13.5" customHeight="1">
      <c r="A216" s="206"/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604"/>
    </row>
    <row r="217" spans="1:75" ht="13.5" customHeight="1">
      <c r="A217" s="206"/>
      <c r="B217" s="254"/>
      <c r="C217" s="200"/>
      <c r="D217" s="254"/>
      <c r="E217" s="254"/>
      <c r="F217" s="254"/>
      <c r="G217" s="200"/>
      <c r="H217" s="254"/>
      <c r="I217" s="254"/>
      <c r="J217" s="254"/>
      <c r="K217" s="254"/>
      <c r="L217" s="254"/>
      <c r="M217" s="254"/>
      <c r="N217" s="254"/>
      <c r="O217" s="254"/>
      <c r="P217" s="254"/>
      <c r="Q217" s="254"/>
      <c r="R217" s="254"/>
      <c r="S217" s="254"/>
      <c r="T217" s="254"/>
      <c r="U217" s="254"/>
      <c r="V217" s="254"/>
      <c r="W217" s="200"/>
      <c r="X217" s="254"/>
      <c r="Y217" s="254"/>
      <c r="Z217" s="254"/>
      <c r="AA217" s="200"/>
      <c r="AB217" s="254"/>
      <c r="AC217" s="254"/>
      <c r="AD217" s="254"/>
      <c r="AE217" s="254"/>
      <c r="AF217" s="604"/>
    </row>
    <row r="218" spans="1:75" ht="13.5" customHeight="1" thickBot="1">
      <c r="A218" s="206"/>
      <c r="B218" s="254"/>
      <c r="C218" s="200"/>
      <c r="D218" s="254"/>
      <c r="E218" s="254"/>
      <c r="F218" s="254"/>
      <c r="G218" s="200"/>
      <c r="H218" s="254"/>
      <c r="I218" s="254"/>
      <c r="J218" s="254"/>
      <c r="K218" s="254"/>
      <c r="L218" s="254"/>
      <c r="M218" s="254"/>
      <c r="N218" s="254"/>
      <c r="O218" s="254"/>
      <c r="P218" s="254"/>
      <c r="Q218" s="254"/>
      <c r="R218" s="254"/>
      <c r="S218" s="254"/>
      <c r="T218" s="254"/>
      <c r="U218" s="254"/>
      <c r="V218" s="254"/>
      <c r="W218" s="200"/>
      <c r="X218" s="254"/>
      <c r="Y218" s="254"/>
      <c r="Z218" s="254"/>
      <c r="AA218" s="200"/>
      <c r="AB218" s="254"/>
      <c r="AC218" s="254"/>
      <c r="AD218" s="254"/>
      <c r="AE218" s="254"/>
      <c r="AF218" s="604"/>
    </row>
    <row r="219" spans="1:75" ht="13.5" customHeight="1">
      <c r="A219" s="206"/>
      <c r="B219" s="261"/>
      <c r="C219" s="609"/>
      <c r="D219" s="261"/>
      <c r="E219" s="609"/>
      <c r="F219" s="261"/>
      <c r="G219" s="609"/>
      <c r="H219" s="261"/>
      <c r="I219" s="609"/>
      <c r="J219" s="261"/>
      <c r="K219" s="609"/>
      <c r="L219" s="261"/>
      <c r="M219" s="609"/>
      <c r="N219" s="261"/>
      <c r="O219" s="609"/>
      <c r="P219" s="261"/>
      <c r="Q219" s="609"/>
      <c r="R219" s="261"/>
      <c r="S219" s="609"/>
      <c r="T219" s="261"/>
      <c r="U219" s="609"/>
      <c r="V219" s="261"/>
      <c r="W219" s="609"/>
      <c r="X219" s="261"/>
      <c r="Y219" s="609"/>
      <c r="Z219" s="261"/>
      <c r="AA219" s="609"/>
      <c r="AB219" s="261"/>
      <c r="AC219" s="609"/>
      <c r="AD219" s="261"/>
      <c r="AE219" s="609"/>
      <c r="AF219" s="610"/>
      <c r="BV219" s="524">
        <v>0</v>
      </c>
      <c r="BW219" s="524">
        <v>0</v>
      </c>
    </row>
    <row r="220" spans="1:75" ht="13.5" customHeight="1">
      <c r="A220" s="206"/>
      <c r="B220" s="262"/>
      <c r="C220" s="611">
        <v>414</v>
      </c>
      <c r="D220" s="263"/>
      <c r="E220" s="611">
        <v>421</v>
      </c>
      <c r="F220" s="263"/>
      <c r="G220" s="611">
        <v>356</v>
      </c>
      <c r="H220" s="263"/>
      <c r="I220" s="611">
        <v>243</v>
      </c>
      <c r="J220" s="263" t="s">
        <v>550</v>
      </c>
      <c r="K220" s="611">
        <v>372</v>
      </c>
      <c r="L220" s="263"/>
      <c r="M220" s="611">
        <v>398</v>
      </c>
      <c r="N220" s="263"/>
      <c r="O220" s="611">
        <v>346</v>
      </c>
      <c r="P220" s="263"/>
      <c r="Q220" s="611">
        <v>405</v>
      </c>
      <c r="R220" s="263"/>
      <c r="S220" s="611">
        <v>417</v>
      </c>
      <c r="T220" s="263"/>
      <c r="U220" s="611">
        <v>402</v>
      </c>
      <c r="V220" s="263"/>
      <c r="W220" s="611">
        <v>415</v>
      </c>
      <c r="X220" s="263"/>
      <c r="Y220" s="611">
        <v>352</v>
      </c>
      <c r="Z220" s="263"/>
      <c r="AA220" s="611">
        <v>397</v>
      </c>
      <c r="AB220" s="263"/>
      <c r="AC220" s="611">
        <v>377</v>
      </c>
      <c r="AD220" s="263"/>
      <c r="AE220" s="611">
        <v>438</v>
      </c>
      <c r="AF220" s="604"/>
      <c r="BV220" s="198"/>
    </row>
    <row r="221" spans="1:75" ht="13.5" customHeight="1" thickBot="1">
      <c r="A221" s="206"/>
      <c r="B221" s="264"/>
      <c r="C221" s="200"/>
      <c r="D221" s="264"/>
      <c r="E221" s="200"/>
      <c r="F221" s="264"/>
      <c r="G221" s="200"/>
      <c r="H221" s="264"/>
      <c r="I221" s="200"/>
      <c r="J221" s="264"/>
      <c r="K221" s="200"/>
      <c r="L221" s="264"/>
      <c r="M221" s="200"/>
      <c r="N221" s="264"/>
      <c r="O221" s="200"/>
      <c r="P221" s="264"/>
      <c r="Q221" s="200"/>
      <c r="R221" s="264"/>
      <c r="S221" s="200"/>
      <c r="T221" s="264"/>
      <c r="U221" s="200"/>
      <c r="V221" s="264"/>
      <c r="W221" s="200"/>
      <c r="X221" s="264"/>
      <c r="Y221" s="200"/>
      <c r="Z221" s="264"/>
      <c r="AA221" s="200"/>
      <c r="AB221" s="264"/>
      <c r="AC221" s="200"/>
      <c r="AD221" s="264"/>
      <c r="AE221" s="200"/>
      <c r="AF221" s="604"/>
    </row>
    <row r="222" spans="1:75" ht="13.5" customHeight="1">
      <c r="A222" s="206"/>
      <c r="B222" s="258" t="s">
        <v>373</v>
      </c>
      <c r="C222" s="254"/>
      <c r="D222" s="254" t="s">
        <v>357</v>
      </c>
      <c r="E222" s="254"/>
      <c r="F222" s="254" t="s">
        <v>350</v>
      </c>
      <c r="G222" s="254"/>
      <c r="H222" s="258" t="s">
        <v>330</v>
      </c>
      <c r="I222" s="254"/>
      <c r="J222" s="258" t="s">
        <v>302</v>
      </c>
      <c r="K222" s="254"/>
      <c r="L222" s="254" t="s">
        <v>350</v>
      </c>
      <c r="M222" s="254"/>
      <c r="N222" s="254" t="s">
        <v>357</v>
      </c>
      <c r="O222" s="254"/>
      <c r="P222" s="254" t="s">
        <v>350</v>
      </c>
      <c r="Q222" s="254"/>
      <c r="R222" s="254" t="s">
        <v>357</v>
      </c>
      <c r="S222" s="254"/>
      <c r="T222" s="258" t="s">
        <v>330</v>
      </c>
      <c r="U222" s="254"/>
      <c r="V222" s="254" t="s">
        <v>357</v>
      </c>
      <c r="W222" s="254"/>
      <c r="X222" s="254" t="s">
        <v>350</v>
      </c>
      <c r="Y222" s="254"/>
      <c r="Z222" s="254" t="s">
        <v>350</v>
      </c>
      <c r="AA222" s="254"/>
      <c r="AB222" s="254" t="s">
        <v>350</v>
      </c>
      <c r="AC222" s="254"/>
      <c r="AD222" s="254" t="s">
        <v>350</v>
      </c>
      <c r="AE222" s="254"/>
      <c r="AF222" s="604"/>
    </row>
    <row r="223" spans="1:75" ht="13.5" customHeight="1">
      <c r="A223" s="206"/>
      <c r="B223" s="200"/>
      <c r="C223" s="254"/>
      <c r="D223" s="200"/>
      <c r="E223" s="254"/>
      <c r="F223" s="200"/>
      <c r="G223" s="200"/>
      <c r="H223" s="200"/>
      <c r="I223" s="200"/>
      <c r="J223" s="200"/>
      <c r="K223" s="254"/>
      <c r="L223" s="200"/>
      <c r="M223" s="254"/>
      <c r="N223" s="200"/>
      <c r="O223" s="254"/>
      <c r="P223" s="200"/>
      <c r="Q223" s="254"/>
      <c r="R223" s="200"/>
      <c r="S223" s="254"/>
      <c r="T223" s="200"/>
      <c r="U223" s="254"/>
      <c r="V223" s="200"/>
      <c r="W223" s="254"/>
      <c r="X223" s="200"/>
      <c r="Y223" s="254"/>
      <c r="Z223" s="200"/>
      <c r="AA223" s="254"/>
      <c r="AB223" s="200"/>
      <c r="AC223" s="615"/>
      <c r="AD223" s="200"/>
      <c r="AE223" s="200"/>
      <c r="AF223" s="604"/>
    </row>
    <row r="224" spans="1:75" ht="13.5" customHeight="1">
      <c r="A224" s="206"/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604"/>
    </row>
    <row r="225" spans="1:75" ht="13.5" customHeight="1">
      <c r="A225" s="206"/>
      <c r="B225" s="254">
        <v>253</v>
      </c>
      <c r="C225" s="641"/>
      <c r="D225" s="254">
        <v>254</v>
      </c>
      <c r="E225" s="254"/>
      <c r="F225" s="254">
        <v>255</v>
      </c>
      <c r="G225" s="254"/>
      <c r="H225" s="254">
        <v>256</v>
      </c>
      <c r="I225" s="254"/>
      <c r="J225" s="254">
        <v>257</v>
      </c>
      <c r="K225" s="254"/>
      <c r="L225" s="254">
        <v>258</v>
      </c>
      <c r="M225" s="254"/>
      <c r="N225" s="254">
        <v>259</v>
      </c>
      <c r="O225" s="254"/>
      <c r="P225" s="254">
        <v>260</v>
      </c>
      <c r="Q225" s="254"/>
      <c r="R225" s="254">
        <v>261</v>
      </c>
      <c r="S225" s="254"/>
      <c r="T225" s="254">
        <v>262</v>
      </c>
      <c r="U225" s="254"/>
      <c r="V225" s="254">
        <v>263</v>
      </c>
      <c r="W225" s="254"/>
      <c r="X225" s="254">
        <v>264</v>
      </c>
      <c r="Y225" s="254"/>
      <c r="Z225" s="254">
        <v>265</v>
      </c>
      <c r="AA225" s="254"/>
      <c r="AB225" s="254">
        <v>266</v>
      </c>
      <c r="AC225" s="254"/>
      <c r="AD225" s="254">
        <v>267</v>
      </c>
      <c r="AE225" s="254"/>
      <c r="AF225" s="604"/>
    </row>
    <row r="226" spans="1:75" s="167" customFormat="1" ht="13.5" customHeight="1">
      <c r="A226" s="206"/>
      <c r="B226" s="304" t="s">
        <v>652</v>
      </c>
      <c r="C226" s="254"/>
      <c r="D226" s="304" t="s">
        <v>149</v>
      </c>
      <c r="E226" s="254"/>
      <c r="F226" s="304" t="s">
        <v>653</v>
      </c>
      <c r="G226" s="254"/>
      <c r="H226" s="304" t="s">
        <v>654</v>
      </c>
      <c r="I226" s="254"/>
      <c r="J226" s="304" t="s">
        <v>655</v>
      </c>
      <c r="K226" s="254"/>
      <c r="L226" s="304" t="s">
        <v>656</v>
      </c>
      <c r="M226" s="254"/>
      <c r="N226" s="304" t="s">
        <v>657</v>
      </c>
      <c r="O226" s="254"/>
      <c r="P226" s="304" t="s">
        <v>658</v>
      </c>
      <c r="Q226" s="254"/>
      <c r="R226" s="304" t="s">
        <v>414</v>
      </c>
      <c r="S226" s="254"/>
      <c r="T226" s="304" t="s">
        <v>432</v>
      </c>
      <c r="U226" s="254"/>
      <c r="V226" s="304" t="s">
        <v>434</v>
      </c>
      <c r="W226" s="254"/>
      <c r="X226" s="304" t="s">
        <v>408</v>
      </c>
      <c r="Y226" s="200"/>
      <c r="Z226" s="304" t="s">
        <v>397</v>
      </c>
      <c r="AA226" s="200"/>
      <c r="AB226" s="304" t="s">
        <v>415</v>
      </c>
      <c r="AC226" s="200"/>
      <c r="AD226" s="304" t="s">
        <v>403</v>
      </c>
      <c r="AE226" s="200"/>
      <c r="AF226" s="637"/>
      <c r="BW226" s="158"/>
    </row>
    <row r="227" spans="1:75" ht="13.5" customHeight="1">
      <c r="A227" s="206"/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604"/>
    </row>
    <row r="228" spans="1:75" ht="13.5" customHeight="1">
      <c r="A228" s="206"/>
      <c r="B228" s="254"/>
      <c r="C228" s="254"/>
      <c r="D228" s="254"/>
      <c r="E228" s="254"/>
      <c r="F228" s="254"/>
      <c r="G228" s="254"/>
      <c r="H228" s="254"/>
      <c r="I228" s="254"/>
      <c r="J228" s="254"/>
      <c r="K228" s="254"/>
      <c r="L228" s="254"/>
      <c r="M228" s="200"/>
      <c r="N228" s="254"/>
      <c r="O228" s="254"/>
      <c r="P228" s="254"/>
      <c r="Q228" s="200"/>
      <c r="R228" s="254"/>
      <c r="S228" s="254"/>
      <c r="T228" s="254"/>
      <c r="U228" s="254"/>
      <c r="V228" s="254"/>
      <c r="W228" s="254"/>
      <c r="X228" s="254"/>
      <c r="Y228" s="254"/>
      <c r="Z228" s="254"/>
      <c r="AA228" s="254"/>
      <c r="AB228" s="254"/>
      <c r="AC228" s="254"/>
      <c r="AD228" s="254"/>
      <c r="AE228" s="254"/>
      <c r="AF228" s="604"/>
    </row>
    <row r="229" spans="1:75" ht="13.5" customHeight="1" thickBot="1">
      <c r="A229" s="206"/>
      <c r="B229" s="254"/>
      <c r="C229" s="254"/>
      <c r="D229" s="254"/>
      <c r="E229" s="254"/>
      <c r="F229" s="254"/>
      <c r="G229" s="254"/>
      <c r="H229" s="254"/>
      <c r="I229" s="254"/>
      <c r="J229" s="254"/>
      <c r="K229" s="254"/>
      <c r="L229" s="254"/>
      <c r="M229" s="200"/>
      <c r="N229" s="254"/>
      <c r="O229" s="254"/>
      <c r="P229" s="254"/>
      <c r="Q229" s="200"/>
      <c r="R229" s="254"/>
      <c r="S229" s="254"/>
      <c r="T229" s="254"/>
      <c r="U229" s="254"/>
      <c r="V229" s="254"/>
      <c r="W229" s="254"/>
      <c r="X229" s="254"/>
      <c r="Y229" s="254"/>
      <c r="Z229" s="254"/>
      <c r="AA229" s="254"/>
      <c r="AB229" s="254"/>
      <c r="AC229" s="254"/>
      <c r="AD229" s="254"/>
      <c r="AE229" s="254"/>
      <c r="AF229" s="604"/>
    </row>
    <row r="230" spans="1:75" ht="13.5" customHeight="1">
      <c r="A230" s="624"/>
      <c r="B230" s="183"/>
      <c r="C230" s="621"/>
      <c r="D230" s="183"/>
      <c r="E230" s="621"/>
      <c r="F230" s="183"/>
      <c r="G230" s="621"/>
      <c r="H230" s="183"/>
      <c r="I230" s="621"/>
      <c r="J230" s="183"/>
      <c r="K230" s="621"/>
      <c r="L230" s="183"/>
      <c r="M230" s="621"/>
      <c r="N230" s="183"/>
      <c r="O230" s="621"/>
      <c r="P230" s="183"/>
      <c r="Q230" s="621"/>
      <c r="R230" s="722"/>
      <c r="S230" s="621"/>
      <c r="T230" s="184"/>
      <c r="U230" s="621"/>
      <c r="V230" s="184"/>
      <c r="W230" s="621"/>
      <c r="X230" s="722"/>
      <c r="Y230" s="621"/>
      <c r="Z230" s="722"/>
      <c r="AA230" s="621"/>
      <c r="AB230" s="722"/>
      <c r="AC230" s="621"/>
      <c r="AD230" s="184"/>
      <c r="AE230" s="609"/>
      <c r="AF230" s="604"/>
    </row>
    <row r="231" spans="1:75" ht="13.5" customHeight="1">
      <c r="A231" s="624"/>
      <c r="B231" s="185"/>
      <c r="C231" s="622">
        <v>363</v>
      </c>
      <c r="D231" s="186" t="s">
        <v>550</v>
      </c>
      <c r="E231" s="622">
        <v>380</v>
      </c>
      <c r="F231" s="186"/>
      <c r="G231" s="622">
        <v>346</v>
      </c>
      <c r="H231" s="186"/>
      <c r="I231" s="622">
        <v>390</v>
      </c>
      <c r="J231" s="186" t="s">
        <v>550</v>
      </c>
      <c r="K231" s="622">
        <v>405</v>
      </c>
      <c r="L231" s="186"/>
      <c r="M231" s="622">
        <v>421</v>
      </c>
      <c r="N231" s="186"/>
      <c r="O231" s="622">
        <v>391</v>
      </c>
      <c r="P231" s="186" t="s">
        <v>550</v>
      </c>
      <c r="Q231" s="622">
        <v>394</v>
      </c>
      <c r="R231" s="723"/>
      <c r="S231" s="622">
        <v>382</v>
      </c>
      <c r="T231" s="187"/>
      <c r="U231" s="622">
        <v>384</v>
      </c>
      <c r="V231" s="187"/>
      <c r="W231" s="622">
        <v>406</v>
      </c>
      <c r="X231" s="723"/>
      <c r="Y231" s="622">
        <v>352</v>
      </c>
      <c r="Z231" s="723"/>
      <c r="AA231" s="622">
        <v>453</v>
      </c>
      <c r="AB231" s="723"/>
      <c r="AC231" s="622">
        <v>388</v>
      </c>
      <c r="AD231" s="187"/>
      <c r="AE231" s="611">
        <v>395</v>
      </c>
      <c r="AF231" s="604"/>
      <c r="BV231" s="523">
        <f>7</f>
        <v>7</v>
      </c>
      <c r="BW231" s="524">
        <v>3</v>
      </c>
    </row>
    <row r="232" spans="1:75" ht="13.5" customHeight="1" thickBot="1">
      <c r="A232" s="624"/>
      <c r="B232" s="188"/>
      <c r="C232" s="166"/>
      <c r="D232" s="188"/>
      <c r="E232" s="166"/>
      <c r="F232" s="188"/>
      <c r="G232" s="166"/>
      <c r="H232" s="188"/>
      <c r="I232" s="166"/>
      <c r="J232" s="188"/>
      <c r="K232" s="166"/>
      <c r="L232" s="188"/>
      <c r="M232" s="166"/>
      <c r="N232" s="188"/>
      <c r="O232" s="166"/>
      <c r="P232" s="188"/>
      <c r="Q232" s="166"/>
      <c r="R232" s="724"/>
      <c r="S232" s="166"/>
      <c r="T232" s="189"/>
      <c r="U232" s="166"/>
      <c r="V232" s="189"/>
      <c r="W232" s="166"/>
      <c r="X232" s="724"/>
      <c r="Y232" s="166"/>
      <c r="Z232" s="724"/>
      <c r="AA232" s="166"/>
      <c r="AB232" s="724"/>
      <c r="AC232" s="166"/>
      <c r="AD232" s="189"/>
      <c r="AE232" s="200"/>
      <c r="AF232" s="604"/>
    </row>
    <row r="233" spans="1:75" ht="13.5" customHeight="1">
      <c r="A233" s="206"/>
      <c r="B233" s="254" t="s">
        <v>399</v>
      </c>
      <c r="C233" s="254"/>
      <c r="D233" s="258" t="s">
        <v>335</v>
      </c>
      <c r="E233" s="254"/>
      <c r="F233" s="254" t="s">
        <v>350</v>
      </c>
      <c r="G233" s="254"/>
      <c r="H233" s="254" t="s">
        <v>350</v>
      </c>
      <c r="I233" s="254"/>
      <c r="J233" s="254" t="s">
        <v>350</v>
      </c>
      <c r="K233" s="254"/>
      <c r="L233" s="254" t="s">
        <v>357</v>
      </c>
      <c r="M233" s="254"/>
      <c r="N233" s="254" t="s">
        <v>357</v>
      </c>
      <c r="O233" s="254"/>
      <c r="P233" s="254" t="s">
        <v>350</v>
      </c>
      <c r="Q233" s="254"/>
      <c r="R233" s="258" t="s">
        <v>335</v>
      </c>
      <c r="S233" s="254"/>
      <c r="T233" s="254" t="s">
        <v>350</v>
      </c>
      <c r="U233" s="254"/>
      <c r="V233" s="254" t="s">
        <v>357</v>
      </c>
      <c r="W233" s="254"/>
      <c r="X233" s="254" t="s">
        <v>350</v>
      </c>
      <c r="Y233" s="254"/>
      <c r="Z233" s="254" t="s">
        <v>357</v>
      </c>
      <c r="AA233" s="254"/>
      <c r="AB233" s="254" t="s">
        <v>399</v>
      </c>
      <c r="AC233" s="254"/>
      <c r="AD233" s="254" t="s">
        <v>350</v>
      </c>
      <c r="AE233" s="254"/>
      <c r="AF233" s="604"/>
    </row>
    <row r="234" spans="1:75" ht="13.5" customHeight="1">
      <c r="A234" s="206"/>
      <c r="B234" s="200"/>
      <c r="C234" s="254"/>
      <c r="D234" s="200"/>
      <c r="E234" s="254"/>
      <c r="F234" s="200"/>
      <c r="G234" s="254"/>
      <c r="H234" s="200"/>
      <c r="I234" s="254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54"/>
      <c r="V234" s="200"/>
      <c r="W234" s="254"/>
      <c r="X234" s="200"/>
      <c r="Y234" s="254"/>
      <c r="Z234" s="200"/>
      <c r="AA234" s="200"/>
      <c r="AB234" s="200"/>
      <c r="AC234" s="200"/>
      <c r="AD234" s="200"/>
      <c r="AE234" s="200"/>
      <c r="AF234" s="604"/>
    </row>
    <row r="235" spans="1:75" ht="13.5" customHeight="1">
      <c r="A235" s="206"/>
      <c r="B235" s="200"/>
      <c r="C235" s="254"/>
      <c r="D235" s="200"/>
      <c r="E235" s="254"/>
      <c r="F235" s="200"/>
      <c r="G235" s="254"/>
      <c r="H235" s="200"/>
      <c r="I235" s="254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54"/>
      <c r="V235" s="200"/>
      <c r="W235" s="254"/>
      <c r="X235" s="642"/>
      <c r="Y235" s="254"/>
      <c r="Z235" s="642"/>
      <c r="AA235" s="200"/>
      <c r="AB235" s="200"/>
      <c r="AC235" s="200"/>
      <c r="AD235" s="200"/>
      <c r="AE235" s="200"/>
      <c r="AF235" s="604"/>
    </row>
    <row r="236" spans="1:75" ht="13.5" customHeight="1">
      <c r="A236" s="206"/>
      <c r="B236" s="200"/>
      <c r="C236" s="254"/>
      <c r="D236" s="200"/>
      <c r="E236" s="254"/>
      <c r="F236" s="200"/>
      <c r="G236" s="254"/>
      <c r="H236" s="200"/>
      <c r="I236" s="254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54"/>
      <c r="V236" s="200"/>
      <c r="W236" s="254"/>
      <c r="X236" s="642"/>
      <c r="Y236" s="254"/>
      <c r="Z236" s="642"/>
      <c r="AA236" s="200"/>
      <c r="AB236" s="200"/>
      <c r="AC236" s="200"/>
      <c r="AD236" s="200"/>
      <c r="AE236" s="200"/>
      <c r="AF236" s="604"/>
    </row>
    <row r="237" spans="1:75" ht="13.5" customHeight="1">
      <c r="A237" s="206"/>
      <c r="B237" s="200"/>
      <c r="C237" s="254"/>
      <c r="D237" s="200"/>
      <c r="E237" s="254"/>
      <c r="F237" s="200"/>
      <c r="G237" s="254"/>
      <c r="H237" s="200"/>
      <c r="I237" s="254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54"/>
      <c r="V237" s="200"/>
      <c r="W237" s="254"/>
      <c r="X237" s="642"/>
      <c r="Y237" s="254"/>
      <c r="Z237" s="642"/>
      <c r="AA237" s="200"/>
      <c r="AB237" s="200"/>
      <c r="AC237" s="200"/>
      <c r="AD237" s="200"/>
      <c r="AE237" s="200"/>
      <c r="AF237" s="604"/>
    </row>
    <row r="238" spans="1:75" ht="13.5" customHeight="1">
      <c r="A238" s="206"/>
      <c r="B238" s="254">
        <v>268</v>
      </c>
      <c r="C238" s="641"/>
      <c r="D238" s="254">
        <v>269</v>
      </c>
      <c r="E238" s="254"/>
      <c r="F238" s="254">
        <v>270</v>
      </c>
      <c r="G238" s="254"/>
      <c r="H238" s="254">
        <v>271</v>
      </c>
      <c r="I238" s="254"/>
      <c r="J238" s="254">
        <v>272</v>
      </c>
      <c r="K238" s="254"/>
      <c r="L238" s="254">
        <v>273</v>
      </c>
      <c r="M238" s="254"/>
      <c r="N238" s="254">
        <v>274</v>
      </c>
      <c r="O238" s="254"/>
      <c r="P238" s="254">
        <v>275</v>
      </c>
      <c r="Q238" s="254"/>
      <c r="R238" s="254">
        <v>276</v>
      </c>
      <c r="S238" s="254"/>
      <c r="T238" s="254">
        <v>277</v>
      </c>
      <c r="U238" s="254"/>
      <c r="V238" s="254">
        <v>278</v>
      </c>
      <c r="W238" s="254"/>
      <c r="X238" s="254">
        <v>279</v>
      </c>
      <c r="Y238" s="254"/>
      <c r="Z238" s="254">
        <v>280</v>
      </c>
      <c r="AA238" s="254"/>
      <c r="AB238" s="254">
        <v>281</v>
      </c>
      <c r="AC238" s="254"/>
      <c r="AD238" s="254">
        <v>282</v>
      </c>
      <c r="AE238" s="254"/>
      <c r="AF238" s="604"/>
    </row>
    <row r="239" spans="1:75" ht="13.5" customHeight="1">
      <c r="A239" s="206"/>
      <c r="B239" s="304" t="s">
        <v>150</v>
      </c>
      <c r="C239" s="254"/>
      <c r="D239" s="304" t="s">
        <v>436</v>
      </c>
      <c r="E239" s="254"/>
      <c r="F239" s="304" t="s">
        <v>435</v>
      </c>
      <c r="G239" s="254"/>
      <c r="H239" s="304" t="s">
        <v>659</v>
      </c>
      <c r="I239" s="254"/>
      <c r="J239" s="304" t="s">
        <v>437</v>
      </c>
      <c r="K239" s="254"/>
      <c r="L239" s="304" t="s">
        <v>431</v>
      </c>
      <c r="M239" s="254"/>
      <c r="N239" s="304" t="s">
        <v>151</v>
      </c>
      <c r="O239" s="254"/>
      <c r="P239" s="304" t="s">
        <v>421</v>
      </c>
      <c r="Q239" s="254"/>
      <c r="R239" s="304" t="s">
        <v>660</v>
      </c>
      <c r="S239" s="254"/>
      <c r="T239" s="304" t="s">
        <v>661</v>
      </c>
      <c r="U239" s="254"/>
      <c r="V239" s="304" t="s">
        <v>662</v>
      </c>
      <c r="W239" s="254"/>
      <c r="X239" s="304" t="s">
        <v>663</v>
      </c>
      <c r="Y239" s="200"/>
      <c r="Z239" s="304" t="s">
        <v>664</v>
      </c>
      <c r="AA239" s="200"/>
      <c r="AB239" s="304" t="s">
        <v>665</v>
      </c>
      <c r="AC239" s="200"/>
      <c r="AD239" s="304" t="s">
        <v>463</v>
      </c>
      <c r="AE239" s="200"/>
      <c r="AF239" s="637"/>
    </row>
    <row r="240" spans="1:75" ht="13.5" customHeight="1">
      <c r="A240" s="206"/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604"/>
    </row>
    <row r="241" spans="1:75" ht="13.5" customHeight="1">
      <c r="A241" s="206"/>
      <c r="B241" s="254"/>
      <c r="C241" s="200"/>
      <c r="D241" s="254"/>
      <c r="E241" s="254"/>
      <c r="F241" s="254"/>
      <c r="G241" s="200"/>
      <c r="H241" s="254"/>
      <c r="I241" s="254"/>
      <c r="J241" s="254"/>
      <c r="K241" s="254"/>
      <c r="L241" s="254"/>
      <c r="M241" s="254"/>
      <c r="N241" s="254"/>
      <c r="O241" s="254"/>
      <c r="P241" s="254"/>
      <c r="Q241" s="254"/>
      <c r="R241" s="254"/>
      <c r="S241" s="254"/>
      <c r="T241" s="254"/>
      <c r="U241" s="254"/>
      <c r="V241" s="254"/>
      <c r="W241" s="200"/>
      <c r="X241" s="254"/>
      <c r="Y241" s="254"/>
      <c r="Z241" s="254"/>
      <c r="AA241" s="200"/>
      <c r="AB241" s="254"/>
      <c r="AC241" s="254"/>
      <c r="AD241" s="254"/>
      <c r="AE241" s="254"/>
      <c r="AF241" s="604"/>
    </row>
    <row r="242" spans="1:75" ht="13.5" customHeight="1" thickBot="1">
      <c r="A242" s="206"/>
      <c r="B242" s="254"/>
      <c r="C242" s="200"/>
      <c r="D242" s="254"/>
      <c r="E242" s="254"/>
      <c r="F242" s="254"/>
      <c r="G242" s="200"/>
      <c r="H242" s="254"/>
      <c r="I242" s="254"/>
      <c r="J242" s="254"/>
      <c r="K242" s="254"/>
      <c r="L242" s="254"/>
      <c r="M242" s="254"/>
      <c r="N242" s="254"/>
      <c r="O242" s="254"/>
      <c r="P242" s="254"/>
      <c r="Q242" s="254"/>
      <c r="R242" s="254"/>
      <c r="S242" s="254"/>
      <c r="T242" s="254"/>
      <c r="U242" s="254"/>
      <c r="V242" s="254"/>
      <c r="W242" s="200"/>
      <c r="X242" s="254"/>
      <c r="Y242" s="254"/>
      <c r="Z242" s="254"/>
      <c r="AA242" s="200"/>
      <c r="AB242" s="254"/>
      <c r="AC242" s="254"/>
      <c r="AD242" s="254"/>
      <c r="AE242" s="254"/>
      <c r="AF242" s="604"/>
    </row>
    <row r="243" spans="1:75" ht="13.5" customHeight="1">
      <c r="A243" s="206"/>
      <c r="B243" s="184"/>
      <c r="C243" s="621"/>
      <c r="D243" s="184"/>
      <c r="E243" s="621"/>
      <c r="F243" s="184"/>
      <c r="G243" s="621"/>
      <c r="H243" s="183"/>
      <c r="I243" s="621"/>
      <c r="J243" s="184"/>
      <c r="K243" s="621"/>
      <c r="L243" s="184"/>
      <c r="M243" s="621"/>
      <c r="N243" s="184"/>
      <c r="O243" s="621"/>
      <c r="P243" s="202"/>
      <c r="Q243" s="621"/>
      <c r="R243" s="183"/>
      <c r="S243" s="621"/>
      <c r="T243" s="183"/>
      <c r="U243" s="621"/>
      <c r="V243" s="183"/>
      <c r="W243" s="621"/>
      <c r="X243" s="183"/>
      <c r="Y243" s="621"/>
      <c r="Z243" s="183"/>
      <c r="AA243" s="621"/>
      <c r="AB243" s="183"/>
      <c r="AC243" s="621"/>
      <c r="AD243" s="183"/>
      <c r="AE243" s="609"/>
      <c r="AF243" s="610"/>
    </row>
    <row r="244" spans="1:75" ht="13.5" customHeight="1">
      <c r="A244" s="206"/>
      <c r="B244" s="187"/>
      <c r="C244" s="622">
        <v>430</v>
      </c>
      <c r="D244" s="187"/>
      <c r="E244" s="622">
        <v>388</v>
      </c>
      <c r="F244" s="187"/>
      <c r="G244" s="622">
        <v>402</v>
      </c>
      <c r="H244" s="186"/>
      <c r="I244" s="622">
        <v>437</v>
      </c>
      <c r="J244" s="187"/>
      <c r="K244" s="622">
        <v>405</v>
      </c>
      <c r="L244" s="187"/>
      <c r="M244" s="622">
        <v>337</v>
      </c>
      <c r="N244" s="187"/>
      <c r="O244" s="622">
        <v>282</v>
      </c>
      <c r="P244" s="187"/>
      <c r="Q244" s="622">
        <v>435</v>
      </c>
      <c r="R244" s="186"/>
      <c r="S244" s="622">
        <v>407</v>
      </c>
      <c r="T244" s="186"/>
      <c r="U244" s="622">
        <v>426</v>
      </c>
      <c r="V244" s="186"/>
      <c r="W244" s="622">
        <v>374</v>
      </c>
      <c r="X244" s="186"/>
      <c r="Y244" s="622">
        <v>440</v>
      </c>
      <c r="Z244" s="186"/>
      <c r="AA244" s="622">
        <v>386</v>
      </c>
      <c r="AB244" s="186"/>
      <c r="AC244" s="622">
        <v>210</v>
      </c>
      <c r="AD244" s="186"/>
      <c r="AE244" s="611"/>
      <c r="AF244" s="604"/>
    </row>
    <row r="245" spans="1:75" ht="13.5" customHeight="1" thickBot="1">
      <c r="A245" s="206"/>
      <c r="B245" s="189"/>
      <c r="C245" s="166"/>
      <c r="D245" s="189"/>
      <c r="E245" s="166"/>
      <c r="F245" s="189"/>
      <c r="G245" s="166"/>
      <c r="H245" s="188"/>
      <c r="I245" s="166"/>
      <c r="J245" s="189"/>
      <c r="K245" s="166"/>
      <c r="L245" s="189"/>
      <c r="M245" s="166"/>
      <c r="N245" s="189"/>
      <c r="O245" s="166"/>
      <c r="P245" s="203"/>
      <c r="Q245" s="166"/>
      <c r="R245" s="188"/>
      <c r="S245" s="166"/>
      <c r="T245" s="188"/>
      <c r="U245" s="166"/>
      <c r="V245" s="188"/>
      <c r="W245" s="166"/>
      <c r="X245" s="188"/>
      <c r="Y245" s="166"/>
      <c r="Z245" s="188"/>
      <c r="AA245" s="166"/>
      <c r="AB245" s="188"/>
      <c r="AC245" s="166"/>
      <c r="AD245" s="188"/>
      <c r="AE245" s="200"/>
      <c r="AF245" s="604"/>
    </row>
    <row r="246" spans="1:75" ht="13.5" customHeight="1">
      <c r="A246" s="206"/>
      <c r="B246" s="258" t="s">
        <v>309</v>
      </c>
      <c r="C246" s="254"/>
      <c r="D246" s="254" t="s">
        <v>357</v>
      </c>
      <c r="E246" s="254"/>
      <c r="F246" s="254" t="s">
        <v>350</v>
      </c>
      <c r="G246" s="254"/>
      <c r="H246" s="258" t="s">
        <v>666</v>
      </c>
      <c r="I246" s="254"/>
      <c r="J246" s="254" t="s">
        <v>357</v>
      </c>
      <c r="K246" s="254"/>
      <c r="L246" s="254" t="s">
        <v>350</v>
      </c>
      <c r="M246" s="254"/>
      <c r="N246" s="258" t="s">
        <v>335</v>
      </c>
      <c r="O246" s="254"/>
      <c r="P246" s="254" t="s">
        <v>399</v>
      </c>
      <c r="Q246" s="254"/>
      <c r="R246" s="254" t="s">
        <v>350</v>
      </c>
      <c r="S246" s="254"/>
      <c r="T246" s="254" t="s">
        <v>399</v>
      </c>
      <c r="U246" s="254"/>
      <c r="V246" s="254" t="s">
        <v>350</v>
      </c>
      <c r="W246" s="254"/>
      <c r="X246" s="254" t="s">
        <v>357</v>
      </c>
      <c r="Y246" s="254"/>
      <c r="Z246" s="254" t="s">
        <v>350</v>
      </c>
      <c r="AA246" s="254"/>
      <c r="AB246" s="258" t="s">
        <v>300</v>
      </c>
      <c r="AC246" s="254"/>
      <c r="AD246" s="258" t="s">
        <v>300</v>
      </c>
      <c r="AE246" s="254"/>
      <c r="AF246" s="604"/>
    </row>
    <row r="247" spans="1:75" ht="13.5" customHeight="1">
      <c r="A247" s="206"/>
      <c r="B247" s="200"/>
      <c r="C247" s="254"/>
      <c r="D247" s="200"/>
      <c r="E247" s="254"/>
      <c r="F247" s="200"/>
      <c r="G247" s="254"/>
      <c r="H247" s="200"/>
      <c r="I247" s="254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54"/>
      <c r="V247" s="200"/>
      <c r="W247" s="254"/>
      <c r="X247" s="642"/>
      <c r="Y247" s="254"/>
      <c r="Z247" s="642"/>
      <c r="AA247" s="200"/>
      <c r="AB247" s="200"/>
      <c r="AC247" s="200"/>
      <c r="AD247" s="200"/>
      <c r="AE247" s="200"/>
      <c r="AF247" s="604"/>
    </row>
    <row r="248" spans="1:75" ht="13.5" customHeight="1">
      <c r="A248" s="206"/>
      <c r="B248" s="200"/>
      <c r="C248" s="254"/>
      <c r="D248" s="200"/>
      <c r="E248" s="254"/>
      <c r="F248" s="200"/>
      <c r="G248" s="254"/>
      <c r="H248" s="200"/>
      <c r="I248" s="254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54"/>
      <c r="V248" s="200"/>
      <c r="W248" s="254"/>
      <c r="X248" s="642"/>
      <c r="Y248" s="254"/>
      <c r="Z248" s="642"/>
      <c r="AA248" s="200"/>
      <c r="AB248" s="200"/>
      <c r="AC248" s="200"/>
      <c r="AD248" s="200"/>
      <c r="AE248" s="200"/>
      <c r="AF248" s="604"/>
    </row>
    <row r="249" spans="1:75" ht="13.5" customHeight="1">
      <c r="A249" s="206"/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604"/>
    </row>
    <row r="250" spans="1:75" ht="13.5" customHeight="1">
      <c r="A250" s="206"/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604"/>
    </row>
    <row r="251" spans="1:75" s="167" customFormat="1" ht="13.5" customHeight="1">
      <c r="A251" s="206"/>
      <c r="B251" s="254">
        <v>283</v>
      </c>
      <c r="C251" s="254"/>
      <c r="D251" s="254">
        <v>284</v>
      </c>
      <c r="E251" s="254"/>
      <c r="F251" s="254">
        <v>285</v>
      </c>
      <c r="G251" s="254"/>
      <c r="H251" s="254">
        <v>286</v>
      </c>
      <c r="I251" s="254"/>
      <c r="J251" s="254">
        <v>287</v>
      </c>
      <c r="K251" s="254"/>
      <c r="L251" s="254">
        <v>288</v>
      </c>
      <c r="M251" s="254"/>
      <c r="N251" s="254">
        <v>289</v>
      </c>
      <c r="O251" s="254"/>
      <c r="P251" s="254">
        <v>290</v>
      </c>
      <c r="Q251" s="254"/>
      <c r="R251" s="254">
        <v>291</v>
      </c>
      <c r="S251" s="254"/>
      <c r="T251" s="254">
        <v>292</v>
      </c>
      <c r="U251" s="254"/>
      <c r="V251" s="254">
        <v>293</v>
      </c>
      <c r="W251" s="254"/>
      <c r="X251" s="254">
        <v>294</v>
      </c>
      <c r="Y251" s="254"/>
      <c r="Z251" s="254">
        <v>295</v>
      </c>
      <c r="AA251" s="254"/>
      <c r="AB251" s="254">
        <v>296</v>
      </c>
      <c r="AC251" s="254"/>
      <c r="AD251" s="254">
        <v>297</v>
      </c>
      <c r="AE251" s="254"/>
      <c r="AF251" s="638"/>
      <c r="BW251" s="158"/>
    </row>
    <row r="252" spans="1:75" ht="13.5" customHeight="1">
      <c r="A252" s="206"/>
      <c r="B252" s="304" t="s">
        <v>765</v>
      </c>
      <c r="C252" s="254"/>
      <c r="D252" s="304" t="s">
        <v>767</v>
      </c>
      <c r="E252" s="254"/>
      <c r="F252" s="304" t="s">
        <v>152</v>
      </c>
      <c r="G252" s="254"/>
      <c r="H252" s="304" t="s">
        <v>1177</v>
      </c>
      <c r="I252" s="254"/>
      <c r="J252" s="304" t="s">
        <v>166</v>
      </c>
      <c r="K252" s="254"/>
      <c r="L252" s="304" t="s">
        <v>769</v>
      </c>
      <c r="M252" s="254"/>
      <c r="N252" s="304" t="s">
        <v>153</v>
      </c>
      <c r="O252" s="254"/>
      <c r="P252" s="304" t="s">
        <v>770</v>
      </c>
      <c r="Q252" s="254"/>
      <c r="R252" s="304" t="s">
        <v>771</v>
      </c>
      <c r="S252" s="254"/>
      <c r="T252" s="304" t="s">
        <v>1178</v>
      </c>
      <c r="U252" s="254"/>
      <c r="V252" s="304" t="s">
        <v>1179</v>
      </c>
      <c r="W252" s="254"/>
      <c r="X252" s="304" t="s">
        <v>772</v>
      </c>
      <c r="Y252" s="200"/>
      <c r="Z252" s="304" t="s">
        <v>1180</v>
      </c>
      <c r="AA252" s="200"/>
      <c r="AB252" s="304" t="s">
        <v>1181</v>
      </c>
      <c r="AC252" s="200"/>
      <c r="AD252" s="304" t="s">
        <v>1182</v>
      </c>
      <c r="AE252" s="200"/>
      <c r="AF252" s="637"/>
    </row>
    <row r="253" spans="1:75" ht="13.5" customHeight="1">
      <c r="A253" s="206"/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604"/>
      <c r="BW253" s="524">
        <v>1</v>
      </c>
    </row>
    <row r="254" spans="1:75" ht="13.5" customHeight="1">
      <c r="A254" s="206"/>
      <c r="B254" s="254"/>
      <c r="C254" s="200"/>
      <c r="D254" s="254"/>
      <c r="E254" s="254"/>
      <c r="F254" s="254"/>
      <c r="G254" s="200"/>
      <c r="H254" s="254"/>
      <c r="I254" s="254"/>
      <c r="J254" s="254"/>
      <c r="K254" s="254"/>
      <c r="L254" s="254"/>
      <c r="M254" s="254"/>
      <c r="N254" s="254"/>
      <c r="O254" s="254"/>
      <c r="P254" s="254"/>
      <c r="Q254" s="254"/>
      <c r="R254" s="254"/>
      <c r="S254" s="254"/>
      <c r="T254" s="254"/>
      <c r="U254" s="254"/>
      <c r="V254" s="254"/>
      <c r="W254" s="200"/>
      <c r="X254" s="254"/>
      <c r="Y254" s="254"/>
      <c r="Z254" s="254"/>
      <c r="AA254" s="200"/>
      <c r="AB254" s="254"/>
      <c r="AC254" s="254"/>
      <c r="AD254" s="254"/>
      <c r="AE254" s="254"/>
      <c r="AF254" s="604"/>
    </row>
    <row r="255" spans="1:75" ht="13.5" customHeight="1" thickBot="1">
      <c r="A255" s="624"/>
      <c r="B255" s="254"/>
      <c r="C255" s="200"/>
      <c r="D255" s="254"/>
      <c r="E255" s="254"/>
      <c r="F255" s="254"/>
      <c r="G255" s="200"/>
      <c r="H255" s="254"/>
      <c r="I255" s="254"/>
      <c r="J255" s="254"/>
      <c r="K255" s="254"/>
      <c r="L255" s="254"/>
      <c r="M255" s="254"/>
      <c r="N255" s="254"/>
      <c r="O255" s="254"/>
      <c r="P255" s="254"/>
      <c r="Q255" s="254"/>
      <c r="R255" s="254"/>
      <c r="S255" s="254"/>
      <c r="T255" s="254"/>
      <c r="U255" s="254"/>
      <c r="V255" s="254"/>
      <c r="W255" s="200"/>
      <c r="X255" s="254"/>
      <c r="Y255" s="254"/>
      <c r="Z255" s="254"/>
      <c r="AA255" s="200"/>
      <c r="AB255" s="254"/>
      <c r="AC255" s="254"/>
      <c r="AD255" s="254"/>
      <c r="AE255" s="254"/>
      <c r="AF255" s="604"/>
    </row>
    <row r="256" spans="1:75" ht="13.5" customHeight="1">
      <c r="A256" s="624"/>
      <c r="B256" s="261"/>
      <c r="C256" s="609"/>
      <c r="D256" s="261"/>
      <c r="E256" s="609"/>
      <c r="F256" s="261"/>
      <c r="G256" s="609"/>
      <c r="H256" s="261"/>
      <c r="I256" s="609"/>
      <c r="J256" s="261"/>
      <c r="K256" s="609"/>
      <c r="L256" s="261"/>
      <c r="M256" s="609"/>
      <c r="N256" s="261"/>
      <c r="O256" s="609"/>
      <c r="P256" s="261"/>
      <c r="Q256" s="609"/>
      <c r="R256" s="261"/>
      <c r="S256" s="609"/>
      <c r="T256" s="261"/>
      <c r="U256" s="609"/>
      <c r="V256" s="261"/>
      <c r="W256" s="609"/>
      <c r="X256" s="261"/>
      <c r="Y256" s="609"/>
      <c r="Z256" s="261"/>
      <c r="AA256" s="609"/>
      <c r="AB256" s="261"/>
      <c r="AC256" s="609"/>
      <c r="AD256" s="261"/>
      <c r="AE256" s="609"/>
      <c r="AF256" s="610"/>
      <c r="BV256" s="523">
        <v>7</v>
      </c>
    </row>
    <row r="257" spans="1:74" ht="13.5" customHeight="1">
      <c r="A257" s="624"/>
      <c r="B257" s="262"/>
      <c r="C257" s="611">
        <v>414</v>
      </c>
      <c r="D257" s="263"/>
      <c r="E257" s="611">
        <v>421</v>
      </c>
      <c r="F257" s="263"/>
      <c r="G257" s="611">
        <v>356</v>
      </c>
      <c r="H257" s="263"/>
      <c r="I257" s="611">
        <v>243</v>
      </c>
      <c r="J257" s="263" t="s">
        <v>550</v>
      </c>
      <c r="K257" s="611">
        <v>372</v>
      </c>
      <c r="L257" s="263"/>
      <c r="M257" s="611">
        <v>398</v>
      </c>
      <c r="N257" s="263"/>
      <c r="O257" s="611">
        <v>346</v>
      </c>
      <c r="P257" s="263"/>
      <c r="Q257" s="611">
        <v>405</v>
      </c>
      <c r="R257" s="263"/>
      <c r="S257" s="611">
        <v>417</v>
      </c>
      <c r="T257" s="263"/>
      <c r="U257" s="611">
        <v>402</v>
      </c>
      <c r="V257" s="263"/>
      <c r="W257" s="611">
        <v>415</v>
      </c>
      <c r="X257" s="263"/>
      <c r="Y257" s="611">
        <v>352</v>
      </c>
      <c r="Z257" s="263"/>
      <c r="AA257" s="611">
        <v>397</v>
      </c>
      <c r="AB257" s="263"/>
      <c r="AC257" s="611">
        <v>377</v>
      </c>
      <c r="AD257" s="263"/>
      <c r="AE257" s="611">
        <v>438</v>
      </c>
      <c r="AF257" s="604"/>
    </row>
    <row r="258" spans="1:74" ht="13.5" customHeight="1" thickBot="1">
      <c r="A258" s="206"/>
      <c r="B258" s="264"/>
      <c r="C258" s="200"/>
      <c r="D258" s="264"/>
      <c r="E258" s="200"/>
      <c r="F258" s="264"/>
      <c r="G258" s="200"/>
      <c r="H258" s="264"/>
      <c r="I258" s="200"/>
      <c r="J258" s="264"/>
      <c r="K258" s="200"/>
      <c r="L258" s="264"/>
      <c r="M258" s="200"/>
      <c r="N258" s="264"/>
      <c r="O258" s="200"/>
      <c r="P258" s="264"/>
      <c r="Q258" s="200"/>
      <c r="R258" s="264"/>
      <c r="S258" s="200"/>
      <c r="T258" s="264"/>
      <c r="U258" s="200"/>
      <c r="V258" s="264"/>
      <c r="W258" s="200"/>
      <c r="X258" s="264"/>
      <c r="Y258" s="200"/>
      <c r="Z258" s="264"/>
      <c r="AA258" s="200"/>
      <c r="AB258" s="264"/>
      <c r="AC258" s="200"/>
      <c r="AD258" s="264"/>
      <c r="AE258" s="200"/>
      <c r="AF258" s="604"/>
    </row>
    <row r="259" spans="1:74" ht="13.5" customHeight="1">
      <c r="A259" s="206"/>
      <c r="B259" s="258" t="s">
        <v>373</v>
      </c>
      <c r="C259" s="254"/>
      <c r="D259" s="254" t="s">
        <v>357</v>
      </c>
      <c r="E259" s="254"/>
      <c r="F259" s="254" t="s">
        <v>350</v>
      </c>
      <c r="G259" s="254"/>
      <c r="H259" s="258" t="s">
        <v>330</v>
      </c>
      <c r="I259" s="254"/>
      <c r="J259" s="258" t="s">
        <v>302</v>
      </c>
      <c r="K259" s="254"/>
      <c r="L259" s="254" t="s">
        <v>350</v>
      </c>
      <c r="M259" s="254"/>
      <c r="N259" s="254" t="s">
        <v>357</v>
      </c>
      <c r="O259" s="254"/>
      <c r="P259" s="254" t="s">
        <v>350</v>
      </c>
      <c r="Q259" s="254"/>
      <c r="R259" s="254" t="s">
        <v>357</v>
      </c>
      <c r="S259" s="254"/>
      <c r="T259" s="258" t="s">
        <v>330</v>
      </c>
      <c r="U259" s="254"/>
      <c r="V259" s="254" t="s">
        <v>357</v>
      </c>
      <c r="W259" s="254"/>
      <c r="X259" s="254" t="s">
        <v>350</v>
      </c>
      <c r="Y259" s="254"/>
      <c r="Z259" s="254" t="s">
        <v>350</v>
      </c>
      <c r="AA259" s="254"/>
      <c r="AB259" s="254" t="s">
        <v>350</v>
      </c>
      <c r="AC259" s="254"/>
      <c r="AD259" s="254" t="s">
        <v>350</v>
      </c>
      <c r="AE259" s="254"/>
      <c r="AF259" s="604"/>
    </row>
    <row r="260" spans="1:74" ht="13.5" hidden="1" customHeight="1">
      <c r="A260" s="206"/>
      <c r="B260" s="200"/>
      <c r="C260" s="254"/>
      <c r="D260" s="200"/>
      <c r="E260" s="254"/>
      <c r="F260" s="200"/>
      <c r="G260" s="200"/>
      <c r="H260" s="200"/>
      <c r="I260" s="200"/>
      <c r="J260" s="200"/>
      <c r="K260" s="254"/>
      <c r="L260" s="200"/>
      <c r="M260" s="254"/>
      <c r="N260" s="200"/>
      <c r="O260" s="254"/>
      <c r="P260" s="200"/>
      <c r="Q260" s="254"/>
      <c r="R260" s="200"/>
      <c r="S260" s="254"/>
      <c r="T260" s="200"/>
      <c r="U260" s="254"/>
      <c r="V260" s="200"/>
      <c r="W260" s="254"/>
      <c r="X260" s="200"/>
      <c r="Y260" s="254"/>
      <c r="Z260" s="200"/>
      <c r="AA260" s="254"/>
      <c r="AB260" s="200"/>
      <c r="AC260" s="615"/>
      <c r="AD260" s="200"/>
      <c r="AE260" s="200"/>
      <c r="AF260" s="604"/>
    </row>
    <row r="261" spans="1:74" ht="13.5" hidden="1" customHeight="1">
      <c r="A261" s="206"/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604"/>
    </row>
    <row r="262" spans="1:74" ht="13.5" hidden="1" customHeight="1">
      <c r="A262" s="206"/>
      <c r="B262" s="254"/>
      <c r="C262" s="200"/>
      <c r="D262" s="254"/>
      <c r="E262" s="254"/>
      <c r="F262" s="254"/>
      <c r="G262" s="254"/>
      <c r="H262" s="254"/>
      <c r="I262" s="254"/>
      <c r="J262" s="254"/>
      <c r="K262" s="254"/>
      <c r="L262" s="254"/>
      <c r="M262" s="254"/>
      <c r="N262" s="254"/>
      <c r="O262" s="254"/>
      <c r="P262" s="254"/>
      <c r="Q262" s="254"/>
      <c r="R262" s="254"/>
      <c r="S262" s="254"/>
      <c r="T262" s="254"/>
      <c r="U262" s="254"/>
      <c r="V262" s="254"/>
      <c r="W262" s="254"/>
      <c r="X262" s="254"/>
      <c r="Y262" s="254"/>
      <c r="Z262" s="254"/>
      <c r="AA262" s="254"/>
      <c r="AB262" s="254"/>
      <c r="AC262" s="254"/>
      <c r="AD262" s="254"/>
      <c r="AE262" s="254"/>
      <c r="AF262" s="604"/>
    </row>
    <row r="263" spans="1:74" ht="13.5" hidden="1" customHeight="1">
      <c r="A263" s="206"/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604"/>
    </row>
    <row r="264" spans="1:74" ht="13.5" hidden="1" customHeight="1">
      <c r="A264" s="206"/>
      <c r="B264" s="254"/>
      <c r="C264" s="254"/>
      <c r="D264" s="254"/>
      <c r="E264" s="254"/>
      <c r="F264" s="254"/>
      <c r="G264" s="254"/>
      <c r="H264" s="254"/>
      <c r="I264" s="254"/>
      <c r="J264" s="254"/>
      <c r="K264" s="254"/>
      <c r="L264" s="254"/>
      <c r="M264" s="200"/>
      <c r="N264" s="254"/>
      <c r="O264" s="254"/>
      <c r="P264" s="254"/>
      <c r="Q264" s="200"/>
      <c r="R264" s="254"/>
      <c r="S264" s="254"/>
      <c r="T264" s="254"/>
      <c r="U264" s="254"/>
      <c r="V264" s="254"/>
      <c r="W264" s="254"/>
      <c r="X264" s="254"/>
      <c r="Y264" s="254"/>
      <c r="Z264" s="254"/>
      <c r="AA264" s="254"/>
      <c r="AB264" s="254"/>
      <c r="AC264" s="254"/>
      <c r="AD264" s="254"/>
      <c r="AE264" s="254"/>
      <c r="AF264" s="604"/>
    </row>
    <row r="265" spans="1:74" ht="13.5" hidden="1" customHeight="1" thickBot="1">
      <c r="A265" s="206"/>
      <c r="B265" s="254"/>
      <c r="C265" s="254"/>
      <c r="D265" s="254"/>
      <c r="E265" s="254"/>
      <c r="F265" s="254"/>
      <c r="G265" s="254"/>
      <c r="H265" s="254"/>
      <c r="I265" s="254"/>
      <c r="J265" s="254"/>
      <c r="K265" s="254"/>
      <c r="L265" s="254"/>
      <c r="M265" s="200"/>
      <c r="N265" s="254"/>
      <c r="O265" s="254"/>
      <c r="P265" s="254"/>
      <c r="Q265" s="200"/>
      <c r="R265" s="254"/>
      <c r="S265" s="254"/>
      <c r="T265" s="254"/>
      <c r="U265" s="254"/>
      <c r="V265" s="254"/>
      <c r="W265" s="254"/>
      <c r="X265" s="254"/>
      <c r="Y265" s="254"/>
      <c r="Z265" s="254"/>
      <c r="AA265" s="254"/>
      <c r="AB265" s="254"/>
      <c r="AC265" s="254"/>
      <c r="AD265" s="254"/>
      <c r="AE265" s="254"/>
      <c r="AF265" s="604"/>
    </row>
    <row r="266" spans="1:74" ht="13.5" hidden="1" customHeight="1">
      <c r="A266" s="206"/>
      <c r="B266" s="261"/>
      <c r="C266" s="609"/>
      <c r="D266" s="261"/>
      <c r="E266" s="609"/>
      <c r="F266" s="261"/>
      <c r="G266" s="609"/>
      <c r="H266" s="261"/>
      <c r="I266" s="609"/>
      <c r="J266" s="261"/>
      <c r="K266" s="609"/>
      <c r="L266" s="261"/>
      <c r="M266" s="609"/>
      <c r="N266" s="261"/>
      <c r="O266" s="609"/>
      <c r="P266" s="261"/>
      <c r="Q266" s="609"/>
      <c r="R266" s="261"/>
      <c r="S266" s="609"/>
      <c r="T266" s="261"/>
      <c r="U266" s="609"/>
      <c r="V266" s="261"/>
      <c r="W266" s="609"/>
      <c r="X266" s="261"/>
      <c r="Y266" s="609"/>
      <c r="Z266" s="261"/>
      <c r="AA266" s="609"/>
      <c r="AB266" s="261"/>
      <c r="AC266" s="609"/>
      <c r="AD266" s="261"/>
      <c r="AE266" s="609"/>
      <c r="AF266" s="604"/>
    </row>
    <row r="267" spans="1:74" ht="13.5" hidden="1" customHeight="1">
      <c r="A267" s="206"/>
      <c r="B267" s="262"/>
      <c r="C267" s="611"/>
      <c r="D267" s="263"/>
      <c r="E267" s="611"/>
      <c r="F267" s="263"/>
      <c r="G267" s="611"/>
      <c r="H267" s="263"/>
      <c r="I267" s="611"/>
      <c r="J267" s="263"/>
      <c r="K267" s="611"/>
      <c r="L267" s="263"/>
      <c r="M267" s="611"/>
      <c r="N267" s="263"/>
      <c r="O267" s="611"/>
      <c r="P267" s="263"/>
      <c r="Q267" s="611"/>
      <c r="R267" s="263"/>
      <c r="S267" s="611"/>
      <c r="T267" s="263"/>
      <c r="U267" s="611"/>
      <c r="V267" s="263"/>
      <c r="W267" s="611"/>
      <c r="X267" s="263"/>
      <c r="Y267" s="611"/>
      <c r="Z267" s="263"/>
      <c r="AA267" s="611"/>
      <c r="AB267" s="263"/>
      <c r="AC267" s="611"/>
      <c r="AD267" s="263"/>
      <c r="AE267" s="611"/>
      <c r="AF267" s="604"/>
    </row>
    <row r="268" spans="1:74" ht="13.5" hidden="1" customHeight="1" thickBot="1">
      <c r="A268" s="206"/>
      <c r="B268" s="264"/>
      <c r="C268" s="200"/>
      <c r="D268" s="264"/>
      <c r="E268" s="200"/>
      <c r="F268" s="264"/>
      <c r="G268" s="200"/>
      <c r="H268" s="264"/>
      <c r="I268" s="200"/>
      <c r="J268" s="264"/>
      <c r="K268" s="200"/>
      <c r="L268" s="264"/>
      <c r="M268" s="200"/>
      <c r="N268" s="264"/>
      <c r="O268" s="200"/>
      <c r="P268" s="264"/>
      <c r="Q268" s="200"/>
      <c r="R268" s="264"/>
      <c r="S268" s="200"/>
      <c r="T268" s="264"/>
      <c r="U268" s="200"/>
      <c r="V268" s="264"/>
      <c r="W268" s="200"/>
      <c r="X268" s="264"/>
      <c r="Y268" s="200"/>
      <c r="Z268" s="264"/>
      <c r="AA268" s="200"/>
      <c r="AB268" s="264"/>
      <c r="AC268" s="200"/>
      <c r="AD268" s="264"/>
      <c r="AE268" s="200"/>
      <c r="AF268" s="604"/>
    </row>
    <row r="269" spans="1:74" ht="13.5" hidden="1" customHeight="1">
      <c r="A269" s="206"/>
      <c r="B269" s="254"/>
      <c r="C269" s="254"/>
      <c r="D269" s="254"/>
      <c r="E269" s="254"/>
      <c r="F269" s="254"/>
      <c r="G269" s="254"/>
      <c r="H269" s="254"/>
      <c r="I269" s="254"/>
      <c r="J269" s="254"/>
      <c r="K269" s="254"/>
      <c r="L269" s="254"/>
      <c r="M269" s="254"/>
      <c r="N269" s="258"/>
      <c r="O269" s="254"/>
      <c r="P269" s="254"/>
      <c r="Q269" s="254"/>
      <c r="R269" s="254"/>
      <c r="S269" s="254"/>
      <c r="T269" s="254"/>
      <c r="U269" s="254"/>
      <c r="V269" s="254"/>
      <c r="W269" s="254"/>
      <c r="X269" s="254"/>
      <c r="Y269" s="254"/>
      <c r="Z269" s="254"/>
      <c r="AA269" s="254"/>
      <c r="AB269" s="258"/>
      <c r="AC269" s="254"/>
      <c r="AD269" s="254"/>
      <c r="AE269" s="254"/>
      <c r="AF269" s="604"/>
    </row>
    <row r="270" spans="1:74" ht="13.5" hidden="1" customHeight="1">
      <c r="A270" s="206"/>
      <c r="B270" s="200"/>
      <c r="C270" s="254"/>
      <c r="D270" s="200"/>
      <c r="E270" s="254"/>
      <c r="F270" s="200"/>
      <c r="G270" s="254"/>
      <c r="H270" s="200"/>
      <c r="I270" s="254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54"/>
      <c r="V270" s="200"/>
      <c r="W270" s="254"/>
      <c r="X270" s="200"/>
      <c r="Y270" s="254"/>
      <c r="Z270" s="200"/>
      <c r="AA270" s="200"/>
      <c r="AB270" s="200"/>
      <c r="AC270" s="200"/>
      <c r="AD270" s="200"/>
      <c r="AE270" s="200"/>
      <c r="AF270" s="604"/>
    </row>
    <row r="271" spans="1:74" ht="13.5" hidden="1" customHeight="1" thickBot="1">
      <c r="A271" s="259"/>
      <c r="B271" s="260"/>
      <c r="C271" s="260"/>
      <c r="D271" s="260"/>
      <c r="E271" s="260"/>
      <c r="F271" s="260"/>
      <c r="G271" s="260"/>
      <c r="H271" s="260"/>
      <c r="I271" s="260"/>
      <c r="J271" s="260"/>
      <c r="K271" s="260"/>
      <c r="L271" s="260"/>
      <c r="M271" s="260"/>
      <c r="N271" s="260"/>
      <c r="O271" s="260"/>
      <c r="P271" s="260"/>
      <c r="Q271" s="260"/>
      <c r="R271" s="260"/>
      <c r="S271" s="260"/>
      <c r="T271" s="260"/>
      <c r="U271" s="260"/>
      <c r="V271" s="260"/>
      <c r="W271" s="260"/>
      <c r="X271" s="260"/>
      <c r="Y271" s="260"/>
      <c r="Z271" s="260"/>
      <c r="AA271" s="260"/>
      <c r="AB271" s="260"/>
      <c r="AC271" s="260"/>
      <c r="AD271" s="260"/>
      <c r="AE271" s="260"/>
      <c r="AF271" s="643"/>
    </row>
    <row r="272" spans="1:74" ht="13.5" customHeight="1">
      <c r="A272" s="644"/>
      <c r="E272" s="167"/>
      <c r="G272" s="167"/>
      <c r="I272" s="167"/>
      <c r="M272" s="167"/>
      <c r="AF272" s="640"/>
      <c r="BV272" s="199"/>
    </row>
    <row r="273" spans="1:32" ht="13.5" customHeight="1">
      <c r="A273" s="644"/>
      <c r="E273" s="167"/>
      <c r="G273" s="167"/>
      <c r="I273" s="167"/>
      <c r="M273" s="167"/>
      <c r="AF273" s="640"/>
    </row>
    <row r="274" spans="1:32" ht="13.5" customHeight="1">
      <c r="A274" s="644"/>
      <c r="B274" s="254">
        <v>298</v>
      </c>
      <c r="C274" s="254"/>
      <c r="D274" s="254">
        <v>299</v>
      </c>
      <c r="E274" s="254"/>
      <c r="F274" s="254">
        <v>300</v>
      </c>
      <c r="G274" s="254"/>
      <c r="X274" s="572"/>
      <c r="AF274" s="640"/>
    </row>
    <row r="275" spans="1:32" ht="13.5" customHeight="1">
      <c r="A275" s="644"/>
      <c r="B275" s="304" t="s">
        <v>773</v>
      </c>
      <c r="C275" s="254"/>
      <c r="D275" s="304" t="s">
        <v>1183</v>
      </c>
      <c r="E275" s="254"/>
      <c r="F275" s="573" t="s">
        <v>1176</v>
      </c>
      <c r="G275" s="254"/>
      <c r="X275" s="572"/>
      <c r="AF275" s="640"/>
    </row>
    <row r="276" spans="1:32" ht="13.5" customHeight="1">
      <c r="A276" s="644"/>
      <c r="B276" s="200"/>
      <c r="C276" s="200"/>
      <c r="D276" s="200"/>
      <c r="E276" s="200"/>
      <c r="F276" s="200"/>
      <c r="G276" s="200"/>
      <c r="AF276" s="640"/>
    </row>
    <row r="277" spans="1:32" ht="13.5" customHeight="1">
      <c r="A277" s="644"/>
      <c r="B277" s="254"/>
      <c r="C277" s="200"/>
      <c r="D277" s="254"/>
      <c r="E277" s="254"/>
      <c r="F277" s="254"/>
      <c r="G277" s="200"/>
      <c r="AF277" s="640"/>
    </row>
    <row r="278" spans="1:32" ht="13.5" customHeight="1" thickBot="1">
      <c r="A278" s="644"/>
      <c r="B278" s="254"/>
      <c r="C278" s="200"/>
      <c r="D278" s="254"/>
      <c r="E278" s="254"/>
      <c r="F278" s="254"/>
      <c r="G278" s="200"/>
      <c r="AF278" s="640"/>
    </row>
    <row r="279" spans="1:32" ht="13.5" customHeight="1">
      <c r="A279" s="644"/>
      <c r="B279" s="261"/>
      <c r="C279" s="609"/>
      <c r="D279" s="261"/>
      <c r="E279" s="609"/>
      <c r="F279" s="261"/>
      <c r="G279" s="609"/>
      <c r="AF279" s="640"/>
    </row>
    <row r="280" spans="1:32" ht="13.5" customHeight="1">
      <c r="A280" s="644"/>
      <c r="B280" s="262"/>
      <c r="C280" s="611">
        <v>414</v>
      </c>
      <c r="D280" s="263"/>
      <c r="E280" s="611">
        <v>421</v>
      </c>
      <c r="F280" s="263"/>
      <c r="G280" s="611"/>
      <c r="AF280" s="640"/>
    </row>
    <row r="281" spans="1:32" ht="13.5" customHeight="1" thickBot="1">
      <c r="A281" s="644"/>
      <c r="B281" s="264"/>
      <c r="C281" s="200"/>
      <c r="D281" s="264"/>
      <c r="E281" s="200"/>
      <c r="F281" s="264"/>
      <c r="G281" s="200"/>
      <c r="AF281" s="640"/>
    </row>
    <row r="282" spans="1:32" ht="13.5" customHeight="1">
      <c r="A282" s="644"/>
      <c r="B282" s="258" t="s">
        <v>373</v>
      </c>
      <c r="C282" s="254"/>
      <c r="D282" s="254" t="s">
        <v>357</v>
      </c>
      <c r="E282" s="254"/>
      <c r="F282" s="254" t="s">
        <v>1176</v>
      </c>
      <c r="G282" s="254"/>
      <c r="AF282" s="640"/>
    </row>
    <row r="283" spans="1:32" ht="13.5" customHeight="1">
      <c r="A283" s="644"/>
      <c r="B283" s="200"/>
      <c r="C283" s="254"/>
      <c r="D283" s="200"/>
      <c r="E283" s="254"/>
      <c r="F283" s="200"/>
      <c r="G283" s="200"/>
      <c r="H283" s="200"/>
      <c r="I283" s="200"/>
      <c r="J283" s="200"/>
      <c r="K283" s="254"/>
      <c r="AF283" s="640"/>
    </row>
    <row r="284" spans="1:32" ht="13.5" customHeight="1" thickBot="1">
      <c r="A284" s="645"/>
      <c r="B284" s="260"/>
      <c r="C284" s="260"/>
      <c r="D284" s="260"/>
      <c r="E284" s="260"/>
      <c r="F284" s="260"/>
      <c r="G284" s="260"/>
      <c r="H284" s="260"/>
      <c r="I284" s="260"/>
      <c r="J284" s="260"/>
      <c r="K284" s="260"/>
      <c r="L284" s="646"/>
      <c r="M284" s="646"/>
      <c r="N284" s="646"/>
      <c r="O284" s="646"/>
      <c r="P284" s="646"/>
      <c r="Q284" s="646"/>
      <c r="R284" s="646"/>
      <c r="S284" s="646"/>
      <c r="T284" s="646"/>
      <c r="U284" s="646"/>
      <c r="V284" s="646"/>
      <c r="W284" s="646"/>
      <c r="X284" s="646"/>
      <c r="Y284" s="646"/>
      <c r="Z284" s="646"/>
      <c r="AA284" s="646"/>
      <c r="AB284" s="646"/>
      <c r="AC284" s="646"/>
      <c r="AD284" s="646"/>
      <c r="AE284" s="646"/>
      <c r="AF284" s="647"/>
    </row>
    <row r="285" spans="1:32" ht="13.5" customHeight="1"/>
    <row r="286" spans="1:32" ht="13.5" customHeight="1"/>
    <row r="287" spans="1:32" ht="13.5" customHeight="1"/>
    <row r="288" spans="1:32" ht="13.5" customHeight="1"/>
    <row r="289" spans="5:9" ht="12.6" customHeight="1"/>
    <row r="290" spans="5:9" ht="12.6" customHeight="1"/>
    <row r="291" spans="5:9" ht="12.6" customHeight="1"/>
    <row r="292" spans="5:9" ht="12.6" customHeight="1"/>
    <row r="293" spans="5:9" ht="12.6" customHeight="1"/>
    <row r="294" spans="5:9" ht="12.6" customHeight="1"/>
    <row r="295" spans="5:9" ht="12.6" customHeight="1">
      <c r="E295" s="167"/>
      <c r="G295" s="167"/>
      <c r="I295" s="167"/>
    </row>
    <row r="296" spans="5:9" ht="12.6" customHeight="1">
      <c r="G296" s="167"/>
      <c r="I296" s="167"/>
    </row>
    <row r="297" spans="5:9" ht="12.6" customHeight="1">
      <c r="G297" s="167"/>
      <c r="I297" s="167"/>
    </row>
    <row r="298" spans="5:9" ht="12.6" customHeight="1">
      <c r="G298" s="167"/>
      <c r="I298" s="167"/>
    </row>
    <row r="299" spans="5:9" ht="12.6" customHeight="1">
      <c r="G299" s="167"/>
      <c r="I299" s="167"/>
    </row>
    <row r="300" spans="5:9" ht="12.6" customHeight="1">
      <c r="G300" s="167"/>
      <c r="I300" s="167"/>
    </row>
    <row r="301" spans="5:9" ht="12.6" customHeight="1">
      <c r="G301" s="167"/>
      <c r="I301" s="167"/>
    </row>
    <row r="302" spans="5:9" ht="12.6" customHeight="1">
      <c r="G302" s="167"/>
      <c r="I302" s="167"/>
    </row>
    <row r="303" spans="5:9" ht="12.6" customHeight="1">
      <c r="G303" s="167"/>
      <c r="I303" s="167"/>
    </row>
    <row r="304" spans="5:9" ht="12.6" customHeight="1">
      <c r="G304" s="167"/>
      <c r="I304" s="167"/>
    </row>
    <row r="305" spans="7:9" ht="12.6" customHeight="1">
      <c r="G305" s="167"/>
      <c r="I305" s="167"/>
    </row>
    <row r="306" spans="7:9" ht="12.6" customHeight="1">
      <c r="G306" s="167"/>
      <c r="I306" s="167"/>
    </row>
    <row r="307" spans="7:9" ht="12.6" customHeight="1">
      <c r="G307" s="167"/>
      <c r="I307" s="167"/>
    </row>
    <row r="308" spans="7:9" ht="12.6" customHeight="1">
      <c r="G308" s="167"/>
      <c r="I308" s="167"/>
    </row>
    <row r="309" spans="7:9" ht="12.6" customHeight="1">
      <c r="G309" s="167"/>
      <c r="I309" s="167"/>
    </row>
    <row r="310" spans="7:9" ht="12.6" customHeight="1">
      <c r="G310" s="167"/>
      <c r="I310" s="167"/>
    </row>
    <row r="311" spans="7:9" ht="12.6" customHeight="1">
      <c r="G311" s="167"/>
      <c r="I311" s="167"/>
    </row>
    <row r="312" spans="7:9" ht="12.6" customHeight="1">
      <c r="G312" s="167"/>
      <c r="I312" s="167"/>
    </row>
    <row r="313" spans="7:9" ht="12.6" customHeight="1">
      <c r="G313" s="167"/>
      <c r="I313" s="167"/>
    </row>
    <row r="314" spans="7:9" ht="12.6" customHeight="1">
      <c r="G314" s="167"/>
      <c r="I314" s="167"/>
    </row>
    <row r="315" spans="7:9" ht="12.6" customHeight="1">
      <c r="G315" s="167"/>
      <c r="I315" s="167"/>
    </row>
    <row r="316" spans="7:9" ht="12.6" customHeight="1">
      <c r="G316" s="167"/>
      <c r="I316" s="167"/>
    </row>
    <row r="317" spans="7:9" ht="12.6" customHeight="1">
      <c r="G317" s="167"/>
    </row>
    <row r="318" spans="7:9" ht="12.6" customHeight="1">
      <c r="G318" s="167"/>
    </row>
    <row r="319" spans="7:9" ht="12.6" customHeight="1"/>
    <row r="320" spans="7:9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  <row r="833" ht="12.6" customHeight="1"/>
    <row r="834" ht="12.6" customHeight="1"/>
    <row r="835" ht="12.6" customHeight="1"/>
    <row r="836" ht="12.6" customHeight="1"/>
    <row r="837" ht="12.6" customHeight="1"/>
    <row r="838" ht="12.6" customHeight="1"/>
    <row r="839" ht="12.6" customHeight="1"/>
    <row r="840" ht="12.6" customHeight="1"/>
    <row r="841" ht="12.6" customHeight="1"/>
    <row r="842" ht="12.6" customHeight="1"/>
    <row r="843" ht="12.6" customHeight="1"/>
    <row r="844" ht="12.6" customHeight="1"/>
    <row r="845" ht="12.6" customHeight="1"/>
    <row r="846" ht="12.6" customHeight="1"/>
    <row r="847" ht="12.6" customHeight="1"/>
    <row r="848" ht="12.6" customHeight="1"/>
    <row r="849" ht="12.6" customHeight="1"/>
    <row r="850" ht="12.6" customHeight="1"/>
    <row r="851" ht="12.6" customHeight="1"/>
    <row r="852" ht="12.6" customHeight="1"/>
    <row r="853" ht="12.6" customHeight="1"/>
    <row r="854" ht="12.6" customHeight="1"/>
    <row r="855" ht="12.6" customHeight="1"/>
    <row r="856" ht="12.6" customHeight="1"/>
    <row r="857" ht="12.6" customHeight="1"/>
    <row r="858" ht="12.6" customHeight="1"/>
    <row r="859" ht="12.6" customHeight="1"/>
    <row r="860" ht="12.6" customHeight="1"/>
    <row r="861" ht="12.6" customHeight="1"/>
    <row r="862" ht="12.6" customHeight="1"/>
    <row r="863" ht="12.6" customHeight="1"/>
    <row r="864" ht="12.6" customHeight="1"/>
    <row r="865" ht="12.6" customHeight="1"/>
    <row r="866" ht="12.6" customHeight="1"/>
    <row r="867" ht="12.6" customHeight="1"/>
    <row r="868" ht="12.6" customHeight="1"/>
    <row r="869" ht="12.6" customHeight="1"/>
    <row r="870" ht="12.6" customHeight="1"/>
    <row r="871" ht="12.6" customHeight="1"/>
    <row r="872" ht="12.6" customHeight="1"/>
    <row r="873" ht="12.6" customHeight="1"/>
    <row r="874" ht="12.6" customHeight="1"/>
    <row r="875" ht="12.6" customHeight="1"/>
    <row r="876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230:R232"/>
    <mergeCell ref="X230:X232"/>
    <mergeCell ref="Z230:Z232"/>
    <mergeCell ref="AB230:AB232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scale="57" fitToHeight="0" orientation="landscape" r:id="rId1"/>
  <headerFooter>
    <oddFooter>&amp;F&amp;RPage &amp;P</oddFooter>
  </headerFooter>
  <rowBreaks count="4" manualBreakCount="4">
    <brk id="55" max="31" man="1"/>
    <brk id="112" max="31" man="1"/>
    <brk id="174" max="31" man="1"/>
    <brk id="298" max="16383" man="1"/>
  </rowBreaks>
  <colBreaks count="1" manualBreakCount="1">
    <brk id="1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24" t="s">
        <v>667</v>
      </c>
      <c r="B1" s="825"/>
      <c r="C1" s="825"/>
      <c r="D1" s="825"/>
      <c r="E1" s="825"/>
      <c r="F1" s="825"/>
      <c r="G1" s="825"/>
      <c r="H1" s="825"/>
      <c r="I1" s="825"/>
      <c r="J1" s="825"/>
      <c r="K1" s="825"/>
      <c r="L1" s="826"/>
      <c r="M1" s="253"/>
      <c r="N1" s="249"/>
    </row>
    <row r="2" spans="1:14" ht="62.25">
      <c r="A2" s="299" t="s">
        <v>244</v>
      </c>
      <c r="B2" s="299" t="s">
        <v>338</v>
      </c>
      <c r="C2" s="299" t="s">
        <v>339</v>
      </c>
      <c r="D2" s="299" t="s">
        <v>263</v>
      </c>
      <c r="E2" s="300" t="s">
        <v>668</v>
      </c>
      <c r="F2" s="299" t="s">
        <v>341</v>
      </c>
      <c r="G2" s="299" t="s">
        <v>342</v>
      </c>
      <c r="H2" s="301" t="s">
        <v>343</v>
      </c>
      <c r="I2" s="299" t="s">
        <v>344</v>
      </c>
      <c r="J2" s="299" t="s">
        <v>33</v>
      </c>
      <c r="K2" s="299" t="s">
        <v>345</v>
      </c>
      <c r="L2" s="299" t="s">
        <v>346</v>
      </c>
      <c r="M2" s="299" t="s">
        <v>347</v>
      </c>
      <c r="N2" s="29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669</v>
      </c>
      <c r="E3" s="11"/>
      <c r="F3" s="298">
        <v>46125</v>
      </c>
      <c r="G3" s="10" t="s">
        <v>670</v>
      </c>
      <c r="H3" s="11"/>
      <c r="I3" s="11"/>
      <c r="J3" s="11"/>
      <c r="K3" s="11" t="s">
        <v>671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672</v>
      </c>
      <c r="C2" s="144" t="s">
        <v>259</v>
      </c>
      <c r="D2" s="144" t="s">
        <v>673</v>
      </c>
      <c r="E2" s="144" t="s">
        <v>674</v>
      </c>
    </row>
    <row r="3" spans="1:5">
      <c r="A3" s="30">
        <v>1</v>
      </c>
      <c r="B3" s="25" t="s">
        <v>675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676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677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678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679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680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681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682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683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684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685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686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687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688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689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642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690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691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692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693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694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695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696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697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698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699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675</v>
      </c>
      <c r="D3" t="s">
        <v>700</v>
      </c>
      <c r="E3" t="s">
        <v>519</v>
      </c>
      <c r="F3" t="s">
        <v>520</v>
      </c>
      <c r="G3" t="s">
        <v>521</v>
      </c>
      <c r="H3" t="s">
        <v>701</v>
      </c>
      <c r="I3" t="s">
        <v>702</v>
      </c>
      <c r="J3" t="s">
        <v>522</v>
      </c>
      <c r="K3" t="s">
        <v>703</v>
      </c>
      <c r="L3" t="s">
        <v>704</v>
      </c>
      <c r="M3" t="s">
        <v>705</v>
      </c>
      <c r="N3" t="s">
        <v>676</v>
      </c>
      <c r="O3" t="s">
        <v>706</v>
      </c>
      <c r="P3" t="s">
        <v>707</v>
      </c>
      <c r="Q3" t="s">
        <v>677</v>
      </c>
      <c r="R3" t="s">
        <v>523</v>
      </c>
      <c r="S3" t="s">
        <v>708</v>
      </c>
      <c r="T3" t="s">
        <v>678</v>
      </c>
      <c r="U3" t="s">
        <v>679</v>
      </c>
      <c r="V3" t="s">
        <v>709</v>
      </c>
      <c r="W3" t="s">
        <v>710</v>
      </c>
      <c r="X3" t="s">
        <v>711</v>
      </c>
      <c r="Y3" t="s">
        <v>712</v>
      </c>
      <c r="Z3" t="s">
        <v>713</v>
      </c>
      <c r="AA3" t="s">
        <v>714</v>
      </c>
      <c r="AB3" t="s">
        <v>715</v>
      </c>
      <c r="AC3" t="s">
        <v>716</v>
      </c>
      <c r="AD3" t="s">
        <v>272</v>
      </c>
      <c r="AE3" t="s">
        <v>526</v>
      </c>
      <c r="AF3" t="s">
        <v>527</v>
      </c>
      <c r="AG3" t="s">
        <v>277</v>
      </c>
      <c r="AH3" t="s">
        <v>717</v>
      </c>
      <c r="AI3" t="s">
        <v>718</v>
      </c>
      <c r="AJ3" t="s">
        <v>719</v>
      </c>
      <c r="AK3" t="s">
        <v>720</v>
      </c>
      <c r="AL3" t="s">
        <v>680</v>
      </c>
      <c r="AM3" t="s">
        <v>721</v>
      </c>
      <c r="AN3" t="s">
        <v>722</v>
      </c>
      <c r="AO3" t="s">
        <v>723</v>
      </c>
      <c r="AP3" t="s">
        <v>135</v>
      </c>
      <c r="AQ3" t="s">
        <v>173</v>
      </c>
      <c r="AR3" t="s">
        <v>167</v>
      </c>
      <c r="AS3" t="s">
        <v>563</v>
      </c>
      <c r="AT3" t="s">
        <v>564</v>
      </c>
      <c r="AU3" t="s">
        <v>541</v>
      </c>
      <c r="AV3" t="s">
        <v>542</v>
      </c>
      <c r="AW3" t="s">
        <v>543</v>
      </c>
      <c r="AX3" t="s">
        <v>724</v>
      </c>
      <c r="AY3" t="s">
        <v>725</v>
      </c>
      <c r="AZ3" t="s">
        <v>726</v>
      </c>
      <c r="BA3" t="s">
        <v>727</v>
      </c>
      <c r="BB3" t="s">
        <v>545</v>
      </c>
      <c r="BC3" t="s">
        <v>728</v>
      </c>
      <c r="BD3" t="s">
        <v>729</v>
      </c>
      <c r="BE3" t="s">
        <v>442</v>
      </c>
      <c r="BF3" t="s">
        <v>448</v>
      </c>
      <c r="BG3" t="s">
        <v>378</v>
      </c>
      <c r="BH3" t="s">
        <v>730</v>
      </c>
      <c r="BI3" t="s">
        <v>731</v>
      </c>
      <c r="BJ3" t="s">
        <v>372</v>
      </c>
      <c r="BK3" t="s">
        <v>136</v>
      </c>
      <c r="BL3" t="s">
        <v>370</v>
      </c>
      <c r="BM3" t="s">
        <v>732</v>
      </c>
      <c r="BN3" t="s">
        <v>368</v>
      </c>
      <c r="BO3" t="s">
        <v>681</v>
      </c>
      <c r="BP3" t="s">
        <v>682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683</v>
      </c>
      <c r="CA3" t="s">
        <v>733</v>
      </c>
      <c r="CB3" t="s">
        <v>684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685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734</v>
      </c>
      <c r="DA3" t="s">
        <v>558</v>
      </c>
      <c r="DB3" t="s">
        <v>445</v>
      </c>
      <c r="DC3" t="s">
        <v>453</v>
      </c>
      <c r="DD3" t="s">
        <v>735</v>
      </c>
      <c r="DE3" t="s">
        <v>736</v>
      </c>
      <c r="DF3" t="s">
        <v>455</v>
      </c>
      <c r="DG3" t="s">
        <v>450</v>
      </c>
      <c r="DH3" t="s">
        <v>361</v>
      </c>
      <c r="DI3" t="s">
        <v>360</v>
      </c>
      <c r="DJ3" t="s">
        <v>737</v>
      </c>
      <c r="DK3" t="s">
        <v>738</v>
      </c>
      <c r="DL3" t="s">
        <v>739</v>
      </c>
      <c r="DM3" t="s">
        <v>577</v>
      </c>
      <c r="DN3" t="s">
        <v>181</v>
      </c>
      <c r="DO3" t="s">
        <v>165</v>
      </c>
      <c r="DP3" t="s">
        <v>593</v>
      </c>
      <c r="DQ3" t="s">
        <v>594</v>
      </c>
      <c r="DR3" t="s">
        <v>598</v>
      </c>
      <c r="DS3" t="s">
        <v>600</v>
      </c>
      <c r="DT3" t="s">
        <v>601</v>
      </c>
      <c r="DU3" t="s">
        <v>602</v>
      </c>
      <c r="DV3" t="s">
        <v>740</v>
      </c>
      <c r="DW3" t="s">
        <v>741</v>
      </c>
      <c r="DX3" t="s">
        <v>742</v>
      </c>
      <c r="DY3" t="s">
        <v>743</v>
      </c>
      <c r="DZ3" t="s">
        <v>744</v>
      </c>
      <c r="EA3" t="s">
        <v>182</v>
      </c>
      <c r="EB3" t="s">
        <v>141</v>
      </c>
      <c r="EC3" t="s">
        <v>605</v>
      </c>
      <c r="ED3" t="s">
        <v>606</v>
      </c>
      <c r="EE3" t="s">
        <v>607</v>
      </c>
      <c r="EF3" t="s">
        <v>612</v>
      </c>
      <c r="EG3" t="s">
        <v>745</v>
      </c>
      <c r="EH3" t="s">
        <v>746</v>
      </c>
      <c r="EI3" t="s">
        <v>142</v>
      </c>
      <c r="EJ3" t="s">
        <v>747</v>
      </c>
      <c r="EK3" t="s">
        <v>748</v>
      </c>
      <c r="EL3" t="s">
        <v>144</v>
      </c>
      <c r="EM3" t="s">
        <v>749</v>
      </c>
      <c r="EN3" t="s">
        <v>750</v>
      </c>
      <c r="EO3" t="s">
        <v>751</v>
      </c>
      <c r="EP3" t="s">
        <v>752</v>
      </c>
      <c r="EQ3" t="s">
        <v>686</v>
      </c>
      <c r="ER3" t="s">
        <v>183</v>
      </c>
      <c r="ES3" t="s">
        <v>753</v>
      </c>
      <c r="ET3" t="s">
        <v>754</v>
      </c>
      <c r="EU3" t="s">
        <v>755</v>
      </c>
      <c r="EV3" t="s">
        <v>613</v>
      </c>
      <c r="EW3" t="s">
        <v>614</v>
      </c>
      <c r="EX3" t="s">
        <v>615</v>
      </c>
      <c r="EY3" t="s">
        <v>145</v>
      </c>
      <c r="EZ3" t="s">
        <v>616</v>
      </c>
      <c r="FA3" t="s">
        <v>146</v>
      </c>
      <c r="FB3" t="s">
        <v>756</v>
      </c>
      <c r="FC3" t="s">
        <v>757</v>
      </c>
      <c r="FD3" t="s">
        <v>758</v>
      </c>
      <c r="FE3" t="s">
        <v>620</v>
      </c>
      <c r="FF3" t="s">
        <v>621</v>
      </c>
      <c r="FG3" t="s">
        <v>759</v>
      </c>
      <c r="FH3" t="s">
        <v>687</v>
      </c>
      <c r="FI3" t="s">
        <v>688</v>
      </c>
      <c r="FJ3" t="s">
        <v>760</v>
      </c>
      <c r="FK3" t="s">
        <v>689</v>
      </c>
      <c r="FL3" t="s">
        <v>761</v>
      </c>
      <c r="FM3" t="s">
        <v>184</v>
      </c>
      <c r="FN3" t="s">
        <v>185</v>
      </c>
      <c r="FO3" t="s">
        <v>186</v>
      </c>
      <c r="FP3" t="s">
        <v>623</v>
      </c>
      <c r="FQ3" t="s">
        <v>147</v>
      </c>
      <c r="FR3" t="s">
        <v>624</v>
      </c>
      <c r="FS3" t="s">
        <v>625</v>
      </c>
      <c r="FT3" t="s">
        <v>464</v>
      </c>
      <c r="FU3" t="s">
        <v>631</v>
      </c>
      <c r="FV3" t="s">
        <v>762</v>
      </c>
      <c r="FW3" t="s">
        <v>763</v>
      </c>
      <c r="FX3" t="s">
        <v>764</v>
      </c>
      <c r="FY3" t="s">
        <v>642</v>
      </c>
      <c r="FZ3" t="s">
        <v>148</v>
      </c>
      <c r="GA3" t="s">
        <v>647</v>
      </c>
      <c r="GB3" t="s">
        <v>149</v>
      </c>
      <c r="GC3" t="s">
        <v>150</v>
      </c>
      <c r="GD3" t="s">
        <v>151</v>
      </c>
      <c r="GE3" t="s">
        <v>421</v>
      </c>
      <c r="GF3" t="s">
        <v>665</v>
      </c>
      <c r="GG3" t="s">
        <v>463</v>
      </c>
      <c r="GH3" t="s">
        <v>765</v>
      </c>
      <c r="GI3" t="s">
        <v>766</v>
      </c>
      <c r="GJ3" t="s">
        <v>767</v>
      </c>
      <c r="GK3" t="s">
        <v>768</v>
      </c>
      <c r="GL3" t="s">
        <v>690</v>
      </c>
      <c r="GM3" t="s">
        <v>152</v>
      </c>
      <c r="GN3" t="s">
        <v>166</v>
      </c>
      <c r="GO3" t="s">
        <v>769</v>
      </c>
      <c r="GP3" t="s">
        <v>153</v>
      </c>
      <c r="GQ3" t="s">
        <v>770</v>
      </c>
      <c r="GR3" t="s">
        <v>771</v>
      </c>
      <c r="GS3" t="s">
        <v>772</v>
      </c>
      <c r="GT3" t="s">
        <v>773</v>
      </c>
      <c r="GU3" t="s">
        <v>774</v>
      </c>
      <c r="GV3" t="s">
        <v>775</v>
      </c>
      <c r="GW3" t="s">
        <v>776</v>
      </c>
      <c r="GX3" t="s">
        <v>777</v>
      </c>
      <c r="GY3" t="s">
        <v>778</v>
      </c>
      <c r="GZ3" t="s">
        <v>779</v>
      </c>
      <c r="HA3" t="s">
        <v>780</v>
      </c>
      <c r="HB3" t="s">
        <v>781</v>
      </c>
      <c r="HC3" t="s">
        <v>782</v>
      </c>
      <c r="HD3" t="s">
        <v>783</v>
      </c>
      <c r="HE3" t="s">
        <v>784</v>
      </c>
      <c r="HF3" t="s">
        <v>785</v>
      </c>
      <c r="HG3" t="s">
        <v>786</v>
      </c>
      <c r="HH3" t="s">
        <v>154</v>
      </c>
      <c r="HI3" t="s">
        <v>164</v>
      </c>
      <c r="HJ3" t="s">
        <v>787</v>
      </c>
      <c r="HK3" t="s">
        <v>788</v>
      </c>
      <c r="HL3" t="s">
        <v>789</v>
      </c>
      <c r="HM3" t="s">
        <v>790</v>
      </c>
      <c r="HN3" t="s">
        <v>791</v>
      </c>
      <c r="HO3" t="s">
        <v>792</v>
      </c>
      <c r="HP3" t="s">
        <v>793</v>
      </c>
      <c r="HQ3" t="s">
        <v>794</v>
      </c>
      <c r="HR3" t="s">
        <v>795</v>
      </c>
      <c r="HS3" t="s">
        <v>796</v>
      </c>
      <c r="HT3" t="s">
        <v>187</v>
      </c>
      <c r="HU3" t="s">
        <v>797</v>
      </c>
      <c r="HV3" t="s">
        <v>798</v>
      </c>
      <c r="HW3" t="s">
        <v>188</v>
      </c>
      <c r="HX3" t="s">
        <v>799</v>
      </c>
      <c r="HY3" t="s">
        <v>800</v>
      </c>
      <c r="HZ3" t="s">
        <v>155</v>
      </c>
      <c r="IA3" t="s">
        <v>801</v>
      </c>
      <c r="IB3" t="s">
        <v>156</v>
      </c>
      <c r="IC3" t="s">
        <v>157</v>
      </c>
      <c r="ID3" t="s">
        <v>802</v>
      </c>
      <c r="IE3" t="s">
        <v>803</v>
      </c>
      <c r="IF3" t="s">
        <v>804</v>
      </c>
      <c r="IG3" t="s">
        <v>805</v>
      </c>
      <c r="IH3" t="s">
        <v>189</v>
      </c>
      <c r="II3" t="s">
        <v>806</v>
      </c>
      <c r="IJ3" t="s">
        <v>807</v>
      </c>
      <c r="IK3" t="s">
        <v>808</v>
      </c>
      <c r="IL3" t="s">
        <v>809</v>
      </c>
      <c r="IM3" t="s">
        <v>810</v>
      </c>
      <c r="IN3" t="s">
        <v>811</v>
      </c>
      <c r="IO3" t="s">
        <v>812</v>
      </c>
      <c r="IP3" t="s">
        <v>813</v>
      </c>
      <c r="IQ3" t="s">
        <v>814</v>
      </c>
      <c r="IR3" t="s">
        <v>815</v>
      </c>
      <c r="IS3" t="s">
        <v>816</v>
      </c>
      <c r="IT3" t="s">
        <v>817</v>
      </c>
      <c r="IU3" t="s">
        <v>818</v>
      </c>
      <c r="IV3" t="s">
        <v>819</v>
      </c>
      <c r="IW3" t="s">
        <v>820</v>
      </c>
      <c r="IX3" t="s">
        <v>821</v>
      </c>
      <c r="IY3" t="s">
        <v>822</v>
      </c>
      <c r="IZ3" t="s">
        <v>823</v>
      </c>
      <c r="JA3" t="s">
        <v>190</v>
      </c>
      <c r="JB3" t="s">
        <v>824</v>
      </c>
      <c r="JC3" t="s">
        <v>825</v>
      </c>
      <c r="JD3" t="s">
        <v>826</v>
      </c>
      <c r="JE3" t="s">
        <v>827</v>
      </c>
      <c r="JF3" t="s">
        <v>828</v>
      </c>
      <c r="JG3" t="s">
        <v>829</v>
      </c>
      <c r="JH3" t="s">
        <v>830</v>
      </c>
      <c r="JI3" t="s">
        <v>831</v>
      </c>
      <c r="JJ3" t="s">
        <v>832</v>
      </c>
      <c r="JK3" t="s">
        <v>833</v>
      </c>
      <c r="JL3" t="s">
        <v>834</v>
      </c>
      <c r="JM3" t="s">
        <v>835</v>
      </c>
      <c r="JN3" t="s">
        <v>836</v>
      </c>
      <c r="JO3" t="s">
        <v>837</v>
      </c>
      <c r="JP3" t="s">
        <v>838</v>
      </c>
      <c r="JQ3" t="s">
        <v>839</v>
      </c>
      <c r="JR3" t="s">
        <v>840</v>
      </c>
      <c r="JS3" t="s">
        <v>841</v>
      </c>
      <c r="JT3" t="s">
        <v>842</v>
      </c>
      <c r="JU3" t="s">
        <v>843</v>
      </c>
      <c r="JV3" t="s">
        <v>844</v>
      </c>
      <c r="JW3" t="s">
        <v>845</v>
      </c>
      <c r="JX3" t="s">
        <v>846</v>
      </c>
      <c r="JY3" t="s">
        <v>847</v>
      </c>
      <c r="JZ3" t="s">
        <v>848</v>
      </c>
      <c r="KA3" t="s">
        <v>849</v>
      </c>
      <c r="KB3" t="s">
        <v>850</v>
      </c>
      <c r="KC3" t="s">
        <v>851</v>
      </c>
      <c r="KD3" t="s">
        <v>852</v>
      </c>
      <c r="KE3" t="s">
        <v>853</v>
      </c>
      <c r="KF3" t="s">
        <v>854</v>
      </c>
      <c r="KG3" t="s">
        <v>855</v>
      </c>
      <c r="KH3" t="s">
        <v>856</v>
      </c>
      <c r="KI3" t="s">
        <v>857</v>
      </c>
      <c r="KJ3" t="s">
        <v>858</v>
      </c>
      <c r="KK3" t="s">
        <v>859</v>
      </c>
      <c r="KL3" t="s">
        <v>860</v>
      </c>
      <c r="KM3" t="s">
        <v>861</v>
      </c>
      <c r="KN3" t="s">
        <v>862</v>
      </c>
      <c r="KO3" t="s">
        <v>863</v>
      </c>
      <c r="KP3" t="s">
        <v>864</v>
      </c>
      <c r="KQ3" t="s">
        <v>170</v>
      </c>
      <c r="KR3" t="s">
        <v>691</v>
      </c>
      <c r="KS3" t="s">
        <v>865</v>
      </c>
      <c r="KT3" t="s">
        <v>866</v>
      </c>
      <c r="KU3" t="s">
        <v>867</v>
      </c>
      <c r="KV3" t="s">
        <v>868</v>
      </c>
      <c r="KW3" t="s">
        <v>692</v>
      </c>
      <c r="KX3" t="s">
        <v>869</v>
      </c>
      <c r="KY3" t="s">
        <v>870</v>
      </c>
      <c r="KZ3" t="s">
        <v>171</v>
      </c>
      <c r="LA3" t="s">
        <v>871</v>
      </c>
      <c r="LB3" t="s">
        <v>191</v>
      </c>
      <c r="LC3" t="s">
        <v>158</v>
      </c>
      <c r="LD3" t="s">
        <v>159</v>
      </c>
      <c r="LE3" t="s">
        <v>872</v>
      </c>
      <c r="LF3" t="s">
        <v>873</v>
      </c>
      <c r="LG3" t="s">
        <v>874</v>
      </c>
      <c r="LH3" t="s">
        <v>875</v>
      </c>
      <c r="LI3" t="s">
        <v>693</v>
      </c>
      <c r="LJ3" t="s">
        <v>876</v>
      </c>
      <c r="LK3" t="s">
        <v>877</v>
      </c>
      <c r="LL3" t="s">
        <v>694</v>
      </c>
      <c r="LM3" t="s">
        <v>878</v>
      </c>
      <c r="LN3" t="s">
        <v>879</v>
      </c>
      <c r="LO3" t="s">
        <v>880</v>
      </c>
      <c r="LP3" t="s">
        <v>881</v>
      </c>
      <c r="LQ3" t="s">
        <v>695</v>
      </c>
      <c r="LR3" t="s">
        <v>882</v>
      </c>
      <c r="LS3" t="s">
        <v>160</v>
      </c>
      <c r="LT3" t="s">
        <v>192</v>
      </c>
      <c r="LU3" t="s">
        <v>696</v>
      </c>
      <c r="LV3" t="s">
        <v>161</v>
      </c>
      <c r="LW3" t="s">
        <v>697</v>
      </c>
      <c r="LX3" t="s">
        <v>698</v>
      </c>
      <c r="LY3" t="s">
        <v>883</v>
      </c>
      <c r="LZ3" t="s">
        <v>884</v>
      </c>
      <c r="MA3" t="s">
        <v>885</v>
      </c>
      <c r="MB3" t="s">
        <v>886</v>
      </c>
      <c r="MC3" t="s">
        <v>887</v>
      </c>
      <c r="MD3" t="s">
        <v>888</v>
      </c>
      <c r="ME3" t="s">
        <v>889</v>
      </c>
      <c r="MF3" t="s">
        <v>699</v>
      </c>
      <c r="MG3" t="s">
        <v>890</v>
      </c>
      <c r="MH3" t="s">
        <v>891</v>
      </c>
      <c r="MI3" t="s">
        <v>892</v>
      </c>
      <c r="MJ3" t="s">
        <v>162</v>
      </c>
      <c r="MK3" t="s">
        <v>893</v>
      </c>
      <c r="ML3" t="s">
        <v>894</v>
      </c>
      <c r="MM3" t="s">
        <v>163</v>
      </c>
      <c r="MN3" t="s">
        <v>895</v>
      </c>
      <c r="MO3" t="s">
        <v>896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897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576</v>
      </c>
      <c r="AE4" t="s">
        <v>396</v>
      </c>
      <c r="AF4" t="s">
        <v>350</v>
      </c>
      <c r="AG4" t="s">
        <v>350</v>
      </c>
      <c r="AH4" t="s">
        <v>591</v>
      </c>
      <c r="AI4" t="s">
        <v>561</v>
      </c>
      <c r="AJ4" t="s">
        <v>561</v>
      </c>
      <c r="AK4" t="s">
        <v>576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898</v>
      </c>
      <c r="AS4" t="s">
        <v>899</v>
      </c>
      <c r="AT4" t="s">
        <v>900</v>
      </c>
      <c r="AU4" t="s">
        <v>901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902</v>
      </c>
      <c r="BO4" t="s">
        <v>399</v>
      </c>
      <c r="BP4" t="s">
        <v>396</v>
      </c>
      <c r="BQ4" t="s">
        <v>903</v>
      </c>
      <c r="BR4" t="s">
        <v>326</v>
      </c>
      <c r="BS4" t="s">
        <v>399</v>
      </c>
      <c r="BT4" t="s">
        <v>300</v>
      </c>
      <c r="BU4" t="s">
        <v>335</v>
      </c>
      <c r="BV4" t="s">
        <v>904</v>
      </c>
      <c r="BW4" t="s">
        <v>904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905</v>
      </c>
      <c r="CF4" t="s">
        <v>905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904</v>
      </c>
      <c r="CP4" t="s">
        <v>904</v>
      </c>
      <c r="CQ4" t="s">
        <v>357</v>
      </c>
      <c r="CR4" t="s">
        <v>350</v>
      </c>
      <c r="CS4" t="s">
        <v>399</v>
      </c>
      <c r="CT4" t="s">
        <v>357</v>
      </c>
      <c r="CU4" t="s">
        <v>666</v>
      </c>
      <c r="CV4" t="s">
        <v>904</v>
      </c>
      <c r="CW4" t="s">
        <v>904</v>
      </c>
      <c r="CX4" t="s">
        <v>335</v>
      </c>
      <c r="CY4" t="s">
        <v>305</v>
      </c>
      <c r="CZ4" t="s">
        <v>905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906</v>
      </c>
      <c r="DG4" t="s">
        <v>905</v>
      </c>
      <c r="DH4" t="s">
        <v>907</v>
      </c>
      <c r="DI4" t="s">
        <v>389</v>
      </c>
      <c r="DJ4" t="s">
        <v>908</v>
      </c>
      <c r="DK4" t="s">
        <v>908</v>
      </c>
      <c r="DL4" t="s">
        <v>909</v>
      </c>
      <c r="DM4" t="s">
        <v>373</v>
      </c>
      <c r="DN4" t="s">
        <v>666</v>
      </c>
      <c r="DO4" t="s">
        <v>904</v>
      </c>
      <c r="DP4" t="s">
        <v>910</v>
      </c>
      <c r="DQ4" t="s">
        <v>391</v>
      </c>
      <c r="DR4" t="s">
        <v>903</v>
      </c>
      <c r="DS4" t="s">
        <v>897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911</v>
      </c>
      <c r="DZ4" t="s">
        <v>350</v>
      </c>
      <c r="EA4" t="s">
        <v>298</v>
      </c>
      <c r="EB4" t="s">
        <v>906</v>
      </c>
      <c r="EC4" t="s">
        <v>910</v>
      </c>
      <c r="ED4" t="s">
        <v>904</v>
      </c>
      <c r="EE4" t="s">
        <v>305</v>
      </c>
      <c r="EF4" t="s">
        <v>547</v>
      </c>
      <c r="EG4" t="s">
        <v>292</v>
      </c>
      <c r="EH4" t="s">
        <v>561</v>
      </c>
      <c r="EI4" t="s">
        <v>912</v>
      </c>
      <c r="EJ4" t="s">
        <v>909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903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913</v>
      </c>
      <c r="FD4" t="s">
        <v>350</v>
      </c>
      <c r="FE4" t="s">
        <v>914</v>
      </c>
      <c r="FF4" t="s">
        <v>357</v>
      </c>
      <c r="FG4" t="s">
        <v>666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915</v>
      </c>
      <c r="FT4" t="s">
        <v>916</v>
      </c>
      <c r="FU4" t="s">
        <v>330</v>
      </c>
      <c r="FV4" t="s">
        <v>917</v>
      </c>
      <c r="FW4" t="s">
        <v>917</v>
      </c>
      <c r="FX4" t="s">
        <v>561</v>
      </c>
      <c r="FY4" t="s">
        <v>906</v>
      </c>
      <c r="FZ4" t="s">
        <v>906</v>
      </c>
      <c r="GA4" t="s">
        <v>666</v>
      </c>
      <c r="GB4" t="s">
        <v>918</v>
      </c>
      <c r="GC4" t="s">
        <v>910</v>
      </c>
      <c r="GD4" t="s">
        <v>910</v>
      </c>
      <c r="GE4" t="s">
        <v>393</v>
      </c>
      <c r="GF4" t="s">
        <v>916</v>
      </c>
      <c r="GG4" t="s">
        <v>919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916</v>
      </c>
      <c r="GU4" t="s">
        <v>916</v>
      </c>
      <c r="GV4" t="s">
        <v>335</v>
      </c>
      <c r="GW4" t="s">
        <v>898</v>
      </c>
      <c r="GX4" t="s">
        <v>920</v>
      </c>
      <c r="GY4" t="s">
        <v>389</v>
      </c>
      <c r="GZ4" t="s">
        <v>561</v>
      </c>
      <c r="HA4" t="s">
        <v>373</v>
      </c>
      <c r="HB4" t="s">
        <v>391</v>
      </c>
      <c r="HC4" t="s">
        <v>904</v>
      </c>
      <c r="HD4" t="s">
        <v>921</v>
      </c>
      <c r="HE4" t="s">
        <v>906</v>
      </c>
      <c r="HF4" t="s">
        <v>350</v>
      </c>
      <c r="HG4" t="s">
        <v>396</v>
      </c>
      <c r="HH4" t="s">
        <v>922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923</v>
      </c>
      <c r="HP4" t="s">
        <v>917</v>
      </c>
      <c r="HQ4" t="s">
        <v>904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924</v>
      </c>
      <c r="IB4" t="s">
        <v>925</v>
      </c>
      <c r="IC4" t="s">
        <v>561</v>
      </c>
      <c r="ID4" t="s">
        <v>918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576</v>
      </c>
      <c r="IL4" t="s">
        <v>561</v>
      </c>
      <c r="IM4" t="s">
        <v>302</v>
      </c>
      <c r="IN4" t="s">
        <v>399</v>
      </c>
      <c r="IO4" t="s">
        <v>905</v>
      </c>
      <c r="IP4" t="s">
        <v>904</v>
      </c>
      <c r="IQ4" t="s">
        <v>926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902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897</v>
      </c>
      <c r="JR4" t="s">
        <v>927</v>
      </c>
      <c r="JS4" t="s">
        <v>926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905</v>
      </c>
      <c r="KD4" t="s">
        <v>909</v>
      </c>
      <c r="KE4" t="s">
        <v>561</v>
      </c>
      <c r="KF4" t="s">
        <v>350</v>
      </c>
      <c r="KG4" t="s">
        <v>350</v>
      </c>
      <c r="KH4" t="s">
        <v>357</v>
      </c>
      <c r="KI4" t="s">
        <v>919</v>
      </c>
      <c r="KJ4" t="s">
        <v>928</v>
      </c>
      <c r="KK4" t="s">
        <v>929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930</v>
      </c>
      <c r="LK4" t="s">
        <v>930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576</v>
      </c>
      <c r="LS4" t="s">
        <v>931</v>
      </c>
      <c r="LT4" t="s">
        <v>350</v>
      </c>
      <c r="LU4" t="s">
        <v>561</v>
      </c>
      <c r="LV4" t="s">
        <v>932</v>
      </c>
      <c r="LW4" t="s">
        <v>399</v>
      </c>
      <c r="LX4" t="s">
        <v>350</v>
      </c>
      <c r="LY4" t="s">
        <v>302</v>
      </c>
      <c r="LZ4" t="s">
        <v>933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934</v>
      </c>
      <c r="MH4" t="s">
        <v>934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935</v>
      </c>
    </row>
    <row r="8" spans="1:353">
      <c r="I8" s="29"/>
    </row>
    <row r="9" spans="1:353">
      <c r="A9" s="827" t="s">
        <v>936</v>
      </c>
      <c r="B9" s="827" t="s">
        <v>339</v>
      </c>
      <c r="I9" s="29"/>
    </row>
    <row r="10" spans="1:353">
      <c r="A10" s="827"/>
      <c r="B10" s="827"/>
      <c r="I10" s="59" t="s">
        <v>519</v>
      </c>
    </row>
    <row r="11" spans="1:353" hidden="1">
      <c r="A11" s="29" t="s">
        <v>675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700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701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702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703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704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705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676</v>
      </c>
      <c r="B22" s="145" t="s">
        <v>350</v>
      </c>
      <c r="I22" s="59" t="s">
        <v>748</v>
      </c>
    </row>
    <row r="23" spans="1:9" hidden="1">
      <c r="A23" s="29" t="s">
        <v>706</v>
      </c>
      <c r="B23" s="145" t="s">
        <v>396</v>
      </c>
      <c r="I23" s="29" t="s">
        <v>144</v>
      </c>
    </row>
    <row r="24" spans="1:9" hidden="1">
      <c r="A24" s="29" t="s">
        <v>707</v>
      </c>
      <c r="B24" s="145" t="s">
        <v>350</v>
      </c>
      <c r="I24" s="59" t="s">
        <v>749</v>
      </c>
    </row>
    <row r="25" spans="1:9" hidden="1">
      <c r="A25" s="29" t="s">
        <v>677</v>
      </c>
      <c r="B25" s="145" t="s">
        <v>357</v>
      </c>
      <c r="I25" s="59" t="s">
        <v>750</v>
      </c>
    </row>
    <row r="26" spans="1:9" hidden="1">
      <c r="A26" s="29" t="s">
        <v>523</v>
      </c>
      <c r="B26" s="145" t="s">
        <v>389</v>
      </c>
      <c r="I26" s="59" t="s">
        <v>751</v>
      </c>
    </row>
    <row r="27" spans="1:9" hidden="1">
      <c r="A27" s="29" t="s">
        <v>708</v>
      </c>
      <c r="B27" s="145" t="s">
        <v>897</v>
      </c>
      <c r="I27" s="59" t="s">
        <v>752</v>
      </c>
    </row>
    <row r="28" spans="1:9" hidden="1">
      <c r="A28" s="29" t="s">
        <v>715</v>
      </c>
      <c r="B28" s="145" t="s">
        <v>350</v>
      </c>
      <c r="I28" s="59" t="s">
        <v>145</v>
      </c>
    </row>
    <row r="29" spans="1:9">
      <c r="A29" s="29" t="s">
        <v>716</v>
      </c>
      <c r="B29" s="143" t="s">
        <v>561</v>
      </c>
      <c r="H29" t="str">
        <f>A29</f>
        <v>121/11</v>
      </c>
      <c r="I29" s="29"/>
    </row>
    <row r="30" spans="1:9" hidden="1">
      <c r="A30" s="29" t="s">
        <v>678</v>
      </c>
      <c r="B30" s="145" t="s">
        <v>561</v>
      </c>
      <c r="I30" s="59" t="s">
        <v>686</v>
      </c>
    </row>
    <row r="31" spans="1:9" hidden="1">
      <c r="A31" s="29" t="s">
        <v>679</v>
      </c>
      <c r="B31" s="145" t="s">
        <v>350</v>
      </c>
      <c r="I31" s="59" t="s">
        <v>183</v>
      </c>
    </row>
    <row r="32" spans="1:9" hidden="1">
      <c r="A32" s="29" t="s">
        <v>709</v>
      </c>
      <c r="B32" s="145" t="s">
        <v>350</v>
      </c>
      <c r="I32" s="59" t="s">
        <v>753</v>
      </c>
    </row>
    <row r="33" spans="1:9" hidden="1">
      <c r="A33" s="29" t="s">
        <v>710</v>
      </c>
      <c r="B33" s="145" t="s">
        <v>396</v>
      </c>
      <c r="I33" s="59" t="s">
        <v>754</v>
      </c>
    </row>
    <row r="34" spans="1:9" hidden="1">
      <c r="A34" s="29" t="s">
        <v>711</v>
      </c>
      <c r="B34" s="145" t="s">
        <v>350</v>
      </c>
      <c r="I34" s="59" t="s">
        <v>755</v>
      </c>
    </row>
    <row r="35" spans="1:9" hidden="1">
      <c r="A35" s="29" t="s">
        <v>712</v>
      </c>
      <c r="B35" s="145" t="s">
        <v>335</v>
      </c>
      <c r="I35" s="59" t="s">
        <v>613</v>
      </c>
    </row>
    <row r="36" spans="1:9" hidden="1">
      <c r="A36" s="29" t="s">
        <v>713</v>
      </c>
      <c r="B36" s="145" t="s">
        <v>350</v>
      </c>
      <c r="I36" s="59" t="s">
        <v>614</v>
      </c>
    </row>
    <row r="37" spans="1:9" hidden="1">
      <c r="A37" s="29" t="s">
        <v>714</v>
      </c>
      <c r="B37" s="145" t="s">
        <v>350</v>
      </c>
      <c r="I37" s="59" t="s">
        <v>615</v>
      </c>
    </row>
    <row r="38" spans="1:9" hidden="1">
      <c r="A38" s="29" t="s">
        <v>272</v>
      </c>
      <c r="B38" s="145" t="s">
        <v>576</v>
      </c>
      <c r="I38" s="59" t="s">
        <v>616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717</v>
      </c>
      <c r="B42" s="145" t="s">
        <v>591</v>
      </c>
      <c r="I42" s="59" t="s">
        <v>621</v>
      </c>
    </row>
    <row r="43" spans="1:9" hidden="1">
      <c r="A43" s="29" t="s">
        <v>718</v>
      </c>
      <c r="B43" s="145" t="s">
        <v>561</v>
      </c>
      <c r="I43" s="59" t="s">
        <v>759</v>
      </c>
    </row>
    <row r="44" spans="1:9" hidden="1">
      <c r="A44" s="29" t="s">
        <v>719</v>
      </c>
      <c r="B44" s="145" t="s">
        <v>561</v>
      </c>
      <c r="I44" s="59" t="s">
        <v>687</v>
      </c>
    </row>
    <row r="45" spans="1:9" hidden="1">
      <c r="A45" s="29" t="s">
        <v>720</v>
      </c>
      <c r="B45" s="145" t="s">
        <v>576</v>
      </c>
      <c r="I45" s="59" t="s">
        <v>688</v>
      </c>
    </row>
    <row r="46" spans="1:9" hidden="1">
      <c r="A46" s="29" t="s">
        <v>680</v>
      </c>
      <c r="B46" s="145" t="s">
        <v>357</v>
      </c>
      <c r="I46" s="59" t="s">
        <v>760</v>
      </c>
    </row>
    <row r="47" spans="1:9" hidden="1">
      <c r="A47" s="29" t="s">
        <v>721</v>
      </c>
      <c r="B47" s="145" t="s">
        <v>350</v>
      </c>
      <c r="H47" t="str">
        <f>A47</f>
        <v>126/2</v>
      </c>
      <c r="I47" s="29"/>
    </row>
    <row r="48" spans="1:9" hidden="1">
      <c r="A48" s="29" t="s">
        <v>722</v>
      </c>
      <c r="B48" s="145" t="s">
        <v>350</v>
      </c>
      <c r="I48" s="59" t="s">
        <v>761</v>
      </c>
    </row>
    <row r="49" spans="1:9" hidden="1">
      <c r="A49" s="29" t="s">
        <v>723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898</v>
      </c>
      <c r="H52" t="str">
        <f t="shared" si="1"/>
        <v>128/0</v>
      </c>
      <c r="I52" s="29"/>
    </row>
    <row r="53" spans="1:9">
      <c r="A53" s="29" t="s">
        <v>563</v>
      </c>
      <c r="B53" s="143" t="s">
        <v>899</v>
      </c>
      <c r="H53" t="str">
        <f t="shared" si="1"/>
        <v>129/0</v>
      </c>
      <c r="I53" s="29"/>
    </row>
    <row r="54" spans="1:9">
      <c r="A54" s="29" t="s">
        <v>564</v>
      </c>
      <c r="B54" s="143" t="s">
        <v>900</v>
      </c>
      <c r="H54" t="str">
        <f t="shared" si="1"/>
        <v>130/0</v>
      </c>
      <c r="I54" s="29"/>
    </row>
    <row r="55" spans="1:9">
      <c r="A55" s="29" t="s">
        <v>541</v>
      </c>
      <c r="B55" s="143" t="s">
        <v>901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724</v>
      </c>
      <c r="B58" s="143" t="s">
        <v>357</v>
      </c>
      <c r="H58" t="str">
        <f t="shared" si="1"/>
        <v>131/3</v>
      </c>
      <c r="I58" s="29"/>
    </row>
    <row r="59" spans="1:9">
      <c r="A59" s="29" t="s">
        <v>725</v>
      </c>
      <c r="B59" s="143" t="s">
        <v>396</v>
      </c>
      <c r="H59" t="str">
        <f t="shared" si="1"/>
        <v>131/4</v>
      </c>
      <c r="I59" s="29"/>
    </row>
    <row r="60" spans="1:9">
      <c r="A60" s="29" t="s">
        <v>726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727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728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729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730</v>
      </c>
      <c r="B68" s="143" t="s">
        <v>335</v>
      </c>
      <c r="H68" t="str">
        <f>A68</f>
        <v>133/3</v>
      </c>
      <c r="I68" s="29"/>
    </row>
    <row r="69" spans="1:9" hidden="1">
      <c r="A69" s="29" t="s">
        <v>731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732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902</v>
      </c>
      <c r="H74" t="str">
        <f t="shared" si="2"/>
        <v>137/0</v>
      </c>
      <c r="I74" s="29"/>
    </row>
    <row r="75" spans="1:9" hidden="1">
      <c r="A75" s="29" t="s">
        <v>681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682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903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904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904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683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733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684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905</v>
      </c>
      <c r="I91" s="59" t="s">
        <v>788</v>
      </c>
    </row>
    <row r="92" spans="1:9" hidden="1">
      <c r="A92" s="29" t="s">
        <v>374</v>
      </c>
      <c r="B92" s="145" t="s">
        <v>905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790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685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904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904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666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904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904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734</v>
      </c>
      <c r="B112" s="143" t="s">
        <v>905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735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736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906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905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907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737</v>
      </c>
      <c r="B122" s="143" t="s">
        <v>908</v>
      </c>
      <c r="I122" s="29" t="s">
        <v>277</v>
      </c>
    </row>
    <row r="123" spans="1:9">
      <c r="A123" s="29" t="s">
        <v>738</v>
      </c>
      <c r="B123" s="143" t="s">
        <v>908</v>
      </c>
      <c r="H123" t="str">
        <f t="shared" ref="H123:H134" si="4">A123</f>
        <v xml:space="preserve">158/0 </v>
      </c>
      <c r="I123" s="29"/>
    </row>
    <row r="124" spans="1:9">
      <c r="A124" s="29" t="s">
        <v>739</v>
      </c>
      <c r="B124" s="143" t="s">
        <v>909</v>
      </c>
      <c r="H124" t="str">
        <f t="shared" si="4"/>
        <v xml:space="preserve">159/0 </v>
      </c>
      <c r="I124" s="29"/>
    </row>
    <row r="125" spans="1:9" hidden="1">
      <c r="A125" s="29" t="s">
        <v>577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666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904</v>
      </c>
      <c r="H127" t="str">
        <f t="shared" si="4"/>
        <v>162/0</v>
      </c>
      <c r="I127" s="29"/>
    </row>
    <row r="128" spans="1:9" hidden="1">
      <c r="A128" s="29" t="s">
        <v>593</v>
      </c>
      <c r="B128" s="143" t="s">
        <v>910</v>
      </c>
      <c r="H128" t="str">
        <f t="shared" si="4"/>
        <v>163/0</v>
      </c>
      <c r="I128" s="29"/>
    </row>
    <row r="129" spans="1:9">
      <c r="A129" s="29" t="s">
        <v>594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598</v>
      </c>
      <c r="B130" s="143" t="s">
        <v>903</v>
      </c>
      <c r="H130" t="str">
        <f t="shared" si="4"/>
        <v>164/0</v>
      </c>
      <c r="I130" s="29"/>
    </row>
    <row r="131" spans="1:9">
      <c r="A131" s="29" t="s">
        <v>600</v>
      </c>
      <c r="B131" s="143" t="s">
        <v>897</v>
      </c>
      <c r="H131" t="str">
        <f t="shared" si="4"/>
        <v>165/0</v>
      </c>
      <c r="I131" s="29"/>
    </row>
    <row r="132" spans="1:9">
      <c r="A132" s="29" t="s">
        <v>601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602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740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741</v>
      </c>
      <c r="B135" s="145" t="s">
        <v>396</v>
      </c>
      <c r="I135" s="59" t="s">
        <v>804</v>
      </c>
    </row>
    <row r="136" spans="1:9" hidden="1">
      <c r="A136" s="29" t="s">
        <v>742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743</v>
      </c>
      <c r="B137" s="145" t="s">
        <v>911</v>
      </c>
      <c r="H137" t="str">
        <f t="shared" si="5"/>
        <v>165/6</v>
      </c>
      <c r="I137" s="29"/>
    </row>
    <row r="138" spans="1:9" hidden="1">
      <c r="A138" s="29" t="s">
        <v>744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906</v>
      </c>
      <c r="H140" t="str">
        <f t="shared" si="5"/>
        <v>167/0</v>
      </c>
      <c r="I140" s="29"/>
    </row>
    <row r="141" spans="1:9" hidden="1">
      <c r="A141" s="29" t="s">
        <v>605</v>
      </c>
      <c r="B141" s="145" t="s">
        <v>910</v>
      </c>
      <c r="H141" t="str">
        <f t="shared" si="5"/>
        <v>168/0</v>
      </c>
      <c r="I141" s="29"/>
    </row>
    <row r="142" spans="1:9">
      <c r="A142" s="29" t="s">
        <v>606</v>
      </c>
      <c r="B142" s="143" t="s">
        <v>904</v>
      </c>
      <c r="H142" t="str">
        <f t="shared" si="5"/>
        <v>169/0</v>
      </c>
      <c r="I142" s="29"/>
    </row>
    <row r="143" spans="1:9" hidden="1">
      <c r="A143" s="29" t="s">
        <v>607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612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745</v>
      </c>
      <c r="B145" s="145" t="s">
        <v>292</v>
      </c>
      <c r="I145" s="59" t="s">
        <v>813</v>
      </c>
    </row>
    <row r="146" spans="1:9" hidden="1">
      <c r="A146" s="29" t="s">
        <v>746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912</v>
      </c>
      <c r="H147" t="str">
        <f t="shared" si="6"/>
        <v>173/0</v>
      </c>
      <c r="I147" s="29"/>
    </row>
    <row r="148" spans="1:9">
      <c r="A148" s="29" t="s">
        <v>747</v>
      </c>
      <c r="B148" s="145" t="s">
        <v>909</v>
      </c>
      <c r="H148" t="str">
        <f t="shared" si="6"/>
        <v xml:space="preserve">174/0 </v>
      </c>
      <c r="I148" s="29"/>
    </row>
    <row r="149" spans="1:9" hidden="1">
      <c r="A149" s="29" t="s">
        <v>748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749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750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751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752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686</v>
      </c>
      <c r="B155" s="145" t="s">
        <v>903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753</v>
      </c>
      <c r="B157" s="145" t="s">
        <v>302</v>
      </c>
      <c r="I157" s="59" t="s">
        <v>190</v>
      </c>
    </row>
    <row r="158" spans="1:9" hidden="1">
      <c r="A158" s="29" t="s">
        <v>754</v>
      </c>
      <c r="B158" s="145" t="s">
        <v>350</v>
      </c>
      <c r="I158" s="59" t="s">
        <v>824</v>
      </c>
    </row>
    <row r="159" spans="1:9" hidden="1">
      <c r="A159" s="29" t="s">
        <v>755</v>
      </c>
      <c r="B159" s="145" t="s">
        <v>396</v>
      </c>
      <c r="I159" s="59" t="s">
        <v>831</v>
      </c>
    </row>
    <row r="160" spans="1:9" hidden="1">
      <c r="A160" s="29" t="s">
        <v>613</v>
      </c>
      <c r="B160" s="145" t="s">
        <v>305</v>
      </c>
      <c r="I160" s="59" t="s">
        <v>832</v>
      </c>
    </row>
    <row r="161" spans="1:9" hidden="1">
      <c r="A161" s="29" t="s">
        <v>614</v>
      </c>
      <c r="B161" s="145" t="s">
        <v>305</v>
      </c>
      <c r="I161" s="59" t="s">
        <v>833</v>
      </c>
    </row>
    <row r="162" spans="1:9" hidden="1">
      <c r="A162" s="29" t="s">
        <v>615</v>
      </c>
      <c r="B162" s="145" t="s">
        <v>350</v>
      </c>
      <c r="I162" s="29" t="s">
        <v>835</v>
      </c>
    </row>
    <row r="163" spans="1:9" hidden="1">
      <c r="A163" s="29" t="s">
        <v>145</v>
      </c>
      <c r="B163" s="145" t="s">
        <v>350</v>
      </c>
      <c r="I163" s="29" t="s">
        <v>836</v>
      </c>
    </row>
    <row r="164" spans="1:9" hidden="1">
      <c r="A164" s="29" t="s">
        <v>616</v>
      </c>
      <c r="B164" s="145" t="s">
        <v>396</v>
      </c>
      <c r="I164" s="59" t="s">
        <v>841</v>
      </c>
    </row>
    <row r="165" spans="1:9" hidden="1">
      <c r="A165" s="29" t="s">
        <v>146</v>
      </c>
      <c r="B165" s="145" t="s">
        <v>335</v>
      </c>
      <c r="I165" s="29" t="s">
        <v>849</v>
      </c>
    </row>
    <row r="166" spans="1:9" hidden="1">
      <c r="A166" s="29" t="s">
        <v>756</v>
      </c>
      <c r="B166" s="145" t="s">
        <v>357</v>
      </c>
      <c r="I166" s="59" t="s">
        <v>850</v>
      </c>
    </row>
    <row r="167" spans="1:9">
      <c r="A167" s="29" t="s">
        <v>757</v>
      </c>
      <c r="B167" s="143" t="s">
        <v>913</v>
      </c>
      <c r="H167" t="str">
        <f>A167</f>
        <v>179/2</v>
      </c>
      <c r="I167" s="29"/>
    </row>
    <row r="168" spans="1:9" hidden="1">
      <c r="A168" s="29" t="s">
        <v>758</v>
      </c>
      <c r="B168" s="145" t="s">
        <v>350</v>
      </c>
      <c r="I168" s="29" t="s">
        <v>852</v>
      </c>
    </row>
    <row r="169" spans="1:9">
      <c r="A169" s="29" t="s">
        <v>620</v>
      </c>
      <c r="B169" s="143" t="s">
        <v>914</v>
      </c>
      <c r="H169" t="str">
        <f>A169</f>
        <v>180/0</v>
      </c>
      <c r="I169" s="29"/>
    </row>
    <row r="170" spans="1:9" hidden="1">
      <c r="A170" s="29" t="s">
        <v>621</v>
      </c>
      <c r="B170" s="145" t="s">
        <v>357</v>
      </c>
      <c r="I170" s="29" t="s">
        <v>853</v>
      </c>
    </row>
    <row r="171" spans="1:9" hidden="1">
      <c r="A171" s="29" t="s">
        <v>759</v>
      </c>
      <c r="B171" s="145" t="s">
        <v>666</v>
      </c>
      <c r="I171" s="59" t="s">
        <v>854</v>
      </c>
    </row>
    <row r="172" spans="1:9" hidden="1">
      <c r="A172" s="29" t="s">
        <v>687</v>
      </c>
      <c r="B172" s="145" t="s">
        <v>561</v>
      </c>
      <c r="I172" s="29" t="s">
        <v>855</v>
      </c>
    </row>
    <row r="173" spans="1:9" hidden="1">
      <c r="A173" s="29" t="s">
        <v>688</v>
      </c>
      <c r="B173" s="145" t="s">
        <v>396</v>
      </c>
      <c r="I173" s="59" t="s">
        <v>857</v>
      </c>
    </row>
    <row r="174" spans="1:9" hidden="1">
      <c r="A174" s="29" t="s">
        <v>760</v>
      </c>
      <c r="B174" s="145" t="s">
        <v>357</v>
      </c>
      <c r="I174" s="29" t="s">
        <v>858</v>
      </c>
    </row>
    <row r="175" spans="1:9" hidden="1">
      <c r="A175" s="29" t="s">
        <v>689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761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623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624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625</v>
      </c>
      <c r="B183" s="145" t="s">
        <v>915</v>
      </c>
      <c r="I183" s="59" t="s">
        <v>868</v>
      </c>
    </row>
    <row r="184" spans="1:9" hidden="1">
      <c r="A184" s="29" t="s">
        <v>464</v>
      </c>
      <c r="B184" s="145" t="s">
        <v>916</v>
      </c>
      <c r="H184" t="str">
        <f t="shared" ref="H184:H206" si="8">A184</f>
        <v>186/0</v>
      </c>
      <c r="I184" s="29"/>
    </row>
    <row r="185" spans="1:9" hidden="1">
      <c r="A185" s="29" t="s">
        <v>631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762</v>
      </c>
      <c r="B186" s="145" t="s">
        <v>917</v>
      </c>
      <c r="H186" t="str">
        <f t="shared" si="8"/>
        <v xml:space="preserve">188/0 </v>
      </c>
      <c r="I186" s="29"/>
    </row>
    <row r="187" spans="1:9">
      <c r="A187" s="29" t="s">
        <v>763</v>
      </c>
      <c r="B187" s="143" t="s">
        <v>917</v>
      </c>
      <c r="H187" t="str">
        <f t="shared" si="8"/>
        <v xml:space="preserve">189/0 </v>
      </c>
      <c r="I187" s="29"/>
    </row>
    <row r="188" spans="1:9" hidden="1">
      <c r="A188" s="29" t="s">
        <v>764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642</v>
      </c>
      <c r="B189" s="145" t="s">
        <v>906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906</v>
      </c>
      <c r="H190" t="str">
        <f t="shared" si="8"/>
        <v>191/0</v>
      </c>
      <c r="I190" s="29"/>
    </row>
    <row r="191" spans="1:9" hidden="1">
      <c r="A191" s="29" t="s">
        <v>647</v>
      </c>
      <c r="B191" s="145" t="s">
        <v>666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918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910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910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665</v>
      </c>
      <c r="B196" s="143" t="s">
        <v>916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919</v>
      </c>
      <c r="H197" t="str">
        <f t="shared" si="8"/>
        <v>196/0</v>
      </c>
      <c r="I197" s="29"/>
    </row>
    <row r="198" spans="1:9" hidden="1">
      <c r="A198" s="29" t="s">
        <v>765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766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767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768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690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769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770</v>
      </c>
      <c r="B207" s="143" t="s">
        <v>373</v>
      </c>
      <c r="I207" s="59" t="s">
        <v>442</v>
      </c>
    </row>
    <row r="208" spans="1:9">
      <c r="A208" s="29" t="s">
        <v>771</v>
      </c>
      <c r="B208" s="143" t="s">
        <v>399</v>
      </c>
      <c r="I208" s="59" t="s">
        <v>448</v>
      </c>
    </row>
    <row r="209" spans="1:9">
      <c r="A209" s="29" t="s">
        <v>772</v>
      </c>
      <c r="B209" s="143" t="s">
        <v>324</v>
      </c>
      <c r="I209" s="59" t="s">
        <v>378</v>
      </c>
    </row>
    <row r="210" spans="1:9">
      <c r="A210" s="29" t="s">
        <v>773</v>
      </c>
      <c r="B210" s="143" t="s">
        <v>916</v>
      </c>
      <c r="I210" s="29" t="s">
        <v>731</v>
      </c>
    </row>
    <row r="211" spans="1:9">
      <c r="A211" s="29" t="s">
        <v>774</v>
      </c>
      <c r="B211" s="143" t="s">
        <v>916</v>
      </c>
      <c r="H211" t="str">
        <f>A211</f>
        <v>203/0</v>
      </c>
      <c r="I211" s="29"/>
    </row>
    <row r="212" spans="1:9">
      <c r="A212" s="29" t="s">
        <v>775</v>
      </c>
      <c r="B212" s="143" t="s">
        <v>335</v>
      </c>
      <c r="I212" s="59" t="s">
        <v>370</v>
      </c>
    </row>
    <row r="213" spans="1:9">
      <c r="A213" s="29" t="s">
        <v>776</v>
      </c>
      <c r="B213" s="143" t="s">
        <v>898</v>
      </c>
      <c r="I213" s="59" t="s">
        <v>732</v>
      </c>
    </row>
    <row r="214" spans="1:9">
      <c r="A214" s="29" t="s">
        <v>777</v>
      </c>
      <c r="B214" s="143" t="s">
        <v>920</v>
      </c>
      <c r="I214" s="59" t="s">
        <v>368</v>
      </c>
    </row>
    <row r="215" spans="1:9">
      <c r="A215" s="29" t="s">
        <v>778</v>
      </c>
      <c r="B215" s="143" t="s">
        <v>389</v>
      </c>
      <c r="H215" t="str">
        <f>A215</f>
        <v>205/1</v>
      </c>
      <c r="I215" s="29"/>
    </row>
    <row r="216" spans="1:9">
      <c r="A216" s="29" t="s">
        <v>779</v>
      </c>
      <c r="B216" s="143" t="s">
        <v>561</v>
      </c>
      <c r="H216" t="str">
        <f>A216</f>
        <v>205/2</v>
      </c>
      <c r="I216" s="29"/>
    </row>
    <row r="217" spans="1:9">
      <c r="A217" s="29" t="s">
        <v>780</v>
      </c>
      <c r="B217" s="143" t="s">
        <v>373</v>
      </c>
      <c r="I217" s="59" t="s">
        <v>369</v>
      </c>
    </row>
    <row r="218" spans="1:9">
      <c r="A218" s="29" t="s">
        <v>781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782</v>
      </c>
      <c r="B219" s="143" t="s">
        <v>904</v>
      </c>
      <c r="H219" t="str">
        <f>A219</f>
        <v>207/0</v>
      </c>
      <c r="I219" s="29"/>
    </row>
    <row r="220" spans="1:9">
      <c r="A220" s="29" t="s">
        <v>783</v>
      </c>
      <c r="B220" s="143" t="s">
        <v>921</v>
      </c>
      <c r="H220" t="str">
        <f>A220</f>
        <v>208/0</v>
      </c>
      <c r="I220" s="29"/>
    </row>
    <row r="221" spans="1:9" hidden="1">
      <c r="A221" s="29" t="s">
        <v>784</v>
      </c>
      <c r="B221" s="143" t="s">
        <v>906</v>
      </c>
      <c r="H221" t="str">
        <f>A221</f>
        <v>209/0</v>
      </c>
      <c r="I221" s="29"/>
    </row>
    <row r="222" spans="1:9" hidden="1">
      <c r="A222" s="29" t="s">
        <v>785</v>
      </c>
      <c r="B222" s="143" t="s">
        <v>350</v>
      </c>
      <c r="I222" s="59" t="s">
        <v>140</v>
      </c>
    </row>
    <row r="223" spans="1:9" hidden="1">
      <c r="A223" s="29" t="s">
        <v>786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922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787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788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789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790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791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792</v>
      </c>
      <c r="B231" s="143" t="s">
        <v>923</v>
      </c>
      <c r="H231" t="str">
        <f t="shared" si="9"/>
        <v>212/0</v>
      </c>
      <c r="I231" s="29"/>
    </row>
    <row r="232" spans="1:9" hidden="1">
      <c r="A232" s="29" t="s">
        <v>793</v>
      </c>
      <c r="B232" s="145" t="s">
        <v>917</v>
      </c>
      <c r="H232" t="str">
        <f t="shared" si="9"/>
        <v>213/0</v>
      </c>
      <c r="I232" s="29"/>
    </row>
    <row r="233" spans="1:9" hidden="1">
      <c r="A233" s="29" t="s">
        <v>794</v>
      </c>
      <c r="B233" s="145" t="s">
        <v>904</v>
      </c>
      <c r="H233" t="str">
        <f t="shared" si="9"/>
        <v>214/0</v>
      </c>
      <c r="I233" s="29"/>
    </row>
    <row r="234" spans="1:9" hidden="1">
      <c r="A234" s="29" t="s">
        <v>795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796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797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798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799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800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801</v>
      </c>
      <c r="B243" s="145" t="s">
        <v>924</v>
      </c>
      <c r="I243" s="29"/>
    </row>
    <row r="244" spans="1:9" hidden="1">
      <c r="A244" s="29" t="s">
        <v>156</v>
      </c>
      <c r="B244" s="145" t="s">
        <v>925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802</v>
      </c>
      <c r="B246" s="145" t="s">
        <v>918</v>
      </c>
      <c r="I246" s="29"/>
    </row>
    <row r="247" spans="1:9" hidden="1">
      <c r="A247" s="29" t="s">
        <v>803</v>
      </c>
      <c r="B247" s="145" t="s">
        <v>357</v>
      </c>
      <c r="I247" s="29"/>
    </row>
    <row r="248" spans="1:9" hidden="1">
      <c r="A248" s="29" t="s">
        <v>804</v>
      </c>
      <c r="B248" s="145" t="s">
        <v>350</v>
      </c>
      <c r="I248" s="29"/>
    </row>
    <row r="249" spans="1:9" hidden="1">
      <c r="A249" s="29" t="s">
        <v>805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806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807</v>
      </c>
      <c r="B252" s="145" t="s">
        <v>560</v>
      </c>
      <c r="I252" s="131" t="s">
        <v>520</v>
      </c>
    </row>
    <row r="253" spans="1:9" hidden="1">
      <c r="A253" s="29" t="s">
        <v>808</v>
      </c>
      <c r="B253" s="143" t="s">
        <v>576</v>
      </c>
      <c r="H253" t="str">
        <f>A253</f>
        <v>219/0</v>
      </c>
      <c r="I253" s="131"/>
    </row>
    <row r="254" spans="1:9" hidden="1">
      <c r="A254" s="29" t="s">
        <v>809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810</v>
      </c>
      <c r="B255" s="145" t="s">
        <v>302</v>
      </c>
      <c r="I255" s="131" t="s">
        <v>677</v>
      </c>
    </row>
    <row r="256" spans="1:9" hidden="1">
      <c r="A256" s="29" t="s">
        <v>811</v>
      </c>
      <c r="B256" s="145" t="s">
        <v>399</v>
      </c>
      <c r="I256" s="131" t="s">
        <v>704</v>
      </c>
    </row>
    <row r="257" spans="1:9" hidden="1">
      <c r="A257" s="29" t="s">
        <v>812</v>
      </c>
      <c r="B257" s="145" t="s">
        <v>905</v>
      </c>
      <c r="I257" s="131" t="s">
        <v>705</v>
      </c>
    </row>
    <row r="258" spans="1:9" hidden="1">
      <c r="A258" s="29" t="s">
        <v>813</v>
      </c>
      <c r="B258" s="145" t="s">
        <v>904</v>
      </c>
      <c r="I258" s="131" t="s">
        <v>676</v>
      </c>
    </row>
    <row r="259" spans="1:9" hidden="1">
      <c r="A259" s="29" t="s">
        <v>814</v>
      </c>
      <c r="B259" s="145" t="s">
        <v>926</v>
      </c>
      <c r="H259" t="str">
        <f>A259</f>
        <v>223/0</v>
      </c>
      <c r="I259" s="131"/>
    </row>
    <row r="260" spans="1:9" hidden="1">
      <c r="A260" s="29" t="s">
        <v>815</v>
      </c>
      <c r="B260" s="145" t="s">
        <v>350</v>
      </c>
      <c r="I260" s="131" t="s">
        <v>707</v>
      </c>
    </row>
    <row r="261" spans="1:9" hidden="1">
      <c r="A261" s="29" t="s">
        <v>816</v>
      </c>
      <c r="B261" s="145" t="s">
        <v>350</v>
      </c>
      <c r="I261" s="131" t="s">
        <v>715</v>
      </c>
    </row>
    <row r="262" spans="1:9" hidden="1">
      <c r="A262" s="29" t="s">
        <v>817</v>
      </c>
      <c r="B262" s="145" t="s">
        <v>396</v>
      </c>
      <c r="I262" s="131" t="s">
        <v>521</v>
      </c>
    </row>
    <row r="263" spans="1:9" hidden="1">
      <c r="A263" s="29" t="s">
        <v>818</v>
      </c>
      <c r="B263" s="145" t="s">
        <v>330</v>
      </c>
      <c r="I263" s="131" t="s">
        <v>709</v>
      </c>
    </row>
    <row r="264" spans="1:9" hidden="1">
      <c r="A264" s="29" t="s">
        <v>819</v>
      </c>
      <c r="B264" s="145" t="s">
        <v>357</v>
      </c>
      <c r="I264" s="131" t="s">
        <v>712</v>
      </c>
    </row>
    <row r="265" spans="1:9" hidden="1">
      <c r="A265" s="29" t="s">
        <v>820</v>
      </c>
      <c r="B265" s="145" t="s">
        <v>391</v>
      </c>
      <c r="I265" s="131" t="s">
        <v>543</v>
      </c>
    </row>
    <row r="266" spans="1:9" hidden="1">
      <c r="A266" s="29" t="s">
        <v>821</v>
      </c>
      <c r="B266" s="145" t="s">
        <v>300</v>
      </c>
      <c r="I266" s="131" t="s">
        <v>727</v>
      </c>
    </row>
    <row r="267" spans="1:9" hidden="1">
      <c r="A267" s="29" t="s">
        <v>822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823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824</v>
      </c>
      <c r="B270" s="145" t="s">
        <v>357</v>
      </c>
      <c r="H270" t="str">
        <f>A270</f>
        <v>225/4</v>
      </c>
      <c r="I270" s="154"/>
    </row>
    <row r="271" spans="1:9">
      <c r="A271" s="29" t="s">
        <v>825</v>
      </c>
      <c r="B271" s="143" t="s">
        <v>350</v>
      </c>
      <c r="H271" t="str">
        <f>A271</f>
        <v>225/5</v>
      </c>
    </row>
    <row r="272" spans="1:9">
      <c r="A272" s="29" t="s">
        <v>826</v>
      </c>
      <c r="B272" s="143" t="s">
        <v>350</v>
      </c>
      <c r="I272" s="17" t="s">
        <v>177</v>
      </c>
    </row>
    <row r="273" spans="1:9">
      <c r="A273" s="29" t="s">
        <v>827</v>
      </c>
      <c r="B273" s="143" t="s">
        <v>399</v>
      </c>
      <c r="H273" t="str">
        <f t="shared" ref="H273:H280" si="10">A273</f>
        <v>225/7</v>
      </c>
    </row>
    <row r="274" spans="1:9">
      <c r="A274" s="29" t="s">
        <v>828</v>
      </c>
      <c r="B274" s="143" t="s">
        <v>902</v>
      </c>
      <c r="H274" t="str">
        <f t="shared" si="10"/>
        <v>226/0</v>
      </c>
    </row>
    <row r="275" spans="1:9" hidden="1">
      <c r="A275" s="29" t="s">
        <v>829</v>
      </c>
      <c r="B275" s="143" t="s">
        <v>399</v>
      </c>
      <c r="H275" t="str">
        <f t="shared" si="10"/>
        <v>226/1</v>
      </c>
    </row>
    <row r="276" spans="1:9" hidden="1">
      <c r="A276" s="29" t="s">
        <v>830</v>
      </c>
      <c r="B276" s="143" t="s">
        <v>350</v>
      </c>
      <c r="H276" t="str">
        <f t="shared" si="10"/>
        <v>226/2</v>
      </c>
    </row>
    <row r="277" spans="1:9" hidden="1">
      <c r="A277" s="29" t="s">
        <v>831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832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833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834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835</v>
      </c>
      <c r="B281" s="145" t="s">
        <v>302</v>
      </c>
      <c r="I281" s="131" t="s">
        <v>371</v>
      </c>
    </row>
    <row r="282" spans="1:9" hidden="1">
      <c r="A282" s="29" t="s">
        <v>836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837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838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839</v>
      </c>
      <c r="B285" s="143" t="s">
        <v>897</v>
      </c>
      <c r="H285" t="str">
        <f t="shared" si="11"/>
        <v>229A/0</v>
      </c>
      <c r="I285" s="29"/>
    </row>
    <row r="286" spans="1:9">
      <c r="A286" s="29" t="s">
        <v>840</v>
      </c>
      <c r="B286" s="143" t="s">
        <v>927</v>
      </c>
      <c r="H286" t="str">
        <f t="shared" si="11"/>
        <v>229B/0</v>
      </c>
      <c r="I286" s="29"/>
    </row>
    <row r="287" spans="1:9" hidden="1">
      <c r="A287" s="29" t="s">
        <v>841</v>
      </c>
      <c r="B287" s="145" t="s">
        <v>926</v>
      </c>
      <c r="H287" t="str">
        <f t="shared" si="11"/>
        <v>230/0</v>
      </c>
      <c r="I287" s="131"/>
    </row>
    <row r="288" spans="1:9">
      <c r="A288" s="29" t="s">
        <v>842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843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844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845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846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847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848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849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850</v>
      </c>
      <c r="B296" s="145" t="s">
        <v>330</v>
      </c>
      <c r="I296" s="131" t="s">
        <v>683</v>
      </c>
    </row>
    <row r="297" spans="1:9">
      <c r="A297" s="29" t="s">
        <v>851</v>
      </c>
      <c r="B297" s="143" t="s">
        <v>905</v>
      </c>
      <c r="H297" t="str">
        <f>A297</f>
        <v>234/0</v>
      </c>
      <c r="I297" s="29"/>
    </row>
    <row r="298" spans="1:9" hidden="1">
      <c r="A298" s="29" t="s">
        <v>852</v>
      </c>
      <c r="B298" s="145" t="s">
        <v>909</v>
      </c>
      <c r="I298" s="131" t="s">
        <v>368</v>
      </c>
    </row>
    <row r="299" spans="1:9" hidden="1">
      <c r="A299" s="29" t="s">
        <v>853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854</v>
      </c>
      <c r="B300" s="145" t="s">
        <v>350</v>
      </c>
      <c r="I300" s="131" t="s">
        <v>179</v>
      </c>
    </row>
    <row r="301" spans="1:9" hidden="1">
      <c r="A301" s="29" t="s">
        <v>855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856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857</v>
      </c>
      <c r="B303" s="145" t="s">
        <v>919</v>
      </c>
      <c r="H303" t="str">
        <f t="shared" si="12"/>
        <v>236/0</v>
      </c>
      <c r="I303" s="131"/>
    </row>
    <row r="304" spans="1:9" hidden="1">
      <c r="A304" s="29" t="s">
        <v>858</v>
      </c>
      <c r="B304" s="145" t="s">
        <v>928</v>
      </c>
      <c r="H304" t="str">
        <f t="shared" si="12"/>
        <v>237/0</v>
      </c>
      <c r="I304" s="131"/>
    </row>
    <row r="305" spans="1:9" hidden="1">
      <c r="A305" s="29" t="s">
        <v>859</v>
      </c>
      <c r="B305" s="145" t="s">
        <v>929</v>
      </c>
      <c r="H305" t="str">
        <f t="shared" si="12"/>
        <v>238/0</v>
      </c>
      <c r="I305" s="131"/>
    </row>
    <row r="306" spans="1:9" hidden="1">
      <c r="A306" s="29" t="s">
        <v>860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861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862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863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864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691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865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866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867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868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692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869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870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871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692</v>
      </c>
    </row>
    <row r="325" spans="1:9" hidden="1">
      <c r="A325" s="29" t="s">
        <v>872</v>
      </c>
      <c r="B325" s="145" t="s">
        <v>350</v>
      </c>
      <c r="I325" s="132" t="s">
        <v>690</v>
      </c>
    </row>
    <row r="326" spans="1:9" hidden="1">
      <c r="A326" s="29" t="s">
        <v>873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874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875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693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876</v>
      </c>
      <c r="B330" s="143" t="s">
        <v>930</v>
      </c>
      <c r="H330" t="str">
        <f t="shared" si="13"/>
        <v>247/0</v>
      </c>
      <c r="I330" s="29"/>
    </row>
    <row r="331" spans="1:9" hidden="1">
      <c r="A331" s="29" t="s">
        <v>877</v>
      </c>
      <c r="B331" s="143" t="s">
        <v>930</v>
      </c>
      <c r="H331" t="str">
        <f t="shared" si="13"/>
        <v>248/0</v>
      </c>
      <c r="I331" s="132"/>
    </row>
    <row r="332" spans="1:9" hidden="1">
      <c r="A332" s="29" t="s">
        <v>694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878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879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880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881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695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882</v>
      </c>
      <c r="B338" s="145" t="s">
        <v>576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931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696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932</v>
      </c>
      <c r="H342" t="str">
        <f>A342</f>
        <v>250A/0</v>
      </c>
      <c r="I342" s="132"/>
    </row>
    <row r="343" spans="1:9" hidden="1">
      <c r="A343" s="29" t="s">
        <v>697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698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883</v>
      </c>
      <c r="B345" s="145" t="s">
        <v>302</v>
      </c>
      <c r="H345" t="str">
        <f>A345</f>
        <v>251/0</v>
      </c>
      <c r="I345" s="132"/>
    </row>
    <row r="346" spans="1:9">
      <c r="A346" s="29" t="s">
        <v>884</v>
      </c>
      <c r="B346" s="143" t="s">
        <v>933</v>
      </c>
      <c r="I346" s="59" t="s">
        <v>577</v>
      </c>
    </row>
    <row r="347" spans="1:9" hidden="1">
      <c r="A347" s="29" t="s">
        <v>885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886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887</v>
      </c>
      <c r="B349" s="145" t="s">
        <v>357</v>
      </c>
      <c r="I349" s="132" t="s">
        <v>191</v>
      </c>
    </row>
    <row r="350" spans="1:9" hidden="1">
      <c r="A350" s="29" t="s">
        <v>888</v>
      </c>
      <c r="B350" s="145" t="s">
        <v>399</v>
      </c>
      <c r="I350" s="132" t="s">
        <v>146</v>
      </c>
    </row>
    <row r="351" spans="1:9" hidden="1">
      <c r="A351" s="29" t="s">
        <v>889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699</v>
      </c>
      <c r="B352" s="145" t="s">
        <v>393</v>
      </c>
      <c r="H352" t="str">
        <f>A352</f>
        <v>252/5</v>
      </c>
      <c r="I352" s="25"/>
    </row>
    <row r="353" spans="1:9">
      <c r="A353" s="29" t="s">
        <v>890</v>
      </c>
      <c r="B353" s="143" t="s">
        <v>934</v>
      </c>
      <c r="I353" s="59" t="s">
        <v>181</v>
      </c>
    </row>
    <row r="354" spans="1:9">
      <c r="A354" s="29" t="s">
        <v>891</v>
      </c>
      <c r="B354" s="143" t="s">
        <v>934</v>
      </c>
      <c r="H354" t="str">
        <f>A354</f>
        <v>254/0</v>
      </c>
      <c r="I354" s="29"/>
    </row>
    <row r="355" spans="1:9" hidden="1">
      <c r="A355" s="29" t="s">
        <v>892</v>
      </c>
      <c r="B355" s="145" t="s">
        <v>393</v>
      </c>
      <c r="I355" s="25" t="s">
        <v>759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893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894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895</v>
      </c>
      <c r="B360" s="145" t="s">
        <v>324</v>
      </c>
      <c r="I360" s="25" t="s">
        <v>796</v>
      </c>
    </row>
    <row r="361" spans="1:9">
      <c r="A361" s="29" t="s">
        <v>896</v>
      </c>
      <c r="B361" s="143" t="s">
        <v>935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691</v>
      </c>
      <c r="I364" s="25"/>
    </row>
    <row r="365" spans="1:9">
      <c r="A365" s="11" t="s">
        <v>864</v>
      </c>
      <c r="I365" s="25"/>
    </row>
    <row r="366" spans="1:9">
      <c r="A366" s="11" t="s">
        <v>519</v>
      </c>
      <c r="I366" s="25"/>
    </row>
    <row r="367" spans="1:9">
      <c r="A367" s="11" t="s">
        <v>705</v>
      </c>
      <c r="I367" s="25"/>
    </row>
    <row r="368" spans="1:9">
      <c r="A368" s="11" t="s">
        <v>710</v>
      </c>
      <c r="I368" s="25"/>
    </row>
    <row r="369" spans="1:9">
      <c r="A369" s="11" t="s">
        <v>704</v>
      </c>
      <c r="I369" s="25"/>
    </row>
    <row r="370" spans="1:9">
      <c r="A370" s="11" t="s">
        <v>709</v>
      </c>
      <c r="I370" s="25"/>
    </row>
    <row r="371" spans="1:9">
      <c r="A371" s="11" t="s">
        <v>678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679</v>
      </c>
      <c r="I374" s="25"/>
    </row>
    <row r="375" spans="1:9">
      <c r="A375" s="11" t="s">
        <v>706</v>
      </c>
      <c r="I375" s="25"/>
    </row>
    <row r="376" spans="1:9">
      <c r="A376" s="11" t="s">
        <v>522</v>
      </c>
      <c r="I376" s="25"/>
    </row>
    <row r="377" spans="1:9">
      <c r="A377" s="11" t="s">
        <v>873</v>
      </c>
      <c r="I377" s="25"/>
    </row>
    <row r="378" spans="1:9">
      <c r="A378" s="11" t="s">
        <v>407</v>
      </c>
      <c r="I378" s="25"/>
    </row>
    <row r="379" spans="1:9">
      <c r="A379" s="11" t="s">
        <v>880</v>
      </c>
      <c r="I379" s="25"/>
    </row>
    <row r="380" spans="1:9">
      <c r="A380" s="11" t="s">
        <v>701</v>
      </c>
      <c r="I380" s="25"/>
    </row>
    <row r="381" spans="1:9">
      <c r="A381" s="11" t="s">
        <v>702</v>
      </c>
      <c r="I381" s="25"/>
    </row>
    <row r="382" spans="1:9">
      <c r="A382" s="11" t="s">
        <v>711</v>
      </c>
      <c r="I382" s="25"/>
    </row>
    <row r="383" spans="1:9">
      <c r="A383" s="11" t="s">
        <v>879</v>
      </c>
      <c r="I383" s="25"/>
    </row>
    <row r="384" spans="1:9">
      <c r="A384" s="11" t="s">
        <v>881</v>
      </c>
      <c r="I384" s="25"/>
    </row>
    <row r="385" spans="1:9">
      <c r="A385" s="11" t="s">
        <v>707</v>
      </c>
      <c r="I385" s="25"/>
    </row>
    <row r="386" spans="1:9">
      <c r="A386" s="35" t="s">
        <v>722</v>
      </c>
      <c r="I386" s="25"/>
    </row>
    <row r="387" spans="1:9">
      <c r="A387" s="11" t="s">
        <v>682</v>
      </c>
      <c r="I387" s="25"/>
    </row>
    <row r="388" spans="1:9">
      <c r="A388" s="11" t="s">
        <v>708</v>
      </c>
      <c r="I388" s="132"/>
    </row>
    <row r="389" spans="1:9">
      <c r="A389" s="11" t="s">
        <v>712</v>
      </c>
      <c r="I389" s="132"/>
    </row>
    <row r="390" spans="1:9">
      <c r="A390" s="11" t="s">
        <v>404</v>
      </c>
      <c r="I390" s="132"/>
    </row>
    <row r="391" spans="1:9">
      <c r="A391" s="15" t="s">
        <v>677</v>
      </c>
    </row>
    <row r="392" spans="1:9">
      <c r="A392" s="15" t="s">
        <v>872</v>
      </c>
    </row>
    <row r="393" spans="1:9">
      <c r="A393" s="11" t="s">
        <v>882</v>
      </c>
    </row>
    <row r="394" spans="1:9">
      <c r="A394" s="15" t="s">
        <v>713</v>
      </c>
    </row>
    <row r="395" spans="1:9">
      <c r="A395" s="15" t="s">
        <v>888</v>
      </c>
    </row>
    <row r="396" spans="1:9">
      <c r="A396" s="15" t="s">
        <v>732</v>
      </c>
    </row>
    <row r="397" spans="1:9">
      <c r="A397" s="15" t="s">
        <v>549</v>
      </c>
    </row>
    <row r="398" spans="1:9">
      <c r="A398" s="15" t="s">
        <v>698</v>
      </c>
    </row>
    <row r="399" spans="1:9">
      <c r="A399" s="15" t="s">
        <v>885</v>
      </c>
    </row>
    <row r="400" spans="1:9">
      <c r="A400" s="15" t="s">
        <v>878</v>
      </c>
    </row>
    <row r="401" spans="1:1">
      <c r="A401" s="15" t="s">
        <v>733</v>
      </c>
    </row>
    <row r="402" spans="1:1">
      <c r="A402" s="15" t="s">
        <v>715</v>
      </c>
    </row>
    <row r="403" spans="1:1">
      <c r="A403" s="15" t="s">
        <v>866</v>
      </c>
    </row>
    <row r="404" spans="1:1">
      <c r="A404" s="15" t="s">
        <v>526</v>
      </c>
    </row>
    <row r="405" spans="1:1">
      <c r="A405" s="15" t="s">
        <v>681</v>
      </c>
    </row>
    <row r="406" spans="1:1">
      <c r="A406" s="15" t="s">
        <v>683</v>
      </c>
    </row>
    <row r="407" spans="1:1">
      <c r="A407" s="15" t="s">
        <v>685</v>
      </c>
    </row>
    <row r="408" spans="1:1">
      <c r="A408" s="15" t="s">
        <v>714</v>
      </c>
    </row>
    <row r="409" spans="1:1">
      <c r="A409" s="15" t="s">
        <v>694</v>
      </c>
    </row>
    <row r="410" spans="1:1">
      <c r="A410" s="15" t="s">
        <v>870</v>
      </c>
    </row>
    <row r="411" spans="1:1">
      <c r="A411" s="15" t="s">
        <v>680</v>
      </c>
    </row>
    <row r="412" spans="1:1">
      <c r="A412" s="15" t="s">
        <v>684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869</v>
      </c>
    </row>
    <row r="416" spans="1:1">
      <c r="A416" s="15" t="s">
        <v>696</v>
      </c>
    </row>
    <row r="417" spans="1:1">
      <c r="A417" s="35" t="s">
        <v>721</v>
      </c>
    </row>
    <row r="418" spans="1:1">
      <c r="A418" s="15" t="s">
        <v>425</v>
      </c>
    </row>
    <row r="419" spans="1:1">
      <c r="A419" s="15" t="s">
        <v>720</v>
      </c>
    </row>
    <row r="420" spans="1:1">
      <c r="A420" s="15" t="s">
        <v>871</v>
      </c>
    </row>
    <row r="421" spans="1:1">
      <c r="A421" s="15" t="s">
        <v>727</v>
      </c>
    </row>
    <row r="422" spans="1:1">
      <c r="A422" s="35" t="s">
        <v>675</v>
      </c>
    </row>
    <row r="423" spans="1:1">
      <c r="A423" s="35" t="s">
        <v>700</v>
      </c>
    </row>
    <row r="424" spans="1:1">
      <c r="A424" s="35" t="s">
        <v>883</v>
      </c>
    </row>
    <row r="425" spans="1:1">
      <c r="A425" s="35" t="s">
        <v>612</v>
      </c>
    </row>
    <row r="426" spans="1:1">
      <c r="A426" s="35" t="s">
        <v>523</v>
      </c>
    </row>
    <row r="427" spans="1:1">
      <c r="A427" s="35" t="s">
        <v>687</v>
      </c>
    </row>
    <row r="428" spans="1:1">
      <c r="A428" s="35" t="s">
        <v>745</v>
      </c>
    </row>
    <row r="429" spans="1:1">
      <c r="A429" s="35" t="s">
        <v>688</v>
      </c>
    </row>
    <row r="430" spans="1:1">
      <c r="A430" s="35" t="s">
        <v>758</v>
      </c>
    </row>
    <row r="431" spans="1:1">
      <c r="A431" s="35" t="s">
        <v>746</v>
      </c>
    </row>
    <row r="432" spans="1:1">
      <c r="A432" s="35" t="s">
        <v>759</v>
      </c>
    </row>
    <row r="433" spans="1:1">
      <c r="A433" s="35" t="s">
        <v>744</v>
      </c>
    </row>
    <row r="434" spans="1:1">
      <c r="A434" s="35" t="s">
        <v>760</v>
      </c>
    </row>
    <row r="435" spans="1:1">
      <c r="A435" s="35" t="s">
        <v>761</v>
      </c>
    </row>
    <row r="436" spans="1:1">
      <c r="A436" s="35" t="s">
        <v>756</v>
      </c>
    </row>
    <row r="437" spans="1:1">
      <c r="A437" s="35" t="s">
        <v>545</v>
      </c>
    </row>
    <row r="438" spans="1:1">
      <c r="A438" s="35" t="s">
        <v>750</v>
      </c>
    </row>
    <row r="439" spans="1:1">
      <c r="A439" s="35" t="s">
        <v>752</v>
      </c>
    </row>
    <row r="440" spans="1:1">
      <c r="A440" s="35" t="s">
        <v>751</v>
      </c>
    </row>
    <row r="441" spans="1:1">
      <c r="A441" s="35" t="s">
        <v>748</v>
      </c>
    </row>
    <row r="442" spans="1:1">
      <c r="A442" s="35" t="s">
        <v>754</v>
      </c>
    </row>
    <row r="443" spans="1:1">
      <c r="A443" s="35" t="s">
        <v>613</v>
      </c>
    </row>
    <row r="444" spans="1:1">
      <c r="A444" s="35" t="s">
        <v>686</v>
      </c>
    </row>
    <row r="445" spans="1:1">
      <c r="A445" s="35" t="s">
        <v>755</v>
      </c>
    </row>
    <row r="446" spans="1:1">
      <c r="A446" s="35" t="s">
        <v>371</v>
      </c>
    </row>
    <row r="447" spans="1:1">
      <c r="A447" s="35" t="s">
        <v>616</v>
      </c>
    </row>
    <row r="448" spans="1:1">
      <c r="A448" s="35" t="s">
        <v>742</v>
      </c>
    </row>
    <row r="449" spans="1:1">
      <c r="A449" s="35" t="s">
        <v>385</v>
      </c>
    </row>
    <row r="450" spans="1:1">
      <c r="A450" s="35" t="s">
        <v>621</v>
      </c>
    </row>
    <row r="451" spans="1:1">
      <c r="A451" s="35" t="s">
        <v>602</v>
      </c>
    </row>
    <row r="452" spans="1:1">
      <c r="A452" s="35" t="s">
        <v>699</v>
      </c>
    </row>
    <row r="453" spans="1:1">
      <c r="A453" s="35" t="s">
        <v>868</v>
      </c>
    </row>
    <row r="454" spans="1:1">
      <c r="A454" s="35" t="s">
        <v>894</v>
      </c>
    </row>
    <row r="455" spans="1:1">
      <c r="A455" s="35" t="s">
        <v>693</v>
      </c>
    </row>
    <row r="456" spans="1:1">
      <c r="A456" s="35" t="s">
        <v>697</v>
      </c>
    </row>
    <row r="457" spans="1:1">
      <c r="A457" s="35" t="s">
        <v>543</v>
      </c>
    </row>
    <row r="458" spans="1:1">
      <c r="A458" s="35" t="s">
        <v>865</v>
      </c>
    </row>
    <row r="459" spans="1:1">
      <c r="A459" s="35" t="s">
        <v>614</v>
      </c>
    </row>
    <row r="460" spans="1:1">
      <c r="A460" s="35" t="s">
        <v>703</v>
      </c>
    </row>
    <row r="461" spans="1:1">
      <c r="A461" s="35" t="s">
        <v>819</v>
      </c>
    </row>
    <row r="462" spans="1:1">
      <c r="A462" s="35" t="s">
        <v>521</v>
      </c>
    </row>
    <row r="463" spans="1:1">
      <c r="A463" s="35" t="s">
        <v>820</v>
      </c>
    </row>
    <row r="464" spans="1:1">
      <c r="A464" s="35" t="s">
        <v>821</v>
      </c>
    </row>
    <row r="465" spans="1:1">
      <c r="A465" s="35" t="s">
        <v>676</v>
      </c>
    </row>
    <row r="466" spans="1:1">
      <c r="A466" s="35" t="s">
        <v>817</v>
      </c>
    </row>
    <row r="467" spans="1:1">
      <c r="A467" s="35" t="s">
        <v>812</v>
      </c>
    </row>
    <row r="468" spans="1:1">
      <c r="A468" s="35" t="s">
        <v>818</v>
      </c>
    </row>
    <row r="469" spans="1:1">
      <c r="A469" s="35" t="s">
        <v>369</v>
      </c>
    </row>
    <row r="470" spans="1:1">
      <c r="A470" s="35" t="s">
        <v>815</v>
      </c>
    </row>
    <row r="471" spans="1:1">
      <c r="A471" s="35" t="s">
        <v>811</v>
      </c>
    </row>
    <row r="472" spans="1:1">
      <c r="A472" s="35" t="s">
        <v>813</v>
      </c>
    </row>
    <row r="473" spans="1:1">
      <c r="A473" s="35" t="s">
        <v>625</v>
      </c>
    </row>
    <row r="474" spans="1:1">
      <c r="A474" s="35" t="s">
        <v>810</v>
      </c>
    </row>
    <row r="475" spans="1:1">
      <c r="A475" s="35" t="s">
        <v>462</v>
      </c>
    </row>
    <row r="476" spans="1:1">
      <c r="A476" s="35" t="s">
        <v>816</v>
      </c>
    </row>
    <row r="477" spans="1:1">
      <c r="A477" s="35" t="s">
        <v>809</v>
      </c>
    </row>
    <row r="478" spans="1:1">
      <c r="A478" s="35" t="s">
        <v>814</v>
      </c>
    </row>
    <row r="479" spans="1:1">
      <c r="A479" s="35" t="s">
        <v>807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822</v>
      </c>
    </row>
    <row r="484" spans="1:1">
      <c r="A484" s="35" t="s">
        <v>718</v>
      </c>
    </row>
    <row r="485" spans="1:1">
      <c r="A485" s="35" t="s">
        <v>631</v>
      </c>
    </row>
    <row r="486" spans="1:1">
      <c r="A486" s="35" t="s">
        <v>370</v>
      </c>
    </row>
    <row r="487" spans="1:1">
      <c r="A487" s="35" t="s">
        <v>796</v>
      </c>
    </row>
    <row r="488" spans="1:1">
      <c r="A488" s="35" t="s">
        <v>824</v>
      </c>
    </row>
    <row r="489" spans="1:1">
      <c r="A489" s="35" t="s">
        <v>383</v>
      </c>
    </row>
    <row r="490" spans="1:1">
      <c r="A490" s="35" t="s">
        <v>800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753</v>
      </c>
    </row>
    <row r="494" spans="1:1">
      <c r="A494" s="35" t="s">
        <v>798</v>
      </c>
    </row>
    <row r="495" spans="1:1">
      <c r="A495" s="35" t="s">
        <v>799</v>
      </c>
    </row>
    <row r="496" spans="1:1">
      <c r="A496" s="35" t="s">
        <v>400</v>
      </c>
    </row>
    <row r="497" spans="1:1">
      <c r="A497" s="35" t="s">
        <v>797</v>
      </c>
    </row>
    <row r="498" spans="1:1">
      <c r="A498" s="35" t="s">
        <v>624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623</v>
      </c>
    </row>
    <row r="511" spans="1:1">
      <c r="A511" s="35" t="s">
        <v>695</v>
      </c>
    </row>
    <row r="512" spans="1:1">
      <c r="A512" s="35" t="s">
        <v>184</v>
      </c>
    </row>
    <row r="513" spans="1:1">
      <c r="A513" s="35" t="s">
        <v>823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692</v>
      </c>
    </row>
    <row r="517" spans="1:1">
      <c r="A517" s="35" t="s">
        <v>764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805</v>
      </c>
    </row>
    <row r="521" spans="1:1">
      <c r="A521" s="35" t="s">
        <v>177</v>
      </c>
    </row>
    <row r="522" spans="1:1">
      <c r="A522" s="35" t="s">
        <v>804</v>
      </c>
    </row>
    <row r="523" spans="1:1">
      <c r="A523" s="35" t="s">
        <v>182</v>
      </c>
    </row>
    <row r="524" spans="1:1">
      <c r="A524" s="35" t="s">
        <v>689</v>
      </c>
    </row>
    <row r="525" spans="1:1">
      <c r="A525" s="35" t="s">
        <v>647</v>
      </c>
    </row>
    <row r="526" spans="1:1">
      <c r="A526" s="35" t="s">
        <v>769</v>
      </c>
    </row>
    <row r="527" spans="1:1">
      <c r="A527" s="35" t="s">
        <v>895</v>
      </c>
    </row>
    <row r="528" spans="1:1">
      <c r="A528" s="35" t="s">
        <v>743</v>
      </c>
    </row>
    <row r="529" spans="1:1">
      <c r="A529" s="35" t="s">
        <v>892</v>
      </c>
    </row>
    <row r="530" spans="1:1">
      <c r="A530" s="35" t="s">
        <v>801</v>
      </c>
    </row>
    <row r="531" spans="1:1">
      <c r="A531" s="35" t="s">
        <v>723</v>
      </c>
    </row>
    <row r="532" spans="1:1">
      <c r="A532" s="35" t="s">
        <v>642</v>
      </c>
    </row>
    <row r="533" spans="1:1">
      <c r="A533" s="35" t="s">
        <v>423</v>
      </c>
    </row>
    <row r="534" spans="1:1">
      <c r="A534" s="35" t="s">
        <v>765</v>
      </c>
    </row>
    <row r="535" spans="1:1">
      <c r="A535" s="35" t="s">
        <v>767</v>
      </c>
    </row>
    <row r="536" spans="1:1">
      <c r="A536" s="35" t="s">
        <v>607</v>
      </c>
    </row>
    <row r="537" spans="1:1">
      <c r="A537" s="35" t="s">
        <v>142</v>
      </c>
    </row>
    <row r="538" spans="1:1">
      <c r="A538" s="35" t="s">
        <v>887</v>
      </c>
    </row>
    <row r="539" spans="1:1">
      <c r="A539" s="35" t="s">
        <v>143</v>
      </c>
    </row>
    <row r="540" spans="1:1">
      <c r="A540" s="35" t="s">
        <v>690</v>
      </c>
    </row>
    <row r="541" spans="1:1">
      <c r="A541" s="35" t="s">
        <v>766</v>
      </c>
    </row>
    <row r="542" spans="1:1">
      <c r="A542" s="35" t="s">
        <v>886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789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787</v>
      </c>
    </row>
    <row r="563" spans="1:1">
      <c r="A563" s="35" t="s">
        <v>841</v>
      </c>
    </row>
    <row r="564" spans="1:1">
      <c r="A564" s="35" t="s">
        <v>874</v>
      </c>
    </row>
    <row r="565" spans="1:1">
      <c r="A565" s="35" t="s">
        <v>729</v>
      </c>
    </row>
    <row r="566" spans="1:1">
      <c r="A566" s="35" t="s">
        <v>148</v>
      </c>
    </row>
    <row r="567" spans="1:1">
      <c r="A567" s="35" t="s">
        <v>577</v>
      </c>
    </row>
    <row r="568" spans="1:1">
      <c r="A568" s="35" t="s">
        <v>719</v>
      </c>
    </row>
    <row r="569" spans="1:1">
      <c r="A569" s="35" t="s">
        <v>166</v>
      </c>
    </row>
    <row r="570" spans="1:1">
      <c r="A570" s="35" t="s">
        <v>855</v>
      </c>
    </row>
    <row r="571" spans="1:1">
      <c r="A571" s="35" t="s">
        <v>875</v>
      </c>
    </row>
    <row r="572" spans="1:1">
      <c r="A572" s="35" t="s">
        <v>615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749</v>
      </c>
    </row>
    <row r="576" spans="1:1">
      <c r="A576" s="35" t="s">
        <v>832</v>
      </c>
    </row>
    <row r="577" spans="1:1">
      <c r="A577" s="35" t="s">
        <v>161</v>
      </c>
    </row>
    <row r="578" spans="1:1">
      <c r="A578" s="35" t="s">
        <v>806</v>
      </c>
    </row>
    <row r="579" spans="1:1">
      <c r="A579" s="35" t="s">
        <v>790</v>
      </c>
    </row>
    <row r="580" spans="1:1">
      <c r="A580" s="35" t="s">
        <v>741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768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717</v>
      </c>
    </row>
    <row r="590" spans="1:1">
      <c r="A590" s="35" t="s">
        <v>850</v>
      </c>
    </row>
    <row r="591" spans="1:1">
      <c r="A591" s="35" t="s">
        <v>831</v>
      </c>
    </row>
    <row r="592" spans="1:1">
      <c r="A592" s="35" t="s">
        <v>788</v>
      </c>
    </row>
    <row r="593" spans="1:1">
      <c r="A593" s="35" t="s">
        <v>857</v>
      </c>
    </row>
    <row r="594" spans="1:1">
      <c r="A594" s="35" t="s">
        <v>139</v>
      </c>
    </row>
    <row r="595" spans="1:1">
      <c r="A595" s="35" t="s">
        <v>833</v>
      </c>
    </row>
    <row r="596" spans="1:1">
      <c r="A596" s="35" t="s">
        <v>638</v>
      </c>
    </row>
    <row r="597" spans="1:1">
      <c r="A597" s="35" t="s">
        <v>605</v>
      </c>
    </row>
    <row r="598" spans="1:1">
      <c r="A598" s="35" t="s">
        <v>138</v>
      </c>
    </row>
    <row r="599" spans="1:1">
      <c r="A599" s="35" t="s">
        <v>786</v>
      </c>
    </row>
    <row r="600" spans="1:1">
      <c r="A600" s="35" t="s">
        <v>854</v>
      </c>
    </row>
    <row r="601" spans="1:1">
      <c r="A601" s="35" t="s">
        <v>849</v>
      </c>
    </row>
    <row r="602" spans="1:1">
      <c r="A602" s="35" t="s">
        <v>853</v>
      </c>
    </row>
    <row r="603" spans="1:1">
      <c r="A603" s="141" t="s">
        <v>378</v>
      </c>
    </row>
    <row r="604" spans="1:1">
      <c r="A604" s="141" t="s">
        <v>791</v>
      </c>
    </row>
    <row r="605" spans="1:1">
      <c r="A605" s="141" t="s">
        <v>164</v>
      </c>
    </row>
    <row r="606" spans="1:1">
      <c r="A606" s="141" t="s">
        <v>859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889</v>
      </c>
    </row>
    <row r="610" spans="1:1">
      <c r="A610" s="141" t="s">
        <v>862</v>
      </c>
    </row>
    <row r="611" spans="1:1">
      <c r="A611" s="141" t="s">
        <v>793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593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852</v>
      </c>
    </row>
    <row r="618" spans="1:1">
      <c r="A618" s="141" t="s">
        <v>835</v>
      </c>
    </row>
    <row r="619" spans="1:1">
      <c r="A619" s="10" t="s">
        <v>372</v>
      </c>
    </row>
    <row r="620" spans="1:1">
      <c r="A620" s="141" t="s">
        <v>858</v>
      </c>
    </row>
    <row r="621" spans="1:1">
      <c r="A621" s="141" t="s">
        <v>867</v>
      </c>
    </row>
    <row r="622" spans="1:1">
      <c r="A622" s="141" t="s">
        <v>794</v>
      </c>
    </row>
    <row r="623" spans="1:1">
      <c r="A623" s="141" t="s">
        <v>845</v>
      </c>
    </row>
    <row r="624" spans="1:1">
      <c r="A624" s="141" t="s">
        <v>731</v>
      </c>
    </row>
    <row r="625" spans="1:1">
      <c r="A625" s="141" t="s">
        <v>877</v>
      </c>
    </row>
    <row r="626" spans="1:1">
      <c r="A626" s="141" t="s">
        <v>836</v>
      </c>
    </row>
    <row r="627" spans="1:1">
      <c r="A627" s="141" t="s">
        <v>803</v>
      </c>
    </row>
    <row r="628" spans="1:1">
      <c r="A628" s="141" t="s">
        <v>802</v>
      </c>
    </row>
    <row r="629" spans="1:1">
      <c r="A629" s="141" t="s">
        <v>795</v>
      </c>
    </row>
    <row r="630" spans="1:1">
      <c r="A630" s="141" t="s">
        <v>863</v>
      </c>
    </row>
    <row r="631" spans="1:1">
      <c r="A631" s="141" t="s">
        <v>784</v>
      </c>
    </row>
    <row r="632" spans="1:1">
      <c r="A632" s="141" t="s">
        <v>785</v>
      </c>
    </row>
    <row r="633" spans="1:1">
      <c r="A633" s="141" t="s">
        <v>808</v>
      </c>
    </row>
    <row r="634" spans="1:1">
      <c r="A634" s="141" t="s">
        <v>860</v>
      </c>
    </row>
    <row r="635" spans="1:1">
      <c r="A635" s="141" t="s">
        <v>782</v>
      </c>
    </row>
    <row r="636" spans="1:1">
      <c r="A636" s="141" t="s">
        <v>829</v>
      </c>
    </row>
    <row r="637" spans="1:1">
      <c r="A637" s="141" t="s">
        <v>730</v>
      </c>
    </row>
    <row r="638" spans="1:1">
      <c r="A638" s="141" t="s">
        <v>861</v>
      </c>
    </row>
    <row r="639" spans="1:1" ht="15.75" thickBot="1">
      <c r="A639" s="153" t="s">
        <v>830</v>
      </c>
    </row>
    <row r="640" spans="1:1" ht="15.75" thickBot="1">
      <c r="A640" s="153" t="s">
        <v>844</v>
      </c>
    </row>
    <row r="641" spans="1:1" ht="15.75" thickBot="1">
      <c r="A641" s="153" t="s">
        <v>834</v>
      </c>
    </row>
    <row r="668" spans="9:10">
      <c r="I668" t="s">
        <v>937</v>
      </c>
    </row>
    <row r="669" spans="9:10">
      <c r="J669" t="s">
        <v>938</v>
      </c>
    </row>
    <row r="670" spans="9:10">
      <c r="I670" s="143" t="s">
        <v>716</v>
      </c>
      <c r="J670" s="143" t="s">
        <v>561</v>
      </c>
    </row>
    <row r="671" spans="9:10">
      <c r="I671" s="143" t="s">
        <v>563</v>
      </c>
      <c r="J671" s="143" t="s">
        <v>899</v>
      </c>
    </row>
    <row r="672" spans="9:10">
      <c r="I672" s="143" t="s">
        <v>564</v>
      </c>
      <c r="J672" s="143" t="s">
        <v>900</v>
      </c>
    </row>
    <row r="673" spans="9:10">
      <c r="I673" s="143" t="s">
        <v>541</v>
      </c>
      <c r="J673" s="143" t="s">
        <v>901</v>
      </c>
    </row>
    <row r="674" spans="9:10">
      <c r="I674" s="143" t="s">
        <v>542</v>
      </c>
      <c r="J674" s="143" t="s">
        <v>357</v>
      </c>
    </row>
    <row r="675" spans="9:10">
      <c r="I675" s="143" t="s">
        <v>724</v>
      </c>
      <c r="J675" s="143" t="s">
        <v>357</v>
      </c>
    </row>
    <row r="676" spans="9:10">
      <c r="I676" s="143" t="s">
        <v>725</v>
      </c>
      <c r="J676" s="143" t="s">
        <v>396</v>
      </c>
    </row>
    <row r="677" spans="9:10">
      <c r="I677" s="143" t="s">
        <v>726</v>
      </c>
      <c r="J677" s="143" t="s">
        <v>396</v>
      </c>
    </row>
    <row r="678" spans="9:10">
      <c r="I678" s="143" t="s">
        <v>728</v>
      </c>
      <c r="J678" s="143" t="s">
        <v>396</v>
      </c>
    </row>
    <row r="679" spans="9:10">
      <c r="I679" s="143" t="s">
        <v>730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904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734</v>
      </c>
      <c r="J686" s="143" t="s">
        <v>905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735</v>
      </c>
      <c r="J690" s="143" t="s">
        <v>350</v>
      </c>
    </row>
    <row r="691" spans="9:10">
      <c r="I691" s="143" t="s">
        <v>736</v>
      </c>
      <c r="J691" s="143" t="s">
        <v>292</v>
      </c>
    </row>
    <row r="692" spans="9:10">
      <c r="I692" s="143" t="s">
        <v>455</v>
      </c>
      <c r="J692" s="143" t="s">
        <v>906</v>
      </c>
    </row>
    <row r="693" spans="9:10">
      <c r="I693" s="143" t="s">
        <v>450</v>
      </c>
      <c r="J693" s="143" t="s">
        <v>905</v>
      </c>
    </row>
    <row r="694" spans="9:10">
      <c r="I694" s="143" t="s">
        <v>361</v>
      </c>
      <c r="J694" s="143" t="s">
        <v>907</v>
      </c>
    </row>
    <row r="695" spans="9:10">
      <c r="I695" s="143" t="s">
        <v>360</v>
      </c>
      <c r="J695" s="143" t="s">
        <v>389</v>
      </c>
    </row>
    <row r="696" spans="9:10">
      <c r="I696" s="143" t="s">
        <v>737</v>
      </c>
      <c r="J696" s="143" t="s">
        <v>908</v>
      </c>
    </row>
    <row r="697" spans="9:10">
      <c r="I697" s="143" t="s">
        <v>738</v>
      </c>
      <c r="J697" s="143" t="s">
        <v>908</v>
      </c>
    </row>
    <row r="698" spans="9:10">
      <c r="I698" s="143" t="s">
        <v>739</v>
      </c>
      <c r="J698" s="143" t="s">
        <v>909</v>
      </c>
    </row>
    <row r="699" spans="9:10">
      <c r="I699" s="143" t="s">
        <v>593</v>
      </c>
      <c r="J699" s="143" t="s">
        <v>910</v>
      </c>
    </row>
    <row r="700" spans="9:10">
      <c r="I700" s="143" t="s">
        <v>594</v>
      </c>
      <c r="J700" s="143" t="s">
        <v>391</v>
      </c>
    </row>
    <row r="701" spans="9:10">
      <c r="I701" s="143" t="s">
        <v>598</v>
      </c>
      <c r="J701" s="143" t="s">
        <v>903</v>
      </c>
    </row>
    <row r="702" spans="9:10">
      <c r="I702" s="143" t="s">
        <v>600</v>
      </c>
      <c r="J702" s="143" t="s">
        <v>897</v>
      </c>
    </row>
    <row r="703" spans="9:10">
      <c r="I703" s="143" t="s">
        <v>601</v>
      </c>
      <c r="J703" s="143" t="s">
        <v>561</v>
      </c>
    </row>
    <row r="704" spans="9:10">
      <c r="I704" s="143" t="s">
        <v>740</v>
      </c>
      <c r="J704" s="143" t="s">
        <v>399</v>
      </c>
    </row>
    <row r="705" spans="9:10">
      <c r="I705" s="143" t="s">
        <v>606</v>
      </c>
      <c r="J705" s="143" t="s">
        <v>904</v>
      </c>
    </row>
    <row r="706" spans="9:10">
      <c r="I706" s="143" t="s">
        <v>757</v>
      </c>
      <c r="J706" s="143" t="s">
        <v>913</v>
      </c>
    </row>
    <row r="707" spans="9:10">
      <c r="I707" s="143" t="s">
        <v>620</v>
      </c>
      <c r="J707" s="143" t="s">
        <v>914</v>
      </c>
    </row>
    <row r="708" spans="9:10">
      <c r="I708" s="143" t="s">
        <v>763</v>
      </c>
      <c r="J708" s="143" t="s">
        <v>917</v>
      </c>
    </row>
    <row r="709" spans="9:10">
      <c r="I709" s="143" t="s">
        <v>665</v>
      </c>
      <c r="J709" s="143" t="s">
        <v>916</v>
      </c>
    </row>
    <row r="710" spans="9:10">
      <c r="I710" s="143" t="s">
        <v>770</v>
      </c>
      <c r="J710" s="143" t="s">
        <v>373</v>
      </c>
    </row>
    <row r="711" spans="9:10">
      <c r="I711" s="143" t="s">
        <v>771</v>
      </c>
      <c r="J711" s="143" t="s">
        <v>399</v>
      </c>
    </row>
    <row r="712" spans="9:10">
      <c r="I712" s="143" t="s">
        <v>772</v>
      </c>
      <c r="J712" s="143" t="s">
        <v>324</v>
      </c>
    </row>
    <row r="713" spans="9:10">
      <c r="I713" s="143" t="s">
        <v>773</v>
      </c>
      <c r="J713" s="143" t="s">
        <v>916</v>
      </c>
    </row>
    <row r="714" spans="9:10">
      <c r="I714" s="143" t="s">
        <v>774</v>
      </c>
      <c r="J714" s="143" t="s">
        <v>916</v>
      </c>
    </row>
    <row r="715" spans="9:10">
      <c r="I715" s="143" t="s">
        <v>775</v>
      </c>
      <c r="J715" s="143" t="s">
        <v>335</v>
      </c>
    </row>
    <row r="716" spans="9:10">
      <c r="I716" s="143" t="s">
        <v>776</v>
      </c>
      <c r="J716" s="143" t="s">
        <v>898</v>
      </c>
    </row>
    <row r="717" spans="9:10">
      <c r="I717" s="143" t="s">
        <v>777</v>
      </c>
      <c r="J717" s="143" t="s">
        <v>920</v>
      </c>
    </row>
    <row r="718" spans="9:10">
      <c r="I718" s="143" t="s">
        <v>778</v>
      </c>
      <c r="J718" s="143" t="s">
        <v>389</v>
      </c>
    </row>
    <row r="719" spans="9:10">
      <c r="I719" s="143" t="s">
        <v>779</v>
      </c>
      <c r="J719" s="143" t="s">
        <v>561</v>
      </c>
    </row>
    <row r="720" spans="9:10">
      <c r="I720" s="143" t="s">
        <v>780</v>
      </c>
      <c r="J720" s="143" t="s">
        <v>373</v>
      </c>
    </row>
    <row r="721" spans="9:10">
      <c r="I721" s="143" t="s">
        <v>781</v>
      </c>
      <c r="J721" s="143" t="s">
        <v>391</v>
      </c>
    </row>
    <row r="722" spans="9:10">
      <c r="I722" s="143" t="s">
        <v>782</v>
      </c>
      <c r="J722" s="143" t="s">
        <v>904</v>
      </c>
    </row>
    <row r="723" spans="9:10">
      <c r="I723" s="143" t="s">
        <v>783</v>
      </c>
      <c r="J723" s="143" t="s">
        <v>921</v>
      </c>
    </row>
    <row r="724" spans="9:10">
      <c r="I724" s="143" t="s">
        <v>784</v>
      </c>
      <c r="J724" s="143" t="s">
        <v>906</v>
      </c>
    </row>
    <row r="725" spans="9:10">
      <c r="I725" s="143" t="s">
        <v>785</v>
      </c>
      <c r="J725" s="143" t="s">
        <v>350</v>
      </c>
    </row>
    <row r="726" spans="9:10">
      <c r="I726" s="143" t="s">
        <v>792</v>
      </c>
      <c r="J726" s="143" t="s">
        <v>923</v>
      </c>
    </row>
    <row r="727" spans="9:10">
      <c r="I727" s="143" t="s">
        <v>825</v>
      </c>
      <c r="J727" s="143" t="s">
        <v>350</v>
      </c>
    </row>
    <row r="728" spans="9:10">
      <c r="I728" s="143" t="s">
        <v>826</v>
      </c>
      <c r="J728" s="143" t="s">
        <v>350</v>
      </c>
    </row>
    <row r="729" spans="9:10">
      <c r="I729" s="143" t="s">
        <v>827</v>
      </c>
      <c r="J729" s="143" t="s">
        <v>399</v>
      </c>
    </row>
    <row r="730" spans="9:10">
      <c r="I730" s="143" t="s">
        <v>828</v>
      </c>
      <c r="J730" s="143" t="s">
        <v>902</v>
      </c>
    </row>
    <row r="731" spans="9:10">
      <c r="I731" s="143" t="s">
        <v>829</v>
      </c>
      <c r="J731" s="143" t="s">
        <v>399</v>
      </c>
    </row>
    <row r="732" spans="9:10">
      <c r="I732" s="143" t="s">
        <v>830</v>
      </c>
      <c r="J732" s="143" t="s">
        <v>350</v>
      </c>
    </row>
    <row r="733" spans="9:10">
      <c r="I733" s="143" t="s">
        <v>834</v>
      </c>
      <c r="J733" s="143" t="s">
        <v>357</v>
      </c>
    </row>
    <row r="734" spans="9:10">
      <c r="I734" s="143" t="s">
        <v>837</v>
      </c>
      <c r="J734" s="143" t="s">
        <v>302</v>
      </c>
    </row>
    <row r="735" spans="9:10">
      <c r="I735" s="143" t="s">
        <v>838</v>
      </c>
      <c r="J735" s="143" t="s">
        <v>561</v>
      </c>
    </row>
    <row r="736" spans="9:10">
      <c r="I736" s="143" t="s">
        <v>839</v>
      </c>
      <c r="J736" s="143" t="s">
        <v>897</v>
      </c>
    </row>
    <row r="737" spans="9:10">
      <c r="I737" s="143" t="s">
        <v>840</v>
      </c>
      <c r="J737" s="143" t="s">
        <v>927</v>
      </c>
    </row>
    <row r="738" spans="9:10">
      <c r="I738" s="143" t="s">
        <v>842</v>
      </c>
      <c r="J738" s="143" t="s">
        <v>561</v>
      </c>
    </row>
    <row r="739" spans="9:10">
      <c r="I739" s="143" t="s">
        <v>843</v>
      </c>
      <c r="J739" s="143" t="s">
        <v>302</v>
      </c>
    </row>
    <row r="740" spans="9:10">
      <c r="I740" s="143" t="s">
        <v>844</v>
      </c>
      <c r="J740" s="143" t="s">
        <v>335</v>
      </c>
    </row>
    <row r="741" spans="9:10">
      <c r="I741" s="143" t="s">
        <v>845</v>
      </c>
      <c r="J741" s="143" t="s">
        <v>335</v>
      </c>
    </row>
    <row r="742" spans="9:10">
      <c r="I742" s="143" t="s">
        <v>846</v>
      </c>
      <c r="J742" s="143" t="s">
        <v>350</v>
      </c>
    </row>
    <row r="743" spans="9:10">
      <c r="I743" s="143" t="s">
        <v>847</v>
      </c>
      <c r="J743" s="143" t="s">
        <v>350</v>
      </c>
    </row>
    <row r="744" spans="9:10">
      <c r="I744" s="143" t="s">
        <v>848</v>
      </c>
      <c r="J744" s="143" t="s">
        <v>350</v>
      </c>
    </row>
    <row r="745" spans="9:10">
      <c r="I745" s="143" t="s">
        <v>851</v>
      </c>
      <c r="J745" s="143" t="s">
        <v>905</v>
      </c>
    </row>
    <row r="746" spans="9:10">
      <c r="I746" s="143" t="s">
        <v>856</v>
      </c>
      <c r="J746" s="143" t="s">
        <v>357</v>
      </c>
    </row>
    <row r="747" spans="9:10">
      <c r="I747" s="143" t="s">
        <v>860</v>
      </c>
      <c r="J747" s="143" t="s">
        <v>302</v>
      </c>
    </row>
    <row r="748" spans="9:10">
      <c r="I748" s="143" t="s">
        <v>861</v>
      </c>
      <c r="J748" s="143" t="s">
        <v>350</v>
      </c>
    </row>
    <row r="749" spans="9:10">
      <c r="I749" s="143" t="s">
        <v>876</v>
      </c>
      <c r="J749" s="143" t="s">
        <v>930</v>
      </c>
    </row>
    <row r="750" spans="9:10">
      <c r="I750" s="143" t="s">
        <v>884</v>
      </c>
      <c r="J750" s="143" t="s">
        <v>933</v>
      </c>
    </row>
    <row r="751" spans="9:10">
      <c r="I751" s="143" t="s">
        <v>890</v>
      </c>
      <c r="J751" s="143" t="s">
        <v>934</v>
      </c>
    </row>
    <row r="752" spans="9:10">
      <c r="I752" s="143" t="s">
        <v>891</v>
      </c>
      <c r="J752" s="143" t="s">
        <v>934</v>
      </c>
    </row>
    <row r="753" spans="9:16">
      <c r="I753" s="143" t="s">
        <v>893</v>
      </c>
      <c r="J753" s="143" t="s">
        <v>350</v>
      </c>
    </row>
    <row r="754" spans="9:16">
      <c r="I754" s="143" t="s">
        <v>896</v>
      </c>
      <c r="J754" s="143" t="s">
        <v>935</v>
      </c>
    </row>
    <row r="755" spans="9:16">
      <c r="P755" s="149" t="s">
        <v>563</v>
      </c>
    </row>
    <row r="756" spans="9:16">
      <c r="I756" s="149" t="s">
        <v>563</v>
      </c>
      <c r="P756" s="150" t="s">
        <v>564</v>
      </c>
    </row>
    <row r="757" spans="9:16">
      <c r="I757" s="150" t="s">
        <v>564</v>
      </c>
      <c r="P757" s="149" t="s">
        <v>730</v>
      </c>
    </row>
    <row r="758" spans="9:16">
      <c r="I758" s="149" t="s">
        <v>730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724</v>
      </c>
    </row>
    <row r="761" spans="9:16">
      <c r="I761" s="149" t="s">
        <v>724</v>
      </c>
      <c r="P761" s="149" t="s">
        <v>725</v>
      </c>
    </row>
    <row r="762" spans="9:16">
      <c r="I762" s="149" t="s">
        <v>725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716</v>
      </c>
    </row>
    <row r="766" spans="9:16">
      <c r="I766" s="149" t="s">
        <v>716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598</v>
      </c>
    </row>
    <row r="769" spans="9:16">
      <c r="I769" s="149" t="s">
        <v>598</v>
      </c>
      <c r="P769" s="149" t="s">
        <v>594</v>
      </c>
    </row>
    <row r="770" spans="9:16">
      <c r="I770" s="149" t="s">
        <v>594</v>
      </c>
      <c r="P770" s="149" t="s">
        <v>600</v>
      </c>
    </row>
    <row r="771" spans="9:16">
      <c r="I771" s="149" t="s">
        <v>600</v>
      </c>
      <c r="P771" s="149" t="s">
        <v>601</v>
      </c>
    </row>
    <row r="772" spans="9:16">
      <c r="I772" s="149" t="s">
        <v>601</v>
      </c>
      <c r="P772" s="149" t="s">
        <v>593</v>
      </c>
    </row>
    <row r="773" spans="9:16">
      <c r="I773" s="149" t="s">
        <v>593</v>
      </c>
      <c r="P773" s="149" t="s">
        <v>740</v>
      </c>
    </row>
    <row r="774" spans="9:16">
      <c r="I774" s="149" t="s">
        <v>740</v>
      </c>
      <c r="P774" s="149" t="s">
        <v>606</v>
      </c>
    </row>
    <row r="775" spans="9:16">
      <c r="I775" s="149" t="s">
        <v>606</v>
      </c>
      <c r="P775" s="149" t="s">
        <v>555</v>
      </c>
    </row>
    <row r="776" spans="9:16">
      <c r="I776" s="149" t="s">
        <v>555</v>
      </c>
      <c r="P776" s="149" t="s">
        <v>784</v>
      </c>
    </row>
    <row r="777" spans="9:16">
      <c r="I777" s="149" t="s">
        <v>784</v>
      </c>
      <c r="P777" s="149" t="s">
        <v>783</v>
      </c>
    </row>
    <row r="778" spans="9:16">
      <c r="I778" s="149" t="s">
        <v>783</v>
      </c>
      <c r="P778" s="152" t="s">
        <v>773</v>
      </c>
    </row>
    <row r="779" spans="9:16">
      <c r="I779" s="152" t="s">
        <v>773</v>
      </c>
      <c r="P779" s="149" t="s">
        <v>792</v>
      </c>
    </row>
    <row r="780" spans="9:16">
      <c r="I780" s="149" t="s">
        <v>792</v>
      </c>
      <c r="P780" s="149" t="s">
        <v>782</v>
      </c>
    </row>
    <row r="781" spans="9:16">
      <c r="I781" s="149" t="s">
        <v>782</v>
      </c>
      <c r="P781" s="149" t="s">
        <v>785</v>
      </c>
    </row>
    <row r="782" spans="9:16">
      <c r="I782" s="149" t="s">
        <v>785</v>
      </c>
      <c r="P782" s="152" t="s">
        <v>774</v>
      </c>
    </row>
    <row r="783" spans="9:16">
      <c r="I783" s="152" t="s">
        <v>774</v>
      </c>
      <c r="P783" s="152" t="s">
        <v>770</v>
      </c>
    </row>
    <row r="784" spans="9:16">
      <c r="I784" s="152" t="s">
        <v>770</v>
      </c>
      <c r="P784" s="149" t="s">
        <v>829</v>
      </c>
    </row>
    <row r="785" spans="9:16">
      <c r="I785" s="149" t="s">
        <v>829</v>
      </c>
      <c r="P785" s="149" t="s">
        <v>827</v>
      </c>
    </row>
    <row r="786" spans="9:16">
      <c r="I786" s="149" t="s">
        <v>827</v>
      </c>
      <c r="P786" s="149" t="s">
        <v>828</v>
      </c>
    </row>
    <row r="787" spans="9:16">
      <c r="I787" s="149" t="s">
        <v>828</v>
      </c>
      <c r="P787" s="149" t="s">
        <v>830</v>
      </c>
    </row>
    <row r="788" spans="9:16">
      <c r="I788" s="149" t="s">
        <v>830</v>
      </c>
      <c r="P788" s="149" t="s">
        <v>834</v>
      </c>
    </row>
    <row r="789" spans="9:16">
      <c r="I789" s="149" t="s">
        <v>834</v>
      </c>
      <c r="P789" s="149" t="s">
        <v>837</v>
      </c>
    </row>
    <row r="790" spans="9:16">
      <c r="I790" s="149" t="s">
        <v>837</v>
      </c>
      <c r="P790" s="149" t="s">
        <v>839</v>
      </c>
    </row>
    <row r="791" spans="9:16">
      <c r="I791" s="149" t="s">
        <v>839</v>
      </c>
      <c r="P791" s="149" t="s">
        <v>860</v>
      </c>
    </row>
    <row r="792" spans="9:16">
      <c r="I792" s="149" t="s">
        <v>860</v>
      </c>
      <c r="P792" s="149" t="s">
        <v>861</v>
      </c>
    </row>
    <row r="793" spans="9:16">
      <c r="I793" s="149" t="s">
        <v>861</v>
      </c>
      <c r="P793" s="149" t="s">
        <v>851</v>
      </c>
    </row>
    <row r="794" spans="9:16">
      <c r="I794" s="149" t="s">
        <v>851</v>
      </c>
      <c r="P794" s="149" t="s">
        <v>856</v>
      </c>
    </row>
    <row r="795" spans="9:16">
      <c r="I795" s="149" t="s">
        <v>856</v>
      </c>
      <c r="P795" s="149" t="s">
        <v>848</v>
      </c>
    </row>
    <row r="796" spans="9:16">
      <c r="I796" s="149" t="s">
        <v>848</v>
      </c>
      <c r="P796" s="149" t="s">
        <v>845</v>
      </c>
    </row>
    <row r="797" spans="9:16">
      <c r="I797" s="149" t="s">
        <v>845</v>
      </c>
      <c r="P797" s="149" t="s">
        <v>844</v>
      </c>
    </row>
    <row r="798" spans="9:16">
      <c r="I798" s="149" t="s">
        <v>844</v>
      </c>
      <c r="P798" s="149" t="s">
        <v>847</v>
      </c>
    </row>
    <row r="799" spans="9:16">
      <c r="I799" s="149" t="s">
        <v>847</v>
      </c>
      <c r="P799" s="149" t="s">
        <v>846</v>
      </c>
    </row>
    <row r="800" spans="9:16">
      <c r="I800" s="149" t="s">
        <v>846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939</v>
      </c>
    </row>
    <row r="806" spans="9:17">
      <c r="L806" s="143" t="s">
        <v>716</v>
      </c>
    </row>
    <row r="807" spans="9:17">
      <c r="L807" s="143" t="s">
        <v>563</v>
      </c>
    </row>
    <row r="808" spans="9:17">
      <c r="L808" s="143" t="s">
        <v>564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724</v>
      </c>
    </row>
    <row r="812" spans="9:17">
      <c r="L812" s="143" t="s">
        <v>725</v>
      </c>
    </row>
    <row r="813" spans="9:17">
      <c r="L813" s="143" t="s">
        <v>726</v>
      </c>
      <c r="Q813" s="143" t="s">
        <v>726</v>
      </c>
    </row>
    <row r="814" spans="9:17">
      <c r="L814" s="143" t="s">
        <v>728</v>
      </c>
      <c r="Q814" s="143" t="s">
        <v>728</v>
      </c>
    </row>
    <row r="815" spans="9:17">
      <c r="L815" s="143" t="s">
        <v>730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734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734</v>
      </c>
      <c r="Q822" s="143" t="s">
        <v>735</v>
      </c>
    </row>
    <row r="823" spans="12:17">
      <c r="L823" s="143" t="s">
        <v>558</v>
      </c>
      <c r="Q823" s="143" t="s">
        <v>736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735</v>
      </c>
      <c r="Q826" s="143" t="s">
        <v>361</v>
      </c>
    </row>
    <row r="827" spans="12:17">
      <c r="L827" s="143" t="s">
        <v>736</v>
      </c>
      <c r="Q827" s="143" t="s">
        <v>360</v>
      </c>
    </row>
    <row r="828" spans="12:17">
      <c r="L828" s="143" t="s">
        <v>455</v>
      </c>
      <c r="Q828" s="143" t="s">
        <v>737</v>
      </c>
    </row>
    <row r="829" spans="12:17">
      <c r="L829" s="143" t="s">
        <v>450</v>
      </c>
      <c r="Q829" s="143" t="s">
        <v>738</v>
      </c>
    </row>
    <row r="830" spans="12:17">
      <c r="L830" s="143" t="s">
        <v>361</v>
      </c>
      <c r="Q830" s="143" t="s">
        <v>739</v>
      </c>
    </row>
    <row r="831" spans="12:17">
      <c r="L831" s="143" t="s">
        <v>360</v>
      </c>
      <c r="Q831" s="143" t="s">
        <v>757</v>
      </c>
    </row>
    <row r="832" spans="12:17">
      <c r="L832" s="143" t="s">
        <v>737</v>
      </c>
      <c r="Q832" s="143" t="s">
        <v>620</v>
      </c>
    </row>
    <row r="833" spans="12:17">
      <c r="L833" s="143" t="s">
        <v>738</v>
      </c>
      <c r="Q833" s="143" t="s">
        <v>763</v>
      </c>
    </row>
    <row r="834" spans="12:17">
      <c r="L834" s="143" t="s">
        <v>739</v>
      </c>
      <c r="Q834" s="143" t="s">
        <v>665</v>
      </c>
    </row>
    <row r="835" spans="12:17">
      <c r="L835" s="143" t="s">
        <v>593</v>
      </c>
      <c r="Q835" s="143" t="s">
        <v>775</v>
      </c>
    </row>
    <row r="836" spans="12:17">
      <c r="L836" s="143" t="s">
        <v>594</v>
      </c>
      <c r="Q836" s="143" t="s">
        <v>776</v>
      </c>
    </row>
    <row r="837" spans="12:17">
      <c r="L837" s="143" t="s">
        <v>598</v>
      </c>
      <c r="Q837" s="143" t="s">
        <v>777</v>
      </c>
    </row>
    <row r="838" spans="12:17">
      <c r="L838" s="143" t="s">
        <v>600</v>
      </c>
      <c r="Q838" s="143" t="s">
        <v>778</v>
      </c>
    </row>
    <row r="839" spans="12:17">
      <c r="L839" s="143" t="s">
        <v>601</v>
      </c>
      <c r="Q839" s="143" t="s">
        <v>779</v>
      </c>
    </row>
    <row r="840" spans="12:17">
      <c r="L840" s="143" t="s">
        <v>740</v>
      </c>
      <c r="Q840" s="143" t="s">
        <v>825</v>
      </c>
    </row>
    <row r="841" spans="12:17">
      <c r="L841" s="143" t="s">
        <v>606</v>
      </c>
      <c r="Q841" s="143" t="s">
        <v>826</v>
      </c>
    </row>
    <row r="842" spans="12:17">
      <c r="L842" s="143" t="s">
        <v>757</v>
      </c>
      <c r="Q842" s="143" t="s">
        <v>840</v>
      </c>
    </row>
    <row r="843" spans="12:17">
      <c r="L843" s="143" t="s">
        <v>620</v>
      </c>
      <c r="Q843" s="143" t="s">
        <v>842</v>
      </c>
    </row>
    <row r="844" spans="12:17">
      <c r="L844" s="143" t="s">
        <v>763</v>
      </c>
      <c r="Q844" s="143" t="s">
        <v>876</v>
      </c>
    </row>
    <row r="845" spans="12:17">
      <c r="L845" s="143" t="s">
        <v>665</v>
      </c>
      <c r="Q845" s="143" t="s">
        <v>884</v>
      </c>
    </row>
    <row r="846" spans="12:17">
      <c r="L846" s="143" t="s">
        <v>770</v>
      </c>
      <c r="Q846" s="143" t="s">
        <v>890</v>
      </c>
    </row>
    <row r="847" spans="12:17">
      <c r="L847" s="143" t="s">
        <v>771</v>
      </c>
      <c r="Q847" s="143" t="s">
        <v>891</v>
      </c>
    </row>
    <row r="848" spans="12:17">
      <c r="L848" s="143" t="s">
        <v>772</v>
      </c>
      <c r="Q848" s="143" t="s">
        <v>893</v>
      </c>
    </row>
    <row r="849" spans="12:17">
      <c r="L849" s="143" t="s">
        <v>773</v>
      </c>
      <c r="Q849" s="143" t="s">
        <v>896</v>
      </c>
    </row>
    <row r="850" spans="12:17">
      <c r="L850" s="143" t="s">
        <v>774</v>
      </c>
    </row>
    <row r="851" spans="12:17">
      <c r="L851" s="143" t="s">
        <v>775</v>
      </c>
    </row>
    <row r="852" spans="12:17">
      <c r="L852" s="143" t="s">
        <v>776</v>
      </c>
    </row>
    <row r="853" spans="12:17">
      <c r="L853" s="143" t="s">
        <v>777</v>
      </c>
    </row>
    <row r="854" spans="12:17">
      <c r="L854" s="143" t="s">
        <v>778</v>
      </c>
    </row>
    <row r="855" spans="12:17">
      <c r="L855" s="143" t="s">
        <v>779</v>
      </c>
    </row>
    <row r="856" spans="12:17">
      <c r="L856" s="143" t="s">
        <v>780</v>
      </c>
    </row>
    <row r="857" spans="12:17">
      <c r="L857" s="143" t="s">
        <v>781</v>
      </c>
    </row>
    <row r="858" spans="12:17">
      <c r="L858" s="143" t="s">
        <v>782</v>
      </c>
    </row>
    <row r="859" spans="12:17">
      <c r="L859" s="143" t="s">
        <v>783</v>
      </c>
    </row>
    <row r="860" spans="12:17">
      <c r="L860" s="143" t="s">
        <v>784</v>
      </c>
    </row>
    <row r="861" spans="12:17">
      <c r="L861" s="143" t="s">
        <v>785</v>
      </c>
    </row>
    <row r="862" spans="12:17">
      <c r="L862" s="143" t="s">
        <v>792</v>
      </c>
    </row>
    <row r="863" spans="12:17">
      <c r="L863" s="143" t="s">
        <v>825</v>
      </c>
    </row>
    <row r="864" spans="12:17">
      <c r="L864" s="143" t="s">
        <v>826</v>
      </c>
    </row>
    <row r="865" spans="12:12">
      <c r="L865" s="143" t="s">
        <v>827</v>
      </c>
    </row>
    <row r="866" spans="12:12">
      <c r="L866" s="143" t="s">
        <v>828</v>
      </c>
    </row>
    <row r="867" spans="12:12">
      <c r="L867" s="143" t="s">
        <v>829</v>
      </c>
    </row>
    <row r="868" spans="12:12">
      <c r="L868" s="143" t="s">
        <v>830</v>
      </c>
    </row>
    <row r="869" spans="12:12">
      <c r="L869" s="143" t="s">
        <v>834</v>
      </c>
    </row>
    <row r="870" spans="12:12">
      <c r="L870" s="143" t="s">
        <v>837</v>
      </c>
    </row>
    <row r="871" spans="12:12">
      <c r="L871" s="143" t="s">
        <v>838</v>
      </c>
    </row>
    <row r="872" spans="12:12">
      <c r="L872" s="143" t="s">
        <v>839</v>
      </c>
    </row>
    <row r="873" spans="12:12">
      <c r="L873" s="143" t="s">
        <v>840</v>
      </c>
    </row>
    <row r="874" spans="12:12">
      <c r="L874" s="143" t="s">
        <v>842</v>
      </c>
    </row>
    <row r="875" spans="12:12">
      <c r="L875" s="143" t="s">
        <v>843</v>
      </c>
    </row>
    <row r="876" spans="12:12">
      <c r="L876" s="143" t="s">
        <v>844</v>
      </c>
    </row>
    <row r="877" spans="12:12">
      <c r="L877" s="143" t="s">
        <v>845</v>
      </c>
    </row>
    <row r="878" spans="12:12">
      <c r="L878" s="143" t="s">
        <v>846</v>
      </c>
    </row>
    <row r="879" spans="12:12">
      <c r="L879" s="143" t="s">
        <v>847</v>
      </c>
    </row>
    <row r="880" spans="12:12">
      <c r="L880" s="143" t="s">
        <v>848</v>
      </c>
    </row>
    <row r="881" spans="12:12">
      <c r="L881" s="143" t="s">
        <v>851</v>
      </c>
    </row>
    <row r="882" spans="12:12">
      <c r="L882" s="143" t="s">
        <v>856</v>
      </c>
    </row>
    <row r="883" spans="12:12">
      <c r="L883" s="143" t="s">
        <v>860</v>
      </c>
    </row>
    <row r="884" spans="12:12">
      <c r="L884" s="143" t="s">
        <v>861</v>
      </c>
    </row>
    <row r="885" spans="12:12">
      <c r="L885" s="143" t="s">
        <v>876</v>
      </c>
    </row>
    <row r="886" spans="12:12">
      <c r="L886" s="143" t="s">
        <v>884</v>
      </c>
    </row>
    <row r="887" spans="12:12">
      <c r="L887" s="143" t="s">
        <v>890</v>
      </c>
    </row>
    <row r="888" spans="12:12">
      <c r="L888" s="143" t="s">
        <v>891</v>
      </c>
    </row>
    <row r="889" spans="12:12">
      <c r="L889" s="143" t="s">
        <v>893</v>
      </c>
    </row>
    <row r="890" spans="12:12">
      <c r="L890" s="143" t="s">
        <v>896</v>
      </c>
    </row>
    <row r="892" spans="12:12">
      <c r="L892" s="146" t="s">
        <v>563</v>
      </c>
    </row>
    <row r="893" spans="12:12">
      <c r="L893" s="147" t="s">
        <v>564</v>
      </c>
    </row>
    <row r="894" spans="12:12">
      <c r="L894" s="146" t="s">
        <v>730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724</v>
      </c>
    </row>
    <row r="898" spans="12:12">
      <c r="L898" s="146" t="s">
        <v>725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716</v>
      </c>
    </row>
    <row r="902" spans="12:12">
      <c r="L902" s="146" t="s">
        <v>598</v>
      </c>
    </row>
    <row r="903" spans="12:12">
      <c r="L903" s="146" t="s">
        <v>594</v>
      </c>
    </row>
    <row r="904" spans="12:12">
      <c r="L904" s="146" t="s">
        <v>600</v>
      </c>
    </row>
    <row r="905" spans="12:12">
      <c r="L905" s="146" t="s">
        <v>601</v>
      </c>
    </row>
    <row r="906" spans="12:12">
      <c r="L906" s="146" t="s">
        <v>593</v>
      </c>
    </row>
    <row r="907" spans="12:12">
      <c r="L907" s="146" t="s">
        <v>740</v>
      </c>
    </row>
    <row r="908" spans="12:12">
      <c r="L908" s="146" t="s">
        <v>606</v>
      </c>
    </row>
    <row r="909" spans="12:12">
      <c r="L909" s="146" t="s">
        <v>555</v>
      </c>
    </row>
    <row r="910" spans="12:12">
      <c r="L910" s="146" t="s">
        <v>792</v>
      </c>
    </row>
    <row r="911" spans="12:12">
      <c r="L911" s="148" t="s">
        <v>781</v>
      </c>
    </row>
    <row r="912" spans="12:12">
      <c r="L912" s="148" t="s">
        <v>780</v>
      </c>
    </row>
    <row r="913" spans="12:12">
      <c r="L913" s="146" t="s">
        <v>784</v>
      </c>
    </row>
    <row r="914" spans="12:12">
      <c r="L914" s="146" t="s">
        <v>783</v>
      </c>
    </row>
    <row r="915" spans="12:12">
      <c r="L915" s="29" t="s">
        <v>773</v>
      </c>
    </row>
    <row r="916" spans="12:12">
      <c r="L916" s="146" t="s">
        <v>782</v>
      </c>
    </row>
    <row r="917" spans="12:12">
      <c r="L917" s="148" t="s">
        <v>770</v>
      </c>
    </row>
    <row r="918" spans="12:12">
      <c r="L918" s="148" t="s">
        <v>771</v>
      </c>
    </row>
    <row r="919" spans="12:12">
      <c r="L919" s="148" t="s">
        <v>772</v>
      </c>
    </row>
    <row r="920" spans="12:12">
      <c r="L920" s="146" t="s">
        <v>785</v>
      </c>
    </row>
    <row r="921" spans="12:12">
      <c r="L921" s="29" t="s">
        <v>774</v>
      </c>
    </row>
    <row r="922" spans="12:12">
      <c r="L922" s="29" t="s">
        <v>770</v>
      </c>
    </row>
    <row r="923" spans="12:12">
      <c r="L923" s="146" t="s">
        <v>829</v>
      </c>
    </row>
    <row r="924" spans="12:12">
      <c r="L924" s="146" t="s">
        <v>827</v>
      </c>
    </row>
    <row r="925" spans="12:12">
      <c r="L925" s="146" t="s">
        <v>828</v>
      </c>
    </row>
    <row r="926" spans="12:12">
      <c r="L926" s="146" t="s">
        <v>830</v>
      </c>
    </row>
    <row r="927" spans="12:12">
      <c r="L927" s="146" t="s">
        <v>834</v>
      </c>
    </row>
    <row r="928" spans="12:12">
      <c r="L928" s="148" t="s">
        <v>837</v>
      </c>
    </row>
    <row r="929" spans="12:12">
      <c r="L929" s="148" t="s">
        <v>838</v>
      </c>
    </row>
    <row r="930" spans="12:12">
      <c r="L930" s="148" t="s">
        <v>839</v>
      </c>
    </row>
    <row r="931" spans="12:12">
      <c r="L931" s="146" t="s">
        <v>860</v>
      </c>
    </row>
    <row r="932" spans="12:12">
      <c r="L932" s="146" t="s">
        <v>848</v>
      </c>
    </row>
    <row r="933" spans="12:12">
      <c r="L933" s="146" t="s">
        <v>851</v>
      </c>
    </row>
    <row r="934" spans="12:12">
      <c r="L934" s="146" t="s">
        <v>856</v>
      </c>
    </row>
    <row r="935" spans="12:12">
      <c r="L935" s="146" t="s">
        <v>861</v>
      </c>
    </row>
    <row r="936" spans="12:12">
      <c r="L936" s="146" t="s">
        <v>845</v>
      </c>
    </row>
    <row r="937" spans="12:12">
      <c r="L937" s="146" t="s">
        <v>844</v>
      </c>
    </row>
    <row r="938" spans="12:12">
      <c r="L938" s="146" t="s">
        <v>846</v>
      </c>
    </row>
    <row r="939" spans="12:12">
      <c r="L939" s="146" t="s">
        <v>847</v>
      </c>
    </row>
    <row r="940" spans="12:12">
      <c r="L940" s="146" t="s">
        <v>843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940</v>
      </c>
    </row>
    <row r="4" spans="2:2" hidden="1">
      <c r="B4" t="s">
        <v>675</v>
      </c>
    </row>
    <row r="5" spans="2:2" hidden="1">
      <c r="B5" t="s">
        <v>700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701</v>
      </c>
    </row>
    <row r="10" spans="2:2" hidden="1">
      <c r="B10" t="s">
        <v>702</v>
      </c>
    </row>
    <row r="11" spans="2:2" hidden="1">
      <c r="B11" t="s">
        <v>522</v>
      </c>
    </row>
    <row r="12" spans="2:2">
      <c r="B12" t="s">
        <v>703</v>
      </c>
    </row>
    <row r="13" spans="2:2" hidden="1">
      <c r="B13" t="s">
        <v>704</v>
      </c>
    </row>
    <row r="14" spans="2:2" hidden="1">
      <c r="B14" t="s">
        <v>705</v>
      </c>
    </row>
    <row r="15" spans="2:2" hidden="1">
      <c r="B15" t="s">
        <v>676</v>
      </c>
    </row>
    <row r="16" spans="2:2" hidden="1">
      <c r="B16" t="s">
        <v>706</v>
      </c>
    </row>
    <row r="17" spans="2:2" hidden="1">
      <c r="B17" t="s">
        <v>707</v>
      </c>
    </row>
    <row r="18" spans="2:2" hidden="1">
      <c r="B18" t="s">
        <v>677</v>
      </c>
    </row>
    <row r="19" spans="2:2">
      <c r="B19" t="s">
        <v>523</v>
      </c>
    </row>
    <row r="20" spans="2:2">
      <c r="B20" t="s">
        <v>708</v>
      </c>
    </row>
    <row r="21" spans="2:2" hidden="1">
      <c r="B21" t="s">
        <v>678</v>
      </c>
    </row>
    <row r="22" spans="2:2" hidden="1">
      <c r="B22" t="s">
        <v>679</v>
      </c>
    </row>
    <row r="23" spans="2:2" hidden="1">
      <c r="B23" t="s">
        <v>709</v>
      </c>
    </row>
    <row r="24" spans="2:2" hidden="1">
      <c r="B24" t="s">
        <v>710</v>
      </c>
    </row>
    <row r="25" spans="2:2" hidden="1">
      <c r="B25" t="s">
        <v>711</v>
      </c>
    </row>
    <row r="26" spans="2:2" hidden="1">
      <c r="B26" t="s">
        <v>712</v>
      </c>
    </row>
    <row r="27" spans="2:2">
      <c r="B27" t="s">
        <v>713</v>
      </c>
    </row>
    <row r="28" spans="2:2">
      <c r="B28" t="s">
        <v>714</v>
      </c>
    </row>
    <row r="29" spans="2:2" hidden="1">
      <c r="B29" t="s">
        <v>715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717</v>
      </c>
    </row>
    <row r="35" spans="2:2">
      <c r="B35" t="s">
        <v>718</v>
      </c>
    </row>
    <row r="36" spans="2:2">
      <c r="B36" t="s">
        <v>719</v>
      </c>
    </row>
    <row r="37" spans="2:2" hidden="1">
      <c r="B37" t="s">
        <v>720</v>
      </c>
    </row>
    <row r="38" spans="2:2" hidden="1">
      <c r="B38" t="s">
        <v>680</v>
      </c>
    </row>
    <row r="39" spans="2:2">
      <c r="B39" t="s">
        <v>721</v>
      </c>
    </row>
    <row r="40" spans="2:2">
      <c r="B40" t="s">
        <v>722</v>
      </c>
    </row>
    <row r="41" spans="2:2">
      <c r="B41" t="s">
        <v>723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727</v>
      </c>
    </row>
    <row r="47" spans="2:2">
      <c r="B47" t="s">
        <v>545</v>
      </c>
    </row>
    <row r="48" spans="2:2">
      <c r="B48" t="s">
        <v>729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731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732</v>
      </c>
    </row>
    <row r="56" spans="2:2" hidden="1">
      <c r="B56" t="s">
        <v>368</v>
      </c>
    </row>
    <row r="57" spans="2:2" hidden="1">
      <c r="B57" t="s">
        <v>681</v>
      </c>
    </row>
    <row r="58" spans="2:2" hidden="1">
      <c r="B58" t="s">
        <v>682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683</v>
      </c>
    </row>
    <row r="69" spans="2:2" hidden="1">
      <c r="B69" t="s">
        <v>733</v>
      </c>
    </row>
    <row r="70" spans="2:2" hidden="1">
      <c r="B70" t="s">
        <v>684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685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577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602</v>
      </c>
    </row>
    <row r="93" spans="2:2">
      <c r="B93" t="s">
        <v>741</v>
      </c>
    </row>
    <row r="94" spans="2:2">
      <c r="B94" t="s">
        <v>742</v>
      </c>
    </row>
    <row r="95" spans="2:2">
      <c r="B95" t="s">
        <v>743</v>
      </c>
    </row>
    <row r="96" spans="2:2">
      <c r="B96" t="s">
        <v>744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605</v>
      </c>
    </row>
    <row r="100" spans="2:2">
      <c r="B100" t="s">
        <v>607</v>
      </c>
    </row>
    <row r="101" spans="2:2">
      <c r="B101" t="s">
        <v>612</v>
      </c>
    </row>
    <row r="102" spans="2:2">
      <c r="B102" t="s">
        <v>745</v>
      </c>
    </row>
    <row r="103" spans="2:2">
      <c r="B103" t="s">
        <v>746</v>
      </c>
    </row>
    <row r="104" spans="2:2">
      <c r="B104" t="s">
        <v>747</v>
      </c>
    </row>
    <row r="105" spans="2:2">
      <c r="B105" t="s">
        <v>748</v>
      </c>
    </row>
    <row r="106" spans="2:2">
      <c r="B106" t="s">
        <v>144</v>
      </c>
    </row>
    <row r="107" spans="2:2">
      <c r="B107" t="s">
        <v>749</v>
      </c>
    </row>
    <row r="108" spans="2:2">
      <c r="B108" t="s">
        <v>750</v>
      </c>
    </row>
    <row r="109" spans="2:2">
      <c r="B109" t="s">
        <v>751</v>
      </c>
    </row>
    <row r="110" spans="2:2" hidden="1">
      <c r="B110" t="s">
        <v>752</v>
      </c>
    </row>
    <row r="111" spans="2:2" hidden="1">
      <c r="B111" t="s">
        <v>686</v>
      </c>
    </row>
    <row r="112" spans="2:2" hidden="1">
      <c r="B112" t="s">
        <v>183</v>
      </c>
    </row>
    <row r="113" spans="2:2" hidden="1">
      <c r="B113" t="s">
        <v>753</v>
      </c>
    </row>
    <row r="114" spans="2:2" hidden="1">
      <c r="B114" t="s">
        <v>754</v>
      </c>
    </row>
    <row r="115" spans="2:2" hidden="1">
      <c r="B115" t="s">
        <v>755</v>
      </c>
    </row>
    <row r="116" spans="2:2" hidden="1">
      <c r="B116" t="s">
        <v>613</v>
      </c>
    </row>
    <row r="117" spans="2:2">
      <c r="B117" t="s">
        <v>614</v>
      </c>
    </row>
    <row r="118" spans="2:2" hidden="1">
      <c r="B118" t="s">
        <v>615</v>
      </c>
    </row>
    <row r="119" spans="2:2" hidden="1">
      <c r="B119" t="s">
        <v>145</v>
      </c>
    </row>
    <row r="120" spans="2:2">
      <c r="B120" t="s">
        <v>616</v>
      </c>
    </row>
    <row r="121" spans="2:2" hidden="1">
      <c r="B121" t="s">
        <v>146</v>
      </c>
    </row>
    <row r="122" spans="2:2" hidden="1">
      <c r="B122" t="s">
        <v>756</v>
      </c>
    </row>
    <row r="123" spans="2:2">
      <c r="B123" t="s">
        <v>758</v>
      </c>
    </row>
    <row r="124" spans="2:2">
      <c r="B124" t="s">
        <v>621</v>
      </c>
    </row>
    <row r="125" spans="2:2" hidden="1">
      <c r="B125" t="s">
        <v>759</v>
      </c>
    </row>
    <row r="126" spans="2:2" hidden="1">
      <c r="B126" t="s">
        <v>687</v>
      </c>
    </row>
    <row r="127" spans="2:2" hidden="1">
      <c r="B127" t="s">
        <v>688</v>
      </c>
    </row>
    <row r="128" spans="2:2" hidden="1">
      <c r="B128" t="s">
        <v>760</v>
      </c>
    </row>
    <row r="129" spans="2:2" hidden="1">
      <c r="B129" t="s">
        <v>689</v>
      </c>
    </row>
    <row r="130" spans="2:2" hidden="1">
      <c r="B130" t="s">
        <v>761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623</v>
      </c>
    </row>
    <row r="135" spans="2:2">
      <c r="B135" t="s">
        <v>147</v>
      </c>
    </row>
    <row r="136" spans="2:2">
      <c r="B136" t="s">
        <v>624</v>
      </c>
    </row>
    <row r="137" spans="2:2">
      <c r="B137" t="s">
        <v>625</v>
      </c>
    </row>
    <row r="138" spans="2:2">
      <c r="B138" t="s">
        <v>464</v>
      </c>
    </row>
    <row r="139" spans="2:2" hidden="1">
      <c r="B139" t="s">
        <v>631</v>
      </c>
    </row>
    <row r="140" spans="2:2">
      <c r="B140" t="s">
        <v>762</v>
      </c>
    </row>
    <row r="141" spans="2:2" hidden="1">
      <c r="B141" t="s">
        <v>764</v>
      </c>
    </row>
    <row r="142" spans="2:2" hidden="1">
      <c r="B142" t="s">
        <v>642</v>
      </c>
    </row>
    <row r="143" spans="2:2" hidden="1">
      <c r="B143" t="s">
        <v>148</v>
      </c>
    </row>
    <row r="144" spans="2:2">
      <c r="B144" t="s">
        <v>647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765</v>
      </c>
    </row>
    <row r="151" spans="2:2" hidden="1">
      <c r="B151" t="s">
        <v>766</v>
      </c>
    </row>
    <row r="152" spans="2:2" hidden="1">
      <c r="B152" t="s">
        <v>767</v>
      </c>
    </row>
    <row r="153" spans="2:2" hidden="1">
      <c r="B153" t="s">
        <v>768</v>
      </c>
    </row>
    <row r="154" spans="2:2" hidden="1">
      <c r="B154" t="s">
        <v>690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769</v>
      </c>
    </row>
    <row r="158" spans="2:2">
      <c r="B158" t="s">
        <v>153</v>
      </c>
    </row>
    <row r="159" spans="2:2">
      <c r="B159" t="s">
        <v>786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787</v>
      </c>
    </row>
    <row r="163" spans="2:2">
      <c r="B163" t="s">
        <v>788</v>
      </c>
    </row>
    <row r="164" spans="2:2">
      <c r="B164" t="s">
        <v>789</v>
      </c>
    </row>
    <row r="165" spans="2:2">
      <c r="B165" t="s">
        <v>790</v>
      </c>
    </row>
    <row r="166" spans="2:2">
      <c r="B166" t="s">
        <v>791</v>
      </c>
    </row>
    <row r="167" spans="2:2">
      <c r="B167" t="s">
        <v>793</v>
      </c>
    </row>
    <row r="168" spans="2:2">
      <c r="B168" t="s">
        <v>794</v>
      </c>
    </row>
    <row r="169" spans="2:2">
      <c r="B169" t="s">
        <v>795</v>
      </c>
    </row>
    <row r="170" spans="2:2" hidden="1">
      <c r="B170" t="s">
        <v>796</v>
      </c>
    </row>
    <row r="171" spans="2:2">
      <c r="B171" t="s">
        <v>187</v>
      </c>
    </row>
    <row r="172" spans="2:2" hidden="1">
      <c r="B172" t="s">
        <v>797</v>
      </c>
    </row>
    <row r="173" spans="2:2" hidden="1">
      <c r="B173" t="s">
        <v>798</v>
      </c>
    </row>
    <row r="174" spans="2:2">
      <c r="B174" t="s">
        <v>188</v>
      </c>
    </row>
    <row r="175" spans="2:2">
      <c r="B175" t="s">
        <v>799</v>
      </c>
    </row>
    <row r="176" spans="2:2">
      <c r="B176" t="s">
        <v>800</v>
      </c>
    </row>
    <row r="177" spans="2:2">
      <c r="B177" t="s">
        <v>155</v>
      </c>
    </row>
    <row r="178" spans="2:2">
      <c r="B178" t="s">
        <v>801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802</v>
      </c>
    </row>
    <row r="182" spans="2:2">
      <c r="B182" t="s">
        <v>803</v>
      </c>
    </row>
    <row r="183" spans="2:2">
      <c r="B183" t="s">
        <v>804</v>
      </c>
    </row>
    <row r="184" spans="2:2">
      <c r="B184" t="s">
        <v>805</v>
      </c>
    </row>
    <row r="185" spans="2:2">
      <c r="B185" t="s">
        <v>189</v>
      </c>
    </row>
    <row r="186" spans="2:2">
      <c r="B186" t="s">
        <v>806</v>
      </c>
    </row>
    <row r="187" spans="2:2">
      <c r="B187" t="s">
        <v>807</v>
      </c>
    </row>
    <row r="188" spans="2:2">
      <c r="B188" t="s">
        <v>809</v>
      </c>
    </row>
    <row r="189" spans="2:2">
      <c r="B189" t="s">
        <v>810</v>
      </c>
    </row>
    <row r="190" spans="2:2" hidden="1">
      <c r="B190" t="s">
        <v>811</v>
      </c>
    </row>
    <row r="191" spans="2:2">
      <c r="B191" t="s">
        <v>812</v>
      </c>
    </row>
    <row r="192" spans="2:2">
      <c r="B192" t="s">
        <v>813</v>
      </c>
    </row>
    <row r="193" spans="2:2">
      <c r="B193" t="s">
        <v>814</v>
      </c>
    </row>
    <row r="194" spans="2:2">
      <c r="B194" t="s">
        <v>815</v>
      </c>
    </row>
    <row r="195" spans="2:2">
      <c r="B195" t="s">
        <v>816</v>
      </c>
    </row>
    <row r="196" spans="2:2">
      <c r="B196" t="s">
        <v>817</v>
      </c>
    </row>
    <row r="197" spans="2:2">
      <c r="B197" t="s">
        <v>818</v>
      </c>
    </row>
    <row r="198" spans="2:2">
      <c r="B198" t="s">
        <v>819</v>
      </c>
    </row>
    <row r="199" spans="2:2">
      <c r="B199" t="s">
        <v>820</v>
      </c>
    </row>
    <row r="200" spans="2:2">
      <c r="B200" t="s">
        <v>821</v>
      </c>
    </row>
    <row r="201" spans="2:2">
      <c r="B201" t="s">
        <v>822</v>
      </c>
    </row>
    <row r="202" spans="2:2">
      <c r="B202" t="s">
        <v>823</v>
      </c>
    </row>
    <row r="203" spans="2:2">
      <c r="B203" t="s">
        <v>190</v>
      </c>
    </row>
    <row r="204" spans="2:2">
      <c r="B204" t="s">
        <v>824</v>
      </c>
    </row>
    <row r="205" spans="2:2">
      <c r="B205" t="s">
        <v>831</v>
      </c>
    </row>
    <row r="206" spans="2:2">
      <c r="B206" t="s">
        <v>832</v>
      </c>
    </row>
    <row r="207" spans="2:2">
      <c r="B207" t="s">
        <v>833</v>
      </c>
    </row>
    <row r="208" spans="2:2">
      <c r="B208" t="s">
        <v>835</v>
      </c>
    </row>
    <row r="209" spans="2:2">
      <c r="B209" t="s">
        <v>836</v>
      </c>
    </row>
    <row r="210" spans="2:2">
      <c r="B210" t="s">
        <v>841</v>
      </c>
    </row>
    <row r="211" spans="2:2">
      <c r="B211" t="s">
        <v>849</v>
      </c>
    </row>
    <row r="212" spans="2:2">
      <c r="B212" t="s">
        <v>850</v>
      </c>
    </row>
    <row r="213" spans="2:2">
      <c r="B213" t="s">
        <v>852</v>
      </c>
    </row>
    <row r="214" spans="2:2">
      <c r="B214" t="s">
        <v>853</v>
      </c>
    </row>
    <row r="215" spans="2:2">
      <c r="B215" t="s">
        <v>854</v>
      </c>
    </row>
    <row r="216" spans="2:2">
      <c r="B216" t="s">
        <v>855</v>
      </c>
    </row>
    <row r="217" spans="2:2">
      <c r="B217" t="s">
        <v>857</v>
      </c>
    </row>
    <row r="218" spans="2:2">
      <c r="B218" t="s">
        <v>858</v>
      </c>
    </row>
    <row r="219" spans="2:2">
      <c r="B219" t="s">
        <v>859</v>
      </c>
    </row>
    <row r="220" spans="2:2">
      <c r="B220" t="s">
        <v>862</v>
      </c>
    </row>
    <row r="221" spans="2:2" hidden="1">
      <c r="B221" t="s">
        <v>864</v>
      </c>
    </row>
    <row r="222" spans="2:2">
      <c r="B222" t="s">
        <v>170</v>
      </c>
    </row>
    <row r="223" spans="2:2" hidden="1">
      <c r="B223" t="s">
        <v>691</v>
      </c>
    </row>
    <row r="224" spans="2:2" hidden="1">
      <c r="B224" t="s">
        <v>865</v>
      </c>
    </row>
    <row r="225" spans="2:2" hidden="1">
      <c r="B225" t="s">
        <v>866</v>
      </c>
    </row>
    <row r="226" spans="2:2">
      <c r="B226" t="s">
        <v>867</v>
      </c>
    </row>
    <row r="227" spans="2:2" hidden="1">
      <c r="B227" t="s">
        <v>868</v>
      </c>
    </row>
    <row r="228" spans="2:2" hidden="1">
      <c r="B228" t="s">
        <v>692</v>
      </c>
    </row>
    <row r="229" spans="2:2" hidden="1">
      <c r="B229" t="s">
        <v>869</v>
      </c>
    </row>
    <row r="230" spans="2:2">
      <c r="B230" t="s">
        <v>870</v>
      </c>
    </row>
    <row r="231" spans="2:2">
      <c r="B231" t="s">
        <v>171</v>
      </c>
    </row>
    <row r="232" spans="2:2" hidden="1">
      <c r="B232" t="s">
        <v>871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872</v>
      </c>
    </row>
    <row r="237" spans="2:2">
      <c r="B237" t="s">
        <v>873</v>
      </c>
    </row>
    <row r="238" spans="2:2">
      <c r="B238" t="s">
        <v>874</v>
      </c>
    </row>
    <row r="239" spans="2:2" hidden="1">
      <c r="B239" t="s">
        <v>875</v>
      </c>
    </row>
    <row r="240" spans="2:2" hidden="1">
      <c r="B240" t="s">
        <v>693</v>
      </c>
    </row>
    <row r="241" spans="2:2" hidden="1">
      <c r="B241" t="s">
        <v>694</v>
      </c>
    </row>
    <row r="242" spans="2:2" hidden="1">
      <c r="B242" t="s">
        <v>878</v>
      </c>
    </row>
    <row r="243" spans="2:2">
      <c r="B243" t="s">
        <v>879</v>
      </c>
    </row>
    <row r="244" spans="2:2">
      <c r="B244" t="s">
        <v>880</v>
      </c>
    </row>
    <row r="245" spans="2:2">
      <c r="B245" t="s">
        <v>881</v>
      </c>
    </row>
    <row r="246" spans="2:2" hidden="1">
      <c r="B246" t="s">
        <v>695</v>
      </c>
    </row>
    <row r="247" spans="2:2">
      <c r="B247" t="s">
        <v>882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696</v>
      </c>
    </row>
    <row r="251" spans="2:2">
      <c r="B251" t="s">
        <v>161</v>
      </c>
    </row>
    <row r="252" spans="2:2" hidden="1">
      <c r="B252" t="s">
        <v>697</v>
      </c>
    </row>
    <row r="253" spans="2:2" hidden="1">
      <c r="B253" t="s">
        <v>698</v>
      </c>
    </row>
    <row r="254" spans="2:2" hidden="1">
      <c r="B254" t="s">
        <v>883</v>
      </c>
    </row>
    <row r="255" spans="2:2" hidden="1">
      <c r="B255" t="s">
        <v>885</v>
      </c>
    </row>
    <row r="256" spans="2:2" hidden="1">
      <c r="B256" t="s">
        <v>886</v>
      </c>
    </row>
    <row r="257" spans="2:2" hidden="1">
      <c r="B257" t="s">
        <v>887</v>
      </c>
    </row>
    <row r="258" spans="2:2">
      <c r="B258" t="s">
        <v>888</v>
      </c>
    </row>
    <row r="259" spans="2:2">
      <c r="B259" t="s">
        <v>889</v>
      </c>
    </row>
    <row r="260" spans="2:2" hidden="1">
      <c r="B260" t="s">
        <v>699</v>
      </c>
    </row>
    <row r="261" spans="2:2">
      <c r="B261" t="s">
        <v>892</v>
      </c>
    </row>
    <row r="262" spans="2:2">
      <c r="B262" t="s">
        <v>162</v>
      </c>
    </row>
    <row r="263" spans="2:2">
      <c r="B263" t="s">
        <v>894</v>
      </c>
    </row>
    <row r="264" spans="2:2">
      <c r="B264" t="s">
        <v>163</v>
      </c>
    </row>
    <row r="265" spans="2:2">
      <c r="B265" t="s">
        <v>895</v>
      </c>
    </row>
    <row r="268" spans="2:2">
      <c r="B268" s="131" t="s">
        <v>700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701</v>
      </c>
    </row>
    <row r="272" spans="2:2">
      <c r="B272" s="131" t="s">
        <v>702</v>
      </c>
    </row>
    <row r="273" spans="2:2">
      <c r="B273" s="131" t="s">
        <v>677</v>
      </c>
    </row>
    <row r="274" spans="2:2">
      <c r="B274" s="131" t="s">
        <v>704</v>
      </c>
    </row>
    <row r="275" spans="2:2">
      <c r="B275" s="131" t="s">
        <v>705</v>
      </c>
    </row>
    <row r="276" spans="2:2">
      <c r="B276" s="131" t="s">
        <v>676</v>
      </c>
    </row>
    <row r="277" spans="2:2">
      <c r="B277" s="131" t="s">
        <v>706</v>
      </c>
    </row>
    <row r="278" spans="2:2">
      <c r="B278" s="131" t="s">
        <v>707</v>
      </c>
    </row>
    <row r="279" spans="2:2">
      <c r="B279" s="131" t="s">
        <v>715</v>
      </c>
    </row>
    <row r="280" spans="2:2">
      <c r="B280" s="131" t="s">
        <v>521</v>
      </c>
    </row>
    <row r="281" spans="2:2">
      <c r="B281" s="131" t="s">
        <v>709</v>
      </c>
    </row>
    <row r="282" spans="2:2">
      <c r="B282" s="131" t="s">
        <v>712</v>
      </c>
    </row>
    <row r="283" spans="2:2">
      <c r="B283" s="131" t="s">
        <v>543</v>
      </c>
    </row>
    <row r="284" spans="2:2">
      <c r="B284" s="131" t="s">
        <v>727</v>
      </c>
    </row>
    <row r="285" spans="2:2">
      <c r="B285" s="131" t="s">
        <v>732</v>
      </c>
    </row>
    <row r="286" spans="2:2">
      <c r="B286" s="131" t="s">
        <v>682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753</v>
      </c>
    </row>
    <row r="295" spans="2:2">
      <c r="B295" s="131" t="s">
        <v>756</v>
      </c>
    </row>
    <row r="296" spans="2:2">
      <c r="B296" s="131" t="s">
        <v>683</v>
      </c>
    </row>
    <row r="297" spans="2:2">
      <c r="B297" s="131" t="s">
        <v>368</v>
      </c>
    </row>
    <row r="298" spans="2:2">
      <c r="B298" s="131" t="s">
        <v>760</v>
      </c>
    </row>
    <row r="299" spans="2:2">
      <c r="B299" s="131" t="s">
        <v>179</v>
      </c>
    </row>
    <row r="300" spans="2:2">
      <c r="B300" s="131" t="s">
        <v>631</v>
      </c>
    </row>
    <row r="301" spans="2:2">
      <c r="B301" s="131" t="s">
        <v>864</v>
      </c>
    </row>
    <row r="302" spans="2:2">
      <c r="B302" s="131" t="s">
        <v>866</v>
      </c>
    </row>
    <row r="303" spans="2:2">
      <c r="B303" s="131" t="s">
        <v>868</v>
      </c>
    </row>
    <row r="304" spans="2:2">
      <c r="B304" s="131" t="s">
        <v>869</v>
      </c>
    </row>
    <row r="305" spans="2:2">
      <c r="B305" s="131" t="s">
        <v>871</v>
      </c>
    </row>
    <row r="306" spans="2:2">
      <c r="B306" s="131" t="s">
        <v>872</v>
      </c>
    </row>
    <row r="307" spans="2:2">
      <c r="B307" s="131" t="s">
        <v>684</v>
      </c>
    </row>
    <row r="308" spans="2:2">
      <c r="B308" s="131" t="s">
        <v>695</v>
      </c>
    </row>
    <row r="309" spans="2:2">
      <c r="B309" s="131" t="s">
        <v>696</v>
      </c>
    </row>
    <row r="310" spans="2:2">
      <c r="B310" s="131" t="s">
        <v>407</v>
      </c>
    </row>
    <row r="311" spans="2:2">
      <c r="B311" s="131" t="s">
        <v>686</v>
      </c>
    </row>
    <row r="312" spans="2:2">
      <c r="B312" s="131" t="s">
        <v>688</v>
      </c>
    </row>
    <row r="313" spans="2:2">
      <c r="B313" s="131" t="s">
        <v>698</v>
      </c>
    </row>
    <row r="314" spans="2:2">
      <c r="B314" s="131" t="s">
        <v>694</v>
      </c>
    </row>
    <row r="315" spans="2:2">
      <c r="B315" s="131" t="s">
        <v>680</v>
      </c>
    </row>
    <row r="316" spans="2:2">
      <c r="B316" s="25" t="s">
        <v>689</v>
      </c>
    </row>
    <row r="317" spans="2:2">
      <c r="B317" s="131" t="s">
        <v>699</v>
      </c>
    </row>
    <row r="318" spans="2:2">
      <c r="B318" s="131" t="s">
        <v>678</v>
      </c>
    </row>
    <row r="319" spans="2:2">
      <c r="B319" s="131" t="s">
        <v>404</v>
      </c>
    </row>
    <row r="320" spans="2:2">
      <c r="B320" s="131" t="s">
        <v>692</v>
      </c>
    </row>
    <row r="321" spans="2:2">
      <c r="B321" s="132" t="s">
        <v>690</v>
      </c>
    </row>
    <row r="322" spans="2:2">
      <c r="B322" s="132" t="s">
        <v>675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687</v>
      </c>
    </row>
    <row r="326" spans="2:2">
      <c r="B326" s="132" t="s">
        <v>697</v>
      </c>
    </row>
    <row r="327" spans="2:2">
      <c r="B327" s="25" t="s">
        <v>185</v>
      </c>
    </row>
    <row r="328" spans="2:2">
      <c r="B328" s="25" t="s">
        <v>685</v>
      </c>
    </row>
    <row r="329" spans="2:2">
      <c r="B329" s="25" t="s">
        <v>400</v>
      </c>
    </row>
    <row r="330" spans="2:2">
      <c r="B330" s="25" t="s">
        <v>691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642</v>
      </c>
    </row>
    <row r="334" spans="2:2">
      <c r="B334" s="132" t="s">
        <v>166</v>
      </c>
    </row>
    <row r="335" spans="2:2">
      <c r="B335" s="132" t="s">
        <v>679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681</v>
      </c>
    </row>
    <row r="340" spans="2:2">
      <c r="B340" s="132" t="s">
        <v>693</v>
      </c>
    </row>
    <row r="341" spans="2:2">
      <c r="B341" s="132" t="s">
        <v>887</v>
      </c>
    </row>
    <row r="342" spans="2:2">
      <c r="B342" s="132" t="s">
        <v>878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768</v>
      </c>
    </row>
    <row r="346" spans="2:2">
      <c r="B346" s="25" t="s">
        <v>886</v>
      </c>
    </row>
    <row r="347" spans="2:2">
      <c r="B347" s="25" t="s">
        <v>759</v>
      </c>
    </row>
    <row r="348" spans="2:2">
      <c r="B348" s="25" t="s">
        <v>752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796</v>
      </c>
    </row>
    <row r="352" spans="2:2">
      <c r="B352" s="25" t="s">
        <v>733</v>
      </c>
    </row>
    <row r="353" spans="2:2">
      <c r="B353" s="25" t="s">
        <v>764</v>
      </c>
    </row>
    <row r="354" spans="2:2">
      <c r="B354" s="25" t="s">
        <v>613</v>
      </c>
    </row>
    <row r="355" spans="2:2">
      <c r="B355" s="25" t="s">
        <v>865</v>
      </c>
    </row>
    <row r="356" spans="2:2">
      <c r="B356" s="25" t="s">
        <v>710</v>
      </c>
    </row>
    <row r="357" spans="2:2">
      <c r="B357" s="25" t="s">
        <v>152</v>
      </c>
    </row>
    <row r="358" spans="2:2">
      <c r="B358" s="25" t="s">
        <v>875</v>
      </c>
    </row>
    <row r="359" spans="2:2">
      <c r="B359" s="25" t="s">
        <v>797</v>
      </c>
    </row>
    <row r="360" spans="2:2">
      <c r="B360" s="25" t="s">
        <v>761</v>
      </c>
    </row>
    <row r="361" spans="2:2">
      <c r="B361" s="25" t="s">
        <v>615</v>
      </c>
    </row>
    <row r="362" spans="2:2">
      <c r="B362" s="25" t="s">
        <v>168</v>
      </c>
    </row>
    <row r="363" spans="2:2">
      <c r="B363" s="25" t="s">
        <v>623</v>
      </c>
    </row>
    <row r="364" spans="2:2">
      <c r="B364" s="25" t="s">
        <v>885</v>
      </c>
    </row>
    <row r="365" spans="2:2">
      <c r="B365" s="25" t="s">
        <v>174</v>
      </c>
    </row>
    <row r="366" spans="2:2">
      <c r="B366" s="25" t="s">
        <v>755</v>
      </c>
    </row>
    <row r="367" spans="2:2">
      <c r="B367" s="25" t="s">
        <v>463</v>
      </c>
    </row>
    <row r="368" spans="2:2">
      <c r="B368" s="25" t="s">
        <v>883</v>
      </c>
    </row>
    <row r="369" spans="2:2">
      <c r="B369" s="25" t="s">
        <v>767</v>
      </c>
    </row>
    <row r="370" spans="2:2">
      <c r="B370" s="25" t="s">
        <v>798</v>
      </c>
    </row>
    <row r="371" spans="2:2">
      <c r="B371" s="25" t="s">
        <v>720</v>
      </c>
    </row>
    <row r="372" spans="2:2">
      <c r="B372" s="25" t="s">
        <v>811</v>
      </c>
    </row>
    <row r="373" spans="2:2">
      <c r="B373" s="25" t="s">
        <v>754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766</v>
      </c>
    </row>
    <row r="377" spans="2:2">
      <c r="B377" s="25" t="s">
        <v>711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941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942</v>
      </c>
      <c r="B3" s="117" t="s">
        <v>943</v>
      </c>
      <c r="C3" s="117" t="s">
        <v>944</v>
      </c>
      <c r="D3" s="117" t="s">
        <v>945</v>
      </c>
      <c r="E3" s="117" t="s">
        <v>946</v>
      </c>
      <c r="F3" s="52" t="s">
        <v>947</v>
      </c>
      <c r="G3" s="118" t="s">
        <v>948</v>
      </c>
      <c r="H3" s="119" t="s">
        <v>949</v>
      </c>
      <c r="I3" s="120" t="s">
        <v>950</v>
      </c>
      <c r="J3" s="52" t="s">
        <v>951</v>
      </c>
      <c r="K3" s="117" t="s">
        <v>952</v>
      </c>
      <c r="L3" s="52" t="s">
        <v>953</v>
      </c>
      <c r="M3" s="53" t="s">
        <v>954</v>
      </c>
      <c r="N3" s="116" t="s">
        <v>955</v>
      </c>
      <c r="O3" s="121" t="s">
        <v>956</v>
      </c>
      <c r="P3" s="54" t="s">
        <v>957</v>
      </c>
      <c r="Q3" s="122" t="s">
        <v>958</v>
      </c>
      <c r="R3" s="117" t="s">
        <v>262</v>
      </c>
      <c r="S3" s="117" t="s">
        <v>469</v>
      </c>
      <c r="T3" s="117" t="s">
        <v>959</v>
      </c>
      <c r="U3" s="117" t="s">
        <v>960</v>
      </c>
      <c r="V3" s="117" t="s">
        <v>961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8" t="s">
        <v>962</v>
      </c>
      <c r="B1" s="829"/>
      <c r="C1" s="829"/>
      <c r="D1" s="829"/>
      <c r="E1" s="829"/>
      <c r="F1" s="829"/>
      <c r="G1" s="829"/>
      <c r="H1" s="829"/>
      <c r="I1" s="829"/>
      <c r="J1" s="829"/>
      <c r="K1" s="829"/>
      <c r="L1" s="829"/>
      <c r="M1" s="829"/>
      <c r="N1" s="829"/>
      <c r="O1" s="829"/>
      <c r="P1" s="829"/>
      <c r="Q1" s="830"/>
    </row>
    <row r="2" spans="1:17" ht="21" customHeight="1">
      <c r="A2" s="831" t="s">
        <v>963</v>
      </c>
      <c r="B2" s="833" t="s">
        <v>203</v>
      </c>
      <c r="C2" s="833" t="s">
        <v>964</v>
      </c>
      <c r="D2" s="833" t="s">
        <v>965</v>
      </c>
      <c r="E2" s="833" t="s">
        <v>966</v>
      </c>
      <c r="F2" s="835" t="s">
        <v>112</v>
      </c>
      <c r="G2" s="835"/>
      <c r="H2" s="835" t="s">
        <v>114</v>
      </c>
      <c r="I2" s="835"/>
      <c r="J2" s="833" t="s">
        <v>967</v>
      </c>
      <c r="K2" s="833" t="s">
        <v>968</v>
      </c>
      <c r="L2" s="833" t="s">
        <v>969</v>
      </c>
      <c r="M2" s="833" t="s">
        <v>343</v>
      </c>
      <c r="N2" s="833" t="s">
        <v>475</v>
      </c>
      <c r="O2" s="833" t="s">
        <v>470</v>
      </c>
      <c r="P2" s="833" t="s">
        <v>471</v>
      </c>
      <c r="Q2" s="836" t="s">
        <v>33</v>
      </c>
    </row>
    <row r="3" spans="1:17" ht="25.35" customHeight="1">
      <c r="A3" s="832"/>
      <c r="B3" s="834"/>
      <c r="C3" s="834"/>
      <c r="D3" s="834"/>
      <c r="E3" s="834"/>
      <c r="F3" s="28" t="s">
        <v>970</v>
      </c>
      <c r="G3" s="28" t="s">
        <v>971</v>
      </c>
      <c r="H3" s="28" t="s">
        <v>970</v>
      </c>
      <c r="I3" s="28" t="s">
        <v>971</v>
      </c>
      <c r="J3" s="834"/>
      <c r="K3" s="834"/>
      <c r="L3" s="834"/>
      <c r="M3" s="834"/>
      <c r="N3" s="834"/>
      <c r="O3" s="834"/>
      <c r="P3" s="834"/>
      <c r="Q3" s="837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6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65"/>
    <col min="3" max="3" width="10.42578125" style="265" customWidth="1"/>
    <col min="4" max="4" width="9.140625" style="265"/>
    <col min="5" max="5" width="8.42578125" style="265" customWidth="1"/>
    <col min="6" max="6" width="21.42578125" style="267" customWidth="1"/>
    <col min="7" max="7" width="9.140625" style="268"/>
    <col min="8" max="8" width="9.140625" style="265"/>
    <col min="9" max="9" width="39.28515625" style="265" customWidth="1"/>
    <col min="10" max="10" width="9" style="266" bestFit="1" customWidth="1"/>
    <col min="11" max="11" width="9.140625" style="265"/>
    <col min="12" max="12" width="13.42578125" style="265" bestFit="1" customWidth="1"/>
    <col min="13" max="13" width="10.140625" style="265" bestFit="1" customWidth="1"/>
    <col min="14" max="15" width="9.140625" style="265"/>
    <col min="16" max="16" width="28.28515625" style="335" customWidth="1"/>
    <col min="17" max="16384" width="9.140625" style="265"/>
  </cols>
  <sheetData>
    <row r="1" spans="1:16" ht="16.5" thickBot="1">
      <c r="A1" s="838" t="s">
        <v>89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40"/>
    </row>
    <row r="2" spans="1:16" ht="39" thickBot="1">
      <c r="A2" s="279" t="s">
        <v>972</v>
      </c>
      <c r="B2" s="280" t="s">
        <v>973</v>
      </c>
      <c r="C2" s="280" t="s">
        <v>974</v>
      </c>
      <c r="D2" s="280" t="s">
        <v>975</v>
      </c>
      <c r="E2" s="280" t="s">
        <v>339</v>
      </c>
      <c r="F2" s="280" t="s">
        <v>976</v>
      </c>
      <c r="G2" s="280" t="s">
        <v>977</v>
      </c>
      <c r="H2" s="280" t="s">
        <v>978</v>
      </c>
      <c r="I2" s="280" t="s">
        <v>979</v>
      </c>
      <c r="J2" s="280" t="s">
        <v>506</v>
      </c>
      <c r="K2" s="280" t="s">
        <v>980</v>
      </c>
      <c r="L2" s="280" t="s">
        <v>262</v>
      </c>
      <c r="M2" s="280" t="s">
        <v>981</v>
      </c>
      <c r="N2" s="280" t="s">
        <v>982</v>
      </c>
      <c r="O2" s="280" t="s">
        <v>983</v>
      </c>
      <c r="P2" s="281" t="s">
        <v>33</v>
      </c>
    </row>
    <row r="3" spans="1:16" ht="12" customHeight="1">
      <c r="A3" s="282">
        <v>1</v>
      </c>
      <c r="B3" s="283" t="s">
        <v>519</v>
      </c>
      <c r="C3" s="284" t="s">
        <v>268</v>
      </c>
      <c r="D3" s="283" t="s">
        <v>520</v>
      </c>
      <c r="E3" s="284" t="s">
        <v>904</v>
      </c>
      <c r="F3" s="284" t="s">
        <v>984</v>
      </c>
      <c r="G3" s="284">
        <v>225.97</v>
      </c>
      <c r="H3" s="284" t="s">
        <v>985</v>
      </c>
      <c r="I3" s="290" t="s">
        <v>986</v>
      </c>
      <c r="J3" s="283">
        <v>1</v>
      </c>
      <c r="K3" s="283" t="s">
        <v>208</v>
      </c>
      <c r="L3" s="288" t="s">
        <v>206</v>
      </c>
      <c r="M3" s="285">
        <v>46129</v>
      </c>
      <c r="N3" s="288" t="s">
        <v>987</v>
      </c>
      <c r="O3" s="286"/>
      <c r="P3" s="331" t="s">
        <v>988</v>
      </c>
    </row>
    <row r="4" spans="1:16" ht="26.25">
      <c r="A4" s="287">
        <v>2</v>
      </c>
      <c r="B4" s="288" t="s">
        <v>522</v>
      </c>
      <c r="C4" s="284" t="s">
        <v>534</v>
      </c>
      <c r="D4" s="288" t="s">
        <v>523</v>
      </c>
      <c r="E4" s="284" t="s">
        <v>989</v>
      </c>
      <c r="F4" s="284" t="s">
        <v>984</v>
      </c>
      <c r="G4" s="284">
        <v>284.73</v>
      </c>
      <c r="H4" s="284" t="s">
        <v>990</v>
      </c>
      <c r="I4" s="291" t="s">
        <v>991</v>
      </c>
      <c r="J4" s="288">
        <v>1</v>
      </c>
      <c r="K4" s="288" t="s">
        <v>208</v>
      </c>
      <c r="L4" s="288" t="s">
        <v>206</v>
      </c>
      <c r="M4" s="285">
        <v>46129</v>
      </c>
      <c r="N4" s="288" t="s">
        <v>987</v>
      </c>
      <c r="O4" s="288"/>
      <c r="P4" s="331" t="s">
        <v>988</v>
      </c>
    </row>
    <row r="5" spans="1:16" ht="16.899999999999999" customHeight="1">
      <c r="A5" s="287">
        <v>3</v>
      </c>
      <c r="B5" s="288" t="s">
        <v>524</v>
      </c>
      <c r="C5" s="284" t="s">
        <v>534</v>
      </c>
      <c r="D5" s="288" t="s">
        <v>525</v>
      </c>
      <c r="E5" s="284" t="s">
        <v>989</v>
      </c>
      <c r="F5" s="284" t="s">
        <v>984</v>
      </c>
      <c r="G5" s="284">
        <v>164.96</v>
      </c>
      <c r="H5" s="284" t="s">
        <v>990</v>
      </c>
      <c r="I5" s="291" t="s">
        <v>992</v>
      </c>
      <c r="J5" s="288">
        <v>1</v>
      </c>
      <c r="K5" s="288" t="s">
        <v>208</v>
      </c>
      <c r="L5" s="288" t="s">
        <v>206</v>
      </c>
      <c r="M5" s="285">
        <v>46129</v>
      </c>
      <c r="N5" s="288" t="s">
        <v>987</v>
      </c>
      <c r="O5" s="288"/>
      <c r="P5" s="331" t="s">
        <v>988</v>
      </c>
    </row>
    <row r="6" spans="1:16" ht="26.25">
      <c r="A6" s="287">
        <v>4</v>
      </c>
      <c r="B6" s="288" t="s">
        <v>392</v>
      </c>
      <c r="C6" s="284" t="s">
        <v>393</v>
      </c>
      <c r="D6" s="288" t="s">
        <v>549</v>
      </c>
      <c r="E6" s="284" t="s">
        <v>357</v>
      </c>
      <c r="F6" s="284" t="s">
        <v>984</v>
      </c>
      <c r="G6" s="277">
        <v>448</v>
      </c>
      <c r="H6" s="284" t="s">
        <v>985</v>
      </c>
      <c r="I6" s="291" t="s">
        <v>993</v>
      </c>
      <c r="J6" s="288">
        <v>1</v>
      </c>
      <c r="K6" s="288" t="s">
        <v>200</v>
      </c>
      <c r="L6" s="288" t="s">
        <v>206</v>
      </c>
      <c r="M6" s="285">
        <v>45859</v>
      </c>
      <c r="N6" s="288" t="s">
        <v>987</v>
      </c>
      <c r="O6" s="288" t="s">
        <v>987</v>
      </c>
      <c r="P6" s="331" t="s">
        <v>988</v>
      </c>
    </row>
    <row r="7" spans="1:16" ht="26.25">
      <c r="A7" s="287">
        <v>5</v>
      </c>
      <c r="B7" s="288" t="s">
        <v>551</v>
      </c>
      <c r="C7" s="284" t="s">
        <v>298</v>
      </c>
      <c r="D7" s="288" t="s">
        <v>417</v>
      </c>
      <c r="E7" s="284" t="s">
        <v>396</v>
      </c>
      <c r="F7" s="284" t="s">
        <v>994</v>
      </c>
      <c r="G7" s="284">
        <v>323</v>
      </c>
      <c r="H7" s="284" t="s">
        <v>995</v>
      </c>
      <c r="I7" s="291" t="s">
        <v>996</v>
      </c>
      <c r="J7" s="288">
        <v>1</v>
      </c>
      <c r="K7" s="288" t="s">
        <v>200</v>
      </c>
      <c r="L7" s="288" t="s">
        <v>206</v>
      </c>
      <c r="M7" s="285">
        <v>45887</v>
      </c>
      <c r="N7" s="288" t="s">
        <v>987</v>
      </c>
      <c r="O7" s="288" t="s">
        <v>987</v>
      </c>
      <c r="P7" s="331" t="s">
        <v>988</v>
      </c>
    </row>
    <row r="8" spans="1:16" ht="26.25">
      <c r="A8" s="287">
        <v>6</v>
      </c>
      <c r="B8" s="288" t="s">
        <v>552</v>
      </c>
      <c r="C8" s="284" t="s">
        <v>373</v>
      </c>
      <c r="D8" s="288" t="s">
        <v>553</v>
      </c>
      <c r="E8" s="284" t="s">
        <v>330</v>
      </c>
      <c r="F8" s="284" t="s">
        <v>994</v>
      </c>
      <c r="G8" s="284">
        <v>259.33999999999997</v>
      </c>
      <c r="H8" s="284" t="s">
        <v>997</v>
      </c>
      <c r="I8" s="291" t="s">
        <v>998</v>
      </c>
      <c r="J8" s="288">
        <v>1</v>
      </c>
      <c r="K8" s="288" t="s">
        <v>200</v>
      </c>
      <c r="L8" s="288" t="s">
        <v>206</v>
      </c>
      <c r="M8" s="285">
        <v>45915</v>
      </c>
      <c r="N8" s="288" t="s">
        <v>987</v>
      </c>
      <c r="O8" s="288" t="s">
        <v>987</v>
      </c>
      <c r="P8" s="331" t="s">
        <v>988</v>
      </c>
    </row>
    <row r="9" spans="1:16" ht="26.25">
      <c r="A9" s="287">
        <v>7</v>
      </c>
      <c r="B9" s="288" t="s">
        <v>552</v>
      </c>
      <c r="C9" s="284" t="s">
        <v>373</v>
      </c>
      <c r="D9" s="288" t="s">
        <v>553</v>
      </c>
      <c r="E9" s="284" t="s">
        <v>330</v>
      </c>
      <c r="F9" s="284" t="s">
        <v>994</v>
      </c>
      <c r="G9" s="284">
        <v>259.33999999999997</v>
      </c>
      <c r="H9" s="284" t="s">
        <v>999</v>
      </c>
      <c r="I9" s="291" t="s">
        <v>1000</v>
      </c>
      <c r="J9" s="288">
        <v>1</v>
      </c>
      <c r="K9" s="288" t="s">
        <v>200</v>
      </c>
      <c r="L9" s="288" t="s">
        <v>206</v>
      </c>
      <c r="M9" s="285">
        <v>45915</v>
      </c>
      <c r="N9" s="288" t="s">
        <v>987</v>
      </c>
      <c r="O9" s="288" t="s">
        <v>987</v>
      </c>
      <c r="P9" s="331" t="s">
        <v>988</v>
      </c>
    </row>
    <row r="10" spans="1:16" ht="26.25">
      <c r="A10" s="287">
        <v>8</v>
      </c>
      <c r="B10" s="288" t="s">
        <v>169</v>
      </c>
      <c r="C10" s="284" t="s">
        <v>305</v>
      </c>
      <c r="D10" s="288" t="s">
        <v>554</v>
      </c>
      <c r="E10" s="284" t="s">
        <v>305</v>
      </c>
      <c r="F10" s="284" t="s">
        <v>1001</v>
      </c>
      <c r="G10" s="284">
        <v>275.39</v>
      </c>
      <c r="H10" s="284" t="s">
        <v>1002</v>
      </c>
      <c r="I10" s="291" t="s">
        <v>1003</v>
      </c>
      <c r="J10" s="288">
        <v>1</v>
      </c>
      <c r="K10" s="288" t="s">
        <v>200</v>
      </c>
      <c r="L10" s="288" t="s">
        <v>206</v>
      </c>
      <c r="M10" s="285">
        <v>45930</v>
      </c>
      <c r="N10" s="288" t="s">
        <v>987</v>
      </c>
      <c r="O10" s="288" t="s">
        <v>987</v>
      </c>
      <c r="P10" s="331" t="s">
        <v>988</v>
      </c>
    </row>
    <row r="11" spans="1:16">
      <c r="A11" s="305">
        <v>9</v>
      </c>
      <c r="B11" s="306" t="s">
        <v>556</v>
      </c>
      <c r="C11" s="307" t="s">
        <v>357</v>
      </c>
      <c r="D11" s="306" t="s">
        <v>557</v>
      </c>
      <c r="E11" s="307" t="s">
        <v>560</v>
      </c>
      <c r="F11" s="307" t="s">
        <v>984</v>
      </c>
      <c r="G11" s="307">
        <v>375.54</v>
      </c>
      <c r="H11" s="307" t="s">
        <v>985</v>
      </c>
      <c r="I11" s="308" t="s">
        <v>1004</v>
      </c>
      <c r="J11" s="306">
        <v>1</v>
      </c>
      <c r="K11" s="306" t="s">
        <v>200</v>
      </c>
      <c r="L11" s="306" t="s">
        <v>206</v>
      </c>
      <c r="M11" s="309">
        <v>45911</v>
      </c>
      <c r="N11" s="306" t="s">
        <v>987</v>
      </c>
      <c r="O11" s="306" t="s">
        <v>987</v>
      </c>
      <c r="P11" s="532" t="s">
        <v>1005</v>
      </c>
    </row>
    <row r="12" spans="1:16" ht="26.25">
      <c r="A12" s="287">
        <v>10</v>
      </c>
      <c r="B12" s="288" t="s">
        <v>557</v>
      </c>
      <c r="C12" s="284" t="s">
        <v>560</v>
      </c>
      <c r="D12" s="288" t="s">
        <v>558</v>
      </c>
      <c r="E12" s="284" t="s">
        <v>305</v>
      </c>
      <c r="F12" s="284" t="s">
        <v>1006</v>
      </c>
      <c r="G12" s="284">
        <v>297.52</v>
      </c>
      <c r="H12" s="284" t="s">
        <v>1007</v>
      </c>
      <c r="I12" s="291" t="s">
        <v>1008</v>
      </c>
      <c r="J12" s="288">
        <v>1</v>
      </c>
      <c r="K12" s="288" t="s">
        <v>200</v>
      </c>
      <c r="L12" s="288" t="s">
        <v>206</v>
      </c>
      <c r="M12" s="285">
        <v>45909</v>
      </c>
      <c r="N12" s="288" t="s">
        <v>987</v>
      </c>
      <c r="O12" s="288" t="s">
        <v>987</v>
      </c>
      <c r="P12" s="331" t="s">
        <v>988</v>
      </c>
    </row>
    <row r="13" spans="1:16" ht="26.25">
      <c r="A13" s="287">
        <v>11</v>
      </c>
      <c r="B13" s="288" t="s">
        <v>557</v>
      </c>
      <c r="C13" s="284" t="s">
        <v>560</v>
      </c>
      <c r="D13" s="288" t="s">
        <v>558</v>
      </c>
      <c r="E13" s="284" t="s">
        <v>305</v>
      </c>
      <c r="F13" s="284" t="s">
        <v>1001</v>
      </c>
      <c r="G13" s="284">
        <v>297.52</v>
      </c>
      <c r="H13" s="276" t="s">
        <v>1002</v>
      </c>
      <c r="I13" s="291" t="s">
        <v>1009</v>
      </c>
      <c r="J13" s="288">
        <v>1</v>
      </c>
      <c r="K13" s="288" t="s">
        <v>200</v>
      </c>
      <c r="L13" s="288" t="s">
        <v>206</v>
      </c>
      <c r="M13" s="285">
        <v>45930</v>
      </c>
      <c r="N13" s="285" t="s">
        <v>987</v>
      </c>
      <c r="O13" s="285" t="s">
        <v>987</v>
      </c>
      <c r="P13" s="331" t="s">
        <v>988</v>
      </c>
    </row>
    <row r="14" spans="1:16" ht="26.25">
      <c r="A14" s="287">
        <v>12</v>
      </c>
      <c r="B14" s="288" t="s">
        <v>453</v>
      </c>
      <c r="C14" s="284" t="s">
        <v>350</v>
      </c>
      <c r="D14" s="288" t="s">
        <v>455</v>
      </c>
      <c r="E14" s="284" t="s">
        <v>373</v>
      </c>
      <c r="F14" s="284" t="s">
        <v>994</v>
      </c>
      <c r="G14" s="284">
        <v>234.98</v>
      </c>
      <c r="H14" s="284" t="s">
        <v>1010</v>
      </c>
      <c r="I14" s="291" t="s">
        <v>1011</v>
      </c>
      <c r="J14" s="288">
        <v>1</v>
      </c>
      <c r="K14" s="288" t="s">
        <v>200</v>
      </c>
      <c r="L14" s="288" t="s">
        <v>206</v>
      </c>
      <c r="M14" s="285">
        <v>45750</v>
      </c>
      <c r="N14" s="285" t="s">
        <v>987</v>
      </c>
      <c r="O14" s="288" t="s">
        <v>987</v>
      </c>
      <c r="P14" s="331" t="s">
        <v>988</v>
      </c>
    </row>
    <row r="15" spans="1:16" ht="26.25">
      <c r="A15" s="287">
        <v>13</v>
      </c>
      <c r="B15" s="288" t="s">
        <v>455</v>
      </c>
      <c r="C15" s="284" t="s">
        <v>373</v>
      </c>
      <c r="D15" s="288" t="s">
        <v>459</v>
      </c>
      <c r="E15" s="284" t="s">
        <v>350</v>
      </c>
      <c r="F15" s="284" t="s">
        <v>994</v>
      </c>
      <c r="G15" s="284">
        <v>375.72</v>
      </c>
      <c r="H15" s="284" t="s">
        <v>995</v>
      </c>
      <c r="I15" s="291" t="s">
        <v>1012</v>
      </c>
      <c r="J15" s="288">
        <v>1</v>
      </c>
      <c r="K15" s="288" t="s">
        <v>200</v>
      </c>
      <c r="L15" s="288" t="s">
        <v>206</v>
      </c>
      <c r="M15" s="285">
        <v>45751</v>
      </c>
      <c r="N15" s="285" t="s">
        <v>987</v>
      </c>
      <c r="O15" s="288" t="s">
        <v>987</v>
      </c>
      <c r="P15" s="331" t="s">
        <v>988</v>
      </c>
    </row>
    <row r="16" spans="1:16" ht="26.25">
      <c r="A16" s="287">
        <v>14</v>
      </c>
      <c r="B16" s="288" t="s">
        <v>428</v>
      </c>
      <c r="C16" s="284" t="s">
        <v>373</v>
      </c>
      <c r="D16" s="288" t="s">
        <v>427</v>
      </c>
      <c r="E16" s="284" t="s">
        <v>292</v>
      </c>
      <c r="F16" s="284" t="s">
        <v>994</v>
      </c>
      <c r="G16" s="284">
        <v>378.53</v>
      </c>
      <c r="H16" s="284" t="s">
        <v>995</v>
      </c>
      <c r="I16" s="291" t="s">
        <v>1013</v>
      </c>
      <c r="J16" s="288">
        <v>1</v>
      </c>
      <c r="K16" s="288" t="s">
        <v>200</v>
      </c>
      <c r="L16" s="288" t="s">
        <v>206</v>
      </c>
      <c r="M16" s="285">
        <v>45913</v>
      </c>
      <c r="N16" s="285" t="s">
        <v>987</v>
      </c>
      <c r="O16" s="288" t="s">
        <v>987</v>
      </c>
      <c r="P16" s="331" t="s">
        <v>988</v>
      </c>
    </row>
    <row r="17" spans="1:16" ht="25.5">
      <c r="A17" s="287">
        <v>15</v>
      </c>
      <c r="B17" s="288" t="s">
        <v>428</v>
      </c>
      <c r="C17" s="284" t="s">
        <v>373</v>
      </c>
      <c r="D17" s="288" t="s">
        <v>427</v>
      </c>
      <c r="E17" s="284" t="s">
        <v>292</v>
      </c>
      <c r="F17" s="284" t="s">
        <v>984</v>
      </c>
      <c r="G17" s="284">
        <v>378.53</v>
      </c>
      <c r="H17" s="284" t="s">
        <v>985</v>
      </c>
      <c r="I17" s="291" t="s">
        <v>1014</v>
      </c>
      <c r="J17" s="288">
        <v>1</v>
      </c>
      <c r="K17" s="288" t="s">
        <v>200</v>
      </c>
      <c r="L17" s="288" t="s">
        <v>206</v>
      </c>
      <c r="M17" s="285">
        <v>45902</v>
      </c>
      <c r="N17" s="285" t="s">
        <v>987</v>
      </c>
      <c r="O17" s="285" t="s">
        <v>987</v>
      </c>
      <c r="P17" s="333" t="s">
        <v>988</v>
      </c>
    </row>
    <row r="18" spans="1:16" ht="26.25">
      <c r="A18" s="287">
        <v>16</v>
      </c>
      <c r="B18" s="288" t="s">
        <v>570</v>
      </c>
      <c r="C18" s="284" t="s">
        <v>309</v>
      </c>
      <c r="D18" s="288" t="s">
        <v>571</v>
      </c>
      <c r="E18" s="284" t="s">
        <v>350</v>
      </c>
      <c r="F18" s="284" t="s">
        <v>994</v>
      </c>
      <c r="G18" s="284">
        <v>406</v>
      </c>
      <c r="H18" s="284" t="s">
        <v>997</v>
      </c>
      <c r="I18" s="291" t="s">
        <v>1015</v>
      </c>
      <c r="J18" s="288">
        <v>1</v>
      </c>
      <c r="K18" s="288" t="s">
        <v>200</v>
      </c>
      <c r="L18" s="288" t="s">
        <v>206</v>
      </c>
      <c r="M18" s="285">
        <v>45905</v>
      </c>
      <c r="N18" s="285" t="s">
        <v>987</v>
      </c>
      <c r="O18" s="285" t="s">
        <v>987</v>
      </c>
      <c r="P18" s="331" t="s">
        <v>988</v>
      </c>
    </row>
    <row r="19" spans="1:16" ht="26.25">
      <c r="A19" s="287">
        <v>17</v>
      </c>
      <c r="B19" s="288" t="s">
        <v>574</v>
      </c>
      <c r="C19" s="284" t="s">
        <v>399</v>
      </c>
      <c r="D19" s="288" t="s">
        <v>575</v>
      </c>
      <c r="E19" s="284" t="s">
        <v>350</v>
      </c>
      <c r="F19" s="284" t="s">
        <v>994</v>
      </c>
      <c r="G19" s="284">
        <v>426</v>
      </c>
      <c r="H19" s="284" t="s">
        <v>995</v>
      </c>
      <c r="I19" s="291" t="s">
        <v>1016</v>
      </c>
      <c r="J19" s="288">
        <v>19</v>
      </c>
      <c r="K19" s="288" t="s">
        <v>200</v>
      </c>
      <c r="L19" s="288" t="s">
        <v>206</v>
      </c>
      <c r="M19" s="285">
        <v>45877</v>
      </c>
      <c r="N19" s="285" t="s">
        <v>987</v>
      </c>
      <c r="O19" s="285" t="s">
        <v>987</v>
      </c>
      <c r="P19" s="331" t="s">
        <v>988</v>
      </c>
    </row>
    <row r="20" spans="1:16" ht="26.25">
      <c r="A20" s="287">
        <v>18</v>
      </c>
      <c r="B20" s="288" t="s">
        <v>574</v>
      </c>
      <c r="C20" s="284" t="s">
        <v>399</v>
      </c>
      <c r="D20" s="288" t="s">
        <v>575</v>
      </c>
      <c r="E20" s="284" t="s">
        <v>350</v>
      </c>
      <c r="F20" s="284" t="s">
        <v>994</v>
      </c>
      <c r="G20" s="284">
        <v>426</v>
      </c>
      <c r="H20" s="284" t="s">
        <v>1017</v>
      </c>
      <c r="I20" s="291" t="s">
        <v>1018</v>
      </c>
      <c r="J20" s="288">
        <v>1</v>
      </c>
      <c r="K20" s="288" t="s">
        <v>200</v>
      </c>
      <c r="L20" s="288" t="s">
        <v>206</v>
      </c>
      <c r="M20" s="285">
        <v>45877</v>
      </c>
      <c r="N20" s="285" t="s">
        <v>987</v>
      </c>
      <c r="O20" s="285" t="s">
        <v>987</v>
      </c>
      <c r="P20" s="331" t="s">
        <v>988</v>
      </c>
    </row>
    <row r="21" spans="1:16" ht="26.25">
      <c r="A21" s="287">
        <v>19</v>
      </c>
      <c r="B21" s="288" t="s">
        <v>181</v>
      </c>
      <c r="C21" s="284" t="s">
        <v>302</v>
      </c>
      <c r="D21" s="288" t="s">
        <v>581</v>
      </c>
      <c r="E21" s="284" t="s">
        <v>357</v>
      </c>
      <c r="F21" s="284" t="s">
        <v>994</v>
      </c>
      <c r="G21" s="284">
        <v>410</v>
      </c>
      <c r="H21" s="284" t="s">
        <v>1017</v>
      </c>
      <c r="I21" s="291" t="s">
        <v>1019</v>
      </c>
      <c r="J21" s="288">
        <v>1</v>
      </c>
      <c r="K21" s="288" t="s">
        <v>200</v>
      </c>
      <c r="L21" s="288" t="s">
        <v>206</v>
      </c>
      <c r="M21" s="285">
        <v>45878</v>
      </c>
      <c r="N21" s="288" t="s">
        <v>987</v>
      </c>
      <c r="O21" s="288" t="s">
        <v>987</v>
      </c>
      <c r="P21" s="331" t="s">
        <v>988</v>
      </c>
    </row>
    <row r="22" spans="1:16" ht="26.25">
      <c r="A22" s="287">
        <v>20</v>
      </c>
      <c r="B22" s="288" t="s">
        <v>589</v>
      </c>
      <c r="C22" s="284" t="s">
        <v>330</v>
      </c>
      <c r="D22" s="288" t="s">
        <v>590</v>
      </c>
      <c r="E22" s="284" t="s">
        <v>591</v>
      </c>
      <c r="F22" s="284" t="s">
        <v>994</v>
      </c>
      <c r="G22" s="284">
        <v>404.98</v>
      </c>
      <c r="H22" s="284" t="s">
        <v>1020</v>
      </c>
      <c r="I22" s="291" t="s">
        <v>1021</v>
      </c>
      <c r="J22" s="288">
        <v>1</v>
      </c>
      <c r="K22" s="288" t="s">
        <v>200</v>
      </c>
      <c r="L22" s="288" t="s">
        <v>206</v>
      </c>
      <c r="M22" s="285">
        <v>45877</v>
      </c>
      <c r="N22" s="285" t="s">
        <v>987</v>
      </c>
      <c r="O22" s="288" t="s">
        <v>987</v>
      </c>
      <c r="P22" s="331" t="s">
        <v>988</v>
      </c>
    </row>
    <row r="23" spans="1:16">
      <c r="A23" s="305">
        <v>21</v>
      </c>
      <c r="B23" s="306" t="s">
        <v>590</v>
      </c>
      <c r="C23" s="307" t="s">
        <v>591</v>
      </c>
      <c r="D23" s="306" t="s">
        <v>592</v>
      </c>
      <c r="E23" s="307" t="s">
        <v>350</v>
      </c>
      <c r="F23" s="307" t="s">
        <v>994</v>
      </c>
      <c r="G23" s="307">
        <v>382.01</v>
      </c>
      <c r="H23" s="307" t="s">
        <v>997</v>
      </c>
      <c r="I23" s="308" t="s">
        <v>1022</v>
      </c>
      <c r="J23" s="306">
        <v>1</v>
      </c>
      <c r="K23" s="306" t="s">
        <v>200</v>
      </c>
      <c r="L23" s="306" t="s">
        <v>206</v>
      </c>
      <c r="M23" s="309">
        <v>45882</v>
      </c>
      <c r="N23" s="309" t="s">
        <v>987</v>
      </c>
      <c r="O23" s="306" t="s">
        <v>987</v>
      </c>
      <c r="P23" s="332" t="s">
        <v>1023</v>
      </c>
    </row>
    <row r="24" spans="1:16">
      <c r="A24" s="305">
        <v>22</v>
      </c>
      <c r="B24" s="306" t="s">
        <v>165</v>
      </c>
      <c r="C24" s="307" t="s">
        <v>305</v>
      </c>
      <c r="D24" s="306" t="s">
        <v>593</v>
      </c>
      <c r="E24" s="307" t="s">
        <v>305</v>
      </c>
      <c r="F24" s="307" t="s">
        <v>984</v>
      </c>
      <c r="G24" s="307">
        <v>155.72999999999999</v>
      </c>
      <c r="H24" s="307" t="s">
        <v>985</v>
      </c>
      <c r="I24" s="308" t="s">
        <v>1024</v>
      </c>
      <c r="J24" s="306">
        <v>1</v>
      </c>
      <c r="K24" s="306" t="s">
        <v>200</v>
      </c>
      <c r="L24" s="306" t="s">
        <v>206</v>
      </c>
      <c r="M24" s="309">
        <v>45880</v>
      </c>
      <c r="N24" s="309" t="s">
        <v>987</v>
      </c>
      <c r="O24" s="306" t="s">
        <v>987</v>
      </c>
      <c r="P24" s="332" t="s">
        <v>1005</v>
      </c>
    </row>
    <row r="25" spans="1:16">
      <c r="A25" s="305">
        <v>23</v>
      </c>
      <c r="B25" s="306" t="s">
        <v>598</v>
      </c>
      <c r="C25" s="307" t="s">
        <v>322</v>
      </c>
      <c r="D25" s="306" t="s">
        <v>599</v>
      </c>
      <c r="E25" s="307" t="s">
        <v>561</v>
      </c>
      <c r="F25" s="307" t="s">
        <v>994</v>
      </c>
      <c r="G25" s="307">
        <v>329</v>
      </c>
      <c r="H25" s="307" t="s">
        <v>997</v>
      </c>
      <c r="I25" s="308" t="s">
        <v>1025</v>
      </c>
      <c r="J25" s="306">
        <v>1</v>
      </c>
      <c r="K25" s="306" t="s">
        <v>200</v>
      </c>
      <c r="L25" s="306" t="s">
        <v>206</v>
      </c>
      <c r="M25" s="309">
        <v>45888</v>
      </c>
      <c r="N25" s="309" t="s">
        <v>987</v>
      </c>
      <c r="O25" s="306" t="s">
        <v>987</v>
      </c>
      <c r="P25" s="332" t="s">
        <v>1023</v>
      </c>
    </row>
    <row r="26" spans="1:16">
      <c r="A26" s="305">
        <v>24</v>
      </c>
      <c r="B26" s="306" t="s">
        <v>598</v>
      </c>
      <c r="C26" s="307" t="s">
        <v>322</v>
      </c>
      <c r="D26" s="306" t="s">
        <v>599</v>
      </c>
      <c r="E26" s="307" t="s">
        <v>561</v>
      </c>
      <c r="F26" s="307" t="s">
        <v>984</v>
      </c>
      <c r="G26" s="307">
        <v>329</v>
      </c>
      <c r="H26" s="307" t="s">
        <v>985</v>
      </c>
      <c r="I26" s="308" t="s">
        <v>1026</v>
      </c>
      <c r="J26" s="306">
        <v>1</v>
      </c>
      <c r="K26" s="306" t="s">
        <v>200</v>
      </c>
      <c r="L26" s="306" t="s">
        <v>206</v>
      </c>
      <c r="M26" s="309">
        <v>45889</v>
      </c>
      <c r="N26" s="309" t="s">
        <v>987</v>
      </c>
      <c r="O26" s="306" t="s">
        <v>987</v>
      </c>
      <c r="P26" s="332" t="s">
        <v>1005</v>
      </c>
    </row>
    <row r="27" spans="1:16">
      <c r="A27" s="305">
        <v>25</v>
      </c>
      <c r="B27" s="306" t="s">
        <v>599</v>
      </c>
      <c r="C27" s="307" t="s">
        <v>561</v>
      </c>
      <c r="D27" s="306" t="s">
        <v>600</v>
      </c>
      <c r="E27" s="307" t="s">
        <v>302</v>
      </c>
      <c r="F27" s="307" t="s">
        <v>984</v>
      </c>
      <c r="G27" s="307">
        <v>428.04</v>
      </c>
      <c r="H27" s="307" t="s">
        <v>985</v>
      </c>
      <c r="I27" s="308" t="s">
        <v>1027</v>
      </c>
      <c r="J27" s="306">
        <v>1</v>
      </c>
      <c r="K27" s="306" t="s">
        <v>200</v>
      </c>
      <c r="L27" s="306" t="s">
        <v>206</v>
      </c>
      <c r="M27" s="309">
        <v>45891</v>
      </c>
      <c r="N27" s="309" t="s">
        <v>987</v>
      </c>
      <c r="O27" s="306" t="s">
        <v>987</v>
      </c>
      <c r="P27" s="332" t="s">
        <v>1005</v>
      </c>
    </row>
    <row r="28" spans="1:16">
      <c r="A28" s="305">
        <v>26</v>
      </c>
      <c r="B28" s="306" t="s">
        <v>601</v>
      </c>
      <c r="C28" s="307" t="s">
        <v>350</v>
      </c>
      <c r="D28" s="306" t="s">
        <v>602</v>
      </c>
      <c r="E28" s="307" t="s">
        <v>396</v>
      </c>
      <c r="F28" s="307" t="s">
        <v>984</v>
      </c>
      <c r="G28" s="307">
        <v>365.78</v>
      </c>
      <c r="H28" s="307" t="s">
        <v>985</v>
      </c>
      <c r="I28" s="308" t="s">
        <v>1028</v>
      </c>
      <c r="J28" s="306">
        <v>1</v>
      </c>
      <c r="K28" s="306" t="s">
        <v>200</v>
      </c>
      <c r="L28" s="306" t="s">
        <v>206</v>
      </c>
      <c r="M28" s="309">
        <v>45894</v>
      </c>
      <c r="N28" s="309" t="s">
        <v>987</v>
      </c>
      <c r="O28" s="306" t="s">
        <v>987</v>
      </c>
      <c r="P28" s="332" t="s">
        <v>1005</v>
      </c>
    </row>
    <row r="29" spans="1:16" ht="26.25">
      <c r="A29" s="287">
        <v>27</v>
      </c>
      <c r="B29" s="288" t="s">
        <v>182</v>
      </c>
      <c r="C29" s="284" t="s">
        <v>305</v>
      </c>
      <c r="D29" s="288" t="s">
        <v>141</v>
      </c>
      <c r="E29" s="284" t="s">
        <v>560</v>
      </c>
      <c r="F29" s="284" t="s">
        <v>1001</v>
      </c>
      <c r="G29" s="284">
        <v>276.3</v>
      </c>
      <c r="H29" s="284" t="s">
        <v>1002</v>
      </c>
      <c r="I29" s="291" t="s">
        <v>1029</v>
      </c>
      <c r="J29" s="288">
        <v>1</v>
      </c>
      <c r="K29" s="288" t="s">
        <v>200</v>
      </c>
      <c r="L29" s="288" t="s">
        <v>206</v>
      </c>
      <c r="M29" s="285">
        <v>45930</v>
      </c>
      <c r="N29" s="285" t="s">
        <v>987</v>
      </c>
      <c r="O29" s="288" t="s">
        <v>987</v>
      </c>
      <c r="P29" s="331" t="s">
        <v>988</v>
      </c>
    </row>
    <row r="30" spans="1:16">
      <c r="A30" s="305">
        <v>28</v>
      </c>
      <c r="B30" s="306" t="s">
        <v>182</v>
      </c>
      <c r="C30" s="307" t="s">
        <v>305</v>
      </c>
      <c r="D30" s="306" t="s">
        <v>141</v>
      </c>
      <c r="E30" s="307" t="s">
        <v>560</v>
      </c>
      <c r="F30" s="307" t="s">
        <v>1030</v>
      </c>
      <c r="G30" s="307">
        <v>276.3</v>
      </c>
      <c r="H30" s="307" t="s">
        <v>985</v>
      </c>
      <c r="I30" s="308" t="s">
        <v>1031</v>
      </c>
      <c r="J30" s="306">
        <v>1</v>
      </c>
      <c r="K30" s="306" t="s">
        <v>200</v>
      </c>
      <c r="L30" s="306" t="s">
        <v>206</v>
      </c>
      <c r="M30" s="309">
        <v>45895</v>
      </c>
      <c r="N30" s="309" t="s">
        <v>987</v>
      </c>
      <c r="O30" s="306" t="s">
        <v>987</v>
      </c>
      <c r="P30" s="332" t="s">
        <v>1005</v>
      </c>
    </row>
    <row r="31" spans="1:16" ht="26.25">
      <c r="A31" s="287">
        <v>29</v>
      </c>
      <c r="B31" s="288" t="s">
        <v>606</v>
      </c>
      <c r="C31" s="284" t="s">
        <v>591</v>
      </c>
      <c r="D31" s="288" t="s">
        <v>607</v>
      </c>
      <c r="E31" s="284" t="s">
        <v>298</v>
      </c>
      <c r="F31" s="284" t="s">
        <v>994</v>
      </c>
      <c r="G31" s="284">
        <v>381.59</v>
      </c>
      <c r="H31" s="284" t="s">
        <v>1017</v>
      </c>
      <c r="I31" s="291" t="s">
        <v>1019</v>
      </c>
      <c r="J31" s="288">
        <v>1</v>
      </c>
      <c r="K31" s="288" t="s">
        <v>200</v>
      </c>
      <c r="L31" s="288" t="s">
        <v>206</v>
      </c>
      <c r="M31" s="285">
        <v>45756</v>
      </c>
      <c r="N31" s="285" t="s">
        <v>987</v>
      </c>
      <c r="O31" s="288" t="s">
        <v>987</v>
      </c>
      <c r="P31" s="331" t="s">
        <v>988</v>
      </c>
    </row>
    <row r="32" spans="1:16">
      <c r="A32" s="305">
        <v>30</v>
      </c>
      <c r="B32" s="306" t="s">
        <v>609</v>
      </c>
      <c r="C32" s="307" t="s">
        <v>350</v>
      </c>
      <c r="D32" s="306" t="s">
        <v>610</v>
      </c>
      <c r="E32" s="307" t="s">
        <v>350</v>
      </c>
      <c r="F32" s="307" t="s">
        <v>994</v>
      </c>
      <c r="G32" s="307">
        <v>378</v>
      </c>
      <c r="H32" s="307" t="s">
        <v>997</v>
      </c>
      <c r="I32" s="308" t="s">
        <v>1032</v>
      </c>
      <c r="J32" s="306">
        <v>2</v>
      </c>
      <c r="K32" s="306" t="s">
        <v>200</v>
      </c>
      <c r="L32" s="306" t="s">
        <v>206</v>
      </c>
      <c r="M32" s="309">
        <v>45756</v>
      </c>
      <c r="N32" s="309" t="s">
        <v>987</v>
      </c>
      <c r="O32" s="306" t="s">
        <v>987</v>
      </c>
      <c r="P32" s="332" t="s">
        <v>1023</v>
      </c>
    </row>
    <row r="33" spans="1:16" ht="39">
      <c r="A33" s="292">
        <v>31</v>
      </c>
      <c r="B33" s="293" t="s">
        <v>612</v>
      </c>
      <c r="C33" s="294" t="s">
        <v>389</v>
      </c>
      <c r="D33" s="293" t="s">
        <v>745</v>
      </c>
      <c r="E33" s="294" t="s">
        <v>324</v>
      </c>
      <c r="F33" s="294" t="s">
        <v>984</v>
      </c>
      <c r="G33" s="294">
        <v>240.05</v>
      </c>
      <c r="H33" s="295" t="s">
        <v>985</v>
      </c>
      <c r="I33" s="296" t="s">
        <v>1033</v>
      </c>
      <c r="J33" s="293">
        <v>1</v>
      </c>
      <c r="K33" s="293" t="s">
        <v>200</v>
      </c>
      <c r="L33" s="293" t="s">
        <v>1034</v>
      </c>
      <c r="M33" s="297"/>
      <c r="N33" s="297"/>
      <c r="O33" s="293"/>
      <c r="P33" s="334" t="s">
        <v>1035</v>
      </c>
    </row>
    <row r="34" spans="1:16" ht="39">
      <c r="A34" s="292">
        <v>32</v>
      </c>
      <c r="B34" s="293" t="s">
        <v>142</v>
      </c>
      <c r="C34" s="294" t="s">
        <v>918</v>
      </c>
      <c r="D34" s="293" t="s">
        <v>143</v>
      </c>
      <c r="E34" s="294" t="s">
        <v>393</v>
      </c>
      <c r="F34" s="294" t="s">
        <v>984</v>
      </c>
      <c r="G34" s="294">
        <v>249</v>
      </c>
      <c r="H34" s="295" t="s">
        <v>985</v>
      </c>
      <c r="I34" s="296" t="s">
        <v>1036</v>
      </c>
      <c r="J34" s="293">
        <v>1</v>
      </c>
      <c r="K34" s="293" t="s">
        <v>200</v>
      </c>
      <c r="L34" s="293" t="s">
        <v>1034</v>
      </c>
      <c r="M34" s="297"/>
      <c r="N34" s="297"/>
      <c r="O34" s="293"/>
      <c r="P34" s="334" t="s">
        <v>1035</v>
      </c>
    </row>
    <row r="35" spans="1:16">
      <c r="A35" s="552">
        <v>33</v>
      </c>
      <c r="B35" s="553" t="s">
        <v>753</v>
      </c>
      <c r="C35" s="554" t="s">
        <v>298</v>
      </c>
      <c r="D35" s="553" t="s">
        <v>1037</v>
      </c>
      <c r="E35" s="554" t="s">
        <v>298</v>
      </c>
      <c r="F35" s="554" t="s">
        <v>994</v>
      </c>
      <c r="G35" s="554">
        <v>172.61</v>
      </c>
      <c r="H35" s="554" t="s">
        <v>995</v>
      </c>
      <c r="I35" s="555" t="s">
        <v>1038</v>
      </c>
      <c r="J35" s="553">
        <v>1</v>
      </c>
      <c r="K35" s="553" t="s">
        <v>200</v>
      </c>
      <c r="L35" s="553" t="s">
        <v>1034</v>
      </c>
      <c r="M35" s="556"/>
      <c r="N35" s="556"/>
      <c r="O35" s="553"/>
      <c r="P35" s="557" t="s">
        <v>1105</v>
      </c>
    </row>
    <row r="36" spans="1:16" ht="25.5">
      <c r="A36" s="325">
        <v>34</v>
      </c>
      <c r="B36" s="326" t="s">
        <v>613</v>
      </c>
      <c r="C36" s="327" t="s">
        <v>1039</v>
      </c>
      <c r="D36" s="326" t="s">
        <v>614</v>
      </c>
      <c r="E36" s="327" t="s">
        <v>1040</v>
      </c>
      <c r="F36" s="327" t="s">
        <v>984</v>
      </c>
      <c r="G36" s="327">
        <v>225.81</v>
      </c>
      <c r="H36" s="330" t="s">
        <v>1041</v>
      </c>
      <c r="I36" s="328" t="s">
        <v>1042</v>
      </c>
      <c r="J36" s="326">
        <v>1</v>
      </c>
      <c r="K36" s="326" t="s">
        <v>200</v>
      </c>
      <c r="L36" s="326" t="s">
        <v>206</v>
      </c>
      <c r="M36" s="329">
        <v>46150</v>
      </c>
      <c r="N36" s="329" t="s">
        <v>987</v>
      </c>
      <c r="O36" s="326"/>
      <c r="P36" s="333" t="s">
        <v>988</v>
      </c>
    </row>
    <row r="37" spans="1:16" ht="25.5">
      <c r="A37" s="325">
        <v>35</v>
      </c>
      <c r="B37" s="326" t="s">
        <v>613</v>
      </c>
      <c r="C37" s="327" t="s">
        <v>1039</v>
      </c>
      <c r="D37" s="326" t="s">
        <v>614</v>
      </c>
      <c r="E37" s="327" t="s">
        <v>1040</v>
      </c>
      <c r="F37" s="327" t="s">
        <v>994</v>
      </c>
      <c r="G37" s="327">
        <v>225.81</v>
      </c>
      <c r="H37" s="330" t="s">
        <v>1017</v>
      </c>
      <c r="I37" s="328" t="s">
        <v>1019</v>
      </c>
      <c r="J37" s="326">
        <v>1</v>
      </c>
      <c r="K37" s="326" t="s">
        <v>200</v>
      </c>
      <c r="L37" s="326" t="s">
        <v>206</v>
      </c>
      <c r="M37" s="329">
        <v>46150</v>
      </c>
      <c r="N37" s="285" t="s">
        <v>987</v>
      </c>
      <c r="O37" s="326"/>
      <c r="P37" s="333" t="s">
        <v>988</v>
      </c>
    </row>
    <row r="38" spans="1:16" ht="25.5">
      <c r="A38" s="287">
        <v>36</v>
      </c>
      <c r="B38" s="288" t="s">
        <v>615</v>
      </c>
      <c r="C38" s="284" t="s">
        <v>350</v>
      </c>
      <c r="D38" s="288" t="s">
        <v>145</v>
      </c>
      <c r="E38" s="284" t="s">
        <v>357</v>
      </c>
      <c r="F38" s="284" t="s">
        <v>994</v>
      </c>
      <c r="G38" s="284">
        <v>385</v>
      </c>
      <c r="H38" s="276" t="s">
        <v>999</v>
      </c>
      <c r="I38" s="291" t="s">
        <v>1043</v>
      </c>
      <c r="J38" s="288">
        <v>1</v>
      </c>
      <c r="K38" s="288" t="s">
        <v>200</v>
      </c>
      <c r="L38" s="326" t="s">
        <v>206</v>
      </c>
      <c r="M38" s="285">
        <v>46153</v>
      </c>
      <c r="N38" s="285" t="s">
        <v>987</v>
      </c>
      <c r="O38" s="288"/>
      <c r="P38" s="333" t="s">
        <v>988</v>
      </c>
    </row>
    <row r="39" spans="1:16" s="533" customFormat="1" ht="25.5">
      <c r="A39" s="325">
        <v>37</v>
      </c>
      <c r="B39" s="326" t="s">
        <v>145</v>
      </c>
      <c r="C39" s="327" t="s">
        <v>357</v>
      </c>
      <c r="D39" s="326" t="s">
        <v>616</v>
      </c>
      <c r="E39" s="327" t="s">
        <v>357</v>
      </c>
      <c r="F39" s="327" t="s">
        <v>994</v>
      </c>
      <c r="G39" s="327">
        <v>429</v>
      </c>
      <c r="H39" s="330" t="s">
        <v>1010</v>
      </c>
      <c r="I39" s="328" t="s">
        <v>1044</v>
      </c>
      <c r="J39" s="326">
        <v>1</v>
      </c>
      <c r="K39" s="326" t="s">
        <v>200</v>
      </c>
      <c r="L39" s="326" t="s">
        <v>206</v>
      </c>
      <c r="M39" s="329">
        <v>46167</v>
      </c>
      <c r="N39" s="285" t="s">
        <v>987</v>
      </c>
      <c r="O39" s="293"/>
      <c r="P39" s="333" t="s">
        <v>988</v>
      </c>
    </row>
    <row r="40" spans="1:16" s="533" customFormat="1" ht="25.5">
      <c r="A40" s="325">
        <v>38</v>
      </c>
      <c r="B40" s="326" t="s">
        <v>145</v>
      </c>
      <c r="C40" s="327" t="s">
        <v>357</v>
      </c>
      <c r="D40" s="326" t="s">
        <v>616</v>
      </c>
      <c r="E40" s="327" t="s">
        <v>357</v>
      </c>
      <c r="F40" s="327" t="s">
        <v>994</v>
      </c>
      <c r="G40" s="327">
        <v>429</v>
      </c>
      <c r="H40" s="330" t="s">
        <v>995</v>
      </c>
      <c r="I40" s="328" t="s">
        <v>1045</v>
      </c>
      <c r="J40" s="326">
        <v>1</v>
      </c>
      <c r="K40" s="326" t="s">
        <v>200</v>
      </c>
      <c r="L40" s="326" t="s">
        <v>206</v>
      </c>
      <c r="M40" s="329">
        <v>46167</v>
      </c>
      <c r="N40" s="285" t="s">
        <v>987</v>
      </c>
      <c r="O40" s="293"/>
      <c r="P40" s="333" t="s">
        <v>988</v>
      </c>
    </row>
    <row r="41" spans="1:16" s="533" customFormat="1" ht="25.5">
      <c r="A41" s="325">
        <v>39</v>
      </c>
      <c r="B41" s="326" t="s">
        <v>145</v>
      </c>
      <c r="C41" s="327" t="s">
        <v>357</v>
      </c>
      <c r="D41" s="326" t="s">
        <v>616</v>
      </c>
      <c r="E41" s="327" t="s">
        <v>357</v>
      </c>
      <c r="F41" s="327" t="s">
        <v>994</v>
      </c>
      <c r="G41" s="327">
        <v>429</v>
      </c>
      <c r="H41" s="330" t="s">
        <v>997</v>
      </c>
      <c r="I41" s="328" t="s">
        <v>1046</v>
      </c>
      <c r="J41" s="326">
        <v>1</v>
      </c>
      <c r="K41" s="326" t="s">
        <v>200</v>
      </c>
      <c r="L41" s="326" t="s">
        <v>206</v>
      </c>
      <c r="M41" s="329">
        <v>46167</v>
      </c>
      <c r="N41" s="285" t="s">
        <v>987</v>
      </c>
      <c r="O41" s="293"/>
      <c r="P41" s="333" t="s">
        <v>988</v>
      </c>
    </row>
    <row r="42" spans="1:16">
      <c r="A42" s="552">
        <v>40</v>
      </c>
      <c r="B42" s="553" t="s">
        <v>1047</v>
      </c>
      <c r="C42" s="554" t="s">
        <v>396</v>
      </c>
      <c r="D42" s="553" t="s">
        <v>1048</v>
      </c>
      <c r="E42" s="554" t="s">
        <v>396</v>
      </c>
      <c r="F42" s="554" t="s">
        <v>994</v>
      </c>
      <c r="G42" s="554">
        <v>360</v>
      </c>
      <c r="H42" s="554" t="s">
        <v>995</v>
      </c>
      <c r="I42" s="555" t="s">
        <v>1049</v>
      </c>
      <c r="J42" s="553">
        <v>1</v>
      </c>
      <c r="K42" s="553" t="s">
        <v>200</v>
      </c>
      <c r="L42" s="553" t="s">
        <v>1034</v>
      </c>
      <c r="M42" s="556"/>
      <c r="N42" s="556"/>
      <c r="O42" s="553"/>
      <c r="P42" s="557" t="s">
        <v>1105</v>
      </c>
    </row>
    <row r="43" spans="1:16" ht="26.25">
      <c r="A43" s="287">
        <v>41</v>
      </c>
      <c r="B43" s="288" t="s">
        <v>625</v>
      </c>
      <c r="C43" s="284" t="s">
        <v>300</v>
      </c>
      <c r="D43" s="288" t="s">
        <v>464</v>
      </c>
      <c r="E43" s="284" t="s">
        <v>330</v>
      </c>
      <c r="F43" s="284" t="s">
        <v>1006</v>
      </c>
      <c r="G43" s="284">
        <v>244.02</v>
      </c>
      <c r="H43" s="284" t="s">
        <v>1007</v>
      </c>
      <c r="I43" s="291" t="s">
        <v>1050</v>
      </c>
      <c r="J43" s="288">
        <v>1</v>
      </c>
      <c r="K43" s="288" t="s">
        <v>200</v>
      </c>
      <c r="L43" s="288" t="s">
        <v>206</v>
      </c>
      <c r="M43" s="285">
        <v>45859</v>
      </c>
      <c r="N43" s="285" t="s">
        <v>987</v>
      </c>
      <c r="O43" s="288" t="s">
        <v>987</v>
      </c>
      <c r="P43" s="331" t="s">
        <v>988</v>
      </c>
    </row>
    <row r="44" spans="1:16">
      <c r="A44" s="305">
        <v>42</v>
      </c>
      <c r="B44" s="306" t="s">
        <v>628</v>
      </c>
      <c r="C44" s="307" t="s">
        <v>350</v>
      </c>
      <c r="D44" s="306" t="s">
        <v>629</v>
      </c>
      <c r="E44" s="307" t="s">
        <v>335</v>
      </c>
      <c r="F44" s="307" t="s">
        <v>984</v>
      </c>
      <c r="G44" s="307">
        <v>364</v>
      </c>
      <c r="H44" s="307" t="s">
        <v>985</v>
      </c>
      <c r="I44" s="308" t="s">
        <v>1051</v>
      </c>
      <c r="J44" s="306">
        <v>1</v>
      </c>
      <c r="K44" s="306" t="s">
        <v>200</v>
      </c>
      <c r="L44" s="306" t="s">
        <v>206</v>
      </c>
      <c r="M44" s="309">
        <v>45854</v>
      </c>
      <c r="N44" s="309" t="s">
        <v>987</v>
      </c>
      <c r="O44" s="306" t="s">
        <v>987</v>
      </c>
      <c r="P44" s="332" t="s">
        <v>1005</v>
      </c>
    </row>
    <row r="45" spans="1:16">
      <c r="A45" s="305">
        <v>43</v>
      </c>
      <c r="B45" s="306" t="s">
        <v>629</v>
      </c>
      <c r="C45" s="307" t="s">
        <v>335</v>
      </c>
      <c r="D45" s="306" t="s">
        <v>630</v>
      </c>
      <c r="E45" s="307" t="s">
        <v>350</v>
      </c>
      <c r="F45" s="307" t="s">
        <v>984</v>
      </c>
      <c r="G45" s="307">
        <v>390</v>
      </c>
      <c r="H45" s="307" t="s">
        <v>985</v>
      </c>
      <c r="I45" s="308" t="s">
        <v>1052</v>
      </c>
      <c r="J45" s="306">
        <v>1</v>
      </c>
      <c r="K45" s="306" t="s">
        <v>200</v>
      </c>
      <c r="L45" s="306" t="s">
        <v>206</v>
      </c>
      <c r="M45" s="309">
        <v>45854</v>
      </c>
      <c r="N45" s="309" t="s">
        <v>987</v>
      </c>
      <c r="O45" s="306" t="s">
        <v>987</v>
      </c>
      <c r="P45" s="332" t="s">
        <v>1005</v>
      </c>
    </row>
    <row r="46" spans="1:16" ht="26.25">
      <c r="A46" s="287">
        <v>44</v>
      </c>
      <c r="B46" s="288" t="s">
        <v>641</v>
      </c>
      <c r="C46" s="284" t="s">
        <v>330</v>
      </c>
      <c r="D46" s="288" t="s">
        <v>642</v>
      </c>
      <c r="E46" s="284" t="s">
        <v>302</v>
      </c>
      <c r="F46" s="284" t="s">
        <v>1006</v>
      </c>
      <c r="G46" s="284">
        <v>242.91</v>
      </c>
      <c r="H46" s="284" t="s">
        <v>1007</v>
      </c>
      <c r="I46" s="291" t="s">
        <v>1053</v>
      </c>
      <c r="J46" s="288">
        <v>1</v>
      </c>
      <c r="K46" s="288" t="s">
        <v>200</v>
      </c>
      <c r="L46" s="288" t="s">
        <v>206</v>
      </c>
      <c r="M46" s="285">
        <v>45859</v>
      </c>
      <c r="N46" s="285" t="s">
        <v>987</v>
      </c>
      <c r="O46" s="285" t="s">
        <v>987</v>
      </c>
      <c r="P46" s="331" t="s">
        <v>988</v>
      </c>
    </row>
    <row r="47" spans="1:16">
      <c r="A47" s="305">
        <v>45</v>
      </c>
      <c r="B47" s="306" t="s">
        <v>659</v>
      </c>
      <c r="C47" s="307" t="s">
        <v>666</v>
      </c>
      <c r="D47" s="306" t="s">
        <v>437</v>
      </c>
      <c r="E47" s="307" t="s">
        <v>357</v>
      </c>
      <c r="F47" s="307" t="s">
        <v>984</v>
      </c>
      <c r="G47" s="307">
        <v>437</v>
      </c>
      <c r="H47" s="307" t="s">
        <v>985</v>
      </c>
      <c r="I47" s="308" t="s">
        <v>1054</v>
      </c>
      <c r="J47" s="306">
        <v>1</v>
      </c>
      <c r="K47" s="306" t="s">
        <v>200</v>
      </c>
      <c r="L47" s="306" t="s">
        <v>206</v>
      </c>
      <c r="M47" s="309">
        <v>45897</v>
      </c>
      <c r="N47" s="309" t="s">
        <v>987</v>
      </c>
      <c r="O47" s="306" t="s">
        <v>987</v>
      </c>
      <c r="P47" s="332" t="s">
        <v>1005</v>
      </c>
    </row>
    <row r="48" spans="1:16">
      <c r="A48" s="325">
        <v>46</v>
      </c>
      <c r="B48" s="326" t="s">
        <v>665</v>
      </c>
      <c r="C48" s="327" t="s">
        <v>300</v>
      </c>
      <c r="D48" s="326" t="s">
        <v>463</v>
      </c>
      <c r="E48" s="327" t="s">
        <v>335</v>
      </c>
      <c r="F48" s="327" t="s">
        <v>1006</v>
      </c>
      <c r="G48" s="327">
        <v>210.48</v>
      </c>
      <c r="H48" s="327" t="s">
        <v>1007</v>
      </c>
      <c r="I48" s="328" t="s">
        <v>1055</v>
      </c>
      <c r="J48" s="326">
        <v>1</v>
      </c>
      <c r="K48" s="326" t="s">
        <v>201</v>
      </c>
      <c r="L48" s="326" t="s">
        <v>206</v>
      </c>
      <c r="M48" s="329">
        <v>46182</v>
      </c>
      <c r="N48" s="329" t="s">
        <v>987</v>
      </c>
      <c r="O48" s="326"/>
      <c r="P48" s="333" t="s">
        <v>1080</v>
      </c>
    </row>
    <row r="49" spans="1:16" ht="25.5">
      <c r="A49" s="325">
        <v>47</v>
      </c>
      <c r="B49" s="326" t="s">
        <v>767</v>
      </c>
      <c r="C49" s="327" t="s">
        <v>1056</v>
      </c>
      <c r="D49" s="326" t="s">
        <v>152</v>
      </c>
      <c r="E49" s="327" t="s">
        <v>1057</v>
      </c>
      <c r="F49" s="327" t="s">
        <v>984</v>
      </c>
      <c r="G49" s="327">
        <v>233.53</v>
      </c>
      <c r="H49" s="327" t="s">
        <v>1058</v>
      </c>
      <c r="I49" s="328" t="s">
        <v>1059</v>
      </c>
      <c r="J49" s="326">
        <v>1</v>
      </c>
      <c r="K49" s="326" t="s">
        <v>201</v>
      </c>
      <c r="L49" s="326" t="s">
        <v>206</v>
      </c>
      <c r="M49" s="329">
        <v>46161</v>
      </c>
      <c r="N49" s="329" t="s">
        <v>987</v>
      </c>
      <c r="O49" s="326"/>
      <c r="P49" s="333" t="s">
        <v>988</v>
      </c>
    </row>
    <row r="50" spans="1:16">
      <c r="A50"/>
      <c r="B50"/>
      <c r="C50"/>
      <c r="D50"/>
      <c r="E50"/>
      <c r="F50"/>
      <c r="G50"/>
      <c r="H50"/>
      <c r="I50"/>
      <c r="J50" s="278"/>
      <c r="K50"/>
      <c r="L50"/>
      <c r="M50" s="289"/>
      <c r="N50" s="289"/>
      <c r="O50" s="28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19" t="s">
        <v>1060</v>
      </c>
      <c r="B1" s="318" t="s">
        <v>1061</v>
      </c>
      <c r="C1" s="318" t="s">
        <v>1069</v>
      </c>
      <c r="D1" s="318" t="s">
        <v>262</v>
      </c>
    </row>
    <row r="2" spans="1:12" ht="16.5" thickBot="1">
      <c r="A2" s="316">
        <v>1</v>
      </c>
      <c r="B2" s="317" t="s">
        <v>1073</v>
      </c>
      <c r="C2" s="317" t="s">
        <v>1070</v>
      </c>
      <c r="D2" s="323" t="s">
        <v>1062</v>
      </c>
      <c r="F2" s="520" t="s">
        <v>67</v>
      </c>
    </row>
    <row r="3" spans="1:12" ht="32.1" customHeight="1">
      <c r="A3" s="316">
        <v>2</v>
      </c>
      <c r="B3" s="317" t="s">
        <v>1074</v>
      </c>
      <c r="C3" s="317" t="s">
        <v>1071</v>
      </c>
      <c r="D3" s="323" t="s">
        <v>1062</v>
      </c>
      <c r="G3" s="540" t="s">
        <v>92</v>
      </c>
      <c r="H3" s="541" t="s">
        <v>1081</v>
      </c>
      <c r="I3" s="541" t="s">
        <v>1082</v>
      </c>
      <c r="J3" s="541" t="s">
        <v>470</v>
      </c>
      <c r="K3" s="541" t="s">
        <v>1083</v>
      </c>
      <c r="L3" s="542" t="s">
        <v>33</v>
      </c>
    </row>
    <row r="4" spans="1:12">
      <c r="A4" s="310">
        <v>3</v>
      </c>
      <c r="B4" s="311" t="s">
        <v>1074</v>
      </c>
      <c r="C4" s="317" t="s">
        <v>1072</v>
      </c>
      <c r="D4" s="323" t="s">
        <v>1062</v>
      </c>
      <c r="G4" s="534">
        <v>1</v>
      </c>
      <c r="H4" s="11" t="s">
        <v>1088</v>
      </c>
      <c r="I4" s="11" t="s">
        <v>1084</v>
      </c>
      <c r="J4" s="11">
        <v>12</v>
      </c>
      <c r="K4" s="11">
        <v>9923426296</v>
      </c>
      <c r="L4" s="535"/>
    </row>
    <row r="5" spans="1:12" ht="45">
      <c r="A5" s="312">
        <v>4</v>
      </c>
      <c r="B5" s="313" t="s">
        <v>67</v>
      </c>
      <c r="C5" s="313"/>
      <c r="D5" s="313"/>
      <c r="G5" s="534">
        <v>2</v>
      </c>
      <c r="H5" s="11" t="s">
        <v>1087</v>
      </c>
      <c r="I5" s="10" t="s">
        <v>1085</v>
      </c>
      <c r="J5" s="11">
        <v>10</v>
      </c>
      <c r="K5" s="11">
        <v>9923426296</v>
      </c>
      <c r="L5" s="535"/>
    </row>
    <row r="6" spans="1:12">
      <c r="A6" s="312">
        <v>5</v>
      </c>
      <c r="B6" s="313"/>
      <c r="C6" s="313"/>
      <c r="D6" s="313"/>
      <c r="G6" s="534">
        <v>3</v>
      </c>
      <c r="H6" s="11" t="s">
        <v>1086</v>
      </c>
      <c r="I6" s="11" t="s">
        <v>1089</v>
      </c>
      <c r="J6" s="11">
        <v>11</v>
      </c>
      <c r="K6" s="11">
        <v>7066720891</v>
      </c>
      <c r="L6" s="535"/>
    </row>
    <row r="7" spans="1:12" ht="45">
      <c r="A7" s="312">
        <v>6</v>
      </c>
      <c r="B7" s="313"/>
      <c r="C7" s="313"/>
      <c r="D7" s="313"/>
      <c r="G7" s="534">
        <v>4</v>
      </c>
      <c r="H7" s="11" t="s">
        <v>1090</v>
      </c>
      <c r="I7" s="10" t="s">
        <v>1085</v>
      </c>
      <c r="J7" s="11">
        <v>10</v>
      </c>
      <c r="K7" s="11">
        <v>7066720891</v>
      </c>
      <c r="L7" s="535"/>
    </row>
    <row r="8" spans="1:12">
      <c r="A8" s="312">
        <v>7</v>
      </c>
      <c r="B8" s="313"/>
      <c r="C8" s="313"/>
      <c r="D8" s="313"/>
      <c r="G8" s="534">
        <v>5</v>
      </c>
      <c r="H8" s="11" t="s">
        <v>402</v>
      </c>
      <c r="I8" s="11" t="s">
        <v>1091</v>
      </c>
      <c r="J8" s="11">
        <v>14</v>
      </c>
      <c r="K8" s="11">
        <v>7047832193</v>
      </c>
      <c r="L8" s="535"/>
    </row>
    <row r="9" spans="1:12">
      <c r="A9" s="312">
        <v>8</v>
      </c>
      <c r="B9" s="313"/>
      <c r="C9" s="313"/>
      <c r="D9" s="313"/>
      <c r="G9" s="534">
        <v>6</v>
      </c>
      <c r="H9" s="11" t="s">
        <v>1092</v>
      </c>
      <c r="I9" s="11" t="s">
        <v>1093</v>
      </c>
      <c r="J9" s="11">
        <v>12</v>
      </c>
      <c r="K9" s="11">
        <v>9512377438</v>
      </c>
      <c r="L9" s="535"/>
    </row>
    <row r="10" spans="1:12">
      <c r="A10" s="312">
        <v>9</v>
      </c>
      <c r="B10" s="313"/>
      <c r="C10" s="313"/>
      <c r="D10" s="313"/>
      <c r="G10" s="534">
        <v>7</v>
      </c>
      <c r="H10" s="11" t="s">
        <v>1094</v>
      </c>
      <c r="I10" s="298">
        <v>46193</v>
      </c>
      <c r="J10" s="11">
        <v>12</v>
      </c>
      <c r="K10" s="11">
        <v>9904772920</v>
      </c>
      <c r="L10" s="535"/>
    </row>
    <row r="11" spans="1:12">
      <c r="A11" s="312">
        <v>10</v>
      </c>
      <c r="B11" s="313"/>
      <c r="C11" s="313"/>
      <c r="D11" s="313"/>
      <c r="G11" s="534">
        <v>8</v>
      </c>
      <c r="H11" s="11" t="s">
        <v>1095</v>
      </c>
      <c r="I11" s="298">
        <v>46195</v>
      </c>
      <c r="J11" s="11">
        <v>15</v>
      </c>
      <c r="K11" s="11">
        <v>6299211179</v>
      </c>
      <c r="L11" s="535"/>
    </row>
    <row r="12" spans="1:12">
      <c r="A12" s="312">
        <v>11</v>
      </c>
      <c r="B12" s="313"/>
      <c r="C12" s="313"/>
      <c r="D12" s="313"/>
      <c r="G12" s="534">
        <v>9</v>
      </c>
      <c r="H12" s="11" t="s">
        <v>409</v>
      </c>
      <c r="I12" s="298">
        <v>46194</v>
      </c>
      <c r="J12" s="11">
        <v>15</v>
      </c>
      <c r="K12" s="11">
        <v>9822945752</v>
      </c>
      <c r="L12" s="535"/>
    </row>
    <row r="13" spans="1:12" ht="15.75" thickBot="1">
      <c r="A13" s="312">
        <v>12</v>
      </c>
      <c r="B13" s="313"/>
      <c r="C13" s="313"/>
      <c r="D13" s="313"/>
      <c r="G13" s="536">
        <v>10</v>
      </c>
      <c r="H13" s="537" t="s">
        <v>1096</v>
      </c>
      <c r="I13" s="538">
        <v>46194</v>
      </c>
      <c r="J13" s="537">
        <v>12</v>
      </c>
      <c r="K13" s="537">
        <v>8799693511</v>
      </c>
      <c r="L13" s="539"/>
    </row>
    <row r="14" spans="1:12">
      <c r="A14" s="312">
        <v>13</v>
      </c>
      <c r="B14" s="313"/>
      <c r="C14" s="313"/>
      <c r="D14" s="313"/>
    </row>
    <row r="15" spans="1:12">
      <c r="A15" s="312">
        <v>14</v>
      </c>
      <c r="B15" s="313"/>
      <c r="C15" s="313"/>
      <c r="D15" s="313"/>
    </row>
    <row r="16" spans="1:12">
      <c r="A16" s="312">
        <v>15</v>
      </c>
      <c r="B16" s="313"/>
      <c r="C16" s="313"/>
      <c r="D16" s="313"/>
    </row>
    <row r="17" spans="1:4">
      <c r="A17" s="312">
        <v>16</v>
      </c>
      <c r="B17" s="313"/>
      <c r="C17" s="313"/>
      <c r="D17" s="313"/>
    </row>
    <row r="18" spans="1:4">
      <c r="A18" s="312">
        <v>17</v>
      </c>
      <c r="B18" s="313"/>
      <c r="C18" s="313"/>
      <c r="D18" s="313"/>
    </row>
    <row r="19" spans="1:4">
      <c r="A19" s="312">
        <v>18</v>
      </c>
      <c r="B19" s="313"/>
      <c r="C19" s="313"/>
      <c r="D19" s="313"/>
    </row>
    <row r="20" spans="1:4">
      <c r="A20" s="312">
        <v>19</v>
      </c>
      <c r="B20" s="313"/>
      <c r="C20" s="313"/>
      <c r="D20" s="313"/>
    </row>
    <row r="21" spans="1:4" ht="15.75" thickBot="1">
      <c r="A21" s="314">
        <v>20</v>
      </c>
      <c r="B21" s="315"/>
      <c r="C21" s="315"/>
      <c r="D21" s="31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1063</v>
      </c>
    </row>
    <row r="5" spans="1:9">
      <c r="A5" s="29" t="s">
        <v>1064</v>
      </c>
      <c r="B5" s="29" t="s">
        <v>1065</v>
      </c>
      <c r="C5" s="29" t="s">
        <v>1066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1067</v>
      </c>
    </row>
    <row r="6" spans="1:9">
      <c r="A6" s="29">
        <v>1</v>
      </c>
      <c r="B6" s="29" t="s">
        <v>1068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2026-07-04T04:34:12Z</cp:lastPrinted>
  <dcterms:created xsi:type="dcterms:W3CDTF">2023-12-20T18:09:34Z</dcterms:created>
  <dcterms:modified xsi:type="dcterms:W3CDTF">2026-07-05T15:52:14Z</dcterms:modified>
  <cp:category/>
  <cp:contentStatus/>
</cp:coreProperties>
</file>