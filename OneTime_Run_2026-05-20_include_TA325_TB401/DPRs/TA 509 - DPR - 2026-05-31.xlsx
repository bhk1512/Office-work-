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ass32\Downloads\"/>
    </mc:Choice>
  </mc:AlternateContent>
  <xr:revisionPtr revIDLastSave="0" documentId="13_ncr:1_{E402DE9E-B8D6-497A-BD8D-A0DF8DBFB56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C-765kV MKTL" sheetId="30" r:id="rId1"/>
    <sheet name="DPR" sheetId="34" r:id="rId2"/>
    <sheet name="SUMMARY" sheetId="13" r:id="rId3"/>
    <sheet name="FDN pivot" sheetId="31" state="hidden" r:id="rId4"/>
    <sheet name="Erc pivot" sheetId="32" state="hidden" r:id="rId5"/>
    <sheet name="XING" sheetId="20" state="hidden" r:id="rId6"/>
    <sheet name="ERECTION" sheetId="16" r:id="rId7"/>
    <sheet name="FOUNDATION" sheetId="33" r:id="rId8"/>
    <sheet name="EARTHING" sheetId="12" r:id="rId9"/>
    <sheet name="SUPPLY" sheetId="19" r:id="rId10"/>
    <sheet name="CST Gantry To AP 68 Common Poin" sheetId="28" r:id="rId11"/>
    <sheet name="Sheet1" sheetId="17" state="hidden" r:id="rId12"/>
    <sheet name="SURVEY SUMMARY" sheetId="14" state="hidden" r:id="rId13"/>
    <sheet name="SURVEY STATUS " sheetId="15" state="hidden" r:id="rId14"/>
    <sheet name="Erection productivity" sheetId="22" state="hidden" r:id="rId15"/>
  </sheets>
  <externalReferences>
    <externalReference r:id="rId16"/>
    <externalReference r:id="rId17"/>
    <externalReference r:id="rId18"/>
  </externalReferences>
  <definedNames>
    <definedName name="\0" localSheetId="1">#REF!</definedName>
    <definedName name="\0" localSheetId="7">#REF!</definedName>
    <definedName name="\0">#REF!</definedName>
    <definedName name="\2">#REF!</definedName>
    <definedName name="\A" localSheetId="7">#REF!</definedName>
    <definedName name="\A">#REF!</definedName>
    <definedName name="\A_1">"#REF!"</definedName>
    <definedName name="\B" localSheetId="1">#REF!</definedName>
    <definedName name="\B" localSheetId="7">#REF!</definedName>
    <definedName name="\B">#REF!</definedName>
    <definedName name="\C" localSheetId="1">#REF!</definedName>
    <definedName name="\C">#REF!</definedName>
    <definedName name="\c1" localSheetId="1">#REF!</definedName>
    <definedName name="\c1">#REF!</definedName>
    <definedName name="\d" localSheetId="1">#N/A</definedName>
    <definedName name="\D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KWS123">#N/A</definedName>
    <definedName name="\l">#REF!</definedName>
    <definedName name="\M" localSheetId="1">#REF!</definedName>
    <definedName name="\M">#REF!</definedName>
    <definedName name="\N" localSheetId="1">#REF!</definedName>
    <definedName name="\N">#REF!</definedName>
    <definedName name="\P">#REF!</definedName>
    <definedName name="\q">#N/A</definedName>
    <definedName name="\R" localSheetId="1">#REF!</definedName>
    <definedName name="\R">#REF!</definedName>
    <definedName name="\S" localSheetId="1">#REF!</definedName>
    <definedName name="\S">#REF!</definedName>
    <definedName name="\t">#N/A</definedName>
    <definedName name="\U" localSheetId="1">#REF!</definedName>
    <definedName name="\U">#REF!</definedName>
    <definedName name="\V" localSheetId="1">#REF!</definedName>
    <definedName name="\V">#REF!</definedName>
    <definedName name="\z" localSheetId="1">#REF!</definedName>
    <definedName name="\z">#REF!</definedName>
    <definedName name="_" localSheetId="1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65537" localSheetId="1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655600" localSheetId="1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1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65537" localSheetId="1">#REF!</definedName>
    <definedName name="___________A65537">#REF!</definedName>
    <definedName name="___________A655600" localSheetId="1">#REF!</definedName>
    <definedName name="___________A655600">#REF!</definedName>
    <definedName name="___________a655601" localSheetId="1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65537" localSheetId="1">#REF!</definedName>
    <definedName name="__________A65537">#REF!</definedName>
    <definedName name="__________A655600" localSheetId="1">#REF!</definedName>
    <definedName name="__________A655600">#REF!</definedName>
    <definedName name="__________a655601" localSheetId="1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1">#REF!</definedName>
    <definedName name="_______CFB1">#REF!</definedName>
    <definedName name="_______CFB2" localSheetId="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" hidden="1">{"form-D1",#N/A,FALSE,"FORM-D1";"form-D1_amt",#N/A,FALSE,"FORM-D1"}</definedName>
    <definedName name="_______s41" localSheetId="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1">#REF!</definedName>
    <definedName name="_______SS402">#REF!</definedName>
    <definedName name="_______SS403" localSheetId="1">#REF!</definedName>
    <definedName name="_______SS403">#REF!</definedName>
    <definedName name="_______SS404" localSheetId="1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1">#REF!</definedName>
    <definedName name="______CFB1">#REF!</definedName>
    <definedName name="______CFB2" localSheetId="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" hidden="1">{"form-D1",#N/A,FALSE,"FORM-D1";"form-D1_amt",#N/A,FALSE,"FORM-D1"}</definedName>
    <definedName name="______s41" localSheetId="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1">#REF!</definedName>
    <definedName name="______SS402">#REF!</definedName>
    <definedName name="______SS403" localSheetId="1">#REF!</definedName>
    <definedName name="______SS403">#REF!</definedName>
    <definedName name="______SS404" localSheetId="1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1">#REF!</definedName>
    <definedName name="______xlnm.Print_Area_1">#REF!</definedName>
    <definedName name="______xlnm.Print_Area_1_1">"#REF!"</definedName>
    <definedName name="______xlnm.Print_Area_10" localSheetId="1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1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1">#REF!</definedName>
    <definedName name="_____cdd2">#REF!</definedName>
    <definedName name="_____cem124">#REF!</definedName>
    <definedName name="_____CFB1" localSheetId="1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" hidden="1">{"form-D1",#N/A,FALSE,"FORM-D1";"form-D1_amt",#N/A,FALSE,"FORM-D1"}</definedName>
    <definedName name="_____s41" localSheetId="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1">#REF!</definedName>
    <definedName name="_____SS402">#REF!</definedName>
    <definedName name="_____SS403" localSheetId="1">#REF!</definedName>
    <definedName name="_____SS403">#REF!</definedName>
    <definedName name="_____SS404" localSheetId="1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1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1">#REF!</definedName>
    <definedName name="_____xlnm.Print_Area_2">#REF!</definedName>
    <definedName name="_____xlnm.Print_Area_3" localSheetId="1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1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1">#REF!</definedName>
    <definedName name="____f1" localSheetId="7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1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1" hidden="1">{"'PROFITABILITY'!$A$1:$F$45"}</definedName>
    <definedName name="____Nov2007" localSheetId="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" hidden="1">{"form-D1",#N/A,FALSE,"FORM-D1";"form-D1_amt",#N/A,FALSE,"FORM-D1"}</definedName>
    <definedName name="____s41" localSheetId="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1">#REF!</definedName>
    <definedName name="____SS402">#REF!</definedName>
    <definedName name="____SS403" localSheetId="1">#REF!</definedName>
    <definedName name="____SS403">#REF!</definedName>
    <definedName name="____SS404" localSheetId="1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1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1">#REF!</definedName>
    <definedName name="____xlnm.Print_Area_10">#REF!</definedName>
    <definedName name="____xlnm.Print_Area_10_1">"#REF!"</definedName>
    <definedName name="____xlnm.Print_Area_11" localSheetId="1">#REF!</definedName>
    <definedName name="____xlnm.Print_Area_11">#REF!</definedName>
    <definedName name="____xlnm.Print_Area_13">#REF!</definedName>
    <definedName name="____xlnm.Print_Area_2" localSheetId="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 localSheetId="1">#REF!</definedName>
    <definedName name="____xlnm.Print_Titles_4">#REF!</definedName>
    <definedName name="____xlnm.Print_Titles_7" localSheetId="1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1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1">#REF!</definedName>
    <definedName name="___f1" localSheetId="7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1">#REF!</definedName>
    <definedName name="___INT1">#REF!</definedName>
    <definedName name="___Ism3" localSheetId="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1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1" hidden="1">{"'PROFITABILITY'!$A$1:$F$45"}</definedName>
    <definedName name="___Nov2007" localSheetId="7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" hidden="1">{"form-D1",#N/A,FALSE,"FORM-D1";"form-D1_amt",#N/A,FALSE,"FORM-D1"}</definedName>
    <definedName name="___s41" localSheetId="7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1">#REF!</definedName>
    <definedName name="___SS402">#REF!</definedName>
    <definedName name="___SS403" localSheetId="1">#REF!</definedName>
    <definedName name="___SS403">#REF!</definedName>
    <definedName name="___SS404" localSheetId="1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1">#REF!</definedName>
    <definedName name="___xlnm._FilterDatabase_1">#REF!</definedName>
    <definedName name="___xlnm._FilterDatabase_2" localSheetId="1">#REF!</definedName>
    <definedName name="___xlnm._FilterDatabase_2">#REF!</definedName>
    <definedName name="___xlnm._FilterDatabase_3" localSheetId="1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1">#REF!</definedName>
    <definedName name="___xlnm.Print_Area_10">#REF!</definedName>
    <definedName name="___xlnm.Print_Area_10_1">"#REF!"</definedName>
    <definedName name="___xlnm.Print_Area_11" localSheetId="1">#REF!</definedName>
    <definedName name="___xlnm.Print_Area_11">#REF!</definedName>
    <definedName name="___xlnm.Print_Area_13">#REF!</definedName>
    <definedName name="___xlnm.Print_Area_2" localSheetId="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 localSheetId="1">#REF!</definedName>
    <definedName name="___xlnm.Print_Titles_4">#REF!</definedName>
    <definedName name="___xlnm.Print_Titles_7" localSheetId="1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1" hidden="1">#REF!</definedName>
    <definedName name="__123Graph_D" hidden="1">#REF!</definedName>
    <definedName name="__123Graph_E" localSheetId="1" hidden="1">#REF!</definedName>
    <definedName name="__123Graph_E" hidden="1">#REF!</definedName>
    <definedName name="__123Graph_F" localSheetId="1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" hidden="1">{"'PROFITABILITY'!$A$1:$F$45"}</definedName>
    <definedName name="__aa1" localSheetId="7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1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" hidden="1">{"'Sheet1'!$A$4386:$N$4591"}</definedName>
    <definedName name="__dec05" localSheetId="7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1">#REF!</definedName>
    <definedName name="__f1" localSheetId="7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1">#REF!</definedName>
    <definedName name="__INT1">#REF!</definedName>
    <definedName name="__IntlFixup">TRUE</definedName>
    <definedName name="__Ism3" localSheetId="1">#REF!</definedName>
    <definedName name="__Ism3">#REF!</definedName>
    <definedName name="__ISO220" localSheetId="1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1" hidden="1">{#N/A,#N/A,FALSE,"COVER1.XLS ";#N/A,#N/A,FALSE,"RACT1.XLS";#N/A,#N/A,FALSE,"RACT2.XLS";#N/A,#N/A,FALSE,"ECCMP";#N/A,#N/A,FALSE,"WELDER.XLS"}</definedName>
    <definedName name="__kvs1" localSheetId="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1">#REF!</definedName>
    <definedName name="__LMH1">#REF!</definedName>
    <definedName name="__LMH2" localSheetId="1">#REF!</definedName>
    <definedName name="__LMH2">#REF!</definedName>
    <definedName name="__ls1" localSheetId="1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1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1" hidden="1">{"'PROFITABILITY'!$A$1:$F$45"}</definedName>
    <definedName name="__Nov2007" localSheetId="7" hidden="1">{"'PROFITABILITY'!$A$1:$F$45"}</definedName>
    <definedName name="__Nov2007" hidden="1">{"'PROFITABILITY'!$A$1:$F$45"}</definedName>
    <definedName name="__ns1" localSheetId="1" hidden="1">{#N/A,#N/A,FALSE,"COVER1.XLS ";#N/A,#N/A,FALSE,"RACT1.XLS";#N/A,#N/A,FALSE,"RACT2.XLS";#N/A,#N/A,FALSE,"ECCMP";#N/A,#N/A,FALSE,"WELDER.XLS"}</definedName>
    <definedName name="__ns1" localSheetId="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" hidden="1">{"form-D1",#N/A,FALSE,"FORM-D1";"form-D1_amt",#N/A,FALSE,"FORM-D1"}</definedName>
    <definedName name="__s41" localSheetId="7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1">#REF!</definedName>
    <definedName name="__tr75">#REF!</definedName>
    <definedName name="__trt75" localSheetId="1">#REF!</definedName>
    <definedName name="__trt75">#REF!</definedName>
    <definedName name="__tt75" localSheetId="1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1">#REF!</definedName>
    <definedName name="__xlnm._FilterDatabase_2">#REF!</definedName>
    <definedName name="__xlnm._FilterDatabase_2_1">"#REF!"</definedName>
    <definedName name="__xlnm._FilterDatabase_3" localSheetId="1">#REF!</definedName>
    <definedName name="__xlnm._FilterDatabase_3">#REF!</definedName>
    <definedName name="__xlnm._FilterDatabase_3_1">"#REF!"</definedName>
    <definedName name="__xlnm._FilterDatabase_4" localSheetId="1">#REF!</definedName>
    <definedName name="__xlnm._FilterDatabase_4">#REF!</definedName>
    <definedName name="__xlnm._FilterDatabase_5">#N/A</definedName>
    <definedName name="__xlnm.Print_Area">#REF!</definedName>
    <definedName name="__xlnm.Print_Area_1" localSheetId="1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1">#REF!</definedName>
    <definedName name="__xlnm.Print_Area_10">#REF!</definedName>
    <definedName name="__xlnm.Print_Area_10_1">"#REF!"</definedName>
    <definedName name="__xlnm.Print_Area_11" localSheetId="1">#REF!</definedName>
    <definedName name="__xlnm.Print_Area_11">#REF!</definedName>
    <definedName name="__xlnm.Print_Area_13">#REF!</definedName>
    <definedName name="__xlnm.Print_Area_2" localSheetId="1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">#REF!</definedName>
    <definedName name="__xlnm.Print_Area_4">#REF!</definedName>
    <definedName name="__xlnm.Print_Area_5" localSheetId="1">#REF!</definedName>
    <definedName name="__xlnm.Print_Area_5">#REF!</definedName>
    <definedName name="__xlnm.Print_Area_6" localSheetId="1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1">#REF!</definedName>
    <definedName name="__xlnm.Print_Titles_4">#REF!</definedName>
    <definedName name="__xlnm.Print_Titles_7" localSheetId="1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1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1">#REF!</definedName>
    <definedName name="_1Excel_BuiltIn_Print_Area_1_1">#REF!</definedName>
    <definedName name="_1Excel_BuiltIn_Print_Area_10_1">#REF!</definedName>
    <definedName name="_1Excel_BuiltIn_Print_Area_3_1" localSheetId="1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1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1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1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1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1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1">#REF!</definedName>
    <definedName name="_A">#REF!</definedName>
    <definedName name="_A1" localSheetId="1">#REF!</definedName>
    <definedName name="_A1">#REF!</definedName>
    <definedName name="_A10" localSheetId="1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1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" hidden="1">{"'Sheet1'!$A$4386:$N$4591"}</definedName>
    <definedName name="_dec05" localSheetId="7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1">#REF!</definedName>
    <definedName name="_f1" localSheetId="7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0" hidden="1">'CST Gantry To AP 68 Common Poin'!$A$6:$O$627</definedName>
    <definedName name="_xlnm._FilterDatabase" localSheetId="8" hidden="1">EARTHING!$A$2:$F$226</definedName>
    <definedName name="_xlnm._FilterDatabase" localSheetId="6" hidden="1">ERECTION!$A$2:$K$212</definedName>
    <definedName name="_xlnm._FilterDatabase" localSheetId="7" hidden="1">FOUNDATION!$A$2:$O$274</definedName>
    <definedName name="_xlnm._FilterDatabase" localSheetId="0" hidden="1">'VC-765kV MKTL'!$AV$2:$BA$2</definedName>
    <definedName name="_xlnm._FilterDatabase">#REF!</definedName>
    <definedName name="_FLK1">#REF!</definedName>
    <definedName name="_fos1">#REF!</definedName>
    <definedName name="_Fpi1" localSheetId="1">#REF!</definedName>
    <definedName name="_Fpi1" localSheetId="7">#REF!</definedName>
    <definedName name="_Fpi1">#REF!</definedName>
    <definedName name="_g1">#REF!</definedName>
    <definedName name="_g66666" localSheetId="7">#REF!</definedName>
    <definedName name="_g66666">#REF!</definedName>
    <definedName name="_GEN1">#REF!</definedName>
    <definedName name="_HCO2" localSheetId="7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1">#REF!</definedName>
    <definedName name="_INT1">#REF!</definedName>
    <definedName name="_IPB1">#REF!</definedName>
    <definedName name="_Ism3" localSheetId="1">#REF!</definedName>
    <definedName name="_Ism3">#REF!</definedName>
    <definedName name="_ISO220" localSheetId="1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1">360/50</definedName>
    <definedName name="_mix30">352/50</definedName>
    <definedName name="_mix40" localSheetId="1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1">#REF!</definedName>
    <definedName name="_MMB220">#REF!</definedName>
    <definedName name="_mnk1" localSheetId="1">#REF!</definedName>
    <definedName name="_mnk1">#REF!</definedName>
    <definedName name="_mp1">#REF!</definedName>
    <definedName name="_N" localSheetId="1">#REF!</definedName>
    <definedName name="_N">#REF!</definedName>
    <definedName name="_new1">#REF!</definedName>
    <definedName name="_ngl3">#REF!</definedName>
    <definedName name="_ngl4">#REF!</definedName>
    <definedName name="_Nov2007" localSheetId="1" hidden="1">{"'PROFITABILITY'!$A$1:$F$45"}</definedName>
    <definedName name="_Nov2007" localSheetId="7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1" hidden="1">0</definedName>
    <definedName name="_Order2" hidden="1">255</definedName>
    <definedName name="_out2" localSheetId="1">#REF!</definedName>
    <definedName name="_out2">#REF!</definedName>
    <definedName name="_P" localSheetId="1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1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" hidden="1">{"form-D1",#N/A,FALSE,"FORM-D1";"form-D1_amt",#N/A,FALSE,"FORM-D1"}</definedName>
    <definedName name="_s41" localSheetId="7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1">#REF!</definedName>
    <definedName name="_sch2">#REF!</definedName>
    <definedName name="_sch9" localSheetId="1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1">#REF!</definedName>
    <definedName name="_sit75">#REF!</definedName>
    <definedName name="_Sort" localSheetId="1" hidden="1">#REF!</definedName>
    <definedName name="_Sort" hidden="1">#REF!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">#REF!</definedName>
    <definedName name="_SS402">#REF!</definedName>
    <definedName name="_SS403" localSheetId="1">#REF!</definedName>
    <definedName name="_SS403">#REF!</definedName>
    <definedName name="_SS404" localSheetId="1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1">#REF!</definedName>
    <definedName name="A">#REF!</definedName>
    <definedName name="a._Trimmer">#REF!</definedName>
    <definedName name="A.T.RAJAN" localSheetId="1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1">#REF!</definedName>
    <definedName name="A_A">#REF!</definedName>
    <definedName name="A_B" localSheetId="1">#REF!</definedName>
    <definedName name="A_B">#REF!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1">#REF!</definedName>
    <definedName name="A1_">#REF!</definedName>
    <definedName name="A1____0" localSheetId="1">#REF!</definedName>
    <definedName name="A1____0">#REF!</definedName>
    <definedName name="A1____13" localSheetId="1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1" hidden="1">{#N/A,#N/A,FALSE,"COVER1.XLS ";#N/A,#N/A,FALSE,"RACT1.XLS";#N/A,#N/A,FALSE,"RACT2.XLS";#N/A,#N/A,FALSE,"ECCMP";#N/A,#N/A,FALSE,"WELDER.XLS"}</definedName>
    <definedName name="aaa">#REF!</definedName>
    <definedName name="aaaa" localSheetId="1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1" hidden="1">{"'PROFITABILITY'!$A$1:$F$45"}</definedName>
    <definedName name="aac" localSheetId="7" hidden="1">{"'PROFITABILITY'!$A$1:$F$45"}</definedName>
    <definedName name="aac" hidden="1">{"'PROFITABILITY'!$A$1:$F$45"}</definedName>
    <definedName name="aadf" hidden="1">#REF!</definedName>
    <definedName name="aaffa" localSheetId="1" hidden="1">{#N/A,#N/A,FALSE,"COVER.XLS";#N/A,#N/A,FALSE,"RACT1.XLS";#N/A,#N/A,FALSE,"RACT2.XLS";#N/A,#N/A,FALSE,"ECCMP";#N/A,#N/A,FALSE,"WELDER.XLS"}</definedName>
    <definedName name="aaffa" localSheetId="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1" hidden="1">{"'PROFITABILITY'!$A$1:$F$45"}</definedName>
    <definedName name="aav" localSheetId="7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1" hidden="1">{#N/A,#N/A,FALSE,"COVER1.XLS ";#N/A,#N/A,FALSE,"RACT1.XLS";#N/A,#N/A,FALSE,"RACT2.XLS";#N/A,#N/A,FALSE,"ECCMP";#N/A,#N/A,FALSE,"WELDER.XLS"}</definedName>
    <definedName name="aba" localSheetId="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1">#REF!</definedName>
    <definedName name="ABACUS">#REF!</definedName>
    <definedName name="abb">#REF!</definedName>
    <definedName name="abc">#REF!</definedName>
    <definedName name="abcd" localSheetId="1">#REF!</definedName>
    <definedName name="abcd">#REF!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1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>(PeriodInActual*(#REF!&gt;0))*PeriodInPlan</definedName>
    <definedName name="ActualBeyond">PeriodInActual*(#REF!&gt;0)</definedName>
    <definedName name="AD" localSheetId="1" hidden="1">{"'Sheet1'!$A$4386:$N$4591"}</definedName>
    <definedName name="ad">#REF!</definedName>
    <definedName name="ada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1" hidden="1">{#N/A,#N/A,FALSE,"COVER1.XLS ";#N/A,#N/A,FALSE,"RACT1.XLS";#N/A,#N/A,FALSE,"RACT2.XLS";#N/A,#N/A,FALSE,"ECCMP";#N/A,#N/A,FALSE,"WELDER.XLS"}</definedName>
    <definedName name="adadd" localSheetId="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1">#REF!</definedName>
    <definedName name="adasdas">#REF!</definedName>
    <definedName name="adcbef" hidden="1">{"'PROFITABILITY'!$A$1:$F$45"}</definedName>
    <definedName name="ADD" localSheetId="1">#REF!</definedName>
    <definedName name="ADD">#REF!</definedName>
    <definedName name="addf" localSheetId="1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hidden="1">{"'장비'!$A$3:$M$12"}</definedName>
    <definedName name="adj">#REF!</definedName>
    <definedName name="Admixture">#REF!</definedName>
    <definedName name="ads" localSheetId="1" hidden="1">{#N/A,#N/A,FALSE,"COVER1.XLS ";#N/A,#N/A,FALSE,"RACT1.XLS";#N/A,#N/A,FALSE,"RACT2.XLS";#N/A,#N/A,FALSE,"ECCMP";#N/A,#N/A,FALSE,"WELDER.XLS"}</definedName>
    <definedName name="ads" localSheetId="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1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localSheetId="1" hidden="1">{"form-D1",#N/A,FALSE,"FORM-D1";"form-D1_amt",#N/A,FALSE,"FORM-D1"}</definedName>
    <definedName name="ajslk" localSheetId="7" hidden="1">{"form-D1",#N/A,FALSE,"FORM-D1";"form-D1_amt",#N/A,FALSE,"FORM-D1"}</definedName>
    <definedName name="ajslk" hidden="1">{"form-D1",#N/A,FALSE,"FORM-D1";"form-D1_amt",#N/A,FALSE,"FORM-D1"}</definedName>
    <definedName name="AK" localSheetId="1">INDEX(#REF!,MATCH(#REF!,#REF!,0))</definedName>
    <definedName name="AK">#REF!</definedName>
    <definedName name="aks" localSheetId="1">#REF!</definedName>
    <definedName name="aks">#REF!</definedName>
    <definedName name="aksj" localSheetId="1" hidden="1">{"form-D1",#N/A,FALSE,"FORM-D1";"form-D1_amt",#N/A,FALSE,"FORM-D1"}</definedName>
    <definedName name="aksj" localSheetId="7" hidden="1">{"form-D1",#N/A,FALSE,"FORM-D1";"form-D1_amt",#N/A,FALSE,"FORM-D1"}</definedName>
    <definedName name="aksj" hidden="1">{"form-D1",#N/A,FALSE,"FORM-D1";"form-D1_amt",#N/A,FALSE,"FORM-D1"}</definedName>
    <definedName name="AL" localSheetId="1">INDEX(#REF!,MATCH(#REF!,#REF!,0))</definedName>
    <definedName name="AL">#REF!</definedName>
    <definedName name="ALarea" localSheetId="1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1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1">#REF!</definedName>
    <definedName name="Alw">#REF!</definedName>
    <definedName name="alwarsump">#REF!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1">#REF!</definedName>
    <definedName name="Aone">#REF!</definedName>
    <definedName name="AP" localSheetId="1">#REF!</definedName>
    <definedName name="AP">#REF!</definedName>
    <definedName name="app">#REF!</definedName>
    <definedName name="APPR">#REF!</definedName>
    <definedName name="Approach">#REF!</definedName>
    <definedName name="APRIL" localSheetId="1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1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1" hidden="1">{"'PROFITABILITY'!$A$1:$F$45"}</definedName>
    <definedName name="ASDGSG" localSheetId="7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1">#REF!</definedName>
    <definedName name="ASFFFF">#REF!</definedName>
    <definedName name="asfsd" localSheetId="1">#REF!</definedName>
    <definedName name="asfsd">#REF!</definedName>
    <definedName name="ASHOKA" localSheetId="1">#REF!</definedName>
    <definedName name="ASHOKA">#REF!</definedName>
    <definedName name="asjk" localSheetId="1" hidden="1">{"form-D1",#N/A,FALSE,"FORM-D1";"form-D1_amt",#N/A,FALSE,"FORM-D1"}</definedName>
    <definedName name="asjk" localSheetId="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1">#REF!</definedName>
    <definedName name="assets">#REF!</definedName>
    <definedName name="ASSSSSS" hidden="1">#REF!</definedName>
    <definedName name="ASSSSSSSSSSSSSSSSSSSSSSSS" localSheetId="1">#REF!</definedName>
    <definedName name="ASSSSSSSSSSSSSSSSSSSSSSSS">#REF!</definedName>
    <definedName name="asw" localSheetId="1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1" hidden="1">{"'PROFITABILITY'!$A$1:$F$45"}</definedName>
    <definedName name="bcv" localSheetId="7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>INDEX(#REF!,MATCH(#REF!,#REF!,0))</definedName>
    <definedName name="BK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1">#REF!</definedName>
    <definedName name="BuiltIn_Print_Titles___0">#N/A</definedName>
    <definedName name="BuiltIn_Print_Titles___0___0" localSheetId="1">#REF!</definedName>
    <definedName name="BuiltIn_Print_Titles___0___0">#REF!</definedName>
    <definedName name="BuiltIn_Print_Titles___0___0___0" localSheetId="1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1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1">#REF!*1.507</definedName>
    <definedName name="CA">#REF!</definedName>
    <definedName name="caa" localSheetId="1" hidden="1">{"'PROFITABILITY'!$A$1:$F$45"}</definedName>
    <definedName name="caa" localSheetId="7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1">#REF!</definedName>
    <definedName name="CAPAPR">#REF!</definedName>
    <definedName name="CAPAUG" localSheetId="1">#REF!</definedName>
    <definedName name="CAPAUG">#REF!</definedName>
    <definedName name="CAPDEC" localSheetId="1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1">#REF!</definedName>
    <definedName name="cash" localSheetId="7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1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1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1">#REF!</definedName>
    <definedName name="Cf">#REF!</definedName>
    <definedName name="cf_musd">#REF!</definedName>
    <definedName name="cfre" localSheetId="1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1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>INDEX(#REF!,MATCH(#REF!,#REF!,0))</definedName>
    <definedName name="CK">INDEX(#REF!,MATCH(#REF!,#REF!,0))</definedName>
    <definedName name="cl" localSheetId="1">150</definedName>
    <definedName name="CL">#REF!</definedName>
    <definedName name="cl33kv">#REF!</definedName>
    <definedName name="clbs" localSheetId="1">#REF!</definedName>
    <definedName name="clbs">#REF!</definedName>
    <definedName name="cld" localSheetId="1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1" hidden="1">{"'PROFITABILITY'!$A$1:$F$45"}</definedName>
    <definedName name="const" localSheetId="7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1">#REF!</definedName>
    <definedName name="CVT">#REF!</definedName>
    <definedName name="cw" localSheetId="1">20</definedName>
    <definedName name="cw">10</definedName>
    <definedName name="cx" localSheetId="1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1">#REF!</definedName>
    <definedName name="d___0">#REF!</definedName>
    <definedName name="d___13" localSheetId="1">#REF!</definedName>
    <definedName name="d___13">#REF!</definedName>
    <definedName name="D_D">INDEX(#REF!,MATCH(#REF!,#REF!,0))</definedName>
    <definedName name="d_jp" localSheetId="1" hidden="1">{"'Sheet1'!$A$4386:$N$4591"}</definedName>
    <definedName name="d_jp" localSheetId="7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hidden="1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1">#REF!</definedName>
    <definedName name="DE" localSheetId="7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>(#REF!,#REF!)</definedName>
    <definedName name="dfaf" localSheetId="1" hidden="1">{"'장비'!$A$3:$M$12"}</definedName>
    <definedName name="dfaf">#REF!</definedName>
    <definedName name="DFD" localSheetId="1" hidden="1">{"'PROFITABILITY'!$A$1:$F$45"}</definedName>
    <definedName name="dfd">#REF!</definedName>
    <definedName name="dfdf">#REF!</definedName>
    <definedName name="dfdfdfd" hidden="1">{"'PROFITABILITY'!$A$1:$F$45"}</definedName>
    <definedName name="dfdfs" localSheetId="1" hidden="1">{"'Sheet1'!$A$4386:$N$4591"}</definedName>
    <definedName name="dfdfs" localSheetId="7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1">#REF!</definedName>
    <definedName name="DFR">#REF!</definedName>
    <definedName name="dfrads" localSheetId="1">#REF!</definedName>
    <definedName name="dfrads">#REF!</definedName>
    <definedName name="dfsdf" localSheetId="1">#REF!</definedName>
    <definedName name="dfsdf">#REF!</definedName>
    <definedName name="dfsga">#REF!</definedName>
    <definedName name="dg">#REF!</definedName>
    <definedName name="DG_Total">#REF!</definedName>
    <definedName name="dgfgfd" localSheetId="1" hidden="1">{#N/A,#N/A,FALSE,"COVER.XLS";#N/A,#N/A,FALSE,"RACT1.XLS";#N/A,#N/A,FALSE,"RACT2.XLS";#N/A,#N/A,FALSE,"ECCMP";#N/A,#N/A,FALSE,"WELDER.XLS"}</definedName>
    <definedName name="dgfgfd" localSheetId="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1">#REF!</definedName>
    <definedName name="dgv">#REF!</definedName>
    <definedName name="DH">INDEX(#REF!,MATCH(#REF!,#REF!,0))</definedName>
    <definedName name="dhgh">#REF!</definedName>
    <definedName name="DHTML" localSheetId="1" hidden="1">{"'Sheet1'!$A$4386:$N$4591"}</definedName>
    <definedName name="DHTML" localSheetId="7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1" hidden="1">{"'PROFITABILITY'!$A$1:$F$45"}</definedName>
    <definedName name="Dis" localSheetId="7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>INDEX(#REF!,MATCH(#REF!,#REF!,0))</definedName>
    <definedName name="DJH">#REF!</definedName>
    <definedName name="dk" localSheetId="1">#REF!</definedName>
    <definedName name="dk">#REF!</definedName>
    <definedName name="dkd">#REF!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">#REF!</definedName>
    <definedName name="Dm">#REF!</definedName>
    <definedName name="dms" localSheetId="1">#REF!</definedName>
    <definedName name="dms">#REF!</definedName>
    <definedName name="dmt" localSheetId="1">#REF!</definedName>
    <definedName name="dmt">#REF!</definedName>
    <definedName name="DMUSD">#REF!</definedName>
    <definedName name="dn" localSheetId="1" hidden="1">{#N/A,#N/A,FALSE,"COVER1.XLS ";#N/A,#N/A,FALSE,"RACT1.XLS";#N/A,#N/A,FALSE,"RACT2.XLS";#N/A,#N/A,FALSE,"ECCMP";#N/A,#N/A,FALSE,"WELDER.XLS"}</definedName>
    <definedName name="dn" localSheetId="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1">#REF!</definedName>
    <definedName name="DOLLARS1">#REF!</definedName>
    <definedName name="DOLLARS2" localSheetId="1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 localSheetId="1">#REF!</definedName>
    <definedName name="earth" localSheetId="7" hidden="1">{"'Sheet1'!$A$4386:$N$4591"}</definedName>
    <definedName name="earth" hidden="1">{"'Sheet1'!$A$4386:$N$4591"}</definedName>
    <definedName name="EARTH1">#REF!</definedName>
    <definedName name="eawerawea">#REF!</definedName>
    <definedName name="EB">INDEX(#REF!,MATCH(#REF!,#REF!,0))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G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1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QEWE">#REF!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">#REF!</definedName>
    <definedName name="Excel_BuiltIn_Print_Area_1">#REF!</definedName>
    <definedName name="Excel_BuiltIn_Print_Area_1_1" localSheetId="1">#REF!</definedName>
    <definedName name="Excel_BuiltIn_Print_Area_1_1">#REF!</definedName>
    <definedName name="Excel_BuiltIn_Print_Area_1_1_1" localSheetId="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1">"$#REF!.$A$1:$G$149"</definedName>
    <definedName name="Excel_BuiltIn_Print_Area_3_1_1_1">#REF!</definedName>
    <definedName name="Excel_BuiltIn_Print_Area_3_1_1_1_1" localSheetId="1">#REF!</definedName>
    <definedName name="Excel_BuiltIn_Print_Area_3_1_1_1_1">#REF!</definedName>
    <definedName name="Excel_BuiltIn_Print_Area_3_1_1_1_1_1" localSheetId="1">#REF!</definedName>
    <definedName name="Excel_BuiltIn_Print_Area_3_1_1_1_1_1">#REF!</definedName>
    <definedName name="Excel_BuiltIn_Print_Area_3_1_1_1_1_1_1" localSheetId="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1">#REF!</definedName>
    <definedName name="Excel_BuiltIn_Print_Area_5_1">#REF!</definedName>
    <definedName name="Excel_BuiltIn_Print_Area_5_1_1" localSheetId="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1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</definedName>
    <definedName name="Excel_BuiltIn_Print_Titles_16" localSheetId="7">#REF!,#REF!</definedName>
    <definedName name="Excel_BuiltIn_Print_Titles_16">#REF!,#REF!</definedName>
    <definedName name="Excel_BuiltIn_Print_Titles_17" localSheetId="1">#REF!,#REF!</definedName>
    <definedName name="Excel_BuiltIn_Print_Titles_17">#REF!,#REF!</definedName>
    <definedName name="Excel_BuiltIn_Print_Titles_18" localSheetId="1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">"$#REF!.$A$6:$IP$8"</definedName>
    <definedName name="Excel_BuiltIn_Print_Titles_3_1_1">#REF!</definedName>
    <definedName name="Excel_BuiltIn_Print_Titles_4_1">#REF!</definedName>
    <definedName name="Excel_BuiltIn_Print_Titles_4_1_1" localSheetId="1">#REF!</definedName>
    <definedName name="Excel_BuiltIn_Print_Titles_4_1_1">#REF!</definedName>
    <definedName name="Excel_BuiltIn_Print_Titles_4_1_1_16" localSheetId="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1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1">#REF!</definedName>
    <definedName name="Excel_BuiltIn_Print_Titles_9">#REF!</definedName>
    <definedName name="Excel_BuiltIn_Print_Titles_9_1">#REF!</definedName>
    <definedName name="Excel_BuiltIn_Print_Titles_9_16" localSheetId="1">#REF!</definedName>
    <definedName name="Excel_BuiltIn_Print_Titles_9_16">#REF!</definedName>
    <definedName name="Excel_BuiltIn_Print_Titles_9_2" localSheetId="1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1" hidden="1">{"'PROFITABILITY'!$A$1:$F$45"}</definedName>
    <definedName name="EXF" localSheetId="7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1" hidden="1">{"'PROFITABILITY'!$A$1:$F$45"}</definedName>
    <definedName name="EXST" localSheetId="7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hidden="1">{"'PROFITABILITY'!$A$1:$F$45"}</definedName>
    <definedName name="f_shape">#REF!</definedName>
    <definedName name="fa" localSheetId="1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1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hidden="1">{#N/A,#N/A,TRUE,"STEEL";#N/A,#N/A,TRUE,"OUTSIDE FAB.";#N/A,#N/A,TRUE,"WIP";#N/A,#N/A,TRUE,"FINISHED GOODS";#N/A,#N/A,TRUE,"SCRAP"}</definedName>
    <definedName name="fdhd" localSheetId="1">#REF!</definedName>
    <definedName name="fdhd">#REF!</definedName>
    <definedName name="Fdl">#REF!</definedName>
    <definedName name="FDN" localSheetId="1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1" hidden="1">{"'TP-SUMMARY'!$I$11:$K$11"}</definedName>
    <definedName name="fdsdafas" localSheetId="7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1" hidden="1">{"form-D1",#N/A,FALSE,"FORM-D1";"form-D1_amt",#N/A,FALSE,"FORM-D1"}</definedName>
    <definedName name="fffffg" localSheetId="7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 localSheetId="1">#REF!</definedName>
    <definedName name="FGNFN">#REF!</definedName>
    <definedName name="fgRKRKRKRKRKRKRKRKRKRKRKTBTBSPD">#REF!</definedName>
    <definedName name="Fh" localSheetId="1">#REF!</definedName>
    <definedName name="Fh">#REF!</definedName>
    <definedName name="Fha">#REF!</definedName>
    <definedName name="FHH">#REF!</definedName>
    <definedName name="fhhhh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1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1" hidden="1">{"'Sheet1'!$A$4386:$N$4591"}</definedName>
    <definedName name="fjhgfd" localSheetId="7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1">#REF!</definedName>
    <definedName name="Fpi">#REF!</definedName>
    <definedName name="Fpi0" localSheetId="1">#REF!</definedName>
    <definedName name="Fpi0">#REF!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" hidden="1">{"'Sheet1'!$A$4386:$N$4591"}</definedName>
    <definedName name="funds" localSheetId="7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#REF!</definedName>
    <definedName name="gcr">#REF!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1">INDEX(#REF!,MATCH(#REF!,#REF!,0))</definedName>
    <definedName name="GH">#REF!</definedName>
    <definedName name="ghmgm" localSheetId="1" hidden="1">{"'PROFITABILITY'!$A$1:$F$45"}</definedName>
    <definedName name="ghmgm" localSheetId="7" hidden="1">{"'PROFITABILITY'!$A$1:$F$45"}</definedName>
    <definedName name="ghmgm" hidden="1">{"'PROFITABILITY'!$A$1:$F$45"}</definedName>
    <definedName name="GI">#REF!</definedName>
    <definedName name="girder.span">#REF!</definedName>
    <definedName name="GJ">INDEX(#REF!,MATCH(#REF!,#REF!,0))</definedName>
    <definedName name="gk">#REF!</definedName>
    <definedName name="GL">INDEX(#REF!,MATCH(#REF!,#REF!,0))</definedName>
    <definedName name="globe">#REF!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hidden="1">{#N/A,#N/A,FALSE,"CCTV"}</definedName>
    <definedName name="Gw" localSheetId="1">#REF!</definedName>
    <definedName name="Gw">#REF!</definedName>
    <definedName name="h" localSheetId="1">#REF!</definedName>
    <definedName name="H">#REF!</definedName>
    <definedName name="H___0" localSheetId="1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>INDEX(#REF!,MATCH(#REF!,#REF!,0))</definedName>
    <definedName name="HC">INDEX(#REF!,MATCH(#REF!,#REF!,0))</definedName>
    <definedName name="Hcbdw">#REF!</definedName>
    <definedName name="Hcw">#REF!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1" hidden="1">{"'PROFITABILITY'!$A$1:$F$45"}</definedName>
    <definedName name="hfh" localSheetId="7" hidden="1">{"'PROFITABILITY'!$A$1:$F$45"}</definedName>
    <definedName name="hfh" hidden="1">{"'PROFITABILITY'!$A$1:$F$45"}</definedName>
    <definedName name="hfi">#REF!</definedName>
    <definedName name="hfjtyu" localSheetId="1" hidden="1">{"'PROFITABILITY'!$A$1:$F$45"}</definedName>
    <definedName name="hfjtyu" localSheetId="7" hidden="1">{"'PROFITABILITY'!$A$1:$F$45"}</definedName>
    <definedName name="hfjtyu" hidden="1">{"'PROFITABILITY'!$A$1:$F$45"}</definedName>
    <definedName name="HG" localSheetId="1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1">INDEX(#REF!,MATCH(#REF!,#REF!,0))</definedName>
    <definedName name="HJ">#REF!</definedName>
    <definedName name="hjjjjjj" localSheetId="1" hidden="1">{"form-D1",#N/A,FALSE,"FORM-D1";"form-D1_amt",#N/A,FALSE,"FORM-D1"}</definedName>
    <definedName name="hjjjjjj" localSheetId="7" hidden="1">{"form-D1",#N/A,FALSE,"FORM-D1";"form-D1_amt",#N/A,FALSE,"FORM-D1"}</definedName>
    <definedName name="hjjjjjj" hidden="1">{"form-D1",#N/A,FALSE,"FORM-D1";"form-D1_amt",#N/A,FALSE,"FORM-D1"}</definedName>
    <definedName name="HK">INDEX(#REF!,MATCH(#REF!,#REF!,0))</definedName>
    <definedName name="hkg" localSheetId="1">#REF!</definedName>
    <definedName name="hkg">#REF!</definedName>
    <definedName name="hl">#REF!</definedName>
    <definedName name="hleft" localSheetId="1">#REF!</definedName>
    <definedName name="hleft">#REF!</definedName>
    <definedName name="Hlp" localSheetId="1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1" hidden="1">{"form-D1",#N/A,FALSE,"FORM-D1";"form-D1_amt",#N/A,FALSE,"FORM-D1"}</definedName>
    <definedName name="HP" localSheetId="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1">#REF!</definedName>
    <definedName name="hright">#REF!</definedName>
    <definedName name="hs" localSheetId="1">#REF!</definedName>
    <definedName name="hS">#REF!</definedName>
    <definedName name="hS___0" localSheetId="1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1">#REF!</definedName>
    <definedName name="HSS">#REF!</definedName>
    <definedName name="ht">#REF!</definedName>
    <definedName name="HTd">#REF!</definedName>
    <definedName name="hthree">#REF!</definedName>
    <definedName name="html" hidden="1">{"'PROFITABILITY'!$A$1:$F$45"}</definedName>
    <definedName name="HTML_CodePage" hidden="1">1252</definedName>
    <definedName name="HTML_Control" localSheetId="1" hidden="1">{"'PROFITABILITY'!$A$1:$F$45"}</definedName>
    <definedName name="HTML_Control" localSheetId="7" hidden="1">{"'TP-SUMMARY'!$I$11:$K$11"}</definedName>
    <definedName name="HTML_Control" hidden="1">{"'TP-SUMMARY'!$I$11:$K$11"}</definedName>
    <definedName name="HTML_Control_1" hidden="1">{"'PROFITABILITY'!$A$1:$F$45"}</definedName>
    <definedName name="HTML_control2" localSheetId="1" hidden="1">{"'Sheet1'!$A$4386:$N$4591"}</definedName>
    <definedName name="HTML_control2" localSheetId="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" hidden="1">"PRICE AND PROFOTABILITY"</definedName>
    <definedName name="HTML_Header" hidden="1">"TP-SUMMARY"</definedName>
    <definedName name="HTML_LastUpdate" localSheetId="1" hidden="1">"2/9/99"</definedName>
    <definedName name="HTML_LastUpdate" hidden="1">"12/10/04"</definedName>
    <definedName name="HTML_LineAfter" localSheetId="1" hidden="1">TRUE</definedName>
    <definedName name="HTML_LineAfter" hidden="1">FALSE</definedName>
    <definedName name="HTML_LineBefore" localSheetId="1" hidden="1">TRUE</definedName>
    <definedName name="HTML_LineBefore" hidden="1">FALSE</definedName>
    <definedName name="HTML_Name" localSheetId="1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1" hidden="1">"C:\My Documents\XLS.htm"</definedName>
    <definedName name="HTML_PathFile" hidden="1">"C:\My Documents\TATA RECORD\TLTS 2385 TATA  POWER\NEW TATA\tata\MyHTML.htm"</definedName>
    <definedName name="HTML_Title" localSheetId="1" hidden="1">"MANANTALI PROJECT"</definedName>
    <definedName name="HTML_Title" hidden="1">"JEERAT - SG INSP"</definedName>
    <definedName name="html2" hidden="1">{"'PROFITABILITY'!$A$1:$F$45"}</definedName>
    <definedName name="HTn">#REF!</definedName>
    <definedName name="htwo">#REF!</definedName>
    <definedName name="Hu" localSheetId="1">#REF!</definedName>
    <definedName name="Hu">#REF!</definedName>
    <definedName name="Hu___0" localSheetId="1">#REF!</definedName>
    <definedName name="Hu___0">#REF!</definedName>
    <definedName name="Hu___13" localSheetId="1">#REF!</definedName>
    <definedName name="Hu___13">#REF!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1" hidden="1">{"'Sheet1'!$A$4386:$N$4591"}</definedName>
    <definedName name="IAM" localSheetId="7" hidden="1">{"'Sheet1'!$A$4386:$N$4591"}</definedName>
    <definedName name="IAM" hidden="1">{"'Sheet1'!$A$4386:$N$4591"}</definedName>
    <definedName name="IB">INDEX(#REF!,MATCH(#REF!,#REF!,0))</definedName>
    <definedName name="ic">5%</definedName>
    <definedName name="icb">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1">#REF!</definedName>
    <definedName name="idb">#REF!</definedName>
    <definedName name="IDIOT">#REF!</definedName>
    <definedName name="IDLandS_Peak_MP">#REF!</definedName>
    <definedName name="idt" localSheetId="1">#REF!</definedName>
    <definedName name="idt">#REF!</definedName>
    <definedName name="idto">#REF!</definedName>
    <definedName name="idyn" localSheetId="1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1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1">#REF!</definedName>
    <definedName name="ipu">#REF!</definedName>
    <definedName name="ipu___0" localSheetId="1">#REF!</definedName>
    <definedName name="ipu___0">#REF!</definedName>
    <definedName name="ipu___13" localSheetId="1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1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D">INDEX(#REF!,MATCH(#REF!,#REF!,0))</definedName>
    <definedName name="jddd" localSheetId="1" hidden="1">{"form-D1",#N/A,FALSE,"FORM-D1";"form-D1_amt",#N/A,FALSE,"FORM-D1"}</definedName>
    <definedName name="jddd" localSheetId="7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>INDEX(#REF!,MATCH(#REF!,#REF!,0))</definedName>
    <definedName name="JEERATE">#REF!</definedName>
    <definedName name="JEJS" localSheetId="1">#REF!</definedName>
    <definedName name="JEJS">#REF!</definedName>
    <definedName name="JEJS___0" localSheetId="1">#REF!</definedName>
    <definedName name="JEJS___0">#REF!</definedName>
    <definedName name="JEJS___11" localSheetId="1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#REF!</definedName>
    <definedName name="JG">INDEX(#REF!,MATCH(#REF!,#REF!,0))</definedName>
    <definedName name="JGGJKGKGJK">#REF!</definedName>
    <definedName name="jgjg" localSheetId="1" hidden="1">{"'PROFITABILITY'!$A$1:$F$45"}</definedName>
    <definedName name="jgjg" localSheetId="7" hidden="1">{"'PROFITABILITY'!$A$1:$F$45"}</definedName>
    <definedName name="jgjg" hidden="1">{"'PROFITABILITY'!$A$1:$F$45"}</definedName>
    <definedName name="JH" localSheetId="1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>INDEX(#REF!,MATCH(#REF!,#REF!,0))</definedName>
    <definedName name="jj">#REF!</definedName>
    <definedName name="jjdzjjklb6f6e8f7f">#REF!</definedName>
    <definedName name="jjj" localSheetId="1">#REF!</definedName>
    <definedName name="jjj" localSheetId="7" hidden="1">{"form-D1",#N/A,FALSE,"FORM-D1";"form-D1_amt",#N/A,FALSE,"FORM-D1"}</definedName>
    <definedName name="jjj" hidden="1">{"form-D1",#N/A,FALSE,"FORM-D1";"form-D1_amt",#N/A,FALSE,"FORM-D1"}</definedName>
    <definedName name="jjjjjj" localSheetId="1" hidden="1">{"form-D1",#N/A,FALSE,"FORM-D1";"form-D1_amt",#N/A,FALSE,"FORM-D1"}</definedName>
    <definedName name="jjjjjj" localSheetId="7" hidden="1">{"form-D1",#N/A,FALSE,"FORM-D1";"form-D1_amt",#N/A,FALSE,"FORM-D1"}</definedName>
    <definedName name="jjjjjj" hidden="1">{"form-D1",#N/A,FALSE,"FORM-D1";"form-D1_amt",#N/A,FALSE,"FORM-D1"}</definedName>
    <definedName name="jjjjjjjjj" localSheetId="1" hidden="1">{"form-D1",#N/A,FALSE,"FORM-D1";"form-D1_amt",#N/A,FALSE,"FORM-D1"}</definedName>
    <definedName name="jjjjjjjjj" localSheetId="7" hidden="1">{"form-D1",#N/A,FALSE,"FORM-D1";"form-D1_amt",#N/A,FALSE,"FORM-D1"}</definedName>
    <definedName name="jjjjjjjjj" hidden="1">{"form-D1",#N/A,FALSE,"FORM-D1";"form-D1_amt",#N/A,FALSE,"FORM-D1"}</definedName>
    <definedName name="jjjjjjjjjjjj" localSheetId="1" hidden="1">{"form-D1",#N/A,FALSE,"FORM-D1";"form-D1_amt",#N/A,FALSE,"FORM-D1"}</definedName>
    <definedName name="jjjjjjjjjjjj" localSheetId="7" hidden="1">{"form-D1",#N/A,FALSE,"FORM-D1";"form-D1_amt",#N/A,FALSE,"FORM-D1"}</definedName>
    <definedName name="jjjjjjjjjjjj" hidden="1">{"form-D1",#N/A,FALSE,"FORM-D1";"form-D1_amt",#N/A,FALSE,"FORM-D1"}</definedName>
    <definedName name="JK" localSheetId="1">INDEX(#REF!,MATCH(#REF!,#REF!,0))</definedName>
    <definedName name="jk">#REF!</definedName>
    <definedName name="JL">INDEX(#REF!,MATCH(#REF!,#REF!,0))</definedName>
    <definedName name="JM">INDEX(#REF!,MATCH(#REF!,#REF!,0))</definedName>
    <definedName name="job">#REF!</definedName>
    <definedName name="job___0" localSheetId="1">#REF!</definedName>
    <definedName name="job___0">#REF!</definedName>
    <definedName name="job___11" localSheetId="1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1" hidden="1">{"form-D1",#N/A,FALSE,"FORM-D1";"form-D1_amt",#N/A,FALSE,"FORM-D1"}</definedName>
    <definedName name="KAMAL" localSheetId="7" hidden="1">{"form-D1",#N/A,FALSE,"FORM-D1";"form-D1_amt",#N/A,FALSE,"FORM-D1"}</definedName>
    <definedName name="KAMAL" hidden="1">{"form-D1",#N/A,FALSE,"FORM-D1";"form-D1_amt",#N/A,FALSE,"FORM-D1"}</definedName>
    <definedName name="kaml" localSheetId="1" hidden="1">{"form-D1",#N/A,FALSE,"FORM-D1";"form-D1_amt",#N/A,FALSE,"FORM-D1"}</definedName>
    <definedName name="kaml" localSheetId="7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1">#REF!</definedName>
    <definedName name="kb">#REF!</definedName>
    <definedName name="kc" localSheetId="1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1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1" hidden="1">{"'PROFITABILITY'!$A$1:$F$45"}</definedName>
    <definedName name="kklhl" localSheetId="7" hidden="1">{"'PROFITABILITY'!$A$1:$F$45"}</definedName>
    <definedName name="kklhl" hidden="1">{"'PROFITABILITY'!$A$1:$F$45"}</definedName>
    <definedName name="KL" localSheetId="1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1" hidden="1">{"'PROFITABILITY'!$A$1:$F$45"}</definedName>
    <definedName name="kltp" localSheetId="7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" hidden="1">{#N/A,#N/A,FALSE,"COVER.XLS";#N/A,#N/A,FALSE,"RACT1.XLS";#N/A,#N/A,FALSE,"RACT2.XLS";#N/A,#N/A,FALSE,"ECCMP";#N/A,#N/A,FALSE,"WELDER.XLS"}</definedName>
    <definedName name="kskk" localSheetId="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1">#REF!</definedName>
    <definedName name="kt">#REF!</definedName>
    <definedName name="KTA">#REF!</definedName>
    <definedName name="KTB">#REF!</definedName>
    <definedName name="ktd" localSheetId="1">#REF!</definedName>
    <definedName name="ktd">#REF!</definedName>
    <definedName name="KTL" localSheetId="1">#REF!</definedName>
    <definedName name="KTL">#REF!</definedName>
    <definedName name="KTX">#REF!</definedName>
    <definedName name="KU">#REF!</definedName>
    <definedName name="KUKULE_GANGA_HYDROPOWER_PROJECT" localSheetId="1">#REF!,#REF!,#REF!,#REF!,#REF!,#REF!,#REF!,#REF!,#REF!</definedName>
    <definedName name="KUKULE_GANGA_HYDROPOWER_PROJECT" localSheetId="7">#REF!,#REF!,#REF!,#REF!,#REF!,#REF!,#REF!,#REF!,#REF!</definedName>
    <definedName name="KUKULE_GANGA_HYDROPOWER_PROJECT">#REF!,#REF!,#REF!,#REF!,#REF!,#REF!,#REF!,#REF!,#REF!</definedName>
    <definedName name="kususdd" hidden="1">{"'PROFITABILITY'!$A$1:$F$45"}</definedName>
    <definedName name="kvs" localSheetId="1" hidden="1">{#N/A,#N/A,FALSE,"COVER1.XLS ";#N/A,#N/A,FALSE,"RACT1.XLS";#N/A,#N/A,FALSE,"RACT2.XLS";#N/A,#N/A,FALSE,"ECCMP";#N/A,#N/A,FALSE,"WELDER.XLS"}</definedName>
    <definedName name="kvs" localSheetId="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1">#REF!</definedName>
    <definedName name="L">#REF!</definedName>
    <definedName name="L_">#REF!</definedName>
    <definedName name="L___0" localSheetId="1">#REF!</definedName>
    <definedName name="L___0">#REF!</definedName>
    <definedName name="L___13" localSheetId="1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1">IF(#REF!,Header_Row+#REF!,Header_Row)</definedName>
    <definedName name="Last_Row">#N/A</definedName>
    <definedName name="LB">INDEX(#REF!,MATCH(#REF!,#REF!,0))</definedName>
    <definedName name="LBA" localSheetId="1">#REF!</definedName>
    <definedName name="LBA">#REF!</definedName>
    <definedName name="LBA_1">#REF!</definedName>
    <definedName name="LC" localSheetId="1">#REF!</definedName>
    <definedName name="lc">#REF!</definedName>
    <definedName name="Lc___0" localSheetId="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INDEX(#REF!,MATCH(#REF!,#REF!,0))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1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1">#REF!</definedName>
    <definedName name="LIRA">#REF!</definedName>
    <definedName name="LJ">INDEX(#REF!,MATCH(#REF!,#REF!,0))</definedName>
    <definedName name="lk" localSheetId="1" hidden="1">{#N/A,#N/A,FALSE,"CCTV"}</definedName>
    <definedName name="lk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1">#REF!</definedName>
    <definedName name="llll">#REF!</definedName>
    <definedName name="lm" localSheetId="1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1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hidden="1">{"'PROFITABILITY'!$A$1:$F$45"}</definedName>
    <definedName name="lp" localSheetId="1">#REF!</definedName>
    <definedName name="Lp">#REF!</definedName>
    <definedName name="LPROT220">#REF!</definedName>
    <definedName name="LPROT500">#REF!</definedName>
    <definedName name="Lr" localSheetId="1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1">#REF!</definedName>
    <definedName name="main">#REF!</definedName>
    <definedName name="MainRelay" localSheetId="1">#REF!</definedName>
    <definedName name="MainRelay">#REF!</definedName>
    <definedName name="majord" localSheetId="1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1" hidden="1">{"form-D1",#N/A,FALSE,"FORM-D1";"form-D1_amt",#N/A,FALSE,"FORM-D1"}</definedName>
    <definedName name="mani" localSheetId="7" hidden="1">{"form-D1",#N/A,FALSE,"FORM-D1";"form-D1_amt",#N/A,FALSE,"FORM-D1"}</definedName>
    <definedName name="mani" hidden="1">{"form-D1",#N/A,FALSE,"FORM-D1";"form-D1_amt",#N/A,FALSE,"FORM-D1"}</definedName>
    <definedName name="Manish" localSheetId="1" hidden="1">{"form-D1",#N/A,FALSE,"FORM-D1";"form-D1_amt",#N/A,FALSE,"FORM-D1"}</definedName>
    <definedName name="Manish" localSheetId="7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1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1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1">#REF!:#REF!</definedName>
    <definedName name="Mhpc" localSheetId="7">#REF!:#REF!</definedName>
    <definedName name="Mhpc">#REF!:#REF!</definedName>
    <definedName name="Mhpipd" localSheetId="1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1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1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1">#REF!</definedName>
    <definedName name="mmm">#REF!</definedName>
    <definedName name="MN">#REF!</definedName>
    <definedName name="mnk" localSheetId="1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1">125</definedName>
    <definedName name="ms">#REF!</definedName>
    <definedName name="MS.NO">#REF!</definedName>
    <definedName name="MS_Royalty">#REF!</definedName>
    <definedName name="MS200202rev2" localSheetId="1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">INDEX(#REF!,MATCH(#REF!,#REF!,0))</definedName>
    <definedName name="nb">#REF!</definedName>
    <definedName name="NC" localSheetId="1">INDEX(#REF!,MATCH(#REF!,#REF!,0))</definedName>
    <definedName name="nc">#REF!</definedName>
    <definedName name="ncfnvo">#REF!</definedName>
    <definedName name="ND" localSheetId="1">INDEX(#REF!,MATCH(#REF!,#REF!,0))</definedName>
    <definedName name="nd">#REF!</definedName>
    <definedName name="NE" localSheetId="1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hidden="1">{#N/A,#N/A,FALSE,"CCTV"}</definedName>
    <definedName name="NF">INDEX(#REF!,MATCH(#REF!,#REF!,0))</definedName>
    <definedName name="NG">INDEX(#REF!,MATCH(#REF!,#REF!,0))</definedName>
    <definedName name="Ngan">{"Book1"}</definedName>
    <definedName name="ngl4tank">#REF!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PE">#REF!</definedName>
    <definedName name="njspsche">#REF!</definedName>
    <definedName name="NK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1" hidden="1">{"'PROFITABILITY'!$A$1:$F$45"}</definedName>
    <definedName name="nlllk" localSheetId="7" hidden="1">{"'PROFITABILITY'!$A$1:$F$45"}</definedName>
    <definedName name="nlllk" hidden="1">{"'PROFITABILITY'!$A$1:$F$45"}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1">#REF!</definedName>
    <definedName name="Nx">#REF!</definedName>
    <definedName name="Nx___0" localSheetId="1">#REF!</definedName>
    <definedName name="Nx___0">#REF!</definedName>
    <definedName name="Nx___13" localSheetId="1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ICE_LIGHTING">#REF!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">#REF!</definedName>
    <definedName name="orderbacklog">#REF!</definedName>
    <definedName name="orderbooked98">#REF!</definedName>
    <definedName name="ORDERSTATUS" localSheetId="1">#REF!</definedName>
    <definedName name="ORDERSTATUS">#REF!</definedName>
    <definedName name="OrderTable" localSheetId="1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1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1">#REF!</definedName>
    <definedName name="PAGE10">#REF!</definedName>
    <definedName name="PAGE11" localSheetId="1">#REF!</definedName>
    <definedName name="PAGE11">#REF!</definedName>
    <definedName name="PAGE2" localSheetId="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1">#REF!</definedName>
    <definedName name="PAT_A">#REF!</definedName>
    <definedName name="PAT_B" localSheetId="1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>#N/A</definedName>
    <definedName name="pb" localSheetId="1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1">PercentCompleteBeyond*PeriodInPlan</definedName>
    <definedName name="PercentComplete" localSheetId="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>#REF!</definedName>
    <definedName name="PERSONAL_TRANSPORT" localSheetId="1">#REF!</definedName>
    <definedName name="PERSONAL_TRANSPORT" localSheetId="7">#REF!</definedName>
    <definedName name="PERSONAL_TRANSPORT">#REF!</definedName>
    <definedName name="PERSONNEL">#REF!</definedName>
    <definedName name="PF">#REF!</definedName>
    <definedName name="PG">INDEX(#REF!,MATCH(#REF!,#REF!,0))</definedName>
    <definedName name="pH" localSheetId="7">#REF!</definedName>
    <definedName name="pH">#REF!</definedName>
    <definedName name="pH___0" localSheetId="7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1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1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1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hidden="1">{#N/A,#N/A,FALSE,"COVER1.XLS ";#N/A,#N/A,FALSE,"RACT1.XLS";#N/A,#N/A,FALSE,"RACT2.XLS";#N/A,#N/A,FALSE,"ECCMP";#N/A,#N/A,FALSE,"WELDER.XLS"}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1" hidden="1">{"'Sheet1'!$A$4386:$N$4591"}</definedName>
    <definedName name="pratap" localSheetId="7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1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1">DPR!$A$1:$N$12</definedName>
    <definedName name="_xlnm.Print_Area" localSheetId="7">#REF!</definedName>
    <definedName name="_xlnm.Print_Area" localSheetId="0">'VC-765kV MKTL'!$A$1:$AT$223</definedName>
    <definedName name="_xlnm.Print_Area">#REF!</definedName>
    <definedName name="Print_Area_1">#REF!</definedName>
    <definedName name="Print_Area_2">#REF!</definedName>
    <definedName name="Print_Area_3">#REF!</definedName>
    <definedName name="PRINT_AREA_MI" localSheetId="1">#REF!</definedName>
    <definedName name="PRINT_AREA_MI" localSheetId="7">#REF!</definedName>
    <definedName name="PRINT_AREA_MI">#REF!</definedName>
    <definedName name="PRINT_AREA_MI___0" localSheetId="7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1">DPR!$1:$3</definedName>
    <definedName name="_xlnm.Print_Titles">#N/A</definedName>
    <definedName name="Print_Titles_1">#REF!,#REF!</definedName>
    <definedName name="Print_Titles_2">#REF!</definedName>
    <definedName name="PRINT_TITLES_MI" localSheetId="1">#REF!</definedName>
    <definedName name="PRINT_TITLES_MI">#REF!</definedName>
    <definedName name="print1" localSheetId="1">#REF!</definedName>
    <definedName name="print1">#REF!</definedName>
    <definedName name="printarea" localSheetId="1">#REF!</definedName>
    <definedName name="printarea">#REF!</definedName>
    <definedName name="printedname">#N/A</definedName>
    <definedName name="printn" localSheetId="1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1">#REF!</definedName>
    <definedName name="qq" localSheetId="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1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1">#REF!</definedName>
    <definedName name="Qty_as_on_apr">#REF!</definedName>
    <definedName name="QTY_AS_ON_APR_1" localSheetId="1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1" hidden="1">{"'Sheet1'!$A$4386:$N$4591"}</definedName>
    <definedName name="raaa" localSheetId="7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1" hidden="1">{"'Sheet1'!$A$4386:$N$4591"}</definedName>
    <definedName name="Raj" localSheetId="7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1" hidden="1">{"form-D1",#N/A,FALSE,"FORM-D1";"form-D1_amt",#N/A,FALSE,"FORM-D1"}</definedName>
    <definedName name="RECON" localSheetId="7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1">#REF!</definedName>
    <definedName name="_xlnm.Recorder">#REF!</definedName>
    <definedName name="RECOUT">#N/A</definedName>
    <definedName name="rect_4_415" localSheetId="1">#REF!</definedName>
    <definedName name="rect_4_415">#REF!</definedName>
    <definedName name="red">#REF!</definedName>
    <definedName name="REE" localSheetId="1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1" hidden="1">{#N/A,#N/A,FALSE,"COVER1.XLS ";#N/A,#N/A,FALSE,"RACT1.XLS";#N/A,#N/A,FALSE,"RACT2.XLS";#N/A,#N/A,FALSE,"ECCMP";#N/A,#N/A,FALSE,"WELDER.XLS"}</definedName>
    <definedName name="res_sum" localSheetId="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1">#REF!</definedName>
    <definedName name="Result33">#REF!</definedName>
    <definedName name="Result51" localSheetId="1">#REF!</definedName>
    <definedName name="Result51">#REF!</definedName>
    <definedName name="Result61" localSheetId="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hidden="1">{#N/A,#N/A,FALSE,"CCTV"}</definedName>
    <definedName name="RFGF" localSheetId="1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>INDEX(#REF!,MATCH(#REF!,#REF!,0))</definedName>
    <definedName name="rjrj" localSheetId="1" hidden="1">{"'PROFITABILITY'!$A$1:$F$45"}</definedName>
    <definedName name="rjrj" localSheetId="7" hidden="1">{"'PROFITABILITY'!$A$1:$F$45"}</definedName>
    <definedName name="rjrj" hidden="1">{"'PROFITABILITY'!$A$1:$F$45"}</definedName>
    <definedName name="rjrjj" localSheetId="1" hidden="1">{"'PROFITABILITY'!$A$1:$F$45"}</definedName>
    <definedName name="rjrjj" localSheetId="7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1" hidden="1">{"'PROFITABILITY'!$A$1:$F$45"}</definedName>
    <definedName name="rttj" localSheetId="7" hidden="1">{"'PROFITABILITY'!$A$1:$F$45"}</definedName>
    <definedName name="rttj" hidden="1">{"'PROFITABILITY'!$A$1:$F$45"}</definedName>
    <definedName name="rttrt" localSheetId="1" hidden="1">{"form-D1",#N/A,FALSE,"FORM-D1";"form-D1_amt",#N/A,FALSE,"FORM-D1"}</definedName>
    <definedName name="rttrt" localSheetId="7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1">#REF!</definedName>
    <definedName name="RUPEES">#REF!</definedName>
    <definedName name="RUPEES_1">#REF!</definedName>
    <definedName name="rwere" localSheetId="1" hidden="1">{#N/A,#N/A,FALSE,"COVER1.XLS ";#N/A,#N/A,FALSE,"RACT1.XLS";#N/A,#N/A,FALSE,"RACT2.XLS";#N/A,#N/A,FALSE,"ECCMP";#N/A,#N/A,FALSE,"WELDER.XLS"}</definedName>
    <definedName name="rwere" localSheetId="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1">#REF!</definedName>
    <definedName name="S">#REF!</definedName>
    <definedName name="s.f">#REF!</definedName>
    <definedName name="s_1" hidden="1">{"'PROFITABILITY'!$A$1:$F$45"}</definedName>
    <definedName name="S_41" localSheetId="1" hidden="1">{0,0,0,0;0,#N/A,FALSE,0}</definedName>
    <definedName name="S_41" localSheetId="7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1" hidden="1">{"form-D1",#N/A,FALSE,"FORM-D1";"form-D1_amt",#N/A,FALSE,"FORM-D1"}</definedName>
    <definedName name="saa" localSheetId="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1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1">#REF!</definedName>
    <definedName name="sarita">#REF!</definedName>
    <definedName name="sasi" localSheetId="1">#REF!</definedName>
    <definedName name="sasi">#REF!</definedName>
    <definedName name="sastry" localSheetId="1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1" hidden="1">{"form-D1",#N/A,FALSE,"FORM-D1";"form-D1_amt",#N/A,FALSE,"FORM-D1"}</definedName>
    <definedName name="sda" localSheetId="7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1">#REF!</definedName>
    <definedName name="Sdate">#REF!</definedName>
    <definedName name="sdf" localSheetId="1">#REF!</definedName>
    <definedName name="sdf" localSheetId="7" hidden="1">{"'PROFITABILITY'!$A$1:$F$45"}</definedName>
    <definedName name="sdf" hidden="1">{"'PROFITABILITY'!$A$1:$F$45"}</definedName>
    <definedName name="SDF2A">#REF!</definedName>
    <definedName name="sdfds" localSheetId="1" hidden="1">{"'PROFITABILITY'!$A$1:$F$45"}</definedName>
    <definedName name="sdfds" localSheetId="7" hidden="1">{"'PROFITABILITY'!$A$1:$F$45"}</definedName>
    <definedName name="sdfds" hidden="1">{"'PROFITABILITY'!$A$1:$F$45"}</definedName>
    <definedName name="SDGDSHGD" localSheetId="1" hidden="1">{"'PROFITABILITY'!$A$1:$F$45"}</definedName>
    <definedName name="SDGDSHGD" localSheetId="7" hidden="1">{"'PROFITABILITY'!$A$1:$F$45"}</definedName>
    <definedName name="SDGDSHGD" hidden="1">{"'PROFITABILITY'!$A$1:$F$45"}</definedName>
    <definedName name="SDGSDG" localSheetId="1" hidden="1">{"'PROFITABILITY'!$A$1:$F$45"}</definedName>
    <definedName name="SDGSDG" localSheetId="7" hidden="1">{"'PROFITABILITY'!$A$1:$F$45"}</definedName>
    <definedName name="SDGSDG" hidden="1">{"'PROFITABILITY'!$A$1:$F$45"}</definedName>
    <definedName name="SDGSG" localSheetId="1" hidden="1">{"'PROFITABILITY'!$A$1:$F$45"}</definedName>
    <definedName name="SDGSG" localSheetId="7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1">#REF!:#REF!</definedName>
    <definedName name="sect_table">#REF!:#REF!</definedName>
    <definedName name="SECTAB">#REF!:#REF!</definedName>
    <definedName name="SECTION">#REF!</definedName>
    <definedName name="see" localSheetId="1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1">#REF!</definedName>
    <definedName name="Select">#REF!</definedName>
    <definedName name="SelectD1OrC1" localSheetId="1">#REF!</definedName>
    <definedName name="SelectD1OrC1">#REF!</definedName>
    <definedName name="SelectLessOrExcess">#REF!</definedName>
    <definedName name="sencount">1</definedName>
    <definedName name="SEPT" localSheetId="1">#REF!</definedName>
    <definedName name="SEPT">#REF!</definedName>
    <definedName name="SER_TAX">#REF!</definedName>
    <definedName name="Service" localSheetId="1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1">#REF!</definedName>
    <definedName name="sheet1">#REF!</definedName>
    <definedName name="sheet1___0" localSheetId="1">#REF!</definedName>
    <definedName name="sheet1___0">#REF!</definedName>
    <definedName name="sheet1___13" localSheetId="1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1" hidden="1">{"form-D1",#N/A,FALSE,"FORM-D1";"form-D1_amt",#N/A,FALSE,"FORM-D1"}</definedName>
    <definedName name="slab" localSheetId="7" hidden="1">{"form-D1",#N/A,FALSE,"FORM-D1";"form-D1_amt",#N/A,FALSE,"FORM-D1"}</definedName>
    <definedName name="slab" hidden="1">{"form-D1",#N/A,FALSE,"FORM-D1";"form-D1_amt",#N/A,FALSE,"FORM-D1"}</definedName>
    <definedName name="slab_p" localSheetId="1" hidden="1">{"form-D1",#N/A,FALSE,"FORM-D1";"form-D1_amt",#N/A,FALSE,"FORM-D1"}</definedName>
    <definedName name="slab_p" localSheetId="7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1">#REF!</definedName>
    <definedName name="sm">#REF!</definedName>
    <definedName name="SMP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1">0%</definedName>
    <definedName name="soh">1%</definedName>
    <definedName name="Soil" localSheetId="1">#REF!</definedName>
    <definedName name="Soil">#REF!</definedName>
    <definedName name="SoilClass">#REF!</definedName>
    <definedName name="SOL">#REF!</definedName>
    <definedName name="sone">#REF!</definedName>
    <definedName name="SOR" localSheetId="1">#REF!</definedName>
    <definedName name="SOR">#REF!</definedName>
    <definedName name="sort1" localSheetId="1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1" hidden="1">#REF!</definedName>
    <definedName name="SpecialPrice" hidden="1">#REF!</definedName>
    <definedName name="spfactor">#REF!</definedName>
    <definedName name="Spl" localSheetId="1">#REF!</definedName>
    <definedName name="Spl">#REF!</definedName>
    <definedName name="SPTNP">#REF!</definedName>
    <definedName name="SQRT__1___0.6___1.0" localSheetId="1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1">#REF!</definedName>
    <definedName name="sssssssss" localSheetId="7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1" hidden="1">{"form-D1",#N/A,FALSE,"FORM-D1";"form-D1_amt",#N/A,FALSE,"FORM-D1"}</definedName>
    <definedName name="sssssssssssss" localSheetId="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" hidden="1">{"form-D1",#N/A,FALSE,"FORM-D1";"form-D1_amt",#N/A,FALSE,"FORM-D1"}</definedName>
    <definedName name="sssssssssssssas" localSheetId="7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1">#REF!</definedName>
    <definedName name="STATEMENT_1">#REF!</definedName>
    <definedName name="STATEMENT_2">#REF!</definedName>
    <definedName name="STATEMENT_3" localSheetId="1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1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1" hidden="1">#REF!</definedName>
    <definedName name="tbl_ProdInfo" hidden="1">#REF!</definedName>
    <definedName name="TBo">#REF!</definedName>
    <definedName name="tc">#REF!</definedName>
    <definedName name="tcap" localSheetId="1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1">#REF!,#REF!,#REF!,#REF!,#REF!,#REF!,#REF!,#REF!,#REF!</definedName>
    <definedName name="teesta" localSheetId="7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1">#REF!</definedName>
    <definedName name="ter_vapi">#REF!</definedName>
    <definedName name="TERM" localSheetId="1">#REF!</definedName>
    <definedName name="TERM">#REF!</definedName>
    <definedName name="TEs" localSheetId="1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1">#REF!</definedName>
    <definedName name="TEST0">#REF!</definedName>
    <definedName name="TEST1" localSheetId="1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1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1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>Scheduled_Payment+Extra_Payment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1">#REF!</definedName>
    <definedName name="tr">#N/A</definedName>
    <definedName name="tr0" localSheetId="1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1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1">#REF!</definedName>
    <definedName name="Tres">#REF!</definedName>
    <definedName name="tres4">#REF!</definedName>
    <definedName name="trrrrrrrrrrrrr" localSheetId="1" hidden="1">{"form-D1",#N/A,FALSE,"FORM-D1";"form-D1_amt",#N/A,FALSE,"FORM-D1"}</definedName>
    <definedName name="trrrrrrrrrrrrr" localSheetId="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1">#REF!</definedName>
    <definedName name="try">#N/A</definedName>
    <definedName name="ts" localSheetId="1">#REF!</definedName>
    <definedName name="tS">#REF!</definedName>
    <definedName name="tS___0" localSheetId="1">#REF!</definedName>
    <definedName name="tS___0">#REF!</definedName>
    <definedName name="tS___13" localSheetId="1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>IFERROR(VLOOKUP(#REF!,#REF!,2,FALSE),"")</definedName>
    <definedName name="TY" hidden="1">#REF!</definedName>
    <definedName name="tyjyj" localSheetId="1" hidden="1">{"'PROFITABILITY'!$A$1:$F$45"}</definedName>
    <definedName name="tyjyj" localSheetId="7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1">#REF!</definedName>
    <definedName name="V">#REF!</definedName>
    <definedName name="va" localSheetId="1">#REF!</definedName>
    <definedName name="va">#REF!</definedName>
    <definedName name="va___0" localSheetId="1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1">#REF!</definedName>
    <definedName name="VELOKAL">#REF!</definedName>
    <definedName name="Vend" localSheetId="1">#REF!</definedName>
    <definedName name="Vend">#REF!</definedName>
    <definedName name="venu">150</definedName>
    <definedName name="vertical_col_and_corner_walls" localSheetId="1">#REF!</definedName>
    <definedName name="vertical_col_and_corner_walls">#REF!</definedName>
    <definedName name="VertPltWt">#REF!</definedName>
    <definedName name="VESWH" localSheetId="1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1" hidden="1">{"'Sheet1'!$A$4386:$N$4591"}</definedName>
    <definedName name="vggfd" localSheetId="7" hidden="1">{"'Sheet1'!$A$4386:$N$4591"}</definedName>
    <definedName name="vggfd" hidden="1">{"'Sheet1'!$A$4386:$N$4591"}</definedName>
    <definedName name="vgwer">#REF!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1" hidden="1">{"'PROFITABILITY'!$A$1:$F$45"}</definedName>
    <definedName name="vs" localSheetId="7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1" hidden="1">{"'Sheet1'!$A$4386:$N$4591"}</definedName>
    <definedName name="water_funds" localSheetId="7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">#REF!</definedName>
    <definedName name="wer" localSheetId="7" hidden="1">{"form-D1",#N/A,FALSE,"FORM-D1";"form-D1_amt",#N/A,FALSE,"FORM-D1"}</definedName>
    <definedName name="wer" hidden="1">{"form-D1",#N/A,FALSE,"FORM-D1";"form-D1_amt",#N/A,FALSE,"FORM-D1"}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1" hidden="1">#REF!</definedName>
    <definedName name="werwere" hidden="1">#REF!</definedName>
    <definedName name="wewe">#REF!</definedName>
    <definedName name="WFR" localSheetId="1">#REF!</definedName>
    <definedName name="WFR">#REF!</definedName>
    <definedName name="Wg" localSheetId="1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1" hidden="1">{#N/A,#N/A,FALSE,"COVER1.XLS ";#N/A,#N/A,FALSE,"RACT1.XLS";#N/A,#N/A,FALSE,"RACT2.XLS";#N/A,#N/A,FALSE,"ECCMP";#N/A,#N/A,FALSE,"WELDER.XLS"}</definedName>
    <definedName name="wr" localSheetId="7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hidden="1">{#N/A,#N/A,FALSE,"CCTV"}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" hidden="1">{#N/A,#N/A,FALSE,"17MAY";#N/A,#N/A,FALSE,"24MAY"}</definedName>
    <definedName name="wrn.1." localSheetId="7" hidden="1">{#N/A,#N/A,FALSE,"17MAY";#N/A,#N/A,FALSE,"24MAY"}</definedName>
    <definedName name="wrn.1." hidden="1">{#N/A,#N/A,FALSE,"17MAY";#N/A,#N/A,FALSE,"24MAY"}</definedName>
    <definedName name="wrn.BM." hidden="1">{#N/A,#N/A,FALSE,"CCTV"}</definedName>
    <definedName name="wrn.budget." localSheetId="1" hidden="1">{"form-D1",#N/A,FALSE,"FORM-D1";"form-D1_amt",#N/A,FALSE,"FORM-D1"}</definedName>
    <definedName name="wrn.budget." localSheetId="7" hidden="1">{"form-D1",#N/A,FALSE,"FORM-D1";"form-D1_amt",#N/A,FALSE,"FORM-D1"}</definedName>
    <definedName name="wrn.budget." hidden="1">{"form-D1",#N/A,FALSE,"FORM-D1";"form-D1_amt",#N/A,FALSE,"FORM-D1"}</definedName>
    <definedName name="wrn.Co." localSheetId="1" hidden="1">{#N/A,#N/A,TRUE,"GW-Cond";#N/A,#N/A,TRUE,"HW"}</definedName>
    <definedName name="wrn.Co." localSheetId="7" hidden="1">{#N/A,#N/A,TRUE,"GW-Cond";#N/A,#N/A,TRUE,"HW"}</definedName>
    <definedName name="wrn.Co." hidden="1">{#N/A,#N/A,TRUE,"GW-Cond";#N/A,#N/A,TRUE,"HW"}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hidden="1">{#N/A,#N/A,TRUE,"STEEL";#N/A,#N/A,TRUE,"OUTSIDE FAB.";#N/A,#N/A,TRUE,"WIP";#N/A,#N/A,TRUE,"FINISHED GOODS";#N/A,#N/A,TRUE,"SCRAP"}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" hidden="1">{#N/A,#N/A,FALSE,"Motor List"}</definedName>
    <definedName name="wrn.test." localSheetId="7" hidden="1">{#N/A,#N/A,FALSE,"Motor List"}</definedName>
    <definedName name="wrn.test." hidden="1">{#N/A,#N/A,FALSE,"Motor List"}</definedName>
    <definedName name="WT">#REF!</definedName>
    <definedName name="wt.m" localSheetId="1">#REF!</definedName>
    <definedName name="wt.m">#REF!</definedName>
    <definedName name="wu">#REF!</definedName>
    <definedName name="ww" localSheetId="1">#REF!</definedName>
    <definedName name="ww">#REF!</definedName>
    <definedName name="www" localSheetId="1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1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1" hidden="1">{"form-D1",#N/A,FALSE,"FORM-D1";"form-D1_amt",#N/A,FALSE,"FORM-D1"}</definedName>
    <definedName name="xc" localSheetId="7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1">#REF!</definedName>
    <definedName name="Xl">#REF!</definedName>
    <definedName name="Xl___0" localSheetId="1">#REF!</definedName>
    <definedName name="Xl___0">#REF!</definedName>
    <definedName name="Xl___13" localSheetId="1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1">#REF!</definedName>
    <definedName name="xs">#REF!</definedName>
    <definedName name="Xso" localSheetId="1">#REF!</definedName>
    <definedName name="Xso">#REF!</definedName>
    <definedName name="xt" localSheetId="1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" hidden="1">{"'PROFITABILITY'!$A$1:$F$45"}</definedName>
    <definedName name="yyy" localSheetId="7" hidden="1">{"'PROFITABILITY'!$A$1:$F$45"}</definedName>
    <definedName name="yyy" hidden="1">{"'PROFITABILITY'!$A$1:$F$45"}</definedName>
    <definedName name="yyy1" localSheetId="1" hidden="1">{"'PROFITABILITY'!$A$1:$F$45"}</definedName>
    <definedName name="yyy1" localSheetId="7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hidden="1">{"'장비'!$A$3:$M$12"}</definedName>
    <definedName name="토목">#REF!</definedName>
    <definedName name="토목1">#REF!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6" r:id="rId19"/>
    <pivotCache cacheId="7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9" l="1"/>
  <c r="J37" i="34"/>
  <c r="O5" i="34" l="1"/>
  <c r="C26" i="34"/>
  <c r="B26" i="34"/>
  <c r="E22" i="34"/>
  <c r="C22" i="34"/>
  <c r="C18" i="34"/>
  <c r="A18" i="34"/>
  <c r="J12" i="34"/>
  <c r="J11" i="34"/>
  <c r="O11" i="34" s="1"/>
  <c r="C11" i="34"/>
  <c r="E11" i="34" s="1"/>
  <c r="K11" i="34" s="1"/>
  <c r="J10" i="34"/>
  <c r="O10" i="34" s="1"/>
  <c r="E10" i="34"/>
  <c r="K10" i="34" s="1"/>
  <c r="J9" i="34"/>
  <c r="O9" i="34" s="1"/>
  <c r="E9" i="34"/>
  <c r="E8" i="34"/>
  <c r="A22" i="34" s="1"/>
  <c r="E7" i="34"/>
  <c r="E6" i="34"/>
  <c r="J5" i="34"/>
  <c r="E5" i="34"/>
  <c r="F5" i="34" s="1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C12" i="34" l="1"/>
  <c r="E12" i="34" s="1"/>
  <c r="K12" i="34" s="1"/>
  <c r="K9" i="34"/>
  <c r="K5" i="34"/>
  <c r="A26" i="34"/>
  <c r="AX3" i="30"/>
  <c r="M9" i="13" s="1"/>
  <c r="L8" i="13"/>
  <c r="L7" i="13"/>
  <c r="G8" i="19"/>
  <c r="N217" i="30"/>
  <c r="M217" i="30"/>
  <c r="L217" i="30"/>
  <c r="O12" i="34" l="1"/>
  <c r="AW3" i="30"/>
  <c r="M8" i="13" l="1"/>
  <c r="K8" i="13" s="1"/>
  <c r="H7" i="34" s="1"/>
  <c r="J7" i="34" s="1"/>
  <c r="J217" i="30"/>
  <c r="AH206" i="30" s="1"/>
  <c r="K7" i="34" l="1"/>
  <c r="O7" i="34"/>
  <c r="K9" i="13"/>
  <c r="H8" i="34" s="1"/>
  <c r="K217" i="30"/>
  <c r="AH207" i="30" s="1"/>
  <c r="AK207" i="30" s="1"/>
  <c r="AK210" i="30"/>
  <c r="AK209" i="30"/>
  <c r="AK208" i="30"/>
  <c r="AK206" i="30"/>
  <c r="AK204" i="30"/>
  <c r="AK203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22" i="34" l="1"/>
  <c r="J8" i="34"/>
  <c r="BA3" i="30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O8" i="34" l="1"/>
  <c r="K8" i="34"/>
  <c r="N642" i="28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G627" i="28" s="1"/>
  <c r="K510" i="28"/>
  <c r="L510" i="28" s="1"/>
  <c r="O642" i="28"/>
  <c r="S642" i="28" l="1"/>
  <c r="G15" i="13"/>
  <c r="G14" i="13"/>
  <c r="M11" i="13"/>
  <c r="E11" i="13"/>
  <c r="N11" i="13" s="1"/>
  <c r="D11" i="13"/>
  <c r="M10" i="13"/>
  <c r="N10" i="13" s="1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M7" i="13" l="1"/>
  <c r="N7" i="13" s="1"/>
  <c r="I217" i="30"/>
  <c r="AH205" i="30" s="1"/>
  <c r="AK205" i="30" s="1"/>
  <c r="K7" i="13" l="1"/>
  <c r="H6" i="34" s="1"/>
  <c r="J6" i="34" l="1"/>
  <c r="B18" i="34"/>
  <c r="E18" i="34" s="1"/>
  <c r="F22" i="34" s="1"/>
  <c r="K6" i="34" l="1"/>
  <c r="O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G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<sst xmlns="http://schemas.openxmlformats.org/spreadsheetml/2006/main" count="9435" uniqueCount="2201">
  <si>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</si>
  <si>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</si>
  <si>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</si>
  <si>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</si>
  <si>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</si>
  <si>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</si>
  <si>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</si>
  <si>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</si>
  <si>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</si>
  <si>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</si>
  <si>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</si>
  <si>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</si>
  <si>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</si>
  <si>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</si>
  <si>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</si>
  <si>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</si>
  <si>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</si>
  <si>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</si>
  <si>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</si>
  <si>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</si>
  <si>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</si>
  <si>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</si>
  <si>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</si>
  <si>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</si>
  <si>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</si>
  <si>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</si>
  <si>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</si>
  <si>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</si>
  <si>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</si>
  <si>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</si>
  <si>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</si>
  <si>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</si>
  <si>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</si>
  <si>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</si>
  <si>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</si>
  <si>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</si>
  <si>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</si>
  <si>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</si>
  <si>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</si>
  <si>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</si>
  <si>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</si>
  <si>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</si>
  <si>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</si>
  <si>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</si>
  <si>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</si>
  <si>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</si>
  <si>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</si>
  <si>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</si>
  <si>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</si>
  <si>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</si>
  <si>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</si>
  <si>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</si>
  <si>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</si>
  <si>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</si>
  <si>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</si>
  <si>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</si>
  <si>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</si>
  <si>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</si>
  <si>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</si>
  <si>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</si>
  <si>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</si>
  <si>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</si>
  <si>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</si>
  <si>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</si>
  <si>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</si>
  <si>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</si>
  <si>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</si>
  <si>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</si>
  <si>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</si>
  <si>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</si>
  <si>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</si>
  <si>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</si>
  <si>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</si>
  <si>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</si>
  <si>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</si>
  <si>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</si>
  <si>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</si>
  <si>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</si>
  <si>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</si>
  <si>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</si>
  <si>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</si>
  <si>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</si>
  <si>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</si>
  <si>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</si>
  <si>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</si>
  <si>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</si>
  <si>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</si>
  <si>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</si>
  <si>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</si>
  <si>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</si>
  <si>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</si>
  <si>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</si>
  <si>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</si>
  <si>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</si>
  <si>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</si>
  <si>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</si>
  <si>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</si>
  <si>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</si>
  <si>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</si>
  <si>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</si>
  <si>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</si>
  <si>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</si>
  <si>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</si>
  <si>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</si>
  <si>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</si>
  <si>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</si>
  <si>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</si>
  <si>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</si>
  <si>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</si>
  <si>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</si>
  <si>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</si>
  <si>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</si>
  <si>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</si>
  <si>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</si>
  <si>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</si>
  <si>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</si>
  <si>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</si>
  <si>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</si>
  <si>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</si>
  <si>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</si>
  <si>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</si>
  <si>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</si>
  <si>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</si>
  <si>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</si>
  <si>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</si>
  <si>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</si>
  <si>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</si>
  <si>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</si>
  <si>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</si>
  <si>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</si>
  <si>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</si>
  <si>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</si>
  <si>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</si>
  <si>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</si>
  <si>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</si>
  <si>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</si>
  <si>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</si>
  <si>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</si>
  <si>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</si>
  <si>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</si>
  <si>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</si>
  <si>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</si>
  <si>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</si>
  <si>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</si>
  <si>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</si>
  <si>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</si>
  <si>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</si>
  <si>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</si>
  <si>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</si>
  <si>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</si>
  <si>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</si>
  <si>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</si>
  <si>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</si>
  <si>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</si>
  <si>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</si>
  <si>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</si>
  <si>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</si>
  <si>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</si>
  <si>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</si>
  <si>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</si>
  <si>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</si>
  <si>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</si>
  <si>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</si>
  <si>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</si>
  <si>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</si>
  <si>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</si>
  <si>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</si>
  <si>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</si>
  <si>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</si>
  <si>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</si>
  <si>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</si>
  <si>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</si>
  <si>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</si>
  <si>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</si>
  <si>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</si>
  <si>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</si>
  <si>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</si>
  <si>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</si>
  <si>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</si>
  <si>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</si>
  <si>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</si>
  <si>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</si>
  <si>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</si>
  <si>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</si>
  <si>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</si>
  <si>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</si>
  <si>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</si>
  <si>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</si>
  <si>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</si>
  <si>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</si>
  <si>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</si>
  <si>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</si>
  <si>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</si>
  <si>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</si>
  <si>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</si>
  <si>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</si>
  <si>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</si>
  <si>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</si>
  <si>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</si>
  <si>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</si>
  <si>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</si>
  <si>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</si>
  <si>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</si>
  <si>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</si>
  <si>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</si>
  <si>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</si>
  <si>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</si>
  <si>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</si>
  <si>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</si>
  <si>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</si>
  <si>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</si>
  <si>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</si>
  <si>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</si>
  <si>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</si>
  <si>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</si>
  <si>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</si>
  <si>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</si>
  <si>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</si>
  <si>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</si>
  <si>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</si>
  <si>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</si>
  <si>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</si>
  <si>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</si>
  <si>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</si>
  <si>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</si>
  <si>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</si>
  <si>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</si>
  <si>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</si>
  <si>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</si>
  <si>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</si>
  <si>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</si>
  <si>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</si>
  <si>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</si>
  <si>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</si>
  <si>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</si>
  <si>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</si>
  <si>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</si>
  <si>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</si>
  <si>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</si>
  <si>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</si>
  <si>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</si>
  <si>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</si>
  <si>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</si>
  <si>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</si>
  <si>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</si>
  <si>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</si>
  <si>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</si>
  <si>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</si>
  <si>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</si>
  <si>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</si>
  <si>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</si>
  <si>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</si>
  <si>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</si>
  <si>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</si>
  <si>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</si>
  <si>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</si>
  <si>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</si>
  <si>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</si>
  <si>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</si>
  <si>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</si>
  <si>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</si>
  <si>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</si>
  <si>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</si>
  <si>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</si>
  <si>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</si>
  <si>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</si>
  <si>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</si>
  <si>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</si>
  <si>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</si>
  <si>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</si>
  <si>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</si>
  <si>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</si>
  <si>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</si>
  <si>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</si>
  <si>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</si>
  <si>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</si>
  <si>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</si>
  <si>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</si>
  <si>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</si>
  <si>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</si>
  <si>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</si>
  <si>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</si>
  <si>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</si>
  <si>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</si>
  <si>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</si>
  <si>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</si>
  <si>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</si>
  <si>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</si>
  <si>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</si>
  <si>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</si>
  <si>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</si>
  <si>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</si>
  <si>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</si>
  <si>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</si>
  <si>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</si>
  <si>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</si>
  <si>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</si>
  <si>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</si>
  <si>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</si>
  <si>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</si>
  <si>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</si>
  <si>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</si>
  <si>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</si>
  <si>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</si>
  <si>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</si>
  <si>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</si>
  <si>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</si>
  <si>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</si>
  <si>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</si>
  <si>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</si>
  <si>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</si>
  <si>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</si>
  <si>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</si>
  <si>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</si>
  <si>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</si>
  <si>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</si>
  <si>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</si>
  <si>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</si>
  <si>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</si>
  <si>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</si>
  <si>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</si>
  <si>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</si>
  <si>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</si>
  <si>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</si>
  <si>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</si>
  <si>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</si>
  <si>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</si>
  <si>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</si>
  <si>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</si>
  <si>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</si>
  <si>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</si>
  <si>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</si>
  <si>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</si>
  <si>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</si>
  <si>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</si>
  <si>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</si>
  <si>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</si>
  <si>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</si>
  <si>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</si>
  <si>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</si>
  <si>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</si>
  <si>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</si>
  <si>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</si>
  <si>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</si>
  <si>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</si>
  <si>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</si>
  <si>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</si>
  <si>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</si>
  <si>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</si>
  <si>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</si>
  <si>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</si>
  <si>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</si>
  <si>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</si>
  <si>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</si>
  <si>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</si>
  <si>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</si>
  <si>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</si>
  <si>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</si>
  <si>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</si>
  <si>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</si>
  <si>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</si>
  <si>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</si>
  <si>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</si>
  <si>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</si>
  <si>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</si>
  <si>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</si>
  <si>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</si>
  <si>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</si>
  <si>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</si>
  <si>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</si>
  <si>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</si>
  <si>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</si>
  <si>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</si>
  <si>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</si>
  <si>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</si>
  <si>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</si>
  <si>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</si>
  <si>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</si>
  <si>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</si>
  <si>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</si>
  <si>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</si>
  <si>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</si>
  <si>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</si>
  <si>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</si>
  <si>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</si>
  <si>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</si>
  <si>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</si>
  <si>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</si>
  <si>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</si>
  <si>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</si>
  <si>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</si>
  <si>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</si>
  <si>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</si>
  <si>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</si>
  <si>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</si>
  <si>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</si>
  <si>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</si>
  <si>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</si>
  <si>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</si>
  <si>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</si>
  <si>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</si>
  <si>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</si>
  <si>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</si>
  <si>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</si>
  <si>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</si>
  <si>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</si>
  <si>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</si>
  <si>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</si>
  <si>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</si>
  <si>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</si>
  <si>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</si>
  <si>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</si>
  <si>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</si>
  <si>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</si>
  <si>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</si>
  <si>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</si>
  <si>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</si>
  <si>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</si>
  <si>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</si>
  <si>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</si>
  <si>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</si>
  <si>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</si>
  <si>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</si>
  <si>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</si>
  <si>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</si>
  <si>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</si>
  <si>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</si>
  <si>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</si>
  <si>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</si>
  <si>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</si>
  <si>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</si>
  <si>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</si>
  <si>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</si>
  <si>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</si>
  <si>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</si>
  <si>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</si>
  <si>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</si>
  <si>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</si>
  <si>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</si>
  <si>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</si>
  <si>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</si>
  <si>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</si>
  <si>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</si>
  <si>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</si>
  <si>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</si>
  <si>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</si>
  <si>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</si>
  <si>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</si>
  <si>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</si>
  <si>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</si>
  <si>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14/05/2025</t>
  </si>
  <si>
    <t>22.05.2025</t>
  </si>
  <si>
    <t>15.05.2025</t>
  </si>
  <si>
    <t>17.05.2025</t>
  </si>
  <si>
    <t xml:space="preserve">DA+1.5 </t>
  </si>
  <si>
    <t>20.05.2025</t>
  </si>
  <si>
    <t xml:space="preserve">DA+0 </t>
  </si>
  <si>
    <t xml:space="preserve">DA+3 </t>
  </si>
  <si>
    <t>28.05.2024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</si>
  <si>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</si>
  <si>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</si>
  <si>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</si>
  <si>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</si>
  <si>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</si>
  <si>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</si>
  <si>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</si>
  <si>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</si>
  <si>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 xml:space="preserve">GM CONSTRUCTION </t>
  </si>
  <si>
    <t>07.06.2025</t>
  </si>
  <si>
    <t xml:space="preserve">DA+6 </t>
  </si>
  <si>
    <t>03.06.2025</t>
  </si>
  <si>
    <t>16/06/2025</t>
  </si>
  <si>
    <t>08.06.2025</t>
  </si>
  <si>
    <t>09.06.2025</t>
  </si>
  <si>
    <t>19.06.2025</t>
  </si>
  <si>
    <t>NOT SUBMITTED</t>
  </si>
  <si>
    <t xml:space="preserve">COMPLETED  </t>
  </si>
  <si>
    <t>30.06.2025</t>
  </si>
  <si>
    <t>01.07.2025</t>
  </si>
  <si>
    <t>16.07.2025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</si>
  <si>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</si>
  <si>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</si>
  <si>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</si>
  <si>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</si>
  <si>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</si>
  <si>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</si>
  <si>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</si>
  <si>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</si>
  <si>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</si>
  <si>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</si>
  <si>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</si>
  <si>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</si>
  <si>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</si>
  <si>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</si>
  <si>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</si>
  <si>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</si>
  <si>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</si>
  <si>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</si>
  <si>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</si>
  <si>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</si>
  <si>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</si>
  <si>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</si>
  <si>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</si>
  <si>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</si>
  <si>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</si>
  <si>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</si>
  <si>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</si>
  <si>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</si>
  <si>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</si>
  <si>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</si>
  <si>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</si>
  <si>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</si>
  <si>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</si>
  <si>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</si>
  <si>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</si>
  <si>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</si>
  <si>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</si>
  <si>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</si>
  <si>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</si>
  <si>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</si>
  <si>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</si>
  <si>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</si>
  <si>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</si>
  <si>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</si>
  <si>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</si>
  <si>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</si>
  <si>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</si>
  <si>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</si>
  <si>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</si>
  <si>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</si>
  <si>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</si>
  <si>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</si>
  <si>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</si>
  <si>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</si>
  <si>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</si>
  <si>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</si>
  <si>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</si>
  <si>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</si>
  <si>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</si>
  <si>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</si>
  <si>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</si>
  <si>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</si>
  <si>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</si>
  <si>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</si>
  <si>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</si>
  <si>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</si>
  <si>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</si>
  <si>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</si>
  <si>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</si>
  <si>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</si>
  <si>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</si>
  <si>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</si>
  <si>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</si>
  <si>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</si>
  <si>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</si>
  <si>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</si>
  <si>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</si>
  <si>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</si>
  <si>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</si>
  <si>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</si>
  <si>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</si>
  <si>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</si>
  <si>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</si>
  <si>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</si>
  <si>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</si>
  <si>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</si>
  <si>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</si>
  <si>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</si>
  <si>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</si>
  <si>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</si>
  <si>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</si>
  <si>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</si>
  <si>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</si>
  <si>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</si>
  <si>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</si>
  <si>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</si>
  <si>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</si>
  <si>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</si>
  <si>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</si>
  <si>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</si>
  <si>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</si>
  <si>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</si>
  <si>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</si>
  <si>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</si>
  <si>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</si>
  <si>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</si>
  <si>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</si>
  <si>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</si>
  <si>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</si>
  <si>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</si>
  <si>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</si>
  <si>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</si>
  <si>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</si>
  <si>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</si>
  <si>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</si>
  <si>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</si>
  <si>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</si>
  <si>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</si>
  <si>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</si>
  <si>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</si>
  <si>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</si>
  <si>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</si>
  <si>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</si>
  <si>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</si>
  <si>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</si>
  <si>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</si>
  <si>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</si>
  <si>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</si>
  <si>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</si>
  <si>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</si>
  <si>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</si>
  <si>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</si>
  <si>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</si>
  <si>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WFR </t>
  </si>
  <si>
    <t xml:space="preserve">20.08.2025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</si>
  <si>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</si>
  <si>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</si>
  <si>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</si>
  <si>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</si>
  <si>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</si>
  <si>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JAWALA SINGH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</si>
  <si>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</si>
  <si>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</si>
  <si>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</si>
  <si>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</si>
  <si>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</si>
  <si>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</si>
  <si>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</si>
  <si>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</si>
  <si>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</si>
  <si>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</si>
  <si>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</si>
  <si>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</si>
  <si>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</si>
  <si>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</si>
  <si>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</si>
  <si>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</si>
  <si>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</si>
  <si>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</si>
  <si>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</si>
  <si>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</si>
  <si>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</si>
  <si>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</si>
  <si>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</si>
  <si>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</si>
  <si>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</si>
  <si>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</si>
  <si>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</si>
  <si>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</si>
  <si>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</si>
  <si>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</si>
  <si>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</si>
  <si>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</si>
  <si>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</si>
  <si>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</si>
  <si>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</si>
  <si>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</si>
  <si>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</si>
  <si>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</si>
  <si>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</si>
  <si>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</si>
  <si>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</si>
  <si>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</si>
  <si>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</si>
  <si>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</si>
  <si>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</si>
  <si>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</si>
  <si>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</si>
  <si>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</si>
  <si>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</si>
  <si>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</si>
  <si>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</si>
  <si>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</si>
  <si>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</si>
  <si>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</si>
  <si>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</si>
  <si>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</si>
  <si>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</si>
  <si>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</si>
  <si>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</si>
  <si>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</si>
  <si>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</si>
  <si>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</si>
  <si>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</si>
  <si>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</si>
  <si>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</si>
  <si>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</si>
  <si>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</si>
  <si>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</si>
  <si>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</si>
  <si>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</si>
  <si>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</si>
  <si>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</si>
  <si>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</si>
  <si>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</si>
  <si>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</si>
  <si>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</si>
  <si>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</si>
  <si>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</si>
  <si>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</si>
  <si>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</si>
  <si>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</si>
  <si>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</si>
  <si>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</si>
  <si>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</si>
  <si>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</si>
  <si>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</si>
  <si>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</si>
  <si>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</si>
  <si>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</si>
  <si>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</si>
  <si>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</si>
  <si>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</si>
  <si>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</si>
  <si>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</si>
  <si>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</si>
  <si>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</si>
  <si>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</si>
  <si>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</si>
  <si>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</si>
  <si>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</si>
  <si>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</si>
  <si>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</si>
  <si>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</si>
  <si>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</si>
  <si>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</si>
  <si>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</si>
  <si>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</si>
  <si>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</si>
  <si>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</si>
  <si>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</si>
  <si>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</si>
  <si>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15.09.2025</t>
  </si>
  <si>
    <t>16.09.2025</t>
  </si>
  <si>
    <t>HEMLAL MAHATO-I (Anita Devi)</t>
  </si>
  <si>
    <t>HEMLAL MAHATO-II (Anita Devi)</t>
  </si>
  <si>
    <t>Durga construction</t>
  </si>
  <si>
    <t>Submission on 18.09.2025</t>
  </si>
  <si>
    <t>19.09.2025</t>
  </si>
  <si>
    <t>20.09.2025</t>
  </si>
  <si>
    <t>22.09.2025</t>
  </si>
  <si>
    <t>23.09.2025</t>
  </si>
  <si>
    <t>24.09.2025</t>
  </si>
  <si>
    <t>25.09.2025</t>
  </si>
  <si>
    <t>27.09.2025</t>
  </si>
  <si>
    <t>01.10.2025</t>
  </si>
  <si>
    <t>07.10.2025</t>
  </si>
  <si>
    <t>DEVI CONST.</t>
  </si>
  <si>
    <t>05.10.2025</t>
  </si>
  <si>
    <t>DS Construction</t>
  </si>
  <si>
    <t>11.10.2025</t>
  </si>
  <si>
    <t>29.09.2205</t>
  </si>
  <si>
    <t>09.10.2025</t>
  </si>
  <si>
    <t>12.10.2025</t>
  </si>
  <si>
    <t>15.10.2025</t>
  </si>
  <si>
    <t>17.10.2025</t>
  </si>
  <si>
    <t xml:space="preserve">MAUSAUDDIN SK </t>
  </si>
  <si>
    <t>26.10.2025</t>
  </si>
  <si>
    <t>24.10.2025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</si>
  <si>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</si>
  <si>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</si>
  <si>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</si>
  <si>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</si>
  <si>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</si>
  <si>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</si>
  <si>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</si>
  <si>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</si>
  <si>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</si>
  <si>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</si>
  <si>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</si>
  <si>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</si>
  <si>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</si>
  <si>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</si>
  <si>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</si>
  <si>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</si>
  <si>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</si>
  <si>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</si>
  <si>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</si>
  <si>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</si>
  <si>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</si>
  <si>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</si>
  <si>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</si>
  <si>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</si>
  <si>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</si>
  <si>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</si>
  <si>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</si>
  <si>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</si>
  <si>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</si>
  <si>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</si>
  <si>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</si>
  <si>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</si>
  <si>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</si>
  <si>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</si>
  <si>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</si>
  <si>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</si>
  <si>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</si>
  <si>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</si>
  <si>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</si>
  <si>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</si>
  <si>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</si>
  <si>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</si>
  <si>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</si>
  <si>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</si>
  <si>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</si>
  <si>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</si>
  <si>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</si>
  <si>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</si>
  <si>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</si>
  <si>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</si>
  <si>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</si>
  <si>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</si>
  <si>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</si>
  <si>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</si>
  <si>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</si>
  <si>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</si>
  <si>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</si>
  <si>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</si>
  <si>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</si>
  <si>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</si>
  <si>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</si>
  <si>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</si>
  <si>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</si>
  <si>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</si>
  <si>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</si>
  <si>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</si>
  <si>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</si>
  <si>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</si>
  <si>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</si>
  <si>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</si>
  <si>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</si>
  <si>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</si>
  <si>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</si>
  <si>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</si>
  <si>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</si>
  <si>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</si>
  <si>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</si>
  <si>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</si>
  <si>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</si>
  <si>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</si>
  <si>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</si>
  <si>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</si>
  <si>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</si>
  <si>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25.11.2025</t>
  </si>
  <si>
    <t>Kaushlya Devi</t>
  </si>
  <si>
    <t>26.11.2025</t>
  </si>
  <si>
    <t>27.11.2025</t>
  </si>
  <si>
    <t>28.11.2025</t>
  </si>
  <si>
    <t>29.11.2025</t>
  </si>
  <si>
    <t>01.12.2025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</si>
  <si>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</si>
  <si>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</si>
  <si>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</si>
  <si>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</si>
  <si>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</si>
  <si>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</si>
  <si>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</si>
  <si>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</si>
  <si>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</si>
  <si>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</si>
  <si>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</si>
  <si>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</si>
  <si>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</si>
  <si>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</si>
  <si>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</si>
  <si>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</si>
  <si>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</si>
  <si>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</si>
  <si>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</si>
  <si>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</si>
  <si>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</si>
  <si>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21.12.2025</t>
  </si>
  <si>
    <t>22.12.2025</t>
  </si>
  <si>
    <t>23.12.2025</t>
  </si>
  <si>
    <t>24.12.2025</t>
  </si>
  <si>
    <t>27.12.2025</t>
  </si>
  <si>
    <t>30.12.2025</t>
  </si>
  <si>
    <t>31.12.2025</t>
  </si>
  <si>
    <t>02.01.2026</t>
  </si>
  <si>
    <t>UPTO  Dec-25 
L2 Schedule</t>
  </si>
  <si>
    <t>04.01.2026</t>
  </si>
  <si>
    <t>05.01.2026</t>
  </si>
  <si>
    <t>09.01.2026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</si>
  <si>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</si>
  <si>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</si>
  <si>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</si>
  <si>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</si>
  <si>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</si>
  <si>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</si>
  <si>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</si>
  <si>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</si>
  <si>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</si>
  <si>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</si>
  <si>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</si>
  <si>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</si>
  <si>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</si>
  <si>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</si>
  <si>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</si>
  <si>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13.01.2026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</si>
  <si>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</si>
  <si>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</si>
  <si>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</si>
  <si>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</si>
  <si>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</si>
  <si>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</si>
  <si>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</si>
  <si>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</si>
  <si>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26.02.2026</t>
  </si>
  <si>
    <t>03.02.2026</t>
  </si>
  <si>
    <t>02.02.2026</t>
  </si>
  <si>
    <t>31.01.2026</t>
  </si>
  <si>
    <t>08.02.2026</t>
  </si>
  <si>
    <t>07.02.2026</t>
  </si>
  <si>
    <t>10.02.2026</t>
  </si>
  <si>
    <t>13.02.2026</t>
  </si>
  <si>
    <t>14.02.2026</t>
  </si>
  <si>
    <t>15.02.2026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</si>
  <si>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</si>
  <si>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</si>
  <si>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</si>
  <si>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</si>
  <si>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</si>
  <si>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</si>
  <si>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</si>
  <si>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JAWALA SINGH-2</t>
  </si>
  <si>
    <t>JAWALA SINGH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</si>
  <si>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</si>
  <si>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</si>
  <si>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</si>
  <si>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</si>
  <si>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</si>
  <si>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</si>
  <si>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</si>
  <si>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</si>
  <si>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</si>
  <si>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</si>
  <si>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</si>
  <si>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</si>
  <si>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</si>
  <si>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</si>
  <si>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</si>
  <si>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</si>
  <si>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</si>
  <si>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</si>
  <si>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</si>
  <si>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</si>
  <si>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</si>
  <si>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</si>
  <si>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</si>
  <si>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</si>
  <si>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</si>
  <si>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</si>
  <si>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</si>
  <si>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</si>
  <si>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</si>
  <si>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</si>
  <si>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</si>
  <si>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</si>
  <si>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</si>
  <si>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</si>
  <si>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</si>
  <si>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</si>
  <si>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</si>
  <si>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</si>
  <si>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</si>
  <si>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</si>
  <si>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</si>
  <si>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</si>
  <si>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</si>
  <si>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</si>
  <si>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</si>
  <si>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</si>
  <si>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</si>
  <si>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</si>
  <si>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</si>
  <si>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</si>
  <si>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</si>
  <si>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</si>
  <si>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</si>
  <si>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</si>
  <si>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</si>
  <si>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</si>
  <si>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</si>
  <si>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</si>
  <si>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</si>
  <si>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</si>
  <si>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</si>
  <si>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</si>
  <si>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</si>
  <si>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</si>
  <si>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</si>
  <si>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</si>
  <si>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</si>
  <si>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</si>
  <si>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</si>
  <si>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</si>
  <si>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</si>
  <si>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</si>
  <si>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</si>
  <si>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</si>
  <si>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</si>
  <si>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</si>
  <si>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</si>
  <si>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</si>
  <si>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</si>
  <si>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</si>
  <si>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</si>
  <si>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</si>
  <si>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</si>
  <si>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</si>
  <si>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</si>
  <si>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</si>
  <si>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</si>
  <si>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</si>
  <si>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</si>
  <si>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</si>
  <si>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</si>
  <si>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</si>
  <si>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</si>
  <si>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</si>
  <si>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</si>
  <si>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</si>
  <si>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</si>
  <si>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</si>
  <si>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</si>
  <si>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</si>
  <si>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</si>
  <si>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</si>
  <si>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</si>
  <si>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</si>
  <si>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</si>
  <si>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</si>
  <si>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</si>
  <si>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</si>
  <si>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</si>
  <si>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</si>
  <si>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</si>
  <si>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</si>
  <si>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</si>
  <si>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</si>
  <si>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</si>
  <si>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</si>
  <si>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</si>
  <si>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</si>
  <si>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</si>
  <si>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</si>
  <si>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</si>
  <si>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</si>
  <si>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</si>
  <si>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</si>
  <si>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</si>
  <si>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</si>
  <si>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</si>
  <si>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</si>
  <si>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</si>
  <si>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</si>
  <si>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</si>
  <si>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</si>
  <si>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</si>
  <si>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</si>
  <si>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</si>
  <si>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</si>
  <si>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</si>
  <si>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</si>
  <si>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</si>
  <si>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</si>
  <si>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</si>
  <si>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</si>
  <si>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</si>
  <si>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</si>
  <si>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</si>
  <si>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</si>
  <si>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</si>
  <si>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</si>
  <si>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</si>
  <si>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</si>
  <si>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</si>
  <si>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</si>
  <si>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</si>
  <si>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</si>
  <si>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</si>
  <si>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</si>
  <si>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</si>
  <si>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</si>
  <si>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</si>
  <si>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</si>
  <si>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</si>
  <si>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</si>
  <si>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</si>
  <si>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</si>
  <si>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</si>
  <si>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</si>
  <si>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</si>
  <si>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</si>
  <si>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</si>
  <si>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</si>
  <si>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</si>
  <si>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</si>
  <si>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</si>
  <si>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</si>
  <si>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</si>
  <si>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</si>
  <si>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</si>
  <si>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</si>
  <si>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</si>
  <si>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</si>
  <si>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</si>
  <si>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</si>
  <si>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</si>
  <si>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</si>
  <si>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</si>
  <si>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</si>
  <si>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</si>
  <si>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</si>
  <si>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</si>
  <si>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</si>
  <si>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</si>
  <si>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</si>
  <si>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</si>
  <si>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</si>
  <si>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</si>
  <si>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</si>
  <si>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</si>
  <si>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</si>
  <si>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</si>
  <si>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</si>
  <si>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</si>
  <si>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</si>
  <si>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</si>
  <si>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</si>
  <si>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</si>
  <si>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</si>
  <si>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</si>
  <si>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</si>
  <si>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</si>
  <si>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</si>
  <si>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</si>
  <si>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</si>
  <si>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</si>
  <si>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</si>
  <si>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</si>
  <si>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</si>
  <si>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</si>
  <si>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</si>
  <si>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</si>
  <si>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</si>
  <si>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</si>
  <si>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</si>
  <si>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</si>
  <si>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</si>
  <si>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</si>
  <si>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</si>
  <si>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</si>
  <si>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</si>
  <si>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</si>
  <si>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</si>
  <si>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</si>
  <si>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</si>
  <si>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</si>
  <si>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</si>
  <si>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</si>
  <si>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</si>
  <si>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</si>
  <si>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</si>
  <si>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</si>
  <si>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</si>
  <si>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</si>
  <si>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</si>
  <si>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</si>
  <si>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</si>
  <si>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</si>
  <si>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</si>
  <si>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</si>
  <si>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</si>
  <si>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</si>
  <si>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</si>
  <si>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</si>
  <si>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</si>
  <si>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</si>
  <si>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</si>
  <si>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</si>
  <si>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</si>
  <si>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</si>
  <si>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</si>
  <si>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</si>
  <si>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</si>
  <si>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</si>
  <si>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</si>
  <si>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</si>
  <si>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</si>
  <si>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</si>
  <si>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</si>
  <si>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</si>
  <si>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</si>
  <si>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</si>
  <si>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</si>
  <si>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</si>
  <si>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</si>
  <si>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</si>
  <si>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</si>
  <si>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</si>
  <si>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</si>
  <si>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</si>
  <si>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</si>
  <si>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</si>
  <si>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</si>
  <si>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</si>
  <si>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</si>
  <si>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</si>
  <si>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</si>
  <si>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</si>
  <si>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</si>
  <si>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</si>
  <si>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</si>
  <si>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</si>
  <si>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</si>
  <si>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</si>
  <si>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</si>
  <si>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</si>
  <si>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</si>
  <si>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</si>
  <si>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</si>
  <si>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</si>
  <si>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</si>
  <si>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</si>
  <si>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</si>
  <si>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</si>
  <si>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</si>
  <si>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</si>
  <si>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</si>
  <si>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</si>
  <si>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</si>
  <si>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</si>
  <si>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</si>
  <si>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</si>
  <si>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</si>
  <si>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</si>
  <si>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</si>
  <si>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</si>
  <si>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</si>
  <si>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</si>
  <si>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</si>
  <si>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</si>
  <si>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</si>
  <si>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</si>
  <si>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</si>
  <si>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</si>
  <si>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</si>
  <si>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</si>
  <si>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</si>
  <si>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</si>
  <si>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</si>
  <si>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</si>
  <si>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</si>
  <si>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</si>
  <si>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</si>
  <si>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</si>
  <si>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</si>
  <si>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</si>
  <si>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</si>
  <si>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</si>
  <si>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</si>
  <si>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</si>
  <si>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</si>
  <si>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</si>
  <si>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</si>
  <si>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</si>
  <si>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</si>
  <si>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</si>
  <si>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</si>
  <si>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</si>
  <si>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</si>
  <si>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</si>
  <si>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</si>
  <si>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</si>
  <si>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</si>
  <si>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</si>
  <si>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</si>
  <si>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</si>
  <si>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</si>
  <si>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</si>
  <si>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</si>
  <si>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</si>
  <si>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</si>
  <si>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</si>
  <si>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</si>
  <si>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</si>
  <si>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</si>
  <si>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</si>
  <si>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</si>
  <si>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</si>
  <si>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</si>
  <si>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</si>
  <si>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</si>
  <si>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</si>
  <si>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</si>
  <si>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</si>
  <si>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</si>
  <si>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</si>
  <si>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</si>
  <si>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</si>
  <si>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</si>
  <si>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</si>
  <si>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</si>
  <si>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</si>
  <si>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</si>
  <si>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</si>
  <si>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</si>
  <si>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</si>
  <si>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</si>
  <si>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</si>
  <si>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</si>
  <si>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</si>
  <si>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</si>
  <si>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</si>
  <si>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</si>
  <si>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</si>
  <si>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</si>
  <si>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</si>
  <si>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</si>
  <si>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</si>
  <si>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</si>
  <si>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</si>
  <si>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</si>
  <si>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</si>
  <si>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</si>
  <si>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</si>
  <si>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</si>
  <si>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</si>
  <si>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</si>
  <si>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</si>
  <si>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</si>
  <si>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</si>
  <si>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</si>
  <si>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</si>
  <si>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</si>
  <si>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</si>
  <si>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</si>
  <si>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</si>
  <si>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</si>
  <si>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</si>
  <si>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</si>
  <si>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</si>
  <si>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</si>
  <si>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</si>
  <si>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</si>
  <si>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</si>
  <si>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</si>
  <si>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</si>
  <si>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</si>
  <si>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</si>
  <si>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</si>
  <si>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</si>
  <si>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</si>
  <si>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</si>
  <si>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</si>
  <si>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</si>
  <si>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</si>
  <si>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</si>
  <si>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</si>
  <si>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</si>
  <si>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</si>
  <si>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</si>
  <si>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</si>
  <si>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</si>
  <si>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</si>
  <si>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</si>
  <si>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</si>
  <si>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</si>
  <si>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</si>
  <si>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</si>
  <si>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</si>
  <si>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</si>
  <si>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</si>
  <si>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</si>
  <si>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</si>
  <si>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</si>
  <si>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</si>
  <si>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</si>
  <si>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</si>
  <si>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</si>
  <si>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</si>
  <si>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</si>
  <si>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</si>
  <si>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</si>
  <si>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</si>
  <si>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</si>
  <si>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</si>
  <si>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</si>
  <si>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</si>
  <si>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</si>
  <si>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</si>
  <si>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</si>
  <si>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</si>
  <si>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</si>
  <si>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</si>
  <si>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</si>
  <si>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</si>
  <si>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</si>
  <si>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</si>
  <si>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</si>
  <si>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</si>
  <si>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</si>
  <si>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</si>
  <si>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</si>
  <si>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</si>
  <si>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</si>
  <si>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</si>
  <si>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</si>
  <si>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</si>
  <si>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</si>
  <si>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</si>
  <si>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</si>
  <si>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</si>
  <si>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</si>
  <si>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</si>
  <si>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</si>
  <si>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</si>
  <si>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</si>
  <si>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</si>
  <si>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</si>
  <si>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</si>
  <si>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</si>
  <si>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</si>
  <si>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</si>
  <si>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</si>
  <si>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</si>
  <si>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</si>
  <si>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</si>
  <si>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</si>
  <si>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</si>
  <si>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</si>
  <si>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</si>
  <si>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</si>
  <si>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</si>
  <si>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</si>
  <si>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</si>
  <si>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</si>
  <si>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</si>
  <si>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</si>
  <si>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</si>
  <si>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</si>
  <si>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</si>
  <si>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</si>
  <si>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</si>
  <si>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</si>
  <si>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</si>
  <si>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</si>
  <si>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</si>
  <si>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</si>
  <si>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</si>
  <si>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</si>
  <si>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</si>
  <si>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</si>
  <si>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</si>
  <si>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</si>
  <si>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</si>
  <si>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</si>
  <si>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</si>
  <si>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</si>
  <si>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</si>
  <si>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</si>
  <si>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</si>
  <si>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</si>
  <si>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</si>
  <si>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</si>
  <si>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</si>
  <si>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</si>
  <si>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</si>
  <si>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</si>
  <si>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</si>
  <si>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</si>
  <si>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</si>
  <si>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</si>
  <si>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</si>
  <si>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</si>
  <si>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</si>
  <si>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</si>
  <si>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</si>
  <si>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</si>
  <si>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</si>
  <si>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</si>
  <si>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</si>
  <si>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</si>
  <si>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</si>
  <si>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</si>
  <si>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</si>
  <si>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</si>
  <si>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</si>
  <si>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</si>
  <si>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</si>
  <si>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</si>
  <si>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</si>
  <si>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</si>
  <si>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</si>
  <si>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</si>
  <si>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</si>
  <si>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</si>
  <si>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</si>
  <si>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</si>
  <si>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</si>
  <si>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</si>
  <si>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</si>
  <si>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</si>
  <si>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</si>
  <si>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</si>
  <si>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</si>
  <si>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</si>
  <si>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</si>
  <si>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</si>
  <si>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</si>
  <si>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</si>
  <si>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</si>
  <si>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</si>
  <si>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</si>
  <si>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</si>
  <si>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</si>
  <si>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</si>
  <si>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</si>
  <si>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</si>
  <si>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</si>
  <si>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</si>
  <si>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</si>
  <si>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</si>
  <si>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</si>
  <si>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</si>
  <si>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</si>
  <si>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</si>
  <si>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</si>
  <si>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</si>
  <si>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</si>
  <si>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</si>
  <si>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</si>
  <si>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</si>
  <si>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</si>
  <si>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</si>
  <si>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</si>
  <si>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</si>
  <si>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</si>
  <si>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</si>
  <si>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</si>
  <si>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</si>
  <si>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</si>
  <si>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</si>
  <si>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</si>
  <si>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</si>
  <si>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</si>
  <si>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</si>
  <si>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</si>
  <si>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</si>
  <si>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</si>
  <si>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</si>
  <si>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</si>
  <si>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</si>
  <si>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</si>
  <si>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</si>
  <si>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</si>
  <si>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</si>
  <si>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</si>
  <si>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</si>
  <si>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</si>
  <si>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</si>
  <si>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</si>
  <si>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</si>
  <si>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</si>
  <si>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</si>
  <si>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</si>
  <si>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</si>
  <si>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</si>
  <si>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</si>
  <si>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</si>
  <si>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</si>
  <si>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</si>
  <si>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</si>
  <si>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</si>
  <si>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</si>
  <si>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</si>
  <si>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</si>
  <si>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</si>
  <si>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</si>
  <si>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</si>
  <si>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</si>
  <si>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</si>
  <si>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</si>
  <si>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</si>
  <si>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</si>
  <si>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</si>
  <si>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</si>
  <si>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</si>
  <si>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</si>
  <si>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</si>
  <si>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</si>
  <si>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</si>
  <si>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</si>
  <si>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</si>
  <si>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</si>
  <si>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</si>
  <si>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</si>
  <si>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</si>
  <si>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</si>
  <si>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</si>
  <si>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</si>
  <si>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</si>
  <si>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</si>
  <si>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</si>
  <si>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</si>
  <si>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</si>
  <si>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</si>
  <si>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</si>
  <si>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</si>
  <si>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</si>
  <si>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</si>
  <si>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</si>
  <si>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</si>
  <si>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</si>
  <si>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</si>
  <si>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</si>
  <si>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</si>
  <si>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</si>
  <si>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</si>
  <si>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</si>
  <si>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</si>
  <si>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</si>
  <si>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</si>
  <si>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</si>
  <si>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</si>
  <si>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</si>
  <si>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</si>
  <si>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</si>
  <si>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</si>
  <si>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</si>
  <si>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</si>
  <si>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</si>
  <si>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</si>
  <si>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</si>
  <si>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</si>
  <si>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</si>
  <si>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</si>
  <si>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</si>
  <si>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</si>
  <si>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</si>
  <si>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</si>
  <si>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</si>
  <si>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</si>
  <si>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</si>
  <si>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</si>
  <si>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</si>
  <si>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</si>
  <si>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</si>
  <si>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</si>
  <si>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</si>
  <si>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</si>
  <si>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</si>
  <si>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</si>
  <si>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</si>
  <si>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</si>
  <si>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</si>
  <si>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</si>
  <si>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</si>
  <si>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</si>
  <si>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</si>
  <si>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</si>
  <si>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</si>
  <si>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</si>
  <si>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</si>
  <si>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</si>
  <si>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</si>
  <si>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</si>
  <si>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</si>
  <si>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</si>
  <si>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</si>
  <si>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</si>
  <si>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</si>
  <si>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</si>
  <si>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</si>
  <si>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</si>
  <si>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</si>
  <si>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</si>
  <si>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</si>
  <si>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</si>
  <si>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</si>
  <si>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</si>
  <si>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</si>
  <si>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</si>
  <si>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</si>
  <si>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</si>
  <si>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</si>
  <si>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</si>
  <si>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</si>
  <si>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</si>
  <si>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</si>
  <si>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</si>
  <si>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</si>
  <si>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</si>
  <si>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</si>
  <si>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</si>
  <si>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</si>
  <si>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</si>
  <si>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</si>
  <si>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</si>
  <si>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</si>
  <si>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</si>
  <si>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</si>
  <si>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</si>
  <si>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</si>
  <si>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</si>
  <si>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</si>
  <si>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</si>
  <si>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</si>
  <si>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</si>
  <si>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</si>
  <si>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</si>
  <si>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</si>
  <si>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</si>
  <si>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</si>
  <si>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</si>
  <si>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</si>
  <si>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</si>
  <si>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</si>
  <si>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</si>
  <si>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</si>
  <si>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</si>
  <si>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</si>
  <si>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</si>
  <si>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</si>
  <si>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</si>
  <si>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</si>
  <si>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</si>
  <si>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</si>
  <si>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</si>
  <si>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</si>
  <si>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</si>
  <si>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</si>
  <si>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</si>
  <si>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</si>
  <si>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</si>
  <si>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</si>
  <si>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</si>
  <si>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</si>
  <si>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</si>
  <si>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</si>
  <si>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</si>
  <si>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</si>
  <si>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</si>
  <si>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</si>
  <si>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</si>
  <si>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</si>
  <si>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</si>
  <si>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</si>
  <si>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</si>
  <si>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</si>
  <si>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</si>
  <si>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</si>
  <si>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</si>
  <si>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</si>
  <si>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</si>
  <si>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</si>
  <si>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</si>
  <si>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</si>
  <si>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</si>
  <si>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</si>
  <si>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</si>
  <si>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</si>
  <si>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</si>
  <si>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</si>
  <si>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</si>
  <si>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</si>
  <si>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</si>
  <si>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</si>
  <si>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</si>
  <si>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</si>
  <si>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</si>
  <si>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</si>
  <si>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</si>
  <si>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</si>
  <si>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</si>
  <si>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</si>
  <si>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</si>
  <si>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</si>
  <si>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</si>
  <si>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</si>
  <si>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</si>
  <si>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</si>
  <si>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</si>
  <si>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</si>
  <si>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</si>
  <si>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</si>
  <si>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</si>
  <si>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</si>
  <si>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</si>
  <si>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</si>
  <si>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</si>
  <si>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</si>
  <si>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</si>
  <si>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</si>
  <si>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</si>
  <si>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</si>
  <si>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</si>
  <si>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</si>
  <si>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</si>
  <si>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</si>
  <si>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</si>
  <si>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</si>
  <si>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</si>
  <si>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</si>
  <si>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</si>
  <si>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</si>
  <si>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</si>
  <si>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</si>
  <si>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</si>
  <si>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</si>
  <si>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</si>
  <si>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</si>
  <si>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</si>
  <si>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</si>
  <si>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</si>
  <si>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</si>
  <si>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</si>
  <si>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</si>
  <si>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</si>
  <si>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</si>
  <si>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</si>
  <si>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</si>
  <si>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</si>
  <si>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</si>
  <si>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</si>
  <si>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</si>
  <si>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</si>
  <si>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</si>
  <si>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</si>
  <si>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</si>
  <si>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</si>
  <si>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</si>
  <si>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</si>
  <si>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</si>
  <si>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</si>
  <si>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</si>
  <si>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</si>
  <si>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</si>
  <si>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</si>
  <si>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</si>
  <si>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</si>
  <si>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</si>
  <si>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</si>
  <si>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</si>
  <si>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</si>
  <si>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</si>
  <si>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</si>
  <si>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</si>
  <si>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</si>
  <si>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</si>
  <si>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</si>
  <si>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</si>
  <si>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</si>
  <si>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</si>
  <si>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</si>
  <si>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</si>
  <si>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</si>
  <si>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</si>
  <si>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</si>
  <si>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</si>
  <si>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</si>
  <si>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</si>
  <si>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</si>
  <si>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</si>
  <si>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</si>
  <si>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</si>
  <si>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</si>
  <si>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</si>
  <si>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</si>
  <si>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</si>
  <si>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</si>
  <si>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</si>
  <si>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</si>
  <si>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</si>
  <si>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</si>
  <si>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</si>
  <si>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</si>
  <si>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</si>
  <si>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</si>
  <si>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</si>
  <si>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</si>
  <si>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</si>
  <si>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</si>
  <si>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</si>
  <si>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</si>
  <si>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</si>
  <si>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</si>
  <si>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</si>
  <si>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</si>
  <si>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</si>
  <si>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</si>
  <si>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</si>
  <si>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</si>
  <si>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</si>
  <si>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</si>
  <si>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</si>
  <si>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</si>
  <si>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</si>
  <si>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</si>
  <si>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</si>
  <si>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</si>
  <si>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</si>
  <si>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</si>
  <si>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</si>
  <si>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</si>
  <si>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</si>
  <si>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</si>
  <si>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</si>
  <si>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</si>
  <si>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</si>
  <si>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</si>
  <si>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</si>
  <si>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</si>
  <si>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</si>
  <si>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</si>
  <si>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</si>
  <si>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</si>
  <si>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</si>
  <si>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</si>
  <si>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</si>
  <si>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10.03.2026</t>
  </si>
  <si>
    <t>11.03.2026</t>
  </si>
  <si>
    <t>12.03.2026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</si>
  <si>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</si>
  <si>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</si>
  <si>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</si>
  <si>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</si>
  <si>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</si>
  <si>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</si>
  <si>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</si>
  <si>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</si>
  <si>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</si>
  <si>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</si>
  <si>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</si>
  <si>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</si>
  <si>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</si>
  <si>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</si>
  <si>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</si>
  <si>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</si>
  <si>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</si>
  <si>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</si>
  <si>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</si>
  <si>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</si>
  <si>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</si>
  <si>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</si>
  <si>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</si>
  <si>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</si>
  <si>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</si>
  <si>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</si>
  <si>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</si>
  <si>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</si>
  <si>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</si>
  <si>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</si>
  <si>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</si>
  <si>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</si>
  <si>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</si>
  <si>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</si>
  <si>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Hemraj yadav cont.</t>
  </si>
  <si>
    <t>Shri Balaji Contractor</t>
  </si>
  <si>
    <t>30.03.2026</t>
  </si>
  <si>
    <t>31.03.2026</t>
  </si>
  <si>
    <t>01.04.2026</t>
  </si>
  <si>
    <t>02.04.2026</t>
  </si>
  <si>
    <t>03.04.2026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</si>
  <si>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</si>
  <si>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</si>
  <si>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</si>
  <si>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</si>
  <si>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</si>
  <si>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</si>
  <si>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</si>
  <si>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</si>
  <si>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</si>
  <si>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</si>
  <si>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</si>
  <si>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</si>
  <si>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</si>
  <si>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</si>
  <si>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</si>
  <si>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</si>
  <si>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</si>
  <si>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</si>
  <si>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</si>
  <si>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</si>
  <si>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</si>
  <si>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</si>
  <si>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</si>
  <si>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</si>
  <si>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</si>
  <si>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</si>
  <si>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</si>
  <si>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</si>
  <si>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</si>
  <si>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</si>
  <si>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</si>
  <si>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</si>
  <si>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</si>
  <si>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</si>
  <si>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</si>
  <si>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</si>
  <si>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</si>
  <si>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</si>
  <si>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</si>
  <si>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</si>
  <si>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</si>
  <si>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</si>
  <si>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</si>
  <si>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</si>
  <si>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</si>
  <si>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</si>
  <si>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</si>
  <si>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</si>
  <si>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</si>
  <si>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</si>
  <si>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</si>
  <si>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</si>
  <si>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</si>
  <si>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</si>
  <si>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</si>
  <si>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</si>
  <si>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</si>
  <si>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</si>
  <si>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</si>
  <si>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</si>
  <si>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</si>
  <si>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</si>
  <si>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</si>
  <si>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</si>
  <si>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</si>
  <si>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</si>
  <si>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</si>
  <si>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</si>
  <si>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</si>
  <si>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</si>
  <si>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</si>
  <si>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</si>
  <si>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</si>
  <si>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</si>
  <si>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</si>
  <si>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</si>
  <si>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</si>
  <si>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</si>
  <si>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</si>
  <si>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</si>
  <si>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</si>
  <si>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</si>
  <si>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</si>
  <si>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</si>
  <si>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</si>
  <si>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</si>
  <si>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</si>
  <si>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</si>
  <si>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</si>
  <si>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</si>
  <si>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</si>
  <si>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</si>
  <si>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 xml:space="preserve">TP 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</si>
  <si>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</si>
  <si>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</si>
  <si>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</si>
  <si>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</si>
  <si>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</si>
  <si>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</si>
  <si>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Excavation u/p</t>
  </si>
  <si>
    <t>Nirmal Wire Pvt. Ltd.</t>
  </si>
  <si>
    <t>Ground assy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</si>
  <si>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</si>
  <si>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</si>
  <si>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</si>
  <si>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</si>
  <si>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</si>
  <si>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</si>
  <si>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</si>
  <si>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</si>
  <si>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</si>
  <si>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</si>
  <si>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</si>
  <si>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</si>
  <si>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</si>
  <si>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</si>
  <si>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</si>
  <si>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</si>
  <si>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</si>
  <si>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</si>
  <si>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</si>
  <si>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</si>
  <si>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</si>
  <si>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</si>
  <si>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1st sec u/p</t>
  </si>
  <si>
    <t>A,B,C,D steel binding u/p</t>
  </si>
  <si>
    <t>District wise section</t>
  </si>
  <si>
    <t>May'26</t>
  </si>
  <si>
    <t>Sub-Contractor</t>
  </si>
  <si>
    <t>Musauddin Sk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</si>
  <si>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</si>
  <si>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</si>
  <si>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</si>
  <si>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</si>
  <si>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</si>
  <si>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</si>
  <si>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</si>
  <si>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</si>
  <si>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</si>
  <si>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</si>
  <si>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</si>
  <si>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</si>
  <si>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</si>
  <si>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</si>
  <si>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</si>
  <si>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</si>
  <si>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</si>
  <si>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</si>
  <si>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</si>
  <si>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</si>
  <si>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</si>
  <si>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</si>
  <si>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</si>
  <si>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</si>
  <si>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</si>
  <si>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</si>
  <si>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</si>
  <si>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</si>
  <si>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</si>
  <si>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</si>
  <si>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</si>
  <si>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</si>
  <si>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t>Survey!A1</t>
  </si>
  <si>
    <t>Earthing 
(Nos.)</t>
  </si>
  <si>
    <t>Foundation!A1</t>
  </si>
  <si>
    <t>Tower Erection (Nos)</t>
  </si>
  <si>
    <t>Earthing!A1</t>
  </si>
  <si>
    <t>Tack Welding (Nos)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</si>
  <si>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</si>
  <si>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Erection!A1</t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</si>
  <si>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</si>
  <si>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</si>
  <si>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</si>
  <si>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</si>
  <si>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</si>
  <si>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</si>
  <si>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</si>
  <si>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</si>
  <si>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</si>
  <si>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</si>
  <si>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</si>
  <si>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</si>
  <si>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</si>
  <si>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</si>
  <si>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</si>
  <si>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</si>
  <si>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</si>
  <si>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</si>
  <si>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</si>
  <si>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</si>
  <si>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</si>
  <si>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</si>
  <si>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</si>
  <si>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</si>
  <si>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</si>
  <si>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 xml:space="preserve">Rs 474. Cr 
</t>
  </si>
  <si>
    <t>Nabajit Baruah</t>
  </si>
  <si>
    <t>Prithviraj Dutta Choudhury</t>
  </si>
  <si>
    <t>Man. P</t>
  </si>
  <si>
    <t>FDN (WIP)</t>
  </si>
  <si>
    <t>Pit A</t>
  </si>
  <si>
    <t>Pit B</t>
  </si>
  <si>
    <t>Pit D</t>
  </si>
  <si>
    <t>Frustum &amp; Step box 1, Step Box 2 completed</t>
  </si>
  <si>
    <t>Pit C</t>
  </si>
  <si>
    <t>Chimney completed</t>
  </si>
  <si>
    <t>Steel binding</t>
  </si>
  <si>
    <t>Excavation</t>
  </si>
  <si>
    <t>51/0 </t>
  </si>
  <si>
    <t>Erection (WIP)</t>
  </si>
  <si>
    <t>Erection completed</t>
  </si>
  <si>
    <t>Next loc - 24/3</t>
  </si>
  <si>
    <t>Gang name</t>
  </si>
  <si>
    <t>Balaji Cons.</t>
  </si>
  <si>
    <t>Gang man power</t>
  </si>
  <si>
    <t>Gang leader contact</t>
  </si>
  <si>
    <t>Start date</t>
  </si>
  <si>
    <t>Target Finish Date</t>
  </si>
  <si>
    <t>Cage 1 WIP</t>
  </si>
  <si>
    <t>Gange name</t>
  </si>
  <si>
    <t>Completed today (MT)</t>
  </si>
  <si>
    <t>Completed So far (MT)</t>
  </si>
  <si>
    <t>MT</t>
  </si>
  <si>
    <t>Pit Marking</t>
  </si>
  <si>
    <t>Prahlad Singh</t>
  </si>
  <si>
    <t>Pit-C&amp;D Steel binding complete</t>
  </si>
  <si>
    <t>47/0, 47/5, 51/0, 63/0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</si>
  <si>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 47/0, 47/5, 51/0, 63/0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</si>
  <si>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02-05-2025</t>
  </si>
  <si>
    <t>Shree Balaji Construction</t>
  </si>
  <si>
    <t>21/0, 41/1, 48/6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</si>
  <si>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21/0, 41/1, 48/6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49/2</t>
    </r>
  </si>
  <si>
    <t>Cage part-1 u/p</t>
  </si>
  <si>
    <t>2nd section u/p</t>
  </si>
  <si>
    <t>Pit-B&amp;C Steel binding complete</t>
  </si>
  <si>
    <t>Pit-A Frustum, Stepbox-I,II &amp; Chimney complete</t>
  </si>
  <si>
    <t>ROW- 61/1, 59/1, 47/0, 41/6, 61/0, 60/0, 65/6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</si>
</sst>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[$-F800]dddd\,\ mmmm\ dd\,\ yyyy"/>
    <numFmt numFmtId="166" formatCode="0.0"/>
    <numFmt numFmtId="167" formatCode="0.000"/>
    <numFmt numFmtId="168" formatCode="0;;"/>
    <numFmt numFmtId="169" formatCode="0.000;;"/>
    <numFmt numFmtId="170" formatCode="_(* #,##0.000_);_(* \(#,##0.000\);_(* &quot;-&quot;???_);_(@_)"/>
    <numFmt numFmtId="171" formatCode="[$-14009]dd/mm/yy;@"/>
    <numFmt numFmtId="172" formatCode="[$-409]d/mmm/yyyy;@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  <font>
      <i/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9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64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4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7" fontId="16" fillId="0" borderId="47" xfId="0" applyNumberFormat="1" applyFont="1" applyBorder="1" applyAlignment="1">
      <alignment horizontal="center" vertical="center"/>
    </xf>
    <xf numFmtId="167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6" fontId="18" fillId="2" borderId="47" xfId="0" applyNumberFormat="1" applyFont="1" applyFill="1" applyBorder="1" applyAlignment="1">
      <alignment horizontal="center" vertical="center" wrapText="1"/>
    </xf>
    <xf numFmtId="167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8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8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9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8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8" fontId="21" fillId="2" borderId="1" xfId="0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wrapText="1"/>
    </xf>
    <xf numFmtId="170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8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7" fontId="45" fillId="2" borderId="2" xfId="0" applyNumberFormat="1" applyFont="1" applyFill="1" applyBorder="1" applyAlignment="1">
      <alignment horizontal="center" vertical="center"/>
    </xf>
    <xf numFmtId="167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7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7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7" fontId="36" fillId="2" borderId="1" xfId="7" applyNumberFormat="1" applyFill="1" applyBorder="1" applyAlignment="1">
      <alignment horizontal="center" vertical="center" wrapText="1"/>
    </xf>
    <xf numFmtId="167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7" fontId="60" fillId="0" borderId="23" xfId="0" applyNumberFormat="1" applyFont="1" applyBorder="1" applyAlignment="1">
      <alignment horizontal="center" vertical="center"/>
    </xf>
    <xf numFmtId="167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7" fontId="60" fillId="0" borderId="1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7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6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6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7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6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7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7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7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4" borderId="1" xfId="0" applyFill="1" applyBorder="1"/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4" borderId="1" xfId="0" applyNumberFormat="1" applyFill="1" applyBorder="1" applyAlignment="1">
      <alignment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6" fillId="2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6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7" fontId="76" fillId="2" borderId="0" xfId="28" applyNumberFormat="1" applyFont="1" applyFill="1">
      <alignment vertical="center"/>
    </xf>
    <xf numFmtId="166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6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6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6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100" fillId="2" borderId="1" xfId="28" applyFont="1" applyFill="1" applyBorder="1" applyAlignment="1">
      <alignment wrapText="1"/>
    </xf>
    <xf numFmtId="0" fontId="74" fillId="2" borderId="1" xfId="28" applyFont="1" applyFill="1" applyBorder="1" applyAlignment="1"/>
    <xf numFmtId="0" fontId="74" fillId="2" borderId="1" xfId="28" applyFont="1" applyFill="1" applyBorder="1" applyAlignment="1">
      <alignment wrapText="1"/>
    </xf>
    <xf numFmtId="0" fontId="101" fillId="2" borderId="1" xfId="28" applyFont="1" applyFill="1" applyBorder="1" applyAlignment="1">
      <alignment wrapText="1"/>
    </xf>
    <xf numFmtId="0" fontId="101" fillId="2" borderId="1" xfId="28" applyFont="1" applyFill="1" applyBorder="1" applyAlignment="1"/>
    <xf numFmtId="0" fontId="94" fillId="2" borderId="23" xfId="28" applyFont="1" applyFill="1" applyBorder="1" applyAlignment="1">
      <alignment wrapText="1"/>
    </xf>
    <xf numFmtId="0" fontId="94" fillId="2" borderId="23" xfId="28" applyFont="1" applyFill="1" applyBorder="1" applyAlignment="1"/>
    <xf numFmtId="0" fontId="94" fillId="2" borderId="24" xfId="28" applyFont="1" applyFill="1" applyBorder="1" applyAlignment="1"/>
    <xf numFmtId="17" fontId="74" fillId="2" borderId="10" xfId="28" quotePrefix="1" applyNumberFormat="1" applyFont="1" applyFill="1" applyBorder="1" applyAlignment="1">
      <alignment horizontal="left" vertical="center"/>
    </xf>
    <xf numFmtId="0" fontId="101" fillId="2" borderId="25" xfId="28" applyFont="1" applyFill="1" applyBorder="1" applyAlignment="1"/>
    <xf numFmtId="0" fontId="74" fillId="2" borderId="11" xfId="28" applyFont="1" applyFill="1" applyBorder="1" applyAlignment="1">
      <alignment horizontal="left"/>
    </xf>
    <xf numFmtId="0" fontId="101" fillId="2" borderId="12" xfId="28" applyFont="1" applyFill="1" applyBorder="1" applyAlignment="1">
      <alignment wrapText="1"/>
    </xf>
    <xf numFmtId="0" fontId="101" fillId="2" borderId="12" xfId="28" applyFont="1" applyFill="1" applyBorder="1" applyAlignment="1"/>
    <xf numFmtId="0" fontId="101" fillId="2" borderId="32" xfId="28" applyFont="1" applyFill="1" applyBorder="1" applyAlignment="1"/>
    <xf numFmtId="0" fontId="94" fillId="4" borderId="41" xfId="28" applyFont="1" applyFill="1" applyBorder="1" applyAlignment="1"/>
    <xf numFmtId="0" fontId="101" fillId="2" borderId="1" xfId="28" applyFont="1" applyFill="1" applyBorder="1" applyAlignment="1">
      <alignment horizontal="left"/>
    </xf>
    <xf numFmtId="0" fontId="104" fillId="2" borderId="1" xfId="28" applyFont="1" applyFill="1" applyBorder="1" applyAlignment="1">
      <alignment vertical="center" wrapText="1"/>
    </xf>
    <xf numFmtId="0" fontId="103" fillId="2" borderId="1" xfId="28" applyFont="1" applyFill="1" applyBorder="1" applyAlignment="1">
      <alignment vertical="center" wrapText="1"/>
    </xf>
    <xf numFmtId="0" fontId="76" fillId="2" borderId="1" xfId="28" applyFont="1" applyFill="1" applyBorder="1">
      <alignment vertical="center"/>
    </xf>
    <xf numFmtId="0" fontId="98" fillId="2" borderId="6" xfId="28" applyFont="1" applyFill="1" applyBorder="1" applyAlignment="1">
      <alignment horizontal="left"/>
    </xf>
    <xf numFmtId="0" fontId="99" fillId="2" borderId="6" xfId="28" applyFont="1" applyFill="1" applyBorder="1" applyAlignment="1">
      <alignment horizontal="left"/>
    </xf>
    <xf numFmtId="0" fontId="102" fillId="2" borderId="6" xfId="28" applyFont="1" applyFill="1" applyBorder="1" applyAlignment="1">
      <alignment horizontal="left"/>
    </xf>
    <xf numFmtId="0" fontId="103" fillId="2" borderId="1" xfId="28" applyFont="1" applyFill="1" applyBorder="1" applyAlignment="1">
      <alignment horizontal="left" vertical="center"/>
    </xf>
    <xf numFmtId="15" fontId="103" fillId="2" borderId="1" xfId="28" applyNumberFormat="1" applyFont="1" applyFill="1" applyBorder="1" applyAlignment="1">
      <alignment horizontal="left" vertical="center"/>
    </xf>
    <xf numFmtId="0" fontId="74" fillId="2" borderId="0" xfId="28" applyFont="1" applyFill="1" applyAlignment="1">
      <alignment horizontal="left" vertical="center"/>
    </xf>
    <xf numFmtId="0" fontId="76" fillId="2" borderId="1" xfId="28" applyFont="1" applyFill="1" applyBorder="1" applyAlignment="1">
      <alignment horizontal="center" vertical="center"/>
    </xf>
    <xf numFmtId="0" fontId="94" fillId="2" borderId="1" xfId="28" applyFont="1" applyFill="1" applyBorder="1" applyAlignment="1">
      <alignment horizontal="center"/>
    </xf>
    <xf numFmtId="0" fontId="97" fillId="2" borderId="1" xfId="28" applyFont="1" applyFill="1" applyBorder="1" applyAlignment="1"/>
    <xf numFmtId="0" fontId="105" fillId="2" borderId="1" xfId="28" applyFont="1" applyFill="1" applyBorder="1" applyAlignment="1">
      <alignment vertical="center" wrapText="1"/>
    </xf>
    <xf numFmtId="0" fontId="106" fillId="2" borderId="1" xfId="28" applyFont="1" applyFill="1" applyBorder="1" applyAlignment="1">
      <alignment vertical="center" wrapText="1"/>
    </xf>
    <xf numFmtId="0" fontId="74" fillId="2" borderId="1" xfId="28" applyFont="1" applyFill="1" applyBorder="1" applyAlignment="1">
      <alignment horizontal="center"/>
    </xf>
    <xf numFmtId="0" fontId="94" fillId="4" borderId="1" xfId="28" applyFont="1" applyFill="1" applyBorder="1" applyAlignment="1"/>
    <xf numFmtId="0" fontId="101" fillId="2" borderId="1" xfId="28" applyFont="1" applyFill="1" applyBorder="1" applyAlignment="1">
      <alignment horizontal="center"/>
    </xf>
    <xf numFmtId="0" fontId="98" fillId="2" borderId="1" xfId="28" applyFont="1" applyFill="1" applyBorder="1" applyAlignment="1">
      <alignment horizontal="center"/>
    </xf>
    <xf numFmtId="167" fontId="74" fillId="2" borderId="1" xfId="28" applyNumberFormat="1" applyFont="1" applyFill="1" applyBorder="1" applyAlignment="1">
      <alignment horizontal="center"/>
    </xf>
    <xf numFmtId="167" fontId="74" fillId="2" borderId="1" xfId="28" applyNumberFormat="1" applyFont="1" applyFill="1" applyBorder="1" applyAlignment="1"/>
    <xf numFmtId="17" fontId="0" fillId="0" borderId="1" xfId="0" quotePrefix="1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14" fontId="0" fillId="25" borderId="1" xfId="0" applyNumberFormat="1" applyFill="1" applyBorder="1" applyAlignment="1">
      <alignment horizontal="center" vertical="center"/>
    </xf>
    <xf numFmtId="49" fontId="68" fillId="2" borderId="1" xfId="17" quotePrefix="1" applyNumberFormat="1" applyFont="1" applyFill="1" applyBorder="1" applyAlignment="1">
      <alignment horizontal="center"/>
    </xf>
    <xf numFmtId="49" fontId="69" fillId="2" borderId="1" xfId="0" applyNumberFormat="1" applyFont="1" applyFill="1" applyBorder="1" applyAlignment="1">
      <alignment horizontal="center"/>
    </xf>
    <xf numFmtId="49" fontId="68" fillId="2" borderId="1" xfId="17" applyNumberFormat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69" fillId="2" borderId="0" xfId="0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2" fontId="74" fillId="2" borderId="4" xfId="28" applyNumberFormat="1" applyFont="1" applyFill="1" applyBorder="1" applyAlignment="1">
      <alignment horizontal="center" vertical="center" wrapText="1"/>
    </xf>
    <xf numFmtId="172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2" fontId="74" fillId="2" borderId="1" xfId="28" applyNumberFormat="1" applyFont="1" applyFill="1" applyBorder="1" applyAlignment="1">
      <alignment horizontal="left" vertical="center" wrapText="1"/>
    </xf>
    <xf numFmtId="172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23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300148" y="2079037"/>
          <a:ext cx="529256" cy="35621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40667" y="23556148"/>
          <a:ext cx="529256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420353</xdr:colOff>
      <xdr:row>26</xdr:row>
      <xdr:rowOff>-1</xdr:rowOff>
    </xdr:from>
    <xdr:to>
      <xdr:col>33</xdr:col>
      <xdr:colOff>17888</xdr:colOff>
      <xdr:row>28</xdr:row>
      <xdr:rowOff>8944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508804" y="5169436"/>
          <a:ext cx="572394" cy="38457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30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0358" y="57548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923" name="Picture 922" descr="A black and white symbol&#10;&#10;Description automatically generated">
          <a:extLst>
            <a:ext uri="{FF2B5EF4-FFF2-40B4-BE49-F238E27FC236}">
              <a16:creationId xmlns:a16="http://schemas.microsoft.com/office/drawing/2014/main" id="{7F176B2F-5019-4F33-9C2D-680BCB2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926" y="13640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924" name="Picture 923" descr="A black and white symbol&#10;&#10;Description automatically generated">
          <a:extLst>
            <a:ext uri="{FF2B5EF4-FFF2-40B4-BE49-F238E27FC236}">
              <a16:creationId xmlns:a16="http://schemas.microsoft.com/office/drawing/2014/main" id="{0B4DCF38-E664-4D92-AA45-8379E56E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96" y="2426170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A1F8A4F4-1869-4573-98E9-2401D54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407" y="199813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1767" name="Picture 1766" descr="A black and white symbol&#10;&#10;Description automatically generated">
          <a:extLst>
            <a:ext uri="{FF2B5EF4-FFF2-40B4-BE49-F238E27FC236}">
              <a16:creationId xmlns:a16="http://schemas.microsoft.com/office/drawing/2014/main" id="{8B43E0C6-B14F-4C54-BBF9-7FA4651E9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4267" y="13885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38</xdr:row>
      <xdr:rowOff>0</xdr:rowOff>
    </xdr:from>
    <xdr:ext cx="230186" cy="271084"/>
    <xdr:pic>
      <xdr:nvPicPr>
        <xdr:cNvPr id="1773" name="Picture 1772" descr="A black and white symbol&#10;&#10;Description automatically generated">
          <a:extLst>
            <a:ext uri="{FF2B5EF4-FFF2-40B4-BE49-F238E27FC236}">
              <a16:creationId xmlns:a16="http://schemas.microsoft.com/office/drawing/2014/main" id="{590F91F6-F2E9-4A65-8D2D-5241ECAE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1867" y="73575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22746</xdr:rowOff>
    </xdr:from>
    <xdr:ext cx="230186" cy="271084"/>
    <xdr:pic>
      <xdr:nvPicPr>
        <xdr:cNvPr id="1778" name="Picture 1777" descr="A black and white symbol&#10;&#10;Description automatically generated">
          <a:extLst>
            <a:ext uri="{FF2B5EF4-FFF2-40B4-BE49-F238E27FC236}">
              <a16:creationId xmlns:a16="http://schemas.microsoft.com/office/drawing/2014/main" id="{9F8F50A8-9A2C-41C2-86EA-ED6D37EE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0896" y="139889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1780" name="Picture 1779" descr="A black and white symbol&#10;&#10;Description automatically generated">
          <a:extLst>
            <a:ext uri="{FF2B5EF4-FFF2-40B4-BE49-F238E27FC236}">
              <a16:creationId xmlns:a16="http://schemas.microsoft.com/office/drawing/2014/main" id="{AFE11C7E-04F0-41F7-A61E-B9D7D3DE6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478" y="137614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1788" name="Picture 1787" descr="A black and white symbol&#10;&#10;Description automatically generated">
          <a:extLst>
            <a:ext uri="{FF2B5EF4-FFF2-40B4-BE49-F238E27FC236}">
              <a16:creationId xmlns:a16="http://schemas.microsoft.com/office/drawing/2014/main" id="{44585E2E-83D2-4D15-BA11-90C3BE24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9284" y="137614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230186" cy="271084"/>
    <xdr:pic>
      <xdr:nvPicPr>
        <xdr:cNvPr id="1790" name="Picture 1789" descr="A black and white symbol&#10;&#10;Description automatically generated">
          <a:extLst>
            <a:ext uri="{FF2B5EF4-FFF2-40B4-BE49-F238E27FC236}">
              <a16:creationId xmlns:a16="http://schemas.microsoft.com/office/drawing/2014/main" id="{BB68780D-04A4-49D5-BFE7-599CACAB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9284" y="28319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11373</xdr:colOff>
      <xdr:row>13</xdr:row>
      <xdr:rowOff>170597</xdr:rowOff>
    </xdr:from>
    <xdr:ext cx="230186" cy="271084"/>
    <xdr:pic>
      <xdr:nvPicPr>
        <xdr:cNvPr id="1792" name="Picture 1791" descr="A black and white symbol&#10;&#10;Description automatically generated">
          <a:extLst>
            <a:ext uri="{FF2B5EF4-FFF2-40B4-BE49-F238E27FC236}">
              <a16:creationId xmlns:a16="http://schemas.microsoft.com/office/drawing/2014/main" id="{196DF17B-804B-494C-A47C-3EF572E6B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761" y="282053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11374</xdr:rowOff>
    </xdr:from>
    <xdr:ext cx="230186" cy="271084"/>
    <xdr:pic>
      <xdr:nvPicPr>
        <xdr:cNvPr id="1794" name="Picture 1793" descr="A black and white symbol&#10;&#10;Description automatically generated">
          <a:extLst>
            <a:ext uri="{FF2B5EF4-FFF2-40B4-BE49-F238E27FC236}">
              <a16:creationId xmlns:a16="http://schemas.microsoft.com/office/drawing/2014/main" id="{1560FC4E-9797-4773-AAF9-339D1869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8746" y="284328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62</xdr:row>
      <xdr:rowOff>0</xdr:rowOff>
    </xdr:from>
    <xdr:ext cx="230186" cy="271084"/>
    <xdr:pic>
      <xdr:nvPicPr>
        <xdr:cNvPr id="1813" name="Picture 1812" descr="A black and white symbol&#10;&#10;Description automatically generated">
          <a:extLst>
            <a:ext uri="{FF2B5EF4-FFF2-40B4-BE49-F238E27FC236}">
              <a16:creationId xmlns:a16="http://schemas.microsoft.com/office/drawing/2014/main" id="{F4BB143C-1328-40B8-AF6B-EB7EEE915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0896" y="11589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261583</xdr:colOff>
      <xdr:row>61</xdr:row>
      <xdr:rowOff>181969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B29BB99E-7A92-41A3-B3B3-DA87F66BA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3105" y="115892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62</xdr:row>
      <xdr:rowOff>0</xdr:rowOff>
    </xdr:from>
    <xdr:ext cx="230186" cy="271084"/>
    <xdr:pic>
      <xdr:nvPicPr>
        <xdr:cNvPr id="1815" name="Picture 1814" descr="A black and white symbol&#10;&#10;Description automatically generated">
          <a:extLst>
            <a:ext uri="{FF2B5EF4-FFF2-40B4-BE49-F238E27FC236}">
              <a16:creationId xmlns:a16="http://schemas.microsoft.com/office/drawing/2014/main" id="{B6C45AD0-08BC-44F0-BAAA-FE56BA30B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0358" y="11589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62</xdr:row>
      <xdr:rowOff>0</xdr:rowOff>
    </xdr:from>
    <xdr:ext cx="230186" cy="271084"/>
    <xdr:pic>
      <xdr:nvPicPr>
        <xdr:cNvPr id="1816" name="Picture 1815" descr="A black and white symbol&#10;&#10;Description automatically generated">
          <a:extLst>
            <a:ext uri="{FF2B5EF4-FFF2-40B4-BE49-F238E27FC236}">
              <a16:creationId xmlns:a16="http://schemas.microsoft.com/office/drawing/2014/main" id="{EDA0612E-F9C2-45D3-B594-05BDF36C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9284" y="11589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37</xdr:row>
      <xdr:rowOff>170598</xdr:rowOff>
    </xdr:from>
    <xdr:ext cx="230186" cy="271084"/>
    <xdr:pic>
      <xdr:nvPicPr>
        <xdr:cNvPr id="1817" name="Picture 1816" descr="A black and white symbol&#10;&#10;Description automatically generated">
          <a:extLst>
            <a:ext uri="{FF2B5EF4-FFF2-40B4-BE49-F238E27FC236}">
              <a16:creationId xmlns:a16="http://schemas.microsoft.com/office/drawing/2014/main" id="{B5542CF7-5985-46DC-892A-7CD18A05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1254" y="719919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PAT-I\Sipat-Seoni%20Ckt%231%20&amp;%202\L&amp;T,%20Package-A1,circuit-1\Interim%20deviation\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map07/AppData/Local/Microsoft/Windows/INetCache/Content.Outlook/BTLGUXGA/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KG%20F%20Progress%20DPR-TB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44.579070254629" createdVersion="7" refreshedVersion="7" minRefreshableVersion="3" recordCount="263" xr:uid="{5CF3EA6F-58EB-4BEB-A9D5-CF926906B4F4}">
  <cacheSource type="worksheet">
    <worksheetSource ref="A2:L265" sheet="FOUNDATION"/>
  </cacheSource>
  <cacheFields count="11">
    <cacheField name="SL NO." numFmtId="0">
      <sharedItems containsSemiMixedTypes="0" containsString="0" containsNumber="1" containsInteger="1" minValue="1" maxValue="263"/>
    </cacheField>
    <cacheField name="LOC No. " numFmtId="0">
      <sharedItems/>
    </cacheField>
    <cacheField name="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STATUS " numFmtId="0">
      <sharedItems count="6">
        <s v="COMPLETED"/>
        <s v="COMPLETED  "/>
        <s v="No Progress (Water pipe line)"/>
        <s v="Excavation u/p"/>
        <s v="Pit - C&amp;d Steel binding u/p"/>
        <s v="A,B,C,D steel binding u/p"/>
      </sharedItems>
    </cacheField>
    <cacheField name="STARTING DATE" numFmtId="0">
      <sharedItems containsDate="1" containsBlank="1" containsMixedTypes="1" minDate="2025-05-14T00:00:00" maxDate="2026-04-28T00:00:00"/>
    </cacheField>
    <cacheField name="ENDING DATE " numFmtId="0">
      <sharedItems containsDate="1" containsBlank="1" containsMixedTypes="1" minDate="2025-01-01T00:00:00" maxDate="2026-04-30T00:00:00"/>
    </cacheField>
    <cacheField name="Work started month" numFmtId="0">
      <sharedItems containsBlank="1"/>
    </cacheField>
    <cacheField name="Completed month" numFmtId="0">
      <sharedItems containsBlank="1"/>
    </cacheField>
    <cacheField name="CONTRACTO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44.582164814812" createdVersion="7" refreshedVersion="7" minRefreshableVersion="3" recordCount="190" xr:uid="{D2266F29-5819-441F-9644-D621F8E0AE64}">
  <cacheSource type="worksheet">
    <worksheetSource ref="A2:J191" sheet="ERECTION"/>
  </cacheSource>
  <cacheFields count="9">
    <cacheField name="SL NO." numFmtId="0">
      <sharedItems containsSemiMixedTypes="0" containsString="0" containsNumber="1" containsInteger="1" minValue="1" maxValue="190"/>
    </cacheField>
    <cacheField name="LOC No. " numFmtId="0">
      <sharedItems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7">
        <s v="COMPLETED "/>
        <s v="COMPLETED  "/>
        <s v="1st sec u/p"/>
        <s v="Cage 2 u/p"/>
        <s v="Material Shifting"/>
        <s v="Basic Body u/p"/>
        <s v="Ground assy"/>
      </sharedItems>
    </cacheField>
    <cacheField name="STARTING DATE" numFmtId="14">
      <sharedItems containsDate="1" containsMixedTypes="1" minDate="2026-04-08T00:00:00" maxDate="2026-05-01T00:00:00"/>
    </cacheField>
    <cacheField name="ENDING DATE " numFmtId="0">
      <sharedItems containsDate="1" containsBlank="1" containsMixedTypes="1" minDate="2025-09-03T00:00:00" maxDate="2026-05-01T00:00:00"/>
    </cacheField>
    <cacheField name="Work starting month" numFmtId="0">
      <sharedItems containsBlank="1"/>
    </cacheField>
    <cacheField name="Work completion Month" numFmtId="0">
      <sharedItems containsBlank="1"/>
    </cacheField>
    <cacheField name="CONTRACTO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1"/>
    <s v="8/1"/>
    <x v="0"/>
    <s v="DA+0"/>
    <s v="DFR"/>
    <x v="0"/>
    <m/>
    <d v="2025-01-01T00:00:00"/>
    <m/>
    <m/>
    <s v="JSC Enterprises"/>
  </r>
  <r>
    <n v="2"/>
    <s v="8/3"/>
    <x v="0"/>
    <s v="DA+3"/>
    <s v="DFR"/>
    <x v="0"/>
    <m/>
    <d v="2025-01-01T00:00:00"/>
    <m/>
    <m/>
    <s v="JSC Enterprises"/>
  </r>
  <r>
    <n v="3"/>
    <s v="8/4"/>
    <x v="0"/>
    <s v="DA+3"/>
    <s v="DFR"/>
    <x v="0"/>
    <m/>
    <d v="2025-01-01T00:00:00"/>
    <m/>
    <m/>
    <s v="JSC Enterprises"/>
  </r>
  <r>
    <n v="4"/>
    <s v="8/6"/>
    <x v="0"/>
    <s v="DA+0"/>
    <s v="DFR"/>
    <x v="0"/>
    <m/>
    <d v="2025-01-01T00:00:00"/>
    <m/>
    <m/>
    <s v="Afflux Construction"/>
  </r>
  <r>
    <n v="5"/>
    <s v="16/4"/>
    <x v="0"/>
    <s v="DA+0"/>
    <s v="DFR"/>
    <x v="0"/>
    <m/>
    <d v="2025-01-01T00:00:00"/>
    <m/>
    <m/>
    <s v="JSC Enterprises"/>
  </r>
  <r>
    <n v="6"/>
    <s v="8/5"/>
    <x v="0"/>
    <s v="DA+0"/>
    <s v="DFR"/>
    <x v="0"/>
    <m/>
    <d v="2025-02-01T00:00:00"/>
    <m/>
    <m/>
    <s v="JSC Enterprises"/>
  </r>
  <r>
    <n v="7"/>
    <s v="8/7"/>
    <x v="0"/>
    <s v="DA+0"/>
    <s v="WC"/>
    <x v="0"/>
    <m/>
    <d v="2025-02-01T00:00:00"/>
    <m/>
    <m/>
    <s v="Afflux Construction"/>
  </r>
  <r>
    <n v="8"/>
    <s v="8/8"/>
    <x v="0"/>
    <s v="DA+3"/>
    <s v="WC"/>
    <x v="0"/>
    <m/>
    <d v="2025-02-01T00:00:00"/>
    <m/>
    <m/>
    <s v="Afflux Construction"/>
  </r>
  <r>
    <n v="9"/>
    <s v="8/2"/>
    <x v="0"/>
    <s v="DA+3"/>
    <s v="DFR"/>
    <x v="0"/>
    <m/>
    <d v="2025-02-01T00:00:00"/>
    <m/>
    <m/>
    <s v="JSC Enterprises"/>
  </r>
  <r>
    <n v="10"/>
    <s v="16/1"/>
    <x v="0"/>
    <s v="DA+0"/>
    <s v="DFR"/>
    <x v="0"/>
    <m/>
    <d v="2025-02-01T00:00:00"/>
    <m/>
    <m/>
    <s v="Surya Group"/>
  </r>
  <r>
    <n v="11"/>
    <s v="15/7"/>
    <x v="0"/>
    <s v="DA+0"/>
    <s v="DFR"/>
    <x v="0"/>
    <m/>
    <d v="2025-02-01T00:00:00"/>
    <m/>
    <m/>
    <s v="Surya Group"/>
  </r>
  <r>
    <n v="12"/>
    <s v="7/3"/>
    <x v="0"/>
    <s v="DA+0"/>
    <s v="DFR"/>
    <x v="0"/>
    <m/>
    <d v="2025-02-01T00:00:00"/>
    <m/>
    <m/>
    <s v="Afflux Construction"/>
  </r>
  <r>
    <n v="13"/>
    <s v="9/3"/>
    <x v="0"/>
    <s v="DA+6"/>
    <s v="DFR"/>
    <x v="0"/>
    <m/>
    <d v="2025-02-01T00:00:00"/>
    <m/>
    <m/>
    <s v="JSC Enterprises"/>
  </r>
  <r>
    <n v="14"/>
    <s v="15/8"/>
    <x v="0"/>
    <s v="DA+0"/>
    <s v="DFR"/>
    <x v="0"/>
    <m/>
    <d v="2025-02-01T00:00:00"/>
    <m/>
    <m/>
    <s v="Surya Group"/>
  </r>
  <r>
    <n v="15"/>
    <s v="13/1"/>
    <x v="0"/>
    <s v="DA-1.5"/>
    <s v="DFR"/>
    <x v="0"/>
    <m/>
    <d v="2025-02-01T00:00:00"/>
    <m/>
    <m/>
    <s v="Urmila Bibi"/>
  </r>
  <r>
    <n v="16"/>
    <s v="15/2"/>
    <x v="0"/>
    <s v="DA+3"/>
    <s v="DFR"/>
    <x v="0"/>
    <m/>
    <d v="2025-02-01T00:00:00"/>
    <m/>
    <m/>
    <s v="Shree Shyam Granite"/>
  </r>
  <r>
    <n v="17"/>
    <s v="15/9"/>
    <x v="0"/>
    <s v="DA+3"/>
    <s v="DFR"/>
    <x v="0"/>
    <m/>
    <d v="2025-02-01T00:00:00"/>
    <m/>
    <m/>
    <s v="Surya Group"/>
  </r>
  <r>
    <n v="18"/>
    <s v="9/2"/>
    <x v="0"/>
    <s v="DA+0"/>
    <s v="DFR"/>
    <x v="0"/>
    <m/>
    <d v="2025-02-01T00:00:00"/>
    <m/>
    <m/>
    <s v="JSC Enterprises"/>
  </r>
  <r>
    <n v="19"/>
    <s v="13/2"/>
    <x v="0"/>
    <s v="DA+0"/>
    <s v="DFR"/>
    <x v="0"/>
    <m/>
    <d v="2025-02-01T00:00:00"/>
    <m/>
    <m/>
    <s v="Urmila Bibi"/>
  </r>
  <r>
    <n v="20"/>
    <s v="7/4"/>
    <x v="0"/>
    <s v="DA+0"/>
    <s v="DFR"/>
    <x v="0"/>
    <m/>
    <d v="2025-03-01T00:00:00"/>
    <m/>
    <m/>
    <s v="Afflux Construction"/>
  </r>
  <r>
    <n v="21"/>
    <s v="15/4"/>
    <x v="0"/>
    <s v="DA+6"/>
    <s v="DFR"/>
    <x v="0"/>
    <m/>
    <d v="2025-03-01T00:00:00"/>
    <m/>
    <m/>
    <s v="Shree Shyam Granite"/>
  </r>
  <r>
    <n v="22"/>
    <s v="16/2"/>
    <x v="0"/>
    <s v="DA-3"/>
    <s v="WFR"/>
    <x v="0"/>
    <m/>
    <d v="2025-03-01T00:00:00"/>
    <m/>
    <m/>
    <s v="Surya Group"/>
  </r>
  <r>
    <n v="23"/>
    <s v="13/4"/>
    <x v="0"/>
    <s v="DA-3"/>
    <s v="DFR"/>
    <x v="0"/>
    <m/>
    <d v="2025-03-01T00:00:00"/>
    <m/>
    <m/>
    <s v="Urmila Bibi"/>
  </r>
  <r>
    <n v="24"/>
    <s v="16/8"/>
    <x v="0"/>
    <s v="DA-3"/>
    <s v="DFR"/>
    <x v="0"/>
    <m/>
    <d v="2025-03-01T00:00:00"/>
    <m/>
    <m/>
    <s v="Surya Group"/>
  </r>
  <r>
    <n v="25"/>
    <s v="7/2"/>
    <x v="0"/>
    <s v="DA+0"/>
    <s v="DFR"/>
    <x v="0"/>
    <m/>
    <d v="2025-03-01T00:00:00"/>
    <m/>
    <m/>
    <s v="Afflux Construction"/>
  </r>
  <r>
    <n v="26"/>
    <s v="13/3"/>
    <x v="0"/>
    <s v="DA+0"/>
    <s v="DFR"/>
    <x v="0"/>
    <m/>
    <d v="2025-03-01T00:00:00"/>
    <m/>
    <m/>
    <s v="Urmila Bibi"/>
  </r>
  <r>
    <n v="27"/>
    <s v="10/2"/>
    <x v="0"/>
    <s v="DA(-)3"/>
    <s v="DFR"/>
    <x v="0"/>
    <m/>
    <d v="2025-03-01T00:00:00"/>
    <m/>
    <m/>
    <s v="JSC Enterprises"/>
  </r>
  <r>
    <n v="28"/>
    <s v="15/1"/>
    <x v="0"/>
    <s v="DA+0"/>
    <s v="WFR"/>
    <x v="0"/>
    <m/>
    <d v="2025-03-01T00:00:00"/>
    <m/>
    <m/>
    <s v="Shree Shyam Granite"/>
  </r>
  <r>
    <n v="29"/>
    <s v="15/5"/>
    <x v="0"/>
    <s v="DA(-)3"/>
    <s v="WFR"/>
    <x v="0"/>
    <m/>
    <d v="2025-03-01T00:00:00"/>
    <m/>
    <m/>
    <s v="Surya Group"/>
  </r>
  <r>
    <n v="30"/>
    <s v="13/5"/>
    <x v="0"/>
    <s v="DA+0"/>
    <s v="DFR"/>
    <x v="0"/>
    <m/>
    <d v="2025-03-01T00:00:00"/>
    <m/>
    <m/>
    <s v="Urmila Bibi"/>
  </r>
  <r>
    <n v="31"/>
    <s v="10/1"/>
    <x v="0"/>
    <s v="DA+0"/>
    <s v="DFR"/>
    <x v="0"/>
    <m/>
    <d v="2025-03-01T00:00:00"/>
    <m/>
    <m/>
    <s v="JSC Enterprises"/>
  </r>
  <r>
    <n v="32"/>
    <s v="16/3"/>
    <x v="0"/>
    <s v="DA+9"/>
    <s v="WFR"/>
    <x v="0"/>
    <m/>
    <d v="2025-03-01T00:00:00"/>
    <m/>
    <m/>
    <s v="Surya Group"/>
  </r>
  <r>
    <n v="33"/>
    <s v="15/3"/>
    <x v="0"/>
    <s v="DA+0"/>
    <s v="DFR"/>
    <x v="0"/>
    <m/>
    <d v="2025-03-01T00:00:00"/>
    <m/>
    <m/>
    <s v="Shree Shyam Granite"/>
  </r>
  <r>
    <n v="34"/>
    <s v="14/1"/>
    <x v="0"/>
    <s v="DA+0"/>
    <s v="DFR"/>
    <x v="0"/>
    <m/>
    <d v="2025-03-01T00:00:00"/>
    <m/>
    <m/>
    <s v="Urmila Bibi"/>
  </r>
  <r>
    <n v="35"/>
    <s v="16/7"/>
    <x v="0"/>
    <s v="DA+0"/>
    <s v="DFR"/>
    <x v="0"/>
    <m/>
    <d v="2025-03-01T00:00:00"/>
    <m/>
    <m/>
    <s v="Surya Group"/>
  </r>
  <r>
    <n v="36"/>
    <s v="12/2"/>
    <x v="0"/>
    <s v="DA-3"/>
    <s v="DFR"/>
    <x v="0"/>
    <m/>
    <d v="2025-03-01T00:00:00"/>
    <m/>
    <m/>
    <s v="Afflux Construction"/>
  </r>
  <r>
    <n v="37"/>
    <s v="14/3"/>
    <x v="0"/>
    <s v="DA(-)3"/>
    <s v="DFR"/>
    <x v="0"/>
    <m/>
    <d v="2025-03-01T00:00:00"/>
    <m/>
    <m/>
    <s v="Urmila Bibi"/>
  </r>
  <r>
    <n v="38"/>
    <s v="12/5"/>
    <x v="0"/>
    <s v="DA+1.5"/>
    <s v="DFR"/>
    <x v="0"/>
    <m/>
    <d v="2025-03-01T00:00:00"/>
    <m/>
    <m/>
    <s v="Shree Shyam Granite"/>
  </r>
  <r>
    <n v="39"/>
    <s v="14/4"/>
    <x v="0"/>
    <s v="DA+3"/>
    <s v="DFR"/>
    <x v="0"/>
    <m/>
    <d v="2025-03-01T00:00:00"/>
    <m/>
    <m/>
    <s v="Urmila Bibi"/>
  </r>
  <r>
    <n v="40"/>
    <s v="16/6"/>
    <x v="0"/>
    <s v="DA-3"/>
    <s v="DFR"/>
    <x v="0"/>
    <m/>
    <d v="2025-03-01T00:00:00"/>
    <m/>
    <m/>
    <s v="Surya Group"/>
  </r>
  <r>
    <n v="41"/>
    <s v="12/1"/>
    <x v="0"/>
    <s v="DA+3"/>
    <s v="DFR"/>
    <x v="0"/>
    <m/>
    <d v="2025-03-01T00:00:00"/>
    <m/>
    <m/>
    <s v="Afflux Construction"/>
  </r>
  <r>
    <n v="42"/>
    <s v="12/6"/>
    <x v="0"/>
    <s v="DA+0"/>
    <s v="DFR"/>
    <x v="0"/>
    <m/>
    <d v="2025-03-01T00:00:00"/>
    <m/>
    <m/>
    <s v="Shree Shyam Granite"/>
  </r>
  <r>
    <n v="43"/>
    <s v="14/2"/>
    <x v="0"/>
    <s v="DA+0"/>
    <s v="DFR"/>
    <x v="0"/>
    <m/>
    <d v="2025-03-01T00:00:00"/>
    <m/>
    <m/>
    <s v="Urmila Bibi"/>
  </r>
  <r>
    <n v="44"/>
    <s v="16/9"/>
    <x v="0"/>
    <s v="DA+0"/>
    <s v="DFR"/>
    <x v="0"/>
    <m/>
    <d v="2025-03-01T00:00:00"/>
    <m/>
    <m/>
    <s v="Surya Group"/>
  </r>
  <r>
    <n v="45"/>
    <s v="16/5"/>
    <x v="0"/>
    <s v="DA+6"/>
    <s v="DFR"/>
    <x v="0"/>
    <m/>
    <d v="2025-03-01T00:00:00"/>
    <m/>
    <m/>
    <s v="Surya Group"/>
  </r>
  <r>
    <n v="46"/>
    <s v="12/3"/>
    <x v="0"/>
    <s v="DA(-)3"/>
    <s v="DFR"/>
    <x v="0"/>
    <m/>
    <d v="2025-03-01T00:00:00"/>
    <m/>
    <m/>
    <s v="Afflux Construction"/>
  </r>
  <r>
    <n v="47"/>
    <s v="12/4"/>
    <x v="0"/>
    <s v="DA+0"/>
    <s v="DFR"/>
    <x v="0"/>
    <m/>
    <d v="2025-03-01T00:00:00"/>
    <m/>
    <m/>
    <s v="Shree Shyam Granite"/>
  </r>
  <r>
    <n v="48"/>
    <s v="16/11"/>
    <x v="0"/>
    <s v="DA+0"/>
    <s v="DFR"/>
    <x v="0"/>
    <m/>
    <d v="2025-03-01T00:00:00"/>
    <m/>
    <m/>
    <s v="Surya Group"/>
  </r>
  <r>
    <n v="49"/>
    <s v="16/10"/>
    <x v="0"/>
    <s v="DA+6"/>
    <s v="WFR"/>
    <x v="0"/>
    <m/>
    <d v="2025-03-01T00:00:00"/>
    <m/>
    <m/>
    <s v="Surya Group"/>
  </r>
  <r>
    <n v="50"/>
    <s v="24/3"/>
    <x v="0"/>
    <s v="DA+6"/>
    <s v="DFR"/>
    <x v="0"/>
    <m/>
    <d v="2025-03-01T00:00:00"/>
    <m/>
    <m/>
    <s v="Surya Group"/>
  </r>
  <r>
    <n v="51"/>
    <s v="24/1"/>
    <x v="0"/>
    <s v="DA+0"/>
    <s v="DFR"/>
    <x v="0"/>
    <m/>
    <d v="2025-03-01T00:00:00"/>
    <m/>
    <m/>
    <s v="Surya Group"/>
  </r>
  <r>
    <n v="52"/>
    <s v="39/4"/>
    <x v="1"/>
    <s v="DA+0"/>
    <s v="DFR"/>
    <x v="0"/>
    <m/>
    <d v="2025-03-01T00:00:00"/>
    <m/>
    <m/>
    <s v="Shree Shyam Granite"/>
  </r>
  <r>
    <n v="53"/>
    <s v="39/7"/>
    <x v="1"/>
    <s v="DA+0"/>
    <s v="DFR"/>
    <x v="0"/>
    <m/>
    <d v="2025-04-01T00:00:00"/>
    <m/>
    <m/>
    <s v="Afflux Construction"/>
  </r>
  <r>
    <n v="54"/>
    <s v="24/6"/>
    <x v="0"/>
    <s v="DA+3"/>
    <s v="DFR"/>
    <x v="0"/>
    <m/>
    <d v="2025-04-01T00:00:00"/>
    <m/>
    <m/>
    <s v="Surya Group"/>
  </r>
  <r>
    <n v="55"/>
    <s v="24/2"/>
    <x v="0"/>
    <s v="DA+0"/>
    <s v="DFR"/>
    <x v="0"/>
    <m/>
    <d v="2025-04-01T00:00:00"/>
    <m/>
    <m/>
    <s v="Surya Group"/>
  </r>
  <r>
    <n v="56"/>
    <s v="39/2"/>
    <x v="1"/>
    <s v="DA+0"/>
    <s v="DFR"/>
    <x v="0"/>
    <m/>
    <d v="2025-04-01T00:00:00"/>
    <m/>
    <m/>
    <s v="Shree Shyam Granite"/>
  </r>
  <r>
    <n v="57"/>
    <s v="39/3"/>
    <x v="1"/>
    <s v="DA+0"/>
    <s v="DFR"/>
    <x v="0"/>
    <m/>
    <d v="2025-04-01T00:00:00"/>
    <m/>
    <m/>
    <s v="Shree Shyam Granite"/>
  </r>
  <r>
    <n v="58"/>
    <s v="39/5"/>
    <x v="1"/>
    <s v="DA+0"/>
    <s v="DFR"/>
    <x v="0"/>
    <m/>
    <d v="2025-04-01T00:00:00"/>
    <m/>
    <m/>
    <s v="Afflux Construction"/>
  </r>
  <r>
    <n v="59"/>
    <s v="24/9"/>
    <x v="0"/>
    <s v="DA(-)1.5"/>
    <s v="DFR"/>
    <x v="0"/>
    <m/>
    <d v="2025-04-01T00:00:00"/>
    <m/>
    <m/>
    <s v="Surya Group"/>
  </r>
  <r>
    <n v="60"/>
    <s v="24/7"/>
    <x v="0"/>
    <s v="DA+0"/>
    <s v="DFR"/>
    <x v="0"/>
    <m/>
    <d v="2025-04-01T00:00:00"/>
    <m/>
    <m/>
    <s v="Surya Group"/>
  </r>
  <r>
    <n v="61"/>
    <s v="21/1"/>
    <x v="0"/>
    <s v="DA(-)3"/>
    <s v="WC"/>
    <x v="0"/>
    <m/>
    <d v="2025-04-01T00:00:00"/>
    <m/>
    <m/>
    <s v="Yatharth Construction"/>
  </r>
  <r>
    <n v="62"/>
    <s v="24/8"/>
    <x v="0"/>
    <s v="DA+6"/>
    <s v="DFR"/>
    <x v="0"/>
    <m/>
    <d v="2025-04-01T00:00:00"/>
    <m/>
    <m/>
    <s v="Surya Group"/>
  </r>
  <r>
    <n v="63"/>
    <s v="39/1"/>
    <x v="1"/>
    <s v="DA+3"/>
    <s v="WC"/>
    <x v="0"/>
    <m/>
    <d v="2025-04-01T00:00:00"/>
    <m/>
    <m/>
    <s v="Shree Shyam Granite"/>
  </r>
  <r>
    <n v="64"/>
    <s v="24/10"/>
    <x v="0"/>
    <s v="DA+1.5"/>
    <s v="DFR"/>
    <x v="0"/>
    <m/>
    <d v="2025-04-01T00:00:00"/>
    <m/>
    <m/>
    <s v="Surya Group"/>
  </r>
  <r>
    <n v="65"/>
    <s v="40/1"/>
    <x v="1"/>
    <s v="DA+3"/>
    <s v="DFR"/>
    <x v="0"/>
    <m/>
    <d v="2025-04-01T00:00:00"/>
    <m/>
    <m/>
    <s v="Afflux Construction"/>
  </r>
  <r>
    <n v="66"/>
    <s v="24/11"/>
    <x v="0"/>
    <s v="DA+0"/>
    <s v="DFR"/>
    <x v="0"/>
    <m/>
    <d v="2025-04-01T00:00:00"/>
    <m/>
    <m/>
    <s v="Surya Group"/>
  </r>
  <r>
    <n v="67"/>
    <s v="24/5"/>
    <x v="0"/>
    <s v="DA(-)3"/>
    <s v="DFR"/>
    <x v="0"/>
    <m/>
    <d v="2025-04-01T00:00:00"/>
    <m/>
    <m/>
    <s v="Surya Group"/>
  </r>
  <r>
    <n v="68"/>
    <s v="21/2"/>
    <x v="0"/>
    <s v="DA+0"/>
    <s v="WC"/>
    <x v="0"/>
    <m/>
    <d v="2025-04-01T00:00:00"/>
    <m/>
    <m/>
    <s v="Yatharth Construction"/>
  </r>
  <r>
    <n v="69"/>
    <s v="41/1"/>
    <x v="1"/>
    <s v="DA+6"/>
    <s v="DFR"/>
    <x v="0"/>
    <m/>
    <d v="2025-04-01T00:00:00"/>
    <m/>
    <m/>
    <s v="Shree Shyam Granite"/>
  </r>
  <r>
    <n v="70"/>
    <s v="24/4"/>
    <x v="0"/>
    <s v="DA(-)3"/>
    <s v="DFR"/>
    <x v="0"/>
    <m/>
    <d v="2025-04-01T00:00:00"/>
    <m/>
    <m/>
    <s v="Surya Group"/>
  </r>
  <r>
    <n v="71"/>
    <s v="44/2"/>
    <x v="1"/>
    <s v="DA+3"/>
    <s v="DFR"/>
    <x v="0"/>
    <m/>
    <d v="2025-04-01T00:00:00"/>
    <m/>
    <m/>
    <s v="Urmila Bibi"/>
  </r>
  <r>
    <n v="72"/>
    <s v="40/2"/>
    <x v="1"/>
    <s v="DA+0"/>
    <s v="DFR"/>
    <x v="0"/>
    <m/>
    <d v="2025-04-01T00:00:00"/>
    <m/>
    <m/>
    <s v="Afflux Construction"/>
  </r>
  <r>
    <n v="73"/>
    <s v="26/1"/>
    <x v="0"/>
    <s v="DA+1.5"/>
    <s v="DFR"/>
    <x v="0"/>
    <m/>
    <d v="2025-04-01T00:00:00"/>
    <m/>
    <m/>
    <s v="Surya Group"/>
  </r>
  <r>
    <n v="74"/>
    <s v="8/9"/>
    <x v="0"/>
    <s v="DA-3"/>
    <s v="WC"/>
    <x v="0"/>
    <m/>
    <d v="2025-04-01T00:00:00"/>
    <m/>
    <m/>
    <s v="JSC Enterprises"/>
  </r>
  <r>
    <n v="75"/>
    <s v="26/2"/>
    <x v="0"/>
    <s v="DA+6"/>
    <s v="DFR"/>
    <x v="0"/>
    <m/>
    <d v="2025-04-01T00:00:00"/>
    <m/>
    <m/>
    <s v="Surya Group"/>
  </r>
  <r>
    <n v="76"/>
    <s v="44/3"/>
    <x v="1"/>
    <s v="DA+0"/>
    <s v="DFR"/>
    <x v="0"/>
    <m/>
    <d v="2025-04-01T00:00:00"/>
    <m/>
    <m/>
    <s v="Urmila Bibi"/>
  </r>
  <r>
    <n v="77"/>
    <s v="41/2"/>
    <x v="1"/>
    <s v="DA(-)1.5"/>
    <s v="DFR"/>
    <x v="0"/>
    <m/>
    <d v="2025-04-01T00:00:00"/>
    <m/>
    <m/>
    <s v="Shree Shyam Granite"/>
  </r>
  <r>
    <n v="78"/>
    <s v="40/3"/>
    <x v="1"/>
    <s v="DA+0"/>
    <s v="DFR"/>
    <x v="0"/>
    <m/>
    <d v="2025-04-01T00:00:00"/>
    <m/>
    <m/>
    <s v="Afflux Construction"/>
  </r>
  <r>
    <n v="79"/>
    <s v="21/3"/>
    <x v="0"/>
    <s v="DA+0"/>
    <s v="DFR"/>
    <x v="0"/>
    <m/>
    <d v="2025-04-01T00:00:00"/>
    <m/>
    <m/>
    <s v="Yatharth Construction"/>
  </r>
  <r>
    <n v="80"/>
    <s v="9/1"/>
    <x v="0"/>
    <s v="DA+3"/>
    <s v="DFR"/>
    <x v="0"/>
    <m/>
    <d v="2025-04-01T00:00:00"/>
    <m/>
    <m/>
    <s v="GM Construction"/>
  </r>
  <r>
    <n v="81"/>
    <s v="26/3"/>
    <x v="0"/>
    <s v="DA+6"/>
    <s v="WFR"/>
    <x v="0"/>
    <m/>
    <d v="2025-04-01T00:00:00"/>
    <m/>
    <m/>
    <s v="Surya Group"/>
  </r>
  <r>
    <n v="82"/>
    <s v="26/4"/>
    <x v="0"/>
    <s v="DA(-)3"/>
    <s v="DFR"/>
    <x v="0"/>
    <m/>
    <d v="2025-04-01T00:00:00"/>
    <m/>
    <m/>
    <s v="Surya Group"/>
  </r>
  <r>
    <n v="83"/>
    <s v="27/2"/>
    <x v="0"/>
    <s v="DA+0"/>
    <s v="WFR"/>
    <x v="0"/>
    <m/>
    <d v="2025-04-01T00:00:00"/>
    <m/>
    <m/>
    <s v="Surya Group"/>
  </r>
  <r>
    <n v="84"/>
    <s v="27/5"/>
    <x v="0"/>
    <s v="DA(-)1.5"/>
    <s v="DFR"/>
    <x v="0"/>
    <m/>
    <d v="2025-04-01T00:00:00"/>
    <m/>
    <m/>
    <s v="Surya Group"/>
  </r>
  <r>
    <n v="85"/>
    <s v="8/10"/>
    <x v="0"/>
    <s v="DA+0"/>
    <s v="WC"/>
    <x v="0"/>
    <m/>
    <d v="2025-04-01T00:00:00"/>
    <m/>
    <m/>
    <s v="JSC Enterprises"/>
  </r>
  <r>
    <n v="86"/>
    <s v="41/5"/>
    <x v="1"/>
    <s v="DA+0"/>
    <s v="DFR"/>
    <x v="0"/>
    <m/>
    <d v="2025-04-01T00:00:00"/>
    <m/>
    <m/>
    <s v="Shree Shyam Granite"/>
  </r>
  <r>
    <n v="87"/>
    <s v="39/8"/>
    <x v="1"/>
    <s v="DA+3"/>
    <s v="DFR"/>
    <x v="0"/>
    <m/>
    <d v="2025-04-01T00:00:00"/>
    <m/>
    <m/>
    <s v="Afflux Construction"/>
  </r>
  <r>
    <n v="88"/>
    <s v="36/8"/>
    <x v="0"/>
    <s v="DA+0"/>
    <s v="WFR"/>
    <x v="0"/>
    <m/>
    <d v="2025-04-01T00:00:00"/>
    <m/>
    <m/>
    <s v="Urmila Bibi"/>
  </r>
  <r>
    <n v="89"/>
    <s v="27/4"/>
    <x v="0"/>
    <s v="DA(-)3"/>
    <s v="DFR"/>
    <x v="0"/>
    <m/>
    <d v="2025-04-01T00:00:00"/>
    <m/>
    <m/>
    <s v="Surya Group"/>
  </r>
  <r>
    <n v="90"/>
    <s v="21/4"/>
    <x v="0"/>
    <s v="DA+3"/>
    <s v="DFR"/>
    <x v="0"/>
    <m/>
    <d v="2025-04-01T00:00:00"/>
    <m/>
    <m/>
    <s v="Yatharth Construction"/>
  </r>
  <r>
    <n v="91"/>
    <s v="36/7"/>
    <x v="0"/>
    <s v="DA+3"/>
    <s v="DFR"/>
    <x v="0"/>
    <m/>
    <d v="2025-04-01T00:00:00"/>
    <m/>
    <m/>
    <s v="Urmila Bibi"/>
  </r>
  <r>
    <n v="92"/>
    <s v="41/8"/>
    <x v="1"/>
    <s v="DA+3"/>
    <s v="DFR"/>
    <x v="0"/>
    <m/>
    <d v="2025-04-01T00:00:00"/>
    <m/>
    <m/>
    <s v="Jeenmata Infratech"/>
  </r>
  <r>
    <n v="93"/>
    <s v="5/2"/>
    <x v="0"/>
    <s v="DA+0"/>
    <s v="WC"/>
    <x v="0"/>
    <m/>
    <d v="2025-04-01T00:00:00"/>
    <m/>
    <m/>
    <s v="GM Construction"/>
  </r>
  <r>
    <n v="94"/>
    <s v="29/1"/>
    <x v="0"/>
    <s v="DA+1.5"/>
    <s v="DFR"/>
    <x v="0"/>
    <m/>
    <d v="2025-04-01T00:00:00"/>
    <m/>
    <m/>
    <s v="Surya Group"/>
  </r>
  <r>
    <n v="95"/>
    <s v="22/1"/>
    <x v="0"/>
    <s v="DA+6"/>
    <s v="DFR"/>
    <x v="0"/>
    <m/>
    <d v="2025-04-01T00:00:00"/>
    <m/>
    <m/>
    <s v="Yatharth Construction"/>
  </r>
  <r>
    <n v="96"/>
    <s v="7/1"/>
    <x v="0"/>
    <s v="DA+0"/>
    <s v="DFR"/>
    <x v="0"/>
    <m/>
    <d v="2025-04-01T00:00:00"/>
    <m/>
    <m/>
    <s v="JSC Enterprises"/>
  </r>
  <r>
    <n v="97"/>
    <s v="36/2"/>
    <x v="0"/>
    <s v="DA+0"/>
    <s v="DFR"/>
    <x v="0"/>
    <m/>
    <d v="2025-04-01T00:00:00"/>
    <m/>
    <m/>
    <s v="Afflux Construction"/>
  </r>
  <r>
    <n v="98"/>
    <s v="36/6"/>
    <x v="0"/>
    <s v="DA(-)1.5"/>
    <s v="DFR"/>
    <x v="0"/>
    <m/>
    <d v="2025-04-01T00:00:00"/>
    <m/>
    <m/>
    <s v="Urmila Bibi"/>
  </r>
  <r>
    <n v="99"/>
    <s v="34/2"/>
    <x v="0"/>
    <s v="DA(-)3"/>
    <s v="WC"/>
    <x v="0"/>
    <m/>
    <d v="2025-04-01T00:00:00"/>
    <m/>
    <m/>
    <s v="Jeenmata Infratech"/>
  </r>
  <r>
    <n v="100"/>
    <s v="29/2"/>
    <x v="0"/>
    <s v="DA+1.5"/>
    <s v="DFR"/>
    <x v="0"/>
    <m/>
    <d v="2025-04-01T00:00:00"/>
    <m/>
    <m/>
    <s v="Surya Group"/>
  </r>
  <r>
    <n v="101"/>
    <s v="36/3"/>
    <x v="0"/>
    <s v="DA+0"/>
    <s v="DFR"/>
    <x v="0"/>
    <s v="23/04/2025"/>
    <s v="02/05/2025"/>
    <m/>
    <m/>
    <s v="URMILA-BIBI"/>
  </r>
  <r>
    <n v="102"/>
    <s v="5/1"/>
    <x v="0"/>
    <s v="DA(-)3"/>
    <s v="DFR"/>
    <x v="0"/>
    <s v="28/04/2025"/>
    <d v="2025-03-05T00:00:00"/>
    <m/>
    <m/>
    <s v="GM Construction  "/>
  </r>
  <r>
    <n v="103"/>
    <s v="27/3"/>
    <x v="0"/>
    <s v="DA+1.5"/>
    <s v="DFR"/>
    <x v="0"/>
    <s v="28/04/2025"/>
    <d v="2025-03-05T00:00:00"/>
    <m/>
    <m/>
    <s v="SURYA-GROUP "/>
  </r>
  <r>
    <n v="104"/>
    <s v="23/1"/>
    <x v="0"/>
    <s v="DA+3"/>
    <s v="DFR"/>
    <x v="0"/>
    <s v="1/5/2025"/>
    <d v="2025-04-05T00:00:00"/>
    <m/>
    <m/>
    <s v="Yatharth Construction"/>
  </r>
  <r>
    <n v="105"/>
    <s v="30/1"/>
    <x v="0"/>
    <s v="DA+1.5"/>
    <s v="DFR"/>
    <x v="0"/>
    <s v="2/5/2025"/>
    <d v="2025-05-05T00:00:00"/>
    <m/>
    <m/>
    <s v="SURYA-GROUP "/>
  </r>
  <r>
    <n v="106"/>
    <s v="34/1"/>
    <x v="0"/>
    <s v="DA+3"/>
    <s v="WFR"/>
    <x v="0"/>
    <s v="27/4/2025"/>
    <d v="2025-05-05T00:00:00"/>
    <m/>
    <m/>
    <s v="SREE SHAYAM GRANTE "/>
  </r>
  <r>
    <n v="107"/>
    <s v="36/4"/>
    <x v="0"/>
    <s v="DA+3"/>
    <s v="DFR"/>
    <x v="0"/>
    <s v="23/04/2025"/>
    <d v="2025-05-05T00:00:00"/>
    <m/>
    <m/>
    <s v="URMILA-BIBI"/>
  </r>
  <r>
    <n v="108"/>
    <s v="36/5"/>
    <x v="0"/>
    <s v="DA+6"/>
    <s v="WC"/>
    <x v="0"/>
    <s v="30/04/2025"/>
    <d v="2025-05-05T00:00:00"/>
    <m/>
    <m/>
    <s v="AFFLUX CONSTRUCTION "/>
  </r>
  <r>
    <n v="109"/>
    <s v="5/5"/>
    <x v="0"/>
    <s v="DA+0"/>
    <s v="WC"/>
    <x v="0"/>
    <m/>
    <d v="2025-05-06T00:00:00"/>
    <m/>
    <m/>
    <s v="GM Construction  "/>
  </r>
  <r>
    <n v="110"/>
    <s v="6/3"/>
    <x v="0"/>
    <s v="DA+1.5"/>
    <s v="DFR"/>
    <x v="0"/>
    <m/>
    <d v="2025-05-07T00:00:00"/>
    <m/>
    <m/>
    <s v="JSC Enterprises"/>
  </r>
  <r>
    <n v="111"/>
    <s v="20/1"/>
    <x v="0"/>
    <s v="DA(-)3"/>
    <s v="DFR"/>
    <x v="0"/>
    <m/>
    <d v="2025-05-08T00:00:00"/>
    <m/>
    <m/>
    <s v="Yatharth Construction"/>
  </r>
  <r>
    <n v="112"/>
    <s v="34/3"/>
    <x v="0"/>
    <s v="DA+6"/>
    <s v="WFR"/>
    <x v="0"/>
    <m/>
    <d v="2025-05-08T00:00:00"/>
    <m/>
    <m/>
    <s v="Jeenmata Infratech"/>
  </r>
  <r>
    <n v="113"/>
    <s v="32/3"/>
    <x v="0"/>
    <s v="DA+1.5"/>
    <s v="DFR"/>
    <x v="0"/>
    <m/>
    <d v="2025-05-08T00:00:00"/>
    <m/>
    <m/>
    <s v="SURYA-GROUP "/>
  </r>
  <r>
    <n v="114"/>
    <s v="36/1"/>
    <x v="0"/>
    <s v="DA+0"/>
    <s v="DFR"/>
    <x v="0"/>
    <m/>
    <d v="2025-05-09T00:00:00"/>
    <m/>
    <m/>
    <s v="AFFLUX CONSTRUCTION "/>
  </r>
  <r>
    <n v="115"/>
    <s v="5/3"/>
    <x v="0"/>
    <s v="DA+3"/>
    <s v="WC"/>
    <x v="0"/>
    <m/>
    <d v="2025-05-09T00:00:00"/>
    <m/>
    <m/>
    <s v="GM Construction  "/>
  </r>
  <r>
    <n v="116"/>
    <s v="32/4"/>
    <x v="0"/>
    <s v="DA+0"/>
    <s v="DFR"/>
    <x v="0"/>
    <m/>
    <d v="2025-05-10T00:00:00"/>
    <m/>
    <m/>
    <s v="SURYA-GROUP "/>
  </r>
  <r>
    <n v="117"/>
    <s v="38/4"/>
    <x v="0"/>
    <s v="DA+3"/>
    <s v="DFR"/>
    <x v="0"/>
    <m/>
    <d v="2025-05-11T00:00:00"/>
    <m/>
    <m/>
    <s v="URMILA-BIBI"/>
  </r>
  <r>
    <n v="118"/>
    <s v="20/2"/>
    <x v="0"/>
    <s v="DA(-)3"/>
    <s v="DFR"/>
    <x v="0"/>
    <m/>
    <d v="2025-05-12T00:00:00"/>
    <m/>
    <m/>
    <s v="YATHARTH-CONSTRUCTION"/>
  </r>
  <r>
    <n v="119"/>
    <s v="5/4"/>
    <x v="0"/>
    <s v="DA+1.5"/>
    <s v="WC"/>
    <x v="0"/>
    <m/>
    <d v="2025-05-13T00:00:00"/>
    <m/>
    <m/>
    <s v="GM Construction  "/>
  </r>
  <r>
    <n v="120"/>
    <s v="38/3"/>
    <x v="0"/>
    <s v="DA(-)3"/>
    <s v="DFR"/>
    <x v="0"/>
    <m/>
    <d v="2025-05-13T00:00:00"/>
    <m/>
    <m/>
    <s v="URMILA-BIBI"/>
  </r>
  <r>
    <n v="121"/>
    <s v="32/5"/>
    <x v="0"/>
    <s v="DA+1.5"/>
    <s v="DFR"/>
    <x v="0"/>
    <m/>
    <d v="2025-05-15T00:00:00"/>
    <m/>
    <m/>
    <s v="SURYA-GROUP "/>
  </r>
  <r>
    <n v="122"/>
    <s v="6/1"/>
    <x v="0"/>
    <s v="DA(-)1.5"/>
    <s v="DFR"/>
    <x v="0"/>
    <d v="2025-05-15T00:00:00"/>
    <d v="2025-05-16T00:00:00"/>
    <m/>
    <m/>
    <s v="JSC Enterprises"/>
  </r>
  <r>
    <n v="123"/>
    <s v="38/1"/>
    <x v="0"/>
    <s v="DA(-)3"/>
    <s v="DFR"/>
    <x v="0"/>
    <m/>
    <d v="2025-05-17T00:00:00"/>
    <m/>
    <m/>
    <s v="URMILA-BIBI"/>
  </r>
  <r>
    <n v="124"/>
    <s v="38/7"/>
    <x v="0"/>
    <s v="DA+0"/>
    <s v="WC"/>
    <x v="0"/>
    <d v="2025-05-14T00:00:00"/>
    <d v="2025-05-19T00:00:00"/>
    <m/>
    <m/>
    <s v="AFFLUX CONSTRUCTION "/>
  </r>
  <r>
    <n v="125"/>
    <s v="47/8"/>
    <x v="1"/>
    <s v="DA+0"/>
    <s v="DFR"/>
    <x v="0"/>
    <s v="14.05.2025"/>
    <s v="19.05.2025"/>
    <m/>
    <m/>
    <s v="Jeenmata Infratech"/>
  </r>
  <r>
    <n v="126"/>
    <s v="49/1"/>
    <x v="2"/>
    <s v="DA+6"/>
    <s v="DFR"/>
    <x v="0"/>
    <s v="15/05/2025"/>
    <s v="19.05.2025"/>
    <m/>
    <m/>
    <s v="GM Construction  "/>
  </r>
  <r>
    <n v="127"/>
    <s v="32/7"/>
    <x v="0"/>
    <s v="DA(-)1.5 "/>
    <s v="DFR"/>
    <x v="0"/>
    <s v="16/05/2025"/>
    <s v="21/5/2025"/>
    <m/>
    <m/>
    <s v="SURYA-GROUP "/>
  </r>
  <r>
    <n v="128"/>
    <s v="32/6"/>
    <x v="0"/>
    <s v="DA+0"/>
    <s v="DFR"/>
    <x v="0"/>
    <s v="14/05/2025"/>
    <s v="21/05/2025"/>
    <m/>
    <m/>
    <s v="SURYA-GROUP "/>
  </r>
  <r>
    <n v="129"/>
    <s v="51/2"/>
    <x v="2"/>
    <s v="DA(-)3"/>
    <s v="DFR"/>
    <x v="0"/>
    <s v="14.05.2025"/>
    <s v="22.05.2025"/>
    <m/>
    <m/>
    <s v="YATHARTH-CONSTRUCTION"/>
  </r>
  <r>
    <n v="130"/>
    <s v="47/11"/>
    <x v="2"/>
    <s v="DA+6"/>
    <s v="DFR"/>
    <x v="0"/>
    <s v="19.05.2025"/>
    <s v="23/5/2025"/>
    <m/>
    <m/>
    <s v="Jeenmata Infratech"/>
  </r>
  <r>
    <n v="131"/>
    <s v="5/7"/>
    <x v="0"/>
    <s v="DA(-)3"/>
    <s v="WC"/>
    <x v="0"/>
    <s v="19.05.2025"/>
    <s v="23/5/2025"/>
    <m/>
    <m/>
    <s v="URMILA-BIBI"/>
  </r>
  <r>
    <n v="132"/>
    <s v="38/6"/>
    <x v="0"/>
    <s v="DA(-)3"/>
    <s v="DFR"/>
    <x v="0"/>
    <s v="15.05.2025"/>
    <s v="23.05.2025"/>
    <m/>
    <m/>
    <s v="AFFLUX CONSTRUCTION "/>
  </r>
  <r>
    <n v="133"/>
    <s v="49/3"/>
    <x v="2"/>
    <s v="DA+3"/>
    <s v="WC"/>
    <x v="0"/>
    <s v="15.05.2025"/>
    <s v="23.05.2025"/>
    <m/>
    <m/>
    <s v="GM Construction  "/>
  </r>
  <r>
    <n v="134"/>
    <s v="51/1"/>
    <x v="2"/>
    <s v="DA+0"/>
    <s v="DFR"/>
    <x v="0"/>
    <s v="17.05.2025"/>
    <s v="24.05.2025"/>
    <m/>
    <m/>
    <s v="YATHARTH-CONSTRUCTION"/>
  </r>
  <r>
    <n v="135"/>
    <s v="32/2"/>
    <x v="0"/>
    <s v="DA+1.5 "/>
    <s v="DFR"/>
    <x v="0"/>
    <s v="20.05.2025"/>
    <s v="25.05.2025"/>
    <m/>
    <m/>
    <s v="SURYA-GROUP "/>
  </r>
  <r>
    <n v="136"/>
    <s v="5/6"/>
    <x v="0"/>
    <s v="DA+0 "/>
    <s v="WC"/>
    <x v="0"/>
    <s v="20.05.2025"/>
    <s v="25.05.2025"/>
    <m/>
    <m/>
    <s v="URMILA-BIBI"/>
  </r>
  <r>
    <n v="137"/>
    <s v="49/2"/>
    <x v="2"/>
    <s v="DA+0"/>
    <s v="DFR"/>
    <x v="0"/>
    <m/>
    <d v="2025-05-26T00:00:00"/>
    <m/>
    <m/>
    <s v="GM Construction  "/>
  </r>
  <r>
    <n v="138"/>
    <s v="47/4"/>
    <x v="1"/>
    <s v="DA+3 "/>
    <s v="DFR"/>
    <x v="0"/>
    <s v="20.05.2025"/>
    <s v="27.05.2025"/>
    <m/>
    <m/>
    <s v="Jeenmata Infratech"/>
  </r>
  <r>
    <n v="139"/>
    <s v="51/3"/>
    <x v="2"/>
    <s v="DA(-)3"/>
    <s v="DFR"/>
    <x v="0"/>
    <m/>
    <s v="26.05.2025"/>
    <m/>
    <m/>
    <s v="YATHARTH-CONSTRUCTION"/>
  </r>
  <r>
    <n v="140"/>
    <s v="13/0"/>
    <x v="0"/>
    <s v="DB2+0"/>
    <s v="DFR"/>
    <x v="0"/>
    <m/>
    <s v="30.05.2025"/>
    <m/>
    <m/>
    <s v="URMILA-BIBI"/>
  </r>
  <r>
    <n v="141"/>
    <s v="38/8"/>
    <x v="0"/>
    <s v="DA+6"/>
    <s v="WC"/>
    <x v="0"/>
    <m/>
    <d v="2025-05-29T00:00:00"/>
    <m/>
    <m/>
    <s v="AFFLUX CONSTRUCTION "/>
  </r>
  <r>
    <n v="142"/>
    <s v="48/2"/>
    <x v="2"/>
    <s v="DA(-)1.5"/>
    <s v="DFR "/>
    <x v="0"/>
    <m/>
    <d v="2025-05-29T00:00:00"/>
    <m/>
    <m/>
    <s v="Jeenmata Infratech"/>
  </r>
  <r>
    <n v="143"/>
    <s v="67/2"/>
    <x v="2"/>
    <s v="DA(-)3"/>
    <s v="WC"/>
    <x v="0"/>
    <s v="28.05.2024"/>
    <s v="31.05.2025"/>
    <m/>
    <m/>
    <s v="Shri Sai Brick Udyog"/>
  </r>
  <r>
    <n v="144"/>
    <s v="48/6"/>
    <x v="2"/>
    <s v="DA+3"/>
    <s v="DFR"/>
    <x v="0"/>
    <s v="26.05.2025"/>
    <s v="01.06.2025"/>
    <m/>
    <m/>
    <s v="GM Infratech "/>
  </r>
  <r>
    <n v="145"/>
    <s v="49/4"/>
    <x v="2"/>
    <s v="DA+0"/>
    <s v="WC"/>
    <x v="0"/>
    <s v="19/05/2025"/>
    <s v="01.06.2025"/>
    <m/>
    <m/>
    <s v="YATHARTH-CONSTRUCTION"/>
  </r>
  <r>
    <n v="146"/>
    <s v="38/2"/>
    <x v="0"/>
    <s v="DA+0"/>
    <s v="DFR"/>
    <x v="0"/>
    <s v="19/05/2025"/>
    <s v="02.06.2025"/>
    <m/>
    <m/>
    <s v="AFFLUX CONSTRUCTION "/>
  </r>
  <r>
    <n v="147"/>
    <s v="47/6"/>
    <x v="1"/>
    <s v="DA+3"/>
    <s v="DFR"/>
    <x v="0"/>
    <s v="01.06.2025"/>
    <s v="04.06.2025"/>
    <m/>
    <m/>
    <s v="Jeenmata Infratech"/>
  </r>
  <r>
    <n v="148"/>
    <s v="48/8"/>
    <x v="2"/>
    <s v="DA+0"/>
    <s v="DFR"/>
    <x v="0"/>
    <s v="01.06.2025"/>
    <s v="05.06.2025"/>
    <m/>
    <m/>
    <s v="GM CONSTRUCTION "/>
  </r>
  <r>
    <n v="149"/>
    <s v="49/5"/>
    <x v="2"/>
    <s v="DA+0"/>
    <s v="WC"/>
    <x v="0"/>
    <s v="02.06.2025"/>
    <d v="2025-06-06T00:00:00"/>
    <m/>
    <m/>
    <s v="YATHARTH-CONSTRUCTION"/>
  </r>
  <r>
    <n v="150"/>
    <s v="67/1"/>
    <x v="2"/>
    <s v="DA(-)3"/>
    <s v="DFR"/>
    <x v="0"/>
    <s v="02.06.2025"/>
    <d v="2025-07-06T00:00:00"/>
    <m/>
    <m/>
    <s v="Shri Sai Brick Udyog"/>
  </r>
  <r>
    <n v="151"/>
    <s v="41/4"/>
    <x v="1"/>
    <s v="DA+3"/>
    <s v="DFR"/>
    <x v="0"/>
    <s v="02.06.2025"/>
    <d v="2025-08-06T00:00:00"/>
    <m/>
    <m/>
    <s v="Jeenmata Infratech"/>
  </r>
  <r>
    <n v="152"/>
    <s v="48/9"/>
    <x v="2"/>
    <s v="DA+3"/>
    <s v="WC"/>
    <x v="0"/>
    <s v="04.06.2025"/>
    <d v="2025-06-10T00:00:00"/>
    <m/>
    <m/>
    <s v="GM Construction  "/>
  </r>
  <r>
    <n v="153"/>
    <s v="47/7"/>
    <x v="1"/>
    <s v="DA+0"/>
    <s v="DFR "/>
    <x v="0"/>
    <s v="07.06.2025"/>
    <d v="2025-11-06T00:00:00"/>
    <m/>
    <s v="Nov'25"/>
    <s v="Jeenmata Infratech"/>
  </r>
  <r>
    <n v="154"/>
    <s v="66/8"/>
    <x v="2"/>
    <s v="DA(-)3"/>
    <s v="DFR"/>
    <x v="0"/>
    <s v="01.06.2025"/>
    <d v="2025-11-06T00:00:00"/>
    <m/>
    <s v="Nov'25"/>
    <s v="Shri Sai Brick Udyog"/>
  </r>
  <r>
    <n v="155"/>
    <s v="49/6"/>
    <x v="2"/>
    <s v="DA+6 "/>
    <s v="DFR"/>
    <x v="0"/>
    <s v="03.06.2025"/>
    <s v="14/06/2025"/>
    <m/>
    <m/>
    <s v="YATHARTH-CONSTRUCTION"/>
  </r>
  <r>
    <n v="156"/>
    <s v="49/0"/>
    <x v="2"/>
    <s v="DB1+0"/>
    <s v="DFR"/>
    <x v="0"/>
    <d v="2025-10-06T00:00:00"/>
    <s v="16/06/2025"/>
    <m/>
    <m/>
    <s v="GM CONSTRUCTION "/>
  </r>
  <r>
    <n v="157"/>
    <s v="66/5"/>
    <x v="2"/>
    <s v="DA+3"/>
    <s v="DFR"/>
    <x v="0"/>
    <m/>
    <s v="17.06.2025"/>
    <m/>
    <m/>
    <s v="Shri Sai Brick Udyog"/>
  </r>
  <r>
    <n v="158"/>
    <s v="65/1"/>
    <x v="2"/>
    <s v="DA(-)1.5"/>
    <s v="DFR"/>
    <x v="0"/>
    <s v="08.06.2025"/>
    <s v="18/6/2025"/>
    <m/>
    <m/>
    <s v="AFFLUX CONSTRUCTION "/>
  </r>
  <r>
    <n v="159"/>
    <s v="41/0"/>
    <x v="1"/>
    <s v="DD45+0"/>
    <s v="DFR"/>
    <x v="0"/>
    <s v="09.06.2025"/>
    <s v="21/06/2025"/>
    <m/>
    <m/>
    <s v="Jeenmata Infratech"/>
  </r>
  <r>
    <n v="160"/>
    <s v="65/2"/>
    <x v="2"/>
    <s v="DA+0"/>
    <s v="DFR"/>
    <x v="0"/>
    <s v="19.06.2025"/>
    <d v="2025-06-23T00:00:00"/>
    <m/>
    <m/>
    <s v="AFFLUX CONSTRUCTION "/>
  </r>
  <r>
    <n v="161"/>
    <s v="66/7"/>
    <x v="2"/>
    <s v="DA+6"/>
    <s v="DFR"/>
    <x v="0"/>
    <s v="08.06.2025"/>
    <s v="27/06/2025"/>
    <m/>
    <m/>
    <s v="Shri Sai Brick Udyog"/>
  </r>
  <r>
    <n v="162"/>
    <s v="65/3"/>
    <x v="2"/>
    <s v="DA+0"/>
    <s v="DFR"/>
    <x v="0"/>
    <s v="16/06/2025"/>
    <s v="30/06/2025"/>
    <m/>
    <m/>
    <s v="AFFLUX CONSTRUCTION "/>
  </r>
  <r>
    <n v="163"/>
    <s v="65/9"/>
    <x v="2"/>
    <s v="DA(-)3"/>
    <s v="DFR"/>
    <x v="0"/>
    <m/>
    <d v="2025-07-07T00:00:00"/>
    <m/>
    <m/>
    <s v="Shri Sai Brick Udyog"/>
  </r>
  <r>
    <n v="164"/>
    <s v="65/7"/>
    <x v="2"/>
    <s v="DA(-)3"/>
    <s v="DFR"/>
    <x v="0"/>
    <m/>
    <s v="14/07/2025"/>
    <m/>
    <m/>
    <s v="Shri Sai Brick Udyog"/>
  </r>
  <r>
    <n v="165"/>
    <s v="63/1"/>
    <x v="2"/>
    <s v="DA(-)3"/>
    <s v="DFR "/>
    <x v="1"/>
    <s v="30.06.2025"/>
    <s v="11.07.2025"/>
    <m/>
    <m/>
    <s v="AFFLUX CONSTRUCTION "/>
  </r>
  <r>
    <n v="166"/>
    <s v="63/2"/>
    <x v="2"/>
    <s v="DA(-)3"/>
    <s v="DFR "/>
    <x v="1"/>
    <s v="01.07.2025"/>
    <s v="16.07.2025"/>
    <m/>
    <m/>
    <s v="AFFLUX CONSTRUCTION "/>
  </r>
  <r>
    <n v="167"/>
    <s v="65/11"/>
    <x v="2"/>
    <s v="DA+6"/>
    <s v="DFR "/>
    <x v="1"/>
    <m/>
    <s v="22.07.2025"/>
    <m/>
    <m/>
    <s v="Shri Sai Brick Udyog"/>
  </r>
  <r>
    <n v="168"/>
    <s v="7/0"/>
    <x v="0"/>
    <s v="DC2+0 "/>
    <s v="WC"/>
    <x v="1"/>
    <s v="16.07.2025"/>
    <s v="19.08.2025"/>
    <m/>
    <m/>
    <s v="AFFLUX CONSTRUCTION "/>
  </r>
  <r>
    <n v="169"/>
    <s v="21/0"/>
    <x v="0"/>
    <s v="DC2+0 "/>
    <s v="WFR"/>
    <x v="1"/>
    <s v="02.08.2025"/>
    <s v="12.08.2025"/>
    <m/>
    <m/>
    <s v="SHAKHINA BIBI"/>
  </r>
  <r>
    <n v="170"/>
    <s v="46/0"/>
    <x v="1"/>
    <s v="DD45+0"/>
    <s v="DFR"/>
    <x v="1"/>
    <s v="26.07.2025"/>
    <s v="12.08.2025"/>
    <m/>
    <m/>
    <s v="Shri Sai Brick Udyog"/>
  </r>
  <r>
    <n v="171"/>
    <s v="45/1"/>
    <x v="1"/>
    <s v="DA+0"/>
    <s v="DFR "/>
    <x v="1"/>
    <s v="06.08.2025"/>
    <s v="19.08.2025  "/>
    <m/>
    <m/>
    <s v="SHREE KHATUSHAYAM CONST. "/>
  </r>
  <r>
    <n v="172"/>
    <s v="15/0"/>
    <x v="0"/>
    <s v="DB2+0"/>
    <s v="WFR"/>
    <x v="1"/>
    <s v="11.08.2025"/>
    <s v="18.08.2025 "/>
    <m/>
    <m/>
    <s v="SHAKHINA BIBI"/>
  </r>
  <r>
    <n v="173"/>
    <s v="46A/0"/>
    <x v="1"/>
    <s v="DC1+0 "/>
    <s v="WFR "/>
    <x v="1"/>
    <s v="12.08.2025"/>
    <s v="14.09.2025"/>
    <m/>
    <m/>
    <s v="Shri Sai Brick Udyog"/>
  </r>
  <r>
    <n v="174"/>
    <s v="45/3"/>
    <x v="1"/>
    <s v="DA+0"/>
    <s v="DFR"/>
    <x v="1"/>
    <s v="20.08.2025"/>
    <s v="16.09.2025"/>
    <m/>
    <m/>
    <s v="SHREE KHATUSHAYAM CONST. "/>
  </r>
  <r>
    <n v="175"/>
    <s v="33/0"/>
    <x v="0"/>
    <s v="DD45+0"/>
    <s v="WFR"/>
    <x v="1"/>
    <s v="20.08.2025 "/>
    <s v="22.09.2025"/>
    <m/>
    <m/>
    <s v="SHAKHINA BIBI"/>
  </r>
  <r>
    <n v="176"/>
    <s v="10/0"/>
    <x v="0"/>
    <s v="DB1+0"/>
    <s v="WFR"/>
    <x v="1"/>
    <s v="20.08.2025 "/>
    <s v="13.10.2025"/>
    <m/>
    <m/>
    <s v="AFFLUX CONSTRUCTION "/>
  </r>
  <r>
    <n v="177"/>
    <s v="34/0"/>
    <x v="0"/>
    <s v="DC1+3"/>
    <s v="WFR"/>
    <x v="1"/>
    <s v="25.08.2025"/>
    <s v="14.09.2025"/>
    <m/>
    <m/>
    <s v="SHAKHINA BIBI"/>
  </r>
  <r>
    <n v="178"/>
    <s v="45/4"/>
    <x v="1"/>
    <s v="DA+1.5"/>
    <s v="WFR"/>
    <x v="1"/>
    <s v="22.09.2025"/>
    <s v="30.09.2025"/>
    <m/>
    <m/>
    <s v="SHREE KHATUSHAYAM CONST. "/>
  </r>
  <r>
    <n v="179"/>
    <s v="46/2"/>
    <x v="1"/>
    <s v="DA+3"/>
    <s v="WFR"/>
    <x v="1"/>
    <s v="19.09.2025"/>
    <s v="13.10.2025"/>
    <m/>
    <m/>
    <s v="Shri Balaji Contractor"/>
  </r>
  <r>
    <n v="180"/>
    <s v="46A/1"/>
    <x v="1"/>
    <s v="DA+3"/>
    <s v="DFR"/>
    <x v="1"/>
    <s v="22.09.2025"/>
    <s v="11.10.2025"/>
    <m/>
    <m/>
    <s v="Durga construction"/>
  </r>
  <r>
    <n v="181"/>
    <s v="12/7"/>
    <x v="0"/>
    <s v="DA+0"/>
    <s v="WFR"/>
    <x v="1"/>
    <s v="22.09.2025"/>
    <s v="29.09.2025"/>
    <m/>
    <m/>
    <s v="SHAKHINA BIBI"/>
  </r>
  <r>
    <n v="182"/>
    <s v="10/3"/>
    <x v="0"/>
    <s v="DA+3"/>
    <s v="WFR"/>
    <x v="1"/>
    <s v="27.09.2025"/>
    <s v="01.10.2025"/>
    <m/>
    <m/>
    <s v="SHAKHINA BIBI"/>
  </r>
  <r>
    <n v="183"/>
    <s v="14/5"/>
    <x v="0"/>
    <s v="DA+0"/>
    <s v="WFR"/>
    <x v="1"/>
    <s v="01.10.2025"/>
    <s v="06.10.2025"/>
    <m/>
    <m/>
    <s v="MAUSAUDDIN SK "/>
  </r>
  <r>
    <n v="184"/>
    <s v="8/0"/>
    <x v="0"/>
    <s v="DB1+0"/>
    <s v="WFR"/>
    <x v="1"/>
    <s v="09.10.2025"/>
    <s v="15.10.2025"/>
    <m/>
    <m/>
    <s v="MAUSAUDDIN SK "/>
  </r>
  <r>
    <n v="185"/>
    <s v="9/0"/>
    <x v="0"/>
    <s v="DB2+0"/>
    <s v="DFR"/>
    <x v="1"/>
    <s v="15.10.2025"/>
    <s v="23/10/2025 "/>
    <m/>
    <m/>
    <s v="MAUSAUDDIN SK "/>
  </r>
  <r>
    <n v="186"/>
    <s v="45A/0"/>
    <x v="1"/>
    <s v="DC2+0 "/>
    <s v="DFR"/>
    <x v="1"/>
    <s v="29.09.2205"/>
    <s v="07.11.2025"/>
    <m/>
    <m/>
    <s v="SHREE KHATUSHAYAM CONST. "/>
  </r>
  <r>
    <n v="187"/>
    <s v="46A/2"/>
    <x v="1"/>
    <s v="DA(-)3"/>
    <s v="WFR"/>
    <x v="1"/>
    <s v="07.10.2025"/>
    <s v="06.11.2025"/>
    <m/>
    <m/>
    <s v="Durga construction"/>
  </r>
  <r>
    <n v="188"/>
    <s v="66/0"/>
    <x v="2"/>
    <s v="DB1+0"/>
    <s v="WC"/>
    <x v="1"/>
    <s v="07.10.2025"/>
    <s v="03.11.2025"/>
    <m/>
    <m/>
    <s v="DS Construction"/>
  </r>
  <r>
    <n v="189"/>
    <s v="46A/3"/>
    <x v="1"/>
    <s v="DA(-)3"/>
    <s v="WFR"/>
    <x v="1"/>
    <s v="11.10.2025"/>
    <s v="26.10.2025"/>
    <m/>
    <m/>
    <s v="Shri Balaji Contractor"/>
  </r>
  <r>
    <n v="190"/>
    <s v="47/1"/>
    <x v="1"/>
    <s v="DA+0"/>
    <s v="WFR"/>
    <x v="1"/>
    <s v="15.10.2025"/>
    <s v="08.11.2025"/>
    <m/>
    <m/>
    <s v="Shri Balaji Contractor"/>
  </r>
  <r>
    <n v="191"/>
    <s v="47/2"/>
    <x v="1"/>
    <s v="DA+6"/>
    <s v="WFR"/>
    <x v="1"/>
    <s v="15.10.2025"/>
    <s v="05.11.2025"/>
    <m/>
    <m/>
    <s v="Durga construction"/>
  </r>
  <r>
    <n v="192"/>
    <s v="66/2"/>
    <x v="2"/>
    <s v="DA+0"/>
    <s v="WFR"/>
    <x v="1"/>
    <s v="15.10.2025"/>
    <s v="05.11.2025"/>
    <m/>
    <m/>
    <s v="Jay bhawani construction"/>
  </r>
  <r>
    <n v="193"/>
    <s v="47/3"/>
    <x v="1"/>
    <s v="DA+0"/>
    <s v="WFR"/>
    <x v="1"/>
    <s v="17.10.2025"/>
    <s v="13.11.2025"/>
    <m/>
    <m/>
    <s v="SHREE KHATUSHAYAM CONST. "/>
  </r>
  <r>
    <n v="194"/>
    <s v="16/0"/>
    <x v="0"/>
    <s v="DB1+0"/>
    <s v="DFR"/>
    <x v="1"/>
    <s v="19.10.2025"/>
    <s v="25.10.2025"/>
    <m/>
    <m/>
    <s v="MAUSAUDDIN SK "/>
  </r>
  <r>
    <n v="195"/>
    <s v="18/1"/>
    <x v="0"/>
    <s v="DA+6"/>
    <s v="WET"/>
    <x v="1"/>
    <s v="28.10.2025"/>
    <s v="05.11.2025"/>
    <m/>
    <m/>
    <s v="MAUSAUDDIN SK "/>
  </r>
  <r>
    <n v="196"/>
    <s v="65/8"/>
    <x v="2"/>
    <s v="DA+1.5"/>
    <s v="DFR"/>
    <x v="1"/>
    <s v="31.10.2025"/>
    <s v="13.11.2025"/>
    <m/>
    <m/>
    <s v="AFFLUX CONSTRUCTION "/>
  </r>
  <r>
    <n v="197"/>
    <s v="66/6"/>
    <x v="2"/>
    <s v="DA(-)1.5"/>
    <s v="WFR"/>
    <x v="1"/>
    <s v="03.11.2025"/>
    <s v="20.11.2025"/>
    <m/>
    <m/>
    <s v="Hemraj yadav cont."/>
  </r>
  <r>
    <n v="198"/>
    <s v="61/1"/>
    <x v="2"/>
    <s v="DA+6"/>
    <m/>
    <x v="2"/>
    <s v="24.11.2025"/>
    <m/>
    <m/>
    <m/>
    <s v="Shri Balaji Contractor"/>
  </r>
  <r>
    <n v="199"/>
    <s v="64/0"/>
    <x v="2"/>
    <s v="DD45+0"/>
    <s v="DFR"/>
    <x v="1"/>
    <s v="24.07.2025"/>
    <s v="29.10.2025"/>
    <m/>
    <m/>
    <s v="AFFLUX CONSTRUCTION "/>
  </r>
  <r>
    <n v="200"/>
    <s v="64/1"/>
    <x v="2"/>
    <s v="DA+6"/>
    <s v="WFR"/>
    <x v="1"/>
    <s v="06.09.2025"/>
    <s v="30.10.2025"/>
    <m/>
    <m/>
    <s v="AFFLUX CONSTRUCTION "/>
  </r>
  <r>
    <n v="201"/>
    <s v="17/0"/>
    <x v="0"/>
    <s v="DB2+3"/>
    <s v="DFR"/>
    <x v="1"/>
    <s v="30.10.2025"/>
    <s v="03.11.2025"/>
    <m/>
    <m/>
    <s v="MAUSAUDDIN SK "/>
  </r>
  <r>
    <n v="202"/>
    <s v="63/3"/>
    <x v="2"/>
    <s v="DA(-)3"/>
    <s v="DFR"/>
    <x v="1"/>
    <s v="30.10.2025"/>
    <s v="08.11.2025"/>
    <m/>
    <m/>
    <s v="AFFLUX CONSTRUCTION "/>
  </r>
  <r>
    <n v="203"/>
    <s v="18/0"/>
    <x v="0"/>
    <s v="DA+6"/>
    <s v="WFR"/>
    <x v="1"/>
    <s v="03.11.2025"/>
    <s v="15.11.2025"/>
    <m/>
    <m/>
    <s v="MAUSAUDDIN SK "/>
  </r>
  <r>
    <n v="204"/>
    <s v="65/5"/>
    <x v="2"/>
    <s v="DA(-)3"/>
    <s v="DFR"/>
    <x v="1"/>
    <s v="28.10.2025"/>
    <s v="19.11.2025"/>
    <m/>
    <m/>
    <s v="Shree Mahakal const."/>
  </r>
  <r>
    <n v="205"/>
    <s v="66/3"/>
    <x v="2"/>
    <s v="DA+6"/>
    <s v="WFR"/>
    <x v="1"/>
    <s v="07.11.2025"/>
    <s v="18.11.2025"/>
    <m/>
    <m/>
    <s v="Jai bhawani construction"/>
  </r>
  <r>
    <n v="206"/>
    <s v="66/4"/>
    <x v="2"/>
    <s v="DA(-)3"/>
    <s v="WFR"/>
    <x v="1"/>
    <s v="08.11.2025"/>
    <s v="23.11.2025"/>
    <m/>
    <m/>
    <s v="DS Construction"/>
  </r>
  <r>
    <n v="207"/>
    <s v="65/0"/>
    <x v="2"/>
    <s v="DC2+0 "/>
    <s v="DFR"/>
    <x v="1"/>
    <s v="13.11.2025"/>
    <s v="02.12.2025"/>
    <s v="Nov'25"/>
    <s v="Dec'25"/>
    <s v="AFFLUX CONSTRUCTION "/>
  </r>
  <r>
    <n v="208"/>
    <s v="45/0"/>
    <x v="1"/>
    <s v="DC1+0 "/>
    <s v="DFR"/>
    <x v="1"/>
    <s v="12.11.2025"/>
    <s v="21.11.2025"/>
    <m/>
    <m/>
    <s v="Durga construction"/>
  </r>
  <r>
    <n v="209"/>
    <s v="67/0"/>
    <x v="2"/>
    <s v="DB2+6"/>
    <s v="DFR"/>
    <x v="1"/>
    <s v="13.11.2025"/>
    <s v="04.12.2025"/>
    <s v="Nov'25"/>
    <s v="Dec'25"/>
    <s v="Shri Balaji Contractor"/>
  </r>
  <r>
    <n v="210"/>
    <s v="40/0"/>
    <x v="1"/>
    <s v="DC1+0 "/>
    <s v="WET"/>
    <x v="1"/>
    <s v="14.11.2025"/>
    <s v="07.12.2025"/>
    <s v="Nov'25"/>
    <s v="Dec'25"/>
    <s v="SHREE KHATUSHAYAM CONST. "/>
  </r>
  <r>
    <n v="211"/>
    <s v="6/0"/>
    <x v="0"/>
    <s v="DC2+0 "/>
    <s v="WET"/>
    <x v="1"/>
    <s v="13.11.2025"/>
    <s v="21.11.2025"/>
    <m/>
    <m/>
    <s v="MAUSAUDDIN SK "/>
  </r>
  <r>
    <n v="212"/>
    <s v="23/0"/>
    <x v="0"/>
    <s v="DD45+3"/>
    <s v="DFR"/>
    <x v="1"/>
    <s v="15.11.2025"/>
    <s v="29.11.2025"/>
    <m/>
    <m/>
    <s v="MAUSAUDDIN SK "/>
  </r>
  <r>
    <n v="213"/>
    <s v="55/2"/>
    <x v="2"/>
    <s v="DA+3"/>
    <s v="DFR"/>
    <x v="1"/>
    <s v="10.11.2025"/>
    <s v="23.11.2025"/>
    <m/>
    <m/>
    <s v="Shree ram construction"/>
  </r>
  <r>
    <n v="214"/>
    <s v="6/2"/>
    <x v="0"/>
    <s v="DA+1.5"/>
    <s v="WFR"/>
    <x v="1"/>
    <s v="17.11.2025"/>
    <s v="24.11.2025"/>
    <m/>
    <m/>
    <s v="MAUSAUDDIN SK "/>
  </r>
  <r>
    <n v="215"/>
    <s v="55/1"/>
    <x v="2"/>
    <s v="DA+6"/>
    <s v="WFR"/>
    <x v="1"/>
    <s v="04.12.2025"/>
    <s v="16.12.2025"/>
    <s v="Dec'25"/>
    <s v="Dec'25"/>
    <s v="Shree ram construction"/>
  </r>
  <r>
    <n v="216"/>
    <s v="14/0"/>
    <x v="0"/>
    <s v="DC1+0"/>
    <s v="DFR"/>
    <x v="1"/>
    <s v="25.11.2025"/>
    <s v="01.12.2025"/>
    <s v="Nov'25"/>
    <s v="Dec'25"/>
    <s v="MAUSAUDDIN SK "/>
  </r>
  <r>
    <n v="217"/>
    <s v="52/1"/>
    <x v="2"/>
    <s v="DA+1.5"/>
    <s v="DFR"/>
    <x v="1"/>
    <s v="19.11.2025"/>
    <s v="03.12.2025"/>
    <s v="Nov'25"/>
    <s v="Dec'25"/>
    <s v="Shree ram construction"/>
  </r>
  <r>
    <n v="218"/>
    <s v="53/0"/>
    <x v="2"/>
    <s v="DB2+3"/>
    <s v="DFR"/>
    <x v="1"/>
    <s v="27.11.2025"/>
    <s v="13.12.2025"/>
    <s v="Nov'25"/>
    <s v="Dec'25"/>
    <s v="AFFLUX CONSTRUCTION "/>
  </r>
  <r>
    <n v="219"/>
    <s v="68/0"/>
    <x v="2"/>
    <s v="DB2+6"/>
    <s v="WC"/>
    <x v="1"/>
    <s v="27.11.2025"/>
    <s v="27.12.2025"/>
    <s v="Nov'25"/>
    <s v="Dec'25"/>
    <s v="Durga construction"/>
  </r>
  <r>
    <n v="220"/>
    <s v="32/1"/>
    <x v="0"/>
    <s v="DB1+9"/>
    <s v="WFR"/>
    <x v="1"/>
    <s v="29.11.2025"/>
    <s v="07.12.2025"/>
    <s v="Nov'25"/>
    <s v="Dec'25"/>
    <s v="MAUSAUDDIN SK "/>
  </r>
  <r>
    <n v="221"/>
    <s v="48/4"/>
    <x v="2"/>
    <s v="DA(-)1.5"/>
    <s v="DFR"/>
    <x v="1"/>
    <s v="29.11.2025"/>
    <s v="09.12.2025"/>
    <s v="Nov'25"/>
    <s v="Dec'25"/>
    <s v="Durga construction"/>
  </r>
  <r>
    <n v="222"/>
    <s v="11/0"/>
    <x v="0"/>
    <s v="DD60+25"/>
    <s v="WFR"/>
    <x v="1"/>
    <s v="01.12.2025"/>
    <s v="09.12.2025"/>
    <s v="Dec'25"/>
    <s v="Dec'25"/>
    <s v="MAUSAUDDIN SK -II"/>
  </r>
  <r>
    <n v="223"/>
    <s v="56/2"/>
    <x v="2"/>
    <s v="DB1+6"/>
    <s v="WFR"/>
    <x v="1"/>
    <s v="05.12.2025"/>
    <s v="19.12.2025"/>
    <s v="Dec'25"/>
    <s v="Dec'25"/>
    <s v="Shri Balaji Contractor"/>
  </r>
  <r>
    <n v="224"/>
    <s v="39/0"/>
    <x v="0"/>
    <s v="DC1+0"/>
    <s v="WC"/>
    <x v="1"/>
    <s v="06.12.2025"/>
    <s v="20.12.2025"/>
    <s v="Dec'25"/>
    <s v="Dec'25"/>
    <s v="Jai bhawani construction"/>
  </r>
  <r>
    <n v="225"/>
    <s v="53B/1"/>
    <x v="2"/>
    <s v="DA+3"/>
    <s v="DFR"/>
    <x v="1"/>
    <s v="10.12.2025"/>
    <s v="21.12.2025"/>
    <s v="Dec'25"/>
    <s v="Dec'25"/>
    <s v="Jai shree ram construction"/>
  </r>
  <r>
    <n v="226"/>
    <s v="52/0"/>
    <x v="2"/>
    <s v="DC2+0"/>
    <s v="DFR"/>
    <x v="1"/>
    <s v="15.12.2025"/>
    <s v="09.01.2026"/>
    <s v="Dec'25"/>
    <s v="Jan'26"/>
    <s v="AFFLUX CONSTRUCTION "/>
  </r>
  <r>
    <n v="227"/>
    <s v="29/0"/>
    <x v="0"/>
    <s v="DD45+18"/>
    <s v="DFR"/>
    <x v="1"/>
    <s v="10.12.2025"/>
    <s v="16.12.2025"/>
    <s v="Dec'25"/>
    <s v="Dec'25"/>
    <s v="MAUSAUDDIN SK-I"/>
  </r>
  <r>
    <n v="228"/>
    <s v="25/0"/>
    <x v="0"/>
    <s v="DC2+18"/>
    <s v="WFR"/>
    <x v="1"/>
    <s v="10.12.2025"/>
    <s v="22.12.2025"/>
    <s v="Dec'25"/>
    <s v="Dec'25"/>
    <s v="MAUSAUDDIN SK -II"/>
  </r>
  <r>
    <n v="229"/>
    <s v="38/0"/>
    <x v="0"/>
    <s v="DD45+9"/>
    <s v="DFR"/>
    <x v="1"/>
    <s v="16.12.2025"/>
    <s v="07.01.2025"/>
    <m/>
    <m/>
    <s v="Shri Balaji Contractor"/>
  </r>
  <r>
    <n v="230"/>
    <s v="27/0"/>
    <x v="0"/>
    <s v="DB2+9"/>
    <s v="WFR"/>
    <x v="1"/>
    <s v="17.12.2025"/>
    <s v="26.12.2025"/>
    <s v="Dec'25"/>
    <s v="Dec'25"/>
    <s v="MAUSAUDDIN SK-I"/>
  </r>
  <r>
    <n v="231"/>
    <s v="30/2"/>
    <x v="0"/>
    <s v="DA+0"/>
    <s v="WFR"/>
    <x v="1"/>
    <s v="23.12.2025"/>
    <s v="30.12.2025"/>
    <s v="Dec'25"/>
    <s v="Dec'25"/>
    <s v="MAUSAUDDIN SK-I"/>
  </r>
  <r>
    <n v="232"/>
    <s v="36/0"/>
    <x v="0"/>
    <s v="DC2+0"/>
    <s v="WC"/>
    <x v="1"/>
    <s v="09.01.2026"/>
    <s v="21.01.2026"/>
    <s v="Jan'26"/>
    <s v="Jan'26"/>
    <s v="MAUSAUDDIN SK-I"/>
  </r>
  <r>
    <n v="233"/>
    <s v="48/3"/>
    <x v="2"/>
    <s v="DA+3"/>
    <s v="WC"/>
    <x v="1"/>
    <s v="27.12.2025"/>
    <s v="4.01.2026"/>
    <s v="Dec'25"/>
    <s v="Jan'26"/>
    <s v="Jai bhawani construction"/>
  </r>
  <r>
    <n v="234"/>
    <s v="30/0"/>
    <x v="0"/>
    <s v="DC1+0"/>
    <s v="DFR"/>
    <x v="1"/>
    <s v="13.01.2026"/>
    <s v="29.01.2026"/>
    <s v="Jan'26"/>
    <s v="Jan'26"/>
    <s v="MAUSAUDDIN SK-I"/>
  </r>
  <r>
    <n v="235"/>
    <s v="48/1"/>
    <x v="2"/>
    <s v="DA+0"/>
    <s v="DFR"/>
    <x v="1"/>
    <s v="14.01.2026"/>
    <s v="24.01.2026"/>
    <s v="Jan'26"/>
    <s v="Jan'26"/>
    <s v="Jai bhawani construction"/>
  </r>
  <r>
    <n v="236"/>
    <s v="48/5"/>
    <x v="2"/>
    <s v="DA+0"/>
    <s v="DFR"/>
    <x v="1"/>
    <s v="24.01.2026"/>
    <s v="01.02.2026"/>
    <s v="Jan'26"/>
    <s v="Feb'26"/>
    <s v="Jai bhawani construction"/>
  </r>
  <r>
    <n v="237"/>
    <s v="26/0"/>
    <x v="0"/>
    <s v="DC2+12"/>
    <s v="DFR"/>
    <x v="1"/>
    <s v="28.01.2026"/>
    <s v="06.02.2026"/>
    <s v="Jan'26"/>
    <s v="Feb'26"/>
    <s v="MAUSAUDDIN SK-I"/>
  </r>
  <r>
    <n v="238"/>
    <s v="27/1"/>
    <x v="0"/>
    <s v="DB1+9"/>
    <s v="WFR"/>
    <x v="1"/>
    <s v="06.02.2026"/>
    <s v="12.02.2026"/>
    <s v="Feb'26"/>
    <s v="Feb'26"/>
    <s v="MAUSAUDDIN SK-I"/>
  </r>
  <r>
    <n v="239"/>
    <s v="37/0"/>
    <x v="0"/>
    <s v="DD45+12"/>
    <s v="DFR"/>
    <x v="1"/>
    <s v="11.02.2026"/>
    <s v="25.02.2026"/>
    <s v="Feb'26"/>
    <s v="Feb'26"/>
    <s v="Hemraj yadav"/>
  </r>
  <r>
    <n v="240"/>
    <s v="31/0"/>
    <x v="0"/>
    <s v="DD60+0"/>
    <s v="WFR"/>
    <x v="1"/>
    <s v="12.02.2026"/>
    <s v="23.02.2026"/>
    <s v="Feb'26"/>
    <s v="Feb'26"/>
    <s v="MAUSAUDDIN SK-I"/>
  </r>
  <r>
    <n v="241"/>
    <s v="32/0"/>
    <x v="0"/>
    <s v="DC2+0"/>
    <s v="DFR"/>
    <x v="1"/>
    <s v="22.02.2026"/>
    <s v="28.02.2026"/>
    <s v="Feb'26"/>
    <s v="Feb'26"/>
    <s v="MAUSAUDDIN SK-I"/>
  </r>
  <r>
    <n v="242"/>
    <s v="53A/0"/>
    <x v="2"/>
    <s v="DB1(-)1.5"/>
    <s v="DFR"/>
    <x v="1"/>
    <s v="28.02.2026"/>
    <s v="14.03.2026"/>
    <s v="Feb'26"/>
    <s v="Mar'26"/>
    <s v="Hemraj yadav"/>
  </r>
  <r>
    <n v="243"/>
    <s v="39/6"/>
    <x v="1"/>
    <s v="DC2+0"/>
    <s v="DFR"/>
    <x v="1"/>
    <s v="26.02.2026"/>
    <s v="21.03.2026"/>
    <s v="Feb'26"/>
    <s v="Mar'26"/>
    <s v="AFFLUX CONSTRUCTION "/>
  </r>
  <r>
    <n v="244"/>
    <s v="41/7"/>
    <x v="1"/>
    <s v="DA+6"/>
    <s v="DFR"/>
    <x v="1"/>
    <s v="11.03.2026"/>
    <s v="26.03.2026"/>
    <s v="Mar'26"/>
    <s v="Mar'26"/>
    <s v="Khatu Shyam construction"/>
  </r>
  <r>
    <n v="245"/>
    <s v="53B/0"/>
    <x v="2"/>
    <s v="DB2(-)1.5"/>
    <s v="DFR"/>
    <x v="1"/>
    <s v="17.03.2026"/>
    <s v="30.03.2026"/>
    <s v="Mar'26"/>
    <s v="Mar'26"/>
    <s v="Hemraj yadav"/>
  </r>
  <r>
    <n v="246"/>
    <s v="48/0"/>
    <x v="2"/>
    <s v="DB1+0"/>
    <s v="WET"/>
    <x v="1"/>
    <s v="15.03.2026"/>
    <s v="05.04.2026"/>
    <s v="Mar'26"/>
    <s v="Apr'26"/>
    <s v="Jai bhawani construction"/>
  </r>
  <r>
    <n v="247"/>
    <s v="41/3"/>
    <x v="1"/>
    <s v="DA+1.5"/>
    <s v="WC"/>
    <x v="1"/>
    <s v="19.03.2026"/>
    <d v="2026-04-10T00:00:00"/>
    <s v="Mar'26"/>
    <s v="Apr'26"/>
    <s v="Khatu Shyam construction"/>
  </r>
  <r>
    <n v="248"/>
    <s v="65/4"/>
    <x v="2"/>
    <s v="DA(-)1.5"/>
    <s v="DFR"/>
    <x v="1"/>
    <s v="19.03.2026"/>
    <s v="05.04.2026"/>
    <s v="Mar'26"/>
    <s v="Apr'26"/>
    <s v="Shri Balaji Contractor"/>
  </r>
  <r>
    <n v="249"/>
    <s v="39/10"/>
    <x v="1"/>
    <s v="DA+0"/>
    <s v="DFR"/>
    <x v="1"/>
    <s v="22.03.2026"/>
    <s v="31.03.2026"/>
    <s v="Mar'26"/>
    <s v="Mar'26"/>
    <s v="AFFLUX CONSTRUCTION "/>
  </r>
  <r>
    <n v="250"/>
    <s v="39/11"/>
    <x v="1"/>
    <s v="DA+3"/>
    <s v="WC"/>
    <x v="1"/>
    <s v="26.03.2026"/>
    <d v="2026-04-08T00:00:00"/>
    <s v="Mar'26"/>
    <s v="Apr'26"/>
    <s v="AFFLUX CONSTRUCTION "/>
  </r>
  <r>
    <n v="251"/>
    <s v="28/0"/>
    <x v="0"/>
    <s v="DD45+6"/>
    <s v="DFR"/>
    <x v="1"/>
    <s v="27.03.2026"/>
    <s v="04.04.2026"/>
    <s v="Mar'26"/>
    <s v="Apr'26"/>
    <s v="MAUSAUDDIN SK-I"/>
  </r>
  <r>
    <n v="252"/>
    <s v="54/0"/>
    <x v="2"/>
    <s v="DC2+18"/>
    <s v="DFR"/>
    <x v="1"/>
    <s v="31.03.2026"/>
    <d v="2026-04-18T00:00:00"/>
    <s v="Apr'26"/>
    <s v="Apr'26"/>
    <s v="Hemraj yadav"/>
  </r>
  <r>
    <n v="253"/>
    <s v="35/0"/>
    <x v="0"/>
    <s v="DB2+3"/>
    <s v="WET"/>
    <x v="1"/>
    <s v="01.04.2026"/>
    <d v="2026-04-09T00:00:00"/>
    <s v="Apr'26"/>
    <s v="Apr'26"/>
    <s v="MAUSAUDDIN SK-I"/>
  </r>
  <r>
    <n v="254"/>
    <s v="47/10"/>
    <x v="1"/>
    <s v="DA+3"/>
    <m/>
    <x v="3"/>
    <d v="2026-04-14T00:00:00"/>
    <m/>
    <s v="Apr'26"/>
    <m/>
    <s v="AFFLUX CONSTRUCTION "/>
  </r>
  <r>
    <n v="255"/>
    <s v="5/0"/>
    <x v="0"/>
    <s v="DB1+0"/>
    <s v="WC"/>
    <x v="1"/>
    <d v="2026-04-10T00:00:00"/>
    <d v="2026-04-14T00:00:00"/>
    <s v="Apr'26"/>
    <s v="Apr'26"/>
    <s v="MAUSAUDDIN SK-I"/>
  </r>
  <r>
    <n v="256"/>
    <s v="50/0"/>
    <x v="2"/>
    <s v="DC2+18"/>
    <s v="DFR"/>
    <x v="4"/>
    <d v="2026-04-10T00:00:00"/>
    <m/>
    <s v="Apr'26"/>
    <m/>
    <s v="Jai bhawani construction"/>
  </r>
  <r>
    <n v="257"/>
    <s v="39/9"/>
    <x v="1"/>
    <s v="DA+3"/>
    <s v="DFR"/>
    <x v="1"/>
    <d v="2026-04-10T00:00:00"/>
    <d v="2026-04-25T00:00:00"/>
    <s v="Apr'26"/>
    <s v="Apr'26"/>
    <s v="AFFLUX CONSTRUCTION "/>
  </r>
  <r>
    <n v="258"/>
    <s v="45/2"/>
    <x v="1"/>
    <s v="DA+0"/>
    <m/>
    <x v="5"/>
    <d v="2026-04-14T00:00:00"/>
    <m/>
    <s v="Apr'26"/>
    <m/>
    <s v="AFFLUX CONSTRUCTION "/>
  </r>
  <r>
    <n v="259"/>
    <s v="4/6"/>
    <x v="0"/>
    <s v="DA+6"/>
    <s v="DFR"/>
    <x v="1"/>
    <d v="2026-04-10T00:00:00"/>
    <d v="2026-04-16T00:00:00"/>
    <s v="Apr'26"/>
    <s v="Apr'26"/>
    <s v="MAUSAUDDIN SK-I"/>
  </r>
  <r>
    <n v="260"/>
    <s v="47/9"/>
    <x v="1"/>
    <s v="DA+0"/>
    <m/>
    <x v="3"/>
    <d v="2026-04-15T00:00:00"/>
    <m/>
    <s v="Apr'26"/>
    <m/>
    <s v="AFFLUX CONSTRUCTION "/>
  </r>
  <r>
    <n v="261"/>
    <s v="4/3"/>
    <x v="0"/>
    <s v="DA(-)3"/>
    <s v="DFR"/>
    <x v="1"/>
    <d v="2026-04-16T00:00:00"/>
    <d v="2026-04-20T00:00:00"/>
    <s v="Apr'26"/>
    <s v="Apr'26"/>
    <s v="MAUSAUDDIN SK-I"/>
  </r>
  <r>
    <n v="262"/>
    <s v="4/4"/>
    <x v="0"/>
    <s v="DA+6"/>
    <s v="DFR"/>
    <x v="1"/>
    <d v="2026-04-16T00:00:00"/>
    <d v="2026-04-18T00:00:00"/>
    <s v="Apr'26"/>
    <s v="Apr'26"/>
    <s v="MAUSAUDDIN SK-I"/>
  </r>
  <r>
    <n v="263"/>
    <s v="3/1"/>
    <x v="0"/>
    <s v="DA(-)1.5"/>
    <s v="DFR "/>
    <x v="1"/>
    <d v="2026-04-27T00:00:00"/>
    <d v="2026-04-29T00:00:00"/>
    <s v="Apr'26"/>
    <s v="Apr'26"/>
    <s v="MAUSAUDDIN SK-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1"/>
    <s v="16/4"/>
    <x v="0"/>
    <x v="0"/>
    <s v="22/08/2025"/>
    <d v="2025-09-03T00:00:00"/>
    <m/>
    <m/>
    <s v="DEVI CONST.-I"/>
  </r>
  <r>
    <n v="2"/>
    <s v="13/2"/>
    <x v="0"/>
    <x v="0"/>
    <s v="22/08/2025"/>
    <s v="15.09.2025"/>
    <m/>
    <m/>
    <s v="DEONATH MAHATO "/>
  </r>
  <r>
    <n v="3"/>
    <s v="8/5"/>
    <x v="0"/>
    <x v="0"/>
    <s v="25/08/2025"/>
    <s v="08.09.2025"/>
    <m/>
    <m/>
    <s v="JAWALA SINGH "/>
  </r>
  <r>
    <n v="4"/>
    <s v="12/6"/>
    <x v="0"/>
    <x v="0"/>
    <s v="25/08/2025"/>
    <s v="18.09.2025"/>
    <m/>
    <m/>
    <s v="MODINA INDIA  "/>
  </r>
  <r>
    <n v="5"/>
    <s v="12/1"/>
    <x v="0"/>
    <x v="0"/>
    <s v="02.09.2025"/>
    <s v="23.09.2025"/>
    <m/>
    <m/>
    <s v="OM CONSTRUCTION"/>
  </r>
  <r>
    <n v="6"/>
    <s v="15/2"/>
    <x v="0"/>
    <x v="0"/>
    <s v="02.09.2025"/>
    <s v="12.09.2025"/>
    <m/>
    <m/>
    <s v="HEMLAL MAHATO-I (Anita Devi)"/>
  </r>
  <r>
    <n v="7"/>
    <s v="20/1"/>
    <x v="0"/>
    <x v="0"/>
    <s v="07.09.2025"/>
    <s v="14.09.2025"/>
    <m/>
    <m/>
    <s v="DEVI CONST.-I"/>
  </r>
  <r>
    <n v="8"/>
    <s v="16/1"/>
    <x v="0"/>
    <x v="0"/>
    <s v="07.09.2025"/>
    <s v="12.09.2025"/>
    <m/>
    <m/>
    <s v="DEVI CONST.-II"/>
  </r>
  <r>
    <n v="9"/>
    <s v="8/6"/>
    <x v="0"/>
    <x v="0"/>
    <s v="25/08/2025"/>
    <s v="14.09.2025"/>
    <m/>
    <m/>
    <s v="JAWALA SINGH "/>
  </r>
  <r>
    <n v="10"/>
    <s v="13/4"/>
    <x v="0"/>
    <x v="0"/>
    <s v="13.09.2025"/>
    <s v="27.09.2025"/>
    <m/>
    <m/>
    <s v="DEONATH MAHATO "/>
  </r>
  <r>
    <n v="11"/>
    <s v="15/5"/>
    <x v="0"/>
    <x v="0"/>
    <s v="11.09.2025"/>
    <s v="19.09.2025"/>
    <m/>
    <m/>
    <s v="HEMLAL MAHATO-I (Anita Devi)"/>
  </r>
  <r>
    <n v="12"/>
    <s v="16/8"/>
    <x v="0"/>
    <x v="0"/>
    <s v="13.09.2025"/>
    <s v="19.09.2025"/>
    <m/>
    <m/>
    <s v="DEVI CONST.-I"/>
  </r>
  <r>
    <n v="13"/>
    <s v="8/7"/>
    <x v="0"/>
    <x v="0"/>
    <s v="14.09.2025"/>
    <s v="20.09.2025"/>
    <m/>
    <m/>
    <s v="JAWALA SINGH "/>
  </r>
  <r>
    <n v="14"/>
    <s v="22/1"/>
    <x v="0"/>
    <x v="0"/>
    <s v="15.09.2025"/>
    <s v="23.09.2025"/>
    <m/>
    <m/>
    <s v="DEVI CONST.-II"/>
  </r>
  <r>
    <n v="15"/>
    <s v="12/2"/>
    <x v="0"/>
    <x v="0"/>
    <s v="25.09.2025"/>
    <s v="04.10.2025"/>
    <m/>
    <m/>
    <s v="OM CONSTRUCTION"/>
  </r>
  <r>
    <n v="16"/>
    <s v="14/1"/>
    <x v="0"/>
    <x v="0"/>
    <s v="16.09.2025"/>
    <s v="24.09.2025"/>
    <m/>
    <m/>
    <s v="HEMLAL MAHATO-II (Anita Devi)"/>
  </r>
  <r>
    <n v="17"/>
    <s v="16/9"/>
    <x v="0"/>
    <x v="0"/>
    <s v="19.09.2025"/>
    <s v="25.09.2025"/>
    <m/>
    <m/>
    <s v="DEVI CONST.-I"/>
  </r>
  <r>
    <n v="18"/>
    <s v="9/1"/>
    <x v="0"/>
    <x v="0"/>
    <s v="20.09.2025"/>
    <s v="26.09.2025"/>
    <m/>
    <m/>
    <s v="JAWALA SINGH "/>
  </r>
  <r>
    <n v="19"/>
    <s v="20/2"/>
    <x v="0"/>
    <x v="0"/>
    <s v="23.09.2025"/>
    <s v="29.09.2025"/>
    <m/>
    <m/>
    <s v="DEVI CONST.-II"/>
  </r>
  <r>
    <n v="20"/>
    <s v="14/2"/>
    <x v="0"/>
    <x v="0"/>
    <s v="24.09.2025"/>
    <s v="30.09.2025"/>
    <m/>
    <m/>
    <s v="HEMLAL MAHATO-I (Anita Devi)"/>
  </r>
  <r>
    <n v="21"/>
    <s v="16/7"/>
    <x v="0"/>
    <x v="0"/>
    <s v="01.10.2025"/>
    <s v="06.10.2025"/>
    <m/>
    <m/>
    <s v="DEVI CONST.-I"/>
  </r>
  <r>
    <n v="22"/>
    <s v="10/1"/>
    <x v="0"/>
    <x v="0"/>
    <s v="27.09.2025"/>
    <s v="02.10.2025"/>
    <m/>
    <m/>
    <s v="JAWALA SINGH "/>
  </r>
  <r>
    <n v="23"/>
    <s v="13/1"/>
    <x v="0"/>
    <x v="0"/>
    <s v="01.10.2025"/>
    <s v="13.10.2025"/>
    <m/>
    <m/>
    <s v="DEONATH MAHATO "/>
  </r>
  <r>
    <n v="24"/>
    <s v="16/11"/>
    <x v="0"/>
    <x v="0"/>
    <s v="25.09.2025"/>
    <s v="01.10.2025"/>
    <m/>
    <m/>
    <s v="DEVI CONST.-I"/>
  </r>
  <r>
    <n v="25"/>
    <s v="24/6"/>
    <x v="0"/>
    <x v="0"/>
    <s v="01.10.2025"/>
    <s v="06.10.2025"/>
    <m/>
    <m/>
    <s v="DEVI CONST.-II"/>
  </r>
  <r>
    <n v="26"/>
    <s v="14/3"/>
    <x v="0"/>
    <x v="0"/>
    <s v="05.10.2025"/>
    <s v="16.10.2025"/>
    <m/>
    <m/>
    <s v="OM CONSTRUCTION"/>
  </r>
  <r>
    <n v="27"/>
    <s v="24/7"/>
    <x v="0"/>
    <x v="0"/>
    <s v="07.10.2025"/>
    <s v="11.10.2025"/>
    <m/>
    <m/>
    <s v="DEVI CONST."/>
  </r>
  <r>
    <n v="28"/>
    <s v="8/10"/>
    <x v="0"/>
    <x v="0"/>
    <s v="12.10.2025"/>
    <s v="16.10.2025"/>
    <m/>
    <m/>
    <s v="DEVI CONST."/>
  </r>
  <r>
    <n v="29"/>
    <s v="8/9"/>
    <x v="0"/>
    <x v="0"/>
    <s v="17.10.2025"/>
    <s v="22.10.2025"/>
    <m/>
    <m/>
    <s v="DEVI CONST."/>
  </r>
  <r>
    <n v="30"/>
    <s v="8/8"/>
    <x v="0"/>
    <x v="0"/>
    <s v="24.10.2025"/>
    <d v="2025-10-25T00:00:00"/>
    <m/>
    <m/>
    <s v="DEVI CONST."/>
  </r>
  <r>
    <n v="31"/>
    <s v="9/2"/>
    <x v="0"/>
    <x v="0"/>
    <s v="26.10.2025"/>
    <s v="02.11.2025"/>
    <m/>
    <m/>
    <s v="DEVI CONST."/>
  </r>
  <r>
    <n v="32"/>
    <s v="8/4"/>
    <x v="0"/>
    <x v="0"/>
    <s v="03.11.2025"/>
    <s v="07.11.2025"/>
    <m/>
    <m/>
    <s v="DEVI CONST."/>
  </r>
  <r>
    <n v="33"/>
    <s v="10/2"/>
    <x v="0"/>
    <x v="0"/>
    <s v="08.11.2025"/>
    <s v="11.11.2025"/>
    <m/>
    <m/>
    <s v="DEVI CONST."/>
  </r>
  <r>
    <n v="34"/>
    <s v="15/4"/>
    <x v="0"/>
    <x v="0"/>
    <s v="13.11.2025"/>
    <s v="25.11.2025"/>
    <m/>
    <m/>
    <s v="Arawali infra-1"/>
  </r>
  <r>
    <n v="35"/>
    <s v="16/2"/>
    <x v="0"/>
    <x v="0"/>
    <s v="13.11.2025"/>
    <s v="24.11.2025"/>
    <m/>
    <m/>
    <s v="Arawali infra-2"/>
  </r>
  <r>
    <n v="36"/>
    <s v="21/4"/>
    <x v="0"/>
    <x v="0"/>
    <s v="27.11.2025"/>
    <s v="09.12.2025"/>
    <m/>
    <s v="Dec'25"/>
    <s v="Kaushlya Devi"/>
  </r>
  <r>
    <n v="37"/>
    <s v="12/3"/>
    <x v="0"/>
    <x v="0"/>
    <s v="11.11.2025"/>
    <s v="16.11.2025"/>
    <m/>
    <m/>
    <s v="DEVI CONST."/>
  </r>
  <r>
    <n v="38"/>
    <s v="13/0"/>
    <x v="0"/>
    <x v="0"/>
    <s v="16.11.2025"/>
    <s v="27.11.2025"/>
    <m/>
    <m/>
    <s v="DEVI CONST."/>
  </r>
  <r>
    <n v="39"/>
    <s v="5/1"/>
    <x v="0"/>
    <x v="0"/>
    <s v="20.11.2025"/>
    <s v="25.11.2025"/>
    <m/>
    <m/>
    <s v="JAWALA SINGH "/>
  </r>
  <r>
    <n v="40"/>
    <s v="5/3"/>
    <x v="0"/>
    <x v="0"/>
    <s v="26.11.2025"/>
    <s v="30.11.2025"/>
    <m/>
    <m/>
    <s v="JAWALA SINGH "/>
  </r>
  <r>
    <n v="41"/>
    <s v="15/9"/>
    <x v="0"/>
    <x v="0"/>
    <s v="26.11.2025"/>
    <s v="04.12.2025"/>
    <m/>
    <s v="Dec'25"/>
    <s v="Arawali infra-2"/>
  </r>
  <r>
    <n v="42"/>
    <s v="15/3"/>
    <x v="0"/>
    <x v="0"/>
    <s v="27.11.2025"/>
    <s v="05.12.2025"/>
    <m/>
    <s v="Dec'25"/>
    <s v="Arawali infra-1"/>
  </r>
  <r>
    <n v="43"/>
    <s v="8/1"/>
    <x v="0"/>
    <x v="0"/>
    <s v="28.11.2025"/>
    <s v="03.12.2025"/>
    <m/>
    <s v="Dec'25"/>
    <s v="DEVI CONST."/>
  </r>
  <r>
    <n v="44"/>
    <s v="5/5"/>
    <x v="0"/>
    <x v="0"/>
    <s v="01.12.2025"/>
    <s v="05.12.2025"/>
    <m/>
    <s v="Dec'25"/>
    <s v="JAWALA SINGH "/>
  </r>
  <r>
    <n v="45"/>
    <s v="15/1"/>
    <x v="0"/>
    <x v="0"/>
    <s v="07.12.2025"/>
    <s v="15.12.2025"/>
    <m/>
    <s v="Dec'25"/>
    <s v="Arawali infra-1"/>
  </r>
  <r>
    <n v="46"/>
    <s v="15/8"/>
    <x v="0"/>
    <x v="0"/>
    <s v="04.12.2025"/>
    <s v="12.12.2025"/>
    <m/>
    <s v="Dec'25"/>
    <s v="Arawali infra-2"/>
  </r>
  <r>
    <n v="47"/>
    <s v="5/7"/>
    <x v="0"/>
    <x v="0"/>
    <s v="06.12.2025"/>
    <s v="11.12.2025"/>
    <m/>
    <s v="Dec'25"/>
    <s v="JAWALA SINGH "/>
  </r>
  <r>
    <n v="48"/>
    <s v="8/0"/>
    <x v="0"/>
    <x v="0"/>
    <s v="05.12.2025"/>
    <s v="16.12.2025"/>
    <m/>
    <s v="Dec'25"/>
    <s v="DEVI CONST."/>
  </r>
  <r>
    <n v="49"/>
    <s v="15/7"/>
    <x v="0"/>
    <x v="0"/>
    <s v="11.12.2025"/>
    <s v="19.12.2025"/>
    <m/>
    <s v="Dec'25"/>
    <s v="Arawali infra-2"/>
  </r>
  <r>
    <n v="50"/>
    <s v="65/7"/>
    <x v="1"/>
    <x v="0"/>
    <s v="11.12.2025"/>
    <s v="17.12.2025"/>
    <m/>
    <s v="Dec'25"/>
    <s v="Anita Devi"/>
  </r>
  <r>
    <n v="51"/>
    <s v="7/3"/>
    <x v="0"/>
    <x v="0"/>
    <s v="12.12.2025"/>
    <s v="16.12.2025"/>
    <m/>
    <s v="Dec'25"/>
    <s v="JAWALA SINGH "/>
  </r>
  <r>
    <n v="52"/>
    <s v="18/1"/>
    <x v="0"/>
    <x v="0"/>
    <s v="14.12.2025"/>
    <s v="06.01.2026"/>
    <m/>
    <s v="Jan'26"/>
    <s v="Kaushlya Devi"/>
  </r>
  <r>
    <n v="53"/>
    <s v="32/3"/>
    <x v="0"/>
    <x v="0"/>
    <s v="16.12.2025"/>
    <s v="23.12.2025"/>
    <m/>
    <s v="Dec'25"/>
    <s v="Arawali infra-1"/>
  </r>
  <r>
    <n v="54"/>
    <s v="7/2"/>
    <x v="0"/>
    <x v="0"/>
    <s v="17.12.2025"/>
    <s v="21.12.2025"/>
    <m/>
    <s v="Dec'25"/>
    <s v="JAWALA SINGH "/>
  </r>
  <r>
    <n v="55"/>
    <s v="8/2"/>
    <x v="0"/>
    <x v="0"/>
    <s v="18.12.2025"/>
    <s v="22.12.2025"/>
    <m/>
    <s v="Dec'25"/>
    <s v="DEVI CONST."/>
  </r>
  <r>
    <n v="56"/>
    <s v="66/0"/>
    <x v="1"/>
    <x v="0"/>
    <s v="19.12.2025"/>
    <s v="28.12.2025"/>
    <m/>
    <s v="Dec'25"/>
    <s v="Anita Devi"/>
  </r>
  <r>
    <n v="57"/>
    <s v="16/0"/>
    <x v="0"/>
    <x v="0"/>
    <s v="21.12.2025"/>
    <s v="31.12.2025"/>
    <m/>
    <s v="Dec'25"/>
    <s v="Arawali infra-2"/>
  </r>
  <r>
    <n v="58"/>
    <s v="9/0"/>
    <x v="0"/>
    <x v="0"/>
    <s v="22.12.2025"/>
    <s v="29.12.2025"/>
    <m/>
    <s v="Dec'25"/>
    <s v="JAWALA SINGH "/>
  </r>
  <r>
    <n v="59"/>
    <s v="8/3"/>
    <x v="0"/>
    <x v="0"/>
    <s v="23.12.2025"/>
    <s v="28.12.2025"/>
    <m/>
    <s v="Dec'25"/>
    <s v="DEVI CONST."/>
  </r>
  <r>
    <n v="60"/>
    <s v="32/4"/>
    <x v="0"/>
    <x v="0"/>
    <s v="24.12.2025"/>
    <s v="30.12.2025"/>
    <m/>
    <s v="Dec'25"/>
    <s v="Arawali infra-1"/>
  </r>
  <r>
    <n v="61"/>
    <s v="9/3"/>
    <x v="0"/>
    <x v="0"/>
    <s v="30.12.2025"/>
    <s v="04.01.2026"/>
    <m/>
    <s v="Jan'26"/>
    <s v="JAWALA SINGH "/>
  </r>
  <r>
    <n v="62"/>
    <s v="6/3"/>
    <x v="0"/>
    <x v="0"/>
    <s v="30.12.2025"/>
    <s v="03.01.2026"/>
    <m/>
    <s v="Jan'26"/>
    <s v="DEVI CONST."/>
  </r>
  <r>
    <n v="63"/>
    <s v="16/10"/>
    <x v="0"/>
    <x v="0"/>
    <s v="02.01.2026"/>
    <s v="12.01.2026"/>
    <m/>
    <s v="Jan'26"/>
    <s v="Arawali infra-2"/>
  </r>
  <r>
    <n v="64"/>
    <s v="65/2"/>
    <x v="1"/>
    <x v="0"/>
    <s v="31.12.2025"/>
    <s v="09.01.2026"/>
    <m/>
    <s v="Jan'26"/>
    <s v="Anita Devi"/>
  </r>
  <r>
    <n v="65"/>
    <s v="32/6"/>
    <x v="0"/>
    <x v="0"/>
    <s v="31.12.2025"/>
    <s v="06.01.2026"/>
    <m/>
    <s v="Jan'26"/>
    <s v="Arawali infra-1"/>
  </r>
  <r>
    <n v="66"/>
    <s v="7/4"/>
    <x v="0"/>
    <x v="0"/>
    <s v="04.01.2026"/>
    <s v="09.01.2026"/>
    <m/>
    <s v="Jan'26"/>
    <s v="DEVI CONST."/>
  </r>
  <r>
    <n v="67"/>
    <s v="10/3"/>
    <x v="0"/>
    <x v="0"/>
    <s v="05.01.2026"/>
    <s v="10.01.2026"/>
    <m/>
    <s v="Jan'26"/>
    <s v="JAWALA SINGH "/>
  </r>
  <r>
    <n v="68"/>
    <s v="32/5"/>
    <x v="0"/>
    <x v="0"/>
    <s v="08.01.2026"/>
    <s v="14.01.2026"/>
    <m/>
    <s v="Jan'26"/>
    <s v="Arawali infra-2"/>
  </r>
  <r>
    <n v="69"/>
    <s v="14/0"/>
    <x v="0"/>
    <x v="0"/>
    <s v="11.01.2026"/>
    <s v="19.01.2026"/>
    <m/>
    <s v="Jan'26"/>
    <s v="DEVI CONST."/>
  </r>
  <r>
    <n v="70"/>
    <s v="68/0"/>
    <x v="1"/>
    <x v="0"/>
    <s v="12.01.2026"/>
    <s v="25.01.2026"/>
    <m/>
    <s v="Jan'26"/>
    <s v="Anita Devi"/>
  </r>
  <r>
    <n v="71"/>
    <s v="12/4"/>
    <x v="0"/>
    <x v="0"/>
    <s v="11.01.2026"/>
    <s v="15.01.2026"/>
    <m/>
    <s v="Jan'26"/>
    <s v="JAWALA SINGH "/>
  </r>
  <r>
    <n v="72"/>
    <s v="16/6"/>
    <x v="0"/>
    <x v="0"/>
    <s v="15.01.2026"/>
    <s v="20.01.2026"/>
    <m/>
    <s v="Jan'26"/>
    <s v="Arawali infra-2"/>
  </r>
  <r>
    <n v="73"/>
    <s v="12/5"/>
    <x v="0"/>
    <x v="0"/>
    <s v="16.01.2026"/>
    <s v="19.01.2026"/>
    <m/>
    <s v="Jan'26"/>
    <s v="JAWALA SINGH "/>
  </r>
  <r>
    <n v="74"/>
    <s v="48/4"/>
    <x v="1"/>
    <x v="0"/>
    <s v="19.01.2026"/>
    <s v="24.01.2026"/>
    <m/>
    <s v="Jan'26"/>
    <s v="DEVI CONST."/>
  </r>
  <r>
    <n v="75"/>
    <s v="18/0"/>
    <x v="0"/>
    <x v="0"/>
    <s v="25.01.2026"/>
    <s v="06.02.2026"/>
    <m/>
    <s v="Feb'26"/>
    <s v="Senaul Haque"/>
  </r>
  <r>
    <n v="76"/>
    <s v="38/1"/>
    <x v="0"/>
    <x v="0"/>
    <s v="20.01.2026"/>
    <s v="25.01.2026"/>
    <m/>
    <s v="Jan'26"/>
    <s v="JAWALA SINGH "/>
  </r>
  <r>
    <n v="77"/>
    <s v="24/8"/>
    <x v="0"/>
    <x v="0"/>
    <s v="21.01.2026"/>
    <s v="27.01.2026"/>
    <m/>
    <s v="Jan'26"/>
    <s v="DEVI CONST."/>
  </r>
  <r>
    <n v="78"/>
    <s v="10/0"/>
    <x v="0"/>
    <x v="0"/>
    <s v="21.01.2026"/>
    <s v="28.01.2026"/>
    <m/>
    <s v="Jan'26"/>
    <s v="JAWALA SINGH "/>
  </r>
  <r>
    <n v="79"/>
    <s v="16/5"/>
    <x v="0"/>
    <x v="0"/>
    <s v="21.01.2026"/>
    <s v="27.01.2026"/>
    <m/>
    <s v="Jan'26"/>
    <s v="Arawali infra-1"/>
  </r>
  <r>
    <n v="80"/>
    <s v="32/1"/>
    <x v="0"/>
    <x v="0"/>
    <s v="25.01.2026"/>
    <s v="06.02.2026"/>
    <m/>
    <s v="Feb'26"/>
    <s v="Arawali infra-1"/>
  </r>
  <r>
    <n v="81"/>
    <s v="46/0"/>
    <x v="2"/>
    <x v="0"/>
    <s v="27.01.2026"/>
    <s v="06.02.2026"/>
    <m/>
    <s v="Feb'26"/>
    <s v="Amit construction"/>
  </r>
  <r>
    <n v="82"/>
    <s v="64/0"/>
    <x v="1"/>
    <x v="0"/>
    <s v="27.01.2026"/>
    <s v="09.02.2026"/>
    <m/>
    <s v="Feb'26"/>
    <s v="Anita Devi"/>
  </r>
  <r>
    <n v="83"/>
    <s v="47/11"/>
    <x v="1"/>
    <x v="0"/>
    <s v="25.01.2026"/>
    <s v="30.01.2026"/>
    <m/>
    <s v="Jan'26"/>
    <s v="DEVI CONST.-2"/>
  </r>
  <r>
    <n v="84"/>
    <s v="16/3"/>
    <x v="0"/>
    <x v="0"/>
    <s v="28.01.2026"/>
    <s v="03.02.2026"/>
    <m/>
    <s v="Feb'26"/>
    <s v="Arawali infra-2"/>
  </r>
  <r>
    <n v="85"/>
    <s v="38/2"/>
    <x v="0"/>
    <x v="0"/>
    <s v="27.01.2026"/>
    <s v="30.01.2026"/>
    <m/>
    <s v="Jan'26"/>
    <s v="JAWALA SINGH "/>
  </r>
  <r>
    <n v="86"/>
    <s v="24/9"/>
    <x v="0"/>
    <x v="0"/>
    <s v="28.01.2026"/>
    <s v="01.02.2026"/>
    <m/>
    <s v="Feb'26"/>
    <s v="DEVI CONST."/>
  </r>
  <r>
    <n v="87"/>
    <s v="7/0"/>
    <x v="0"/>
    <x v="0"/>
    <s v="31.01.2026"/>
    <s v="06.02.2026"/>
    <m/>
    <s v="Feb'26"/>
    <s v="JAWALA SINGH "/>
  </r>
  <r>
    <n v="88"/>
    <s v="48/2"/>
    <x v="1"/>
    <x v="0"/>
    <s v="31.01.2026"/>
    <s v="06.02.2026"/>
    <m/>
    <s v="Feb'26"/>
    <s v="DEVI CONST.-2"/>
  </r>
  <r>
    <n v="89"/>
    <s v="36/3"/>
    <x v="0"/>
    <x v="0"/>
    <s v="01.02.2026"/>
    <s v="05.02.2026"/>
    <m/>
    <s v="Feb'26"/>
    <s v="JAWALA SINGH "/>
  </r>
  <r>
    <n v="90"/>
    <s v="24/10"/>
    <x v="0"/>
    <x v="0"/>
    <s v="02.02.2026"/>
    <s v="08.02.2026"/>
    <m/>
    <s v="Feb'26"/>
    <s v="DEVI CONST."/>
  </r>
  <r>
    <n v="91"/>
    <s v="26/2"/>
    <x v="0"/>
    <x v="0"/>
    <s v="03.02.2026"/>
    <s v="13.02.2026"/>
    <m/>
    <s v="Feb'26"/>
    <s v="SONI KUMARI"/>
  </r>
  <r>
    <n v="92"/>
    <s v="15/0"/>
    <x v="0"/>
    <x v="0"/>
    <s v="07.02.2026"/>
    <s v="14.02.2026"/>
    <m/>
    <s v="Feb'26"/>
    <s v="ARAVALI INFRA-2"/>
  </r>
  <r>
    <n v="93"/>
    <s v="38/0"/>
    <x v="0"/>
    <x v="0"/>
    <s v="07.02.2026"/>
    <s v="16.02.2026"/>
    <m/>
    <s v="Feb'26"/>
    <s v="JAWALA SINGH "/>
  </r>
  <r>
    <n v="94"/>
    <s v="11/0"/>
    <x v="0"/>
    <x v="0"/>
    <s v="21.02.2026"/>
    <s v="16.03.2026"/>
    <m/>
    <s v="Mar'26"/>
    <s v="JAWALA SINGH "/>
  </r>
  <r>
    <n v="95"/>
    <s v="32/7"/>
    <x v="0"/>
    <x v="0"/>
    <s v="08.02.2026"/>
    <s v="14.02.2026"/>
    <m/>
    <s v="Feb'26"/>
    <s v="JAWALA SINGH"/>
  </r>
  <r>
    <n v="96"/>
    <s v="45/0"/>
    <x v="2"/>
    <x v="0"/>
    <s v="08.02.2026"/>
    <s v="17.02.2026"/>
    <m/>
    <s v="Feb'26"/>
    <s v="Amit construction"/>
  </r>
  <r>
    <n v="97"/>
    <s v="7/1"/>
    <x v="0"/>
    <x v="0"/>
    <s v="08.02.2026"/>
    <s v="12.02.2026"/>
    <m/>
    <s v="Feb'26"/>
    <s v="JAWALA SINGH "/>
  </r>
  <r>
    <n v="98"/>
    <s v="47/8"/>
    <x v="2"/>
    <x v="0"/>
    <s v="07.02.2026"/>
    <s v="12.02.2026"/>
    <m/>
    <s v="Feb'26"/>
    <s v="DEVI CONST.-2"/>
  </r>
  <r>
    <n v="99"/>
    <s v="24/11"/>
    <x v="0"/>
    <x v="0"/>
    <s v="10.02.2026"/>
    <s v="13.02.2026"/>
    <m/>
    <s v="Feb'26"/>
    <s v="DEVI CONST."/>
  </r>
  <r>
    <n v="100"/>
    <s v="65/9"/>
    <x v="1"/>
    <x v="0"/>
    <s v="10.02.2026"/>
    <s v="16.02.2026"/>
    <m/>
    <s v="Feb'26"/>
    <s v="Anita Devi"/>
  </r>
  <r>
    <n v="101"/>
    <s v="5/6"/>
    <x v="0"/>
    <x v="0"/>
    <s v="13.02.2026"/>
    <s v="17.02.2026"/>
    <m/>
    <s v="Feb'26"/>
    <s v="JAWALA SINGH "/>
  </r>
  <r>
    <n v="102"/>
    <s v="49/0"/>
    <x v="1"/>
    <x v="0"/>
    <s v="14.02.2026"/>
    <s v="22.02.2026"/>
    <m/>
    <s v="Feb'26"/>
    <s v="DEVI CONST.-2"/>
  </r>
  <r>
    <n v="103"/>
    <s v="26/1"/>
    <x v="0"/>
    <x v="0"/>
    <s v="15.02.2026"/>
    <s v="25.02.2026"/>
    <m/>
    <s v="Feb'26"/>
    <s v="SONI KUMARI"/>
  </r>
  <r>
    <n v="104"/>
    <s v="27/0"/>
    <x v="0"/>
    <x v="0"/>
    <s v="15.02.2026"/>
    <s v="27.02.2026"/>
    <m/>
    <s v="Feb'26"/>
    <s v="DEVI CONST."/>
  </r>
  <r>
    <n v="105"/>
    <s v="55/1"/>
    <x v="1"/>
    <x v="0"/>
    <s v="15.02.2026"/>
    <s v="25.02.2026"/>
    <m/>
    <s v="Feb'26"/>
    <s v="ARAVALI INFRA-2"/>
  </r>
  <r>
    <n v="106"/>
    <s v="33/0"/>
    <x v="0"/>
    <x v="0"/>
    <s v="15.02.2026"/>
    <s v="28.02.2026"/>
    <m/>
    <s v="Feb'26"/>
    <s v="ARAVALI INFRA-1"/>
  </r>
  <r>
    <n v="107"/>
    <s v="36/0"/>
    <x v="0"/>
    <x v="0"/>
    <s v="17.02.2026"/>
    <s v="26.02.2026"/>
    <m/>
    <s v="Feb'26"/>
    <s v="JAWALA SINGH-2"/>
  </r>
  <r>
    <n v="108"/>
    <s v="65/11"/>
    <x v="1"/>
    <x v="0"/>
    <s v="17.02.2026"/>
    <s v="25.02.2026"/>
    <m/>
    <s v="Feb'26"/>
    <s v="Anita Devi"/>
  </r>
  <r>
    <n v="109"/>
    <s v="40/0"/>
    <x v="2"/>
    <x v="0"/>
    <s v="19.02.2026"/>
    <s v="27.02.2026"/>
    <m/>
    <s v="Feb'26"/>
    <s v="Amit construction"/>
  </r>
  <r>
    <n v="110"/>
    <s v="5/4"/>
    <x v="0"/>
    <x v="0"/>
    <s v="18.02.2026"/>
    <s v="22.02.2026"/>
    <m/>
    <s v="Feb'26"/>
    <s v="JAWALA SINGH "/>
  </r>
  <r>
    <n v="111"/>
    <s v="49/1"/>
    <x v="1"/>
    <x v="0"/>
    <s v="23.02.2026"/>
    <s v="28.02.2026"/>
    <m/>
    <s v="Feb'26"/>
    <s v="DEVI CONST.-2"/>
  </r>
  <r>
    <n v="112"/>
    <s v="6/1"/>
    <x v="0"/>
    <x v="0"/>
    <s v="23.02.2026"/>
    <s v="27.02.2026"/>
    <m/>
    <s v="Feb'26"/>
    <s v="JAWALA SINGH"/>
  </r>
  <r>
    <n v="113"/>
    <s v="65/8"/>
    <x v="1"/>
    <x v="0"/>
    <s v="28.02.2026"/>
    <s v="09.03.2026"/>
    <m/>
    <s v="Mar'26"/>
    <s v="Anita Devi"/>
  </r>
  <r>
    <n v="114"/>
    <s v="52/0"/>
    <x v="1"/>
    <x v="0"/>
    <s v="27.02.2026"/>
    <s v="12.03.2026"/>
    <m/>
    <s v="Mar'26"/>
    <s v="ARAVALI INFRA-2"/>
  </r>
  <r>
    <n v="115"/>
    <s v="39/0"/>
    <x v="0"/>
    <x v="0"/>
    <s v="28.02.2026"/>
    <s v="09.03.2026"/>
    <m/>
    <s v="Mar'26"/>
    <s v="JAWALA SINGH-2"/>
  </r>
  <r>
    <n v="116"/>
    <s v="39/4"/>
    <x v="2"/>
    <x v="0"/>
    <s v="01.03.2026"/>
    <s v="09.03.2026"/>
    <m/>
    <s v="Mar'26"/>
    <s v="Amit construction"/>
  </r>
  <r>
    <n v="117"/>
    <s v="27/1"/>
    <x v="0"/>
    <x v="0"/>
    <s v="01.03.2026"/>
    <s v="15.03.2026"/>
    <m/>
    <s v="Mar'26"/>
    <s v="DEVI CONST."/>
  </r>
  <r>
    <n v="118"/>
    <s v="49/6"/>
    <x v="1"/>
    <x v="0"/>
    <s v="03.03.2026"/>
    <s v="10.03.2026"/>
    <m/>
    <s v="Mar'26"/>
    <s v="DEVI CONST.-2"/>
  </r>
  <r>
    <n v="119"/>
    <s v="34/0"/>
    <x v="0"/>
    <x v="0"/>
    <s v="19.03.2026"/>
    <s v="02.04.2026"/>
    <m/>
    <s v="Apr'26"/>
    <s v="ARAVALI INFRA-1"/>
  </r>
  <r>
    <n v="120"/>
    <s v="63/1"/>
    <x v="1"/>
    <x v="0"/>
    <s v="12.03.2026"/>
    <s v="17.03.2026"/>
    <m/>
    <s v="Mar'26"/>
    <s v="Anita Devi"/>
  </r>
  <r>
    <n v="121"/>
    <s v="39/3"/>
    <x v="2"/>
    <x v="0"/>
    <s v="10.03.2026"/>
    <s v="15.03.2026"/>
    <m/>
    <s v="Mar'26"/>
    <s v="Amit construction"/>
  </r>
  <r>
    <n v="122"/>
    <s v="39/1"/>
    <x v="2"/>
    <x v="0"/>
    <s v="11.03.2026"/>
    <s v="16.03.2026"/>
    <m/>
    <s v="Mar'26"/>
    <s v="JAWALA SINGH-2"/>
  </r>
  <r>
    <n v="123"/>
    <s v="51/2"/>
    <x v="1"/>
    <x v="0"/>
    <s v="12.03.2026"/>
    <s v="16.03.2026"/>
    <m/>
    <s v="Mar'26"/>
    <s v="DEVI CONST.-2"/>
  </r>
  <r>
    <n v="124"/>
    <s v="53/0"/>
    <x v="1"/>
    <x v="0"/>
    <s v="15.03.2026"/>
    <s v="30.03.2026"/>
    <m/>
    <s v="Mar'26"/>
    <s v="ARAVALI INFRA-2"/>
  </r>
  <r>
    <n v="125"/>
    <s v="27/3"/>
    <x v="0"/>
    <x v="0"/>
    <s v="17.03.2026"/>
    <s v="23.03.2026"/>
    <m/>
    <s v="Mar'26"/>
    <s v="DEVI CONST."/>
  </r>
  <r>
    <n v="126"/>
    <s v="40/3"/>
    <x v="2"/>
    <x v="0"/>
    <s v="17.03.2026"/>
    <s v="21.03.2026"/>
    <m/>
    <s v="Mar'26"/>
    <s v="Amit construction"/>
  </r>
  <r>
    <n v="127"/>
    <s v="51/1"/>
    <x v="1"/>
    <x v="0"/>
    <s v="18.03.2026"/>
    <s v="23.03.2026"/>
    <m/>
    <s v="Mar'26"/>
    <s v="DEVI CONST.-2"/>
  </r>
  <r>
    <n v="128"/>
    <s v="39/2"/>
    <x v="2"/>
    <x v="0"/>
    <s v="17.03.2026"/>
    <s v="20.03.2026"/>
    <m/>
    <s v="Mar'26"/>
    <s v="JAWALA SINGH-2"/>
  </r>
  <r>
    <n v="129"/>
    <s v="12/7"/>
    <x v="0"/>
    <x v="0"/>
    <s v="17.03.2026"/>
    <s v="21.03.2026"/>
    <m/>
    <s v="Mar'26"/>
    <s v="JAWALA SINGH "/>
  </r>
  <r>
    <n v="130"/>
    <s v="66/5"/>
    <x v="1"/>
    <x v="0"/>
    <s v="20.03.2026"/>
    <s v="23.03.2026"/>
    <m/>
    <s v="Mar'26"/>
    <s v="Anita Devi"/>
  </r>
  <r>
    <n v="131"/>
    <s v="37/0"/>
    <x v="0"/>
    <x v="0"/>
    <s v="22.03.2026"/>
    <s v="31.03.2026"/>
    <m/>
    <s v="Mar'26"/>
    <s v="JAWALA SINGH-2"/>
  </r>
  <r>
    <n v="132"/>
    <s v="45A/0"/>
    <x v="2"/>
    <x v="0"/>
    <s v="23.03.2026"/>
    <s v="29.03.2026"/>
    <m/>
    <s v="Mar'26"/>
    <s v="Amit construction"/>
  </r>
  <r>
    <n v="133"/>
    <s v="17/0"/>
    <x v="0"/>
    <x v="0"/>
    <s v="23.03.2026"/>
    <s v="29.03.2026"/>
    <m/>
    <s v="Mar'26"/>
    <s v="JAWALA SINGH "/>
  </r>
  <r>
    <n v="134"/>
    <s v="30/2"/>
    <x v="0"/>
    <x v="0"/>
    <s v="23.03.2026"/>
    <s v="28.03.2026"/>
    <m/>
    <s v="Mar'26"/>
    <s v="Splicenet construction"/>
  </r>
  <r>
    <n v="135"/>
    <s v="40/1"/>
    <x v="2"/>
    <x v="0"/>
    <s v="24.03.2026"/>
    <d v="2026-04-09T00:00:00"/>
    <m/>
    <s v="Apr'26"/>
    <s v="ARAVALI INFRA-3"/>
  </r>
  <r>
    <n v="136"/>
    <s v="27/4"/>
    <x v="0"/>
    <x v="0"/>
    <s v="25.03.2026"/>
    <s v="01.04.2026"/>
    <m/>
    <s v="Apr'26"/>
    <s v="DEVI CONST."/>
  </r>
  <r>
    <n v="137"/>
    <s v="66/6"/>
    <x v="1"/>
    <x v="0"/>
    <s v="26.03.2026"/>
    <s v="29.03.2026"/>
    <m/>
    <s v="Mar'26"/>
    <s v="Anita Devi"/>
  </r>
  <r>
    <n v="138"/>
    <s v="48/8"/>
    <x v="1"/>
    <x v="0"/>
    <s v="25.03.2026"/>
    <s v="31.03.2026"/>
    <m/>
    <s v="Mar'26"/>
    <s v="DEVI CONST.-2"/>
  </r>
  <r>
    <n v="139"/>
    <s v="29/2"/>
    <x v="0"/>
    <x v="0"/>
    <s v="25.03.2026"/>
    <s v="04.04.2026"/>
    <m/>
    <s v="Apr'26"/>
    <s v="Splicenet construction-II"/>
  </r>
  <r>
    <n v="140"/>
    <s v="30/1"/>
    <x v="0"/>
    <x v="0"/>
    <s v="30.03.2026"/>
    <s v="05.04.2026"/>
    <m/>
    <s v="Apr'26"/>
    <s v="Splicenet construction"/>
  </r>
  <r>
    <n v="141"/>
    <s v="13/3"/>
    <x v="0"/>
    <x v="0"/>
    <s v="30.03.2026"/>
    <s v="02.04.2026"/>
    <m/>
    <s v="Apr'26"/>
    <s v="JAWALA SINGH "/>
  </r>
  <r>
    <n v="142"/>
    <s v="45/3"/>
    <x v="2"/>
    <x v="0"/>
    <s v="31.03.2026"/>
    <s v="04.04.2026"/>
    <m/>
    <s v="Apr'26"/>
    <s v="Amit construction"/>
  </r>
  <r>
    <n v="143"/>
    <s v="66/4"/>
    <x v="1"/>
    <x v="0"/>
    <s v="31.03.2026"/>
    <s v="04.04.2026"/>
    <m/>
    <s v="Apr'26"/>
    <s v="Anita Devi"/>
  </r>
  <r>
    <n v="144"/>
    <s v="53B/1"/>
    <x v="1"/>
    <x v="0"/>
    <s v="01.04.2026"/>
    <d v="2026-04-07T00:00:00"/>
    <s v="Apr'26"/>
    <s v="Apr'26"/>
    <s v="ARAVALI INFRA-2"/>
  </r>
  <r>
    <n v="145"/>
    <s v="38/3"/>
    <x v="0"/>
    <x v="0"/>
    <s v="02.04.2026"/>
    <s v="05.04.2026"/>
    <s v="Apr'26"/>
    <s v="Apr'26"/>
    <s v="JAWALA SINGH-2"/>
  </r>
  <r>
    <n v="146"/>
    <s v="48/5"/>
    <x v="1"/>
    <x v="0"/>
    <s v="02.04.2026"/>
    <d v="2026-04-07T00:00:00"/>
    <s v="Apr'26"/>
    <s v="Apr'26"/>
    <s v="DEVI CONST.-2"/>
  </r>
  <r>
    <n v="147"/>
    <s v="27/5"/>
    <x v="0"/>
    <x v="0"/>
    <s v="03.04.2026"/>
    <d v="2026-04-09T00:00:00"/>
    <s v="Apr'26"/>
    <s v="Apr'26"/>
    <s v="DEVI CONST."/>
  </r>
  <r>
    <n v="148"/>
    <s v="14/5"/>
    <x v="0"/>
    <x v="0"/>
    <s v="03.04.2026"/>
    <s v="06.04.2026"/>
    <s v="Apr'26"/>
    <s v="Apr'26"/>
    <s v="JAWALA SINGH "/>
  </r>
  <r>
    <n v="149"/>
    <s v="32/2"/>
    <x v="0"/>
    <x v="0"/>
    <s v="03.04.2026"/>
    <d v="2026-04-10T00:00:00"/>
    <s v="Apr'26"/>
    <s v="Apr'26"/>
    <s v="ARAVALI INFRA-1"/>
  </r>
  <r>
    <n v="150"/>
    <s v="29/1"/>
    <x v="0"/>
    <x v="0"/>
    <s v="06.04.2026"/>
    <d v="2026-04-13T00:00:00"/>
    <s v="Apr'26"/>
    <s v="Apr'26"/>
    <s v="Splicenet construction-II"/>
  </r>
  <r>
    <n v="151"/>
    <s v="45/1"/>
    <x v="2"/>
    <x v="0"/>
    <s v="06.04.2026"/>
    <d v="2026-04-09T00:00:00"/>
    <s v="Apr'26"/>
    <s v="Apr'26"/>
    <s v="Amit construction"/>
  </r>
  <r>
    <n v="152"/>
    <s v="67/0"/>
    <x v="1"/>
    <x v="0"/>
    <s v="06.04.2026"/>
    <d v="2026-04-15T00:00:00"/>
    <s v="Apr'26"/>
    <s v="Apr'26"/>
    <s v="Anita Devi"/>
  </r>
  <r>
    <n v="153"/>
    <s v="30/0"/>
    <x v="0"/>
    <x v="1"/>
    <s v="06.04.2026"/>
    <d v="2026-04-16T00:00:00"/>
    <s v="Apr'26"/>
    <s v="Apr'26"/>
    <s v="Splicenet construction"/>
  </r>
  <r>
    <n v="154"/>
    <s v="36/4"/>
    <x v="0"/>
    <x v="0"/>
    <s v="06.04.2026"/>
    <d v="2026-04-09T00:00:00"/>
    <s v="Apr'26"/>
    <s v="Apr'26"/>
    <s v="JAWALA SINGH-2"/>
  </r>
  <r>
    <n v="155"/>
    <s v="14/4"/>
    <x v="0"/>
    <x v="0"/>
    <d v="2026-04-08T00:00:00"/>
    <d v="2026-04-11T00:00:00"/>
    <s v="Apr'26"/>
    <s v="Apr'26"/>
    <s v="JAWALA SINGH "/>
  </r>
  <r>
    <n v="156"/>
    <s v="52/1"/>
    <x v="1"/>
    <x v="0"/>
    <d v="2026-04-09T00:00:00"/>
    <d v="2026-04-14T00:00:00"/>
    <s v="Apr'26"/>
    <s v="Apr'26"/>
    <s v="ARAVALI INFRA-2"/>
  </r>
  <r>
    <n v="157"/>
    <s v="38/8"/>
    <x v="0"/>
    <x v="0"/>
    <d v="2026-04-08T00:00:00"/>
    <d v="2026-04-29T00:00:00"/>
    <s v="Apr'26"/>
    <s v="Apr'26"/>
    <s v="Splicenet construction-III"/>
  </r>
  <r>
    <n v="158"/>
    <s v="27/2"/>
    <x v="0"/>
    <x v="0"/>
    <d v="2026-04-11T00:00:00"/>
    <d v="2026-04-14T00:00:00"/>
    <s v="Apr'26"/>
    <s v="Apr'26"/>
    <s v="DEVI CONST."/>
  </r>
  <r>
    <n v="159"/>
    <s v="40/2"/>
    <x v="2"/>
    <x v="0"/>
    <d v="2026-04-12T00:00:00"/>
    <d v="2026-04-21T00:00:00"/>
    <s v="Apr'26"/>
    <s v="Apr'26"/>
    <s v="ARAVALI INFRA-3"/>
  </r>
  <r>
    <n v="160"/>
    <s v="36/6"/>
    <x v="0"/>
    <x v="0"/>
    <d v="2026-04-10T00:00:00"/>
    <d v="2026-04-13T00:00:00"/>
    <s v="Apr'26"/>
    <s v="Apr'26"/>
    <s v="JAWALA SINGH-2"/>
  </r>
  <r>
    <n v="161"/>
    <s v="45/4"/>
    <x v="2"/>
    <x v="0"/>
    <d v="2026-04-10T00:00:00"/>
    <d v="2026-04-15T00:00:00"/>
    <s v="Apr'26"/>
    <s v="Apr'26"/>
    <s v="Amit construction"/>
  </r>
  <r>
    <n v="162"/>
    <s v="34/3"/>
    <x v="0"/>
    <x v="0"/>
    <d v="2026-04-12T00:00:00"/>
    <d v="2026-04-18T00:00:00"/>
    <s v="Apr'26"/>
    <s v="Apr'26"/>
    <s v="ARAVALI INFRA-1"/>
  </r>
  <r>
    <n v="163"/>
    <s v="26/4"/>
    <x v="0"/>
    <x v="0"/>
    <d v="2026-04-13T00:00:00"/>
    <d v="2026-04-21T00:00:00"/>
    <s v="Apr'26"/>
    <s v="Apr'26"/>
    <s v="Splicenet construction-II"/>
  </r>
  <r>
    <n v="164"/>
    <s v="36/5"/>
    <x v="0"/>
    <x v="0"/>
    <d v="2026-04-13T00:00:00"/>
    <d v="2026-04-16T00:00:00"/>
    <s v="Apr'26"/>
    <s v="Apr'26"/>
    <s v="JAWALA SINGH-2"/>
  </r>
  <r>
    <n v="165"/>
    <s v="25/0"/>
    <x v="0"/>
    <x v="0"/>
    <d v="2026-04-16T00:00:00"/>
    <d v="2026-04-29T00:00:00"/>
    <s v="Apr'26"/>
    <s v="Apr'26"/>
    <s v="Devi construction"/>
  </r>
  <r>
    <n v="166"/>
    <s v="55/2"/>
    <x v="1"/>
    <x v="0"/>
    <d v="2026-04-14T00:00:00"/>
    <d v="2026-04-23T00:00:00"/>
    <s v="Apr'26"/>
    <s v="Apr'26"/>
    <s v="ARAVALI INFRA-2"/>
  </r>
  <r>
    <n v="167"/>
    <s v="6/0"/>
    <x v="0"/>
    <x v="0"/>
    <d v="2026-04-12T00:00:00"/>
    <d v="2026-04-18T00:00:00"/>
    <s v="Apr'26"/>
    <s v="Apr'26"/>
    <s v="Jwala Singh"/>
  </r>
  <r>
    <n v="168"/>
    <s v="46/2"/>
    <x v="2"/>
    <x v="0"/>
    <d v="2026-04-16T00:00:00"/>
    <d v="2026-04-22T00:00:00"/>
    <s v="Apr'26"/>
    <s v="Apr'26"/>
    <s v="Amit construction"/>
  </r>
  <r>
    <n v="169"/>
    <s v="66/8"/>
    <x v="1"/>
    <x v="0"/>
    <d v="2026-04-17T00:00:00"/>
    <d v="2026-04-22T00:00:00"/>
    <s v="Apr'26"/>
    <s v="Apr'26"/>
    <s v="Anita Devi"/>
  </r>
  <r>
    <n v="170"/>
    <s v="36/7"/>
    <x v="0"/>
    <x v="0"/>
    <d v="2026-04-18T00:00:00"/>
    <d v="2026-04-21T00:00:00"/>
    <s v="Apr'26"/>
    <s v="Apr'26"/>
    <s v="JAWALA SINGH-2"/>
  </r>
  <r>
    <n v="171"/>
    <s v="6/2"/>
    <x v="0"/>
    <x v="0"/>
    <d v="2026-04-19T00:00:00"/>
    <d v="2026-04-22T00:00:00"/>
    <s v="Apr'26"/>
    <s v="Apr'26"/>
    <s v="Jwala Singh"/>
  </r>
  <r>
    <n v="172"/>
    <s v="34/1"/>
    <x v="0"/>
    <x v="0"/>
    <d v="2026-04-19T00:00:00"/>
    <d v="2026-04-28T00:00:00"/>
    <s v="Apr'26"/>
    <s v="Apr'26"/>
    <s v="ARAVALI INFRA-1"/>
  </r>
  <r>
    <n v="173"/>
    <s v="47/1"/>
    <x v="2"/>
    <x v="0"/>
    <d v="2026-04-21T00:00:00"/>
    <d v="2026-04-26T00:00:00"/>
    <s v="Apr'26"/>
    <s v="Apr'26"/>
    <s v="Splicenet  Cons 1"/>
  </r>
  <r>
    <n v="174"/>
    <s v="26/3"/>
    <x v="0"/>
    <x v="0"/>
    <d v="2026-04-22T00:00:00"/>
    <d v="2026-04-30T00:00:00"/>
    <s v="Apr'26"/>
    <s v="Apr'26"/>
    <s v="Splicenet construction-II"/>
  </r>
  <r>
    <n v="175"/>
    <s v="36/2"/>
    <x v="0"/>
    <x v="0"/>
    <d v="2026-04-22T00:00:00"/>
    <d v="2026-04-25T00:00:00"/>
    <s v="Apr'26"/>
    <s v="Apr'26"/>
    <s v="JAWALA SINGH-2"/>
  </r>
  <r>
    <n v="176"/>
    <s v="41/0"/>
    <x v="2"/>
    <x v="2"/>
    <d v="2026-04-22T00:00:00"/>
    <m/>
    <s v="Apr'26"/>
    <m/>
    <s v="ARAVALI INFRA-3"/>
  </r>
  <r>
    <n v="177"/>
    <s v="5/2"/>
    <x v="0"/>
    <x v="0"/>
    <d v="2026-04-23T00:00:00"/>
    <d v="2026-04-26T00:00:00"/>
    <s v="Apr'26"/>
    <s v="Apr'26"/>
    <s v="Jwala Singh"/>
  </r>
  <r>
    <n v="178"/>
    <s v="46A/1"/>
    <x v="2"/>
    <x v="0"/>
    <d v="2026-04-23T00:00:00"/>
    <d v="2026-04-28T00:00:00"/>
    <s v="Apr'26"/>
    <s v="Apr'26"/>
    <s v="Amit construction"/>
  </r>
  <r>
    <n v="179"/>
    <s v="65/5"/>
    <x v="1"/>
    <x v="0"/>
    <d v="2026-04-23T00:00:00"/>
    <d v="2026-04-28T00:00:00"/>
    <s v="Apr'26"/>
    <s v="Apr'26"/>
    <s v="Anita Devi"/>
  </r>
  <r>
    <n v="180"/>
    <s v="36/1"/>
    <x v="0"/>
    <x v="0"/>
    <d v="2026-04-26T00:00:00"/>
    <d v="2026-04-28T00:00:00"/>
    <s v="Apr'26"/>
    <s v="Apr'26"/>
    <s v="JAWALA SINGH-2"/>
  </r>
  <r>
    <n v="181"/>
    <s v="63/3"/>
    <x v="1"/>
    <x v="0"/>
    <d v="2026-04-26T00:00:00"/>
    <d v="2026-04-30T00:00:00"/>
    <s v="Apr'26"/>
    <s v="Apr'26"/>
    <s v="ARAVALI INFRA-2"/>
  </r>
  <r>
    <n v="182"/>
    <s v="5/0"/>
    <x v="0"/>
    <x v="3"/>
    <d v="2026-04-26T00:00:00"/>
    <m/>
    <s v="Apr'26"/>
    <m/>
    <s v="Jwala Singh"/>
  </r>
  <r>
    <n v="183"/>
    <s v="48/9"/>
    <x v="1"/>
    <x v="2"/>
    <d v="2026-04-27T00:00:00"/>
    <m/>
    <s v="Apr'26"/>
    <m/>
    <s v="Splicenet  Cons 1"/>
  </r>
  <r>
    <n v="184"/>
    <s v="29/0"/>
    <x v="0"/>
    <x v="4"/>
    <d v="2026-04-30T00:00:00"/>
    <m/>
    <s v="Apr'26"/>
    <m/>
    <s v="Devi construction"/>
  </r>
  <r>
    <n v="185"/>
    <s v="32/0"/>
    <x v="0"/>
    <x v="4"/>
    <d v="2026-04-30T00:00:00"/>
    <m/>
    <s v="Apr'26"/>
    <m/>
    <s v="ARAVALI INFRA-1"/>
  </r>
  <r>
    <n v="186"/>
    <s v="36/8"/>
    <x v="0"/>
    <x v="5"/>
    <d v="2026-04-29T00:00:00"/>
    <m/>
    <s v="Apr'26"/>
    <m/>
    <s v="JAWALA SINGH-2"/>
  </r>
  <r>
    <n v="187"/>
    <s v="38/4"/>
    <x v="0"/>
    <x v="4"/>
    <d v="2026-04-30T00:00:00"/>
    <m/>
    <s v="Apr'26"/>
    <m/>
    <s v="Splicenet construction-III"/>
  </r>
  <r>
    <n v="188"/>
    <s v="46A/0"/>
    <x v="2"/>
    <x v="2"/>
    <d v="2026-04-29T00:00:00"/>
    <m/>
    <s v="Apr'26"/>
    <m/>
    <s v="Amit construction"/>
  </r>
  <r>
    <n v="189"/>
    <s v="66/2"/>
    <x v="1"/>
    <x v="6"/>
    <d v="2026-04-30T00:00:00"/>
    <m/>
    <s v="Apr'26"/>
    <m/>
    <s v="Anita Devi"/>
  </r>
  <r>
    <n v="190"/>
    <s v="31/0"/>
    <x v="0"/>
    <x v="6"/>
    <d v="2026-04-30T00:00:00"/>
    <m/>
    <s v="Apr'26"/>
    <m/>
    <s v="Splicenet construction-I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A9437-FF5F-4B97-A6FC-54A3DDAE1CAC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7" firstHeaderRow="1" firstDataRow="2" firstDataCol="1"/>
  <pivotFields count="11">
    <pivotField showAll="0"/>
    <pivotField dataField="1" showAll="0"/>
    <pivotField axis="axisRow" showAll="0">
      <items count="4">
        <item h="1" x="2"/>
        <item x="1"/>
        <item h="1" x="0"/>
        <item t="default"/>
      </items>
    </pivotField>
    <pivotField showAll="0"/>
    <pivotField showAll="0"/>
    <pivotField axis="axisCol" showAll="0">
      <items count="7">
        <item x="5"/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12D3A-9F99-49D7-AC98-213E709A8722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6" firstHeaderRow="1" firstDataRow="2" firstDataCol="1"/>
  <pivotFields count="9">
    <pivotField showAll="0"/>
    <pivotField dataField="1" showAll="0"/>
    <pivotField axis="axisRow" showAll="0">
      <items count="4">
        <item x="1"/>
        <item h="1" x="2"/>
        <item h="1" x="0"/>
        <item t="default"/>
      </items>
    </pivotField>
    <pivotField axis="axisCol" showAll="0">
      <items count="8">
        <item x="2"/>
        <item x="5"/>
        <item x="3"/>
        <item x="0"/>
        <item x="1"/>
        <item x="6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3"/>
  </colFields>
  <colItems count="4">
    <i>
      <x/>
    </i>
    <i>
      <x v="3"/>
    </i>
    <i>
      <x v="5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22"/>
  <sheetViews>
    <sheetView zoomScale="55" zoomScaleNormal="55" workbookViewId="0">
      <selection activeCell="BB12" sqref="BB12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664" t="str">
        <f>[2]TS!A1</f>
        <v>Name of Line:- 765 KV D/C Mandsaur - Kurawar (Part-1)Transmission Line(WZ-4)</v>
      </c>
      <c r="B1" s="665"/>
      <c r="C1" s="665"/>
      <c r="D1" s="665"/>
      <c r="E1" s="665"/>
      <c r="F1" s="665"/>
      <c r="G1" s="666"/>
      <c r="H1" s="666"/>
      <c r="I1" s="666"/>
      <c r="J1" s="666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5"/>
      <c r="AH1" s="665"/>
      <c r="AI1" s="665"/>
      <c r="AJ1" s="665"/>
      <c r="AK1" s="665"/>
      <c r="AL1" s="665"/>
      <c r="AM1" s="665"/>
      <c r="AN1" s="665"/>
      <c r="AO1" s="665"/>
      <c r="AP1" s="665"/>
      <c r="AQ1" s="665"/>
      <c r="AR1" s="665"/>
      <c r="AS1" s="665"/>
      <c r="AT1" s="219"/>
      <c r="AV1" s="667"/>
      <c r="AW1" s="668"/>
      <c r="AX1" s="668"/>
      <c r="AY1" s="668"/>
      <c r="AZ1" s="668"/>
      <c r="BA1" s="668"/>
    </row>
    <row r="2" spans="1:53" ht="30" x14ac:dyDescent="0.45">
      <c r="A2" s="480"/>
      <c r="B2" s="481"/>
      <c r="C2" s="481"/>
      <c r="D2" s="19"/>
      <c r="E2" s="481"/>
      <c r="F2" s="481"/>
      <c r="G2" s="223"/>
      <c r="H2" s="223"/>
      <c r="I2" s="223"/>
      <c r="J2" s="223"/>
      <c r="K2" s="481"/>
      <c r="L2" s="481"/>
      <c r="M2" s="19"/>
      <c r="N2" s="481"/>
      <c r="O2" s="481"/>
      <c r="P2" s="19"/>
      <c r="Q2" s="481"/>
      <c r="R2" s="481"/>
      <c r="S2" s="19"/>
      <c r="T2" s="669" t="s">
        <v>387</v>
      </c>
      <c r="U2" s="669"/>
      <c r="V2" s="669"/>
      <c r="W2" s="669"/>
      <c r="X2" s="669"/>
      <c r="Y2" s="669"/>
      <c r="Z2" s="669"/>
      <c r="AA2" s="669"/>
      <c r="AB2" s="669"/>
      <c r="AC2" s="669"/>
      <c r="AD2" s="669"/>
      <c r="AE2" s="19"/>
      <c r="AF2" s="481"/>
      <c r="AG2" s="481"/>
      <c r="AH2" s="19"/>
      <c r="AI2" s="481"/>
      <c r="AJ2" s="481"/>
      <c r="AK2" s="670" t="s">
        <v>351</v>
      </c>
      <c r="AL2" s="670"/>
      <c r="AM2" s="670"/>
      <c r="AN2" s="671">
        <v>46171</v>
      </c>
      <c r="AO2" s="671"/>
      <c r="AP2" s="671"/>
      <c r="AQ2" s="482"/>
      <c r="AR2" s="482"/>
      <c r="AS2" s="19"/>
      <c r="AT2" s="220"/>
      <c r="AV2" s="471" t="s">
        <v>2074</v>
      </c>
      <c r="AW2" s="472" t="s">
        <v>2075</v>
      </c>
      <c r="AX2" s="473" t="s">
        <v>2076</v>
      </c>
      <c r="AY2" s="474" t="s">
        <v>352</v>
      </c>
      <c r="AZ2" s="475" t="s">
        <v>353</v>
      </c>
      <c r="BA2" s="476" t="s">
        <v>2055</v>
      </c>
    </row>
    <row r="3" spans="1:53" x14ac:dyDescent="0.35">
      <c r="A3" s="5"/>
      <c r="C3" s="6"/>
      <c r="F3" s="6"/>
      <c r="G3"/>
      <c r="AT3" s="7"/>
      <c r="AV3" s="8">
        <f>SUM(AV6:AV182)</f>
        <v>268</v>
      </c>
      <c r="AW3" s="8">
        <f>SUM(AW6:AW182)</f>
        <v>247</v>
      </c>
      <c r="AX3" s="8">
        <f>SUM(AX6:AX182)</f>
        <v>208</v>
      </c>
      <c r="AY3" s="8">
        <f t="shared" ref="AY3:BA3" si="0">SUM(AY6:AY182)</f>
        <v>0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672"/>
      <c r="C4" s="672"/>
      <c r="E4" s="672"/>
      <c r="F4" s="672"/>
      <c r="H4" s="673"/>
      <c r="I4" s="673"/>
      <c r="K4" s="672"/>
      <c r="L4" s="672"/>
      <c r="N4" s="672"/>
      <c r="O4" s="672"/>
      <c r="Q4" s="673"/>
      <c r="R4" s="673"/>
      <c r="T4" s="673"/>
      <c r="U4" s="673"/>
      <c r="W4" s="686"/>
      <c r="X4" s="686"/>
      <c r="Z4" s="686"/>
      <c r="AA4" s="686"/>
      <c r="AC4" s="673"/>
      <c r="AD4" s="672"/>
      <c r="AF4" s="673"/>
      <c r="AG4" s="672"/>
      <c r="AI4" s="673"/>
      <c r="AJ4" s="672"/>
      <c r="AL4" s="673"/>
      <c r="AM4" s="672"/>
      <c r="AO4" s="673"/>
      <c r="AP4" s="672"/>
      <c r="AQ4" s="10"/>
      <c r="AR4" s="10"/>
      <c r="AT4" s="7"/>
      <c r="AV4" s="10"/>
    </row>
    <row r="5" spans="1:53" x14ac:dyDescent="0.35">
      <c r="A5" s="5"/>
      <c r="B5" s="8"/>
      <c r="C5" s="13"/>
      <c r="D5" s="483"/>
      <c r="E5" s="11"/>
      <c r="F5" s="12"/>
      <c r="G5" s="483"/>
      <c r="H5" s="11"/>
      <c r="I5" s="12"/>
      <c r="J5" s="484"/>
      <c r="K5" s="11"/>
      <c r="L5" s="12"/>
      <c r="M5" s="483"/>
      <c r="N5" s="11"/>
      <c r="O5" s="12"/>
      <c r="P5" s="485"/>
      <c r="Q5" s="11"/>
      <c r="R5" s="12"/>
      <c r="S5" s="485"/>
      <c r="T5" s="680" t="s">
        <v>397</v>
      </c>
      <c r="U5" s="681"/>
      <c r="V5" s="485"/>
      <c r="W5" s="680" t="s">
        <v>397</v>
      </c>
      <c r="X5" s="681"/>
      <c r="Y5" s="485"/>
      <c r="Z5" s="207"/>
      <c r="AA5" s="207"/>
      <c r="AB5" s="485"/>
      <c r="AC5" s="11"/>
      <c r="AD5" s="14"/>
      <c r="AE5" s="485"/>
      <c r="AF5" s="11"/>
      <c r="AG5" s="12"/>
      <c r="AH5" s="485"/>
      <c r="AI5" s="11"/>
      <c r="AJ5" s="12"/>
      <c r="AK5" s="485"/>
      <c r="AL5" s="11"/>
      <c r="AM5" s="12"/>
      <c r="AN5" s="485"/>
      <c r="AO5" s="11"/>
      <c r="AP5" s="12"/>
      <c r="AQ5" s="486"/>
      <c r="AR5" s="487"/>
      <c r="AS5" s="486"/>
      <c r="AT5" s="209"/>
    </row>
    <row r="6" spans="1:53" x14ac:dyDescent="0.35">
      <c r="A6" s="5"/>
      <c r="B6" s="404"/>
      <c r="C6" s="404"/>
      <c r="D6" s="488"/>
      <c r="E6" s="11"/>
      <c r="F6" s="11"/>
      <c r="G6" s="488"/>
      <c r="H6" s="11"/>
      <c r="I6" s="11"/>
      <c r="J6" s="489"/>
      <c r="K6" s="11"/>
      <c r="L6" s="11"/>
      <c r="M6" s="488"/>
      <c r="N6" s="11"/>
      <c r="O6" s="11"/>
      <c r="P6" s="488"/>
      <c r="Q6" s="11"/>
      <c r="R6" s="11"/>
      <c r="S6" s="488"/>
      <c r="T6" s="682"/>
      <c r="U6" s="683"/>
      <c r="V6" s="488"/>
      <c r="W6" s="682"/>
      <c r="X6" s="683"/>
      <c r="Y6" s="488"/>
      <c r="Z6" s="11"/>
      <c r="AA6" s="11"/>
      <c r="AB6" s="488"/>
      <c r="AC6" s="11"/>
      <c r="AD6" s="11"/>
      <c r="AF6" s="11"/>
      <c r="AG6" s="11"/>
      <c r="AH6" s="488"/>
      <c r="AI6" s="11"/>
      <c r="AJ6" s="11"/>
      <c r="AK6" s="488"/>
      <c r="AL6" s="11"/>
      <c r="AM6" s="11"/>
      <c r="AN6" s="488"/>
      <c r="AO6" s="11"/>
      <c r="AP6" s="12"/>
      <c r="AQ6" s="487"/>
      <c r="AR6" s="487"/>
      <c r="AS6" s="487"/>
      <c r="AT6" s="210"/>
      <c r="AV6" s="2">
        <v>11</v>
      </c>
      <c r="AW6" s="2">
        <v>11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490">
        <v>107.961</v>
      </c>
      <c r="B7" s="675" t="s">
        <v>9</v>
      </c>
      <c r="C7" s="675"/>
      <c r="D7" s="492">
        <v>148.47800000000001</v>
      </c>
      <c r="E7" s="675" t="s">
        <v>9</v>
      </c>
      <c r="F7" s="675"/>
      <c r="G7" s="492">
        <v>408.83199999999999</v>
      </c>
      <c r="H7" s="677" t="s">
        <v>12</v>
      </c>
      <c r="I7" s="675"/>
      <c r="J7" s="488">
        <v>380</v>
      </c>
      <c r="K7" s="677" t="s">
        <v>14</v>
      </c>
      <c r="L7" s="675"/>
      <c r="M7" s="488">
        <v>422</v>
      </c>
      <c r="N7" s="684" t="s">
        <v>16</v>
      </c>
      <c r="O7" s="685"/>
      <c r="P7" s="492">
        <v>408.35199999999998</v>
      </c>
      <c r="Q7" s="678" t="s">
        <v>18</v>
      </c>
      <c r="R7" s="675"/>
      <c r="S7" s="492">
        <v>419.45299999999997</v>
      </c>
      <c r="T7" s="678" t="s">
        <v>20</v>
      </c>
      <c r="U7" s="675"/>
      <c r="V7" s="488">
        <v>381</v>
      </c>
      <c r="W7" s="678" t="s">
        <v>20</v>
      </c>
      <c r="X7" s="675"/>
      <c r="Y7" s="488">
        <v>417</v>
      </c>
      <c r="Z7" s="674" t="s">
        <v>23</v>
      </c>
      <c r="AA7" s="675"/>
      <c r="AB7" s="6">
        <v>417</v>
      </c>
      <c r="AC7" s="674" t="s">
        <v>16</v>
      </c>
      <c r="AD7" s="675"/>
      <c r="AE7" s="488">
        <v>417</v>
      </c>
      <c r="AF7" s="675" t="s">
        <v>23</v>
      </c>
      <c r="AG7" s="675"/>
      <c r="AH7" s="492">
        <v>388.00299999999999</v>
      </c>
      <c r="AI7" s="674" t="s">
        <v>16</v>
      </c>
      <c r="AJ7" s="675"/>
      <c r="AK7" s="492">
        <v>452.34300000000002</v>
      </c>
      <c r="AL7" s="674" t="s">
        <v>28</v>
      </c>
      <c r="AM7" s="675"/>
      <c r="AN7" s="337">
        <v>401</v>
      </c>
      <c r="AO7" s="676" t="s">
        <v>23</v>
      </c>
      <c r="AP7" s="676"/>
      <c r="AQ7" s="488">
        <v>330</v>
      </c>
      <c r="AT7" s="7"/>
      <c r="AX7" s="10"/>
    </row>
    <row r="8" spans="1:53" x14ac:dyDescent="0.35">
      <c r="A8" s="5"/>
      <c r="B8" s="675" t="s">
        <v>8</v>
      </c>
      <c r="C8" s="675"/>
      <c r="D8" s="494"/>
      <c r="E8" s="675" t="s">
        <v>10</v>
      </c>
      <c r="F8" s="675"/>
      <c r="G8" s="494"/>
      <c r="H8" s="677" t="s">
        <v>11</v>
      </c>
      <c r="I8" s="675"/>
      <c r="J8" s="494"/>
      <c r="K8" s="677" t="s">
        <v>13</v>
      </c>
      <c r="L8" s="675"/>
      <c r="M8" s="494"/>
      <c r="N8" s="678" t="s">
        <v>15</v>
      </c>
      <c r="O8" s="679"/>
      <c r="P8" s="494"/>
      <c r="Q8" s="678" t="s">
        <v>17</v>
      </c>
      <c r="R8" s="679"/>
      <c r="S8" s="494"/>
      <c r="T8" s="678" t="s">
        <v>19</v>
      </c>
      <c r="U8" s="679"/>
      <c r="V8" s="494"/>
      <c r="W8" s="678" t="s">
        <v>21</v>
      </c>
      <c r="X8" s="679"/>
      <c r="Y8" s="494"/>
      <c r="Z8" s="678" t="s">
        <v>22</v>
      </c>
      <c r="AA8" s="679"/>
      <c r="AB8" s="488"/>
      <c r="AC8" s="678" t="s">
        <v>24</v>
      </c>
      <c r="AD8" s="679"/>
      <c r="AE8" s="494"/>
      <c r="AF8" s="678" t="s">
        <v>25</v>
      </c>
      <c r="AG8" s="679"/>
      <c r="AH8" s="494"/>
      <c r="AI8" s="678" t="s">
        <v>26</v>
      </c>
      <c r="AJ8" s="679"/>
      <c r="AK8" s="494"/>
      <c r="AL8" s="674" t="s">
        <v>27</v>
      </c>
      <c r="AM8" s="675"/>
      <c r="AN8" s="491"/>
      <c r="AO8" s="674" t="s">
        <v>29</v>
      </c>
      <c r="AP8" s="675"/>
      <c r="AQ8" s="6"/>
      <c r="AT8" s="7"/>
    </row>
    <row r="9" spans="1:53" x14ac:dyDescent="0.35">
      <c r="A9" s="5"/>
      <c r="B9" s="496" t="s">
        <v>359</v>
      </c>
      <c r="C9" s="496"/>
      <c r="D9" s="496"/>
      <c r="E9" s="496" t="s">
        <v>359</v>
      </c>
      <c r="F9" s="496"/>
      <c r="G9" s="497"/>
      <c r="H9" s="496" t="s">
        <v>359</v>
      </c>
      <c r="I9" s="496"/>
      <c r="J9" s="497"/>
      <c r="K9" s="496" t="s">
        <v>359</v>
      </c>
      <c r="L9" s="496"/>
      <c r="M9" s="497"/>
      <c r="N9" s="496" t="s">
        <v>359</v>
      </c>
      <c r="O9" s="496"/>
      <c r="P9" s="497"/>
      <c r="Q9" s="496" t="s">
        <v>359</v>
      </c>
      <c r="R9" s="498"/>
      <c r="S9" s="497"/>
      <c r="T9" s="496" t="s">
        <v>359</v>
      </c>
      <c r="U9" s="498"/>
      <c r="V9" s="497"/>
      <c r="W9" s="496" t="s">
        <v>359</v>
      </c>
      <c r="X9" s="496"/>
      <c r="Y9" s="497"/>
      <c r="Z9" s="496" t="s">
        <v>359</v>
      </c>
      <c r="AA9" s="496"/>
      <c r="AB9" s="497"/>
      <c r="AC9" s="496" t="s">
        <v>359</v>
      </c>
      <c r="AD9" s="496"/>
      <c r="AE9" s="499"/>
      <c r="AF9" s="496" t="s">
        <v>359</v>
      </c>
      <c r="AG9" s="496"/>
      <c r="AH9" s="497"/>
      <c r="AI9" s="496" t="s">
        <v>359</v>
      </c>
      <c r="AJ9" s="496"/>
      <c r="AK9" s="497"/>
      <c r="AL9" s="497" t="s">
        <v>359</v>
      </c>
      <c r="AM9" s="496"/>
      <c r="AN9" s="497"/>
      <c r="AO9" s="497" t="s">
        <v>359</v>
      </c>
      <c r="AP9" s="496"/>
      <c r="AQ9" s="496"/>
      <c r="AR9" s="496"/>
      <c r="AS9" s="500"/>
      <c r="AT9" s="7"/>
    </row>
    <row r="10" spans="1:53" x14ac:dyDescent="0.35">
      <c r="A10" s="5"/>
      <c r="K10" s="6"/>
      <c r="L10" s="6"/>
      <c r="S10" s="693"/>
      <c r="T10" s="693"/>
      <c r="U10" s="693"/>
      <c r="V10" s="693"/>
      <c r="Y10" s="694"/>
      <c r="Z10" s="694"/>
      <c r="AA10" s="694"/>
      <c r="AB10" s="694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686"/>
      <c r="C12" s="686"/>
      <c r="E12" s="673"/>
      <c r="F12" s="672"/>
      <c r="H12" s="673"/>
      <c r="I12" s="672"/>
      <c r="K12" s="672"/>
      <c r="L12" s="672"/>
      <c r="N12" s="673"/>
      <c r="O12" s="672"/>
      <c r="Q12" s="673"/>
      <c r="R12" s="672"/>
      <c r="T12" s="673"/>
      <c r="U12" s="672"/>
      <c r="W12" s="673"/>
      <c r="X12" s="672"/>
      <c r="Z12" s="673"/>
      <c r="AA12" s="672"/>
      <c r="AC12" s="672"/>
      <c r="AD12" s="672"/>
      <c r="AF12" s="673"/>
      <c r="AG12" s="672"/>
      <c r="AI12" s="672"/>
      <c r="AJ12" s="672"/>
      <c r="AL12" s="672"/>
      <c r="AM12" s="672"/>
      <c r="AO12" s="673"/>
      <c r="AP12" s="672"/>
      <c r="AQ12" s="10"/>
      <c r="AR12" s="10"/>
      <c r="AT12" s="7"/>
    </row>
    <row r="13" spans="1:53" x14ac:dyDescent="0.35">
      <c r="A13" s="5"/>
      <c r="B13" s="11"/>
      <c r="C13" s="12"/>
      <c r="D13" s="485"/>
      <c r="E13" s="11"/>
      <c r="F13" s="12"/>
      <c r="G13" s="485"/>
      <c r="H13" s="11"/>
      <c r="I13" s="12"/>
      <c r="J13" s="485"/>
      <c r="K13" s="11"/>
      <c r="L13" s="12"/>
      <c r="M13" s="485"/>
      <c r="N13" s="11"/>
      <c r="O13" s="12"/>
      <c r="P13" s="485"/>
      <c r="Q13" s="11"/>
      <c r="R13" s="12"/>
      <c r="S13" s="485"/>
      <c r="T13" s="11"/>
      <c r="U13" s="12"/>
      <c r="V13" s="485"/>
      <c r="W13" s="11"/>
      <c r="X13" s="12"/>
      <c r="Y13" s="485"/>
      <c r="Z13" s="11"/>
      <c r="AA13" s="12"/>
      <c r="AB13" s="485"/>
      <c r="AC13" s="11"/>
      <c r="AD13" s="12"/>
      <c r="AE13" s="485"/>
      <c r="AF13" s="11"/>
      <c r="AG13" s="12"/>
      <c r="AH13" s="485"/>
      <c r="AI13" s="11"/>
      <c r="AJ13" s="12"/>
      <c r="AK13" s="501"/>
      <c r="AL13" s="11"/>
      <c r="AM13" s="12"/>
      <c r="AN13" s="485"/>
      <c r="AO13" s="11"/>
      <c r="AP13" s="12"/>
      <c r="AQ13" s="486"/>
      <c r="AR13" s="486"/>
      <c r="AS13" s="485"/>
      <c r="AT13" s="212"/>
    </row>
    <row r="14" spans="1:53" x14ac:dyDescent="0.35">
      <c r="A14" s="5"/>
      <c r="B14" s="11"/>
      <c r="C14" s="11"/>
      <c r="D14" s="488"/>
      <c r="E14" s="11"/>
      <c r="F14" s="11"/>
      <c r="G14" s="488"/>
      <c r="H14" s="11"/>
      <c r="I14" s="11"/>
      <c r="J14" s="494"/>
      <c r="K14" s="11"/>
      <c r="L14" s="11"/>
      <c r="M14" s="488"/>
      <c r="N14" s="11"/>
      <c r="O14" s="11"/>
      <c r="P14" s="488"/>
      <c r="Q14" s="11"/>
      <c r="R14" s="11"/>
      <c r="S14" s="488"/>
      <c r="T14" s="11"/>
      <c r="U14" s="11"/>
      <c r="V14" s="488"/>
      <c r="W14" s="11"/>
      <c r="X14" s="11"/>
      <c r="Y14" s="488"/>
      <c r="Z14" s="11"/>
      <c r="AA14" s="11"/>
      <c r="AB14" s="28"/>
      <c r="AC14" s="11"/>
      <c r="AD14" s="11"/>
      <c r="AE14" s="29"/>
      <c r="AF14" s="11"/>
      <c r="AG14" s="11"/>
      <c r="AH14" s="488"/>
      <c r="AI14" s="11"/>
      <c r="AJ14" s="11"/>
      <c r="AK14" s="488"/>
      <c r="AL14" s="11"/>
      <c r="AM14" s="11"/>
      <c r="AN14" s="488"/>
      <c r="AO14" s="11"/>
      <c r="AP14" s="11"/>
      <c r="AQ14" s="487"/>
      <c r="AR14" s="487"/>
      <c r="AS14" s="494"/>
      <c r="AT14" s="213"/>
      <c r="AV14" s="2">
        <v>14</v>
      </c>
      <c r="AW14" s="2">
        <v>14</v>
      </c>
      <c r="AX14" s="2">
        <v>14</v>
      </c>
      <c r="AY14" s="2">
        <v>0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675" t="s">
        <v>31</v>
      </c>
      <c r="C15" s="675"/>
      <c r="D15" s="488">
        <v>413</v>
      </c>
      <c r="E15" s="687" t="s">
        <v>33</v>
      </c>
      <c r="F15" s="687"/>
      <c r="G15" s="502">
        <v>422</v>
      </c>
      <c r="H15" s="688" t="s">
        <v>35</v>
      </c>
      <c r="I15" s="687"/>
      <c r="J15" s="494">
        <v>396</v>
      </c>
      <c r="K15" s="689" t="s">
        <v>31</v>
      </c>
      <c r="L15" s="687"/>
      <c r="M15" s="488">
        <v>385</v>
      </c>
      <c r="N15" s="689" t="s">
        <v>31</v>
      </c>
      <c r="O15" s="687"/>
      <c r="P15" s="488">
        <v>338</v>
      </c>
      <c r="Q15" s="690" t="s">
        <v>23</v>
      </c>
      <c r="R15" s="691"/>
      <c r="S15" s="488">
        <v>324</v>
      </c>
      <c r="T15" s="692" t="s">
        <v>40</v>
      </c>
      <c r="U15" s="687"/>
      <c r="V15" s="488">
        <v>380</v>
      </c>
      <c r="W15" s="674" t="s">
        <v>14</v>
      </c>
      <c r="X15" s="675"/>
      <c r="Y15" s="488">
        <v>374</v>
      </c>
      <c r="Z15" s="692" t="s">
        <v>35</v>
      </c>
      <c r="AA15" s="687"/>
      <c r="AB15" s="503">
        <v>415</v>
      </c>
      <c r="AC15" s="687" t="s">
        <v>35</v>
      </c>
      <c r="AD15" s="687"/>
      <c r="AE15" s="504">
        <v>386</v>
      </c>
      <c r="AF15" s="689" t="s">
        <v>40</v>
      </c>
      <c r="AG15" s="687"/>
      <c r="AH15" s="488">
        <v>352</v>
      </c>
      <c r="AI15" s="689" t="s">
        <v>31</v>
      </c>
      <c r="AJ15" s="687"/>
      <c r="AK15" s="488">
        <v>392</v>
      </c>
      <c r="AL15" s="689" t="s">
        <v>31</v>
      </c>
      <c r="AM15" s="687"/>
      <c r="AN15" s="488">
        <v>381</v>
      </c>
      <c r="AO15" s="689" t="s">
        <v>31</v>
      </c>
      <c r="AP15" s="687"/>
      <c r="AQ15" s="491">
        <v>390</v>
      </c>
      <c r="AR15" s="491"/>
      <c r="AS15" s="494"/>
      <c r="AT15" s="213"/>
    </row>
    <row r="16" spans="1:53" x14ac:dyDescent="0.35">
      <c r="A16" s="5"/>
      <c r="B16" s="674" t="s">
        <v>30</v>
      </c>
      <c r="C16" s="675"/>
      <c r="D16" s="494"/>
      <c r="E16" s="674" t="s">
        <v>32</v>
      </c>
      <c r="F16" s="675"/>
      <c r="G16" s="494"/>
      <c r="H16" s="674" t="s">
        <v>34</v>
      </c>
      <c r="I16" s="675"/>
      <c r="J16" s="494"/>
      <c r="K16" s="674" t="s">
        <v>36</v>
      </c>
      <c r="L16" s="675"/>
      <c r="M16" s="494"/>
      <c r="N16" s="674" t="s">
        <v>37</v>
      </c>
      <c r="O16" s="675"/>
      <c r="P16" s="494"/>
      <c r="Q16" s="674" t="s">
        <v>38</v>
      </c>
      <c r="R16" s="675"/>
      <c r="S16" s="494"/>
      <c r="T16" s="678" t="s">
        <v>39</v>
      </c>
      <c r="U16" s="679"/>
      <c r="V16" s="494"/>
      <c r="W16" s="678" t="s">
        <v>41</v>
      </c>
      <c r="X16" s="679"/>
      <c r="Y16" s="494"/>
      <c r="Z16" s="678" t="s">
        <v>42</v>
      </c>
      <c r="AA16" s="679"/>
      <c r="AB16" s="503"/>
      <c r="AC16" s="678" t="s">
        <v>43</v>
      </c>
      <c r="AD16" s="679"/>
      <c r="AE16" s="504"/>
      <c r="AF16" s="678" t="s">
        <v>44</v>
      </c>
      <c r="AG16" s="679"/>
      <c r="AH16" s="494"/>
      <c r="AI16" s="678" t="s">
        <v>45</v>
      </c>
      <c r="AJ16" s="679"/>
      <c r="AK16" s="494"/>
      <c r="AL16" s="678" t="s">
        <v>46</v>
      </c>
      <c r="AM16" s="679"/>
      <c r="AN16" s="494"/>
      <c r="AO16" s="678" t="s">
        <v>47</v>
      </c>
      <c r="AP16" s="679"/>
      <c r="AQ16" s="495"/>
      <c r="AR16" s="495"/>
      <c r="AT16" s="7"/>
    </row>
    <row r="17" spans="1:53" x14ac:dyDescent="0.35">
      <c r="A17" s="5"/>
      <c r="B17" s="497" t="s">
        <v>359</v>
      </c>
      <c r="C17" s="496"/>
      <c r="D17" s="497"/>
      <c r="E17" s="497" t="s">
        <v>359</v>
      </c>
      <c r="F17" s="498"/>
      <c r="G17" s="497"/>
      <c r="H17" s="496"/>
      <c r="I17" s="497" t="s">
        <v>359</v>
      </c>
      <c r="J17" s="497"/>
      <c r="K17" s="496"/>
      <c r="L17" s="497" t="s">
        <v>359</v>
      </c>
      <c r="M17" s="497"/>
      <c r="N17" s="496"/>
      <c r="O17" s="497" t="s">
        <v>359</v>
      </c>
      <c r="P17" s="497"/>
      <c r="Q17" s="496"/>
      <c r="R17" s="497" t="s">
        <v>359</v>
      </c>
      <c r="S17" s="497"/>
      <c r="T17" s="496"/>
      <c r="U17" s="497" t="s">
        <v>359</v>
      </c>
      <c r="V17" s="497"/>
      <c r="W17" s="496"/>
      <c r="X17" s="497" t="s">
        <v>359</v>
      </c>
      <c r="Y17" s="497"/>
      <c r="Z17" s="497" t="s">
        <v>359</v>
      </c>
      <c r="AA17" s="496"/>
      <c r="AB17" s="497"/>
      <c r="AC17" s="497" t="s">
        <v>359</v>
      </c>
      <c r="AD17" s="496"/>
      <c r="AE17" s="497"/>
      <c r="AF17" s="496"/>
      <c r="AG17" s="497" t="s">
        <v>359</v>
      </c>
      <c r="AH17" s="497"/>
      <c r="AI17" s="497" t="s">
        <v>359</v>
      </c>
      <c r="AJ17" s="496"/>
      <c r="AK17" s="497"/>
      <c r="AL17" s="496"/>
      <c r="AM17" s="497" t="s">
        <v>359</v>
      </c>
      <c r="AN17" s="497"/>
      <c r="AO17" s="497" t="s">
        <v>359</v>
      </c>
      <c r="AP17" s="497"/>
      <c r="AQ17" s="496"/>
      <c r="AR17" s="496"/>
      <c r="AT17" s="7"/>
      <c r="AV17" s="156"/>
      <c r="AW17" s="157"/>
    </row>
    <row r="18" spans="1:53" x14ac:dyDescent="0.35">
      <c r="A18" s="5"/>
      <c r="D18" s="694"/>
      <c r="E18" s="694"/>
      <c r="F18" s="694"/>
      <c r="G18" s="694"/>
      <c r="AT18" s="7"/>
    </row>
    <row r="19" spans="1:53" x14ac:dyDescent="0.35">
      <c r="A19" s="5"/>
      <c r="AT19" s="7"/>
    </row>
    <row r="20" spans="1:53" x14ac:dyDescent="0.35">
      <c r="A20" s="5"/>
      <c r="B20" s="695"/>
      <c r="C20" s="686"/>
      <c r="E20" s="672"/>
      <c r="F20" s="672"/>
      <c r="H20" s="673"/>
      <c r="I20" s="672"/>
      <c r="K20" s="672"/>
      <c r="L20" s="672"/>
      <c r="N20" s="672"/>
      <c r="O20" s="672"/>
      <c r="Q20" s="673"/>
      <c r="R20" s="672"/>
      <c r="T20" s="673"/>
      <c r="U20" s="672"/>
      <c r="W20" s="673"/>
      <c r="X20" s="672"/>
      <c r="Z20" s="673"/>
      <c r="AA20" s="672"/>
      <c r="AC20" s="673"/>
      <c r="AD20" s="672"/>
      <c r="AF20" s="673"/>
      <c r="AG20" s="672"/>
      <c r="AI20" s="673"/>
      <c r="AJ20" s="672"/>
      <c r="AL20" s="673"/>
      <c r="AM20" s="672"/>
      <c r="AO20" s="673"/>
      <c r="AP20" s="672"/>
      <c r="AQ20" s="10"/>
      <c r="AR20" s="10"/>
      <c r="AT20" s="7"/>
    </row>
    <row r="21" spans="1:53" x14ac:dyDescent="0.35">
      <c r="A21" s="5"/>
      <c r="B21" s="11"/>
      <c r="C21" s="12"/>
      <c r="D21" s="485"/>
      <c r="E21" s="11"/>
      <c r="F21" s="12"/>
      <c r="G21" s="485"/>
      <c r="H21" s="11"/>
      <c r="I21" s="12"/>
      <c r="J21" s="485"/>
      <c r="K21" s="11"/>
      <c r="L21" s="12"/>
      <c r="M21" s="485"/>
      <c r="N21" s="11"/>
      <c r="O21" s="12"/>
      <c r="P21" s="485"/>
      <c r="Q21" s="11"/>
      <c r="R21" s="12"/>
      <c r="S21" s="485"/>
      <c r="T21" s="11"/>
      <c r="U21" s="12"/>
      <c r="V21" s="485"/>
      <c r="W21" s="11"/>
      <c r="X21" s="12"/>
      <c r="Y21" s="485"/>
      <c r="Z21" s="11"/>
      <c r="AA21" s="12"/>
      <c r="AB21" s="485"/>
      <c r="AC21" s="11"/>
      <c r="AD21" s="12"/>
      <c r="AE21" s="485"/>
      <c r="AF21" s="11"/>
      <c r="AG21" s="12"/>
      <c r="AH21" s="485"/>
      <c r="AI21" s="11"/>
      <c r="AJ21" s="12"/>
      <c r="AK21" s="485"/>
      <c r="AL21" s="207"/>
      <c r="AM21" s="207"/>
      <c r="AN21" s="485"/>
      <c r="AO21" s="11"/>
      <c r="AP21" s="12"/>
      <c r="AQ21" s="486"/>
      <c r="AR21" s="486"/>
      <c r="AS21" s="485"/>
      <c r="AT21" s="212"/>
    </row>
    <row r="22" spans="1:53" x14ac:dyDescent="0.35">
      <c r="A22" s="5"/>
      <c r="B22" s="11"/>
      <c r="C22" s="11"/>
      <c r="D22" s="494"/>
      <c r="E22" s="11"/>
      <c r="F22" s="11"/>
      <c r="G22" s="494"/>
      <c r="H22" s="11"/>
      <c r="I22" s="11"/>
      <c r="J22" s="488"/>
      <c r="K22" s="11"/>
      <c r="L22" s="11"/>
      <c r="M22" s="488"/>
      <c r="N22" s="11"/>
      <c r="O22" s="11"/>
      <c r="P22" s="488"/>
      <c r="Q22" s="11"/>
      <c r="R22" s="11"/>
      <c r="S22" s="488"/>
      <c r="T22" s="11"/>
      <c r="U22" s="11"/>
      <c r="V22" s="488"/>
      <c r="W22" s="11"/>
      <c r="X22" s="11"/>
      <c r="Y22" s="494"/>
      <c r="Z22" s="11"/>
      <c r="AA22" s="11"/>
      <c r="AB22" s="488"/>
      <c r="AC22" s="11"/>
      <c r="AD22" s="11"/>
      <c r="AE22" s="488"/>
      <c r="AF22" s="11"/>
      <c r="AG22" s="11"/>
      <c r="AH22" s="488"/>
      <c r="AI22" s="11"/>
      <c r="AJ22" s="11"/>
      <c r="AK22" s="488"/>
      <c r="AL22" s="207"/>
      <c r="AM22" s="207"/>
      <c r="AN22" s="488"/>
      <c r="AO22" s="11"/>
      <c r="AP22" s="11"/>
      <c r="AQ22" s="487"/>
      <c r="AR22" s="487"/>
      <c r="AS22" s="488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678" t="s">
        <v>31</v>
      </c>
      <c r="C23" s="679"/>
      <c r="D23" s="494">
        <v>391</v>
      </c>
      <c r="E23" s="689" t="s">
        <v>28</v>
      </c>
      <c r="F23" s="687"/>
      <c r="G23" s="494">
        <v>331</v>
      </c>
      <c r="H23" s="688" t="s">
        <v>31</v>
      </c>
      <c r="I23" s="687"/>
      <c r="J23" s="488">
        <v>404</v>
      </c>
      <c r="K23" s="689" t="s">
        <v>33</v>
      </c>
      <c r="L23" s="687"/>
      <c r="M23" s="488">
        <v>410</v>
      </c>
      <c r="N23" s="689" t="s">
        <v>33</v>
      </c>
      <c r="O23" s="687"/>
      <c r="P23" s="488">
        <v>398</v>
      </c>
      <c r="Q23" s="690" t="s">
        <v>33</v>
      </c>
      <c r="R23" s="691"/>
      <c r="S23" s="488">
        <v>432</v>
      </c>
      <c r="T23" s="688" t="s">
        <v>31</v>
      </c>
      <c r="U23" s="687"/>
      <c r="V23" s="488">
        <v>356</v>
      </c>
      <c r="W23" s="688" t="s">
        <v>31</v>
      </c>
      <c r="X23" s="687"/>
      <c r="Y23" s="488">
        <v>408</v>
      </c>
      <c r="Z23" s="688" t="s">
        <v>31</v>
      </c>
      <c r="AA23" s="687"/>
      <c r="AB23" s="488">
        <v>415</v>
      </c>
      <c r="AC23" s="690" t="s">
        <v>33</v>
      </c>
      <c r="AD23" s="691"/>
      <c r="AE23" s="488">
        <v>371</v>
      </c>
      <c r="AF23" s="696" t="s">
        <v>23</v>
      </c>
      <c r="AG23" s="696"/>
      <c r="AH23" s="494">
        <v>364</v>
      </c>
      <c r="AI23" s="688" t="s">
        <v>31</v>
      </c>
      <c r="AJ23" s="687"/>
      <c r="AK23" s="505">
        <v>415</v>
      </c>
      <c r="AL23" s="696" t="s">
        <v>61</v>
      </c>
      <c r="AM23" s="696"/>
      <c r="AN23" s="494">
        <v>389</v>
      </c>
      <c r="AO23" s="690" t="s">
        <v>33</v>
      </c>
      <c r="AP23" s="691"/>
      <c r="AQ23" s="493">
        <v>396</v>
      </c>
      <c r="AR23" s="493"/>
      <c r="AT23" s="7"/>
      <c r="AW23" s="10"/>
      <c r="AX23" s="10"/>
      <c r="AY23" s="10"/>
      <c r="AZ23" s="10"/>
    </row>
    <row r="24" spans="1:53" x14ac:dyDescent="0.35">
      <c r="A24" s="5"/>
      <c r="B24" s="678" t="s">
        <v>48</v>
      </c>
      <c r="C24" s="679"/>
      <c r="D24" s="494"/>
      <c r="E24" s="674" t="s">
        <v>49</v>
      </c>
      <c r="F24" s="675"/>
      <c r="G24" s="494"/>
      <c r="H24" s="674" t="s">
        <v>50</v>
      </c>
      <c r="I24" s="675"/>
      <c r="J24" s="494"/>
      <c r="K24" s="674" t="s">
        <v>51</v>
      </c>
      <c r="L24" s="675"/>
      <c r="M24" s="494"/>
      <c r="N24" s="674" t="s">
        <v>52</v>
      </c>
      <c r="O24" s="675"/>
      <c r="P24" s="494"/>
      <c r="Q24" s="674" t="s">
        <v>53</v>
      </c>
      <c r="R24" s="675"/>
      <c r="S24" s="494"/>
      <c r="T24" s="674" t="s">
        <v>54</v>
      </c>
      <c r="U24" s="675"/>
      <c r="V24" s="494"/>
      <c r="W24" s="674" t="s">
        <v>55</v>
      </c>
      <c r="X24" s="675"/>
      <c r="Y24" s="494"/>
      <c r="Z24" s="674" t="s">
        <v>56</v>
      </c>
      <c r="AA24" s="675"/>
      <c r="AB24" s="494"/>
      <c r="AC24" s="674" t="s">
        <v>57</v>
      </c>
      <c r="AD24" s="675"/>
      <c r="AE24" s="506"/>
      <c r="AF24" s="674" t="s">
        <v>58</v>
      </c>
      <c r="AG24" s="675"/>
      <c r="AH24" s="506"/>
      <c r="AI24" s="674" t="s">
        <v>59</v>
      </c>
      <c r="AJ24" s="675"/>
      <c r="AK24" s="506"/>
      <c r="AL24" s="697" t="s">
        <v>60</v>
      </c>
      <c r="AM24" s="697"/>
      <c r="AN24" s="506"/>
      <c r="AO24" s="697" t="s">
        <v>62</v>
      </c>
      <c r="AP24" s="697"/>
      <c r="AQ24" s="505"/>
      <c r="AR24" s="505"/>
      <c r="AT24" s="7"/>
      <c r="AW24" s="10"/>
      <c r="AX24" s="10"/>
      <c r="AY24" s="10"/>
      <c r="AZ24" s="10"/>
    </row>
    <row r="25" spans="1:53" x14ac:dyDescent="0.35">
      <c r="A25" s="5"/>
      <c r="B25" s="497" t="s">
        <v>359</v>
      </c>
      <c r="C25" s="496"/>
      <c r="D25" s="497"/>
      <c r="E25" s="496"/>
      <c r="F25" s="497" t="s">
        <v>359</v>
      </c>
      <c r="G25" s="497"/>
      <c r="H25" s="497" t="s">
        <v>359</v>
      </c>
      <c r="I25" s="498"/>
      <c r="J25" s="497"/>
      <c r="K25" s="497" t="s">
        <v>359</v>
      </c>
      <c r="L25" s="498"/>
      <c r="M25" s="497"/>
      <c r="N25" s="497" t="s">
        <v>359</v>
      </c>
      <c r="O25" s="496"/>
      <c r="P25" s="497"/>
      <c r="Q25" s="496"/>
      <c r="R25" s="497" t="s">
        <v>359</v>
      </c>
      <c r="S25" s="497"/>
      <c r="T25" s="497" t="s">
        <v>359</v>
      </c>
      <c r="U25" s="496"/>
      <c r="V25" s="497"/>
      <c r="W25" s="497" t="s">
        <v>359</v>
      </c>
      <c r="X25" s="496"/>
      <c r="Y25" s="497"/>
      <c r="Z25" s="497" t="s">
        <v>359</v>
      </c>
      <c r="AA25" s="496"/>
      <c r="AB25" s="497"/>
      <c r="AC25" s="496"/>
      <c r="AD25" s="497" t="s">
        <v>359</v>
      </c>
      <c r="AE25" s="497"/>
      <c r="AF25" s="496"/>
      <c r="AG25" s="497" t="s">
        <v>359</v>
      </c>
      <c r="AH25" s="497"/>
      <c r="AI25" s="496"/>
      <c r="AJ25" s="497" t="s">
        <v>359</v>
      </c>
      <c r="AK25" s="497"/>
      <c r="AL25" s="496"/>
      <c r="AM25" s="497" t="s">
        <v>359</v>
      </c>
      <c r="AN25" s="497"/>
      <c r="AO25" s="497" t="s">
        <v>359</v>
      </c>
      <c r="AP25" s="497"/>
      <c r="AQ25" s="497"/>
      <c r="AR25" s="497"/>
      <c r="AT25" s="7"/>
      <c r="AW25" s="10"/>
      <c r="AX25" s="10"/>
      <c r="AY25" s="10"/>
      <c r="AZ25" s="10"/>
    </row>
    <row r="26" spans="1:53" x14ac:dyDescent="0.35">
      <c r="A26" s="5"/>
      <c r="G26" s="698"/>
      <c r="H26" s="698"/>
      <c r="I26" s="698"/>
      <c r="J26" s="698"/>
      <c r="T26" s="699" t="s">
        <v>404</v>
      </c>
      <c r="U26" s="699"/>
      <c r="V26" s="699"/>
      <c r="W26" s="699"/>
      <c r="X26" s="699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695"/>
      <c r="C28" s="686"/>
      <c r="E28" s="672"/>
      <c r="F28" s="672"/>
      <c r="H28" s="672"/>
      <c r="I28" s="672"/>
      <c r="K28" s="672"/>
      <c r="L28" s="672"/>
      <c r="N28" s="672"/>
      <c r="O28" s="672"/>
      <c r="Q28" s="672"/>
      <c r="R28" s="672"/>
      <c r="T28" s="672"/>
      <c r="U28" s="672"/>
      <c r="W28" s="672"/>
      <c r="X28" s="672"/>
      <c r="Z28" s="672"/>
      <c r="AA28" s="672"/>
      <c r="AC28" s="672"/>
      <c r="AD28" s="672"/>
      <c r="AF28" s="672"/>
      <c r="AG28" s="672"/>
      <c r="AI28" s="672"/>
      <c r="AJ28" s="672"/>
      <c r="AL28" s="672"/>
      <c r="AM28" s="672"/>
      <c r="AO28" s="672"/>
      <c r="AP28" s="672"/>
      <c r="AQ28" s="10"/>
      <c r="AR28" s="10"/>
      <c r="AT28" s="7"/>
    </row>
    <row r="29" spans="1:53" ht="15" customHeight="1" x14ac:dyDescent="0.35">
      <c r="A29" s="5"/>
      <c r="B29" s="11"/>
      <c r="C29" s="12"/>
      <c r="D29" s="485"/>
      <c r="E29" s="11"/>
      <c r="F29" s="12"/>
      <c r="G29" s="485"/>
      <c r="H29" s="11"/>
      <c r="I29" s="12"/>
      <c r="J29" s="485"/>
      <c r="K29" s="11"/>
      <c r="L29" s="12"/>
      <c r="M29" s="485"/>
      <c r="N29" s="11"/>
      <c r="O29" s="12"/>
      <c r="P29" s="485"/>
      <c r="Q29" s="11"/>
      <c r="R29" s="12"/>
      <c r="S29" s="485"/>
      <c r="T29" s="11"/>
      <c r="U29" s="12"/>
      <c r="V29" s="485"/>
      <c r="W29" s="680" t="s">
        <v>851</v>
      </c>
      <c r="X29" s="681"/>
      <c r="Y29" s="485"/>
      <c r="Z29" s="11"/>
      <c r="AA29" s="12"/>
      <c r="AB29" s="485"/>
      <c r="AC29" s="11"/>
      <c r="AD29" s="12"/>
      <c r="AE29" s="485"/>
      <c r="AF29" s="11"/>
      <c r="AG29" s="12"/>
      <c r="AH29" s="485"/>
      <c r="AI29" s="11"/>
      <c r="AJ29" s="12"/>
      <c r="AK29" s="485"/>
      <c r="AL29" s="11"/>
      <c r="AM29" s="12"/>
      <c r="AN29" s="485"/>
      <c r="AO29" s="11"/>
      <c r="AP29" s="12"/>
      <c r="AQ29" s="486"/>
      <c r="AR29" s="486"/>
      <c r="AS29" s="485"/>
      <c r="AT29" s="212"/>
    </row>
    <row r="30" spans="1:53" x14ac:dyDescent="0.35">
      <c r="A30" s="5"/>
      <c r="B30" s="11"/>
      <c r="C30" s="11"/>
      <c r="D30" s="488"/>
      <c r="E30" s="11"/>
      <c r="F30" s="11"/>
      <c r="G30" s="488"/>
      <c r="H30" s="11"/>
      <c r="I30" s="11"/>
      <c r="J30" s="488"/>
      <c r="K30" s="11"/>
      <c r="L30" s="11"/>
      <c r="M30" s="488"/>
      <c r="N30" s="11"/>
      <c r="O30" s="11"/>
      <c r="P30" s="488"/>
      <c r="Q30" s="11"/>
      <c r="R30" s="11"/>
      <c r="S30" s="488"/>
      <c r="T30" s="11"/>
      <c r="U30" s="11"/>
      <c r="V30" s="488"/>
      <c r="W30" s="682"/>
      <c r="X30" s="683"/>
      <c r="Y30" s="494"/>
      <c r="Z30" s="11"/>
      <c r="AA30" s="11"/>
      <c r="AB30" s="488"/>
      <c r="AC30" s="11"/>
      <c r="AD30" s="11"/>
      <c r="AE30" s="488"/>
      <c r="AF30" s="11"/>
      <c r="AG30" s="11"/>
      <c r="AH30" s="494"/>
      <c r="AI30" s="11"/>
      <c r="AJ30" s="11"/>
      <c r="AK30" s="488"/>
      <c r="AL30" s="11"/>
      <c r="AM30" s="11"/>
      <c r="AN30" s="494"/>
      <c r="AO30" s="11"/>
      <c r="AP30" s="11"/>
      <c r="AQ30" s="487"/>
      <c r="AR30" s="487"/>
      <c r="AS30" s="488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688" t="s">
        <v>31</v>
      </c>
      <c r="C31" s="687"/>
      <c r="D31" s="488">
        <v>439</v>
      </c>
      <c r="E31" s="688" t="s">
        <v>16</v>
      </c>
      <c r="F31" s="687"/>
      <c r="G31" s="488">
        <v>381</v>
      </c>
      <c r="H31" s="689" t="s">
        <v>28</v>
      </c>
      <c r="I31" s="687"/>
      <c r="J31" s="488">
        <v>386</v>
      </c>
      <c r="K31" s="689" t="s">
        <v>31</v>
      </c>
      <c r="L31" s="687"/>
      <c r="M31" s="488">
        <v>356</v>
      </c>
      <c r="N31" s="689" t="s">
        <v>23</v>
      </c>
      <c r="O31" s="687"/>
      <c r="P31" s="488">
        <v>365</v>
      </c>
      <c r="Q31" s="689" t="s">
        <v>33</v>
      </c>
      <c r="R31" s="687"/>
      <c r="S31" s="488">
        <v>475</v>
      </c>
      <c r="T31" s="689" t="s">
        <v>70</v>
      </c>
      <c r="U31" s="687"/>
      <c r="V31" s="488">
        <v>196</v>
      </c>
      <c r="W31" s="689" t="s">
        <v>70</v>
      </c>
      <c r="X31" s="687"/>
      <c r="Y31" s="494">
        <v>477</v>
      </c>
      <c r="Z31" s="689" t="s">
        <v>33</v>
      </c>
      <c r="AA31" s="687"/>
      <c r="AB31" s="488">
        <v>363</v>
      </c>
      <c r="AC31" s="689" t="s">
        <v>23</v>
      </c>
      <c r="AD31" s="687"/>
      <c r="AE31" s="488">
        <v>328</v>
      </c>
      <c r="AF31" s="689" t="s">
        <v>23</v>
      </c>
      <c r="AG31" s="687"/>
      <c r="AH31" s="494">
        <v>376</v>
      </c>
      <c r="AI31" s="689" t="s">
        <v>31</v>
      </c>
      <c r="AJ31" s="687"/>
      <c r="AK31" s="488">
        <v>393</v>
      </c>
      <c r="AL31" s="689" t="s">
        <v>35</v>
      </c>
      <c r="AM31" s="687"/>
      <c r="AN31" s="494">
        <v>397</v>
      </c>
      <c r="AO31" s="689" t="s">
        <v>31</v>
      </c>
      <c r="AP31" s="687"/>
      <c r="AQ31" s="491">
        <v>394</v>
      </c>
      <c r="AR31" s="491"/>
      <c r="AS31" s="488"/>
      <c r="AT31" s="211"/>
    </row>
    <row r="32" spans="1:53" x14ac:dyDescent="0.35">
      <c r="A32" s="5"/>
      <c r="B32" s="697" t="s">
        <v>63</v>
      </c>
      <c r="C32" s="697"/>
      <c r="D32" s="494"/>
      <c r="E32" s="697" t="s">
        <v>64</v>
      </c>
      <c r="F32" s="697"/>
      <c r="G32" s="494"/>
      <c r="H32" s="697" t="s">
        <v>65</v>
      </c>
      <c r="I32" s="697"/>
      <c r="J32" s="494"/>
      <c r="K32" s="697" t="s">
        <v>66</v>
      </c>
      <c r="L32" s="697"/>
      <c r="M32" s="494"/>
      <c r="N32" s="697" t="s">
        <v>67</v>
      </c>
      <c r="O32" s="697"/>
      <c r="P32" s="494"/>
      <c r="Q32" s="697" t="s">
        <v>68</v>
      </c>
      <c r="R32" s="697"/>
      <c r="S32" s="494"/>
      <c r="T32" s="674" t="s">
        <v>69</v>
      </c>
      <c r="U32" s="675"/>
      <c r="V32" s="494"/>
      <c r="W32" s="674" t="s">
        <v>388</v>
      </c>
      <c r="X32" s="675"/>
      <c r="Y32" s="494"/>
      <c r="Z32" s="674" t="s">
        <v>71</v>
      </c>
      <c r="AA32" s="675"/>
      <c r="AB32" s="494"/>
      <c r="AC32" s="674" t="s">
        <v>72</v>
      </c>
      <c r="AD32" s="675"/>
      <c r="AE32" s="494"/>
      <c r="AF32" s="674" t="s">
        <v>73</v>
      </c>
      <c r="AG32" s="675"/>
      <c r="AH32" s="494"/>
      <c r="AI32" s="674" t="s">
        <v>74</v>
      </c>
      <c r="AJ32" s="675"/>
      <c r="AK32" s="494"/>
      <c r="AL32" s="674" t="s">
        <v>75</v>
      </c>
      <c r="AM32" s="675"/>
      <c r="AN32" s="494"/>
      <c r="AO32" s="674" t="s">
        <v>76</v>
      </c>
      <c r="AP32" s="675"/>
      <c r="AQ32" s="491"/>
      <c r="AR32" s="491"/>
      <c r="AT32" s="7"/>
    </row>
    <row r="33" spans="1:53" x14ac:dyDescent="0.35">
      <c r="A33" s="5"/>
      <c r="B33" s="497" t="s">
        <v>359</v>
      </c>
      <c r="C33" s="496"/>
      <c r="D33" s="497"/>
      <c r="E33" s="496"/>
      <c r="F33" s="497" t="s">
        <v>359</v>
      </c>
      <c r="G33" s="497"/>
      <c r="H33" s="496"/>
      <c r="I33" s="497" t="s">
        <v>359</v>
      </c>
      <c r="J33" s="497"/>
      <c r="K33" s="496"/>
      <c r="L33" s="497" t="s">
        <v>359</v>
      </c>
      <c r="M33" s="497"/>
      <c r="N33" s="496"/>
      <c r="O33" s="497" t="s">
        <v>359</v>
      </c>
      <c r="P33" s="497"/>
      <c r="Q33" s="496"/>
      <c r="R33" s="497" t="s">
        <v>359</v>
      </c>
      <c r="S33" s="497"/>
      <c r="T33" s="496"/>
      <c r="U33" s="497" t="s">
        <v>359</v>
      </c>
      <c r="V33" s="497"/>
      <c r="W33" s="496"/>
      <c r="X33" s="497" t="s">
        <v>359</v>
      </c>
      <c r="Y33" s="497"/>
      <c r="Z33" s="496"/>
      <c r="AA33" s="497" t="s">
        <v>359</v>
      </c>
      <c r="AB33" s="497"/>
      <c r="AC33" s="496"/>
      <c r="AD33" s="497" t="s">
        <v>359</v>
      </c>
      <c r="AE33" s="497"/>
      <c r="AF33" s="496"/>
      <c r="AG33" s="497" t="s">
        <v>359</v>
      </c>
      <c r="AH33" s="497"/>
      <c r="AI33" s="496"/>
      <c r="AJ33" s="497" t="s">
        <v>359</v>
      </c>
      <c r="AK33" s="497"/>
      <c r="AL33" s="496"/>
      <c r="AM33" s="497" t="s">
        <v>359</v>
      </c>
      <c r="AN33" s="497"/>
      <c r="AO33" s="497" t="s">
        <v>359</v>
      </c>
      <c r="AP33" s="497"/>
      <c r="AQ33" s="497"/>
      <c r="AR33" s="497"/>
      <c r="AT33" s="7"/>
    </row>
    <row r="34" spans="1:53" x14ac:dyDescent="0.35">
      <c r="A34" s="5"/>
      <c r="B34" s="686"/>
      <c r="C34" s="686"/>
      <c r="D34" s="686"/>
      <c r="K34" s="491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686"/>
      <c r="C36" s="686"/>
      <c r="E36" s="672"/>
      <c r="F36" s="672"/>
      <c r="H36" s="672"/>
      <c r="I36" s="672"/>
      <c r="K36" s="672"/>
      <c r="L36" s="672"/>
      <c r="N36" s="672"/>
      <c r="O36" s="672"/>
      <c r="Q36" s="672"/>
      <c r="R36" s="672"/>
      <c r="T36" s="672"/>
      <c r="U36" s="672"/>
      <c r="W36" s="672"/>
      <c r="X36" s="672"/>
      <c r="Z36" s="672"/>
      <c r="AA36" s="672"/>
      <c r="AC36" s="672"/>
      <c r="AD36" s="672"/>
      <c r="AF36" s="672"/>
      <c r="AG36" s="672"/>
      <c r="AI36" s="672"/>
      <c r="AJ36" s="672"/>
      <c r="AL36" s="672"/>
      <c r="AM36" s="672"/>
      <c r="AO36" s="672"/>
      <c r="AP36" s="672"/>
      <c r="AQ36" s="10"/>
      <c r="AR36" s="10"/>
      <c r="AT36" s="7"/>
    </row>
    <row r="37" spans="1:53" x14ac:dyDescent="0.35">
      <c r="A37" s="5"/>
      <c r="B37" s="11"/>
      <c r="C37" s="14"/>
      <c r="D37" s="485"/>
      <c r="E37" s="11"/>
      <c r="F37" s="14"/>
      <c r="G37" s="485"/>
      <c r="H37" s="11"/>
      <c r="I37" s="14"/>
      <c r="J37" s="501"/>
      <c r="K37" s="11"/>
      <c r="L37" s="14"/>
      <c r="M37" s="485"/>
      <c r="N37" s="11"/>
      <c r="O37" s="14"/>
      <c r="P37" s="485"/>
      <c r="Q37" s="11"/>
      <c r="R37" s="14"/>
      <c r="S37" s="485"/>
      <c r="T37" s="11"/>
      <c r="U37" s="12"/>
      <c r="V37" s="485"/>
      <c r="W37" s="11"/>
      <c r="X37" s="12"/>
      <c r="Y37" s="485"/>
      <c r="Z37" s="11"/>
      <c r="AA37" s="12"/>
      <c r="AB37" s="485"/>
      <c r="AC37" s="11"/>
      <c r="AD37" s="12"/>
      <c r="AE37" s="485"/>
      <c r="AF37" s="11"/>
      <c r="AG37" s="12"/>
      <c r="AH37" s="485"/>
      <c r="AI37" s="11"/>
      <c r="AJ37" s="12"/>
      <c r="AK37" s="485"/>
      <c r="AL37" s="11"/>
      <c r="AM37" s="12"/>
      <c r="AN37" s="485"/>
      <c r="AO37" s="11"/>
      <c r="AP37" s="12"/>
      <c r="AQ37" s="486"/>
      <c r="AR37" s="486"/>
      <c r="AS37" s="485"/>
      <c r="AT37" s="212"/>
    </row>
    <row r="38" spans="1:53" x14ac:dyDescent="0.35">
      <c r="A38" s="5"/>
      <c r="B38" s="11"/>
      <c r="C38" s="11"/>
      <c r="D38" s="494"/>
      <c r="E38" s="11"/>
      <c r="F38" s="11"/>
      <c r="G38" s="488"/>
      <c r="H38" s="11"/>
      <c r="I38" s="11"/>
      <c r="J38" s="494"/>
      <c r="K38" s="11"/>
      <c r="L38" s="11"/>
      <c r="M38" s="488"/>
      <c r="N38" s="11"/>
      <c r="O38" s="11"/>
      <c r="P38" s="494"/>
      <c r="Q38" s="11"/>
      <c r="R38" s="11"/>
      <c r="S38" s="488"/>
      <c r="T38" s="11"/>
      <c r="U38" s="11"/>
      <c r="V38" s="494"/>
      <c r="W38" s="11"/>
      <c r="X38" s="11"/>
      <c r="Y38" s="494"/>
      <c r="Z38" s="11"/>
      <c r="AA38" s="11"/>
      <c r="AB38" s="494"/>
      <c r="AC38" s="11"/>
      <c r="AD38" s="11"/>
      <c r="AE38" s="494"/>
      <c r="AF38" s="11"/>
      <c r="AG38" s="11"/>
      <c r="AH38" s="494"/>
      <c r="AI38" s="11"/>
      <c r="AJ38" s="11"/>
      <c r="AK38" s="494"/>
      <c r="AL38" s="11"/>
      <c r="AM38" s="11"/>
      <c r="AO38" s="11"/>
      <c r="AP38" s="11"/>
      <c r="AQ38" s="487"/>
      <c r="AR38" s="487"/>
      <c r="AS38" s="494"/>
      <c r="AT38" s="213"/>
      <c r="AV38" s="2">
        <v>14</v>
      </c>
      <c r="AW38" s="2">
        <v>14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674" t="s">
        <v>31</v>
      </c>
      <c r="C39" s="675"/>
      <c r="D39" s="494">
        <v>373</v>
      </c>
      <c r="E39" s="689" t="s">
        <v>61</v>
      </c>
      <c r="F39" s="687"/>
      <c r="G39" s="494">
        <v>357</v>
      </c>
      <c r="H39" s="689" t="s">
        <v>14</v>
      </c>
      <c r="I39" s="687"/>
      <c r="J39" s="494">
        <v>374</v>
      </c>
      <c r="K39" s="689" t="s">
        <v>31</v>
      </c>
      <c r="L39" s="687"/>
      <c r="M39" s="494">
        <v>380</v>
      </c>
      <c r="N39" s="689" t="s">
        <v>31</v>
      </c>
      <c r="O39" s="687"/>
      <c r="P39" s="494">
        <v>344</v>
      </c>
      <c r="Q39" s="689" t="s">
        <v>23</v>
      </c>
      <c r="R39" s="687"/>
      <c r="S39" s="494">
        <v>330</v>
      </c>
      <c r="T39" s="689" t="s">
        <v>31</v>
      </c>
      <c r="U39" s="687"/>
      <c r="V39" s="494">
        <v>367</v>
      </c>
      <c r="W39" s="689" t="s">
        <v>18</v>
      </c>
      <c r="X39" s="687"/>
      <c r="Y39" s="494">
        <v>385</v>
      </c>
      <c r="Z39" s="689" t="s">
        <v>31</v>
      </c>
      <c r="AA39" s="687"/>
      <c r="AB39" s="494">
        <v>355</v>
      </c>
      <c r="AC39" s="689" t="s">
        <v>31</v>
      </c>
      <c r="AD39" s="687"/>
      <c r="AE39" s="494">
        <v>357</v>
      </c>
      <c r="AF39" s="689" t="s">
        <v>23</v>
      </c>
      <c r="AG39" s="687"/>
      <c r="AH39" s="494">
        <v>393</v>
      </c>
      <c r="AI39" s="689" t="s">
        <v>33</v>
      </c>
      <c r="AJ39" s="687"/>
      <c r="AK39" s="505">
        <v>383</v>
      </c>
      <c r="AL39" s="689" t="s">
        <v>31</v>
      </c>
      <c r="AM39" s="687"/>
      <c r="AN39" s="494">
        <v>388</v>
      </c>
      <c r="AO39" s="689" t="s">
        <v>61</v>
      </c>
      <c r="AP39" s="687"/>
      <c r="AQ39" s="491">
        <v>368</v>
      </c>
      <c r="AR39" s="491"/>
      <c r="AT39" s="7"/>
    </row>
    <row r="40" spans="1:53" x14ac:dyDescent="0.35">
      <c r="A40" s="5"/>
      <c r="B40" s="674" t="s">
        <v>77</v>
      </c>
      <c r="C40" s="675"/>
      <c r="D40" s="494"/>
      <c r="E40" s="674" t="s">
        <v>78</v>
      </c>
      <c r="F40" s="675"/>
      <c r="G40" s="494"/>
      <c r="H40" s="674" t="s">
        <v>79</v>
      </c>
      <c r="I40" s="675"/>
      <c r="J40" s="494"/>
      <c r="K40" s="674" t="s">
        <v>80</v>
      </c>
      <c r="L40" s="675"/>
      <c r="M40" s="494"/>
      <c r="N40" s="674" t="s">
        <v>81</v>
      </c>
      <c r="O40" s="675"/>
      <c r="P40" s="494"/>
      <c r="Q40" s="674" t="s">
        <v>82</v>
      </c>
      <c r="R40" s="675"/>
      <c r="S40" s="494"/>
      <c r="T40" s="674" t="s">
        <v>83</v>
      </c>
      <c r="U40" s="675"/>
      <c r="V40" s="494"/>
      <c r="W40" s="674" t="s">
        <v>84</v>
      </c>
      <c r="X40" s="675"/>
      <c r="Y40" s="494"/>
      <c r="Z40" s="674" t="s">
        <v>85</v>
      </c>
      <c r="AA40" s="675"/>
      <c r="AB40" s="494"/>
      <c r="AC40" s="674" t="s">
        <v>86</v>
      </c>
      <c r="AD40" s="675"/>
      <c r="AE40" s="494"/>
      <c r="AF40" s="674" t="s">
        <v>87</v>
      </c>
      <c r="AG40" s="675"/>
      <c r="AH40" s="494"/>
      <c r="AI40" s="674" t="s">
        <v>88</v>
      </c>
      <c r="AJ40" s="675"/>
      <c r="AK40" s="494"/>
      <c r="AL40" s="674" t="s">
        <v>89</v>
      </c>
      <c r="AM40" s="675"/>
      <c r="AN40" s="494"/>
      <c r="AO40" s="674" t="s">
        <v>90</v>
      </c>
      <c r="AP40" s="675"/>
      <c r="AQ40" s="491"/>
      <c r="AR40" s="491"/>
      <c r="AT40" s="7"/>
    </row>
    <row r="41" spans="1:53" x14ac:dyDescent="0.35">
      <c r="A41" s="5"/>
      <c r="B41" s="496"/>
      <c r="C41" s="497" t="s">
        <v>359</v>
      </c>
      <c r="D41" s="497"/>
      <c r="E41" s="496"/>
      <c r="F41" s="497" t="s">
        <v>359</v>
      </c>
      <c r="G41" s="497"/>
      <c r="H41" s="496"/>
      <c r="I41" s="497" t="s">
        <v>359</v>
      </c>
      <c r="J41" s="497"/>
      <c r="K41" s="496"/>
      <c r="L41" s="497" t="s">
        <v>359</v>
      </c>
      <c r="M41" s="497"/>
      <c r="N41" s="497" t="s">
        <v>359</v>
      </c>
      <c r="O41" s="496"/>
      <c r="P41" s="497"/>
      <c r="Q41" s="507"/>
      <c r="R41" s="497" t="s">
        <v>359</v>
      </c>
      <c r="S41" s="508"/>
      <c r="T41" s="507"/>
      <c r="U41" s="497" t="s">
        <v>359</v>
      </c>
      <c r="V41" s="508"/>
      <c r="W41" s="507"/>
      <c r="X41" s="497" t="s">
        <v>359</v>
      </c>
      <c r="Y41" s="508"/>
      <c r="Z41" s="507"/>
      <c r="AA41" s="497" t="s">
        <v>359</v>
      </c>
      <c r="AB41" s="508"/>
      <c r="AC41" s="507"/>
      <c r="AD41" s="497" t="s">
        <v>359</v>
      </c>
      <c r="AE41" s="508"/>
      <c r="AF41" s="507"/>
      <c r="AG41" s="497" t="s">
        <v>359</v>
      </c>
      <c r="AH41" s="508"/>
      <c r="AI41" s="507"/>
      <c r="AJ41" s="497" t="s">
        <v>359</v>
      </c>
      <c r="AK41" s="508"/>
      <c r="AL41" s="497" t="s">
        <v>359</v>
      </c>
      <c r="AM41" s="507"/>
      <c r="AN41" s="508"/>
      <c r="AO41" s="497" t="s">
        <v>359</v>
      </c>
      <c r="AP41" s="507"/>
      <c r="AQ41" s="507"/>
      <c r="AR41" s="507"/>
      <c r="AT41" s="7"/>
    </row>
    <row r="42" spans="1:53" x14ac:dyDescent="0.35">
      <c r="A42" s="5"/>
      <c r="W42" s="504"/>
      <c r="Z42" s="504"/>
      <c r="AC42" s="504"/>
      <c r="AL42" s="504"/>
      <c r="AT42" s="7"/>
    </row>
    <row r="43" spans="1:53" x14ac:dyDescent="0.35">
      <c r="A43" s="5"/>
      <c r="AK43"/>
      <c r="AT43" s="7"/>
    </row>
    <row r="44" spans="1:53" x14ac:dyDescent="0.35">
      <c r="A44" s="5"/>
      <c r="B44" s="686"/>
      <c r="C44" s="686"/>
      <c r="E44" s="672"/>
      <c r="F44" s="672"/>
      <c r="H44" s="672"/>
      <c r="I44" s="672"/>
      <c r="K44" s="672"/>
      <c r="L44" s="672"/>
      <c r="N44" s="672"/>
      <c r="O44" s="672"/>
      <c r="Q44" s="672"/>
      <c r="R44" s="672"/>
      <c r="T44" s="672"/>
      <c r="U44" s="672"/>
      <c r="W44" s="672"/>
      <c r="X44" s="672"/>
      <c r="Z44" s="672"/>
      <c r="AA44" s="672"/>
      <c r="AC44" s="672"/>
      <c r="AD44" s="672"/>
      <c r="AF44" s="672"/>
      <c r="AG44" s="672"/>
      <c r="AI44" s="672"/>
      <c r="AJ44" s="672"/>
      <c r="AL44" s="672"/>
      <c r="AM44" s="672"/>
      <c r="AO44" s="672"/>
      <c r="AP44" s="672"/>
      <c r="AQ44" s="10"/>
      <c r="AR44" s="10"/>
      <c r="AT44" s="7"/>
    </row>
    <row r="45" spans="1:53" x14ac:dyDescent="0.35">
      <c r="A45" s="5"/>
      <c r="B45" s="11"/>
      <c r="C45" s="14"/>
      <c r="D45" s="485"/>
      <c r="E45" s="11"/>
      <c r="F45" s="14"/>
      <c r="G45" s="485"/>
      <c r="H45" s="11"/>
      <c r="I45" s="14"/>
      <c r="J45" s="485"/>
      <c r="K45" s="11"/>
      <c r="L45" s="14"/>
      <c r="M45" s="485"/>
      <c r="N45" s="11"/>
      <c r="O45" s="14"/>
      <c r="P45" s="485"/>
      <c r="Q45" s="680" t="s">
        <v>397</v>
      </c>
      <c r="R45" s="681"/>
      <c r="S45" s="485"/>
      <c r="T45" s="11"/>
      <c r="U45" s="14"/>
      <c r="V45" s="485"/>
      <c r="W45" s="11"/>
      <c r="X45" s="14"/>
      <c r="Y45" s="485"/>
      <c r="Z45" s="11"/>
      <c r="AA45" s="12"/>
      <c r="AB45" s="485"/>
      <c r="AC45" s="207"/>
      <c r="AD45" s="207"/>
      <c r="AE45" s="485"/>
      <c r="AF45" s="11"/>
      <c r="AG45" s="11"/>
      <c r="AH45" s="485"/>
      <c r="AI45" s="12"/>
      <c r="AJ45" s="12"/>
      <c r="AK45" s="485"/>
      <c r="AL45" s="12"/>
      <c r="AM45" s="12"/>
      <c r="AN45" s="485"/>
      <c r="AO45" s="12"/>
      <c r="AP45" s="12"/>
      <c r="AQ45" s="486"/>
      <c r="AR45" s="486"/>
      <c r="AS45" s="485"/>
      <c r="AT45" s="212"/>
    </row>
    <row r="46" spans="1:53" x14ac:dyDescent="0.35">
      <c r="A46" s="5"/>
      <c r="B46" s="11"/>
      <c r="C46" s="11"/>
      <c r="D46" s="488"/>
      <c r="E46" s="11"/>
      <c r="F46" s="11"/>
      <c r="G46" s="488"/>
      <c r="H46" s="11"/>
      <c r="I46" s="11"/>
      <c r="J46" s="485"/>
      <c r="K46" s="11"/>
      <c r="L46" s="14"/>
      <c r="M46" s="488"/>
      <c r="N46" s="11"/>
      <c r="O46" s="11"/>
      <c r="P46" s="488"/>
      <c r="Q46" s="682"/>
      <c r="R46" s="683"/>
      <c r="S46" s="488"/>
      <c r="T46" s="11"/>
      <c r="U46" s="11"/>
      <c r="V46" s="488"/>
      <c r="W46" s="11"/>
      <c r="X46" s="11"/>
      <c r="Y46" s="488"/>
      <c r="Z46" s="11"/>
      <c r="AA46" s="11"/>
      <c r="AB46" s="488"/>
      <c r="AC46" s="207"/>
      <c r="AD46" s="207"/>
      <c r="AE46" s="488"/>
      <c r="AF46" s="11"/>
      <c r="AG46" s="11"/>
      <c r="AH46" s="488"/>
      <c r="AI46" s="11"/>
      <c r="AJ46" s="11"/>
      <c r="AK46" s="488"/>
      <c r="AL46" s="12"/>
      <c r="AM46" s="12"/>
      <c r="AN46" s="488"/>
      <c r="AO46" s="12"/>
      <c r="AP46" s="12"/>
      <c r="AQ46" s="486"/>
      <c r="AR46" s="486"/>
      <c r="AS46" s="488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689" t="s">
        <v>31</v>
      </c>
      <c r="C47" s="687"/>
      <c r="D47" s="494">
        <v>412</v>
      </c>
      <c r="E47" s="689" t="s">
        <v>33</v>
      </c>
      <c r="F47" s="687"/>
      <c r="G47" s="494">
        <v>416</v>
      </c>
      <c r="H47" s="689" t="s">
        <v>31</v>
      </c>
      <c r="I47" s="687"/>
      <c r="J47" s="488">
        <v>407</v>
      </c>
      <c r="K47" s="689" t="s">
        <v>16</v>
      </c>
      <c r="L47" s="687"/>
      <c r="M47" s="509">
        <v>425</v>
      </c>
      <c r="N47" s="689" t="s">
        <v>23</v>
      </c>
      <c r="O47" s="687"/>
      <c r="P47" s="494">
        <v>386</v>
      </c>
      <c r="Q47" s="689" t="s">
        <v>31</v>
      </c>
      <c r="R47" s="687"/>
      <c r="S47" s="494">
        <v>359</v>
      </c>
      <c r="T47" s="689" t="s">
        <v>31</v>
      </c>
      <c r="U47" s="687"/>
      <c r="V47" s="494">
        <v>368</v>
      </c>
      <c r="W47" s="689" t="s">
        <v>31</v>
      </c>
      <c r="X47" s="687"/>
      <c r="Y47" s="494">
        <v>390</v>
      </c>
      <c r="Z47" s="689" t="s">
        <v>33</v>
      </c>
      <c r="AA47" s="687"/>
      <c r="AB47" s="494">
        <v>410</v>
      </c>
      <c r="AC47" s="689" t="s">
        <v>28</v>
      </c>
      <c r="AD47" s="687"/>
      <c r="AE47" s="494">
        <v>380</v>
      </c>
      <c r="AF47" s="689" t="s">
        <v>31</v>
      </c>
      <c r="AG47" s="687"/>
      <c r="AH47" s="505">
        <v>367</v>
      </c>
      <c r="AI47" s="689" t="s">
        <v>31</v>
      </c>
      <c r="AJ47" s="687"/>
      <c r="AK47" s="505">
        <v>433</v>
      </c>
      <c r="AL47" s="689" t="s">
        <v>20</v>
      </c>
      <c r="AM47" s="687"/>
      <c r="AN47" s="494">
        <v>400</v>
      </c>
      <c r="AO47" s="689" t="s">
        <v>31</v>
      </c>
      <c r="AP47" s="687"/>
      <c r="AQ47" s="491">
        <v>396</v>
      </c>
      <c r="AR47" s="491"/>
      <c r="AT47" s="7"/>
    </row>
    <row r="48" spans="1:53" x14ac:dyDescent="0.35">
      <c r="A48" s="5"/>
      <c r="B48" s="674" t="s">
        <v>91</v>
      </c>
      <c r="C48" s="675"/>
      <c r="D48" s="494"/>
      <c r="E48" s="674" t="s">
        <v>92</v>
      </c>
      <c r="F48" s="675"/>
      <c r="G48" s="494"/>
      <c r="H48" s="674" t="s">
        <v>93</v>
      </c>
      <c r="I48" s="674"/>
      <c r="J48" s="494"/>
      <c r="K48" s="674" t="s">
        <v>94</v>
      </c>
      <c r="L48" s="674"/>
      <c r="M48" s="494"/>
      <c r="N48" s="674" t="s">
        <v>95</v>
      </c>
      <c r="O48" s="674"/>
      <c r="P48" s="494"/>
      <c r="Q48" s="674" t="s">
        <v>96</v>
      </c>
      <c r="R48" s="674"/>
      <c r="S48" s="494"/>
      <c r="T48" s="674" t="s">
        <v>97</v>
      </c>
      <c r="U48" s="674"/>
      <c r="V48" s="494"/>
      <c r="W48" s="674" t="s">
        <v>98</v>
      </c>
      <c r="X48" s="675"/>
      <c r="Y48" s="494"/>
      <c r="Z48" s="674" t="s">
        <v>99</v>
      </c>
      <c r="AA48" s="675"/>
      <c r="AB48" s="494"/>
      <c r="AC48" s="674" t="s">
        <v>100</v>
      </c>
      <c r="AD48" s="675"/>
      <c r="AE48" s="494"/>
      <c r="AF48" s="674" t="s">
        <v>101</v>
      </c>
      <c r="AG48" s="675"/>
      <c r="AH48" s="494"/>
      <c r="AI48" s="674" t="s">
        <v>102</v>
      </c>
      <c r="AJ48" s="675"/>
      <c r="AK48" s="494"/>
      <c r="AL48" s="674" t="s">
        <v>103</v>
      </c>
      <c r="AM48" s="675"/>
      <c r="AN48" s="494"/>
      <c r="AO48" s="674" t="s">
        <v>104</v>
      </c>
      <c r="AP48" s="675"/>
      <c r="AQ48" s="491"/>
      <c r="AR48" s="491"/>
      <c r="AT48" s="7"/>
    </row>
    <row r="49" spans="1:53" x14ac:dyDescent="0.35">
      <c r="A49" s="5"/>
      <c r="B49" s="497" t="s">
        <v>359</v>
      </c>
      <c r="C49" s="507"/>
      <c r="D49" s="508"/>
      <c r="E49" s="507"/>
      <c r="F49" s="497" t="s">
        <v>359</v>
      </c>
      <c r="G49" s="508"/>
      <c r="H49" s="507"/>
      <c r="I49" s="497" t="s">
        <v>359</v>
      </c>
      <c r="J49" s="508"/>
      <c r="K49" s="507"/>
      <c r="L49" s="497" t="s">
        <v>359</v>
      </c>
      <c r="M49" s="508"/>
      <c r="N49" s="507"/>
      <c r="O49" s="497" t="s">
        <v>359</v>
      </c>
      <c r="P49" s="508"/>
      <c r="Q49" s="507"/>
      <c r="R49" s="497" t="s">
        <v>359</v>
      </c>
      <c r="S49" s="508"/>
      <c r="T49" s="507"/>
      <c r="U49" s="497" t="s">
        <v>359</v>
      </c>
      <c r="V49" s="508"/>
      <c r="W49" s="507"/>
      <c r="X49" s="497" t="s">
        <v>359</v>
      </c>
      <c r="Y49" s="508"/>
      <c r="Z49" s="507"/>
      <c r="AA49" s="497" t="s">
        <v>359</v>
      </c>
      <c r="AB49" s="508"/>
      <c r="AC49" s="497" t="s">
        <v>359</v>
      </c>
      <c r="AD49" s="507"/>
      <c r="AE49" s="508"/>
      <c r="AF49" s="497" t="s">
        <v>359</v>
      </c>
      <c r="AG49" s="507"/>
      <c r="AH49" s="508"/>
      <c r="AI49" s="497" t="s">
        <v>359</v>
      </c>
      <c r="AJ49" s="507"/>
      <c r="AK49" s="508"/>
      <c r="AL49" s="497" t="s">
        <v>359</v>
      </c>
      <c r="AM49" s="507"/>
      <c r="AN49" s="508"/>
      <c r="AO49" s="507"/>
      <c r="AP49" s="497" t="s">
        <v>359</v>
      </c>
      <c r="AQ49" s="497"/>
      <c r="AR49" s="497"/>
      <c r="AT49" s="7"/>
    </row>
    <row r="50" spans="1:53" x14ac:dyDescent="0.35">
      <c r="A50" s="5"/>
      <c r="V50"/>
      <c r="W50" s="699" t="s">
        <v>406</v>
      </c>
      <c r="X50" s="699"/>
      <c r="Y50" s="699"/>
      <c r="Z50" s="699"/>
      <c r="AA50" s="699"/>
      <c r="AB50" s="699"/>
      <c r="AC50" s="699"/>
      <c r="AD50" s="699"/>
      <c r="AT50" s="7"/>
    </row>
    <row r="51" spans="1:53" x14ac:dyDescent="0.35">
      <c r="A51" s="5"/>
      <c r="AT51" s="7"/>
    </row>
    <row r="52" spans="1:53" x14ac:dyDescent="0.35">
      <c r="A52" s="5"/>
      <c r="B52" s="686"/>
      <c r="C52" s="686"/>
      <c r="E52" s="672"/>
      <c r="F52" s="672"/>
      <c r="H52" s="672"/>
      <c r="I52" s="672"/>
      <c r="K52" s="672"/>
      <c r="L52" s="672"/>
      <c r="N52" s="672"/>
      <c r="O52" s="672"/>
      <c r="Q52" s="672"/>
      <c r="R52" s="672"/>
      <c r="T52" s="672"/>
      <c r="U52" s="672"/>
      <c r="W52" s="672"/>
      <c r="X52" s="672"/>
      <c r="Z52" s="672"/>
      <c r="AA52" s="672"/>
      <c r="AC52" s="672"/>
      <c r="AD52" s="672"/>
      <c r="AF52" s="672"/>
      <c r="AG52" s="672"/>
      <c r="AI52" s="672"/>
      <c r="AJ52" s="672"/>
      <c r="AL52" s="672"/>
      <c r="AM52" s="672"/>
      <c r="AO52" s="672"/>
      <c r="AP52" s="672"/>
      <c r="AQ52" s="10"/>
      <c r="AR52" s="10"/>
      <c r="AT52" s="7"/>
    </row>
    <row r="53" spans="1:53" ht="15" customHeight="1" x14ac:dyDescent="0.35">
      <c r="A53" s="5"/>
      <c r="B53" s="12"/>
      <c r="C53" s="12"/>
      <c r="D53" s="485"/>
      <c r="E53" s="11"/>
      <c r="F53" s="12"/>
      <c r="G53" s="485"/>
      <c r="H53" s="11"/>
      <c r="I53" s="12"/>
      <c r="J53" s="485"/>
      <c r="K53" s="11"/>
      <c r="L53" s="12"/>
      <c r="M53" s="485"/>
      <c r="N53" s="11"/>
      <c r="O53" s="12"/>
      <c r="P53" s="485"/>
      <c r="Q53" s="11"/>
      <c r="R53" s="12"/>
      <c r="S53" s="485"/>
      <c r="T53" s="11"/>
      <c r="U53" s="12"/>
      <c r="V53" s="485"/>
      <c r="W53" s="11"/>
      <c r="X53" s="12"/>
      <c r="Y53" s="485"/>
      <c r="Z53" s="11"/>
      <c r="AA53" s="12"/>
      <c r="AB53" s="485"/>
      <c r="AC53" s="11"/>
      <c r="AD53" s="14"/>
      <c r="AE53" s="485"/>
      <c r="AF53" s="680" t="s">
        <v>397</v>
      </c>
      <c r="AG53" s="681"/>
      <c r="AH53" s="485"/>
      <c r="AI53" s="700" t="s">
        <v>397</v>
      </c>
      <c r="AJ53" s="701"/>
      <c r="AK53" s="485"/>
      <c r="AL53" s="11"/>
      <c r="AM53" s="11"/>
      <c r="AN53" s="485"/>
      <c r="AO53" s="11"/>
      <c r="AP53" s="11"/>
      <c r="AQ53" s="487"/>
      <c r="AR53" s="487"/>
      <c r="AS53" s="485"/>
      <c r="AT53" s="212"/>
    </row>
    <row r="54" spans="1:53" x14ac:dyDescent="0.35">
      <c r="A54" s="5"/>
      <c r="B54" s="11"/>
      <c r="C54" s="11"/>
      <c r="D54" s="488"/>
      <c r="E54" s="11"/>
      <c r="F54" s="11"/>
      <c r="G54" s="488"/>
      <c r="H54" s="11"/>
      <c r="I54" s="11"/>
      <c r="J54" s="488"/>
      <c r="K54" s="11"/>
      <c r="L54" s="11"/>
      <c r="M54" s="488"/>
      <c r="N54" s="11"/>
      <c r="O54" s="11"/>
      <c r="P54" s="488"/>
      <c r="Q54" s="11"/>
      <c r="R54" s="11"/>
      <c r="S54" s="488"/>
      <c r="T54" s="11"/>
      <c r="U54" s="11"/>
      <c r="V54" s="488"/>
      <c r="W54" s="11"/>
      <c r="X54" s="11"/>
      <c r="Y54" s="488"/>
      <c r="Z54" s="11"/>
      <c r="AA54" s="11"/>
      <c r="AB54" s="488"/>
      <c r="AC54" s="11"/>
      <c r="AD54" s="11"/>
      <c r="AE54" s="488"/>
      <c r="AF54" s="682"/>
      <c r="AG54" s="683"/>
      <c r="AH54" s="488"/>
      <c r="AI54" s="702"/>
      <c r="AJ54" s="703"/>
      <c r="AK54" s="494"/>
      <c r="AL54" s="11"/>
      <c r="AM54" s="11"/>
      <c r="AN54" s="488"/>
      <c r="AO54" s="11"/>
      <c r="AP54" s="11"/>
      <c r="AQ54" s="487"/>
      <c r="AR54" s="487"/>
      <c r="AS54" s="488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689" t="s">
        <v>16</v>
      </c>
      <c r="C55" s="687"/>
      <c r="D55" s="488">
        <v>420</v>
      </c>
      <c r="E55" s="689" t="s">
        <v>23</v>
      </c>
      <c r="F55" s="687"/>
      <c r="G55" s="488">
        <v>354</v>
      </c>
      <c r="H55" s="689" t="s">
        <v>31</v>
      </c>
      <c r="I55" s="687"/>
      <c r="J55" s="488">
        <v>348</v>
      </c>
      <c r="K55" s="689" t="s">
        <v>23</v>
      </c>
      <c r="L55" s="687"/>
      <c r="M55" s="488">
        <v>319</v>
      </c>
      <c r="N55" s="689" t="s">
        <v>31</v>
      </c>
      <c r="O55" s="687"/>
      <c r="P55" s="488">
        <v>379</v>
      </c>
      <c r="Q55" s="689" t="s">
        <v>16</v>
      </c>
      <c r="R55" s="687"/>
      <c r="S55" s="488">
        <v>428</v>
      </c>
      <c r="T55" s="689" t="s">
        <v>31</v>
      </c>
      <c r="U55" s="687"/>
      <c r="V55" s="488">
        <v>397</v>
      </c>
      <c r="W55" s="687" t="s">
        <v>113</v>
      </c>
      <c r="X55" s="687"/>
      <c r="Y55" s="488">
        <v>247</v>
      </c>
      <c r="Z55" s="689" t="s">
        <v>115</v>
      </c>
      <c r="AA55" s="687"/>
      <c r="AB55" s="488">
        <v>423</v>
      </c>
      <c r="AC55" s="687" t="s">
        <v>16</v>
      </c>
      <c r="AD55" s="687"/>
      <c r="AE55" s="488">
        <v>395</v>
      </c>
      <c r="AF55" s="689" t="s">
        <v>118</v>
      </c>
      <c r="AG55" s="687"/>
      <c r="AH55" s="488">
        <v>499</v>
      </c>
      <c r="AI55" s="692" t="s">
        <v>120</v>
      </c>
      <c r="AJ55" s="687"/>
      <c r="AK55" s="494">
        <v>377</v>
      </c>
      <c r="AL55" s="692" t="s">
        <v>23</v>
      </c>
      <c r="AM55" s="687"/>
      <c r="AN55" s="488">
        <v>443</v>
      </c>
      <c r="AO55" s="692" t="s">
        <v>23</v>
      </c>
      <c r="AP55" s="687"/>
      <c r="AQ55" s="491">
        <v>344</v>
      </c>
      <c r="AR55" s="491"/>
      <c r="AS55" s="488"/>
      <c r="AT55" s="211"/>
    </row>
    <row r="56" spans="1:53" x14ac:dyDescent="0.35">
      <c r="A56" s="5"/>
      <c r="B56" s="674" t="s">
        <v>105</v>
      </c>
      <c r="C56" s="675"/>
      <c r="D56" s="494"/>
      <c r="E56" s="674" t="s">
        <v>106</v>
      </c>
      <c r="F56" s="675"/>
      <c r="G56" s="494"/>
      <c r="H56" s="674" t="s">
        <v>107</v>
      </c>
      <c r="I56" s="675"/>
      <c r="J56" s="494"/>
      <c r="K56" s="674" t="s">
        <v>108</v>
      </c>
      <c r="L56" s="675"/>
      <c r="M56" s="494"/>
      <c r="N56" s="674" t="s">
        <v>109</v>
      </c>
      <c r="O56" s="675"/>
      <c r="P56" s="494"/>
      <c r="Q56" s="674" t="s">
        <v>110</v>
      </c>
      <c r="R56" s="675"/>
      <c r="S56" s="494"/>
      <c r="T56" s="674" t="s">
        <v>111</v>
      </c>
      <c r="U56" s="675"/>
      <c r="V56" s="494"/>
      <c r="W56" s="674" t="s">
        <v>112</v>
      </c>
      <c r="X56" s="675"/>
      <c r="Y56" s="494"/>
      <c r="Z56" s="674" t="s">
        <v>114</v>
      </c>
      <c r="AA56" s="675"/>
      <c r="AB56" s="494"/>
      <c r="AC56" s="674" t="s">
        <v>116</v>
      </c>
      <c r="AD56" s="675"/>
      <c r="AE56" s="494"/>
      <c r="AF56" s="674" t="s">
        <v>117</v>
      </c>
      <c r="AG56" s="675"/>
      <c r="AH56" s="494"/>
      <c r="AI56" s="678" t="s">
        <v>119</v>
      </c>
      <c r="AJ56" s="675"/>
      <c r="AK56" s="494"/>
      <c r="AL56" s="678" t="s">
        <v>121</v>
      </c>
      <c r="AM56" s="675"/>
      <c r="AN56" s="494"/>
      <c r="AO56" s="678" t="s">
        <v>122</v>
      </c>
      <c r="AP56" s="675"/>
      <c r="AQ56" s="491"/>
      <c r="AR56" s="491"/>
      <c r="AT56" s="7"/>
    </row>
    <row r="57" spans="1:53" x14ac:dyDescent="0.35">
      <c r="A57" s="5"/>
      <c r="B57" s="507"/>
      <c r="C57" s="497" t="s">
        <v>359</v>
      </c>
      <c r="D57" s="508"/>
      <c r="E57" s="507"/>
      <c r="F57" s="497" t="s">
        <v>359</v>
      </c>
      <c r="G57" s="508"/>
      <c r="H57" s="507"/>
      <c r="I57" s="497" t="s">
        <v>359</v>
      </c>
      <c r="J57" s="508"/>
      <c r="K57" s="507"/>
      <c r="L57" s="497" t="s">
        <v>359</v>
      </c>
      <c r="M57" s="508"/>
      <c r="N57" s="497" t="s">
        <v>359</v>
      </c>
      <c r="O57" s="507"/>
      <c r="P57" s="508"/>
      <c r="Q57" s="496"/>
      <c r="R57" s="497" t="s">
        <v>359</v>
      </c>
      <c r="S57" s="497"/>
      <c r="T57" s="496"/>
      <c r="U57" s="497" t="s">
        <v>359</v>
      </c>
      <c r="V57" s="497"/>
      <c r="W57" s="496"/>
      <c r="X57" s="497" t="s">
        <v>359</v>
      </c>
      <c r="Y57" s="497"/>
      <c r="Z57" s="496"/>
      <c r="AA57" s="497" t="s">
        <v>359</v>
      </c>
      <c r="AB57" s="497"/>
      <c r="AC57" s="497" t="s">
        <v>359</v>
      </c>
      <c r="AD57" s="496"/>
      <c r="AE57" s="497"/>
      <c r="AF57" s="496"/>
      <c r="AG57" s="497" t="s">
        <v>359</v>
      </c>
      <c r="AH57" s="497"/>
      <c r="AI57" s="496"/>
      <c r="AJ57" s="497" t="s">
        <v>359</v>
      </c>
      <c r="AK57" s="497"/>
      <c r="AL57" s="497" t="s">
        <v>359</v>
      </c>
      <c r="AM57" s="496"/>
      <c r="AN57" s="497"/>
      <c r="AO57" s="497" t="s">
        <v>359</v>
      </c>
      <c r="AP57" s="496"/>
      <c r="AQ57" s="496"/>
      <c r="AR57" s="496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686"/>
      <c r="C60" s="686"/>
      <c r="E60" s="672"/>
      <c r="F60" s="672"/>
      <c r="H60" s="672"/>
      <c r="I60" s="672"/>
      <c r="K60" s="672"/>
      <c r="L60" s="672"/>
      <c r="N60" s="672"/>
      <c r="O60" s="672"/>
      <c r="Q60" s="672"/>
      <c r="R60" s="672"/>
      <c r="T60" s="672"/>
      <c r="U60" s="672"/>
      <c r="W60" s="672"/>
      <c r="X60" s="672"/>
      <c r="Z60" s="672"/>
      <c r="AA60" s="672"/>
      <c r="AC60" s="672"/>
      <c r="AD60" s="672"/>
      <c r="AF60" s="672"/>
      <c r="AG60" s="672"/>
      <c r="AI60" s="672"/>
      <c r="AJ60" s="672"/>
      <c r="AL60" s="672"/>
      <c r="AM60" s="672"/>
      <c r="AO60" s="672"/>
      <c r="AP60" s="672"/>
      <c r="AQ60" s="10"/>
      <c r="AR60" s="10"/>
      <c r="AT60" s="7"/>
    </row>
    <row r="61" spans="1:53" x14ac:dyDescent="0.35">
      <c r="A61" s="5"/>
      <c r="B61" s="14"/>
      <c r="C61" s="14"/>
      <c r="D61" s="485"/>
      <c r="E61" s="11"/>
      <c r="F61" s="12"/>
      <c r="G61" s="485"/>
      <c r="H61" s="11"/>
      <c r="I61" s="12"/>
      <c r="J61" s="485"/>
      <c r="K61" s="11"/>
      <c r="L61" s="12"/>
      <c r="M61" s="485"/>
      <c r="N61" s="11"/>
      <c r="O61" s="12"/>
      <c r="P61" s="485"/>
      <c r="Q61" s="680" t="s">
        <v>397</v>
      </c>
      <c r="R61" s="681"/>
      <c r="S61" s="485"/>
      <c r="T61" s="11"/>
      <c r="U61" s="14"/>
      <c r="V61" s="485"/>
      <c r="W61" s="207"/>
      <c r="X61" s="207"/>
      <c r="Y61" s="485"/>
      <c r="Z61" s="11"/>
      <c r="AA61" s="12"/>
      <c r="AB61" s="485"/>
      <c r="AC61" s="680" t="s">
        <v>397</v>
      </c>
      <c r="AD61" s="681"/>
      <c r="AE61" s="485"/>
      <c r="AF61" s="11"/>
      <c r="AG61" s="12"/>
      <c r="AH61" s="485"/>
      <c r="AI61" s="11"/>
      <c r="AJ61" s="12"/>
      <c r="AK61" s="485"/>
      <c r="AL61" s="11"/>
      <c r="AM61" s="14"/>
      <c r="AN61" s="485"/>
      <c r="AO61" s="11"/>
      <c r="AP61" s="14"/>
      <c r="AS61" s="485"/>
      <c r="AT61" s="212"/>
    </row>
    <row r="62" spans="1:53" x14ac:dyDescent="0.35">
      <c r="A62" s="5"/>
      <c r="B62" s="11"/>
      <c r="C62" s="11"/>
      <c r="D62" s="488"/>
      <c r="E62" s="11"/>
      <c r="F62" s="11"/>
      <c r="G62" s="488"/>
      <c r="H62" s="11"/>
      <c r="I62" s="11"/>
      <c r="J62" s="488"/>
      <c r="K62" s="11"/>
      <c r="L62" s="11"/>
      <c r="M62" s="488"/>
      <c r="N62" s="11"/>
      <c r="O62" s="11"/>
      <c r="P62" s="488"/>
      <c r="Q62" s="682"/>
      <c r="R62" s="683"/>
      <c r="S62" s="488"/>
      <c r="T62" s="11"/>
      <c r="U62" s="11"/>
      <c r="V62" s="488"/>
      <c r="W62" s="207"/>
      <c r="X62" s="207"/>
      <c r="Y62" s="494"/>
      <c r="Z62" s="11"/>
      <c r="AA62" s="11"/>
      <c r="AB62" s="494"/>
      <c r="AC62" s="682"/>
      <c r="AD62" s="683"/>
      <c r="AE62" s="488"/>
      <c r="AF62" s="11"/>
      <c r="AG62" s="11"/>
      <c r="AH62" s="488"/>
      <c r="AI62" s="11"/>
      <c r="AJ62" s="11"/>
      <c r="AK62" s="488"/>
      <c r="AL62" s="11"/>
      <c r="AM62" s="11"/>
      <c r="AO62" s="11"/>
      <c r="AP62" s="11"/>
      <c r="AQ62" s="487"/>
      <c r="AR62" s="487"/>
      <c r="AT62" s="7"/>
      <c r="AV62" s="2">
        <v>12</v>
      </c>
      <c r="AW62" s="2">
        <v>12</v>
      </c>
      <c r="AX62" s="2">
        <v>7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678" t="s">
        <v>40</v>
      </c>
      <c r="C63" s="675"/>
      <c r="D63" s="488">
        <v>390</v>
      </c>
      <c r="E63" s="678" t="s">
        <v>23</v>
      </c>
      <c r="F63" s="675"/>
      <c r="G63" s="488">
        <v>352</v>
      </c>
      <c r="H63" s="689" t="s">
        <v>31</v>
      </c>
      <c r="I63" s="687"/>
      <c r="J63" s="488">
        <v>426</v>
      </c>
      <c r="K63" s="689" t="s">
        <v>31</v>
      </c>
      <c r="L63" s="687"/>
      <c r="M63" s="488">
        <v>394</v>
      </c>
      <c r="N63" s="689" t="s">
        <v>33</v>
      </c>
      <c r="O63" s="687"/>
      <c r="P63" s="488">
        <v>408</v>
      </c>
      <c r="Q63" s="687" t="s">
        <v>115</v>
      </c>
      <c r="R63" s="687"/>
      <c r="S63" s="488">
        <v>373</v>
      </c>
      <c r="T63" s="689" t="s">
        <v>16</v>
      </c>
      <c r="U63" s="687"/>
      <c r="V63" s="488">
        <v>408</v>
      </c>
      <c r="W63" s="692" t="s">
        <v>12</v>
      </c>
      <c r="X63" s="704"/>
      <c r="Y63" s="494">
        <v>379</v>
      </c>
      <c r="Z63" s="689" t="s">
        <v>33</v>
      </c>
      <c r="AA63" s="687"/>
      <c r="AB63" s="494">
        <v>406</v>
      </c>
      <c r="AC63" s="689" t="s">
        <v>133</v>
      </c>
      <c r="AD63" s="687"/>
      <c r="AE63" s="488">
        <v>385</v>
      </c>
      <c r="AF63" s="689" t="s">
        <v>31</v>
      </c>
      <c r="AG63" s="687"/>
      <c r="AH63" s="488">
        <v>400</v>
      </c>
      <c r="AI63" s="689" t="s">
        <v>31</v>
      </c>
      <c r="AJ63" s="687"/>
      <c r="AK63" s="488">
        <v>439</v>
      </c>
      <c r="AL63" s="689" t="s">
        <v>16</v>
      </c>
      <c r="AM63" s="687"/>
      <c r="AN63" s="6">
        <v>400</v>
      </c>
      <c r="AO63" s="692" t="s">
        <v>23</v>
      </c>
      <c r="AP63" s="687"/>
      <c r="AQ63" s="491">
        <v>291</v>
      </c>
      <c r="AR63" s="491"/>
      <c r="AT63" s="7"/>
    </row>
    <row r="64" spans="1:53" x14ac:dyDescent="0.35">
      <c r="A64" s="5"/>
      <c r="B64" s="678" t="s">
        <v>123</v>
      </c>
      <c r="C64" s="675"/>
      <c r="D64" s="494"/>
      <c r="E64" s="678" t="s">
        <v>124</v>
      </c>
      <c r="F64" s="675"/>
      <c r="G64" s="494"/>
      <c r="H64" s="678" t="s">
        <v>125</v>
      </c>
      <c r="I64" s="675"/>
      <c r="J64" s="494"/>
      <c r="K64" s="678" t="s">
        <v>126</v>
      </c>
      <c r="L64" s="675"/>
      <c r="M64" s="494"/>
      <c r="N64" s="678" t="s">
        <v>127</v>
      </c>
      <c r="O64" s="675"/>
      <c r="P64" s="494"/>
      <c r="Q64" s="674" t="s">
        <v>128</v>
      </c>
      <c r="R64" s="675"/>
      <c r="S64" s="494"/>
      <c r="T64" s="674" t="s">
        <v>129</v>
      </c>
      <c r="U64" s="675"/>
      <c r="V64" s="494"/>
      <c r="W64" s="678" t="s">
        <v>130</v>
      </c>
      <c r="X64" s="679"/>
      <c r="Y64" s="494"/>
      <c r="Z64" s="678" t="s">
        <v>131</v>
      </c>
      <c r="AA64" s="679"/>
      <c r="AB64" s="494"/>
      <c r="AC64" s="674" t="s">
        <v>132</v>
      </c>
      <c r="AD64" s="675"/>
      <c r="AE64" s="488"/>
      <c r="AF64" s="674" t="s">
        <v>134</v>
      </c>
      <c r="AG64" s="675"/>
      <c r="AH64" s="488"/>
      <c r="AI64" s="674" t="s">
        <v>135</v>
      </c>
      <c r="AJ64" s="675"/>
      <c r="AL64" s="674" t="s">
        <v>136</v>
      </c>
      <c r="AM64" s="675"/>
      <c r="AN64" s="494"/>
      <c r="AO64" s="674" t="s">
        <v>137</v>
      </c>
      <c r="AP64" s="675"/>
      <c r="AQ64" s="491"/>
      <c r="AR64" s="491"/>
      <c r="AS64" s="504"/>
      <c r="AT64" s="214"/>
    </row>
    <row r="65" spans="1:53" x14ac:dyDescent="0.35">
      <c r="A65" s="5"/>
      <c r="B65" s="497" t="s">
        <v>359</v>
      </c>
      <c r="C65" s="496"/>
      <c r="D65" s="497"/>
      <c r="E65" s="497" t="s">
        <v>359</v>
      </c>
      <c r="F65" s="498"/>
      <c r="G65" s="497"/>
      <c r="H65" s="497" t="s">
        <v>359</v>
      </c>
      <c r="I65" s="498"/>
      <c r="J65" s="497"/>
      <c r="K65" s="496"/>
      <c r="L65" s="497" t="s">
        <v>359</v>
      </c>
      <c r="M65" s="497"/>
      <c r="N65" s="496"/>
      <c r="O65" s="497" t="s">
        <v>359</v>
      </c>
      <c r="P65" s="497"/>
      <c r="Q65" s="496"/>
      <c r="R65" s="497" t="s">
        <v>359</v>
      </c>
      <c r="S65" s="497"/>
      <c r="T65" s="496"/>
      <c r="U65" s="497" t="s">
        <v>359</v>
      </c>
      <c r="V65" s="497"/>
      <c r="W65" s="497" t="s">
        <v>359</v>
      </c>
      <c r="X65" s="496"/>
      <c r="Y65" s="497"/>
      <c r="Z65" s="497" t="s">
        <v>359</v>
      </c>
      <c r="AA65" s="496"/>
      <c r="AB65" s="497"/>
      <c r="AC65" s="497" t="s">
        <v>359</v>
      </c>
      <c r="AD65" s="496"/>
      <c r="AE65" s="497"/>
      <c r="AF65" s="496"/>
      <c r="AG65" s="497" t="s">
        <v>359</v>
      </c>
      <c r="AH65" s="497"/>
      <c r="AI65" s="497" t="s">
        <v>359</v>
      </c>
      <c r="AJ65" s="496"/>
      <c r="AK65" s="497"/>
      <c r="AL65" s="497" t="s">
        <v>359</v>
      </c>
      <c r="AM65" s="496"/>
      <c r="AN65" s="497"/>
      <c r="AO65" s="496"/>
      <c r="AP65" s="497" t="s">
        <v>359</v>
      </c>
      <c r="AQ65" s="497"/>
      <c r="AR65" s="497"/>
      <c r="AS65" s="504"/>
      <c r="AT65" s="214"/>
    </row>
    <row r="66" spans="1:53" x14ac:dyDescent="0.35">
      <c r="A66" s="5"/>
      <c r="W66" s="699" t="s">
        <v>404</v>
      </c>
      <c r="X66" s="699"/>
      <c r="Y66" s="699"/>
      <c r="Z66" s="699"/>
      <c r="AA66" s="699"/>
      <c r="AO66" s="686"/>
      <c r="AP66" s="686"/>
      <c r="AQ66" s="686"/>
      <c r="AR66" s="686"/>
      <c r="AS66" s="686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686"/>
      <c r="C68" s="686"/>
      <c r="E68" s="672"/>
      <c r="F68" s="672"/>
      <c r="H68" s="672"/>
      <c r="I68" s="672"/>
      <c r="K68" s="672"/>
      <c r="L68" s="672"/>
      <c r="N68" s="672"/>
      <c r="O68" s="672"/>
      <c r="Q68" s="672"/>
      <c r="R68" s="672"/>
      <c r="T68" s="672"/>
      <c r="U68" s="672"/>
      <c r="W68" s="672"/>
      <c r="X68" s="672"/>
      <c r="Z68" s="672"/>
      <c r="AA68" s="672"/>
      <c r="AC68" s="672"/>
      <c r="AD68" s="672"/>
      <c r="AF68" s="672"/>
      <c r="AG68" s="672"/>
      <c r="AI68" s="672"/>
      <c r="AJ68" s="672"/>
      <c r="AL68" s="672"/>
      <c r="AM68" s="672"/>
      <c r="AO68" s="672"/>
      <c r="AP68" s="672"/>
      <c r="AQ68" s="10"/>
      <c r="AR68" s="10"/>
      <c r="AT68" s="7"/>
    </row>
    <row r="69" spans="1:53" x14ac:dyDescent="0.35">
      <c r="A69" s="5"/>
      <c r="B69" s="11"/>
      <c r="C69" s="14"/>
      <c r="D69" s="485"/>
      <c r="E69" s="11"/>
      <c r="F69" s="14"/>
      <c r="G69" s="485"/>
      <c r="H69" s="11"/>
      <c r="I69" s="14"/>
      <c r="J69" s="501"/>
      <c r="K69" s="14"/>
      <c r="L69" s="14"/>
      <c r="M69" s="485"/>
      <c r="N69" s="14"/>
      <c r="O69" s="14"/>
      <c r="P69" s="501"/>
      <c r="Q69" s="14"/>
      <c r="R69" s="14"/>
      <c r="S69" s="485"/>
      <c r="T69" s="14"/>
      <c r="U69" s="14"/>
      <c r="V69" s="485"/>
      <c r="W69" s="14"/>
      <c r="X69" s="14"/>
      <c r="Y69" s="485"/>
      <c r="Z69" s="207"/>
      <c r="AA69" s="207"/>
      <c r="AB69" s="485"/>
      <c r="AC69" s="14"/>
      <c r="AD69" s="14"/>
      <c r="AE69" s="485"/>
      <c r="AF69" s="11"/>
      <c r="AG69" s="14"/>
      <c r="AH69" s="485"/>
      <c r="AI69" s="11"/>
      <c r="AJ69" s="14"/>
      <c r="AK69" s="485"/>
      <c r="AL69" s="11"/>
      <c r="AM69" s="14"/>
      <c r="AN69" s="485"/>
      <c r="AO69" s="11"/>
      <c r="AP69" s="12"/>
      <c r="AQ69" s="486"/>
      <c r="AR69" s="486"/>
      <c r="AS69" s="485"/>
      <c r="AT69" s="212"/>
    </row>
    <row r="70" spans="1:53" x14ac:dyDescent="0.35">
      <c r="A70" s="5"/>
      <c r="B70" s="14"/>
      <c r="C70" s="14"/>
      <c r="D70" s="488"/>
      <c r="E70" s="14"/>
      <c r="F70" s="14"/>
      <c r="G70" s="488"/>
      <c r="H70" s="14"/>
      <c r="I70" s="14"/>
      <c r="J70" s="494"/>
      <c r="K70" s="14"/>
      <c r="L70" s="14"/>
      <c r="M70" s="494"/>
      <c r="N70" s="14"/>
      <c r="O70" s="14"/>
      <c r="P70" s="488"/>
      <c r="Q70" s="14"/>
      <c r="R70" s="14"/>
      <c r="S70" s="488"/>
      <c r="T70" s="11"/>
      <c r="U70" s="11"/>
      <c r="V70" s="488"/>
      <c r="W70" s="11"/>
      <c r="X70" s="11"/>
      <c r="Y70" s="494"/>
      <c r="Z70" s="207"/>
      <c r="AA70" s="207"/>
      <c r="AB70" s="494"/>
      <c r="AC70" s="11"/>
      <c r="AD70" s="14"/>
      <c r="AE70" s="488"/>
      <c r="AF70" s="11"/>
      <c r="AG70" s="11"/>
      <c r="AH70" s="494"/>
      <c r="AI70" s="11"/>
      <c r="AJ70" s="11"/>
      <c r="AK70" s="488"/>
      <c r="AL70" s="11"/>
      <c r="AM70" s="11"/>
      <c r="AN70" s="488"/>
      <c r="AO70" s="11"/>
      <c r="AP70" s="11"/>
      <c r="AQ70" s="487"/>
      <c r="AR70" s="487"/>
      <c r="AS70" s="488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692" t="s">
        <v>23</v>
      </c>
      <c r="C71" s="687"/>
      <c r="D71" s="488">
        <v>390</v>
      </c>
      <c r="E71" s="689" t="s">
        <v>33</v>
      </c>
      <c r="F71" s="687"/>
      <c r="G71" s="488">
        <v>403</v>
      </c>
      <c r="H71" s="689" t="s">
        <v>31</v>
      </c>
      <c r="I71" s="687"/>
      <c r="J71" s="494">
        <v>422</v>
      </c>
      <c r="K71" s="689" t="s">
        <v>16</v>
      </c>
      <c r="L71" s="687"/>
      <c r="M71" s="494">
        <v>389</v>
      </c>
      <c r="N71" s="689" t="s">
        <v>14</v>
      </c>
      <c r="O71" s="687"/>
      <c r="P71" s="488">
        <v>436</v>
      </c>
      <c r="Q71" s="687" t="s">
        <v>35</v>
      </c>
      <c r="R71" s="687"/>
      <c r="S71" s="488">
        <v>380</v>
      </c>
      <c r="T71" s="689" t="s">
        <v>31</v>
      </c>
      <c r="U71" s="687"/>
      <c r="V71" s="488">
        <v>445</v>
      </c>
      <c r="W71" s="689" t="s">
        <v>146</v>
      </c>
      <c r="X71" s="687"/>
      <c r="Y71" s="494">
        <v>220</v>
      </c>
      <c r="Z71" s="689" t="s">
        <v>148</v>
      </c>
      <c r="AA71" s="687"/>
      <c r="AB71" s="494">
        <v>435</v>
      </c>
      <c r="AC71" s="687" t="s">
        <v>35</v>
      </c>
      <c r="AD71" s="687"/>
      <c r="AE71" s="488">
        <v>405</v>
      </c>
      <c r="AF71" s="689" t="s">
        <v>16</v>
      </c>
      <c r="AG71" s="687"/>
      <c r="AH71" s="494">
        <v>434</v>
      </c>
      <c r="AI71" s="689" t="s">
        <v>16</v>
      </c>
      <c r="AJ71" s="687"/>
      <c r="AK71" s="488">
        <v>380</v>
      </c>
      <c r="AL71" s="689" t="s">
        <v>23</v>
      </c>
      <c r="AM71" s="687"/>
      <c r="AN71" s="488">
        <v>379</v>
      </c>
      <c r="AO71" s="689" t="s">
        <v>154</v>
      </c>
      <c r="AP71" s="687"/>
      <c r="AQ71" s="491">
        <v>479</v>
      </c>
      <c r="AR71" s="491"/>
      <c r="AS71" s="488"/>
      <c r="AT71" s="211"/>
    </row>
    <row r="72" spans="1:53" x14ac:dyDescent="0.35">
      <c r="A72" s="5"/>
      <c r="B72" s="674" t="s">
        <v>138</v>
      </c>
      <c r="C72" s="675"/>
      <c r="E72" s="674" t="s">
        <v>139</v>
      </c>
      <c r="F72" s="675"/>
      <c r="G72" s="494"/>
      <c r="H72" s="674" t="s">
        <v>140</v>
      </c>
      <c r="I72" s="675"/>
      <c r="J72" s="494"/>
      <c r="K72" s="674" t="s">
        <v>141</v>
      </c>
      <c r="L72" s="675"/>
      <c r="M72" s="494"/>
      <c r="N72" s="674" t="s">
        <v>142</v>
      </c>
      <c r="O72" s="675"/>
      <c r="P72" s="494"/>
      <c r="Q72" s="674" t="s">
        <v>143</v>
      </c>
      <c r="R72" s="675"/>
      <c r="S72" s="494"/>
      <c r="T72" s="674" t="s">
        <v>144</v>
      </c>
      <c r="U72" s="675"/>
      <c r="V72" s="494"/>
      <c r="W72" s="674" t="s">
        <v>145</v>
      </c>
      <c r="X72" s="675"/>
      <c r="Y72" s="494"/>
      <c r="Z72" s="674" t="s">
        <v>147</v>
      </c>
      <c r="AA72" s="675"/>
      <c r="AB72" s="494"/>
      <c r="AC72" s="674" t="s">
        <v>149</v>
      </c>
      <c r="AD72" s="675"/>
      <c r="AE72" s="494"/>
      <c r="AF72" s="674" t="s">
        <v>150</v>
      </c>
      <c r="AG72" s="675"/>
      <c r="AH72" s="494"/>
      <c r="AI72" s="674" t="s">
        <v>151</v>
      </c>
      <c r="AJ72" s="675"/>
      <c r="AK72" s="494"/>
      <c r="AL72" s="674" t="s">
        <v>152</v>
      </c>
      <c r="AM72" s="675"/>
      <c r="AN72" s="494"/>
      <c r="AO72" s="674" t="s">
        <v>153</v>
      </c>
      <c r="AP72" s="675"/>
      <c r="AQ72" s="491"/>
      <c r="AR72" s="491"/>
      <c r="AT72" s="7"/>
    </row>
    <row r="73" spans="1:53" x14ac:dyDescent="0.35">
      <c r="A73" s="5"/>
      <c r="B73" s="497" t="s">
        <v>359</v>
      </c>
      <c r="C73" s="496"/>
      <c r="D73" s="497"/>
      <c r="E73" s="496"/>
      <c r="F73" s="497" t="s">
        <v>359</v>
      </c>
      <c r="G73" s="497"/>
      <c r="H73" s="496"/>
      <c r="I73" s="497" t="s">
        <v>359</v>
      </c>
      <c r="J73" s="497"/>
      <c r="K73" s="496"/>
      <c r="L73" s="497" t="s">
        <v>359</v>
      </c>
      <c r="M73" s="497"/>
      <c r="N73" s="496"/>
      <c r="O73" s="497" t="s">
        <v>359</v>
      </c>
      <c r="P73" s="497"/>
      <c r="Q73" s="496"/>
      <c r="R73" s="497" t="s">
        <v>359</v>
      </c>
      <c r="S73" s="497"/>
      <c r="T73" s="496"/>
      <c r="U73" s="497" t="s">
        <v>359</v>
      </c>
      <c r="V73" s="497"/>
      <c r="W73" s="496"/>
      <c r="X73" s="497" t="s">
        <v>359</v>
      </c>
      <c r="Y73" s="497"/>
      <c r="Z73" s="496"/>
      <c r="AA73" s="497" t="s">
        <v>359</v>
      </c>
      <c r="AB73" s="497"/>
      <c r="AC73" s="496"/>
      <c r="AD73" s="497" t="s">
        <v>359</v>
      </c>
      <c r="AE73" s="497"/>
      <c r="AF73" s="496"/>
      <c r="AG73" s="497" t="s">
        <v>359</v>
      </c>
      <c r="AH73" s="497"/>
      <c r="AI73" s="496"/>
      <c r="AJ73" s="497" t="s">
        <v>359</v>
      </c>
      <c r="AK73" s="497"/>
      <c r="AL73" s="496"/>
      <c r="AM73" s="497" t="s">
        <v>359</v>
      </c>
      <c r="AN73" s="497"/>
      <c r="AO73" s="497" t="s">
        <v>359</v>
      </c>
      <c r="AP73" s="496"/>
      <c r="AQ73" s="496"/>
      <c r="AR73" s="496"/>
      <c r="AT73" s="7"/>
    </row>
    <row r="74" spans="1:53" x14ac:dyDescent="0.35">
      <c r="A74" s="705" t="s">
        <v>403</v>
      </c>
      <c r="B74" s="706"/>
      <c r="C74" s="706"/>
      <c r="Q74" s="699"/>
      <c r="R74" s="699"/>
      <c r="S74" s="699"/>
      <c r="AI74" s="699" t="s">
        <v>405</v>
      </c>
      <c r="AJ74" s="699"/>
      <c r="AK74" s="699"/>
      <c r="AL74" s="699"/>
      <c r="AM74" s="699"/>
      <c r="AN74" s="699"/>
      <c r="AO74" s="699"/>
      <c r="AP74" s="699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686"/>
      <c r="C76" s="686"/>
      <c r="E76" s="672"/>
      <c r="F76" s="672"/>
      <c r="H76" s="672"/>
      <c r="I76" s="672"/>
      <c r="K76" s="707"/>
      <c r="L76" s="672"/>
      <c r="N76" s="707"/>
      <c r="O76" s="672"/>
      <c r="Q76" s="707"/>
      <c r="R76" s="672"/>
      <c r="T76" s="707"/>
      <c r="U76" s="672"/>
      <c r="W76" s="672"/>
      <c r="X76" s="672"/>
      <c r="Z76" s="672"/>
      <c r="AA76" s="672"/>
      <c r="AC76" s="672"/>
      <c r="AD76" s="672"/>
      <c r="AF76" s="672"/>
      <c r="AG76" s="672"/>
      <c r="AI76" s="672"/>
      <c r="AJ76" s="672"/>
      <c r="AL76" s="672"/>
      <c r="AM76" s="672"/>
      <c r="AO76" s="672"/>
      <c r="AP76" s="672"/>
      <c r="AQ76" s="10"/>
      <c r="AR76" s="10"/>
      <c r="AT76" s="7"/>
    </row>
    <row r="77" spans="1:53" ht="15" customHeight="1" x14ac:dyDescent="0.35">
      <c r="A77" s="5"/>
      <c r="B77" s="11"/>
      <c r="C77" s="12"/>
      <c r="D77" s="485"/>
      <c r="E77" s="14"/>
      <c r="F77" s="14"/>
      <c r="G77" s="485"/>
      <c r="H77" s="14"/>
      <c r="I77" s="14"/>
      <c r="J77" s="485"/>
      <c r="K77" s="11"/>
      <c r="L77" s="12"/>
      <c r="M77" s="485"/>
      <c r="N77" s="14"/>
      <c r="O77" s="14"/>
      <c r="P77" s="485"/>
      <c r="Q77" s="11"/>
      <c r="R77" s="12"/>
      <c r="S77" s="485"/>
      <c r="T77" s="14"/>
      <c r="U77" s="14"/>
      <c r="V77" s="485"/>
      <c r="W77" s="11"/>
      <c r="X77" s="11"/>
      <c r="Y77" s="485"/>
      <c r="Z77" s="11"/>
      <c r="AA77" s="11"/>
      <c r="AB77" s="485"/>
      <c r="AC77" s="267"/>
      <c r="AD77" s="267"/>
      <c r="AE77" s="485"/>
      <c r="AF77" s="11"/>
      <c r="AG77" s="12"/>
      <c r="AH77" s="485"/>
      <c r="AI77" s="11"/>
      <c r="AJ77" s="12"/>
      <c r="AK77" s="485"/>
      <c r="AL77" s="11"/>
      <c r="AM77" s="12"/>
      <c r="AN77" s="485"/>
      <c r="AO77" s="207"/>
      <c r="AP77" s="207"/>
      <c r="AQ77" s="208"/>
      <c r="AR77" s="208"/>
      <c r="AS77" s="485"/>
      <c r="AT77" s="212"/>
    </row>
    <row r="78" spans="1:53" x14ac:dyDescent="0.35">
      <c r="A78" s="5"/>
      <c r="B78" s="11"/>
      <c r="C78" s="11"/>
      <c r="D78" s="488"/>
      <c r="E78" s="14"/>
      <c r="F78" s="11"/>
      <c r="G78" s="488"/>
      <c r="H78" s="14"/>
      <c r="I78" s="11"/>
      <c r="J78" s="494"/>
      <c r="K78" s="11"/>
      <c r="L78" s="11"/>
      <c r="M78" s="494"/>
      <c r="N78" s="14"/>
      <c r="O78" s="11"/>
      <c r="P78" s="488"/>
      <c r="Q78" s="11"/>
      <c r="R78" s="11"/>
      <c r="S78" s="494"/>
      <c r="T78" s="14"/>
      <c r="U78" s="11"/>
      <c r="V78" s="488"/>
      <c r="W78" s="11"/>
      <c r="X78" s="11"/>
      <c r="Y78" s="488"/>
      <c r="Z78" s="11"/>
      <c r="AA78" s="11"/>
      <c r="AB78" s="488"/>
      <c r="AC78" s="267"/>
      <c r="AD78" s="267"/>
      <c r="AE78" s="488"/>
      <c r="AF78" s="11"/>
      <c r="AG78" s="11"/>
      <c r="AH78" s="488"/>
      <c r="AI78" s="11"/>
      <c r="AJ78" s="11"/>
      <c r="AK78" s="488"/>
      <c r="AL78" s="11"/>
      <c r="AM78" s="11"/>
      <c r="AN78" s="494"/>
      <c r="AO78" s="207"/>
      <c r="AP78" s="207"/>
      <c r="AQ78" s="208"/>
      <c r="AR78" s="208"/>
      <c r="AS78" s="488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674" t="s">
        <v>156</v>
      </c>
      <c r="C79" s="675"/>
      <c r="D79" s="488">
        <v>464</v>
      </c>
      <c r="E79" s="689" t="s">
        <v>31</v>
      </c>
      <c r="F79" s="687"/>
      <c r="G79" s="488">
        <v>376</v>
      </c>
      <c r="H79" s="687" t="s">
        <v>35</v>
      </c>
      <c r="I79" s="687"/>
      <c r="J79" s="494">
        <v>380</v>
      </c>
      <c r="K79" s="689" t="s">
        <v>23</v>
      </c>
      <c r="L79" s="687"/>
      <c r="M79" s="494">
        <v>352</v>
      </c>
      <c r="N79" s="689" t="s">
        <v>14</v>
      </c>
      <c r="O79" s="687"/>
      <c r="P79" s="488">
        <v>361</v>
      </c>
      <c r="Q79" s="689" t="s">
        <v>162</v>
      </c>
      <c r="R79" s="687"/>
      <c r="S79" s="494">
        <v>252</v>
      </c>
      <c r="T79" s="689" t="s">
        <v>164</v>
      </c>
      <c r="U79" s="687"/>
      <c r="V79" s="488">
        <v>394</v>
      </c>
      <c r="W79" s="687" t="s">
        <v>35</v>
      </c>
      <c r="X79" s="687"/>
      <c r="Y79" s="488">
        <v>389</v>
      </c>
      <c r="Z79" s="689" t="s">
        <v>35</v>
      </c>
      <c r="AA79" s="687"/>
      <c r="AB79" s="488">
        <v>399</v>
      </c>
      <c r="AC79" s="689" t="s">
        <v>18</v>
      </c>
      <c r="AD79" s="687"/>
      <c r="AE79" s="488">
        <v>392</v>
      </c>
      <c r="AF79" s="689" t="s">
        <v>35</v>
      </c>
      <c r="AG79" s="687"/>
      <c r="AH79" s="488">
        <v>363</v>
      </c>
      <c r="AI79" s="689" t="s">
        <v>31</v>
      </c>
      <c r="AJ79" s="687"/>
      <c r="AK79" s="488">
        <v>379</v>
      </c>
      <c r="AL79" s="689" t="s">
        <v>9</v>
      </c>
      <c r="AM79" s="687"/>
      <c r="AN79" s="494">
        <v>226</v>
      </c>
      <c r="AO79" s="687" t="s">
        <v>172</v>
      </c>
      <c r="AP79" s="687"/>
      <c r="AQ79" s="491">
        <v>499</v>
      </c>
      <c r="AR79" s="491"/>
      <c r="AS79" s="488"/>
      <c r="AT79" s="211"/>
    </row>
    <row r="80" spans="1:53" x14ac:dyDescent="0.35">
      <c r="A80" s="5"/>
      <c r="B80" s="674" t="s">
        <v>155</v>
      </c>
      <c r="C80" s="675"/>
      <c r="D80" s="494"/>
      <c r="E80" s="674" t="s">
        <v>157</v>
      </c>
      <c r="F80" s="675"/>
      <c r="G80" s="488"/>
      <c r="H80" s="674" t="s">
        <v>158</v>
      </c>
      <c r="I80" s="675"/>
      <c r="J80" s="494"/>
      <c r="K80" s="674" t="s">
        <v>159</v>
      </c>
      <c r="L80" s="675"/>
      <c r="M80" s="494"/>
      <c r="N80" s="674" t="s">
        <v>160</v>
      </c>
      <c r="O80" s="675"/>
      <c r="P80" s="510"/>
      <c r="Q80" s="674" t="s">
        <v>161</v>
      </c>
      <c r="R80" s="675"/>
      <c r="S80" s="494"/>
      <c r="T80" s="674" t="s">
        <v>163</v>
      </c>
      <c r="U80" s="675"/>
      <c r="V80" s="494"/>
      <c r="W80" s="674" t="s">
        <v>165</v>
      </c>
      <c r="X80" s="675"/>
      <c r="Y80" s="494"/>
      <c r="Z80" s="674" t="s">
        <v>166</v>
      </c>
      <c r="AA80" s="675"/>
      <c r="AB80" s="494"/>
      <c r="AC80" s="674" t="s">
        <v>167</v>
      </c>
      <c r="AD80" s="675"/>
      <c r="AE80" s="488"/>
      <c r="AF80" s="674" t="s">
        <v>168</v>
      </c>
      <c r="AG80" s="675"/>
      <c r="AH80" s="494"/>
      <c r="AI80" s="674" t="s">
        <v>169</v>
      </c>
      <c r="AJ80" s="675"/>
      <c r="AK80" s="494"/>
      <c r="AL80" s="674" t="s">
        <v>170</v>
      </c>
      <c r="AM80" s="675"/>
      <c r="AN80" s="494"/>
      <c r="AO80" s="674" t="s">
        <v>171</v>
      </c>
      <c r="AP80" s="675"/>
      <c r="AQ80" s="491"/>
      <c r="AR80" s="491"/>
      <c r="AT80" s="7"/>
    </row>
    <row r="81" spans="1:53" x14ac:dyDescent="0.35">
      <c r="A81" s="5"/>
      <c r="B81" s="497" t="s">
        <v>359</v>
      </c>
      <c r="C81" s="496"/>
      <c r="D81" s="497"/>
      <c r="E81" s="496"/>
      <c r="F81" s="498" t="s">
        <v>359</v>
      </c>
      <c r="G81" s="497"/>
      <c r="H81" s="496"/>
      <c r="I81" s="497" t="s">
        <v>359</v>
      </c>
      <c r="J81" s="497"/>
      <c r="K81" s="496"/>
      <c r="L81" s="497" t="s">
        <v>359</v>
      </c>
      <c r="M81" s="497"/>
      <c r="N81" s="496"/>
      <c r="O81" s="497" t="s">
        <v>359</v>
      </c>
      <c r="P81" s="497"/>
      <c r="Q81" s="496"/>
      <c r="R81" s="497" t="s">
        <v>359</v>
      </c>
      <c r="S81" s="497"/>
      <c r="T81" s="496"/>
      <c r="U81" s="497" t="s">
        <v>359</v>
      </c>
      <c r="V81" s="497"/>
      <c r="W81" s="496"/>
      <c r="X81" s="497" t="s">
        <v>359</v>
      </c>
      <c r="Y81" s="497"/>
      <c r="Z81" s="497" t="s">
        <v>359</v>
      </c>
      <c r="AA81" s="496"/>
      <c r="AB81" s="497"/>
      <c r="AC81" s="496"/>
      <c r="AD81" s="497" t="s">
        <v>359</v>
      </c>
      <c r="AE81" s="497"/>
      <c r="AF81" s="496"/>
      <c r="AG81" s="497" t="s">
        <v>359</v>
      </c>
      <c r="AH81" s="497"/>
      <c r="AI81" s="496"/>
      <c r="AJ81" s="497" t="s">
        <v>359</v>
      </c>
      <c r="AK81" s="497"/>
      <c r="AL81" s="496"/>
      <c r="AM81" s="497" t="s">
        <v>359</v>
      </c>
      <c r="AN81" s="497"/>
      <c r="AO81" s="496"/>
      <c r="AP81" s="497" t="s">
        <v>359</v>
      </c>
      <c r="AQ81" s="497"/>
      <c r="AR81" s="497"/>
      <c r="AT81" s="7"/>
    </row>
    <row r="82" spans="1:53" x14ac:dyDescent="0.35">
      <c r="A82" s="709" t="s">
        <v>405</v>
      </c>
      <c r="B82" s="699"/>
      <c r="C82" s="699"/>
      <c r="D82" s="699"/>
      <c r="W82" s="686"/>
      <c r="X82" s="686"/>
      <c r="Y82" s="686"/>
      <c r="Z82" s="686"/>
      <c r="AA82" s="686"/>
      <c r="AL82" s="699" t="s">
        <v>406</v>
      </c>
      <c r="AM82" s="699"/>
      <c r="AN82" s="699"/>
      <c r="AO82" s="699"/>
      <c r="AP82" s="699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686"/>
      <c r="C84" s="686"/>
      <c r="E84" s="672"/>
      <c r="F84" s="672"/>
      <c r="H84" s="672"/>
      <c r="I84" s="672"/>
      <c r="K84" s="672"/>
      <c r="L84" s="672"/>
      <c r="N84" s="672"/>
      <c r="O84" s="672"/>
      <c r="Q84" s="708"/>
      <c r="R84" s="672"/>
      <c r="T84" s="672"/>
      <c r="U84" s="672"/>
      <c r="W84" s="672"/>
      <c r="X84" s="672"/>
      <c r="Z84" s="672"/>
      <c r="AA84" s="672"/>
      <c r="AC84" s="672"/>
      <c r="AD84" s="672"/>
      <c r="AF84" s="672"/>
      <c r="AG84" s="672"/>
      <c r="AI84" s="672"/>
      <c r="AJ84" s="672"/>
      <c r="AL84" s="672"/>
      <c r="AM84" s="672"/>
      <c r="AO84" s="672"/>
      <c r="AP84" s="672"/>
      <c r="AQ84" s="10"/>
      <c r="AR84" s="10"/>
      <c r="AT84" s="7"/>
    </row>
    <row r="85" spans="1:53" x14ac:dyDescent="0.35">
      <c r="A85" s="5"/>
      <c r="B85" s="14"/>
      <c r="C85" s="14"/>
      <c r="D85" s="485"/>
      <c r="E85" s="14"/>
      <c r="F85" s="14"/>
      <c r="G85" s="485"/>
      <c r="H85" s="14"/>
      <c r="I85" s="14"/>
      <c r="J85" s="485"/>
      <c r="K85" s="11"/>
      <c r="L85" s="14"/>
      <c r="M85" s="485"/>
      <c r="N85" s="11"/>
      <c r="O85" s="14"/>
      <c r="P85" s="485"/>
      <c r="Q85" s="11"/>
      <c r="R85" s="14"/>
      <c r="S85" s="485"/>
      <c r="T85" s="11"/>
      <c r="U85" s="14"/>
      <c r="V85" s="501"/>
      <c r="W85" s="11"/>
      <c r="X85" s="14"/>
      <c r="Y85" s="485"/>
      <c r="Z85" s="11"/>
      <c r="AA85" s="14"/>
      <c r="AB85" s="485"/>
      <c r="AC85" s="11"/>
      <c r="AD85" s="12"/>
      <c r="AE85" s="485"/>
      <c r="AF85" s="11"/>
      <c r="AG85" s="12"/>
      <c r="AH85" s="485"/>
      <c r="AI85" s="11"/>
      <c r="AJ85" s="12"/>
      <c r="AK85" s="485"/>
      <c r="AL85" s="207"/>
      <c r="AM85" s="207"/>
      <c r="AN85" s="485"/>
      <c r="AO85" s="11"/>
      <c r="AP85" s="12"/>
      <c r="AQ85" s="486"/>
      <c r="AR85" s="486"/>
      <c r="AS85" s="485"/>
      <c r="AT85" s="212"/>
    </row>
    <row r="86" spans="1:53" x14ac:dyDescent="0.35">
      <c r="A86" s="5"/>
      <c r="B86" s="11"/>
      <c r="C86" s="14"/>
      <c r="D86" s="488"/>
      <c r="E86" s="11"/>
      <c r="F86" s="14"/>
      <c r="G86" s="488"/>
      <c r="H86" s="11"/>
      <c r="I86" s="14"/>
      <c r="J86" s="488"/>
      <c r="K86" s="11"/>
      <c r="L86" s="11"/>
      <c r="M86" s="488"/>
      <c r="N86" s="11"/>
      <c r="O86" s="11"/>
      <c r="P86" s="488"/>
      <c r="Q86" s="11"/>
      <c r="R86" s="11"/>
      <c r="S86" s="488"/>
      <c r="T86" s="11"/>
      <c r="U86" s="11"/>
      <c r="V86" s="488"/>
      <c r="W86" s="11"/>
      <c r="X86" s="11"/>
      <c r="Y86" s="488"/>
      <c r="Z86" s="11"/>
      <c r="AA86" s="11"/>
      <c r="AB86" s="488"/>
      <c r="AC86" s="11"/>
      <c r="AD86" s="12"/>
      <c r="AE86" s="488"/>
      <c r="AF86" s="11"/>
      <c r="AG86" s="11"/>
      <c r="AH86" s="488"/>
      <c r="AI86" s="11"/>
      <c r="AJ86" s="11"/>
      <c r="AK86" s="488"/>
      <c r="AL86" s="207"/>
      <c r="AM86" s="207"/>
      <c r="AN86" s="488"/>
      <c r="AO86" s="11"/>
      <c r="AP86" s="11"/>
      <c r="AQ86" s="487"/>
      <c r="AR86" s="487"/>
      <c r="AS86" s="488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674" t="s">
        <v>156</v>
      </c>
      <c r="C87" s="675"/>
      <c r="D87" s="488">
        <v>446</v>
      </c>
      <c r="E87" s="689" t="s">
        <v>35</v>
      </c>
      <c r="F87" s="687"/>
      <c r="G87" s="488">
        <v>394</v>
      </c>
      <c r="H87" s="689" t="s">
        <v>35</v>
      </c>
      <c r="I87" s="687"/>
      <c r="J87" s="488">
        <v>391</v>
      </c>
      <c r="K87" s="689" t="s">
        <v>31</v>
      </c>
      <c r="L87" s="687"/>
      <c r="M87" s="488">
        <v>409</v>
      </c>
      <c r="N87" s="689" t="s">
        <v>35</v>
      </c>
      <c r="O87" s="687"/>
      <c r="P87" s="488">
        <v>379</v>
      </c>
      <c r="Q87" s="689" t="s">
        <v>31</v>
      </c>
      <c r="R87" s="687"/>
      <c r="S87" s="488">
        <v>364</v>
      </c>
      <c r="T87" s="689" t="s">
        <v>14</v>
      </c>
      <c r="U87" s="687"/>
      <c r="V87" s="488">
        <v>447</v>
      </c>
      <c r="W87" s="689" t="s">
        <v>118</v>
      </c>
      <c r="X87" s="687"/>
      <c r="Y87" s="488">
        <v>257</v>
      </c>
      <c r="Z87" s="687" t="s">
        <v>182</v>
      </c>
      <c r="AA87" s="687"/>
      <c r="AB87" s="488">
        <v>232</v>
      </c>
      <c r="AC87" s="689" t="s">
        <v>33</v>
      </c>
      <c r="AD87" s="687"/>
      <c r="AE87" s="488">
        <v>365</v>
      </c>
      <c r="AF87" s="689" t="s">
        <v>23</v>
      </c>
      <c r="AG87" s="687"/>
      <c r="AH87" s="488">
        <v>379</v>
      </c>
      <c r="AI87" s="689" t="s">
        <v>16</v>
      </c>
      <c r="AJ87" s="687"/>
      <c r="AK87" s="488">
        <v>440</v>
      </c>
      <c r="AL87" s="689" t="s">
        <v>113</v>
      </c>
      <c r="AM87" s="687"/>
      <c r="AN87" s="488">
        <v>221</v>
      </c>
      <c r="AO87" s="689" t="s">
        <v>40</v>
      </c>
      <c r="AP87" s="687"/>
      <c r="AQ87" s="491">
        <v>395</v>
      </c>
      <c r="AR87" s="491"/>
      <c r="AS87" s="488"/>
      <c r="AT87" s="211"/>
    </row>
    <row r="88" spans="1:53" x14ac:dyDescent="0.35">
      <c r="A88" s="5"/>
      <c r="B88" s="674" t="s">
        <v>173</v>
      </c>
      <c r="C88" s="675"/>
      <c r="D88" s="494"/>
      <c r="E88" s="674" t="s">
        <v>174</v>
      </c>
      <c r="F88" s="675"/>
      <c r="G88" s="494"/>
      <c r="H88" s="674" t="s">
        <v>175</v>
      </c>
      <c r="I88" s="675"/>
      <c r="J88" s="494"/>
      <c r="K88" s="674" t="s">
        <v>176</v>
      </c>
      <c r="L88" s="675"/>
      <c r="M88" s="488"/>
      <c r="N88" s="674" t="s">
        <v>177</v>
      </c>
      <c r="O88" s="675"/>
      <c r="P88" s="494"/>
      <c r="Q88" s="674" t="s">
        <v>178</v>
      </c>
      <c r="R88" s="675"/>
      <c r="S88" s="494"/>
      <c r="T88" s="674" t="s">
        <v>179</v>
      </c>
      <c r="U88" s="675"/>
      <c r="V88" s="494"/>
      <c r="W88" s="674" t="s">
        <v>180</v>
      </c>
      <c r="X88" s="675"/>
      <c r="Y88" s="494"/>
      <c r="Z88" s="674" t="s">
        <v>181</v>
      </c>
      <c r="AA88" s="675"/>
      <c r="AB88" s="494"/>
      <c r="AC88" s="674" t="s">
        <v>183</v>
      </c>
      <c r="AD88" s="675"/>
      <c r="AE88" s="494"/>
      <c r="AF88" s="674" t="s">
        <v>184</v>
      </c>
      <c r="AG88" s="675"/>
      <c r="AH88" s="494"/>
      <c r="AI88" s="674" t="s">
        <v>185</v>
      </c>
      <c r="AJ88" s="675"/>
      <c r="AK88" s="494"/>
      <c r="AL88" s="674" t="s">
        <v>186</v>
      </c>
      <c r="AM88" s="675"/>
      <c r="AN88" s="494"/>
      <c r="AO88" s="674" t="s">
        <v>187</v>
      </c>
      <c r="AP88" s="675"/>
      <c r="AQ88" s="491"/>
      <c r="AR88" s="491"/>
      <c r="AT88" s="7"/>
    </row>
    <row r="89" spans="1:53" x14ac:dyDescent="0.35">
      <c r="A89" s="5"/>
      <c r="B89" s="497" t="s">
        <v>359</v>
      </c>
      <c r="C89" s="496"/>
      <c r="D89" s="497"/>
      <c r="E89" s="497" t="s">
        <v>359</v>
      </c>
      <c r="F89" s="498"/>
      <c r="G89" s="497"/>
      <c r="H89" s="496"/>
      <c r="I89" s="497" t="s">
        <v>359</v>
      </c>
      <c r="J89" s="497"/>
      <c r="K89" s="496"/>
      <c r="L89" s="497" t="s">
        <v>359</v>
      </c>
      <c r="M89" s="497"/>
      <c r="N89" s="496"/>
      <c r="O89" s="497" t="s">
        <v>359</v>
      </c>
      <c r="P89" s="497"/>
      <c r="Q89" s="496"/>
      <c r="R89" s="497" t="s">
        <v>359</v>
      </c>
      <c r="S89" s="497"/>
      <c r="T89" s="496"/>
      <c r="U89" s="497" t="s">
        <v>359</v>
      </c>
      <c r="V89" s="497"/>
      <c r="W89" s="496"/>
      <c r="X89" s="497" t="s">
        <v>359</v>
      </c>
      <c r="Y89" s="497"/>
      <c r="Z89" s="496"/>
      <c r="AA89" s="497" t="s">
        <v>359</v>
      </c>
      <c r="AB89" s="497"/>
      <c r="AC89" s="496"/>
      <c r="AD89" s="497" t="s">
        <v>359</v>
      </c>
      <c r="AE89" s="497"/>
      <c r="AF89" s="496"/>
      <c r="AG89" s="497" t="s">
        <v>359</v>
      </c>
      <c r="AH89" s="497"/>
      <c r="AI89" s="496"/>
      <c r="AJ89" s="497" t="s">
        <v>359</v>
      </c>
      <c r="AK89" s="497"/>
      <c r="AL89" s="496"/>
      <c r="AM89" s="497" t="s">
        <v>359</v>
      </c>
      <c r="AN89" s="497"/>
      <c r="AO89" s="496"/>
      <c r="AP89" s="497" t="s">
        <v>359</v>
      </c>
      <c r="AQ89" s="497"/>
      <c r="AR89" s="497"/>
      <c r="AT89" s="7"/>
    </row>
    <row r="90" spans="1:53" x14ac:dyDescent="0.35">
      <c r="A90" s="5"/>
      <c r="Z90" s="699"/>
      <c r="AA90" s="699"/>
      <c r="AB90" s="699"/>
      <c r="AC90" s="699"/>
      <c r="AD90" s="699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672"/>
      <c r="C92" s="672"/>
      <c r="E92" s="672"/>
      <c r="F92" s="672"/>
      <c r="H92" s="672"/>
      <c r="I92" s="672"/>
      <c r="K92" s="672"/>
      <c r="L92" s="672"/>
      <c r="N92" s="672"/>
      <c r="O92" s="672"/>
      <c r="Q92" s="672"/>
      <c r="R92" s="672"/>
      <c r="T92" s="672"/>
      <c r="U92" s="672"/>
      <c r="W92" s="672"/>
      <c r="X92" s="672"/>
      <c r="Z92" s="672"/>
      <c r="AA92" s="672"/>
      <c r="AC92" s="672"/>
      <c r="AD92" s="672"/>
      <c r="AF92" s="672"/>
      <c r="AG92" s="672"/>
      <c r="AI92" s="672"/>
      <c r="AJ92" s="672"/>
      <c r="AL92" s="672"/>
      <c r="AM92" s="672"/>
      <c r="AN92" s="485"/>
      <c r="AO92" s="672"/>
      <c r="AP92" s="672"/>
      <c r="AQ92" s="10"/>
      <c r="AR92" s="10"/>
      <c r="AT92" s="7"/>
    </row>
    <row r="93" spans="1:53" x14ac:dyDescent="0.35">
      <c r="A93" s="5"/>
      <c r="B93" s="12"/>
      <c r="C93" s="12"/>
      <c r="D93" s="485"/>
      <c r="E93" s="11"/>
      <c r="F93" s="12"/>
      <c r="G93" s="485"/>
      <c r="H93" s="11"/>
      <c r="I93" s="12"/>
      <c r="J93" s="485"/>
      <c r="K93" s="11"/>
      <c r="L93" s="12"/>
      <c r="M93" s="485"/>
      <c r="N93" s="11"/>
      <c r="O93" s="12"/>
      <c r="P93" s="485"/>
      <c r="Q93" s="11"/>
      <c r="R93" s="12"/>
      <c r="S93" s="485"/>
      <c r="T93" s="11"/>
      <c r="U93" s="12"/>
      <c r="V93" s="485"/>
      <c r="W93" s="11"/>
      <c r="X93" s="12"/>
      <c r="Y93" s="485"/>
      <c r="Z93" s="11"/>
      <c r="AA93" s="12"/>
      <c r="AB93" s="485"/>
      <c r="AC93" s="11"/>
      <c r="AD93" s="12"/>
      <c r="AE93" s="485"/>
      <c r="AF93" s="11"/>
      <c r="AG93" s="12"/>
      <c r="AH93" s="485"/>
      <c r="AI93" s="11"/>
      <c r="AJ93" s="12"/>
      <c r="AK93" s="485"/>
      <c r="AL93" s="11"/>
      <c r="AM93" s="12"/>
      <c r="AO93" s="11"/>
      <c r="AP93" s="12"/>
      <c r="AQ93" s="486"/>
      <c r="AR93" s="486"/>
      <c r="AS93" s="485"/>
      <c r="AT93" s="212"/>
    </row>
    <row r="94" spans="1:53" x14ac:dyDescent="0.35">
      <c r="A94" s="5"/>
      <c r="B94" s="15"/>
      <c r="C94" s="15"/>
      <c r="D94" s="488"/>
      <c r="E94" s="15"/>
      <c r="F94" s="15"/>
      <c r="G94" s="494"/>
      <c r="H94" s="15"/>
      <c r="I94" s="15"/>
      <c r="J94" s="488"/>
      <c r="K94" s="15"/>
      <c r="L94" s="15"/>
      <c r="M94" s="488"/>
      <c r="N94" s="15"/>
      <c r="O94" s="15"/>
      <c r="P94" s="488"/>
      <c r="Q94" s="15"/>
      <c r="R94" s="15"/>
      <c r="S94" s="494"/>
      <c r="T94" s="15"/>
      <c r="U94" s="15"/>
      <c r="V94" s="488"/>
      <c r="W94" s="15"/>
      <c r="X94" s="15"/>
      <c r="Y94" s="488"/>
      <c r="Z94" s="15"/>
      <c r="AA94" s="15"/>
      <c r="AB94" s="488"/>
      <c r="AC94" s="15"/>
      <c r="AD94" s="15"/>
      <c r="AE94" s="488"/>
      <c r="AF94" s="15"/>
      <c r="AG94" s="12"/>
      <c r="AH94" s="488"/>
      <c r="AI94" s="15"/>
      <c r="AJ94" s="12"/>
      <c r="AK94" s="488"/>
      <c r="AL94" s="15"/>
      <c r="AM94" s="12"/>
      <c r="AN94" s="488"/>
      <c r="AO94" s="15"/>
      <c r="AP94" s="12"/>
      <c r="AQ94" s="486"/>
      <c r="AR94" s="486"/>
      <c r="AS94" s="488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689" t="s">
        <v>31</v>
      </c>
      <c r="C95" s="687"/>
      <c r="D95" s="488">
        <v>356</v>
      </c>
      <c r="E95" s="689" t="s">
        <v>31</v>
      </c>
      <c r="F95" s="687"/>
      <c r="G95" s="494">
        <v>404</v>
      </c>
      <c r="H95" s="689" t="s">
        <v>31</v>
      </c>
      <c r="I95" s="687"/>
      <c r="J95" s="488">
        <v>380</v>
      </c>
      <c r="K95" s="689" t="s">
        <v>33</v>
      </c>
      <c r="L95" s="687"/>
      <c r="M95" s="488">
        <v>460</v>
      </c>
      <c r="N95" s="689" t="s">
        <v>16</v>
      </c>
      <c r="O95" s="687"/>
      <c r="P95" s="488">
        <v>380</v>
      </c>
      <c r="Q95" s="689" t="s">
        <v>14</v>
      </c>
      <c r="R95" s="687"/>
      <c r="S95" s="494">
        <v>413</v>
      </c>
      <c r="T95" s="689" t="s">
        <v>33</v>
      </c>
      <c r="U95" s="687"/>
      <c r="V95" s="488">
        <v>413</v>
      </c>
      <c r="W95" s="689" t="s">
        <v>31</v>
      </c>
      <c r="X95" s="687"/>
      <c r="Y95" s="488">
        <v>427</v>
      </c>
      <c r="Z95" s="687" t="s">
        <v>197</v>
      </c>
      <c r="AA95" s="687"/>
      <c r="AB95" s="488">
        <v>220</v>
      </c>
      <c r="AC95" s="689" t="s">
        <v>118</v>
      </c>
      <c r="AD95" s="687"/>
      <c r="AE95" s="488">
        <v>430</v>
      </c>
      <c r="AF95" s="689" t="s">
        <v>23</v>
      </c>
      <c r="AG95" s="687"/>
      <c r="AH95" s="488">
        <v>344</v>
      </c>
      <c r="AI95" s="689" t="s">
        <v>31</v>
      </c>
      <c r="AJ95" s="687"/>
      <c r="AK95" s="488">
        <v>373</v>
      </c>
      <c r="AL95" s="689" t="s">
        <v>23</v>
      </c>
      <c r="AM95" s="687"/>
      <c r="AN95" s="488">
        <v>389</v>
      </c>
      <c r="AO95" s="689" t="s">
        <v>33</v>
      </c>
      <c r="AP95" s="687"/>
      <c r="AQ95" s="491">
        <v>444</v>
      </c>
      <c r="AR95" s="491"/>
      <c r="AS95" s="488"/>
      <c r="AT95" s="211"/>
    </row>
    <row r="96" spans="1:53" x14ac:dyDescent="0.35">
      <c r="A96" s="5"/>
      <c r="B96" s="674" t="s">
        <v>188</v>
      </c>
      <c r="C96" s="675"/>
      <c r="D96" s="494"/>
      <c r="E96" s="674" t="s">
        <v>189</v>
      </c>
      <c r="F96" s="675"/>
      <c r="G96" s="494"/>
      <c r="H96" s="674" t="s">
        <v>190</v>
      </c>
      <c r="I96" s="675"/>
      <c r="J96" s="494"/>
      <c r="K96" s="674" t="s">
        <v>191</v>
      </c>
      <c r="L96" s="675"/>
      <c r="M96" s="494"/>
      <c r="N96" s="674" t="s">
        <v>192</v>
      </c>
      <c r="O96" s="675"/>
      <c r="P96" s="494"/>
      <c r="Q96" s="674" t="s">
        <v>193</v>
      </c>
      <c r="R96" s="675"/>
      <c r="S96" s="494"/>
      <c r="T96" s="674" t="s">
        <v>194</v>
      </c>
      <c r="U96" s="675"/>
      <c r="V96" s="494"/>
      <c r="W96" s="674" t="s">
        <v>195</v>
      </c>
      <c r="X96" s="675"/>
      <c r="Y96" s="494"/>
      <c r="Z96" s="674" t="s">
        <v>196</v>
      </c>
      <c r="AA96" s="675"/>
      <c r="AB96" s="494"/>
      <c r="AC96" s="674" t="s">
        <v>198</v>
      </c>
      <c r="AD96" s="675"/>
      <c r="AE96" s="494"/>
      <c r="AF96" s="674" t="s">
        <v>199</v>
      </c>
      <c r="AG96" s="675"/>
      <c r="AH96" s="494"/>
      <c r="AI96" s="674" t="s">
        <v>200</v>
      </c>
      <c r="AJ96" s="675"/>
      <c r="AK96" s="494"/>
      <c r="AL96" s="674" t="s">
        <v>201</v>
      </c>
      <c r="AM96" s="675"/>
      <c r="AN96" s="494"/>
      <c r="AO96" s="674" t="s">
        <v>202</v>
      </c>
      <c r="AP96" s="675"/>
      <c r="AQ96" s="491"/>
      <c r="AR96" s="491"/>
      <c r="AS96" s="494"/>
      <c r="AT96" s="213"/>
    </row>
    <row r="97" spans="1:53" x14ac:dyDescent="0.35">
      <c r="A97" s="5"/>
      <c r="B97" s="497" t="s">
        <v>359</v>
      </c>
      <c r="C97" s="496"/>
      <c r="D97" s="497"/>
      <c r="E97" s="496"/>
      <c r="F97" s="497" t="s">
        <v>359</v>
      </c>
      <c r="G97" s="497"/>
      <c r="H97" s="496"/>
      <c r="I97" s="497" t="s">
        <v>359</v>
      </c>
      <c r="J97" s="497"/>
      <c r="K97" s="496"/>
      <c r="L97" s="497" t="s">
        <v>359</v>
      </c>
      <c r="M97" s="497"/>
      <c r="N97" s="496"/>
      <c r="O97" s="497" t="s">
        <v>359</v>
      </c>
      <c r="P97" s="497"/>
      <c r="Q97" s="496"/>
      <c r="R97" s="497" t="s">
        <v>359</v>
      </c>
      <c r="S97" s="497"/>
      <c r="T97" s="496"/>
      <c r="U97" s="497" t="s">
        <v>359</v>
      </c>
      <c r="V97" s="497"/>
      <c r="W97" s="496"/>
      <c r="X97" s="497" t="s">
        <v>359</v>
      </c>
      <c r="Y97" s="497"/>
      <c r="Z97" s="496"/>
      <c r="AA97" s="497" t="s">
        <v>359</v>
      </c>
      <c r="AB97" s="497"/>
      <c r="AC97" s="496"/>
      <c r="AD97" s="497" t="s">
        <v>359</v>
      </c>
      <c r="AE97" s="497"/>
      <c r="AF97" s="496"/>
      <c r="AG97" s="497" t="s">
        <v>359</v>
      </c>
      <c r="AH97" s="497"/>
      <c r="AI97" s="496"/>
      <c r="AJ97" s="497" t="s">
        <v>359</v>
      </c>
      <c r="AK97" s="497"/>
      <c r="AL97" s="496"/>
      <c r="AM97" s="497" t="s">
        <v>359</v>
      </c>
      <c r="AN97" s="497"/>
      <c r="AO97" s="496"/>
      <c r="AP97" s="497" t="s">
        <v>359</v>
      </c>
      <c r="AQ97" s="497"/>
      <c r="AR97" s="497"/>
      <c r="AS97" s="494"/>
      <c r="AT97" s="213"/>
    </row>
    <row r="98" spans="1:53" x14ac:dyDescent="0.35">
      <c r="A98" s="5"/>
      <c r="B98" s="504"/>
      <c r="C98" s="504"/>
      <c r="D98" s="494"/>
      <c r="E98" s="504"/>
      <c r="F98" s="504"/>
      <c r="G98" s="494"/>
      <c r="H98" s="504"/>
      <c r="I98" s="504"/>
      <c r="J98" s="494"/>
      <c r="K98" s="504"/>
      <c r="L98" s="504"/>
      <c r="M98" s="494"/>
      <c r="N98" s="504"/>
      <c r="O98" s="504"/>
      <c r="P98" s="494"/>
      <c r="Q98" s="504"/>
      <c r="R98" s="504"/>
      <c r="S98" s="494"/>
      <c r="T98" s="504"/>
      <c r="U98" s="504"/>
      <c r="V98" s="494"/>
      <c r="W98" s="504"/>
      <c r="X98" s="504"/>
      <c r="Y98" s="494"/>
      <c r="Z98" s="504"/>
      <c r="AA98" s="504"/>
      <c r="AB98" s="494"/>
      <c r="AC98" s="504"/>
      <c r="AD98" s="504"/>
      <c r="AE98" s="494"/>
      <c r="AF98" s="675"/>
      <c r="AG98" s="675"/>
      <c r="AH98" s="675"/>
      <c r="AI98" s="504"/>
      <c r="AJ98" s="504"/>
      <c r="AK98" s="494"/>
      <c r="AL98" s="504"/>
      <c r="AM98" s="504"/>
      <c r="AN98" s="494"/>
      <c r="AO98" s="504"/>
      <c r="AP98" s="504"/>
      <c r="AQ98" s="504"/>
      <c r="AR98" s="504"/>
      <c r="AS98" s="494"/>
      <c r="AT98" s="213"/>
    </row>
    <row r="99" spans="1:53" x14ac:dyDescent="0.35">
      <c r="A99" s="5"/>
      <c r="B99" s="504"/>
      <c r="C99" s="504"/>
      <c r="D99" s="494"/>
      <c r="E99" s="504"/>
      <c r="F99" s="504"/>
      <c r="G99" s="494"/>
      <c r="H99" s="504"/>
      <c r="I99" s="504"/>
      <c r="J99" s="494"/>
      <c r="K99" s="504"/>
      <c r="L99" s="504"/>
      <c r="M99" s="494"/>
      <c r="N99" s="504"/>
      <c r="O99" s="504"/>
      <c r="P99" s="494"/>
      <c r="Q99" s="504"/>
      <c r="R99" s="504"/>
      <c r="S99" s="494"/>
      <c r="T99" s="504"/>
      <c r="U99" s="504"/>
      <c r="V99" s="494"/>
      <c r="W99" s="504"/>
      <c r="X99" s="504"/>
      <c r="Y99" s="494"/>
      <c r="Z99" s="504"/>
      <c r="AA99" s="504"/>
      <c r="AB99" s="494"/>
      <c r="AC99" s="504"/>
      <c r="AD99" s="504"/>
      <c r="AE99" s="494"/>
      <c r="AF99" s="504"/>
      <c r="AG99" s="504"/>
      <c r="AH99" s="494"/>
      <c r="AI99" s="504"/>
      <c r="AJ99" s="504"/>
      <c r="AK99" s="494"/>
      <c r="AL99" s="504"/>
      <c r="AM99" s="504"/>
      <c r="AN99" s="494"/>
      <c r="AO99" s="504"/>
      <c r="AP99" s="504"/>
      <c r="AQ99" s="504"/>
      <c r="AR99" s="504"/>
      <c r="AS99" s="494"/>
      <c r="AT99" s="213"/>
    </row>
    <row r="100" spans="1:53" x14ac:dyDescent="0.35">
      <c r="A100" s="5"/>
      <c r="B100" s="710"/>
      <c r="C100" s="710"/>
      <c r="D100" s="494"/>
      <c r="E100" s="710"/>
      <c r="F100" s="710"/>
      <c r="G100" s="494"/>
      <c r="H100" s="710"/>
      <c r="I100" s="710"/>
      <c r="J100" s="494"/>
      <c r="K100" s="710"/>
      <c r="L100" s="710"/>
      <c r="M100" s="494"/>
      <c r="N100" s="710"/>
      <c r="O100" s="710"/>
      <c r="P100" s="494"/>
      <c r="Q100" s="710"/>
      <c r="R100" s="710"/>
      <c r="S100" s="494"/>
      <c r="T100" s="710"/>
      <c r="U100" s="710"/>
      <c r="V100" s="494"/>
      <c r="W100" s="710"/>
      <c r="X100" s="710"/>
      <c r="Y100" s="494"/>
      <c r="Z100" s="710"/>
      <c r="AA100" s="710"/>
      <c r="AB100" s="494"/>
      <c r="AC100" s="710"/>
      <c r="AD100" s="710"/>
      <c r="AE100" s="494"/>
      <c r="AF100" s="710"/>
      <c r="AG100" s="710"/>
      <c r="AH100" s="494"/>
      <c r="AI100" s="710"/>
      <c r="AJ100" s="710"/>
      <c r="AK100" s="494"/>
      <c r="AL100" s="710"/>
      <c r="AM100" s="710"/>
      <c r="AN100" s="494"/>
      <c r="AO100" s="710"/>
      <c r="AP100" s="710"/>
      <c r="AQ100" s="491"/>
      <c r="AR100" s="491"/>
      <c r="AS100" s="494"/>
      <c r="AT100" s="213"/>
    </row>
    <row r="101" spans="1:53" x14ac:dyDescent="0.35">
      <c r="A101" s="5"/>
      <c r="B101" s="711" t="s">
        <v>397</v>
      </c>
      <c r="C101" s="712"/>
      <c r="D101" s="488"/>
      <c r="E101" s="11"/>
      <c r="F101" s="12"/>
      <c r="G101" s="488"/>
      <c r="H101" s="11"/>
      <c r="I101" s="12"/>
      <c r="J101" s="488"/>
      <c r="K101" s="11"/>
      <c r="L101" s="12"/>
      <c r="M101" s="488"/>
      <c r="N101" s="11"/>
      <c r="O101" s="12"/>
      <c r="P101" s="488"/>
      <c r="Q101" s="11"/>
      <c r="R101" s="12"/>
      <c r="S101" s="488"/>
      <c r="T101" s="15"/>
      <c r="U101" s="17"/>
      <c r="V101" s="488"/>
      <c r="W101" s="15"/>
      <c r="X101" s="17"/>
      <c r="Y101" s="488"/>
      <c r="Z101" s="15"/>
      <c r="AA101" s="17"/>
      <c r="AB101" s="488"/>
      <c r="AC101" s="15"/>
      <c r="AD101" s="17"/>
      <c r="AE101" s="488"/>
      <c r="AF101" s="715" t="s">
        <v>2056</v>
      </c>
      <c r="AG101" s="716"/>
      <c r="AH101" s="488"/>
      <c r="AI101" s="15"/>
      <c r="AJ101" s="16"/>
      <c r="AK101" s="488"/>
      <c r="AL101" s="11"/>
      <c r="AM101" s="12"/>
      <c r="AN101" s="488"/>
      <c r="AO101" s="207"/>
      <c r="AP101" s="207"/>
      <c r="AQ101" s="208"/>
      <c r="AR101" s="208"/>
      <c r="AS101" s="488"/>
      <c r="AT101" s="211"/>
    </row>
    <row r="102" spans="1:53" x14ac:dyDescent="0.35">
      <c r="A102" s="5"/>
      <c r="B102" s="713"/>
      <c r="C102" s="714"/>
      <c r="D102" s="488"/>
      <c r="E102" s="15"/>
      <c r="F102" s="15"/>
      <c r="G102" s="488"/>
      <c r="H102" s="15"/>
      <c r="I102" s="15"/>
      <c r="J102" s="488"/>
      <c r="K102" s="15"/>
      <c r="L102" s="15"/>
      <c r="M102" s="494"/>
      <c r="N102" s="15"/>
      <c r="O102" s="15"/>
      <c r="P102" s="494"/>
      <c r="Q102" s="15"/>
      <c r="R102" s="15"/>
      <c r="S102" s="494"/>
      <c r="T102" s="15"/>
      <c r="U102" s="15"/>
      <c r="V102" s="494"/>
      <c r="W102" s="15"/>
      <c r="X102" s="15"/>
      <c r="Y102" s="494"/>
      <c r="Z102" s="15"/>
      <c r="AA102" s="15"/>
      <c r="AB102" s="488"/>
      <c r="AC102" s="15"/>
      <c r="AD102" s="15"/>
      <c r="AE102" s="494"/>
      <c r="AF102" s="717"/>
      <c r="AG102" s="718"/>
      <c r="AH102" s="488"/>
      <c r="AI102" s="15"/>
      <c r="AJ102" s="15"/>
      <c r="AK102" s="488"/>
      <c r="AL102" s="15"/>
      <c r="AM102" s="15"/>
      <c r="AN102" s="488"/>
      <c r="AO102" s="11"/>
      <c r="AP102" s="11"/>
      <c r="AQ102" s="208"/>
      <c r="AR102" s="208"/>
      <c r="AS102" s="488"/>
      <c r="AT102" s="211"/>
      <c r="AV102" s="2">
        <v>13</v>
      </c>
      <c r="AW102" s="2">
        <v>13</v>
      </c>
      <c r="AX102" s="2">
        <v>9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689" t="s">
        <v>16</v>
      </c>
      <c r="C103" s="687"/>
      <c r="D103" s="488">
        <v>308</v>
      </c>
      <c r="E103" s="689" t="s">
        <v>23</v>
      </c>
      <c r="F103" s="687"/>
      <c r="G103" s="488">
        <v>345</v>
      </c>
      <c r="H103" s="689" t="s">
        <v>31</v>
      </c>
      <c r="I103" s="687"/>
      <c r="J103" s="488">
        <v>425</v>
      </c>
      <c r="K103" s="689" t="s">
        <v>16</v>
      </c>
      <c r="L103" s="687"/>
      <c r="M103" s="488">
        <v>412</v>
      </c>
      <c r="N103" s="704" t="s">
        <v>18</v>
      </c>
      <c r="O103" s="704"/>
      <c r="P103" s="488">
        <v>399</v>
      </c>
      <c r="Q103" s="689" t="s">
        <v>33</v>
      </c>
      <c r="R103" s="687"/>
      <c r="S103" s="488">
        <v>420</v>
      </c>
      <c r="T103" s="689" t="s">
        <v>31</v>
      </c>
      <c r="U103" s="687"/>
      <c r="V103" s="488">
        <v>367</v>
      </c>
      <c r="W103" s="689" t="s">
        <v>31</v>
      </c>
      <c r="X103" s="687"/>
      <c r="Y103" s="494">
        <v>354</v>
      </c>
      <c r="Z103" s="689" t="s">
        <v>31</v>
      </c>
      <c r="AA103" s="687"/>
      <c r="AB103" s="494">
        <v>399</v>
      </c>
      <c r="AC103" s="689" t="s">
        <v>31</v>
      </c>
      <c r="AD103" s="687"/>
      <c r="AE103" s="488">
        <v>375</v>
      </c>
      <c r="AF103" s="689" t="s">
        <v>40</v>
      </c>
      <c r="AG103" s="687"/>
      <c r="AH103" s="494">
        <v>380</v>
      </c>
      <c r="AI103" s="689" t="s">
        <v>31</v>
      </c>
      <c r="AJ103" s="687"/>
      <c r="AK103" s="494">
        <v>405</v>
      </c>
      <c r="AL103" s="689" t="s">
        <v>33</v>
      </c>
      <c r="AM103" s="687"/>
      <c r="AN103" s="494">
        <v>420</v>
      </c>
      <c r="AO103" s="689" t="s">
        <v>33</v>
      </c>
      <c r="AP103" s="687"/>
      <c r="AQ103" s="491">
        <v>399</v>
      </c>
      <c r="AR103" s="491"/>
      <c r="AS103" s="494"/>
      <c r="AT103" s="213"/>
    </row>
    <row r="104" spans="1:53" x14ac:dyDescent="0.35">
      <c r="A104" s="5"/>
      <c r="B104" s="674" t="s">
        <v>203</v>
      </c>
      <c r="C104" s="675"/>
      <c r="D104" s="494"/>
      <c r="E104" s="674" t="s">
        <v>204</v>
      </c>
      <c r="F104" s="675"/>
      <c r="G104" s="494"/>
      <c r="H104" s="674" t="s">
        <v>205</v>
      </c>
      <c r="I104" s="675"/>
      <c r="J104" s="494"/>
      <c r="K104" s="674" t="s">
        <v>206</v>
      </c>
      <c r="L104" s="675"/>
      <c r="M104" s="494"/>
      <c r="N104" s="678" t="s">
        <v>207</v>
      </c>
      <c r="O104" s="679"/>
      <c r="P104" s="494"/>
      <c r="Q104" s="678" t="s">
        <v>208</v>
      </c>
      <c r="R104" s="679"/>
      <c r="S104" s="494"/>
      <c r="T104" s="678" t="s">
        <v>209</v>
      </c>
      <c r="U104" s="679"/>
      <c r="V104" s="494"/>
      <c r="W104" s="678" t="s">
        <v>210</v>
      </c>
      <c r="X104" s="679"/>
      <c r="Y104" s="494"/>
      <c r="Z104" s="678" t="s">
        <v>211</v>
      </c>
      <c r="AA104" s="679"/>
      <c r="AB104" s="494"/>
      <c r="AC104" s="678" t="s">
        <v>212</v>
      </c>
      <c r="AD104" s="679"/>
      <c r="AE104" s="494"/>
      <c r="AF104" s="678" t="s">
        <v>213</v>
      </c>
      <c r="AG104" s="679"/>
      <c r="AH104" s="494"/>
      <c r="AI104" s="678" t="s">
        <v>214</v>
      </c>
      <c r="AJ104" s="679"/>
      <c r="AK104" s="494"/>
      <c r="AL104" s="678" t="s">
        <v>215</v>
      </c>
      <c r="AM104" s="679"/>
      <c r="AN104" s="494"/>
      <c r="AO104" s="678" t="s">
        <v>216</v>
      </c>
      <c r="AP104" s="679"/>
      <c r="AQ104" s="495"/>
      <c r="AR104" s="495"/>
      <c r="AS104" s="494"/>
      <c r="AT104" s="213"/>
    </row>
    <row r="105" spans="1:53" x14ac:dyDescent="0.35">
      <c r="A105" s="5"/>
      <c r="B105" s="497" t="s">
        <v>359</v>
      </c>
      <c r="C105" s="496"/>
      <c r="D105" s="497"/>
      <c r="E105" s="497" t="s">
        <v>359</v>
      </c>
      <c r="F105" s="507"/>
      <c r="G105" s="508"/>
      <c r="H105" s="497" t="s">
        <v>359</v>
      </c>
      <c r="I105" s="507"/>
      <c r="J105" s="508"/>
      <c r="K105" s="497" t="s">
        <v>359</v>
      </c>
      <c r="L105" s="511"/>
      <c r="M105" s="508"/>
      <c r="N105" s="497" t="s">
        <v>359</v>
      </c>
      <c r="O105" s="511"/>
      <c r="P105" s="512"/>
      <c r="Q105" s="513"/>
      <c r="R105" s="513" t="s">
        <v>395</v>
      </c>
      <c r="S105" s="512"/>
      <c r="T105" s="513"/>
      <c r="U105" s="513" t="s">
        <v>395</v>
      </c>
      <c r="V105" s="512"/>
      <c r="W105" s="513"/>
      <c r="X105" s="513" t="s">
        <v>395</v>
      </c>
      <c r="Y105" s="512"/>
      <c r="Z105" s="513"/>
      <c r="AA105" s="513" t="s">
        <v>395</v>
      </c>
      <c r="AB105" s="512"/>
      <c r="AC105" s="513"/>
      <c r="AD105" s="513" t="s">
        <v>395</v>
      </c>
      <c r="AE105" s="512"/>
      <c r="AF105" s="513"/>
      <c r="AG105" s="513" t="s">
        <v>395</v>
      </c>
      <c r="AH105" s="512"/>
      <c r="AI105" s="513"/>
      <c r="AJ105" s="513" t="s">
        <v>395</v>
      </c>
      <c r="AK105" s="512"/>
      <c r="AL105" s="513"/>
      <c r="AM105" s="513" t="s">
        <v>395</v>
      </c>
      <c r="AN105" s="512"/>
      <c r="AO105" s="513"/>
      <c r="AP105" s="513" t="s">
        <v>395</v>
      </c>
      <c r="AQ105" s="513"/>
      <c r="AR105" s="513"/>
      <c r="AS105" s="494"/>
      <c r="AT105" s="213"/>
    </row>
    <row r="106" spans="1:53" x14ac:dyDescent="0.35">
      <c r="A106" s="5"/>
      <c r="B106" s="504"/>
      <c r="C106" s="504"/>
      <c r="D106" s="494"/>
      <c r="E106" s="504"/>
      <c r="F106" s="504"/>
      <c r="G106" s="494"/>
      <c r="H106" s="504"/>
      <c r="I106" s="504"/>
      <c r="J106" s="494"/>
      <c r="K106" s="504"/>
      <c r="L106" s="504"/>
      <c r="M106" s="494"/>
      <c r="N106" s="504"/>
      <c r="O106" s="504"/>
      <c r="P106" s="494"/>
      <c r="Q106" s="504"/>
      <c r="R106" s="504"/>
      <c r="S106" s="494"/>
      <c r="T106" s="504"/>
      <c r="U106" s="504"/>
      <c r="V106" s="494"/>
      <c r="W106" s="504"/>
      <c r="X106" s="504"/>
      <c r="Y106" s="494"/>
      <c r="Z106" s="504"/>
      <c r="AA106" s="504"/>
      <c r="AB106" s="494"/>
      <c r="AC106" s="504"/>
      <c r="AD106" s="504"/>
      <c r="AE106" s="494"/>
      <c r="AF106" s="504"/>
      <c r="AG106" s="504"/>
      <c r="AI106" s="504"/>
      <c r="AT106" s="7"/>
    </row>
    <row r="107" spans="1:53" x14ac:dyDescent="0.35">
      <c r="A107" s="5"/>
      <c r="B107" s="504"/>
      <c r="C107" s="504"/>
      <c r="D107" s="494"/>
      <c r="E107" s="504"/>
      <c r="F107" s="504"/>
      <c r="G107" s="494"/>
      <c r="H107" s="504"/>
      <c r="I107" s="504"/>
      <c r="J107" s="494"/>
      <c r="K107" s="504"/>
      <c r="L107" s="504"/>
      <c r="M107" s="494"/>
      <c r="N107" s="504"/>
      <c r="O107" s="504"/>
      <c r="P107" s="494"/>
      <c r="Q107" s="504"/>
      <c r="R107" s="504"/>
      <c r="S107" s="494"/>
      <c r="T107" s="504"/>
      <c r="U107" s="504"/>
      <c r="V107" s="494"/>
      <c r="W107" s="504"/>
      <c r="X107" s="504"/>
      <c r="Y107" s="494"/>
      <c r="Z107" s="504"/>
      <c r="AA107" s="504"/>
      <c r="AC107" s="504"/>
      <c r="AD107" s="504"/>
      <c r="AE107" s="494"/>
      <c r="AF107" s="504"/>
      <c r="AG107" s="504"/>
      <c r="AT107" s="7"/>
    </row>
    <row r="108" spans="1:53" x14ac:dyDescent="0.35">
      <c r="A108" s="5"/>
      <c r="B108" s="675"/>
      <c r="C108" s="675"/>
      <c r="D108" s="494"/>
      <c r="E108" s="710"/>
      <c r="F108" s="710"/>
      <c r="G108" s="494"/>
      <c r="H108" s="710"/>
      <c r="I108" s="710"/>
      <c r="J108" s="494"/>
      <c r="K108" s="710"/>
      <c r="L108" s="710"/>
      <c r="M108" s="494"/>
      <c r="N108" s="710"/>
      <c r="O108" s="710"/>
      <c r="P108" s="494"/>
      <c r="Q108" s="710"/>
      <c r="R108" s="710"/>
      <c r="S108" s="494"/>
      <c r="T108" s="710"/>
      <c r="U108" s="710"/>
      <c r="V108" s="494"/>
      <c r="W108" s="710"/>
      <c r="X108" s="710"/>
      <c r="Y108" s="494"/>
      <c r="Z108" s="675"/>
      <c r="AA108" s="675"/>
      <c r="AB108" s="494"/>
      <c r="AC108" s="675"/>
      <c r="AD108" s="675"/>
      <c r="AE108" s="676"/>
      <c r="AF108" s="676"/>
      <c r="AG108" s="676"/>
      <c r="AH108" s="676"/>
      <c r="AI108" s="686"/>
      <c r="AJ108" s="686"/>
      <c r="AL108" s="686"/>
      <c r="AM108" s="686"/>
      <c r="AO108" s="686"/>
      <c r="AP108" s="686"/>
      <c r="AQ108" s="10"/>
      <c r="AR108" s="10"/>
      <c r="AT108" s="7"/>
    </row>
    <row r="109" spans="1:53" x14ac:dyDescent="0.35">
      <c r="A109" s="5"/>
      <c r="B109" s="207"/>
      <c r="C109" s="207"/>
      <c r="D109" s="488"/>
      <c r="E109" s="207"/>
      <c r="F109" s="207"/>
      <c r="G109" s="488"/>
      <c r="H109" s="11"/>
      <c r="I109" s="12"/>
      <c r="J109" s="488"/>
      <c r="K109" s="11"/>
      <c r="L109" s="12"/>
      <c r="M109" s="488"/>
      <c r="N109" s="11"/>
      <c r="O109" s="12"/>
      <c r="P109" s="488"/>
      <c r="Q109" s="11"/>
      <c r="R109" s="12"/>
      <c r="S109" s="488"/>
      <c r="T109" s="11"/>
      <c r="U109" s="12"/>
      <c r="V109" s="488"/>
      <c r="W109" s="11"/>
      <c r="X109" s="12"/>
      <c r="Y109" s="488"/>
      <c r="Z109" s="11"/>
      <c r="AA109" s="12"/>
      <c r="AB109" s="504"/>
      <c r="AC109" s="207"/>
      <c r="AD109" s="207"/>
      <c r="AE109" s="488"/>
      <c r="AF109" s="11"/>
      <c r="AG109" s="12"/>
      <c r="AH109" s="485"/>
      <c r="AI109" s="11"/>
      <c r="AJ109" s="12"/>
      <c r="AK109" s="485"/>
      <c r="AL109" s="719" t="s">
        <v>396</v>
      </c>
      <c r="AM109" s="720"/>
      <c r="AN109" s="485"/>
      <c r="AO109" s="207"/>
      <c r="AP109" s="207"/>
      <c r="AQ109" s="208"/>
      <c r="AR109" s="208"/>
      <c r="AS109" s="485"/>
      <c r="AT109" s="212"/>
    </row>
    <row r="110" spans="1:53" x14ac:dyDescent="0.35">
      <c r="A110" s="5"/>
      <c r="B110" s="207"/>
      <c r="C110" s="207"/>
      <c r="D110" s="488"/>
      <c r="E110" s="207"/>
      <c r="F110" s="207"/>
      <c r="G110" s="488"/>
      <c r="H110" s="15"/>
      <c r="I110" s="15"/>
      <c r="J110" s="488"/>
      <c r="K110" s="15"/>
      <c r="L110" s="15"/>
      <c r="M110" s="488"/>
      <c r="N110" s="15"/>
      <c r="O110" s="15"/>
      <c r="P110" s="488"/>
      <c r="Q110" s="15"/>
      <c r="R110" s="15"/>
      <c r="S110" s="488"/>
      <c r="T110" s="15"/>
      <c r="U110" s="15"/>
      <c r="V110" s="488"/>
      <c r="W110" s="15"/>
      <c r="X110" s="15"/>
      <c r="Y110" s="494"/>
      <c r="Z110" s="15"/>
      <c r="AA110" s="15"/>
      <c r="AB110" s="509"/>
      <c r="AC110" s="207"/>
      <c r="AD110" s="207"/>
      <c r="AE110" s="494"/>
      <c r="AF110" s="15"/>
      <c r="AG110" s="15"/>
      <c r="AH110" s="485"/>
      <c r="AI110" s="15"/>
      <c r="AJ110" s="15"/>
      <c r="AL110" s="721"/>
      <c r="AM110" s="722"/>
      <c r="AO110" s="207"/>
      <c r="AP110" s="207"/>
      <c r="AQ110" s="208"/>
      <c r="AR110" s="208"/>
      <c r="AS110" s="485"/>
      <c r="AT110" s="212"/>
      <c r="AV110" s="2">
        <v>13</v>
      </c>
      <c r="AW110" s="2">
        <v>10</v>
      </c>
      <c r="AX110" s="2">
        <v>5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689" t="s">
        <v>31</v>
      </c>
      <c r="C111" s="687"/>
      <c r="D111" s="488">
        <v>380</v>
      </c>
      <c r="E111" s="689" t="s">
        <v>33</v>
      </c>
      <c r="F111" s="687"/>
      <c r="G111" s="488">
        <v>415</v>
      </c>
      <c r="H111" s="689" t="s">
        <v>18</v>
      </c>
      <c r="I111" s="687"/>
      <c r="J111" s="488">
        <v>400</v>
      </c>
      <c r="K111" s="689" t="s">
        <v>33</v>
      </c>
      <c r="L111" s="687"/>
      <c r="M111" s="488">
        <v>392</v>
      </c>
      <c r="N111" s="689" t="s">
        <v>31</v>
      </c>
      <c r="O111" s="687"/>
      <c r="P111" s="488">
        <v>387</v>
      </c>
      <c r="Q111" s="689" t="s">
        <v>31</v>
      </c>
      <c r="R111" s="687"/>
      <c r="S111" s="488">
        <v>346</v>
      </c>
      <c r="T111" s="692" t="s">
        <v>115</v>
      </c>
      <c r="U111" s="687"/>
      <c r="V111" s="488">
        <v>400</v>
      </c>
      <c r="W111" s="692" t="s">
        <v>16</v>
      </c>
      <c r="X111" s="687"/>
      <c r="Y111" s="494">
        <v>418</v>
      </c>
      <c r="Z111" s="674" t="s">
        <v>14</v>
      </c>
      <c r="AA111" s="675"/>
      <c r="AB111" s="509">
        <v>351</v>
      </c>
      <c r="AC111" s="674" t="s">
        <v>35</v>
      </c>
      <c r="AD111" s="674"/>
      <c r="AE111" s="494">
        <v>429</v>
      </c>
      <c r="AF111" s="674" t="s">
        <v>33</v>
      </c>
      <c r="AG111" s="675"/>
      <c r="AH111" s="488">
        <v>411</v>
      </c>
      <c r="AI111" s="689" t="s">
        <v>31</v>
      </c>
      <c r="AJ111" s="687"/>
      <c r="AK111" s="494">
        <v>381</v>
      </c>
      <c r="AL111" s="689" t="s">
        <v>16</v>
      </c>
      <c r="AM111" s="687"/>
      <c r="AN111" s="494">
        <v>459</v>
      </c>
      <c r="AO111" s="689" t="s">
        <v>16</v>
      </c>
      <c r="AP111" s="687"/>
      <c r="AQ111" s="491">
        <v>370</v>
      </c>
      <c r="AR111" s="491"/>
      <c r="AS111" s="488"/>
      <c r="AT111" s="211"/>
    </row>
    <row r="112" spans="1:53" x14ac:dyDescent="0.35">
      <c r="A112" s="5"/>
      <c r="B112" s="678" t="s">
        <v>217</v>
      </c>
      <c r="C112" s="679"/>
      <c r="D112" s="494"/>
      <c r="E112" s="678" t="s">
        <v>218</v>
      </c>
      <c r="F112" s="679"/>
      <c r="G112" s="494"/>
      <c r="H112" s="678" t="s">
        <v>219</v>
      </c>
      <c r="I112" s="679"/>
      <c r="J112" s="494"/>
      <c r="K112" s="678" t="s">
        <v>220</v>
      </c>
      <c r="L112" s="679"/>
      <c r="M112" s="494"/>
      <c r="N112" s="678" t="s">
        <v>221</v>
      </c>
      <c r="O112" s="679"/>
      <c r="P112" s="494"/>
      <c r="Q112" s="678" t="s">
        <v>222</v>
      </c>
      <c r="R112" s="679"/>
      <c r="S112" s="494"/>
      <c r="T112" s="678" t="s">
        <v>223</v>
      </c>
      <c r="U112" s="679"/>
      <c r="V112" s="494"/>
      <c r="W112" s="678" t="s">
        <v>224</v>
      </c>
      <c r="X112" s="679"/>
      <c r="Y112" s="494"/>
      <c r="Z112" s="678" t="s">
        <v>225</v>
      </c>
      <c r="AA112" s="679"/>
      <c r="AB112" s="494"/>
      <c r="AC112" s="678" t="s">
        <v>226</v>
      </c>
      <c r="AD112" s="679"/>
      <c r="AE112" s="494"/>
      <c r="AF112" s="678" t="s">
        <v>227</v>
      </c>
      <c r="AG112" s="679"/>
      <c r="AI112" s="678" t="s">
        <v>228</v>
      </c>
      <c r="AJ112" s="679"/>
      <c r="AL112" s="678" t="s">
        <v>229</v>
      </c>
      <c r="AM112" s="679"/>
      <c r="AO112" s="678" t="s">
        <v>230</v>
      </c>
      <c r="AP112" s="679"/>
      <c r="AQ112" s="495"/>
      <c r="AR112" s="495"/>
      <c r="AT112" s="7"/>
    </row>
    <row r="113" spans="1:53" x14ac:dyDescent="0.35">
      <c r="A113" s="5"/>
      <c r="B113" s="513" t="s">
        <v>395</v>
      </c>
      <c r="C113" s="513"/>
      <c r="D113" s="512"/>
      <c r="E113" s="513" t="s">
        <v>395</v>
      </c>
      <c r="F113" s="513"/>
      <c r="G113" s="512"/>
      <c r="H113" s="513" t="s">
        <v>395</v>
      </c>
      <c r="I113" s="513"/>
      <c r="J113" s="512"/>
      <c r="K113" s="513" t="s">
        <v>395</v>
      </c>
      <c r="L113" s="513"/>
      <c r="M113" s="512"/>
      <c r="N113" s="513" t="s">
        <v>395</v>
      </c>
      <c r="O113" s="513"/>
      <c r="P113" s="512"/>
      <c r="Q113" s="513" t="s">
        <v>395</v>
      </c>
      <c r="R113" s="513"/>
      <c r="S113" s="512"/>
      <c r="T113" s="513" t="s">
        <v>395</v>
      </c>
      <c r="U113" s="513"/>
      <c r="V113" s="512"/>
      <c r="W113" s="513" t="s">
        <v>395</v>
      </c>
      <c r="X113" s="513"/>
      <c r="Y113" s="512"/>
      <c r="Z113" s="513" t="s">
        <v>395</v>
      </c>
      <c r="AA113" s="513"/>
      <c r="AB113" s="512"/>
      <c r="AC113" s="513" t="s">
        <v>395</v>
      </c>
      <c r="AD113" s="513"/>
      <c r="AE113" s="512"/>
      <c r="AF113" s="513"/>
      <c r="AG113" s="513" t="s">
        <v>395</v>
      </c>
      <c r="AH113" s="514"/>
      <c r="AI113" s="513"/>
      <c r="AJ113" s="513" t="s">
        <v>395</v>
      </c>
      <c r="AK113" s="514"/>
      <c r="AL113" s="513"/>
      <c r="AM113" s="513" t="s">
        <v>395</v>
      </c>
      <c r="AN113" s="514"/>
      <c r="AO113" s="513"/>
      <c r="AP113" s="513" t="s">
        <v>395</v>
      </c>
      <c r="AQ113" s="513"/>
      <c r="AR113" s="513"/>
      <c r="AT113" s="7"/>
    </row>
    <row r="114" spans="1:53" x14ac:dyDescent="0.35">
      <c r="A114" s="5"/>
      <c r="B114" s="504"/>
      <c r="C114" s="504"/>
      <c r="D114" s="494"/>
      <c r="E114" s="723" t="s">
        <v>407</v>
      </c>
      <c r="F114" s="723"/>
      <c r="G114" s="723"/>
      <c r="H114" s="723"/>
      <c r="I114" s="723"/>
      <c r="J114" s="723"/>
      <c r="K114" s="723"/>
      <c r="L114" s="723"/>
      <c r="M114" s="723"/>
      <c r="N114" s="723"/>
      <c r="O114" s="723"/>
      <c r="P114" s="494"/>
      <c r="Q114" s="504"/>
      <c r="R114" s="504"/>
      <c r="S114" s="494"/>
      <c r="T114" s="504"/>
      <c r="U114" s="504"/>
      <c r="V114" s="494"/>
      <c r="W114" s="504"/>
      <c r="X114" s="504"/>
      <c r="Y114" s="494"/>
      <c r="Z114" s="504"/>
      <c r="AA114" s="504"/>
      <c r="AB114" s="494"/>
      <c r="AC114" s="504"/>
      <c r="AD114" s="504"/>
      <c r="AE114" s="494"/>
      <c r="AF114" s="675"/>
      <c r="AG114" s="675"/>
      <c r="AH114" s="675"/>
      <c r="AI114" s="675"/>
      <c r="AJ114" s="675"/>
      <c r="AK114" s="675"/>
      <c r="AL114" s="675"/>
      <c r="AM114" s="675"/>
      <c r="AT114" s="7"/>
    </row>
    <row r="115" spans="1:53" x14ac:dyDescent="0.35">
      <c r="A115" s="5"/>
      <c r="B115" s="504"/>
      <c r="C115" s="504"/>
      <c r="D115" s="494"/>
      <c r="E115" s="504"/>
      <c r="F115" s="504"/>
      <c r="G115" s="494"/>
      <c r="H115" s="504"/>
      <c r="I115" s="504"/>
      <c r="J115" s="494"/>
      <c r="K115" s="504"/>
      <c r="L115" s="504"/>
      <c r="M115" s="494"/>
      <c r="N115" s="504"/>
      <c r="O115" s="504"/>
      <c r="P115" s="494"/>
      <c r="Q115" s="504"/>
      <c r="R115" s="504"/>
      <c r="S115" s="494"/>
      <c r="T115" s="504"/>
      <c r="U115" s="504"/>
      <c r="V115" s="494"/>
      <c r="W115" s="504"/>
      <c r="X115" s="504"/>
      <c r="Y115" s="494"/>
      <c r="Z115" s="504"/>
      <c r="AA115" s="504"/>
      <c r="AC115" s="504"/>
      <c r="AD115" s="504"/>
      <c r="AE115" s="494"/>
      <c r="AF115" s="504"/>
      <c r="AG115" s="504"/>
      <c r="AT115" s="7"/>
    </row>
    <row r="116" spans="1:53" x14ac:dyDescent="0.35">
      <c r="A116" s="5"/>
      <c r="B116" s="675"/>
      <c r="C116" s="675"/>
      <c r="D116" s="494"/>
      <c r="E116" s="710"/>
      <c r="F116" s="710"/>
      <c r="G116" s="494"/>
      <c r="H116" s="710"/>
      <c r="I116" s="710"/>
      <c r="J116" s="494"/>
      <c r="K116" s="710"/>
      <c r="L116" s="710"/>
      <c r="M116" s="494"/>
      <c r="N116" s="710"/>
      <c r="O116" s="710"/>
      <c r="P116" s="494"/>
      <c r="Q116" s="710"/>
      <c r="R116" s="710"/>
      <c r="S116" s="494"/>
      <c r="T116" s="710"/>
      <c r="U116" s="710"/>
      <c r="V116" s="494"/>
      <c r="W116" s="710"/>
      <c r="X116" s="710"/>
      <c r="Y116" s="494"/>
      <c r="Z116" s="675"/>
      <c r="AA116" s="675"/>
      <c r="AB116" s="494"/>
      <c r="AC116" s="675"/>
      <c r="AD116" s="675"/>
      <c r="AE116" s="676"/>
      <c r="AF116" s="676"/>
      <c r="AG116" s="676"/>
      <c r="AH116" s="676"/>
      <c r="AI116" s="686"/>
      <c r="AJ116" s="686"/>
      <c r="AL116" s="686"/>
      <c r="AM116" s="686"/>
      <c r="AO116" s="686"/>
      <c r="AP116" s="686"/>
      <c r="AQ116" s="10"/>
      <c r="AR116" s="10"/>
      <c r="AT116" s="7"/>
    </row>
    <row r="117" spans="1:53" x14ac:dyDescent="0.35">
      <c r="A117" s="5"/>
      <c r="B117" s="11"/>
      <c r="C117" s="12"/>
      <c r="D117" s="488"/>
      <c r="E117" s="719" t="s">
        <v>396</v>
      </c>
      <c r="F117" s="720"/>
      <c r="G117" s="488"/>
      <c r="H117" s="30"/>
      <c r="I117" s="31"/>
      <c r="J117" s="488"/>
      <c r="K117" s="30"/>
      <c r="L117" s="31"/>
      <c r="M117" s="488"/>
      <c r="N117" s="30"/>
      <c r="O117" s="31"/>
      <c r="P117" s="488"/>
      <c r="Q117" s="11"/>
      <c r="R117" s="12"/>
      <c r="S117" s="488"/>
      <c r="T117" s="11"/>
      <c r="U117" s="12"/>
      <c r="V117" s="488"/>
      <c r="W117" s="11"/>
      <c r="X117" s="12"/>
      <c r="Y117" s="488"/>
      <c r="Z117" s="11"/>
      <c r="AA117" s="12"/>
      <c r="AB117" s="504"/>
      <c r="AC117" s="11"/>
      <c r="AD117" s="12"/>
      <c r="AE117" s="488"/>
      <c r="AF117" s="11"/>
      <c r="AG117" s="12"/>
      <c r="AH117" s="485"/>
      <c r="AI117" s="11"/>
      <c r="AJ117" s="12"/>
      <c r="AK117" s="485"/>
      <c r="AL117" s="11"/>
      <c r="AM117" s="12"/>
      <c r="AN117" s="485"/>
      <c r="AO117" s="711" t="s">
        <v>397</v>
      </c>
      <c r="AP117" s="712"/>
      <c r="AQ117" s="515"/>
      <c r="AR117" s="515"/>
      <c r="AS117" s="485"/>
      <c r="AT117" s="212"/>
    </row>
    <row r="118" spans="1:53" x14ac:dyDescent="0.35">
      <c r="A118" s="5"/>
      <c r="B118" s="15"/>
      <c r="C118" s="15"/>
      <c r="D118" s="488"/>
      <c r="E118" s="721"/>
      <c r="F118" s="722"/>
      <c r="G118" s="488"/>
      <c r="H118" s="32"/>
      <c r="I118" s="32"/>
      <c r="J118" s="488"/>
      <c r="K118" s="32"/>
      <c r="L118" s="32"/>
      <c r="M118" s="488"/>
      <c r="N118" s="32"/>
      <c r="O118" s="32"/>
      <c r="P118" s="488"/>
      <c r="Q118" s="15"/>
      <c r="R118" s="15"/>
      <c r="S118" s="488"/>
      <c r="T118" s="15"/>
      <c r="U118" s="15"/>
      <c r="V118" s="488"/>
      <c r="W118" s="15"/>
      <c r="X118" s="15"/>
      <c r="Y118" s="494"/>
      <c r="Z118" s="15"/>
      <c r="AA118" s="15"/>
      <c r="AB118" s="509"/>
      <c r="AC118" s="15"/>
      <c r="AD118" s="15"/>
      <c r="AE118" s="494"/>
      <c r="AF118" s="15"/>
      <c r="AG118" s="15"/>
      <c r="AH118" s="485"/>
      <c r="AI118" s="15"/>
      <c r="AJ118" s="15"/>
      <c r="AL118" s="15"/>
      <c r="AM118" s="15"/>
      <c r="AO118" s="713"/>
      <c r="AP118" s="714"/>
      <c r="AQ118" s="515"/>
      <c r="AR118" s="515"/>
      <c r="AS118" s="485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689" t="s">
        <v>33</v>
      </c>
      <c r="C119" s="687"/>
      <c r="D119" s="488">
        <v>425</v>
      </c>
      <c r="E119" s="689" t="s">
        <v>182</v>
      </c>
      <c r="F119" s="687"/>
      <c r="G119" s="488">
        <v>256</v>
      </c>
      <c r="H119" s="689" t="s">
        <v>234</v>
      </c>
      <c r="I119" s="687"/>
      <c r="J119" s="488">
        <v>443</v>
      </c>
      <c r="K119" s="689" t="s">
        <v>236</v>
      </c>
      <c r="L119" s="687"/>
      <c r="M119" s="488">
        <v>451</v>
      </c>
      <c r="N119" s="689" t="s">
        <v>238</v>
      </c>
      <c r="O119" s="687"/>
      <c r="P119" s="488">
        <v>420</v>
      </c>
      <c r="Q119" s="689" t="s">
        <v>33</v>
      </c>
      <c r="R119" s="687"/>
      <c r="S119" s="488">
        <v>418</v>
      </c>
      <c r="T119" s="689" t="s">
        <v>31</v>
      </c>
      <c r="U119" s="687"/>
      <c r="V119" s="488">
        <v>349</v>
      </c>
      <c r="W119" s="692" t="s">
        <v>18</v>
      </c>
      <c r="X119" s="687"/>
      <c r="Y119" s="494">
        <v>407</v>
      </c>
      <c r="Z119" s="674" t="s">
        <v>2057</v>
      </c>
      <c r="AA119" s="675"/>
      <c r="AB119" s="509">
        <v>323</v>
      </c>
      <c r="AC119" s="674" t="s">
        <v>31</v>
      </c>
      <c r="AD119" s="674"/>
      <c r="AE119" s="494">
        <v>419</v>
      </c>
      <c r="AF119" s="674" t="s">
        <v>31</v>
      </c>
      <c r="AG119" s="675"/>
      <c r="AH119" s="485">
        <v>402</v>
      </c>
      <c r="AI119" s="726" t="s">
        <v>35</v>
      </c>
      <c r="AJ119" s="686"/>
      <c r="AK119" s="6">
        <v>402.31</v>
      </c>
      <c r="AL119" s="686" t="s">
        <v>40</v>
      </c>
      <c r="AM119" s="686"/>
      <c r="AN119" s="6">
        <v>416</v>
      </c>
      <c r="AO119" s="686" t="s">
        <v>35</v>
      </c>
      <c r="AP119" s="686"/>
      <c r="AQ119" s="10">
        <v>419</v>
      </c>
      <c r="AR119" s="10"/>
      <c r="AS119" s="485"/>
      <c r="AT119" s="212"/>
    </row>
    <row r="120" spans="1:53" x14ac:dyDescent="0.35">
      <c r="A120" s="5"/>
      <c r="B120" s="678" t="s">
        <v>231</v>
      </c>
      <c r="C120" s="679"/>
      <c r="D120" s="494"/>
      <c r="E120" s="678" t="s">
        <v>232</v>
      </c>
      <c r="F120" s="679"/>
      <c r="G120" s="494"/>
      <c r="H120" s="678" t="s">
        <v>233</v>
      </c>
      <c r="I120" s="679"/>
      <c r="J120" s="494"/>
      <c r="K120" s="678" t="s">
        <v>235</v>
      </c>
      <c r="L120" s="679"/>
      <c r="M120" s="494"/>
      <c r="N120" s="678" t="s">
        <v>237</v>
      </c>
      <c r="O120" s="679"/>
      <c r="P120" s="494"/>
      <c r="Q120" s="678" t="s">
        <v>239</v>
      </c>
      <c r="R120" s="679"/>
      <c r="S120" s="494"/>
      <c r="T120" s="678" t="s">
        <v>240</v>
      </c>
      <c r="U120" s="679"/>
      <c r="V120" s="494"/>
      <c r="W120" s="678" t="s">
        <v>241</v>
      </c>
      <c r="X120" s="679"/>
      <c r="Y120" s="494"/>
      <c r="Z120" s="678" t="s">
        <v>242</v>
      </c>
      <c r="AA120" s="679"/>
      <c r="AB120" s="494"/>
      <c r="AC120" s="678" t="s">
        <v>243</v>
      </c>
      <c r="AD120" s="679"/>
      <c r="AE120" s="494"/>
      <c r="AF120" s="678" t="s">
        <v>244</v>
      </c>
      <c r="AG120" s="679"/>
      <c r="AI120" s="678" t="s">
        <v>245</v>
      </c>
      <c r="AJ120" s="679"/>
      <c r="AL120" s="678" t="s">
        <v>246</v>
      </c>
      <c r="AM120" s="679"/>
      <c r="AO120" s="678" t="s">
        <v>247</v>
      </c>
      <c r="AP120" s="679"/>
      <c r="AQ120" s="495"/>
      <c r="AR120" s="495"/>
      <c r="AT120" s="7"/>
    </row>
    <row r="121" spans="1:53" x14ac:dyDescent="0.35">
      <c r="A121" s="5"/>
      <c r="B121" s="513" t="s">
        <v>395</v>
      </c>
      <c r="C121" s="513"/>
      <c r="D121" s="512"/>
      <c r="E121" s="513" t="s">
        <v>395</v>
      </c>
      <c r="F121" s="513"/>
      <c r="G121" s="512"/>
      <c r="H121" s="513" t="s">
        <v>395</v>
      </c>
      <c r="I121" s="513"/>
      <c r="J121" s="512"/>
      <c r="K121" s="513" t="s">
        <v>395</v>
      </c>
      <c r="L121" s="513"/>
      <c r="M121" s="512"/>
      <c r="N121" s="513" t="s">
        <v>395</v>
      </c>
      <c r="O121" s="513"/>
      <c r="P121" s="512"/>
      <c r="Q121" s="513" t="s">
        <v>395</v>
      </c>
      <c r="R121" s="513"/>
      <c r="S121" s="512"/>
      <c r="T121" s="513" t="s">
        <v>395</v>
      </c>
      <c r="U121" s="513"/>
      <c r="V121" s="512"/>
      <c r="W121" s="513" t="s">
        <v>395</v>
      </c>
      <c r="X121" s="513"/>
      <c r="Y121" s="512"/>
      <c r="Z121" s="513" t="s">
        <v>395</v>
      </c>
      <c r="AA121" s="513"/>
      <c r="AB121" s="512"/>
      <c r="AC121" s="513" t="s">
        <v>395</v>
      </c>
      <c r="AD121" s="513"/>
      <c r="AE121" s="512"/>
      <c r="AF121" s="513" t="s">
        <v>395</v>
      </c>
      <c r="AG121" s="513"/>
      <c r="AH121" s="514"/>
      <c r="AI121" s="513"/>
      <c r="AJ121" s="513" t="s">
        <v>395</v>
      </c>
      <c r="AK121" s="514"/>
      <c r="AL121" s="513"/>
      <c r="AM121" s="513" t="s">
        <v>395</v>
      </c>
      <c r="AN121" s="514"/>
      <c r="AO121" s="513"/>
      <c r="AP121" s="513" t="s">
        <v>395</v>
      </c>
      <c r="AQ121" s="513"/>
      <c r="AR121" s="513"/>
      <c r="AT121" s="7"/>
    </row>
    <row r="122" spans="1:53" x14ac:dyDescent="0.35">
      <c r="A122" s="5"/>
      <c r="B122" s="491"/>
      <c r="C122" s="491"/>
      <c r="D122" s="488"/>
      <c r="E122" s="517"/>
      <c r="F122" s="491"/>
      <c r="G122" s="724"/>
      <c r="H122" s="724"/>
      <c r="I122" s="724"/>
      <c r="J122" s="724"/>
      <c r="K122" s="518"/>
      <c r="L122" s="519"/>
      <c r="M122" s="488"/>
      <c r="N122" s="725"/>
      <c r="O122" s="725"/>
      <c r="P122" s="725"/>
      <c r="Q122" s="725"/>
      <c r="R122" s="725"/>
      <c r="S122" s="725"/>
      <c r="T122" s="725"/>
      <c r="U122" s="725"/>
      <c r="V122" s="725"/>
      <c r="W122" s="517"/>
      <c r="X122" s="504"/>
      <c r="Y122" s="494"/>
      <c r="Z122" s="517"/>
      <c r="AA122" s="504"/>
      <c r="AB122" s="504"/>
      <c r="AC122" s="517"/>
      <c r="AD122" s="504"/>
      <c r="AE122" s="494"/>
      <c r="AF122" s="517"/>
      <c r="AG122" s="504"/>
      <c r="AI122" s="517"/>
      <c r="AJ122" s="504"/>
      <c r="AL122" s="517"/>
      <c r="AM122" s="504"/>
      <c r="AO122" s="517"/>
      <c r="AP122" s="504"/>
      <c r="AQ122" s="504"/>
      <c r="AR122" s="504"/>
      <c r="AT122" s="7"/>
      <c r="AV122" s="6"/>
      <c r="AW122" s="6"/>
      <c r="AX122" s="6"/>
      <c r="AY122" s="6"/>
      <c r="AZ122" s="6"/>
    </row>
    <row r="123" spans="1:53" x14ac:dyDescent="0.35">
      <c r="A123" s="5"/>
      <c r="B123" s="504"/>
      <c r="C123" s="504"/>
      <c r="D123" s="494"/>
      <c r="E123" s="504"/>
      <c r="F123" s="504"/>
      <c r="G123" s="494"/>
      <c r="H123" s="504"/>
      <c r="I123" s="504"/>
      <c r="J123" s="494"/>
      <c r="K123" s="504"/>
      <c r="L123" s="504"/>
      <c r="M123" s="494"/>
      <c r="N123" s="504"/>
      <c r="O123" s="504"/>
      <c r="P123" s="494"/>
      <c r="Q123" s="504"/>
      <c r="R123" s="504"/>
      <c r="S123" s="494"/>
      <c r="T123" s="504"/>
      <c r="U123" s="504"/>
      <c r="V123" s="494"/>
      <c r="W123" s="504"/>
      <c r="X123" s="504"/>
      <c r="Y123" s="494"/>
      <c r="Z123" s="504"/>
      <c r="AA123" s="504"/>
      <c r="AC123" s="504"/>
      <c r="AD123" s="504"/>
      <c r="AE123" s="494"/>
      <c r="AF123" s="504"/>
      <c r="AG123" s="504"/>
      <c r="AT123" s="7"/>
    </row>
    <row r="124" spans="1:53" x14ac:dyDescent="0.35">
      <c r="A124" s="5"/>
      <c r="B124" s="675"/>
      <c r="C124" s="675"/>
      <c r="D124" s="494"/>
      <c r="E124" s="710"/>
      <c r="F124" s="710"/>
      <c r="G124" s="494"/>
      <c r="H124" s="710"/>
      <c r="I124" s="710"/>
      <c r="J124" s="494"/>
      <c r="K124" s="710"/>
      <c r="L124" s="710"/>
      <c r="M124" s="494"/>
      <c r="N124" s="710"/>
      <c r="O124" s="710"/>
      <c r="P124" s="494"/>
      <c r="Q124" s="710"/>
      <c r="R124" s="710"/>
      <c r="S124" s="494"/>
      <c r="T124" s="710"/>
      <c r="U124" s="710"/>
      <c r="V124" s="494"/>
      <c r="W124" s="710"/>
      <c r="X124" s="710"/>
      <c r="Y124" s="494"/>
      <c r="Z124" s="675"/>
      <c r="AA124" s="675"/>
      <c r="AB124" s="494"/>
      <c r="AC124" s="675"/>
      <c r="AD124" s="675"/>
      <c r="AE124" s="676"/>
      <c r="AF124" s="676"/>
      <c r="AG124" s="676"/>
      <c r="AH124" s="676"/>
      <c r="AI124" s="686"/>
      <c r="AJ124" s="686"/>
      <c r="AL124" s="686"/>
      <c r="AM124" s="686"/>
      <c r="AO124" s="686"/>
      <c r="AP124" s="686"/>
      <c r="AQ124" s="10"/>
      <c r="AR124" s="10"/>
      <c r="AT124" s="7"/>
    </row>
    <row r="125" spans="1:53" x14ac:dyDescent="0.35">
      <c r="A125" s="5"/>
      <c r="B125" s="11"/>
      <c r="C125" s="12"/>
      <c r="D125" s="488"/>
      <c r="E125" s="711" t="s">
        <v>397</v>
      </c>
      <c r="F125" s="712"/>
      <c r="G125" s="488"/>
      <c r="H125" s="11"/>
      <c r="I125" s="12"/>
      <c r="J125" s="488"/>
      <c r="K125" s="11"/>
      <c r="L125" s="12"/>
      <c r="M125" s="488"/>
      <c r="N125" s="11"/>
      <c r="O125" s="12"/>
      <c r="P125" s="488"/>
      <c r="Q125" s="11"/>
      <c r="R125" s="12"/>
      <c r="S125" s="488"/>
      <c r="T125" s="11"/>
      <c r="U125" s="12"/>
      <c r="V125" s="488"/>
      <c r="W125" s="727" t="s">
        <v>396</v>
      </c>
      <c r="X125" s="728"/>
      <c r="Y125" s="488"/>
      <c r="Z125" s="11"/>
      <c r="AA125" s="12"/>
      <c r="AB125" s="504"/>
      <c r="AC125" s="11"/>
      <c r="AD125" s="12"/>
      <c r="AE125" s="488"/>
      <c r="AF125" s="11"/>
      <c r="AG125" s="12"/>
      <c r="AH125" s="485"/>
      <c r="AI125" s="11"/>
      <c r="AJ125" s="12"/>
      <c r="AK125" s="485"/>
      <c r="AL125" s="727" t="s">
        <v>396</v>
      </c>
      <c r="AM125" s="728"/>
      <c r="AN125" s="485"/>
      <c r="AO125" s="11"/>
      <c r="AP125" s="12"/>
      <c r="AQ125" s="486"/>
      <c r="AR125" s="486"/>
      <c r="AS125" s="485"/>
      <c r="AT125" s="212"/>
    </row>
    <row r="126" spans="1:53" x14ac:dyDescent="0.35">
      <c r="A126" s="5"/>
      <c r="B126" s="15"/>
      <c r="C126" s="15"/>
      <c r="D126" s="488"/>
      <c r="E126" s="713"/>
      <c r="F126" s="714"/>
      <c r="G126" s="488"/>
      <c r="H126" s="15"/>
      <c r="I126" s="15"/>
      <c r="J126" s="488"/>
      <c r="K126" s="15"/>
      <c r="L126" s="15"/>
      <c r="M126" s="488"/>
      <c r="N126" s="15"/>
      <c r="O126" s="15"/>
      <c r="P126" s="488"/>
      <c r="Q126" s="15"/>
      <c r="R126" s="15"/>
      <c r="S126" s="488"/>
      <c r="T126" s="15"/>
      <c r="U126" s="15"/>
      <c r="V126" s="488"/>
      <c r="W126" s="729"/>
      <c r="X126" s="730"/>
      <c r="Y126" s="494"/>
      <c r="Z126" s="15"/>
      <c r="AA126" s="15"/>
      <c r="AB126" s="509"/>
      <c r="AC126" s="15"/>
      <c r="AD126" s="15"/>
      <c r="AE126" s="494"/>
      <c r="AF126" s="15"/>
      <c r="AG126" s="15"/>
      <c r="AH126" s="485"/>
      <c r="AI126" s="15"/>
      <c r="AJ126" s="15"/>
      <c r="AL126" s="729"/>
      <c r="AM126" s="730"/>
      <c r="AO126" s="15"/>
      <c r="AP126" s="15"/>
      <c r="AQ126" s="517"/>
      <c r="AR126" s="517"/>
      <c r="AS126" s="485"/>
      <c r="AT126" s="212"/>
      <c r="AV126" s="2">
        <v>11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674" t="s">
        <v>115</v>
      </c>
      <c r="C127" s="675"/>
      <c r="D127" s="488">
        <v>377</v>
      </c>
      <c r="E127" s="689" t="s">
        <v>35</v>
      </c>
      <c r="F127" s="687"/>
      <c r="G127" s="488">
        <v>440</v>
      </c>
      <c r="H127" s="687" t="s">
        <v>33</v>
      </c>
      <c r="I127" s="687"/>
      <c r="J127" s="488">
        <v>400.28</v>
      </c>
      <c r="K127" s="689" t="s">
        <v>18</v>
      </c>
      <c r="L127" s="687"/>
      <c r="M127" s="488">
        <v>386</v>
      </c>
      <c r="N127" s="689" t="s">
        <v>33</v>
      </c>
      <c r="O127" s="687"/>
      <c r="P127" s="488">
        <v>420</v>
      </c>
      <c r="Q127" s="689" t="s">
        <v>23</v>
      </c>
      <c r="R127" s="687"/>
      <c r="S127" s="488">
        <v>337</v>
      </c>
      <c r="T127" s="689" t="s">
        <v>23</v>
      </c>
      <c r="U127" s="687"/>
      <c r="V127" s="488">
        <v>336.51</v>
      </c>
      <c r="W127" s="689" t="s">
        <v>182</v>
      </c>
      <c r="X127" s="687"/>
      <c r="Y127" s="494">
        <v>412</v>
      </c>
      <c r="Z127" s="674" t="s">
        <v>31</v>
      </c>
      <c r="AA127" s="675"/>
      <c r="AB127" s="509">
        <v>408</v>
      </c>
      <c r="AC127" s="674" t="s">
        <v>16</v>
      </c>
      <c r="AD127" s="674"/>
      <c r="AE127" s="494">
        <v>413</v>
      </c>
      <c r="AF127" s="674" t="s">
        <v>31</v>
      </c>
      <c r="AG127" s="675"/>
      <c r="AH127" s="485">
        <v>410</v>
      </c>
      <c r="AI127" s="726" t="s">
        <v>33</v>
      </c>
      <c r="AJ127" s="686"/>
      <c r="AK127" s="6">
        <v>406</v>
      </c>
      <c r="AL127" s="726" t="s">
        <v>33</v>
      </c>
      <c r="AM127" s="686"/>
      <c r="AN127" s="6">
        <v>411</v>
      </c>
      <c r="AO127" s="726" t="s">
        <v>33</v>
      </c>
      <c r="AP127" s="686"/>
      <c r="AQ127" s="10">
        <v>372</v>
      </c>
      <c r="AR127" s="10"/>
      <c r="AS127" s="485"/>
      <c r="AT127" s="212"/>
    </row>
    <row r="128" spans="1:53" x14ac:dyDescent="0.35">
      <c r="A128" s="5"/>
      <c r="B128" s="674" t="s">
        <v>248</v>
      </c>
      <c r="C128" s="675"/>
      <c r="D128" s="494"/>
      <c r="E128" s="674" t="s">
        <v>249</v>
      </c>
      <c r="F128" s="675"/>
      <c r="G128" s="494"/>
      <c r="H128" s="674" t="s">
        <v>250</v>
      </c>
      <c r="I128" s="675"/>
      <c r="J128" s="494"/>
      <c r="K128" s="674" t="s">
        <v>251</v>
      </c>
      <c r="L128" s="675"/>
      <c r="M128" s="494"/>
      <c r="N128" s="674" t="s">
        <v>252</v>
      </c>
      <c r="O128" s="675"/>
      <c r="P128" s="494"/>
      <c r="Q128" s="674" t="s">
        <v>253</v>
      </c>
      <c r="R128" s="675"/>
      <c r="S128" s="494"/>
      <c r="T128" s="674" t="s">
        <v>254</v>
      </c>
      <c r="U128" s="675"/>
      <c r="V128" s="494"/>
      <c r="W128" s="679" t="s">
        <v>255</v>
      </c>
      <c r="X128" s="675"/>
      <c r="Y128" s="494"/>
      <c r="Z128" s="678" t="s">
        <v>256</v>
      </c>
      <c r="AA128" s="675"/>
      <c r="AB128" s="494"/>
      <c r="AC128" s="678" t="s">
        <v>257</v>
      </c>
      <c r="AD128" s="675"/>
      <c r="AE128" s="494"/>
      <c r="AF128" s="678" t="s">
        <v>258</v>
      </c>
      <c r="AG128" s="675"/>
      <c r="AI128" s="678" t="s">
        <v>259</v>
      </c>
      <c r="AJ128" s="675"/>
      <c r="AL128" s="678" t="s">
        <v>260</v>
      </c>
      <c r="AM128" s="678"/>
      <c r="AO128" s="678" t="s">
        <v>261</v>
      </c>
      <c r="AP128" s="675"/>
      <c r="AQ128" s="491"/>
      <c r="AR128" s="491"/>
      <c r="AT128" s="7"/>
    </row>
    <row r="129" spans="1:53" x14ac:dyDescent="0.35">
      <c r="A129" s="5"/>
      <c r="B129" s="513" t="s">
        <v>395</v>
      </c>
      <c r="C129" s="513"/>
      <c r="D129" s="512"/>
      <c r="E129" s="513"/>
      <c r="F129" s="513" t="s">
        <v>395</v>
      </c>
      <c r="G129" s="512"/>
      <c r="H129" s="513"/>
      <c r="I129" s="513" t="s">
        <v>395</v>
      </c>
      <c r="J129" s="512"/>
      <c r="K129" s="513"/>
      <c r="L129" s="513" t="s">
        <v>395</v>
      </c>
      <c r="M129" s="512"/>
      <c r="N129" s="513"/>
      <c r="O129" s="513" t="s">
        <v>395</v>
      </c>
      <c r="P129" s="512"/>
      <c r="Q129" s="513"/>
      <c r="R129" s="513" t="s">
        <v>395</v>
      </c>
      <c r="S129" s="512"/>
      <c r="T129" s="513"/>
      <c r="U129" s="513" t="s">
        <v>395</v>
      </c>
      <c r="V129" s="512"/>
      <c r="W129" s="513"/>
      <c r="X129" s="513" t="s">
        <v>395</v>
      </c>
      <c r="Y129" s="512"/>
      <c r="Z129" s="513"/>
      <c r="AA129" s="513" t="s">
        <v>395</v>
      </c>
      <c r="AB129" s="512"/>
      <c r="AC129" s="513"/>
      <c r="AD129" s="513" t="s">
        <v>395</v>
      </c>
      <c r="AE129" s="512"/>
      <c r="AF129" s="513"/>
      <c r="AG129" s="513" t="s">
        <v>395</v>
      </c>
      <c r="AH129" s="514"/>
      <c r="AI129" s="513"/>
      <c r="AJ129" s="513" t="s">
        <v>395</v>
      </c>
      <c r="AK129" s="514"/>
      <c r="AL129" s="513" t="s">
        <v>395</v>
      </c>
      <c r="AM129" s="520"/>
      <c r="AN129" s="514"/>
      <c r="AO129" s="513" t="s">
        <v>395</v>
      </c>
      <c r="AP129" s="520"/>
      <c r="AQ129" s="520"/>
      <c r="AR129" s="520"/>
      <c r="AT129" s="7"/>
    </row>
    <row r="130" spans="1:53" x14ac:dyDescent="0.35">
      <c r="A130" s="5"/>
      <c r="B130" s="491"/>
      <c r="C130" s="491"/>
      <c r="D130" s="488"/>
      <c r="E130" s="517"/>
      <c r="F130" s="491"/>
      <c r="G130" s="491"/>
      <c r="H130" s="517"/>
      <c r="I130" s="504"/>
      <c r="J130" s="488"/>
      <c r="K130" s="518"/>
      <c r="L130" s="519"/>
      <c r="M130" s="488"/>
      <c r="N130" s="518"/>
      <c r="O130" s="519"/>
      <c r="P130" s="488"/>
      <c r="Q130" s="518"/>
      <c r="R130" s="519"/>
      <c r="S130" s="488"/>
      <c r="T130" s="518"/>
      <c r="U130" s="519"/>
      <c r="V130" s="488"/>
      <c r="W130" s="517"/>
      <c r="X130" s="504"/>
      <c r="Y130" s="494"/>
      <c r="Z130" s="517"/>
      <c r="AA130" s="504"/>
      <c r="AB130" s="504"/>
      <c r="AC130" s="517"/>
      <c r="AD130" s="504"/>
      <c r="AE130" s="494"/>
      <c r="AF130" s="517"/>
      <c r="AG130" s="504"/>
      <c r="AI130" s="517"/>
      <c r="AJ130" s="504"/>
      <c r="AL130" s="517"/>
      <c r="AM130" s="504"/>
      <c r="AO130" s="517"/>
      <c r="AP130" s="504"/>
      <c r="AQ130" s="504"/>
      <c r="AR130" s="504"/>
      <c r="AT130" s="7"/>
      <c r="AV130" s="6"/>
      <c r="AW130" s="6"/>
      <c r="AX130" s="6"/>
      <c r="AY130" s="6"/>
      <c r="AZ130" s="6"/>
    </row>
    <row r="131" spans="1:53" x14ac:dyDescent="0.35">
      <c r="A131" s="5"/>
      <c r="B131" s="504"/>
      <c r="C131" s="504"/>
      <c r="D131" s="494"/>
      <c r="E131" s="504"/>
      <c r="F131" s="504"/>
      <c r="G131" s="494"/>
      <c r="H131" s="504"/>
      <c r="I131" s="504"/>
      <c r="J131" s="494"/>
      <c r="K131" s="504"/>
      <c r="L131" s="504"/>
      <c r="M131" s="494"/>
      <c r="N131" s="504"/>
      <c r="O131" s="504"/>
      <c r="P131" s="494"/>
      <c r="Q131" s="504"/>
      <c r="R131" s="504"/>
      <c r="S131" s="494"/>
      <c r="T131" s="504"/>
      <c r="U131" s="504"/>
      <c r="V131" s="494"/>
      <c r="W131" s="504"/>
      <c r="X131" s="504"/>
      <c r="Y131" s="494"/>
      <c r="Z131" s="504"/>
      <c r="AA131" s="504"/>
      <c r="AC131" s="504"/>
      <c r="AD131" s="504"/>
      <c r="AE131" s="494"/>
      <c r="AF131" s="504"/>
      <c r="AG131" s="504"/>
      <c r="AT131" s="7"/>
    </row>
    <row r="132" spans="1:53" x14ac:dyDescent="0.35">
      <c r="A132" s="5"/>
      <c r="B132" s="675"/>
      <c r="C132" s="675"/>
      <c r="D132" s="494"/>
      <c r="E132" s="710"/>
      <c r="F132" s="710"/>
      <c r="G132" s="494"/>
      <c r="H132" s="710"/>
      <c r="I132" s="710"/>
      <c r="J132" s="494"/>
      <c r="K132" s="710"/>
      <c r="L132" s="710"/>
      <c r="M132" s="494"/>
      <c r="N132" s="710"/>
      <c r="O132" s="710"/>
      <c r="P132" s="494"/>
      <c r="Q132" s="710"/>
      <c r="R132" s="710"/>
      <c r="S132" s="494"/>
      <c r="T132" s="710"/>
      <c r="U132" s="710"/>
      <c r="V132" s="494"/>
      <c r="W132" s="710"/>
      <c r="X132" s="710"/>
      <c r="Y132" s="494"/>
      <c r="Z132" s="675"/>
      <c r="AA132" s="675"/>
      <c r="AB132" s="494"/>
      <c r="AC132" s="675"/>
      <c r="AD132" s="675"/>
      <c r="AE132" s="676"/>
      <c r="AF132" s="676"/>
      <c r="AG132" s="676"/>
      <c r="AH132" s="676"/>
      <c r="AI132" s="686"/>
      <c r="AJ132" s="686"/>
      <c r="AL132" s="686"/>
      <c r="AM132" s="686"/>
      <c r="AO132" s="686"/>
      <c r="AP132" s="686"/>
      <c r="AQ132" s="10"/>
      <c r="AR132" s="10"/>
      <c r="AT132" s="7"/>
    </row>
    <row r="133" spans="1:53" x14ac:dyDescent="0.35">
      <c r="A133" s="5"/>
      <c r="B133" s="11"/>
      <c r="C133" s="12"/>
      <c r="D133" s="488"/>
      <c r="E133" s="11"/>
      <c r="F133" s="12"/>
      <c r="G133" s="488"/>
      <c r="H133" s="11"/>
      <c r="I133" s="12"/>
      <c r="J133" s="488"/>
      <c r="K133" s="11"/>
      <c r="L133" s="12"/>
      <c r="M133" s="488"/>
      <c r="N133" s="11"/>
      <c r="O133" s="12"/>
      <c r="P133" s="488"/>
      <c r="Q133" s="11"/>
      <c r="R133" s="12"/>
      <c r="S133" s="488"/>
      <c r="T133" s="207"/>
      <c r="U133" s="207"/>
      <c r="V133" s="488"/>
      <c r="W133" s="11"/>
      <c r="X133" s="12"/>
      <c r="Y133" s="488"/>
      <c r="Z133" s="11"/>
      <c r="AA133" s="12"/>
      <c r="AB133" s="504"/>
      <c r="AC133" s="11"/>
      <c r="AD133" s="12"/>
      <c r="AE133" s="488"/>
      <c r="AF133" s="11"/>
      <c r="AG133" s="12"/>
      <c r="AH133" s="485"/>
      <c r="AI133" s="11"/>
      <c r="AJ133" s="12"/>
      <c r="AK133" s="485"/>
      <c r="AL133" s="711" t="s">
        <v>397</v>
      </c>
      <c r="AM133" s="712"/>
      <c r="AN133" s="485"/>
      <c r="AO133" s="11"/>
      <c r="AP133" s="12"/>
      <c r="AQ133" s="486"/>
      <c r="AR133" s="486"/>
      <c r="AS133" s="485"/>
      <c r="AT133" s="212"/>
    </row>
    <row r="134" spans="1:53" x14ac:dyDescent="0.35">
      <c r="A134" s="5"/>
      <c r="B134" s="15"/>
      <c r="C134" s="15"/>
      <c r="D134" s="488"/>
      <c r="E134" s="15"/>
      <c r="F134" s="15"/>
      <c r="G134" s="488"/>
      <c r="H134" s="15"/>
      <c r="I134" s="15"/>
      <c r="J134" s="488"/>
      <c r="K134" s="15"/>
      <c r="L134" s="15"/>
      <c r="M134" s="488"/>
      <c r="N134" s="15"/>
      <c r="O134" s="15"/>
      <c r="P134" s="488"/>
      <c r="Q134" s="15"/>
      <c r="R134" s="15"/>
      <c r="S134" s="488"/>
      <c r="T134" s="207"/>
      <c r="U134" s="207"/>
      <c r="V134" s="488"/>
      <c r="W134" s="15"/>
      <c r="X134" s="15"/>
      <c r="Y134" s="494"/>
      <c r="Z134" s="15"/>
      <c r="AA134" s="15"/>
      <c r="AB134" s="509"/>
      <c r="AC134" s="15"/>
      <c r="AD134" s="15"/>
      <c r="AE134" s="494"/>
      <c r="AF134" s="15"/>
      <c r="AG134" s="15"/>
      <c r="AH134" s="485"/>
      <c r="AI134" s="15"/>
      <c r="AJ134" s="15"/>
      <c r="AL134" s="713"/>
      <c r="AM134" s="714"/>
      <c r="AO134" s="15"/>
      <c r="AP134" s="15"/>
      <c r="AQ134" s="517"/>
      <c r="AR134" s="517"/>
      <c r="AS134" s="485"/>
      <c r="AT134" s="212"/>
      <c r="AV134" s="2">
        <v>13</v>
      </c>
      <c r="AW134" s="2">
        <v>12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674" t="s">
        <v>31</v>
      </c>
      <c r="C135" s="675"/>
      <c r="D135" s="488">
        <v>386</v>
      </c>
      <c r="E135" s="674" t="s">
        <v>31</v>
      </c>
      <c r="F135" s="675"/>
      <c r="G135" s="488">
        <v>370</v>
      </c>
      <c r="H135" s="674" t="s">
        <v>31</v>
      </c>
      <c r="I135" s="675"/>
      <c r="J135" s="488">
        <v>382</v>
      </c>
      <c r="K135" s="726" t="s">
        <v>33</v>
      </c>
      <c r="L135" s="686"/>
      <c r="M135" s="488">
        <v>384</v>
      </c>
      <c r="N135" s="689" t="s">
        <v>16</v>
      </c>
      <c r="O135" s="687"/>
      <c r="P135" s="488">
        <v>382</v>
      </c>
      <c r="Q135" s="689" t="s">
        <v>28</v>
      </c>
      <c r="R135" s="687"/>
      <c r="S135" s="488">
        <v>357</v>
      </c>
      <c r="T135" s="674" t="s">
        <v>31</v>
      </c>
      <c r="U135" s="675"/>
      <c r="V135" s="488">
        <v>351</v>
      </c>
      <c r="W135" s="692" t="s">
        <v>14</v>
      </c>
      <c r="X135" s="687"/>
      <c r="Y135" s="494">
        <v>413</v>
      </c>
      <c r="Z135" s="674" t="s">
        <v>33</v>
      </c>
      <c r="AA135" s="675"/>
      <c r="AB135" s="509">
        <v>423</v>
      </c>
      <c r="AC135" s="674" t="s">
        <v>14</v>
      </c>
      <c r="AD135" s="674"/>
      <c r="AE135" s="494">
        <v>390</v>
      </c>
      <c r="AF135" s="674" t="s">
        <v>31</v>
      </c>
      <c r="AG135" s="675"/>
      <c r="AH135" s="488">
        <v>406</v>
      </c>
      <c r="AI135" s="674" t="s">
        <v>33</v>
      </c>
      <c r="AJ135" s="675"/>
      <c r="AK135" s="494">
        <v>390</v>
      </c>
      <c r="AL135" s="675" t="s">
        <v>14</v>
      </c>
      <c r="AM135" s="675"/>
      <c r="AN135" s="494">
        <v>393</v>
      </c>
      <c r="AO135" s="675" t="s">
        <v>31</v>
      </c>
      <c r="AP135" s="675"/>
      <c r="AQ135" s="491">
        <v>426</v>
      </c>
      <c r="AR135" s="491"/>
      <c r="AS135" s="485"/>
      <c r="AT135" s="212"/>
    </row>
    <row r="136" spans="1:53" x14ac:dyDescent="0.35">
      <c r="A136" s="5"/>
      <c r="B136" s="678" t="s">
        <v>262</v>
      </c>
      <c r="C136" s="675"/>
      <c r="D136" s="494"/>
      <c r="E136" s="678" t="s">
        <v>263</v>
      </c>
      <c r="F136" s="675"/>
      <c r="G136" s="494"/>
      <c r="H136" s="678" t="s">
        <v>264</v>
      </c>
      <c r="I136" s="675"/>
      <c r="J136" s="494"/>
      <c r="K136" s="678" t="s">
        <v>265</v>
      </c>
      <c r="L136" s="675"/>
      <c r="M136" s="494"/>
      <c r="N136" s="678" t="s">
        <v>266</v>
      </c>
      <c r="O136" s="675"/>
      <c r="P136" s="494"/>
      <c r="Q136" s="678" t="s">
        <v>267</v>
      </c>
      <c r="R136" s="675"/>
      <c r="S136" s="494"/>
      <c r="T136" s="678" t="s">
        <v>268</v>
      </c>
      <c r="U136" s="675"/>
      <c r="V136" s="494"/>
      <c r="W136" s="678" t="s">
        <v>269</v>
      </c>
      <c r="X136" s="675"/>
      <c r="Y136" s="494"/>
      <c r="Z136" s="678" t="s">
        <v>270</v>
      </c>
      <c r="AA136" s="675"/>
      <c r="AB136" s="494"/>
      <c r="AC136" s="678" t="s">
        <v>271</v>
      </c>
      <c r="AD136" s="675"/>
      <c r="AE136" s="494"/>
      <c r="AF136" s="678" t="s">
        <v>272</v>
      </c>
      <c r="AG136" s="675"/>
      <c r="AI136" s="678" t="s">
        <v>273</v>
      </c>
      <c r="AJ136" s="675"/>
      <c r="AL136" s="678" t="s">
        <v>274</v>
      </c>
      <c r="AM136" s="675"/>
      <c r="AO136" s="678" t="s">
        <v>275</v>
      </c>
      <c r="AP136" s="675"/>
      <c r="AQ136" s="491"/>
      <c r="AR136" s="491"/>
      <c r="AT136" s="7"/>
    </row>
    <row r="137" spans="1:53" x14ac:dyDescent="0.35">
      <c r="A137" s="5"/>
      <c r="B137" s="513" t="s">
        <v>395</v>
      </c>
      <c r="C137" s="513"/>
      <c r="D137" s="512"/>
      <c r="E137" s="513" t="s">
        <v>395</v>
      </c>
      <c r="F137" s="513"/>
      <c r="G137" s="512"/>
      <c r="H137" s="513" t="s">
        <v>395</v>
      </c>
      <c r="I137" s="513"/>
      <c r="J137" s="512"/>
      <c r="K137" s="513" t="s">
        <v>395</v>
      </c>
      <c r="L137" s="513"/>
      <c r="M137" s="512"/>
      <c r="N137" s="507"/>
      <c r="O137" s="497" t="s">
        <v>359</v>
      </c>
      <c r="P137" s="508"/>
      <c r="Q137" s="507"/>
      <c r="R137" s="497" t="s">
        <v>359</v>
      </c>
      <c r="S137" s="508"/>
      <c r="T137" s="507"/>
      <c r="U137" s="497" t="s">
        <v>359</v>
      </c>
      <c r="V137" s="508"/>
      <c r="W137" s="507"/>
      <c r="X137" s="497" t="s">
        <v>359</v>
      </c>
      <c r="Y137" s="508"/>
      <c r="Z137" s="507"/>
      <c r="AA137" s="497" t="s">
        <v>359</v>
      </c>
      <c r="AB137" s="508"/>
      <c r="AC137" s="507"/>
      <c r="AD137" s="497" t="s">
        <v>359</v>
      </c>
      <c r="AE137" s="508"/>
      <c r="AF137" s="507"/>
      <c r="AG137" s="497" t="s">
        <v>359</v>
      </c>
      <c r="AH137" s="521"/>
      <c r="AI137" s="507"/>
      <c r="AJ137" s="497" t="s">
        <v>359</v>
      </c>
      <c r="AK137" s="521"/>
      <c r="AL137" s="507"/>
      <c r="AM137" s="497" t="s">
        <v>359</v>
      </c>
      <c r="AN137" s="521"/>
      <c r="AO137" s="507"/>
      <c r="AP137" s="497" t="s">
        <v>359</v>
      </c>
      <c r="AQ137" s="497"/>
      <c r="AR137" s="497"/>
      <c r="AT137" s="7"/>
    </row>
    <row r="138" spans="1:53" x14ac:dyDescent="0.35">
      <c r="A138" s="5"/>
      <c r="B138" s="491"/>
      <c r="C138" s="491"/>
      <c r="D138" s="488"/>
      <c r="E138" s="517"/>
      <c r="F138" s="491"/>
      <c r="G138" s="491"/>
      <c r="H138" s="517"/>
      <c r="I138" s="504"/>
      <c r="J138" s="488"/>
      <c r="K138" s="518"/>
      <c r="L138" s="519"/>
      <c r="M138" s="488"/>
      <c r="N138" s="518"/>
      <c r="O138" s="519"/>
      <c r="P138" s="488"/>
      <c r="Q138" s="518"/>
      <c r="R138" s="519"/>
      <c r="S138" s="488"/>
      <c r="T138" s="518"/>
      <c r="U138" s="519"/>
      <c r="V138" s="488"/>
      <c r="W138" s="517"/>
      <c r="X138" s="504"/>
      <c r="Y138" s="494"/>
      <c r="Z138" s="723" t="s">
        <v>408</v>
      </c>
      <c r="AA138" s="723"/>
      <c r="AB138" s="723"/>
      <c r="AC138" s="723"/>
      <c r="AD138" s="723"/>
      <c r="AE138" s="494"/>
      <c r="AF138" s="517"/>
      <c r="AG138" s="504"/>
      <c r="AI138" s="517"/>
      <c r="AJ138" s="504"/>
      <c r="AL138" s="517"/>
      <c r="AM138" s="504"/>
      <c r="AO138" s="517"/>
      <c r="AP138" s="504"/>
      <c r="AQ138" s="504"/>
      <c r="AR138" s="504"/>
      <c r="AT138" s="7"/>
      <c r="AV138" s="6"/>
      <c r="AW138" s="6"/>
      <c r="AX138" s="6"/>
      <c r="AY138" s="6"/>
      <c r="AZ138" s="6"/>
    </row>
    <row r="139" spans="1:53" x14ac:dyDescent="0.35">
      <c r="A139" s="5"/>
      <c r="B139" s="504"/>
      <c r="C139" s="504"/>
      <c r="D139" s="494"/>
      <c r="E139" s="504"/>
      <c r="F139" s="504"/>
      <c r="G139" s="494"/>
      <c r="H139" s="504"/>
      <c r="I139" s="504"/>
      <c r="J139" s="494"/>
      <c r="K139" s="504"/>
      <c r="L139" s="504"/>
      <c r="M139" s="494"/>
      <c r="N139" s="504"/>
      <c r="O139" s="504"/>
      <c r="P139" s="494"/>
      <c r="Q139" s="504"/>
      <c r="R139" s="504"/>
      <c r="S139" s="494"/>
      <c r="T139" s="504"/>
      <c r="U139" s="504"/>
      <c r="V139" s="494"/>
      <c r="W139" s="504"/>
      <c r="X139" s="504"/>
      <c r="Y139" s="494"/>
      <c r="Z139" s="504"/>
      <c r="AA139" s="504"/>
      <c r="AC139" s="504"/>
      <c r="AD139" s="504"/>
      <c r="AE139" s="494"/>
      <c r="AF139" s="504"/>
      <c r="AG139" s="504"/>
      <c r="AT139" s="7"/>
    </row>
    <row r="140" spans="1:53" x14ac:dyDescent="0.35">
      <c r="A140" s="5"/>
      <c r="B140" s="675"/>
      <c r="C140" s="675"/>
      <c r="D140" s="494"/>
      <c r="E140" s="710"/>
      <c r="F140" s="710"/>
      <c r="G140" s="494"/>
      <c r="H140" s="710"/>
      <c r="I140" s="710"/>
      <c r="J140" s="494"/>
      <c r="K140" s="710"/>
      <c r="L140" s="710"/>
      <c r="M140" s="494"/>
      <c r="N140" s="710"/>
      <c r="O140" s="710"/>
      <c r="P140" s="494"/>
      <c r="Q140" s="710"/>
      <c r="R140" s="710"/>
      <c r="S140" s="494"/>
      <c r="T140" s="710"/>
      <c r="U140" s="710"/>
      <c r="V140" s="494"/>
      <c r="W140" s="710"/>
      <c r="X140" s="710"/>
      <c r="Y140" s="494"/>
      <c r="Z140" s="675"/>
      <c r="AA140" s="675"/>
      <c r="AB140" s="494"/>
      <c r="AC140" s="675"/>
      <c r="AD140" s="675"/>
      <c r="AE140" s="676"/>
      <c r="AF140" s="676"/>
      <c r="AG140" s="676"/>
      <c r="AH140" s="676"/>
      <c r="AI140" s="686"/>
      <c r="AJ140" s="686"/>
      <c r="AL140" s="686"/>
      <c r="AM140" s="686"/>
      <c r="AO140" s="686"/>
      <c r="AP140" s="686"/>
      <c r="AQ140" s="10"/>
      <c r="AR140" s="10"/>
      <c r="AT140" s="7"/>
    </row>
    <row r="141" spans="1:53" x14ac:dyDescent="0.35">
      <c r="A141" s="5"/>
      <c r="B141" s="11"/>
      <c r="C141" s="12"/>
      <c r="D141" s="488"/>
      <c r="E141" s="11"/>
      <c r="F141" s="12"/>
      <c r="G141" s="488"/>
      <c r="H141" s="11"/>
      <c r="I141" s="12"/>
      <c r="J141" s="488"/>
      <c r="K141" s="11"/>
      <c r="L141" s="12"/>
      <c r="M141" s="488"/>
      <c r="N141" s="11"/>
      <c r="O141" s="12"/>
      <c r="P141" s="488"/>
      <c r="Q141" s="11"/>
      <c r="R141" s="12"/>
      <c r="S141" s="488"/>
      <c r="T141" s="11"/>
      <c r="U141" s="12"/>
      <c r="V141" s="488"/>
      <c r="W141" s="11"/>
      <c r="X141" s="12"/>
      <c r="Y141" s="488"/>
      <c r="Z141" s="207"/>
      <c r="AA141" s="207"/>
      <c r="AB141" s="504"/>
      <c r="AC141" s="11"/>
      <c r="AD141" s="12"/>
      <c r="AE141" s="488"/>
      <c r="AF141" s="11"/>
      <c r="AG141" s="12"/>
      <c r="AH141" s="485"/>
      <c r="AI141" s="11"/>
      <c r="AJ141" s="12"/>
      <c r="AK141" s="485"/>
      <c r="AL141" s="11"/>
      <c r="AM141" s="12"/>
      <c r="AN141" s="485"/>
      <c r="AO141" s="11"/>
      <c r="AP141" s="12"/>
      <c r="AQ141" s="522"/>
      <c r="AR141" s="522"/>
      <c r="AS141" s="485"/>
      <c r="AT141" s="212"/>
    </row>
    <row r="142" spans="1:53" x14ac:dyDescent="0.35">
      <c r="A142" s="5"/>
      <c r="B142" s="15"/>
      <c r="C142" s="15"/>
      <c r="D142" s="488"/>
      <c r="E142" s="15"/>
      <c r="F142" s="15"/>
      <c r="G142" s="488"/>
      <c r="H142" s="15"/>
      <c r="I142" s="15"/>
      <c r="J142" s="488"/>
      <c r="K142" s="15"/>
      <c r="L142" s="15"/>
      <c r="M142" s="488"/>
      <c r="N142" s="15"/>
      <c r="O142" s="15"/>
      <c r="P142" s="488"/>
      <c r="Q142" s="15"/>
      <c r="R142" s="15"/>
      <c r="S142" s="488"/>
      <c r="T142" s="15"/>
      <c r="U142" s="15"/>
      <c r="V142" s="488"/>
      <c r="W142" s="15"/>
      <c r="X142" s="15"/>
      <c r="Y142" s="494"/>
      <c r="Z142" s="207"/>
      <c r="AA142" s="207"/>
      <c r="AB142" s="509"/>
      <c r="AC142" s="15"/>
      <c r="AD142" s="15"/>
      <c r="AE142" s="494"/>
      <c r="AF142" s="15"/>
      <c r="AG142" s="15"/>
      <c r="AH142" s="485"/>
      <c r="AI142" s="15"/>
      <c r="AJ142" s="15"/>
      <c r="AL142" s="15"/>
      <c r="AM142" s="15"/>
      <c r="AO142" s="15"/>
      <c r="AP142" s="15"/>
      <c r="AQ142" s="523"/>
      <c r="AR142" s="523"/>
      <c r="AS142" s="485"/>
      <c r="AT142" s="212"/>
      <c r="AV142" s="2">
        <v>14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674" t="s">
        <v>33</v>
      </c>
      <c r="C143" s="675"/>
      <c r="D143" s="488">
        <v>407</v>
      </c>
      <c r="E143" s="689" t="s">
        <v>28</v>
      </c>
      <c r="F143" s="687"/>
      <c r="G143" s="488">
        <v>404</v>
      </c>
      <c r="H143" s="687" t="s">
        <v>16</v>
      </c>
      <c r="I143" s="687"/>
      <c r="J143" s="488">
        <v>418</v>
      </c>
      <c r="K143" s="689" t="s">
        <v>31</v>
      </c>
      <c r="L143" s="687"/>
      <c r="M143" s="488">
        <v>413</v>
      </c>
      <c r="N143" s="689" t="s">
        <v>33</v>
      </c>
      <c r="O143" s="687"/>
      <c r="P143" s="488">
        <v>410</v>
      </c>
      <c r="Q143" s="689" t="s">
        <v>31</v>
      </c>
      <c r="R143" s="687"/>
      <c r="S143" s="488">
        <v>426</v>
      </c>
      <c r="T143" s="692" t="s">
        <v>31</v>
      </c>
      <c r="U143" s="687"/>
      <c r="V143" s="488">
        <v>397</v>
      </c>
      <c r="W143" s="692" t="s">
        <v>16</v>
      </c>
      <c r="X143" s="687"/>
      <c r="Y143" s="494">
        <v>404</v>
      </c>
      <c r="Z143" s="674" t="s">
        <v>146</v>
      </c>
      <c r="AA143" s="675"/>
      <c r="AB143" s="509">
        <v>224</v>
      </c>
      <c r="AC143" s="674" t="s">
        <v>118</v>
      </c>
      <c r="AD143" s="674"/>
      <c r="AE143" s="494">
        <v>422</v>
      </c>
      <c r="AF143" s="674" t="s">
        <v>31</v>
      </c>
      <c r="AG143" s="675"/>
      <c r="AH143" s="488">
        <v>343</v>
      </c>
      <c r="AI143" s="679" t="s">
        <v>23</v>
      </c>
      <c r="AJ143" s="675"/>
      <c r="AK143" s="494">
        <v>360</v>
      </c>
      <c r="AL143" s="679" t="s">
        <v>23</v>
      </c>
      <c r="AM143" s="675"/>
      <c r="AN143" s="6">
        <v>340</v>
      </c>
      <c r="AO143" s="686" t="s">
        <v>40</v>
      </c>
      <c r="AP143" s="686"/>
      <c r="AQ143" s="10">
        <v>409</v>
      </c>
      <c r="AR143" s="10"/>
      <c r="AS143" s="485"/>
      <c r="AT143" s="212"/>
    </row>
    <row r="144" spans="1:53" x14ac:dyDescent="0.35">
      <c r="A144" s="5"/>
      <c r="B144" s="678" t="s">
        <v>276</v>
      </c>
      <c r="C144" s="675"/>
      <c r="D144" s="494"/>
      <c r="E144" s="675" t="s">
        <v>277</v>
      </c>
      <c r="F144" s="675"/>
      <c r="G144" s="494"/>
      <c r="H144" s="675" t="s">
        <v>278</v>
      </c>
      <c r="I144" s="675"/>
      <c r="J144" s="494"/>
      <c r="K144" s="675" t="s">
        <v>279</v>
      </c>
      <c r="L144" s="675"/>
      <c r="M144" s="494"/>
      <c r="N144" s="675" t="s">
        <v>280</v>
      </c>
      <c r="O144" s="675"/>
      <c r="P144" s="494"/>
      <c r="Q144" s="675" t="s">
        <v>281</v>
      </c>
      <c r="R144" s="675"/>
      <c r="S144" s="494"/>
      <c r="T144" s="675" t="s">
        <v>282</v>
      </c>
      <c r="U144" s="675"/>
      <c r="V144" s="494"/>
      <c r="W144" s="675" t="s">
        <v>283</v>
      </c>
      <c r="X144" s="675"/>
      <c r="Y144" s="494"/>
      <c r="Z144" s="675" t="s">
        <v>284</v>
      </c>
      <c r="AA144" s="675"/>
      <c r="AB144" s="494"/>
      <c r="AC144" s="675" t="s">
        <v>285</v>
      </c>
      <c r="AD144" s="675"/>
      <c r="AE144" s="494"/>
      <c r="AF144" s="675" t="s">
        <v>286</v>
      </c>
      <c r="AG144" s="675"/>
      <c r="AI144" s="675" t="s">
        <v>287</v>
      </c>
      <c r="AJ144" s="675"/>
      <c r="AK144" s="494"/>
      <c r="AL144" s="675" t="s">
        <v>288</v>
      </c>
      <c r="AM144" s="675"/>
      <c r="AO144" s="675" t="s">
        <v>289</v>
      </c>
      <c r="AP144" s="675"/>
      <c r="AQ144" s="491"/>
      <c r="AR144" s="491"/>
      <c r="AT144" s="7"/>
    </row>
    <row r="145" spans="1:53" x14ac:dyDescent="0.35">
      <c r="A145" s="5"/>
      <c r="B145" s="497" t="s">
        <v>359</v>
      </c>
      <c r="C145" s="507"/>
      <c r="D145" s="508"/>
      <c r="E145" s="507"/>
      <c r="F145" s="497" t="s">
        <v>359</v>
      </c>
      <c r="G145" s="508"/>
      <c r="H145" s="507"/>
      <c r="I145" s="497" t="s">
        <v>359</v>
      </c>
      <c r="J145" s="508"/>
      <c r="K145" s="507"/>
      <c r="L145" s="497" t="s">
        <v>359</v>
      </c>
      <c r="M145" s="508"/>
      <c r="N145" s="507"/>
      <c r="O145" s="497" t="s">
        <v>359</v>
      </c>
      <c r="P145" s="508"/>
      <c r="Q145" s="507"/>
      <c r="R145" s="497" t="s">
        <v>359</v>
      </c>
      <c r="S145" s="508"/>
      <c r="T145" s="507"/>
      <c r="U145" s="497" t="s">
        <v>359</v>
      </c>
      <c r="V145" s="508"/>
      <c r="W145" s="507"/>
      <c r="X145" s="497" t="s">
        <v>359</v>
      </c>
      <c r="Y145" s="508"/>
      <c r="Z145" s="507"/>
      <c r="AA145" s="497" t="s">
        <v>359</v>
      </c>
      <c r="AB145" s="508"/>
      <c r="AC145" s="507"/>
      <c r="AD145" s="497" t="s">
        <v>359</v>
      </c>
      <c r="AE145" s="508"/>
      <c r="AF145" s="507"/>
      <c r="AG145" s="497" t="s">
        <v>359</v>
      </c>
      <c r="AH145" s="521"/>
      <c r="AI145" s="507"/>
      <c r="AJ145" s="497" t="s">
        <v>359</v>
      </c>
      <c r="AK145" s="521"/>
      <c r="AL145" s="497"/>
      <c r="AM145" s="497" t="s">
        <v>359</v>
      </c>
      <c r="AN145" s="521"/>
      <c r="AO145" s="507"/>
      <c r="AP145" s="497" t="s">
        <v>359</v>
      </c>
      <c r="AQ145" s="497"/>
      <c r="AR145" s="497"/>
      <c r="AT145" s="7"/>
    </row>
    <row r="146" spans="1:53" x14ac:dyDescent="0.35">
      <c r="A146" s="5"/>
      <c r="C146" s="504"/>
      <c r="D146" s="504"/>
      <c r="E146" s="504"/>
      <c r="F146" s="504"/>
      <c r="G146" s="504"/>
      <c r="H146" s="723" t="s">
        <v>790</v>
      </c>
      <c r="I146" s="723"/>
      <c r="J146" s="723"/>
      <c r="K146" s="723"/>
      <c r="L146" s="723"/>
      <c r="M146" s="504"/>
      <c r="N146" s="504"/>
      <c r="O146" s="504"/>
      <c r="P146" s="504"/>
      <c r="Q146" s="723" t="s">
        <v>408</v>
      </c>
      <c r="R146" s="723"/>
      <c r="S146" s="723"/>
      <c r="T146" s="723"/>
      <c r="U146" s="723"/>
      <c r="V146" s="504"/>
      <c r="W146" s="504"/>
      <c r="X146" s="504"/>
      <c r="Y146" s="504"/>
      <c r="Z146" s="504"/>
      <c r="AA146" s="504"/>
      <c r="AB146" s="50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675" t="s">
        <v>769</v>
      </c>
      <c r="AP146" s="675"/>
      <c r="AQ146" s="675"/>
      <c r="AR146" s="675"/>
      <c r="AS146" s="675"/>
      <c r="AT146" s="731"/>
      <c r="AV146" s="6"/>
      <c r="AW146" s="6"/>
      <c r="AX146" s="6"/>
      <c r="AY146" s="6"/>
      <c r="AZ146" s="6"/>
    </row>
    <row r="147" spans="1:53" x14ac:dyDescent="0.35">
      <c r="A147" s="5"/>
      <c r="B147" s="504"/>
      <c r="C147" s="504"/>
      <c r="D147" s="494"/>
      <c r="E147" s="504"/>
      <c r="F147" s="504"/>
      <c r="G147" s="494"/>
      <c r="H147" s="504"/>
      <c r="I147" s="504"/>
      <c r="J147" s="494"/>
      <c r="K147" s="504"/>
      <c r="L147" s="504"/>
      <c r="M147" s="494"/>
      <c r="N147" s="504"/>
      <c r="O147" s="504"/>
      <c r="P147" s="494"/>
      <c r="Q147" s="504"/>
      <c r="R147" s="504"/>
      <c r="S147" s="494"/>
      <c r="T147" s="504"/>
      <c r="U147" s="504"/>
      <c r="V147" s="494"/>
      <c r="W147" s="504"/>
      <c r="X147" s="504"/>
      <c r="Y147" s="494"/>
      <c r="Z147" s="504"/>
      <c r="AA147" s="504"/>
      <c r="AC147" s="504"/>
      <c r="AD147" s="504"/>
      <c r="AE147" s="494"/>
      <c r="AF147" s="504"/>
      <c r="AG147" s="504"/>
      <c r="AT147" s="7"/>
    </row>
    <row r="148" spans="1:53" x14ac:dyDescent="0.35">
      <c r="A148" s="5"/>
      <c r="B148" s="675"/>
      <c r="C148" s="675"/>
      <c r="D148" s="494"/>
      <c r="E148" s="710"/>
      <c r="F148" s="710"/>
      <c r="G148" s="494"/>
      <c r="H148" s="710"/>
      <c r="I148" s="710"/>
      <c r="J148" s="494"/>
      <c r="K148" s="710"/>
      <c r="L148" s="710"/>
      <c r="M148" s="494"/>
      <c r="N148" s="710"/>
      <c r="O148" s="710"/>
      <c r="P148" s="494"/>
      <c r="Q148" s="710"/>
      <c r="R148" s="710"/>
      <c r="S148" s="494"/>
      <c r="T148" s="710"/>
      <c r="U148" s="710"/>
      <c r="V148" s="494"/>
      <c r="W148" s="710"/>
      <c r="X148" s="710"/>
      <c r="Y148" s="494"/>
      <c r="Z148" s="675"/>
      <c r="AA148" s="675"/>
      <c r="AB148" s="494"/>
      <c r="AC148" s="675"/>
      <c r="AD148" s="675"/>
      <c r="AE148" s="676"/>
      <c r="AF148" s="676"/>
      <c r="AG148" s="676"/>
      <c r="AH148" s="676"/>
      <c r="AI148" s="686"/>
      <c r="AJ148" s="686"/>
      <c r="AL148" s="686"/>
      <c r="AM148" s="686"/>
      <c r="AO148" s="686"/>
      <c r="AP148" s="686"/>
      <c r="AQ148" s="10"/>
      <c r="AR148" s="10"/>
      <c r="AT148" s="7"/>
    </row>
    <row r="149" spans="1:53" x14ac:dyDescent="0.35">
      <c r="A149" s="5"/>
      <c r="B149" s="207"/>
      <c r="C149" s="207"/>
      <c r="D149" s="488"/>
      <c r="E149" s="207"/>
      <c r="F149" s="207"/>
      <c r="G149" s="488"/>
      <c r="H149" s="11"/>
      <c r="I149" s="12"/>
      <c r="J149" s="488"/>
      <c r="K149" s="11"/>
      <c r="L149" s="12"/>
      <c r="M149" s="488"/>
      <c r="N149" s="207"/>
      <c r="O149" s="207"/>
      <c r="P149" s="488"/>
      <c r="Q149" s="11"/>
      <c r="R149" s="12"/>
      <c r="S149" s="488"/>
      <c r="T149" s="30"/>
      <c r="U149" s="31"/>
      <c r="V149" s="488"/>
      <c r="W149" s="11"/>
      <c r="X149" s="12"/>
      <c r="Y149" s="488"/>
      <c r="Z149" s="11"/>
      <c r="AA149" s="12"/>
      <c r="AB149" s="504"/>
      <c r="AC149" s="711" t="s">
        <v>397</v>
      </c>
      <c r="AD149" s="712"/>
      <c r="AE149" s="488"/>
      <c r="AF149" s="711" t="s">
        <v>397</v>
      </c>
      <c r="AG149" s="712"/>
      <c r="AH149" s="485"/>
      <c r="AI149" s="11"/>
      <c r="AJ149" s="12"/>
      <c r="AK149" s="485"/>
      <c r="AL149" s="711" t="s">
        <v>397</v>
      </c>
      <c r="AM149" s="712"/>
      <c r="AN149" s="485"/>
      <c r="AO149" s="711" t="s">
        <v>397</v>
      </c>
      <c r="AP149" s="712"/>
      <c r="AQ149" s="515"/>
      <c r="AR149" s="515"/>
      <c r="AS149" s="485"/>
      <c r="AT149" s="212"/>
    </row>
    <row r="150" spans="1:53" x14ac:dyDescent="0.35">
      <c r="A150" s="5"/>
      <c r="B150" s="207"/>
      <c r="C150" s="207"/>
      <c r="D150" s="488"/>
      <c r="E150" s="207"/>
      <c r="F150" s="207"/>
      <c r="G150" s="488"/>
      <c r="H150" s="15"/>
      <c r="I150" s="15"/>
      <c r="J150" s="488"/>
      <c r="K150" s="15"/>
      <c r="L150" s="15"/>
      <c r="M150" s="488"/>
      <c r="N150" s="207"/>
      <c r="O150" s="207"/>
      <c r="P150" s="488"/>
      <c r="Q150" s="15"/>
      <c r="R150" s="15"/>
      <c r="S150" s="488"/>
      <c r="T150" s="32"/>
      <c r="U150" s="32"/>
      <c r="V150" s="488"/>
      <c r="W150" s="15"/>
      <c r="X150" s="15"/>
      <c r="Y150" s="494"/>
      <c r="Z150" s="15"/>
      <c r="AA150" s="15"/>
      <c r="AB150" s="509"/>
      <c r="AC150" s="713"/>
      <c r="AD150" s="714"/>
      <c r="AE150" s="494"/>
      <c r="AF150" s="713"/>
      <c r="AG150" s="714"/>
      <c r="AH150" s="485"/>
      <c r="AI150" s="15"/>
      <c r="AJ150" s="15"/>
      <c r="AL150" s="713"/>
      <c r="AM150" s="714"/>
      <c r="AO150" s="713"/>
      <c r="AP150" s="714"/>
      <c r="AQ150" s="515"/>
      <c r="AR150" s="515"/>
      <c r="AS150" s="485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674" t="s">
        <v>35</v>
      </c>
      <c r="C151" s="675"/>
      <c r="D151" s="488">
        <v>391.06</v>
      </c>
      <c r="E151" s="674" t="s">
        <v>113</v>
      </c>
      <c r="F151" s="675"/>
      <c r="G151" s="488">
        <v>386</v>
      </c>
      <c r="H151" s="674" t="s">
        <v>767</v>
      </c>
      <c r="I151" s="675"/>
      <c r="J151" s="363">
        <v>372.887</v>
      </c>
      <c r="K151" s="674" t="s">
        <v>768</v>
      </c>
      <c r="L151" s="675"/>
      <c r="M151" s="363">
        <v>333</v>
      </c>
      <c r="N151" s="689" t="s">
        <v>33</v>
      </c>
      <c r="O151" s="687"/>
      <c r="P151" s="363">
        <v>357.142</v>
      </c>
      <c r="Q151" s="689" t="s">
        <v>146</v>
      </c>
      <c r="R151" s="687"/>
      <c r="S151" s="363">
        <v>234.17099999999999</v>
      </c>
      <c r="T151" s="692" t="s">
        <v>172</v>
      </c>
      <c r="U151" s="687"/>
      <c r="V151" s="315">
        <v>352</v>
      </c>
      <c r="W151" s="692" t="s">
        <v>16</v>
      </c>
      <c r="X151" s="687"/>
      <c r="Y151" s="315">
        <v>353</v>
      </c>
      <c r="Z151" s="674" t="s">
        <v>33</v>
      </c>
      <c r="AA151" s="675"/>
      <c r="AB151" s="315">
        <v>352.60599999999999</v>
      </c>
      <c r="AC151" s="674" t="s">
        <v>154</v>
      </c>
      <c r="AD151" s="674"/>
      <c r="AE151" s="494">
        <v>268</v>
      </c>
      <c r="AF151" s="674" t="s">
        <v>299</v>
      </c>
      <c r="AG151" s="675"/>
      <c r="AH151" s="488">
        <v>306</v>
      </c>
      <c r="AI151" s="674" t="s">
        <v>390</v>
      </c>
      <c r="AJ151" s="675"/>
      <c r="AK151" s="494">
        <v>297</v>
      </c>
      <c r="AL151" s="675" t="s">
        <v>23</v>
      </c>
      <c r="AM151" s="675"/>
      <c r="AN151" s="315">
        <v>414.40300000000002</v>
      </c>
      <c r="AO151" s="675" t="s">
        <v>61</v>
      </c>
      <c r="AP151" s="675"/>
      <c r="AQ151" s="491">
        <v>332</v>
      </c>
      <c r="AR151" s="491"/>
      <c r="AS151" s="485"/>
      <c r="AT151" s="212"/>
    </row>
    <row r="152" spans="1:53" x14ac:dyDescent="0.35">
      <c r="A152" s="5"/>
      <c r="B152" s="675" t="s">
        <v>290</v>
      </c>
      <c r="C152" s="675"/>
      <c r="D152" s="494"/>
      <c r="E152" s="675" t="s">
        <v>291</v>
      </c>
      <c r="F152" s="675"/>
      <c r="G152" s="494"/>
      <c r="H152" s="675" t="s">
        <v>292</v>
      </c>
      <c r="I152" s="675"/>
      <c r="J152" s="494"/>
      <c r="K152" s="675" t="s">
        <v>391</v>
      </c>
      <c r="L152" s="675"/>
      <c r="M152" s="494"/>
      <c r="N152" s="675" t="s">
        <v>392</v>
      </c>
      <c r="O152" s="675"/>
      <c r="P152" s="494"/>
      <c r="Q152" s="674" t="s">
        <v>293</v>
      </c>
      <c r="R152" s="675"/>
      <c r="S152" s="494"/>
      <c r="T152" s="675" t="s">
        <v>294</v>
      </c>
      <c r="U152" s="675"/>
      <c r="V152" s="494"/>
      <c r="W152" s="675" t="s">
        <v>295</v>
      </c>
      <c r="X152" s="675"/>
      <c r="Y152" s="494"/>
      <c r="Z152" s="675" t="s">
        <v>296</v>
      </c>
      <c r="AA152" s="675"/>
      <c r="AB152" s="494"/>
      <c r="AC152" s="675" t="s">
        <v>297</v>
      </c>
      <c r="AD152" s="675"/>
      <c r="AE152" s="494"/>
      <c r="AF152" s="675" t="s">
        <v>298</v>
      </c>
      <c r="AG152" s="675"/>
      <c r="AI152" s="675" t="s">
        <v>300</v>
      </c>
      <c r="AJ152" s="675"/>
      <c r="AL152" s="675" t="s">
        <v>301</v>
      </c>
      <c r="AM152" s="675"/>
      <c r="AO152" s="675" t="s">
        <v>302</v>
      </c>
      <c r="AP152" s="675"/>
      <c r="AQ152" s="491"/>
      <c r="AR152" s="491"/>
      <c r="AT152" s="7"/>
    </row>
    <row r="153" spans="1:53" x14ac:dyDescent="0.35">
      <c r="A153" s="5"/>
      <c r="B153" s="497" t="s">
        <v>359</v>
      </c>
      <c r="C153" s="507"/>
      <c r="D153" s="508"/>
      <c r="E153" s="507"/>
      <c r="F153" s="497" t="s">
        <v>359</v>
      </c>
      <c r="G153" s="508"/>
      <c r="H153" s="507"/>
      <c r="I153" s="497" t="s">
        <v>359</v>
      </c>
      <c r="J153" s="508"/>
      <c r="K153" s="507"/>
      <c r="L153" s="497" t="s">
        <v>359</v>
      </c>
      <c r="M153" s="508"/>
      <c r="N153" s="507"/>
      <c r="O153" s="497" t="s">
        <v>359</v>
      </c>
      <c r="P153" s="508"/>
      <c r="Q153" s="507"/>
      <c r="R153" s="497" t="s">
        <v>359</v>
      </c>
      <c r="S153" s="508"/>
      <c r="T153" s="507"/>
      <c r="U153" s="497" t="s">
        <v>359</v>
      </c>
      <c r="V153" s="508"/>
      <c r="W153" s="507"/>
      <c r="X153" s="497" t="s">
        <v>359</v>
      </c>
      <c r="Y153" s="508"/>
      <c r="Z153" s="507"/>
      <c r="AA153" s="497" t="s">
        <v>359</v>
      </c>
      <c r="AB153" s="508"/>
      <c r="AC153" s="507"/>
      <c r="AD153" s="497" t="s">
        <v>359</v>
      </c>
      <c r="AE153" s="508"/>
      <c r="AF153" s="507"/>
      <c r="AG153" s="497" t="s">
        <v>359</v>
      </c>
      <c r="AH153" s="521"/>
      <c r="AI153" s="507"/>
      <c r="AJ153" s="497" t="s">
        <v>359</v>
      </c>
      <c r="AK153" s="521"/>
      <c r="AL153" s="507"/>
      <c r="AM153" s="497" t="s">
        <v>359</v>
      </c>
      <c r="AN153" s="521"/>
      <c r="AO153" s="507"/>
      <c r="AP153" s="497" t="s">
        <v>359</v>
      </c>
      <c r="AQ153" s="497"/>
      <c r="AR153" s="497"/>
      <c r="AT153" s="7"/>
    </row>
    <row r="154" spans="1:53" x14ac:dyDescent="0.35">
      <c r="A154" s="5"/>
      <c r="B154" s="723" t="s">
        <v>769</v>
      </c>
      <c r="C154" s="723"/>
      <c r="D154" s="723"/>
      <c r="E154" s="723"/>
      <c r="F154" s="723"/>
      <c r="G154" s="723"/>
      <c r="H154" s="723"/>
      <c r="I154" s="723"/>
      <c r="J154" s="723"/>
      <c r="K154" s="723"/>
      <c r="L154" s="723"/>
      <c r="M154" s="723"/>
      <c r="N154" s="723"/>
      <c r="O154" s="723"/>
      <c r="P154" s="504"/>
      <c r="Q154" s="504"/>
      <c r="R154" s="504"/>
      <c r="S154" s="504"/>
      <c r="T154" s="504"/>
      <c r="U154" s="504"/>
      <c r="V154" s="488"/>
      <c r="W154" s="732" t="s">
        <v>409</v>
      </c>
      <c r="X154" s="732"/>
      <c r="Y154" s="732"/>
      <c r="Z154" s="732"/>
      <c r="AA154" s="732"/>
      <c r="AB154" s="504"/>
      <c r="AC154" s="224" t="s">
        <v>791</v>
      </c>
      <c r="AD154" s="224"/>
      <c r="AE154" s="224"/>
      <c r="AF154" s="733" t="s">
        <v>408</v>
      </c>
      <c r="AG154" s="734"/>
      <c r="AH154" s="734"/>
      <c r="AI154" s="734"/>
      <c r="AJ154" s="735"/>
      <c r="AL154" s="517"/>
      <c r="AM154" s="504"/>
      <c r="AO154" s="517"/>
      <c r="AP154" s="504"/>
      <c r="AQ154" s="504"/>
      <c r="AR154" s="504"/>
      <c r="AT154" s="7"/>
      <c r="AV154" s="6"/>
      <c r="AW154" s="6"/>
      <c r="AX154" s="6"/>
      <c r="AY154" s="6"/>
      <c r="AZ154" s="6"/>
    </row>
    <row r="155" spans="1:53" x14ac:dyDescent="0.35">
      <c r="A155" s="5"/>
      <c r="B155" s="504"/>
      <c r="C155" s="504"/>
      <c r="D155" s="494"/>
      <c r="E155" s="504"/>
      <c r="F155" s="504"/>
      <c r="G155" s="494"/>
      <c r="H155" s="504"/>
      <c r="I155" s="504"/>
      <c r="J155" s="494"/>
      <c r="K155" s="504"/>
      <c r="L155" s="504"/>
      <c r="M155" s="494"/>
      <c r="N155" s="504"/>
      <c r="O155" s="504"/>
      <c r="P155" s="494"/>
      <c r="Q155" s="504"/>
      <c r="R155" s="504"/>
      <c r="S155" s="494"/>
      <c r="T155" s="504"/>
      <c r="U155" s="504"/>
      <c r="V155" s="494"/>
      <c r="W155" s="504"/>
      <c r="X155" s="504"/>
      <c r="Y155" s="494"/>
      <c r="Z155" s="504"/>
      <c r="AA155" s="504"/>
      <c r="AC155" s="504"/>
      <c r="AD155" s="504"/>
      <c r="AE155" s="494"/>
      <c r="AF155" s="504"/>
      <c r="AG155" s="504"/>
      <c r="AT155" s="7"/>
    </row>
    <row r="156" spans="1:53" x14ac:dyDescent="0.35">
      <c r="A156" s="5"/>
      <c r="B156" s="675"/>
      <c r="C156" s="675"/>
      <c r="D156" s="494"/>
      <c r="E156" s="710"/>
      <c r="F156" s="710"/>
      <c r="G156" s="494"/>
      <c r="H156" s="710"/>
      <c r="I156" s="710"/>
      <c r="J156" s="494"/>
      <c r="K156" s="710"/>
      <c r="L156" s="710"/>
      <c r="M156" s="494"/>
      <c r="N156" s="710"/>
      <c r="O156" s="710"/>
      <c r="P156" s="494"/>
      <c r="Q156" s="710"/>
      <c r="R156" s="710"/>
      <c r="S156" s="494"/>
      <c r="T156" s="710"/>
      <c r="U156" s="710"/>
      <c r="V156" s="494"/>
      <c r="W156" s="710"/>
      <c r="X156" s="710"/>
      <c r="Y156" s="494"/>
      <c r="Z156" s="675"/>
      <c r="AA156" s="675"/>
      <c r="AB156" s="494"/>
      <c r="AC156" s="675"/>
      <c r="AD156" s="675"/>
      <c r="AE156" s="676"/>
      <c r="AF156" s="676"/>
      <c r="AG156" s="676"/>
      <c r="AH156" s="676"/>
      <c r="AI156" s="686"/>
      <c r="AJ156" s="686"/>
      <c r="AL156" s="686"/>
      <c r="AM156" s="686"/>
      <c r="AO156" s="686"/>
      <c r="AP156" s="686"/>
      <c r="AQ156" s="10"/>
      <c r="AR156" s="10"/>
      <c r="AT156" s="7"/>
    </row>
    <row r="157" spans="1:53" x14ac:dyDescent="0.35">
      <c r="A157" s="5"/>
      <c r="B157" s="30"/>
      <c r="C157" s="31"/>
      <c r="D157" s="488"/>
      <c r="E157" s="30"/>
      <c r="F157" s="31"/>
      <c r="G157" s="488"/>
      <c r="H157" s="30"/>
      <c r="I157" s="31"/>
      <c r="J157" s="488"/>
      <c r="K157" s="30"/>
      <c r="L157" s="31"/>
      <c r="M157" s="488"/>
      <c r="N157" s="30"/>
      <c r="O157" s="31"/>
      <c r="P157" s="488"/>
      <c r="Q157" s="711" t="s">
        <v>397</v>
      </c>
      <c r="R157" s="712"/>
      <c r="S157" s="488"/>
      <c r="T157" s="30"/>
      <c r="U157" s="31"/>
      <c r="V157" s="488"/>
      <c r="W157" s="221"/>
      <c r="X157" s="221"/>
      <c r="Y157" s="488"/>
      <c r="Z157" s="30"/>
      <c r="AA157" s="31"/>
      <c r="AB157" s="504"/>
      <c r="AC157" s="719" t="s">
        <v>396</v>
      </c>
      <c r="AD157" s="720"/>
      <c r="AE157" s="488"/>
      <c r="AF157" s="30"/>
      <c r="AG157" s="31"/>
      <c r="AH157" s="485"/>
      <c r="AI157" s="265"/>
      <c r="AJ157" s="9"/>
      <c r="AK157" s="485"/>
      <c r="AL157" s="11"/>
      <c r="AM157" s="12"/>
      <c r="AN157" s="485"/>
      <c r="AO157" s="11"/>
      <c r="AP157" s="12"/>
      <c r="AQ157" s="486"/>
      <c r="AR157" s="486"/>
      <c r="AS157" s="485"/>
      <c r="AT157" s="212"/>
    </row>
    <row r="158" spans="1:53" x14ac:dyDescent="0.35">
      <c r="A158" s="5"/>
      <c r="B158" s="32"/>
      <c r="C158" s="32"/>
      <c r="D158" s="488"/>
      <c r="E158" s="32"/>
      <c r="F158" s="32"/>
      <c r="G158" s="488"/>
      <c r="H158" s="32"/>
      <c r="I158" s="32"/>
      <c r="J158" s="488"/>
      <c r="K158" s="32"/>
      <c r="L158" s="32"/>
      <c r="M158" s="488"/>
      <c r="N158" s="32"/>
      <c r="O158" s="32"/>
      <c r="P158" s="488"/>
      <c r="Q158" s="713"/>
      <c r="R158" s="714"/>
      <c r="S158" s="488"/>
      <c r="T158" s="32"/>
      <c r="U158" s="32"/>
      <c r="V158" s="488"/>
      <c r="W158" s="221"/>
      <c r="X158" s="221"/>
      <c r="Y158" s="494"/>
      <c r="Z158" s="32"/>
      <c r="AA158" s="32"/>
      <c r="AB158" s="509"/>
      <c r="AC158" s="721"/>
      <c r="AD158" s="722"/>
      <c r="AE158" s="494"/>
      <c r="AF158" s="32"/>
      <c r="AG158" s="32"/>
      <c r="AH158" s="485"/>
      <c r="AI158" s="266"/>
      <c r="AJ158" s="266"/>
      <c r="AL158" s="15"/>
      <c r="AM158" s="15"/>
      <c r="AO158" s="15"/>
      <c r="AP158" s="15"/>
      <c r="AQ158" s="517"/>
      <c r="AR158" s="517"/>
      <c r="AS158" s="485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674" t="s">
        <v>238</v>
      </c>
      <c r="C159" s="675"/>
      <c r="D159" s="488">
        <v>410</v>
      </c>
      <c r="E159" s="689" t="s">
        <v>35</v>
      </c>
      <c r="F159" s="687"/>
      <c r="G159" s="315">
        <v>414</v>
      </c>
      <c r="H159" s="687" t="s">
        <v>33</v>
      </c>
      <c r="I159" s="687"/>
      <c r="J159" s="315">
        <v>407</v>
      </c>
      <c r="K159" s="689" t="s">
        <v>31</v>
      </c>
      <c r="L159" s="687"/>
      <c r="M159" s="315">
        <v>421.88400000000001</v>
      </c>
      <c r="N159" s="689" t="s">
        <v>234</v>
      </c>
      <c r="O159" s="687"/>
      <c r="P159" s="315">
        <v>532.19200000000001</v>
      </c>
      <c r="Q159" s="689" t="s">
        <v>164</v>
      </c>
      <c r="R159" s="687"/>
      <c r="S159" s="488">
        <v>415</v>
      </c>
      <c r="T159" s="692" t="s">
        <v>20</v>
      </c>
      <c r="U159" s="687"/>
      <c r="V159" s="362">
        <v>350</v>
      </c>
      <c r="W159" s="692" t="s">
        <v>1948</v>
      </c>
      <c r="X159" s="687"/>
      <c r="Y159" s="362">
        <v>249.01300000000001</v>
      </c>
      <c r="Z159" s="674" t="s">
        <v>156</v>
      </c>
      <c r="AA159" s="675"/>
      <c r="AB159" s="362">
        <v>351</v>
      </c>
      <c r="AC159" s="674" t="s">
        <v>16</v>
      </c>
      <c r="AD159" s="674"/>
      <c r="AE159" s="362">
        <v>307.26100000000002</v>
      </c>
      <c r="AF159" s="674" t="s">
        <v>314</v>
      </c>
      <c r="AG159" s="675"/>
      <c r="AH159" s="362">
        <v>250.55699999999999</v>
      </c>
      <c r="AI159" s="726" t="s">
        <v>148</v>
      </c>
      <c r="AJ159" s="686"/>
      <c r="AK159" s="362">
        <v>423</v>
      </c>
      <c r="AL159" s="686" t="s">
        <v>23</v>
      </c>
      <c r="AM159" s="686"/>
      <c r="AN159" s="362">
        <v>339</v>
      </c>
      <c r="AO159" s="686" t="s">
        <v>23</v>
      </c>
      <c r="AP159" s="686"/>
      <c r="AQ159" s="10">
        <v>340</v>
      </c>
      <c r="AR159" s="10"/>
      <c r="AS159" s="485"/>
      <c r="AT159" s="212"/>
    </row>
    <row r="160" spans="1:53" x14ac:dyDescent="0.35">
      <c r="A160" s="5"/>
      <c r="B160" s="675" t="s">
        <v>303</v>
      </c>
      <c r="C160" s="675"/>
      <c r="D160" s="494"/>
      <c r="E160" s="675" t="s">
        <v>304</v>
      </c>
      <c r="F160" s="675"/>
      <c r="G160" s="494"/>
      <c r="H160" s="675" t="s">
        <v>305</v>
      </c>
      <c r="I160" s="675"/>
      <c r="J160" s="494"/>
      <c r="K160" s="675" t="s">
        <v>306</v>
      </c>
      <c r="L160" s="675"/>
      <c r="M160" s="494"/>
      <c r="N160" s="675" t="s">
        <v>307</v>
      </c>
      <c r="O160" s="675"/>
      <c r="P160" s="494"/>
      <c r="Q160" s="675" t="s">
        <v>308</v>
      </c>
      <c r="R160" s="675"/>
      <c r="S160" s="494"/>
      <c r="T160" s="675" t="s">
        <v>309</v>
      </c>
      <c r="U160" s="675"/>
      <c r="V160" s="494"/>
      <c r="W160" s="675" t="s">
        <v>310</v>
      </c>
      <c r="X160" s="675"/>
      <c r="Y160" s="494"/>
      <c r="Z160" s="675" t="s">
        <v>311</v>
      </c>
      <c r="AA160" s="675"/>
      <c r="AB160" s="494"/>
      <c r="AC160" s="675" t="s">
        <v>312</v>
      </c>
      <c r="AD160" s="675"/>
      <c r="AE160" s="494"/>
      <c r="AF160" s="675" t="s">
        <v>313</v>
      </c>
      <c r="AG160" s="675"/>
      <c r="AI160" s="675" t="s">
        <v>315</v>
      </c>
      <c r="AJ160" s="675"/>
      <c r="AL160" s="675" t="s">
        <v>316</v>
      </c>
      <c r="AM160" s="675"/>
      <c r="AO160" s="675" t="s">
        <v>317</v>
      </c>
      <c r="AP160" s="675"/>
      <c r="AQ160" s="491">
        <v>340</v>
      </c>
      <c r="AR160" s="491"/>
      <c r="AT160" s="7"/>
    </row>
    <row r="161" spans="1:53" x14ac:dyDescent="0.35">
      <c r="A161" s="5"/>
      <c r="B161" s="497" t="s">
        <v>359</v>
      </c>
      <c r="C161" s="507"/>
      <c r="D161" s="508"/>
      <c r="E161" s="507"/>
      <c r="F161" s="497" t="s">
        <v>359</v>
      </c>
      <c r="G161" s="508"/>
      <c r="H161" s="507"/>
      <c r="I161" s="497" t="s">
        <v>359</v>
      </c>
      <c r="J161" s="508"/>
      <c r="K161" s="507"/>
      <c r="L161" s="497" t="s">
        <v>359</v>
      </c>
      <c r="M161" s="508"/>
      <c r="N161" s="507"/>
      <c r="O161" s="497" t="s">
        <v>359</v>
      </c>
      <c r="P161" s="508"/>
      <c r="Q161" s="507"/>
      <c r="R161" s="497" t="s">
        <v>359</v>
      </c>
      <c r="S161" s="508"/>
      <c r="T161" s="507"/>
      <c r="U161" s="497" t="s">
        <v>359</v>
      </c>
      <c r="V161" s="508"/>
      <c r="W161" s="507"/>
      <c r="X161" s="497" t="s">
        <v>359</v>
      </c>
      <c r="Y161" s="508"/>
      <c r="Z161" s="507"/>
      <c r="AA161" s="497" t="s">
        <v>359</v>
      </c>
      <c r="AB161" s="508"/>
      <c r="AC161" s="507"/>
      <c r="AD161" s="497" t="s">
        <v>359</v>
      </c>
      <c r="AE161" s="508"/>
      <c r="AF161" s="507"/>
      <c r="AG161" s="497" t="s">
        <v>359</v>
      </c>
      <c r="AH161" s="521"/>
      <c r="AI161" s="507"/>
      <c r="AJ161" s="497" t="s">
        <v>359</v>
      </c>
      <c r="AK161" s="521"/>
      <c r="AL161" s="507"/>
      <c r="AM161" s="497" t="s">
        <v>359</v>
      </c>
      <c r="AN161" s="521"/>
      <c r="AO161" s="507"/>
      <c r="AP161" s="497" t="s">
        <v>359</v>
      </c>
      <c r="AQ161" s="497"/>
      <c r="AR161" s="497"/>
      <c r="AT161" s="7"/>
    </row>
    <row r="162" spans="1:53" x14ac:dyDescent="0.35">
      <c r="A162" s="5"/>
      <c r="B162" s="491"/>
      <c r="C162" s="491"/>
      <c r="D162" s="488"/>
      <c r="E162" s="517"/>
      <c r="F162" s="491"/>
      <c r="G162" s="491"/>
      <c r="H162" s="517"/>
      <c r="I162" s="504"/>
      <c r="J162" s="488"/>
      <c r="K162" s="518"/>
      <c r="L162" s="519"/>
      <c r="M162" s="488"/>
      <c r="N162" s="518"/>
      <c r="O162" s="519"/>
      <c r="P162" s="488"/>
      <c r="Q162" s="518"/>
      <c r="R162" s="519"/>
      <c r="S162" s="488"/>
      <c r="T162" s="518"/>
      <c r="U162" s="519"/>
      <c r="V162" s="488"/>
      <c r="W162" s="732" t="s">
        <v>403</v>
      </c>
      <c r="X162" s="732"/>
      <c r="Y162" s="732"/>
      <c r="Z162" s="732"/>
      <c r="AA162" s="732"/>
      <c r="AB162" s="732"/>
      <c r="AC162" s="732"/>
      <c r="AD162" s="732"/>
      <c r="AE162" s="494"/>
      <c r="AF162" s="517"/>
      <c r="AG162" s="504"/>
      <c r="AH162" s="736"/>
      <c r="AI162" s="736"/>
      <c r="AJ162" s="736"/>
      <c r="AK162" s="736"/>
      <c r="AL162" s="517"/>
      <c r="AM162" s="504"/>
      <c r="AO162" s="517"/>
      <c r="AP162" s="504"/>
      <c r="AQ162" s="504"/>
      <c r="AR162" s="504"/>
      <c r="AT162" s="7"/>
      <c r="AV162" s="6"/>
      <c r="AW162" s="6"/>
      <c r="AX162" s="6"/>
      <c r="AY162" s="6"/>
      <c r="AZ162" s="6"/>
    </row>
    <row r="163" spans="1:53" x14ac:dyDescent="0.35">
      <c r="A163" s="5"/>
      <c r="B163" s="504"/>
      <c r="C163" s="504"/>
      <c r="D163" s="494"/>
      <c r="E163" s="504"/>
      <c r="F163" s="504"/>
      <c r="G163" s="494"/>
      <c r="H163" s="504"/>
      <c r="I163" s="504"/>
      <c r="J163" s="494"/>
      <c r="K163" s="504"/>
      <c r="L163" s="504"/>
      <c r="M163" s="494"/>
      <c r="N163" s="504"/>
      <c r="O163" s="504"/>
      <c r="P163" s="494"/>
      <c r="Q163" s="504"/>
      <c r="R163" s="504"/>
      <c r="S163" s="494"/>
      <c r="T163" s="504"/>
      <c r="U163" s="504"/>
      <c r="V163" s="494"/>
      <c r="W163" s="504"/>
      <c r="X163" s="504"/>
      <c r="Y163" s="494"/>
      <c r="Z163" s="504"/>
      <c r="AA163" s="504"/>
      <c r="AC163" s="504"/>
      <c r="AD163" s="504"/>
      <c r="AE163" s="494"/>
      <c r="AF163" s="504"/>
      <c r="AG163" s="504"/>
      <c r="AT163" s="7"/>
    </row>
    <row r="164" spans="1:53" x14ac:dyDescent="0.35">
      <c r="A164" s="5"/>
      <c r="B164" s="675"/>
      <c r="C164" s="675"/>
      <c r="D164" s="494"/>
      <c r="E164" s="710"/>
      <c r="F164" s="710"/>
      <c r="G164" s="494"/>
      <c r="H164" s="710"/>
      <c r="I164" s="710"/>
      <c r="J164" s="494"/>
      <c r="K164" s="710"/>
      <c r="L164" s="710"/>
      <c r="M164" s="494"/>
      <c r="N164" s="710"/>
      <c r="O164" s="710"/>
      <c r="P164" s="494"/>
      <c r="Q164" s="710"/>
      <c r="R164" s="710"/>
      <c r="S164" s="494"/>
      <c r="T164" s="710"/>
      <c r="U164" s="710"/>
      <c r="V164" s="494"/>
      <c r="W164" s="710"/>
      <c r="X164" s="710"/>
      <c r="Y164" s="494"/>
      <c r="Z164" s="675"/>
      <c r="AA164" s="675"/>
      <c r="AB164" s="494"/>
      <c r="AC164" s="675"/>
      <c r="AD164" s="675"/>
      <c r="AE164" s="676"/>
      <c r="AF164" s="676"/>
      <c r="AG164" s="676"/>
      <c r="AH164" s="676"/>
      <c r="AI164" s="686"/>
      <c r="AJ164" s="686"/>
      <c r="AL164" s="686"/>
      <c r="AM164" s="686"/>
      <c r="AO164" s="686"/>
      <c r="AP164" s="686"/>
      <c r="AQ164" s="10"/>
      <c r="AR164" s="10"/>
      <c r="AT164" s="7"/>
    </row>
    <row r="165" spans="1:53" x14ac:dyDescent="0.35">
      <c r="A165" s="5"/>
      <c r="B165" s="11"/>
      <c r="C165" s="12"/>
      <c r="D165" s="488"/>
      <c r="E165" s="11"/>
      <c r="F165" s="12"/>
      <c r="G165" s="488"/>
      <c r="H165" s="11"/>
      <c r="I165" s="12"/>
      <c r="J165" s="488"/>
      <c r="K165" s="11"/>
      <c r="L165" s="12"/>
      <c r="M165" s="488"/>
      <c r="N165" s="11"/>
      <c r="O165" s="12"/>
      <c r="P165" s="488"/>
      <c r="Q165" s="11"/>
      <c r="R165" s="12"/>
      <c r="S165" s="488"/>
      <c r="T165" s="11"/>
      <c r="U165" s="12"/>
      <c r="V165" s="488"/>
      <c r="W165" s="715" t="s">
        <v>396</v>
      </c>
      <c r="X165" s="716"/>
      <c r="Y165" s="488"/>
      <c r="Z165" s="11"/>
      <c r="AA165" s="12"/>
      <c r="AB165" s="504"/>
      <c r="AC165" s="719" t="s">
        <v>396</v>
      </c>
      <c r="AD165" s="720"/>
      <c r="AE165" s="488"/>
      <c r="AF165" s="11"/>
      <c r="AG165" s="12"/>
      <c r="AH165" s="485"/>
      <c r="AI165" s="11"/>
      <c r="AJ165" s="12"/>
      <c r="AK165" s="485"/>
      <c r="AL165" s="11"/>
      <c r="AM165" s="12"/>
      <c r="AN165" s="485"/>
      <c r="AO165" s="711" t="s">
        <v>397</v>
      </c>
      <c r="AP165" s="712"/>
      <c r="AQ165" s="515"/>
      <c r="AR165" s="515"/>
      <c r="AS165" s="485"/>
      <c r="AT165" s="212"/>
    </row>
    <row r="166" spans="1:53" x14ac:dyDescent="0.35">
      <c r="A166" s="5"/>
      <c r="B166" s="15"/>
      <c r="C166" s="15"/>
      <c r="D166" s="488"/>
      <c r="E166" s="15"/>
      <c r="F166" s="15"/>
      <c r="G166" s="488"/>
      <c r="H166" s="15"/>
      <c r="I166" s="15"/>
      <c r="J166" s="488"/>
      <c r="K166" s="15"/>
      <c r="L166" s="15"/>
      <c r="M166" s="488"/>
      <c r="N166" s="15"/>
      <c r="O166" s="15"/>
      <c r="P166" s="488"/>
      <c r="Q166" s="15"/>
      <c r="R166" s="15"/>
      <c r="S166" s="488"/>
      <c r="T166" s="15"/>
      <c r="U166" s="15"/>
      <c r="V166" s="488"/>
      <c r="W166" s="717"/>
      <c r="X166" s="718"/>
      <c r="Y166" s="494"/>
      <c r="Z166" s="15"/>
      <c r="AA166" s="15"/>
      <c r="AB166" s="509"/>
      <c r="AC166" s="721"/>
      <c r="AD166" s="722"/>
      <c r="AE166" s="494"/>
      <c r="AF166" s="15"/>
      <c r="AG166" s="15"/>
      <c r="AH166" s="485"/>
      <c r="AI166" s="15"/>
      <c r="AJ166" s="15"/>
      <c r="AL166" s="15"/>
      <c r="AM166" s="15"/>
      <c r="AO166" s="713"/>
      <c r="AP166" s="714"/>
      <c r="AQ166" s="515"/>
      <c r="AR166" s="515"/>
      <c r="AS166" s="485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686" t="s">
        <v>23</v>
      </c>
      <c r="C167" s="686"/>
      <c r="D167" s="362">
        <v>339.06099999999998</v>
      </c>
      <c r="E167" s="689" t="s">
        <v>115</v>
      </c>
      <c r="F167" s="687"/>
      <c r="G167" s="488">
        <v>383</v>
      </c>
      <c r="H167" s="687" t="s">
        <v>16</v>
      </c>
      <c r="I167" s="687"/>
      <c r="J167" s="488">
        <v>400</v>
      </c>
      <c r="K167" s="689" t="s">
        <v>40</v>
      </c>
      <c r="L167" s="687"/>
      <c r="M167" s="488">
        <v>386</v>
      </c>
      <c r="N167" s="689" t="s">
        <v>14</v>
      </c>
      <c r="O167" s="687"/>
      <c r="P167" s="488">
        <v>393</v>
      </c>
      <c r="Q167" s="689" t="s">
        <v>31</v>
      </c>
      <c r="R167" s="687"/>
      <c r="S167" s="488">
        <v>422</v>
      </c>
      <c r="T167" s="692" t="s">
        <v>16</v>
      </c>
      <c r="U167" s="687"/>
      <c r="V167" s="488">
        <v>408</v>
      </c>
      <c r="W167" s="692" t="s">
        <v>14</v>
      </c>
      <c r="X167" s="687"/>
      <c r="Y167" s="494">
        <v>370</v>
      </c>
      <c r="Z167" s="674" t="s">
        <v>23</v>
      </c>
      <c r="AA167" s="675"/>
      <c r="AB167" s="362">
        <v>345</v>
      </c>
      <c r="AC167" s="689" t="s">
        <v>31</v>
      </c>
      <c r="AD167" s="687"/>
      <c r="AE167" s="362">
        <v>352</v>
      </c>
      <c r="AF167" s="674" t="s">
        <v>23</v>
      </c>
      <c r="AG167" s="675"/>
      <c r="AH167" s="485">
        <v>440</v>
      </c>
      <c r="AI167" s="679" t="s">
        <v>35</v>
      </c>
      <c r="AJ167" s="675"/>
      <c r="AK167" s="6">
        <v>380</v>
      </c>
      <c r="AL167" s="674" t="s">
        <v>23</v>
      </c>
      <c r="AM167" s="675"/>
      <c r="AN167" s="6">
        <v>416</v>
      </c>
      <c r="AO167" s="686" t="s">
        <v>20</v>
      </c>
      <c r="AP167" s="686"/>
      <c r="AQ167" s="491">
        <v>406</v>
      </c>
      <c r="AR167" s="10"/>
      <c r="AS167" s="485"/>
      <c r="AT167" s="212"/>
    </row>
    <row r="168" spans="1:53" x14ac:dyDescent="0.35">
      <c r="A168" s="5"/>
      <c r="B168" s="675" t="s">
        <v>318</v>
      </c>
      <c r="C168" s="675"/>
      <c r="D168" s="494"/>
      <c r="E168" s="675" t="s">
        <v>319</v>
      </c>
      <c r="F168" s="675"/>
      <c r="G168" s="494"/>
      <c r="H168" s="675" t="s">
        <v>320</v>
      </c>
      <c r="I168" s="675"/>
      <c r="J168" s="494"/>
      <c r="K168" s="675" t="s">
        <v>321</v>
      </c>
      <c r="L168" s="675"/>
      <c r="M168" s="494"/>
      <c r="N168" s="675" t="s">
        <v>322</v>
      </c>
      <c r="O168" s="675"/>
      <c r="P168" s="494"/>
      <c r="Q168" s="675" t="s">
        <v>323</v>
      </c>
      <c r="R168" s="675"/>
      <c r="S168" s="494"/>
      <c r="T168" s="675" t="s">
        <v>324</v>
      </c>
      <c r="U168" s="675"/>
      <c r="V168" s="494"/>
      <c r="W168" s="675" t="s">
        <v>325</v>
      </c>
      <c r="X168" s="675"/>
      <c r="Y168" s="494"/>
      <c r="Z168" s="675" t="s">
        <v>326</v>
      </c>
      <c r="AA168" s="675"/>
      <c r="AB168" s="494"/>
      <c r="AC168" s="675" t="s">
        <v>327</v>
      </c>
      <c r="AD168" s="675"/>
      <c r="AE168" s="494"/>
      <c r="AF168" s="675" t="s">
        <v>328</v>
      </c>
      <c r="AG168" s="675"/>
      <c r="AI168" s="675" t="s">
        <v>329</v>
      </c>
      <c r="AJ168" s="675"/>
      <c r="AL168" s="675" t="s">
        <v>330</v>
      </c>
      <c r="AM168" s="675"/>
      <c r="AO168" s="675" t="s">
        <v>331</v>
      </c>
      <c r="AP168" s="675"/>
      <c r="AR168" s="491"/>
      <c r="AT168" s="7"/>
    </row>
    <row r="169" spans="1:53" x14ac:dyDescent="0.35">
      <c r="A169" s="5"/>
      <c r="B169" s="497" t="s">
        <v>359</v>
      </c>
      <c r="C169" s="507"/>
      <c r="D169" s="508"/>
      <c r="E169" s="507"/>
      <c r="F169" s="497" t="s">
        <v>359</v>
      </c>
      <c r="G169" s="508"/>
      <c r="H169" s="507"/>
      <c r="I169" s="497" t="s">
        <v>359</v>
      </c>
      <c r="J169" s="508"/>
      <c r="K169" s="507"/>
      <c r="L169" s="497" t="s">
        <v>359</v>
      </c>
      <c r="M169" s="508"/>
      <c r="N169" s="507"/>
      <c r="O169" s="497" t="s">
        <v>359</v>
      </c>
      <c r="P169" s="508"/>
      <c r="Q169" s="507"/>
      <c r="R169" s="497" t="s">
        <v>359</v>
      </c>
      <c r="S169" s="508"/>
      <c r="T169" s="507"/>
      <c r="U169" s="497" t="s">
        <v>359</v>
      </c>
      <c r="V169" s="508"/>
      <c r="W169" s="507"/>
      <c r="X169" s="497" t="s">
        <v>359</v>
      </c>
      <c r="Y169" s="508"/>
      <c r="Z169" s="507"/>
      <c r="AA169" s="497" t="s">
        <v>359</v>
      </c>
      <c r="AB169" s="508"/>
      <c r="AC169" s="507"/>
      <c r="AD169" s="497" t="s">
        <v>359</v>
      </c>
      <c r="AE169" s="508"/>
      <c r="AF169" s="507"/>
      <c r="AG169" s="497" t="s">
        <v>359</v>
      </c>
      <c r="AH169" s="521"/>
      <c r="AI169" s="507"/>
      <c r="AJ169" s="497" t="s">
        <v>359</v>
      </c>
      <c r="AK169" s="521"/>
      <c r="AL169" s="507"/>
      <c r="AM169" s="497" t="s">
        <v>359</v>
      </c>
      <c r="AN169" s="521"/>
      <c r="AO169" s="507"/>
      <c r="AP169" s="497" t="s">
        <v>359</v>
      </c>
      <c r="AQ169" s="497"/>
      <c r="AR169" s="497"/>
      <c r="AT169" s="7"/>
    </row>
    <row r="170" spans="1:53" x14ac:dyDescent="0.35">
      <c r="A170" s="5"/>
      <c r="B170" s="491"/>
      <c r="C170" s="491"/>
      <c r="D170" s="488"/>
      <c r="E170" s="517"/>
      <c r="F170" s="491"/>
      <c r="G170" s="491"/>
      <c r="H170" s="517"/>
      <c r="I170" s="504"/>
      <c r="J170" s="488"/>
      <c r="K170" s="725"/>
      <c r="L170" s="725"/>
      <c r="M170" s="725"/>
      <c r="N170" s="725"/>
      <c r="O170" s="725"/>
      <c r="P170" s="725"/>
      <c r="Q170" s="725"/>
      <c r="R170" s="725"/>
      <c r="S170" s="488"/>
      <c r="T170" s="518"/>
      <c r="U170" s="519"/>
      <c r="V170" s="737" t="s">
        <v>403</v>
      </c>
      <c r="W170" s="737"/>
      <c r="X170" s="737"/>
      <c r="Y170" s="737"/>
      <c r="Z170" s="517"/>
      <c r="AA170" s="504"/>
      <c r="AB170" s="504"/>
      <c r="AC170" s="517"/>
      <c r="AD170" s="504"/>
      <c r="AE170" s="494"/>
      <c r="AF170" s="517"/>
      <c r="AG170" s="504"/>
      <c r="AI170" s="517"/>
      <c r="AJ170" s="504"/>
      <c r="AL170" s="517"/>
      <c r="AM170" s="504"/>
      <c r="AO170" s="517"/>
      <c r="AP170" s="504"/>
      <c r="AQ170" s="504"/>
      <c r="AR170" s="504"/>
      <c r="AT170" s="7"/>
      <c r="AV170" s="6"/>
      <c r="AW170" s="6"/>
      <c r="AX170" s="6"/>
      <c r="AY170" s="6"/>
      <c r="AZ170" s="6"/>
    </row>
    <row r="171" spans="1:53" x14ac:dyDescent="0.35">
      <c r="A171" s="5"/>
      <c r="B171" s="504"/>
      <c r="C171" s="504"/>
      <c r="D171" s="494"/>
      <c r="E171" s="504"/>
      <c r="F171" s="504"/>
      <c r="G171" s="494"/>
      <c r="H171" s="504"/>
      <c r="I171" s="504"/>
      <c r="J171" s="494"/>
      <c r="K171" s="504"/>
      <c r="L171" s="504"/>
      <c r="M171" s="494"/>
      <c r="N171" s="504"/>
      <c r="O171" s="504"/>
      <c r="P171" s="494"/>
      <c r="Q171" s="504"/>
      <c r="R171" s="504"/>
      <c r="S171" s="494"/>
      <c r="T171" s="504"/>
      <c r="U171" s="504"/>
      <c r="V171" s="494"/>
      <c r="W171" s="504"/>
      <c r="X171" s="504"/>
      <c r="Y171" s="494"/>
      <c r="Z171" s="504"/>
      <c r="AA171" s="504"/>
      <c r="AC171" s="504"/>
      <c r="AD171" s="504"/>
      <c r="AE171" s="494"/>
      <c r="AF171" s="504"/>
      <c r="AG171" s="504"/>
      <c r="AT171" s="7"/>
    </row>
    <row r="172" spans="1:53" x14ac:dyDescent="0.35">
      <c r="A172" s="5"/>
      <c r="B172" s="675"/>
      <c r="C172" s="675"/>
      <c r="D172" s="494"/>
      <c r="E172" s="710"/>
      <c r="F172" s="710"/>
      <c r="G172" s="494"/>
      <c r="H172" s="710"/>
      <c r="I172" s="710"/>
      <c r="J172" s="494"/>
      <c r="K172" s="710"/>
      <c r="L172" s="710"/>
      <c r="M172" s="494"/>
      <c r="N172" s="710"/>
      <c r="O172" s="710"/>
      <c r="P172" s="494"/>
      <c r="Q172" s="710"/>
      <c r="R172" s="710"/>
      <c r="S172" s="494"/>
      <c r="T172" s="710"/>
      <c r="U172" s="710"/>
      <c r="V172" s="494"/>
      <c r="W172" s="710"/>
      <c r="X172" s="710"/>
      <c r="Y172" s="494"/>
      <c r="Z172" s="675"/>
      <c r="AA172" s="675"/>
      <c r="AB172" s="494"/>
      <c r="AC172" s="675"/>
      <c r="AD172" s="675"/>
      <c r="AE172" s="676"/>
      <c r="AF172" s="676"/>
      <c r="AG172" s="676"/>
      <c r="AH172" s="676"/>
      <c r="AI172" s="686"/>
      <c r="AJ172" s="686"/>
      <c r="AL172" s="686"/>
      <c r="AM172" s="686"/>
      <c r="AO172" s="686"/>
      <c r="AP172" s="686"/>
      <c r="AQ172" s="10"/>
      <c r="AR172" s="10"/>
      <c r="AT172" s="7"/>
    </row>
    <row r="173" spans="1:53" x14ac:dyDescent="0.35">
      <c r="A173" s="5"/>
      <c r="B173" s="11"/>
      <c r="C173" s="12"/>
      <c r="D173" s="488"/>
      <c r="E173" s="11"/>
      <c r="F173" s="12"/>
      <c r="G173" s="488"/>
      <c r="H173" s="711" t="s">
        <v>397</v>
      </c>
      <c r="I173" s="712"/>
      <c r="J173" s="488"/>
      <c r="K173" s="11"/>
      <c r="L173" s="12"/>
      <c r="M173" s="488"/>
      <c r="N173" s="11"/>
      <c r="O173" s="12"/>
      <c r="P173" s="488"/>
      <c r="Q173" s="11"/>
      <c r="R173" s="12"/>
      <c r="S173" s="488"/>
      <c r="T173" s="11"/>
      <c r="U173" s="12"/>
      <c r="V173" s="488"/>
      <c r="W173" s="11"/>
      <c r="X173" s="12"/>
      <c r="Y173" s="488"/>
      <c r="Z173" s="11"/>
      <c r="AA173" s="12"/>
      <c r="AB173" s="504"/>
      <c r="AC173" s="11"/>
      <c r="AD173" s="12"/>
      <c r="AE173" s="488"/>
      <c r="AF173" s="11"/>
      <c r="AG173" s="12"/>
      <c r="AH173" s="485"/>
      <c r="AI173" s="11"/>
      <c r="AJ173" s="12"/>
      <c r="AK173" s="485"/>
      <c r="AL173" s="11"/>
      <c r="AM173" s="12"/>
      <c r="AN173" s="485"/>
      <c r="AO173" s="711" t="s">
        <v>397</v>
      </c>
      <c r="AP173" s="712"/>
      <c r="AQ173" s="515"/>
      <c r="AR173" s="515"/>
      <c r="AS173" s="485"/>
      <c r="AT173" s="212"/>
    </row>
    <row r="174" spans="1:53" x14ac:dyDescent="0.35">
      <c r="A174" s="5"/>
      <c r="B174" s="15"/>
      <c r="C174" s="15"/>
      <c r="D174" s="488"/>
      <c r="E174" s="15"/>
      <c r="F174" s="15"/>
      <c r="G174" s="488"/>
      <c r="H174" s="713"/>
      <c r="I174" s="714"/>
      <c r="J174" s="488"/>
      <c r="K174" s="15"/>
      <c r="L174" s="15"/>
      <c r="M174" s="488"/>
      <c r="N174" s="15"/>
      <c r="O174" s="15"/>
      <c r="P174" s="488"/>
      <c r="Q174" s="15"/>
      <c r="R174" s="15"/>
      <c r="S174" s="488"/>
      <c r="T174" s="15"/>
      <c r="U174" s="15"/>
      <c r="V174" s="488"/>
      <c r="W174" s="15"/>
      <c r="X174" s="15"/>
      <c r="Y174" s="494"/>
      <c r="Z174" s="15"/>
      <c r="AA174" s="15"/>
      <c r="AB174" s="509"/>
      <c r="AC174" s="15"/>
      <c r="AD174" s="15"/>
      <c r="AE174" s="494"/>
      <c r="AF174" s="15"/>
      <c r="AG174" s="15"/>
      <c r="AH174" s="485"/>
      <c r="AI174" s="15"/>
      <c r="AJ174" s="15"/>
      <c r="AL174" s="15"/>
      <c r="AM174" s="15"/>
      <c r="AO174" s="713"/>
      <c r="AP174" s="714"/>
      <c r="AQ174" s="515"/>
      <c r="AR174" s="515"/>
      <c r="AS174" s="485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687" t="s">
        <v>16</v>
      </c>
      <c r="C175" s="687"/>
      <c r="D175" s="488">
        <v>433</v>
      </c>
      <c r="E175" s="689" t="s">
        <v>28</v>
      </c>
      <c r="F175" s="687"/>
      <c r="G175" s="362">
        <v>353.24799999999999</v>
      </c>
      <c r="H175" s="687" t="s">
        <v>16</v>
      </c>
      <c r="I175" s="687"/>
      <c r="J175" s="362">
        <v>407</v>
      </c>
      <c r="K175" s="689" t="s">
        <v>14</v>
      </c>
      <c r="L175" s="687"/>
      <c r="M175" s="362">
        <v>416</v>
      </c>
      <c r="N175" s="689" t="s">
        <v>16</v>
      </c>
      <c r="O175" s="687"/>
      <c r="P175" s="488">
        <v>373</v>
      </c>
      <c r="Q175" s="689" t="s">
        <v>23</v>
      </c>
      <c r="R175" s="687"/>
      <c r="S175" s="488">
        <v>389</v>
      </c>
      <c r="T175" s="692" t="s">
        <v>33</v>
      </c>
      <c r="U175" s="687"/>
      <c r="V175" s="488">
        <v>399</v>
      </c>
      <c r="W175" s="692" t="s">
        <v>14</v>
      </c>
      <c r="X175" s="687"/>
      <c r="Y175" s="494">
        <v>412</v>
      </c>
      <c r="Z175" s="674" t="s">
        <v>16</v>
      </c>
      <c r="AA175" s="675"/>
      <c r="AB175" s="509">
        <v>418</v>
      </c>
      <c r="AC175" s="674" t="s">
        <v>23</v>
      </c>
      <c r="AD175" s="674"/>
      <c r="AE175" s="494">
        <v>394</v>
      </c>
      <c r="AF175" s="674" t="s">
        <v>236</v>
      </c>
      <c r="AG175" s="675"/>
      <c r="AH175" s="485">
        <v>399</v>
      </c>
      <c r="AI175" s="726" t="s">
        <v>23</v>
      </c>
      <c r="AJ175" s="686"/>
      <c r="AK175" s="362">
        <v>348</v>
      </c>
      <c r="AL175" s="726" t="s">
        <v>23</v>
      </c>
      <c r="AM175" s="686"/>
      <c r="AN175" s="6">
        <v>358</v>
      </c>
      <c r="AO175" s="686" t="s">
        <v>20</v>
      </c>
      <c r="AP175" s="686"/>
      <c r="AQ175" s="10">
        <v>478</v>
      </c>
      <c r="AR175" s="10"/>
      <c r="AS175" s="485"/>
      <c r="AT175" s="212"/>
    </row>
    <row r="176" spans="1:53" x14ac:dyDescent="0.35">
      <c r="A176" s="5"/>
      <c r="B176" s="675" t="s">
        <v>332</v>
      </c>
      <c r="C176" s="675"/>
      <c r="D176" s="494"/>
      <c r="E176" s="675" t="s">
        <v>333</v>
      </c>
      <c r="F176" s="675"/>
      <c r="G176" s="494"/>
      <c r="H176" s="675" t="s">
        <v>334</v>
      </c>
      <c r="I176" s="675"/>
      <c r="J176" s="494"/>
      <c r="K176" s="675" t="s">
        <v>335</v>
      </c>
      <c r="L176" s="675"/>
      <c r="M176" s="494"/>
      <c r="N176" s="675" t="s">
        <v>336</v>
      </c>
      <c r="O176" s="675"/>
      <c r="P176" s="494"/>
      <c r="Q176" s="675" t="s">
        <v>337</v>
      </c>
      <c r="R176" s="675"/>
      <c r="S176" s="494"/>
      <c r="T176" s="675" t="s">
        <v>338</v>
      </c>
      <c r="U176" s="675"/>
      <c r="V176" s="494"/>
      <c r="W176" s="675" t="s">
        <v>339</v>
      </c>
      <c r="X176" s="675"/>
      <c r="Y176" s="494"/>
      <c r="Z176" s="675" t="s">
        <v>340</v>
      </c>
      <c r="AA176" s="675"/>
      <c r="AB176" s="494"/>
      <c r="AC176" s="675" t="s">
        <v>341</v>
      </c>
      <c r="AD176" s="675"/>
      <c r="AE176" s="494"/>
      <c r="AF176" s="675" t="s">
        <v>342</v>
      </c>
      <c r="AG176" s="675"/>
      <c r="AI176" s="675" t="s">
        <v>343</v>
      </c>
      <c r="AJ176" s="675"/>
      <c r="AL176" s="675" t="s">
        <v>344</v>
      </c>
      <c r="AM176" s="675"/>
      <c r="AO176" s="675" t="s">
        <v>345</v>
      </c>
      <c r="AP176" s="675"/>
      <c r="AQ176" s="491"/>
      <c r="AR176" s="491"/>
      <c r="AT176" s="7"/>
    </row>
    <row r="177" spans="1:53" x14ac:dyDescent="0.35">
      <c r="A177" s="5"/>
      <c r="B177" s="497" t="s">
        <v>359</v>
      </c>
      <c r="C177" s="507"/>
      <c r="D177" s="508"/>
      <c r="E177" s="507"/>
      <c r="F177" s="497" t="s">
        <v>359</v>
      </c>
      <c r="G177" s="508"/>
      <c r="H177" s="507"/>
      <c r="I177" s="497" t="s">
        <v>359</v>
      </c>
      <c r="J177" s="508"/>
      <c r="K177" s="507"/>
      <c r="L177" s="497" t="s">
        <v>359</v>
      </c>
      <c r="M177" s="508"/>
      <c r="N177" s="507"/>
      <c r="O177" s="497" t="s">
        <v>359</v>
      </c>
      <c r="P177" s="508"/>
      <c r="Q177" s="507"/>
      <c r="R177" s="497" t="s">
        <v>359</v>
      </c>
      <c r="S177" s="508"/>
      <c r="T177" s="507"/>
      <c r="U177" s="497" t="s">
        <v>359</v>
      </c>
      <c r="V177" s="508"/>
      <c r="W177" s="507"/>
      <c r="X177" s="497" t="s">
        <v>359</v>
      </c>
      <c r="Y177" s="508"/>
      <c r="Z177" s="507"/>
      <c r="AA177" s="497" t="s">
        <v>359</v>
      </c>
      <c r="AB177" s="508"/>
      <c r="AC177" s="507"/>
      <c r="AD177" s="497" t="s">
        <v>359</v>
      </c>
      <c r="AE177" s="508"/>
      <c r="AF177" s="507"/>
      <c r="AG177" s="497" t="s">
        <v>359</v>
      </c>
      <c r="AH177" s="521"/>
      <c r="AI177" s="507"/>
      <c r="AJ177" s="497" t="s">
        <v>359</v>
      </c>
      <c r="AK177" s="521"/>
      <c r="AL177" s="507"/>
      <c r="AM177" s="497" t="s">
        <v>359</v>
      </c>
      <c r="AN177" s="521"/>
      <c r="AO177" s="507"/>
      <c r="AP177" s="497" t="s">
        <v>359</v>
      </c>
      <c r="AQ177" s="497"/>
      <c r="AR177" s="497"/>
      <c r="AT177" s="7"/>
    </row>
    <row r="178" spans="1:53" x14ac:dyDescent="0.35">
      <c r="A178" s="738" t="s">
        <v>403</v>
      </c>
      <c r="B178" s="723"/>
      <c r="C178" s="723"/>
      <c r="D178" s="723"/>
      <c r="E178" s="517"/>
      <c r="F178" s="491"/>
      <c r="G178" s="491"/>
      <c r="H178" s="517"/>
      <c r="I178" s="504"/>
      <c r="J178" s="488"/>
      <c r="K178" s="518"/>
      <c r="L178" s="519"/>
      <c r="M178" s="488"/>
      <c r="N178" s="518"/>
      <c r="O178" s="519"/>
      <c r="P178" s="488"/>
      <c r="Q178" s="518"/>
      <c r="R178" s="519"/>
      <c r="S178" s="488"/>
      <c r="T178" s="518"/>
      <c r="U178" s="519"/>
      <c r="V178" s="488"/>
      <c r="W178" s="517"/>
      <c r="X178" s="504"/>
      <c r="Y178" s="494"/>
      <c r="Z178" s="517"/>
      <c r="AA178" s="504"/>
      <c r="AB178" s="504"/>
      <c r="AC178" s="517"/>
      <c r="AD178" s="504"/>
      <c r="AE178" s="494"/>
      <c r="AF178" s="517"/>
      <c r="AG178" s="504"/>
      <c r="AI178" s="517"/>
      <c r="AJ178" s="504"/>
      <c r="AL178" s="517"/>
      <c r="AM178" s="504"/>
      <c r="AO178" s="517"/>
      <c r="AP178" s="504"/>
      <c r="AQ178" s="504"/>
      <c r="AR178" s="504"/>
      <c r="AT178" s="7"/>
      <c r="AV178" s="6"/>
      <c r="AW178" s="6"/>
      <c r="AX178" s="6"/>
      <c r="AY178" s="6"/>
      <c r="AZ178" s="6"/>
    </row>
    <row r="179" spans="1:53" x14ac:dyDescent="0.35">
      <c r="A179" s="5"/>
      <c r="B179" s="504"/>
      <c r="C179" s="504"/>
      <c r="D179" s="494"/>
      <c r="E179" s="504"/>
      <c r="F179" s="504"/>
      <c r="G179" s="494"/>
      <c r="H179" s="504"/>
      <c r="I179" s="504"/>
      <c r="J179" s="494"/>
      <c r="K179" s="504"/>
      <c r="L179" s="504"/>
      <c r="M179" s="494"/>
      <c r="N179" s="504"/>
      <c r="O179" s="504"/>
      <c r="P179" s="494"/>
      <c r="Q179" s="504"/>
      <c r="R179" s="504"/>
      <c r="S179" s="494"/>
      <c r="T179" s="504"/>
      <c r="U179" s="504"/>
      <c r="V179" s="494"/>
      <c r="W179" s="504"/>
      <c r="X179" s="504"/>
      <c r="Y179" s="494"/>
      <c r="Z179" s="504"/>
      <c r="AA179" s="504"/>
      <c r="AC179" s="504"/>
      <c r="AD179" s="504"/>
      <c r="AE179" s="494"/>
      <c r="AF179" s="504"/>
      <c r="AG179" s="504"/>
      <c r="AT179" s="7"/>
    </row>
    <row r="180" spans="1:53" x14ac:dyDescent="0.35">
      <c r="A180" s="5"/>
      <c r="B180" s="675"/>
      <c r="C180" s="675"/>
      <c r="D180" s="494"/>
      <c r="E180" s="710"/>
      <c r="F180" s="710"/>
      <c r="G180" s="494"/>
      <c r="H180" s="710"/>
      <c r="I180" s="710"/>
      <c r="J180" s="494"/>
      <c r="K180" s="710"/>
      <c r="L180" s="710"/>
      <c r="M180" s="494"/>
      <c r="N180" s="710"/>
      <c r="O180" s="710"/>
      <c r="P180" s="494"/>
      <c r="Q180" s="710"/>
      <c r="R180" s="710"/>
      <c r="S180" s="494"/>
      <c r="T180" s="710"/>
      <c r="U180" s="710"/>
      <c r="V180" s="494"/>
      <c r="W180" s="710"/>
      <c r="X180" s="710"/>
      <c r="Y180" s="494"/>
      <c r="Z180" s="675"/>
      <c r="AA180" s="675"/>
      <c r="AB180" s="494"/>
      <c r="AC180" s="675"/>
      <c r="AD180" s="675"/>
      <c r="AE180" s="676"/>
      <c r="AF180" s="676"/>
      <c r="AG180" s="676"/>
      <c r="AH180" s="676"/>
      <c r="AI180" s="672"/>
      <c r="AJ180" s="672"/>
      <c r="AL180" s="672"/>
      <c r="AM180" s="672"/>
      <c r="AO180" s="672"/>
      <c r="AP180" s="672"/>
      <c r="AQ180" s="10"/>
      <c r="AR180" s="10"/>
      <c r="AT180" s="7"/>
    </row>
    <row r="181" spans="1:53" x14ac:dyDescent="0.35">
      <c r="A181" s="5"/>
      <c r="B181" s="11"/>
      <c r="C181" s="12"/>
      <c r="D181" s="488"/>
      <c r="E181" s="8"/>
      <c r="F181" s="13"/>
      <c r="G181" s="488"/>
      <c r="H181" s="8"/>
      <c r="I181" s="13"/>
      <c r="J181" s="488"/>
      <c r="K181" s="8"/>
      <c r="L181" s="13"/>
      <c r="M181" s="488"/>
      <c r="N181" s="8"/>
      <c r="O181" s="13"/>
      <c r="P181" s="488"/>
      <c r="Q181" s="8"/>
      <c r="R181" s="13"/>
      <c r="S181" s="488"/>
      <c r="T181" s="8"/>
      <c r="U181" s="13"/>
      <c r="V181" s="488"/>
      <c r="W181" s="8"/>
      <c r="X181" s="13"/>
      <c r="Y181" s="488"/>
      <c r="Z181" s="8"/>
      <c r="AA181" s="13"/>
      <c r="AB181" s="504"/>
      <c r="AC181" s="8"/>
      <c r="AD181" s="13"/>
      <c r="AE181" s="488"/>
      <c r="AF181" s="8"/>
      <c r="AG181" s="13"/>
      <c r="AH181" s="485"/>
      <c r="AI181" s="8"/>
      <c r="AJ181" s="13"/>
      <c r="AK181" s="485"/>
      <c r="AL181" s="8"/>
      <c r="AM181" s="13"/>
      <c r="AN181" s="485"/>
      <c r="AO181" s="8"/>
      <c r="AP181" s="13"/>
      <c r="AQ181" s="486"/>
      <c r="AR181" s="486"/>
      <c r="AS181" s="485"/>
      <c r="AT181" s="212"/>
    </row>
    <row r="182" spans="1:53" x14ac:dyDescent="0.35">
      <c r="A182" s="5"/>
      <c r="B182" s="15"/>
      <c r="C182" s="15"/>
      <c r="D182" s="488"/>
      <c r="E182" s="406"/>
      <c r="F182" s="406"/>
      <c r="G182" s="488"/>
      <c r="H182" s="406"/>
      <c r="I182" s="406"/>
      <c r="J182" s="488"/>
      <c r="K182" s="406"/>
      <c r="L182" s="406"/>
      <c r="M182" s="488"/>
      <c r="N182" s="406"/>
      <c r="O182" s="406"/>
      <c r="P182" s="488"/>
      <c r="Q182" s="406"/>
      <c r="R182" s="406"/>
      <c r="S182" s="488"/>
      <c r="T182" s="406"/>
      <c r="U182" s="406"/>
      <c r="V182" s="488"/>
      <c r="W182" s="406"/>
      <c r="X182" s="406"/>
      <c r="Y182" s="494"/>
      <c r="Z182" s="406"/>
      <c r="AA182" s="406"/>
      <c r="AB182" s="509"/>
      <c r="AC182" s="406"/>
      <c r="AD182" s="406"/>
      <c r="AE182" s="494"/>
      <c r="AF182" s="406"/>
      <c r="AG182" s="406"/>
      <c r="AH182" s="485"/>
      <c r="AI182" s="406"/>
      <c r="AJ182" s="406"/>
      <c r="AL182" s="406"/>
      <c r="AM182" s="406"/>
      <c r="AO182" s="406"/>
      <c r="AP182" s="406"/>
      <c r="AQ182" s="517"/>
      <c r="AR182" s="517"/>
      <c r="AS182" s="485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674" t="s">
        <v>236</v>
      </c>
      <c r="C183" s="675"/>
      <c r="D183" s="488"/>
      <c r="E183" s="689"/>
      <c r="F183" s="687"/>
      <c r="G183" s="488"/>
      <c r="H183" s="687"/>
      <c r="I183" s="687"/>
      <c r="J183" s="488"/>
      <c r="K183" s="689"/>
      <c r="L183" s="687"/>
      <c r="M183" s="488"/>
      <c r="N183" s="689"/>
      <c r="O183" s="687"/>
      <c r="P183" s="488"/>
      <c r="Q183" s="689"/>
      <c r="R183" s="687"/>
      <c r="S183" s="488"/>
      <c r="T183" s="692"/>
      <c r="U183" s="687"/>
      <c r="V183" s="488"/>
      <c r="W183" s="692"/>
      <c r="X183" s="687"/>
      <c r="Y183" s="494"/>
      <c r="Z183" s="674"/>
      <c r="AA183" s="675"/>
      <c r="AB183" s="509"/>
      <c r="AC183" s="674"/>
      <c r="AD183" s="674"/>
      <c r="AE183" s="494"/>
      <c r="AF183" s="689"/>
      <c r="AG183" s="689"/>
      <c r="AH183" s="485"/>
      <c r="AI183" s="739"/>
      <c r="AJ183" s="739"/>
      <c r="AL183" s="740"/>
      <c r="AM183" s="740"/>
      <c r="AO183" s="686"/>
      <c r="AP183" s="686"/>
      <c r="AQ183" s="10"/>
      <c r="AR183" s="10"/>
      <c r="AS183" s="485"/>
      <c r="AT183" s="212"/>
    </row>
    <row r="184" spans="1:53" x14ac:dyDescent="0.35">
      <c r="A184" s="5"/>
      <c r="B184" s="675" t="s">
        <v>346</v>
      </c>
      <c r="C184" s="675"/>
      <c r="D184" s="494"/>
      <c r="E184" s="675"/>
      <c r="F184" s="675"/>
      <c r="G184" s="494"/>
      <c r="H184" s="675"/>
      <c r="I184" s="675"/>
      <c r="J184" s="494"/>
      <c r="K184" s="675"/>
      <c r="L184" s="675"/>
      <c r="M184" s="494"/>
      <c r="N184" s="675"/>
      <c r="O184" s="675"/>
      <c r="P184" s="494"/>
      <c r="Q184" s="675"/>
      <c r="R184" s="675"/>
      <c r="S184" s="494"/>
      <c r="T184" s="675"/>
      <c r="U184" s="675"/>
      <c r="V184" s="494"/>
      <c r="W184" s="679"/>
      <c r="X184" s="675"/>
      <c r="Y184" s="494"/>
      <c r="Z184" s="675"/>
      <c r="AA184" s="675"/>
      <c r="AB184" s="494"/>
      <c r="AC184" s="675"/>
      <c r="AD184" s="675"/>
      <c r="AE184" s="494"/>
      <c r="AF184" s="675"/>
      <c r="AG184" s="675"/>
      <c r="AI184" s="726"/>
      <c r="AJ184" s="686"/>
      <c r="AL184" s="686"/>
      <c r="AM184" s="686"/>
      <c r="AO184" s="686"/>
      <c r="AP184" s="686"/>
      <c r="AQ184" s="10"/>
      <c r="AR184" s="10"/>
      <c r="AT184" s="7"/>
    </row>
    <row r="185" spans="1:53" x14ac:dyDescent="0.35">
      <c r="A185" s="5"/>
      <c r="B185" s="497" t="s">
        <v>359</v>
      </c>
      <c r="C185" s="507"/>
      <c r="D185" s="512"/>
      <c r="E185" s="513"/>
      <c r="F185" s="513"/>
      <c r="G185" s="512"/>
      <c r="H185" s="513"/>
      <c r="I185" s="513"/>
      <c r="J185" s="512"/>
      <c r="K185" s="513"/>
      <c r="L185" s="513"/>
      <c r="M185" s="512"/>
      <c r="N185" s="513"/>
      <c r="O185" s="513"/>
      <c r="P185" s="512"/>
      <c r="Q185" s="513"/>
      <c r="R185" s="513"/>
      <c r="S185" s="512"/>
      <c r="T185" s="513"/>
      <c r="U185" s="513"/>
      <c r="V185" s="512"/>
      <c r="W185" s="513"/>
      <c r="X185" s="513"/>
      <c r="Y185" s="512"/>
      <c r="Z185" s="513"/>
      <c r="AA185" s="513"/>
      <c r="AB185" s="512"/>
      <c r="AC185" s="513"/>
      <c r="AD185" s="513"/>
      <c r="AE185" s="512"/>
      <c r="AF185" s="513"/>
      <c r="AG185" s="513"/>
      <c r="AH185" s="514"/>
      <c r="AI185" s="513"/>
      <c r="AJ185" s="513"/>
      <c r="AK185" s="514"/>
      <c r="AL185" s="513"/>
      <c r="AM185" s="513"/>
      <c r="AN185" s="514"/>
      <c r="AO185" s="513"/>
      <c r="AP185" s="513"/>
      <c r="AQ185" s="513"/>
      <c r="AR185" s="513"/>
      <c r="AT185" s="7"/>
    </row>
    <row r="186" spans="1:53" x14ac:dyDescent="0.35">
      <c r="A186" s="5"/>
      <c r="B186" s="491"/>
      <c r="C186" s="491"/>
      <c r="D186" s="488"/>
      <c r="E186" s="517"/>
      <c r="F186" s="491"/>
      <c r="G186" s="491"/>
      <c r="H186" s="517"/>
      <c r="I186" s="504"/>
      <c r="J186" s="488"/>
      <c r="K186" s="518"/>
      <c r="L186" s="519"/>
      <c r="M186" s="488"/>
      <c r="N186" s="518"/>
      <c r="O186" s="519"/>
      <c r="P186" s="488"/>
      <c r="Q186" s="518"/>
      <c r="R186" s="519"/>
      <c r="S186" s="488"/>
      <c r="T186" s="518"/>
      <c r="U186" s="519"/>
      <c r="V186" s="488"/>
      <c r="W186" s="517"/>
      <c r="X186" s="504"/>
      <c r="Y186" s="494"/>
      <c r="Z186" s="517"/>
      <c r="AA186" s="504"/>
      <c r="AB186" s="504"/>
      <c r="AC186" s="517"/>
      <c r="AD186" s="504"/>
      <c r="AE186" s="494"/>
      <c r="AF186" s="517"/>
      <c r="AG186" s="504"/>
      <c r="AI186" s="517"/>
      <c r="AJ186" s="504"/>
      <c r="AL186" s="517"/>
      <c r="AM186" s="504"/>
      <c r="AO186" s="517"/>
      <c r="AP186" s="504"/>
      <c r="AQ186" s="504"/>
      <c r="AR186" s="504"/>
      <c r="AT186" s="7"/>
      <c r="AV186" s="6"/>
      <c r="AW186" s="6"/>
      <c r="AX186" s="6"/>
      <c r="AY186" s="6"/>
      <c r="AZ186" s="6"/>
    </row>
    <row r="187" spans="1:53" x14ac:dyDescent="0.35">
      <c r="A187" s="5"/>
      <c r="B187" s="491"/>
      <c r="C187" s="491"/>
      <c r="D187" s="488"/>
      <c r="E187" s="517"/>
      <c r="F187" s="491"/>
      <c r="G187" s="491"/>
      <c r="H187" s="517"/>
      <c r="I187" s="504"/>
      <c r="J187" s="488"/>
      <c r="K187" s="518"/>
      <c r="L187" s="519"/>
      <c r="M187" s="488"/>
      <c r="N187" s="518"/>
      <c r="O187" s="519"/>
      <c r="P187" s="488"/>
      <c r="Q187" s="518"/>
      <c r="R187" s="519"/>
      <c r="S187" s="488"/>
      <c r="T187" s="518"/>
      <c r="U187" s="519"/>
      <c r="V187" s="488"/>
      <c r="W187" s="517"/>
      <c r="X187" s="504"/>
      <c r="Y187" s="494"/>
      <c r="Z187" s="517"/>
      <c r="AA187" s="504"/>
      <c r="AB187" s="504"/>
      <c r="AC187" s="517"/>
      <c r="AD187" s="504"/>
      <c r="AE187" s="494"/>
      <c r="AF187" s="517"/>
      <c r="AG187" s="504"/>
      <c r="AI187" s="517"/>
      <c r="AJ187" s="504"/>
      <c r="AL187" s="517"/>
      <c r="AM187" s="504"/>
      <c r="AO187" s="517"/>
      <c r="AP187" s="504"/>
      <c r="AQ187" s="504"/>
      <c r="AR187" s="504"/>
      <c r="AT187" s="7"/>
      <c r="AV187" s="6"/>
      <c r="AW187" s="6"/>
      <c r="AX187" s="6"/>
      <c r="AY187" s="6"/>
      <c r="AZ187" s="6"/>
    </row>
    <row r="188" spans="1:53" x14ac:dyDescent="0.35">
      <c r="A188" s="5"/>
      <c r="B188" s="491"/>
      <c r="C188" s="491"/>
      <c r="D188" s="488"/>
      <c r="E188" s="517"/>
      <c r="F188" s="491"/>
      <c r="G188" s="491"/>
      <c r="H188" s="517"/>
      <c r="I188" s="504"/>
      <c r="J188" s="488"/>
      <c r="K188" s="518"/>
      <c r="L188" s="519"/>
      <c r="M188" s="488"/>
      <c r="N188" s="518"/>
      <c r="O188" s="519"/>
      <c r="P188" s="488"/>
      <c r="Q188" s="518"/>
      <c r="R188" s="519"/>
      <c r="S188" s="488"/>
      <c r="T188" s="518"/>
      <c r="U188" s="519"/>
      <c r="V188" s="488"/>
      <c r="W188" s="517"/>
      <c r="X188" s="504"/>
      <c r="Y188" s="494"/>
      <c r="Z188" s="517"/>
      <c r="AA188" s="504"/>
      <c r="AB188" s="504"/>
      <c r="AC188" s="517"/>
      <c r="AD188" s="504"/>
      <c r="AE188" s="494"/>
      <c r="AF188" s="517"/>
      <c r="AG188" s="504"/>
      <c r="AI188" s="517"/>
      <c r="AJ188" s="504"/>
      <c r="AL188" s="517"/>
      <c r="AM188" s="504"/>
      <c r="AO188" s="517"/>
      <c r="AP188" s="504"/>
      <c r="AQ188" s="504"/>
      <c r="AR188" s="504"/>
      <c r="AT188" s="7"/>
      <c r="AV188" s="6"/>
      <c r="AW188" s="6"/>
      <c r="AX188" s="6"/>
      <c r="AY188" s="6"/>
      <c r="AZ188" s="6"/>
    </row>
    <row r="189" spans="1:53" x14ac:dyDescent="0.35">
      <c r="A189" s="5"/>
      <c r="B189" s="491"/>
      <c r="C189" s="491"/>
      <c r="D189" s="488"/>
      <c r="E189" s="517"/>
      <c r="F189" s="491"/>
      <c r="G189" s="491"/>
      <c r="H189" s="517"/>
      <c r="I189" s="504"/>
      <c r="J189" s="488"/>
      <c r="K189" s="518"/>
      <c r="L189" s="519"/>
      <c r="M189" s="488"/>
      <c r="N189" s="518"/>
      <c r="O189" s="519"/>
      <c r="P189" s="488"/>
      <c r="Q189" s="518"/>
      <c r="R189" s="519"/>
      <c r="S189" s="488"/>
      <c r="T189" s="518"/>
      <c r="U189" s="519"/>
      <c r="V189" s="488"/>
      <c r="W189" s="517"/>
      <c r="X189" s="504"/>
      <c r="Y189" s="494"/>
      <c r="Z189" s="517"/>
      <c r="AA189" s="504"/>
      <c r="AB189" s="504"/>
      <c r="AC189" s="517"/>
      <c r="AD189" s="504"/>
      <c r="AE189" s="494"/>
      <c r="AF189" s="517"/>
      <c r="AG189" s="504"/>
      <c r="AI189" s="517"/>
      <c r="AJ189" s="504"/>
      <c r="AL189" s="517"/>
      <c r="AM189" s="504"/>
      <c r="AO189" s="517"/>
      <c r="AP189" s="504"/>
      <c r="AQ189" s="504"/>
      <c r="AR189" s="504"/>
      <c r="AT189" s="7"/>
      <c r="AV189" s="6"/>
      <c r="AW189" s="6"/>
      <c r="AX189" s="6"/>
      <c r="AY189" s="6"/>
      <c r="AZ189" s="6"/>
    </row>
    <row r="190" spans="1:53" x14ac:dyDescent="0.35">
      <c r="A190" s="5"/>
      <c r="B190" s="491"/>
      <c r="C190" s="491"/>
      <c r="D190" s="488"/>
      <c r="E190" s="517"/>
      <c r="F190" s="491"/>
      <c r="G190" s="491"/>
      <c r="H190" s="517"/>
      <c r="I190" s="504"/>
      <c r="J190" s="488"/>
      <c r="K190" s="518"/>
      <c r="L190" s="519"/>
      <c r="M190" s="488"/>
      <c r="N190" s="518"/>
      <c r="O190" s="519"/>
      <c r="P190" s="488"/>
      <c r="Q190" s="518"/>
      <c r="R190" s="519"/>
      <c r="S190" s="488"/>
      <c r="T190" s="518"/>
      <c r="U190" s="519"/>
      <c r="V190" s="488"/>
      <c r="W190" s="517"/>
      <c r="X190" s="504"/>
      <c r="Y190" s="494"/>
      <c r="Z190" s="517"/>
      <c r="AA190" s="504"/>
      <c r="AB190" s="504"/>
      <c r="AC190" s="517"/>
      <c r="AD190" s="504"/>
      <c r="AE190" s="494"/>
      <c r="AF190" s="517"/>
      <c r="AG190" s="504"/>
      <c r="AI190" s="517"/>
      <c r="AJ190" s="504"/>
      <c r="AL190" s="517"/>
      <c r="AM190" s="504"/>
      <c r="AO190" s="517"/>
      <c r="AP190" s="504"/>
      <c r="AQ190" s="504"/>
      <c r="AR190" s="504"/>
      <c r="AT190" s="7"/>
      <c r="AV190" s="6"/>
      <c r="AW190" s="6"/>
      <c r="AX190" s="6"/>
      <c r="AY190" s="6"/>
      <c r="AZ190" s="6"/>
    </row>
    <row r="191" spans="1:53" x14ac:dyDescent="0.35">
      <c r="A191" s="5"/>
      <c r="B191" s="491"/>
      <c r="C191" s="491"/>
      <c r="D191" s="488"/>
      <c r="E191" s="517"/>
      <c r="F191" s="491"/>
      <c r="G191" s="491"/>
      <c r="H191" s="517"/>
      <c r="I191" s="504"/>
      <c r="J191" s="488"/>
      <c r="K191" s="518"/>
      <c r="L191" s="519"/>
      <c r="M191" s="488"/>
      <c r="N191" s="518"/>
      <c r="O191" s="519"/>
      <c r="P191" s="488"/>
      <c r="Q191" s="518"/>
      <c r="R191" s="519"/>
      <c r="S191" s="488"/>
      <c r="T191" s="518"/>
      <c r="U191" s="519"/>
      <c r="V191" s="488"/>
      <c r="W191" s="517"/>
      <c r="X191" s="504"/>
      <c r="Y191" s="494"/>
      <c r="Z191" s="517"/>
      <c r="AA191" s="504"/>
      <c r="AB191" s="504"/>
      <c r="AC191" s="517"/>
      <c r="AD191" s="504"/>
      <c r="AE191" s="494"/>
      <c r="AF191" s="517"/>
      <c r="AG191" s="504"/>
      <c r="AI191" s="517"/>
      <c r="AJ191" s="504"/>
      <c r="AL191" s="517"/>
      <c r="AM191" s="504"/>
      <c r="AO191" s="517"/>
      <c r="AP191" s="504"/>
      <c r="AQ191" s="504"/>
      <c r="AR191" s="504"/>
      <c r="AT191" s="7"/>
      <c r="AV191" s="6"/>
      <c r="AW191" s="6"/>
      <c r="AX191" s="6"/>
      <c r="AY191" s="6"/>
      <c r="AZ191" s="6"/>
    </row>
    <row r="192" spans="1:53" x14ac:dyDescent="0.35">
      <c r="A192" s="5"/>
      <c r="B192" s="491"/>
      <c r="C192" s="491"/>
      <c r="D192" s="488"/>
      <c r="E192" s="517"/>
      <c r="F192" s="491"/>
      <c r="G192" s="491"/>
      <c r="H192" s="517"/>
      <c r="I192" s="504"/>
      <c r="J192" s="488"/>
      <c r="K192" s="518"/>
      <c r="L192" s="519"/>
      <c r="M192" s="488"/>
      <c r="N192" s="518"/>
      <c r="O192" s="519"/>
      <c r="P192" s="488"/>
      <c r="Q192" s="518"/>
      <c r="R192" s="519"/>
      <c r="S192" s="488"/>
      <c r="T192" s="518"/>
      <c r="U192" s="519"/>
      <c r="V192" s="488"/>
      <c r="W192" s="517"/>
      <c r="X192" s="504"/>
      <c r="Y192" s="494"/>
      <c r="Z192" s="517"/>
      <c r="AA192" s="504"/>
      <c r="AB192" s="504"/>
      <c r="AC192" s="517"/>
      <c r="AD192" s="504"/>
      <c r="AE192" s="494"/>
      <c r="AF192" s="517"/>
      <c r="AG192" s="504"/>
      <c r="AI192" s="517"/>
      <c r="AJ192" s="504"/>
      <c r="AL192" s="517"/>
      <c r="AM192" s="504"/>
      <c r="AO192" s="517"/>
      <c r="AP192" s="504"/>
      <c r="AQ192" s="504"/>
      <c r="AR192" s="504"/>
      <c r="AT192" s="7"/>
      <c r="AV192" s="6"/>
      <c r="AW192" s="6"/>
      <c r="AX192" s="6"/>
      <c r="AY192" s="6"/>
      <c r="AZ192" s="6"/>
    </row>
    <row r="193" spans="1:52" x14ac:dyDescent="0.35">
      <c r="A193" s="5"/>
      <c r="B193" s="491"/>
      <c r="C193" s="491"/>
      <c r="D193" s="488"/>
      <c r="E193" s="517"/>
      <c r="F193" s="491"/>
      <c r="G193" s="491"/>
      <c r="H193" s="517"/>
      <c r="I193" s="504"/>
      <c r="J193" s="488"/>
      <c r="K193" s="518"/>
      <c r="L193" s="519"/>
      <c r="M193" s="488"/>
      <c r="N193" s="518"/>
      <c r="O193" s="519"/>
      <c r="P193" s="488"/>
      <c r="Q193" s="518"/>
      <c r="R193" s="519"/>
      <c r="S193" s="488"/>
      <c r="T193" s="518"/>
      <c r="U193" s="519"/>
      <c r="V193" s="488"/>
      <c r="W193" s="517"/>
      <c r="X193" s="504"/>
      <c r="Y193" s="494"/>
      <c r="Z193" s="517"/>
      <c r="AA193" s="504"/>
      <c r="AB193" s="504"/>
      <c r="AC193" s="517"/>
      <c r="AD193" s="504"/>
      <c r="AE193" s="494"/>
      <c r="AF193" s="517"/>
      <c r="AG193" s="504"/>
      <c r="AI193" s="517"/>
      <c r="AJ193" s="504"/>
      <c r="AL193" s="517"/>
      <c r="AM193" s="504"/>
      <c r="AO193" s="517"/>
      <c r="AP193" s="504"/>
      <c r="AQ193" s="504"/>
      <c r="AR193" s="504"/>
      <c r="AT193" s="7"/>
      <c r="AV193" s="6"/>
      <c r="AW193" s="6"/>
      <c r="AX193" s="6"/>
      <c r="AY193" s="6"/>
      <c r="AZ193" s="6"/>
    </row>
    <row r="194" spans="1:52" x14ac:dyDescent="0.35">
      <c r="A194" s="5"/>
      <c r="B194" s="491"/>
      <c r="C194" s="491"/>
      <c r="D194" s="488"/>
      <c r="E194" s="517"/>
      <c r="F194" s="491"/>
      <c r="G194" s="491"/>
      <c r="H194" s="517"/>
      <c r="I194" s="504"/>
      <c r="J194" s="488"/>
      <c r="K194" s="518"/>
      <c r="L194" s="519"/>
      <c r="M194" s="488"/>
      <c r="N194" s="518"/>
      <c r="O194" s="519"/>
      <c r="P194" s="488"/>
      <c r="Q194" s="518"/>
      <c r="R194" s="519"/>
      <c r="S194" s="488"/>
      <c r="T194" s="518"/>
      <c r="U194" s="519"/>
      <c r="V194" s="488"/>
      <c r="W194" s="517"/>
      <c r="X194" s="504"/>
      <c r="Y194" s="494"/>
      <c r="Z194" s="517"/>
      <c r="AA194" s="504"/>
      <c r="AB194" s="504"/>
      <c r="AC194" s="517"/>
      <c r="AD194" s="504"/>
      <c r="AE194" s="494"/>
      <c r="AF194" s="517"/>
      <c r="AG194" s="504"/>
      <c r="AI194" s="517"/>
      <c r="AJ194" s="504"/>
      <c r="AL194" s="517"/>
      <c r="AM194" s="504"/>
      <c r="AO194" s="517"/>
      <c r="AP194" s="504"/>
      <c r="AQ194" s="504"/>
      <c r="AR194" s="504"/>
      <c r="AT194" s="7"/>
      <c r="AV194" s="6"/>
      <c r="AW194" s="6"/>
      <c r="AX194" s="6"/>
      <c r="AY194" s="6"/>
      <c r="AZ194" s="6"/>
    </row>
    <row r="195" spans="1:52" x14ac:dyDescent="0.35">
      <c r="A195" s="5"/>
      <c r="B195" s="491"/>
      <c r="C195" s="491"/>
      <c r="D195" s="488"/>
      <c r="E195" s="517"/>
      <c r="F195" s="491"/>
      <c r="G195" s="491"/>
      <c r="H195" s="517"/>
      <c r="I195" s="504"/>
      <c r="J195" s="488"/>
      <c r="K195" s="518"/>
      <c r="L195" s="519"/>
      <c r="M195" s="488"/>
      <c r="N195" s="518"/>
      <c r="O195" s="519"/>
      <c r="P195" s="488"/>
      <c r="Q195" s="518"/>
      <c r="R195" s="519"/>
      <c r="S195" s="488"/>
      <c r="T195" s="518"/>
      <c r="U195" s="519"/>
      <c r="V195" s="488"/>
      <c r="W195" s="517"/>
      <c r="X195" s="504"/>
      <c r="Y195" s="494"/>
      <c r="Z195" s="517"/>
      <c r="AA195" s="504"/>
      <c r="AB195" s="504"/>
      <c r="AC195" s="517"/>
      <c r="AD195" s="504"/>
      <c r="AE195" s="494"/>
      <c r="AF195" s="517"/>
      <c r="AG195" s="504"/>
      <c r="AI195" s="517"/>
      <c r="AJ195" s="504"/>
      <c r="AL195" s="517"/>
      <c r="AM195" s="504"/>
      <c r="AO195" s="517"/>
      <c r="AP195" s="504"/>
      <c r="AQ195" s="504"/>
      <c r="AR195" s="504"/>
      <c r="AT195" s="7"/>
      <c r="AV195" s="6"/>
      <c r="AW195" s="6"/>
      <c r="AX195" s="6"/>
      <c r="AY195" s="6"/>
      <c r="AZ195" s="6"/>
    </row>
    <row r="196" spans="1:52" x14ac:dyDescent="0.35">
      <c r="A196" s="5"/>
      <c r="B196" s="491"/>
      <c r="C196" s="491"/>
      <c r="D196" s="488"/>
      <c r="E196" s="517"/>
      <c r="F196" s="491"/>
      <c r="G196" s="491"/>
      <c r="H196" s="517"/>
      <c r="I196" s="504"/>
      <c r="J196" s="488"/>
      <c r="K196" s="518"/>
      <c r="L196" s="519"/>
      <c r="M196" s="488"/>
      <c r="N196" s="518"/>
      <c r="O196" s="519"/>
      <c r="P196" s="488"/>
      <c r="Q196" s="518"/>
      <c r="R196" s="519"/>
      <c r="S196" s="488"/>
      <c r="T196" s="518"/>
      <c r="U196" s="519"/>
      <c r="V196" s="488"/>
      <c r="W196" s="517"/>
      <c r="X196" s="504"/>
      <c r="Y196" s="494"/>
      <c r="Z196" s="517"/>
      <c r="AA196" s="504"/>
      <c r="AB196" s="504"/>
      <c r="AC196" s="517"/>
      <c r="AD196" s="504"/>
      <c r="AE196" s="494"/>
      <c r="AF196" s="517"/>
      <c r="AG196" s="504"/>
      <c r="AI196" s="517"/>
      <c r="AJ196" s="504"/>
      <c r="AL196" s="517"/>
      <c r="AM196" s="504"/>
      <c r="AO196" s="517"/>
      <c r="AP196" s="504"/>
      <c r="AQ196" s="504"/>
      <c r="AR196" s="504"/>
      <c r="AT196" s="7"/>
      <c r="AV196" s="6"/>
      <c r="AW196" s="6"/>
      <c r="AX196" s="6"/>
      <c r="AY196" s="6"/>
      <c r="AZ196" s="6"/>
    </row>
    <row r="197" spans="1:52" x14ac:dyDescent="0.35">
      <c r="A197" s="5"/>
      <c r="B197" s="491"/>
      <c r="C197" s="491"/>
      <c r="D197" s="488"/>
      <c r="E197" s="517"/>
      <c r="F197" s="491"/>
      <c r="G197" s="491"/>
      <c r="H197" s="517"/>
      <c r="I197" s="504"/>
      <c r="J197" s="488"/>
      <c r="K197" s="518"/>
      <c r="L197" s="519"/>
      <c r="M197" s="488"/>
      <c r="N197" s="518"/>
      <c r="O197" s="519"/>
      <c r="P197" s="488"/>
      <c r="Q197" s="518"/>
      <c r="R197" s="519"/>
      <c r="S197" s="488"/>
      <c r="T197" s="518"/>
      <c r="U197" s="519"/>
      <c r="V197" s="488"/>
      <c r="W197" s="517"/>
      <c r="X197" s="504"/>
      <c r="Y197" s="494"/>
      <c r="Z197" s="517"/>
      <c r="AA197" s="504"/>
      <c r="AB197" s="504"/>
      <c r="AC197" s="517"/>
      <c r="AD197" s="504"/>
      <c r="AE197" s="494"/>
      <c r="AF197" s="517"/>
      <c r="AG197" s="504"/>
      <c r="AI197" s="517"/>
      <c r="AJ197" s="504"/>
      <c r="AL197" s="517"/>
      <c r="AM197" s="504"/>
      <c r="AO197" s="517"/>
      <c r="AP197" s="504"/>
      <c r="AQ197" s="504"/>
      <c r="AR197" s="504"/>
      <c r="AT197" s="7"/>
      <c r="AV197" s="6"/>
      <c r="AW197" s="6"/>
      <c r="AX197" s="6"/>
      <c r="AY197" s="6"/>
      <c r="AZ197" s="6"/>
    </row>
    <row r="198" spans="1:52" x14ac:dyDescent="0.35">
      <c r="A198" s="5"/>
      <c r="B198" s="491"/>
      <c r="C198" s="491"/>
      <c r="D198" s="488"/>
      <c r="E198" s="517"/>
      <c r="F198" s="491"/>
      <c r="G198" s="491"/>
      <c r="H198" s="517"/>
      <c r="I198" s="504"/>
      <c r="J198" s="488"/>
      <c r="K198" s="518"/>
      <c r="L198" s="519"/>
      <c r="M198" s="488"/>
      <c r="N198" s="518"/>
      <c r="O198" s="519"/>
      <c r="P198" s="488"/>
      <c r="Q198" s="518"/>
      <c r="R198" s="519"/>
      <c r="S198" s="488"/>
      <c r="T198" s="518"/>
      <c r="U198" s="519"/>
      <c r="V198" s="488"/>
      <c r="W198" s="517"/>
      <c r="X198" s="504"/>
      <c r="Y198" s="494"/>
      <c r="Z198" s="517"/>
      <c r="AA198" s="504"/>
      <c r="AB198" s="504"/>
      <c r="AC198" s="517"/>
      <c r="AD198" s="504"/>
      <c r="AE198" s="494"/>
      <c r="AF198" s="517"/>
      <c r="AG198" s="504"/>
      <c r="AI198" s="517"/>
      <c r="AJ198" s="504"/>
      <c r="AL198" s="517"/>
      <c r="AM198" s="504"/>
      <c r="AO198" s="517"/>
      <c r="AP198" s="504"/>
      <c r="AQ198" s="504"/>
      <c r="AR198" s="504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24" t="s">
        <v>359</v>
      </c>
      <c r="C199" s="524"/>
      <c r="D199" s="18"/>
      <c r="E199" s="297"/>
      <c r="F199" s="524"/>
      <c r="G199" s="18"/>
      <c r="H199" s="297"/>
      <c r="I199" s="297"/>
      <c r="J199" s="18"/>
      <c r="K199" s="297"/>
      <c r="L199" s="297"/>
      <c r="M199" s="494"/>
      <c r="N199" s="297"/>
      <c r="O199" s="297"/>
      <c r="P199" s="18"/>
      <c r="Q199" s="297"/>
      <c r="R199" s="297"/>
      <c r="S199" s="18"/>
      <c r="T199" s="297"/>
      <c r="U199" s="297"/>
      <c r="V199" s="18"/>
      <c r="W199" s="495"/>
      <c r="X199" s="491"/>
      <c r="Y199" s="494"/>
      <c r="Z199" s="491"/>
      <c r="AA199" s="491"/>
      <c r="AB199" s="494"/>
      <c r="AC199" s="491"/>
      <c r="AD199" s="491"/>
      <c r="AE199" s="494"/>
      <c r="AF199" s="491"/>
      <c r="AG199" s="491"/>
      <c r="AI199" s="516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41" t="s">
        <v>360</v>
      </c>
      <c r="C200" s="742"/>
      <c r="D200" s="743"/>
      <c r="E200" s="743"/>
      <c r="F200" s="743"/>
      <c r="G200" s="743"/>
      <c r="H200" s="743"/>
      <c r="I200" s="743"/>
      <c r="J200" s="743"/>
      <c r="K200" s="743"/>
      <c r="L200" s="744"/>
      <c r="M200" s="19"/>
      <c r="N200" s="745" t="s">
        <v>361</v>
      </c>
      <c r="O200" s="743"/>
      <c r="P200" s="743"/>
      <c r="Q200" s="743"/>
      <c r="R200" s="743"/>
      <c r="S200" s="743"/>
      <c r="T200" s="743"/>
      <c r="U200" s="743"/>
      <c r="V200" s="744"/>
      <c r="W200" s="746" t="s">
        <v>393</v>
      </c>
      <c r="X200" s="747"/>
      <c r="Y200" s="747"/>
      <c r="Z200" s="747"/>
      <c r="AA200" s="747"/>
      <c r="AB200" s="747"/>
      <c r="AC200" s="747"/>
      <c r="AD200" s="747"/>
      <c r="AE200" s="747"/>
      <c r="AF200" s="747"/>
      <c r="AG200" s="747"/>
      <c r="AH200" s="747"/>
      <c r="AI200" s="747"/>
      <c r="AJ200" s="747"/>
      <c r="AK200" s="747"/>
      <c r="AL200" s="747"/>
      <c r="AM200" s="748"/>
      <c r="AN200" s="752"/>
      <c r="AO200" s="752"/>
      <c r="AP200" s="752"/>
      <c r="AQ200" s="753"/>
      <c r="AR200" s="753"/>
      <c r="AS200" s="753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487"/>
      <c r="P201" s="20"/>
      <c r="V201" s="21"/>
      <c r="W201" s="749"/>
      <c r="X201" s="750"/>
      <c r="Y201" s="750"/>
      <c r="Z201" s="750"/>
      <c r="AA201" s="750"/>
      <c r="AB201" s="750"/>
      <c r="AC201" s="750"/>
      <c r="AD201" s="750"/>
      <c r="AE201" s="750"/>
      <c r="AF201" s="750"/>
      <c r="AG201" s="750"/>
      <c r="AH201" s="750"/>
      <c r="AI201" s="750"/>
      <c r="AJ201" s="750"/>
      <c r="AK201" s="750"/>
      <c r="AL201" s="750"/>
      <c r="AM201" s="751"/>
      <c r="AN201" s="754"/>
      <c r="AO201" s="754"/>
      <c r="AP201" s="754"/>
      <c r="AQ201" s="755"/>
      <c r="AR201" s="755"/>
      <c r="AS201" s="755"/>
      <c r="AT201" s="217"/>
    </row>
    <row r="202" spans="1:52" x14ac:dyDescent="0.35">
      <c r="A202" s="5"/>
      <c r="B202" s="759" t="s">
        <v>3</v>
      </c>
      <c r="C202" s="760"/>
      <c r="D202" s="761"/>
      <c r="F202" s="762" t="s">
        <v>362</v>
      </c>
      <c r="G202" s="762"/>
      <c r="I202" s="763" t="s">
        <v>363</v>
      </c>
      <c r="J202" s="763"/>
      <c r="N202" s="764" t="s">
        <v>364</v>
      </c>
      <c r="O202" s="764"/>
      <c r="P202" s="706"/>
      <c r="R202" s="765" t="s">
        <v>365</v>
      </c>
      <c r="S202" s="766"/>
      <c r="T202" s="776"/>
      <c r="U202" s="777"/>
      <c r="V202" s="21"/>
      <c r="W202" s="782" t="s">
        <v>4</v>
      </c>
      <c r="X202" s="783"/>
      <c r="Y202" s="774" t="s">
        <v>366</v>
      </c>
      <c r="Z202" s="774"/>
      <c r="AA202" s="774"/>
      <c r="AB202" s="774"/>
      <c r="AC202" s="774" t="s">
        <v>367</v>
      </c>
      <c r="AD202" s="774"/>
      <c r="AE202" s="774" t="s">
        <v>368</v>
      </c>
      <c r="AF202" s="774"/>
      <c r="AG202" s="774"/>
      <c r="AH202" s="774" t="s">
        <v>369</v>
      </c>
      <c r="AI202" s="774"/>
      <c r="AJ202" s="774"/>
      <c r="AK202" s="774" t="s">
        <v>370</v>
      </c>
      <c r="AL202" s="774"/>
      <c r="AM202" s="774"/>
      <c r="AN202" s="774" t="s">
        <v>371</v>
      </c>
      <c r="AO202" s="774"/>
      <c r="AP202" s="774"/>
      <c r="AQ202" s="775"/>
      <c r="AR202" s="775"/>
      <c r="AS202" s="775"/>
      <c r="AT202" s="213"/>
    </row>
    <row r="203" spans="1:52" x14ac:dyDescent="0.35">
      <c r="A203" s="5"/>
      <c r="B203" s="5"/>
      <c r="N203" s="764"/>
      <c r="O203" s="764"/>
      <c r="P203" s="706"/>
      <c r="R203" s="767"/>
      <c r="S203" s="768"/>
      <c r="T203" s="778"/>
      <c r="U203" s="779"/>
      <c r="V203" s="21"/>
      <c r="W203" s="738">
        <v>1</v>
      </c>
      <c r="X203" s="723"/>
      <c r="Y203" s="758" t="s">
        <v>372</v>
      </c>
      <c r="Z203" s="758"/>
      <c r="AA203" s="758"/>
      <c r="AB203" s="758"/>
      <c r="AC203" s="756" t="s">
        <v>373</v>
      </c>
      <c r="AD203" s="756"/>
      <c r="AE203" s="737">
        <v>118.40600000000001</v>
      </c>
      <c r="AF203" s="756"/>
      <c r="AG203" s="756"/>
      <c r="AH203" s="737">
        <v>118.387</v>
      </c>
      <c r="AI203" s="756"/>
      <c r="AJ203" s="756"/>
      <c r="AK203" s="737">
        <f t="shared" ref="AK203:AK210" si="1">AE203-AH203</f>
        <v>1.9000000000005457E-2</v>
      </c>
      <c r="AL203" s="737"/>
      <c r="AM203" s="737"/>
      <c r="AN203" s="756"/>
      <c r="AO203" s="756"/>
      <c r="AP203" s="756"/>
      <c r="AQ203" s="757"/>
      <c r="AR203" s="757"/>
      <c r="AS203" s="757"/>
      <c r="AT203" s="213"/>
    </row>
    <row r="204" spans="1:52" x14ac:dyDescent="0.35">
      <c r="A204" s="5"/>
      <c r="B204" s="771" t="s">
        <v>2</v>
      </c>
      <c r="C204" s="772"/>
      <c r="D204" s="773"/>
      <c r="N204" s="764" t="s">
        <v>374</v>
      </c>
      <c r="O204" s="764"/>
      <c r="P204" s="706"/>
      <c r="R204" s="767"/>
      <c r="S204" s="768"/>
      <c r="T204" s="778"/>
      <c r="U204" s="779"/>
      <c r="V204" s="21"/>
      <c r="W204" s="738">
        <v>2</v>
      </c>
      <c r="X204" s="723"/>
      <c r="Y204" s="758" t="s">
        <v>375</v>
      </c>
      <c r="Z204" s="758"/>
      <c r="AA204" s="758"/>
      <c r="AB204" s="758"/>
      <c r="AC204" s="756" t="s">
        <v>373</v>
      </c>
      <c r="AD204" s="756"/>
      <c r="AE204" s="737">
        <v>118.40600000000001</v>
      </c>
      <c r="AF204" s="756"/>
      <c r="AG204" s="756"/>
      <c r="AH204" s="737">
        <v>118.387</v>
      </c>
      <c r="AI204" s="756"/>
      <c r="AJ204" s="756"/>
      <c r="AK204" s="737">
        <f t="shared" si="1"/>
        <v>1.9000000000005457E-2</v>
      </c>
      <c r="AL204" s="737"/>
      <c r="AM204" s="737"/>
      <c r="AN204" s="756"/>
      <c r="AO204" s="756"/>
      <c r="AP204" s="756"/>
      <c r="AQ204" s="757"/>
      <c r="AR204" s="757"/>
      <c r="AS204" s="757"/>
      <c r="AT204" s="213"/>
    </row>
    <row r="205" spans="1:52" x14ac:dyDescent="0.35">
      <c r="A205" s="5"/>
      <c r="B205" s="5"/>
      <c r="F205" s="6"/>
      <c r="G205"/>
      <c r="N205" s="764"/>
      <c r="O205" s="764"/>
      <c r="P205" s="706"/>
      <c r="R205" s="769"/>
      <c r="S205" s="770"/>
      <c r="T205" s="780"/>
      <c r="U205" s="781"/>
      <c r="V205" s="21"/>
      <c r="W205" s="738">
        <v>3</v>
      </c>
      <c r="X205" s="723"/>
      <c r="Y205" s="758" t="s">
        <v>0</v>
      </c>
      <c r="Z205" s="758"/>
      <c r="AA205" s="758"/>
      <c r="AB205" s="758"/>
      <c r="AC205" s="756" t="s">
        <v>376</v>
      </c>
      <c r="AD205" s="756"/>
      <c r="AE205" s="756">
        <v>309</v>
      </c>
      <c r="AF205" s="756"/>
      <c r="AG205" s="756"/>
      <c r="AH205" s="756">
        <f>I217</f>
        <v>268</v>
      </c>
      <c r="AI205" s="756"/>
      <c r="AJ205" s="756"/>
      <c r="AK205" s="756">
        <f>AE205-AH205</f>
        <v>41</v>
      </c>
      <c r="AL205" s="756"/>
      <c r="AM205" s="756"/>
      <c r="AN205" s="756"/>
      <c r="AO205" s="756"/>
      <c r="AP205" s="756"/>
      <c r="AQ205" s="757"/>
      <c r="AR205" s="757"/>
      <c r="AS205" s="757"/>
      <c r="AT205" s="213"/>
    </row>
    <row r="206" spans="1:52" x14ac:dyDescent="0.35">
      <c r="A206" s="5"/>
      <c r="B206" s="5"/>
      <c r="E206" s="672"/>
      <c r="F206" s="672"/>
      <c r="H206" s="673"/>
      <c r="I206" s="673"/>
      <c r="K206" s="672"/>
      <c r="L206" s="672"/>
      <c r="N206" s="764" t="s">
        <v>377</v>
      </c>
      <c r="O206" s="764"/>
      <c r="P206" s="706"/>
      <c r="R206" s="765" t="s">
        <v>378</v>
      </c>
      <c r="S206" s="766"/>
      <c r="T206" s="776"/>
      <c r="U206" s="777"/>
      <c r="V206" s="21"/>
      <c r="W206" s="738">
        <v>4</v>
      </c>
      <c r="X206" s="723"/>
      <c r="Y206" s="758" t="s">
        <v>1</v>
      </c>
      <c r="Z206" s="758"/>
      <c r="AA206" s="758"/>
      <c r="AB206" s="758"/>
      <c r="AC206" s="756" t="s">
        <v>376</v>
      </c>
      <c r="AD206" s="756"/>
      <c r="AE206" s="756">
        <v>309</v>
      </c>
      <c r="AF206" s="756"/>
      <c r="AG206" s="756"/>
      <c r="AH206" s="756">
        <f>J217</f>
        <v>247</v>
      </c>
      <c r="AI206" s="756"/>
      <c r="AJ206" s="756"/>
      <c r="AK206" s="756">
        <f t="shared" si="1"/>
        <v>62</v>
      </c>
      <c r="AL206" s="756"/>
      <c r="AM206" s="756"/>
      <c r="AN206" s="756"/>
      <c r="AO206" s="756"/>
      <c r="AP206" s="756"/>
      <c r="AQ206" s="757"/>
      <c r="AR206" s="757"/>
      <c r="AS206" s="757"/>
      <c r="AT206" s="213"/>
    </row>
    <row r="207" spans="1:52" x14ac:dyDescent="0.35">
      <c r="A207" s="5"/>
      <c r="B207" s="22"/>
      <c r="C207" s="525"/>
      <c r="D207" s="23"/>
      <c r="E207" s="11"/>
      <c r="F207" s="12"/>
      <c r="G207" s="483"/>
      <c r="H207" s="3"/>
      <c r="I207" s="3"/>
      <c r="J207" s="484"/>
      <c r="K207" s="8"/>
      <c r="L207" s="3"/>
      <c r="M207" s="483"/>
      <c r="N207" s="764"/>
      <c r="O207" s="764"/>
      <c r="P207" s="706"/>
      <c r="R207" s="767"/>
      <c r="S207" s="768"/>
      <c r="T207" s="778"/>
      <c r="U207" s="779"/>
      <c r="V207" s="21"/>
      <c r="W207" s="738">
        <v>5</v>
      </c>
      <c r="X207" s="723"/>
      <c r="Y207" s="758" t="s">
        <v>2</v>
      </c>
      <c r="Z207" s="758"/>
      <c r="AA207" s="758"/>
      <c r="AB207" s="758"/>
      <c r="AC207" s="756" t="s">
        <v>376</v>
      </c>
      <c r="AD207" s="756"/>
      <c r="AE207" s="756">
        <v>309</v>
      </c>
      <c r="AF207" s="756"/>
      <c r="AG207" s="756"/>
      <c r="AH207" s="756">
        <f>K217</f>
        <v>208</v>
      </c>
      <c r="AI207" s="756"/>
      <c r="AJ207" s="756"/>
      <c r="AK207" s="756">
        <f t="shared" si="1"/>
        <v>101</v>
      </c>
      <c r="AL207" s="756"/>
      <c r="AM207" s="756"/>
      <c r="AN207" s="756"/>
      <c r="AO207" s="756"/>
      <c r="AP207" s="756"/>
      <c r="AQ207" s="757"/>
      <c r="AR207" s="757"/>
      <c r="AS207" s="757"/>
      <c r="AT207" s="213"/>
    </row>
    <row r="208" spans="1:52" x14ac:dyDescent="0.35">
      <c r="A208" s="5"/>
      <c r="B208" s="788" t="s">
        <v>0</v>
      </c>
      <c r="C208" s="789"/>
      <c r="D208" s="790"/>
      <c r="E208" s="11"/>
      <c r="F208" s="11"/>
      <c r="G208" s="483"/>
      <c r="H208" s="3"/>
      <c r="I208" s="3"/>
      <c r="K208" s="8"/>
      <c r="L208" s="3"/>
      <c r="M208" s="483"/>
      <c r="N208" s="764" t="s">
        <v>379</v>
      </c>
      <c r="O208" s="764"/>
      <c r="P208" s="706"/>
      <c r="R208" s="767"/>
      <c r="S208" s="768"/>
      <c r="T208" s="778"/>
      <c r="U208" s="779"/>
      <c r="V208" s="21"/>
      <c r="W208" s="738">
        <v>6</v>
      </c>
      <c r="X208" s="723"/>
      <c r="Y208" s="758" t="s">
        <v>380</v>
      </c>
      <c r="Z208" s="758"/>
      <c r="AA208" s="758"/>
      <c r="AB208" s="758"/>
      <c r="AC208" s="756" t="s">
        <v>376</v>
      </c>
      <c r="AD208" s="756"/>
      <c r="AE208" s="756">
        <v>309</v>
      </c>
      <c r="AF208" s="756"/>
      <c r="AG208" s="756"/>
      <c r="AH208" s="756">
        <v>0</v>
      </c>
      <c r="AI208" s="756"/>
      <c r="AJ208" s="756"/>
      <c r="AK208" s="756">
        <f t="shared" si="1"/>
        <v>309</v>
      </c>
      <c r="AL208" s="756"/>
      <c r="AM208" s="756"/>
      <c r="AN208" s="756"/>
      <c r="AO208" s="756"/>
      <c r="AP208" s="756"/>
      <c r="AQ208" s="757"/>
      <c r="AR208" s="757"/>
      <c r="AS208" s="757"/>
      <c r="AT208" s="213"/>
    </row>
    <row r="209" spans="1:46" x14ac:dyDescent="0.35">
      <c r="A209" s="5"/>
      <c r="B209" s="22" t="s">
        <v>381</v>
      </c>
      <c r="C209" s="525"/>
      <c r="E209" s="740" t="s">
        <v>8</v>
      </c>
      <c r="F209" s="740"/>
      <c r="G209" s="501">
        <v>293</v>
      </c>
      <c r="H209" s="785" t="s">
        <v>354</v>
      </c>
      <c r="I209" s="740"/>
      <c r="J209" s="526">
        <v>391</v>
      </c>
      <c r="K209" s="786" t="s">
        <v>355</v>
      </c>
      <c r="L209" s="787"/>
      <c r="M209" s="483"/>
      <c r="N209" s="764"/>
      <c r="O209" s="764"/>
      <c r="P209" s="706"/>
      <c r="R209" s="769"/>
      <c r="S209" s="770"/>
      <c r="T209" s="780"/>
      <c r="U209" s="781"/>
      <c r="V209" s="21"/>
      <c r="W209" s="738">
        <v>7</v>
      </c>
      <c r="X209" s="723"/>
      <c r="Y209" s="758" t="s">
        <v>382</v>
      </c>
      <c r="Z209" s="758"/>
      <c r="AA209" s="758"/>
      <c r="AB209" s="758"/>
      <c r="AC209" s="756" t="s">
        <v>373</v>
      </c>
      <c r="AD209" s="756"/>
      <c r="AE209" s="737">
        <v>118.40600000000001</v>
      </c>
      <c r="AF209" s="756"/>
      <c r="AG209" s="756"/>
      <c r="AH209" s="737">
        <v>0</v>
      </c>
      <c r="AI209" s="737"/>
      <c r="AJ209" s="737"/>
      <c r="AK209" s="737">
        <f t="shared" si="1"/>
        <v>118.40600000000001</v>
      </c>
      <c r="AL209" s="737"/>
      <c r="AM209" s="737"/>
      <c r="AN209" s="758"/>
      <c r="AO209" s="758"/>
      <c r="AP209" s="758"/>
      <c r="AQ209" s="791"/>
      <c r="AR209" s="791"/>
      <c r="AS209" s="791"/>
      <c r="AT209" s="218"/>
    </row>
    <row r="210" spans="1:46" x14ac:dyDescent="0.35">
      <c r="A210" s="5"/>
      <c r="B210" s="22" t="s">
        <v>5</v>
      </c>
      <c r="C210" s="525"/>
      <c r="E210" s="686" t="s">
        <v>356</v>
      </c>
      <c r="F210" s="686"/>
      <c r="H210" s="686" t="s">
        <v>33</v>
      </c>
      <c r="I210" s="686"/>
      <c r="J210" s="526"/>
      <c r="K210" s="813" t="s">
        <v>357</v>
      </c>
      <c r="L210" s="814"/>
      <c r="M210" s="483"/>
      <c r="N210" s="764" t="s">
        <v>383</v>
      </c>
      <c r="O210" s="764"/>
      <c r="P210" s="706"/>
      <c r="R210" s="816"/>
      <c r="S210" s="816"/>
      <c r="T210" s="699"/>
      <c r="U210" s="699"/>
      <c r="V210" s="21"/>
      <c r="W210" s="738">
        <v>8</v>
      </c>
      <c r="X210" s="723"/>
      <c r="Y210" s="758" t="s">
        <v>384</v>
      </c>
      <c r="Z210" s="758"/>
      <c r="AA210" s="758"/>
      <c r="AB210" s="758"/>
      <c r="AC210" s="756" t="s">
        <v>373</v>
      </c>
      <c r="AD210" s="756"/>
      <c r="AE210" s="737">
        <v>118.40600000000001</v>
      </c>
      <c r="AF210" s="756"/>
      <c r="AG210" s="756"/>
      <c r="AH210" s="737">
        <v>0</v>
      </c>
      <c r="AI210" s="756"/>
      <c r="AJ210" s="756"/>
      <c r="AK210" s="756">
        <f t="shared" si="1"/>
        <v>118.40600000000001</v>
      </c>
      <c r="AL210" s="756"/>
      <c r="AM210" s="756"/>
      <c r="AN210" s="756"/>
      <c r="AO210" s="756"/>
      <c r="AP210" s="756"/>
      <c r="AQ210" s="757"/>
      <c r="AR210" s="757"/>
      <c r="AS210" s="757"/>
      <c r="AT210" s="213"/>
    </row>
    <row r="211" spans="1:46" ht="15" thickBot="1" x14ac:dyDescent="0.4">
      <c r="A211" s="24"/>
      <c r="B211" s="24"/>
      <c r="C211" s="25"/>
      <c r="D211" s="26"/>
      <c r="E211" s="25"/>
      <c r="F211" s="808" t="s">
        <v>1</v>
      </c>
      <c r="G211" s="808"/>
      <c r="H211" s="25"/>
      <c r="I211" s="25"/>
      <c r="J211" s="809" t="s">
        <v>385</v>
      </c>
      <c r="K211" s="809"/>
      <c r="L211" s="809"/>
      <c r="M211" s="26"/>
      <c r="N211" s="805"/>
      <c r="O211" s="805"/>
      <c r="P211" s="815"/>
      <c r="Q211" s="26"/>
      <c r="R211" s="817"/>
      <c r="S211" s="817"/>
      <c r="T211" s="784"/>
      <c r="U211" s="784"/>
      <c r="V211" s="27"/>
      <c r="W211" s="810">
        <v>9</v>
      </c>
      <c r="X211" s="811"/>
      <c r="Y211" s="812" t="s">
        <v>386</v>
      </c>
      <c r="Z211" s="812"/>
      <c r="AA211" s="812"/>
      <c r="AB211" s="812"/>
      <c r="AC211" s="802" t="s">
        <v>373</v>
      </c>
      <c r="AD211" s="802"/>
      <c r="AE211" s="801">
        <v>118.40600000000001</v>
      </c>
      <c r="AF211" s="802"/>
      <c r="AG211" s="802"/>
      <c r="AH211" s="801">
        <v>0</v>
      </c>
      <c r="AI211" s="802"/>
      <c r="AJ211" s="802"/>
      <c r="AK211" s="802">
        <v>118</v>
      </c>
      <c r="AL211" s="802"/>
      <c r="AM211" s="802"/>
      <c r="AN211" s="802"/>
      <c r="AO211" s="802"/>
      <c r="AP211" s="802"/>
      <c r="AQ211" s="803"/>
      <c r="AR211" s="803"/>
      <c r="AS211" s="803"/>
      <c r="AT211" s="527"/>
    </row>
    <row r="212" spans="1:46" x14ac:dyDescent="0.35">
      <c r="N212" s="804" t="s">
        <v>394</v>
      </c>
      <c r="O212" s="804"/>
      <c r="P212" s="806"/>
    </row>
    <row r="213" spans="1:46" ht="15" thickBot="1" x14ac:dyDescent="0.4">
      <c r="N213" s="805"/>
      <c r="O213" s="805"/>
      <c r="P213" s="706"/>
    </row>
    <row r="214" spans="1:46" x14ac:dyDescent="0.35">
      <c r="AH214" s="807"/>
      <c r="AI214" s="807"/>
    </row>
    <row r="215" spans="1:46" ht="15" thickBot="1" x14ac:dyDescent="0.4"/>
    <row r="216" spans="1:46" ht="72.5" x14ac:dyDescent="0.35">
      <c r="I216" s="471" t="s">
        <v>2074</v>
      </c>
      <c r="J216" s="477" t="s">
        <v>2075</v>
      </c>
      <c r="K216" s="478" t="s">
        <v>2077</v>
      </c>
      <c r="L216" s="474" t="s">
        <v>352</v>
      </c>
      <c r="M216" s="479" t="s">
        <v>353</v>
      </c>
      <c r="N216" s="476" t="s">
        <v>2055</v>
      </c>
      <c r="W216" s="208"/>
      <c r="X216" s="208"/>
      <c r="AB216" s="208"/>
      <c r="AH216" s="792" t="s">
        <v>2058</v>
      </c>
      <c r="AI216" s="793"/>
      <c r="AJ216" s="793"/>
      <c r="AK216" s="793"/>
      <c r="AL216" s="793"/>
      <c r="AM216" s="793"/>
      <c r="AN216" s="793"/>
      <c r="AO216" s="793"/>
      <c r="AP216" s="794"/>
      <c r="AQ216" s="298"/>
      <c r="AR216" s="298"/>
    </row>
    <row r="217" spans="1:46" x14ac:dyDescent="0.35">
      <c r="I217" s="8">
        <f>AV3</f>
        <v>268</v>
      </c>
      <c r="J217" s="8">
        <f>AW3</f>
        <v>247</v>
      </c>
      <c r="K217" s="8">
        <f>AX3</f>
        <v>208</v>
      </c>
      <c r="L217" s="8">
        <f t="shared" ref="L217:N217" si="2">SUM(L220:L396)</f>
        <v>0</v>
      </c>
      <c r="M217" s="8">
        <f t="shared" si="2"/>
        <v>0</v>
      </c>
      <c r="N217" s="8">
        <f t="shared" si="2"/>
        <v>0</v>
      </c>
      <c r="AH217" s="795"/>
      <c r="AI217" s="796"/>
      <c r="AJ217" s="796"/>
      <c r="AK217" s="796"/>
      <c r="AL217" s="796"/>
      <c r="AM217" s="796"/>
      <c r="AN217" s="796"/>
      <c r="AO217" s="796"/>
      <c r="AP217" s="797"/>
      <c r="AQ217" s="298"/>
      <c r="AR217" s="298"/>
    </row>
    <row r="218" spans="1:46" x14ac:dyDescent="0.35">
      <c r="AH218" s="795"/>
      <c r="AI218" s="796"/>
      <c r="AJ218" s="796"/>
      <c r="AK218" s="796"/>
      <c r="AL218" s="796"/>
      <c r="AM218" s="796"/>
      <c r="AN218" s="796"/>
      <c r="AO218" s="796"/>
      <c r="AP218" s="797"/>
      <c r="AQ218" s="298"/>
      <c r="AR218" s="298"/>
    </row>
    <row r="219" spans="1:46" x14ac:dyDescent="0.35">
      <c r="AH219" s="795"/>
      <c r="AI219" s="796"/>
      <c r="AJ219" s="796"/>
      <c r="AK219" s="796"/>
      <c r="AL219" s="796"/>
      <c r="AM219" s="796"/>
      <c r="AN219" s="796"/>
      <c r="AO219" s="796"/>
      <c r="AP219" s="797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795"/>
      <c r="AI220" s="796"/>
      <c r="AJ220" s="796"/>
      <c r="AK220" s="796"/>
      <c r="AL220" s="796"/>
      <c r="AM220" s="796"/>
      <c r="AN220" s="796"/>
      <c r="AO220" s="796"/>
      <c r="AP220" s="797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795"/>
      <c r="AI221" s="796"/>
      <c r="AJ221" s="796"/>
      <c r="AK221" s="796"/>
      <c r="AL221" s="796"/>
      <c r="AM221" s="796"/>
      <c r="AN221" s="796"/>
      <c r="AO221" s="796"/>
      <c r="AP221" s="797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798"/>
      <c r="AI222" s="799"/>
      <c r="AJ222" s="799"/>
      <c r="AK222" s="799"/>
      <c r="AL222" s="799"/>
      <c r="AM222" s="799"/>
      <c r="AN222" s="799"/>
      <c r="AO222" s="799"/>
      <c r="AP222" s="800"/>
      <c r="AQ222" s="298"/>
      <c r="AR222" s="298"/>
      <c r="AS222"/>
      <c r="AT222"/>
    </row>
  </sheetData>
  <mergeCells count="1145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W125:X126"/>
    <mergeCell ref="AL125:AM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2348" priority="1586" operator="containsText" text="fnd">
      <formula>NOT(ISERROR(SEARCH("fnd",B5)))</formula>
    </cfRule>
  </conditionalFormatting>
  <conditionalFormatting sqref="B5:B6 AS6:AT6 AQ6">
    <cfRule type="containsText" dxfId="2347" priority="1585" operator="containsText" text="Ear">
      <formula>NOT(ISERROR(SEARCH("Ear",B5)))</formula>
    </cfRule>
  </conditionalFormatting>
  <conditionalFormatting sqref="B5:B6 AS6:AT6">
    <cfRule type="containsText" dxfId="2346" priority="1583" operator="containsText" text="Str">
      <formula>NOT(ISERROR(SEARCH("Str",B5)))</formula>
    </cfRule>
    <cfRule type="containsText" dxfId="2345" priority="1584" operator="containsText" text="Ere">
      <formula>NOT(ISERROR(SEARCH("Ere",B5)))</formula>
    </cfRule>
  </conditionalFormatting>
  <conditionalFormatting sqref="B13:B14">
    <cfRule type="containsText" dxfId="2344" priority="1671" operator="containsText" text="Str">
      <formula>NOT(ISERROR(SEARCH("Str",B13)))</formula>
    </cfRule>
    <cfRule type="containsText" dxfId="2343" priority="1672" operator="containsText" text="Ere">
      <formula>NOT(ISERROR(SEARCH("Ere",B13)))</formula>
    </cfRule>
    <cfRule type="containsText" dxfId="2342" priority="1673" operator="containsText" text="Ear">
      <formula>NOT(ISERROR(SEARCH("Ear",B13)))</formula>
    </cfRule>
    <cfRule type="containsText" dxfId="2341" priority="1674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2340" priority="1463" operator="containsText" text="Str">
      <formula>NOT(ISERROR(SEARCH("Str",B21)))</formula>
    </cfRule>
    <cfRule type="containsText" dxfId="2339" priority="1464" operator="containsText" text="Ere">
      <formula>NOT(ISERROR(SEARCH("Ere",B21)))</formula>
    </cfRule>
    <cfRule type="containsText" dxfId="2338" priority="1465" operator="containsText" text="Ear">
      <formula>NOT(ISERROR(SEARCH("Ear",B21)))</formula>
    </cfRule>
    <cfRule type="containsText" dxfId="2337" priority="1466" operator="containsText" text="fnd">
      <formula>NOT(ISERROR(SEARCH("fnd",B21)))</formula>
    </cfRule>
  </conditionalFormatting>
  <conditionalFormatting sqref="B29:B30">
    <cfRule type="containsText" dxfId="2336" priority="919" operator="containsText" text="Str">
      <formula>NOT(ISERROR(SEARCH("Str",B29)))</formula>
    </cfRule>
    <cfRule type="containsText" dxfId="2335" priority="920" operator="containsText" text="Ere">
      <formula>NOT(ISERROR(SEARCH("Ere",B29)))</formula>
    </cfRule>
    <cfRule type="containsText" dxfId="2334" priority="921" operator="containsText" text="Ear">
      <formula>NOT(ISERROR(SEARCH("Ear",B29)))</formula>
    </cfRule>
    <cfRule type="containsText" dxfId="2333" priority="922" operator="containsText" text="fnd">
      <formula>NOT(ISERROR(SEARCH("fnd",B29)))</formula>
    </cfRule>
  </conditionalFormatting>
  <conditionalFormatting sqref="B37:B38">
    <cfRule type="containsText" dxfId="2332" priority="659" operator="containsText" text="Str">
      <formula>NOT(ISERROR(SEARCH("Str",B37)))</formula>
    </cfRule>
    <cfRule type="containsText" dxfId="2331" priority="660" operator="containsText" text="Ere">
      <formula>NOT(ISERROR(SEARCH("Ere",B37)))</formula>
    </cfRule>
    <cfRule type="containsText" dxfId="2330" priority="661" operator="containsText" text="Ear">
      <formula>NOT(ISERROR(SEARCH("Ear",B37)))</formula>
    </cfRule>
    <cfRule type="containsText" dxfId="2329" priority="662" operator="containsText" text="fnd">
      <formula>NOT(ISERROR(SEARCH("fnd",B37)))</formula>
    </cfRule>
  </conditionalFormatting>
  <conditionalFormatting sqref="B45:B46">
    <cfRule type="containsText" dxfId="2328" priority="2107" operator="containsText" text="Str">
      <formula>NOT(ISERROR(SEARCH("Str",B45)))</formula>
    </cfRule>
    <cfRule type="containsText" dxfId="2327" priority="2108" operator="containsText" text="Ere">
      <formula>NOT(ISERROR(SEARCH("Ere",B45)))</formula>
    </cfRule>
    <cfRule type="containsText" dxfId="2326" priority="2109" operator="containsText" text="Ear">
      <formula>NOT(ISERROR(SEARCH("Ear",B45)))</formula>
    </cfRule>
    <cfRule type="containsText" dxfId="2325" priority="2110" operator="containsText" text="fnd">
      <formula>NOT(ISERROR(SEARCH("fnd",B45)))</formula>
    </cfRule>
  </conditionalFormatting>
  <conditionalFormatting sqref="B69">
    <cfRule type="containsText" dxfId="2324" priority="1975" operator="containsText" text="Str">
      <formula>NOT(ISERROR(SEARCH("Str",B69)))</formula>
    </cfRule>
    <cfRule type="containsText" dxfId="2323" priority="1976" operator="containsText" text="Ere">
      <formula>NOT(ISERROR(SEARCH("Ere",B69)))</formula>
    </cfRule>
    <cfRule type="containsText" dxfId="2322" priority="1977" operator="containsText" text="Ear">
      <formula>NOT(ISERROR(SEARCH("Ear",B69)))</formula>
    </cfRule>
    <cfRule type="containsText" dxfId="2321" priority="1978" operator="containsText" text="fnd">
      <formula>NOT(ISERROR(SEARCH("fnd",B69)))</formula>
    </cfRule>
  </conditionalFormatting>
  <conditionalFormatting sqref="B77">
    <cfRule type="containsText" dxfId="2320" priority="811" operator="containsText" text="Str">
      <formula>NOT(ISERROR(SEARCH("Str",B77)))</formula>
    </cfRule>
    <cfRule type="containsText" dxfId="2319" priority="812" operator="containsText" text="Ere">
      <formula>NOT(ISERROR(SEARCH("Ere",B77)))</formula>
    </cfRule>
    <cfRule type="containsText" dxfId="2318" priority="813" operator="containsText" text="Ear">
      <formula>NOT(ISERROR(SEARCH("Ear",B77)))</formula>
    </cfRule>
    <cfRule type="containsText" dxfId="2317" priority="814" operator="containsText" text="fnd">
      <formula>NOT(ISERROR(SEARCH("fnd",B77)))</formula>
    </cfRule>
  </conditionalFormatting>
  <conditionalFormatting sqref="B86">
    <cfRule type="containsText" dxfId="2316" priority="341" operator="containsText" text="Str">
      <formula>NOT(ISERROR(SEARCH("Str",B86)))</formula>
    </cfRule>
    <cfRule type="containsText" dxfId="2315" priority="342" operator="containsText" text="Ere">
      <formula>NOT(ISERROR(SEARCH("Ere",B86)))</formula>
    </cfRule>
    <cfRule type="containsText" dxfId="2314" priority="343" operator="containsText" text="Ear">
      <formula>NOT(ISERROR(SEARCH("Ear",B86)))</formula>
    </cfRule>
    <cfRule type="containsText" dxfId="2313" priority="344" operator="containsText" text="fnd">
      <formula>NOT(ISERROR(SEARCH("fnd",B86)))</formula>
    </cfRule>
  </conditionalFormatting>
  <conditionalFormatting sqref="B101">
    <cfRule type="containsText" dxfId="2312" priority="1563" operator="containsText" text="Str">
      <formula>NOT(ISERROR(SEARCH("Str",B101)))</formula>
    </cfRule>
    <cfRule type="containsText" dxfId="2311" priority="1564" operator="containsText" text="Ere">
      <formula>NOT(ISERROR(SEARCH("Ere",B101)))</formula>
    </cfRule>
    <cfRule type="containsText" dxfId="2310" priority="1565" operator="containsText" text="Ear">
      <formula>NOT(ISERROR(SEARCH("Ear",B101)))</formula>
    </cfRule>
    <cfRule type="containsText" dxfId="2309" priority="1566" operator="containsText" text="fnd">
      <formula>NOT(ISERROR(SEARCH("fnd",B101)))</formula>
    </cfRule>
  </conditionalFormatting>
  <conditionalFormatting sqref="B109">
    <cfRule type="containsText" dxfId="2308" priority="743" operator="containsText" text="Str">
      <formula>NOT(ISERROR(SEARCH("Str",B109)))</formula>
    </cfRule>
    <cfRule type="containsText" dxfId="2307" priority="744" operator="containsText" text="Ere">
      <formula>NOT(ISERROR(SEARCH("Ere",B109)))</formula>
    </cfRule>
    <cfRule type="containsText" dxfId="2306" priority="745" operator="containsText" text="Ear">
      <formula>NOT(ISERROR(SEARCH("Ear",B109)))</formula>
    </cfRule>
    <cfRule type="containsText" dxfId="2305" priority="746" operator="containsText" text="fnd">
      <formula>NOT(ISERROR(SEARCH("fnd",B109)))</formula>
    </cfRule>
  </conditionalFormatting>
  <conditionalFormatting sqref="B117">
    <cfRule type="containsText" dxfId="2304" priority="1435" operator="containsText" text="Str">
      <formula>NOT(ISERROR(SEARCH("Str",B117)))</formula>
    </cfRule>
    <cfRule type="containsText" dxfId="2303" priority="1436" operator="containsText" text="Ere">
      <formula>NOT(ISERROR(SEARCH("Ere",B117)))</formula>
    </cfRule>
    <cfRule type="containsText" dxfId="2302" priority="1437" operator="containsText" text="Ear">
      <formula>NOT(ISERROR(SEARCH("Ear",B117)))</formula>
    </cfRule>
    <cfRule type="containsText" dxfId="2301" priority="1438" operator="containsText" text="fnd">
      <formula>NOT(ISERROR(SEARCH("fnd",B117)))</formula>
    </cfRule>
  </conditionalFormatting>
  <conditionalFormatting sqref="B125">
    <cfRule type="containsText" dxfId="2300" priority="1375" operator="containsText" text="Str">
      <formula>NOT(ISERROR(SEARCH("Str",B125)))</formula>
    </cfRule>
    <cfRule type="containsText" dxfId="2299" priority="1376" operator="containsText" text="Ere">
      <formula>NOT(ISERROR(SEARCH("Ere",B125)))</formula>
    </cfRule>
    <cfRule type="containsText" dxfId="2298" priority="1377" operator="containsText" text="Ear">
      <formula>NOT(ISERROR(SEARCH("Ear",B125)))</formula>
    </cfRule>
    <cfRule type="containsText" dxfId="2297" priority="1378" operator="containsText" text="fnd">
      <formula>NOT(ISERROR(SEARCH("fnd",B125)))</formula>
    </cfRule>
  </conditionalFormatting>
  <conditionalFormatting sqref="B133">
    <cfRule type="containsText" dxfId="2296" priority="1347" operator="containsText" text="Str">
      <formula>NOT(ISERROR(SEARCH("Str",B133)))</formula>
    </cfRule>
    <cfRule type="containsText" dxfId="2295" priority="1348" operator="containsText" text="Ere">
      <formula>NOT(ISERROR(SEARCH("Ere",B133)))</formula>
    </cfRule>
    <cfRule type="containsText" dxfId="2294" priority="1349" operator="containsText" text="Ear">
      <formula>NOT(ISERROR(SEARCH("Ear",B133)))</formula>
    </cfRule>
    <cfRule type="containsText" dxfId="2293" priority="1350" operator="containsText" text="fnd">
      <formula>NOT(ISERROR(SEARCH("fnd",B133)))</formula>
    </cfRule>
  </conditionalFormatting>
  <conditionalFormatting sqref="B141">
    <cfRule type="containsText" dxfId="2292" priority="1295" operator="containsText" text="Str">
      <formula>NOT(ISERROR(SEARCH("Str",B141)))</formula>
    </cfRule>
    <cfRule type="containsText" dxfId="2291" priority="1296" operator="containsText" text="Ere">
      <formula>NOT(ISERROR(SEARCH("Ere",B141)))</formula>
    </cfRule>
    <cfRule type="containsText" dxfId="2290" priority="1297" operator="containsText" text="Ear">
      <formula>NOT(ISERROR(SEARCH("Ear",B141)))</formula>
    </cfRule>
    <cfRule type="containsText" dxfId="2289" priority="1298" operator="containsText" text="fnd">
      <formula>NOT(ISERROR(SEARCH("fnd",B141)))</formula>
    </cfRule>
  </conditionalFormatting>
  <conditionalFormatting sqref="B149">
    <cfRule type="containsText" dxfId="2288" priority="377" operator="containsText" text="Str">
      <formula>NOT(ISERROR(SEARCH("Str",B149)))</formula>
    </cfRule>
    <cfRule type="containsText" dxfId="2287" priority="378" operator="containsText" text="Ere">
      <formula>NOT(ISERROR(SEARCH("Ere",B149)))</formula>
    </cfRule>
    <cfRule type="containsText" dxfId="2286" priority="379" operator="containsText" text="Ear">
      <formula>NOT(ISERROR(SEARCH("Ear",B149)))</formula>
    </cfRule>
    <cfRule type="containsText" dxfId="2285" priority="380" operator="containsText" text="fnd">
      <formula>NOT(ISERROR(SEARCH("fnd",B149)))</formula>
    </cfRule>
  </conditionalFormatting>
  <conditionalFormatting sqref="B157">
    <cfRule type="containsText" dxfId="2284" priority="1151" operator="containsText" text="Str">
      <formula>NOT(ISERROR(SEARCH("Str",B157)))</formula>
    </cfRule>
    <cfRule type="containsText" dxfId="2283" priority="1152" operator="containsText" text="Ere">
      <formula>NOT(ISERROR(SEARCH("Ere",B157)))</formula>
    </cfRule>
    <cfRule type="containsText" dxfId="2282" priority="1153" operator="containsText" text="Ear">
      <formula>NOT(ISERROR(SEARCH("Ear",B157)))</formula>
    </cfRule>
    <cfRule type="containsText" dxfId="2281" priority="1154" operator="containsText" text="fnd">
      <formula>NOT(ISERROR(SEARCH("fnd",B157)))</formula>
    </cfRule>
  </conditionalFormatting>
  <conditionalFormatting sqref="B165">
    <cfRule type="containsText" dxfId="2280" priority="509" operator="containsText" text="Str">
      <formula>NOT(ISERROR(SEARCH("Str",B165)))</formula>
    </cfRule>
    <cfRule type="containsText" dxfId="2279" priority="510" operator="containsText" text="Ere">
      <formula>NOT(ISERROR(SEARCH("Ere",B165)))</formula>
    </cfRule>
    <cfRule type="containsText" dxfId="2278" priority="511" operator="containsText" text="Ear">
      <formula>NOT(ISERROR(SEARCH("Ear",B165)))</formula>
    </cfRule>
    <cfRule type="containsText" dxfId="2277" priority="512" operator="containsText" text="fnd">
      <formula>NOT(ISERROR(SEARCH("fnd",B165)))</formula>
    </cfRule>
  </conditionalFormatting>
  <conditionalFormatting sqref="B173">
    <cfRule type="containsText" dxfId="2276" priority="1015" operator="containsText" text="Str">
      <formula>NOT(ISERROR(SEARCH("Str",B173)))</formula>
    </cfRule>
    <cfRule type="containsText" dxfId="2275" priority="1016" operator="containsText" text="Ere">
      <formula>NOT(ISERROR(SEARCH("Ere",B173)))</formula>
    </cfRule>
    <cfRule type="containsText" dxfId="2274" priority="1017" operator="containsText" text="Ear">
      <formula>NOT(ISERROR(SEARCH("Ear",B173)))</formula>
    </cfRule>
    <cfRule type="containsText" dxfId="2273" priority="1018" operator="containsText" text="fnd">
      <formula>NOT(ISERROR(SEARCH("fnd",B173)))</formula>
    </cfRule>
  </conditionalFormatting>
  <conditionalFormatting sqref="B181">
    <cfRule type="containsText" dxfId="2272" priority="261" operator="containsText" text="Str">
      <formula>NOT(ISERROR(SEARCH("Str",B181)))</formula>
    </cfRule>
    <cfRule type="containsText" dxfId="2271" priority="262" operator="containsText" text="Ere">
      <formula>NOT(ISERROR(SEARCH("Ere",B181)))</formula>
    </cfRule>
    <cfRule type="containsText" dxfId="2270" priority="263" operator="containsText" text="Ear">
      <formula>NOT(ISERROR(SEARCH("Ear",B181)))</formula>
    </cfRule>
    <cfRule type="containsText" dxfId="2269" priority="264" operator="containsText" text="fnd">
      <formula>NOT(ISERROR(SEARCH("fnd",B181)))</formula>
    </cfRule>
  </conditionalFormatting>
  <conditionalFormatting sqref="B54:C54">
    <cfRule type="containsText" dxfId="2268" priority="2103" operator="containsText" text="Str">
      <formula>NOT(ISERROR(SEARCH("Str",B54)))</formula>
    </cfRule>
    <cfRule type="containsText" dxfId="2267" priority="2104" operator="containsText" text="Ere">
      <formula>NOT(ISERROR(SEARCH("Ere",B54)))</formula>
    </cfRule>
    <cfRule type="containsText" dxfId="2266" priority="2105" operator="containsText" text="Ear">
      <formula>NOT(ISERROR(SEARCH("Ear",B54)))</formula>
    </cfRule>
    <cfRule type="containsText" dxfId="2265" priority="2106" operator="containsText" text="fnd">
      <formula>NOT(ISERROR(SEARCH("fnd",B54)))</formula>
    </cfRule>
  </conditionalFormatting>
  <conditionalFormatting sqref="B62:C62">
    <cfRule type="containsText" dxfId="2264" priority="2099" operator="containsText" text="Str">
      <formula>NOT(ISERROR(SEARCH("Str",B62)))</formula>
    </cfRule>
    <cfRule type="containsText" dxfId="2263" priority="2100" operator="containsText" text="Ere">
      <formula>NOT(ISERROR(SEARCH("Ere",B62)))</formula>
    </cfRule>
    <cfRule type="containsText" dxfId="2262" priority="2101" operator="containsText" text="Ear">
      <formula>NOT(ISERROR(SEARCH("Ear",B62)))</formula>
    </cfRule>
    <cfRule type="containsText" dxfId="2261" priority="2102" operator="containsText" text="fnd">
      <formula>NOT(ISERROR(SEARCH("fnd",B62)))</formula>
    </cfRule>
  </conditionalFormatting>
  <conditionalFormatting sqref="B78:C78">
    <cfRule type="containsText" dxfId="2260" priority="815" operator="containsText" text="Str">
      <formula>NOT(ISERROR(SEARCH("Str",B78)))</formula>
    </cfRule>
    <cfRule type="containsText" dxfId="2259" priority="816" operator="containsText" text="Ere">
      <formula>NOT(ISERROR(SEARCH("Ere",B78)))</formula>
    </cfRule>
    <cfRule type="containsText" dxfId="2258" priority="817" operator="containsText" text="Ear">
      <formula>NOT(ISERROR(SEARCH("Ear",B78)))</formula>
    </cfRule>
    <cfRule type="containsText" dxfId="2257" priority="818" operator="containsText" text="fnd">
      <formula>NOT(ISERROR(SEARCH("fnd",B78)))</formula>
    </cfRule>
  </conditionalFormatting>
  <conditionalFormatting sqref="B94:C94">
    <cfRule type="containsText" dxfId="2256" priority="2095" operator="containsText" text="Str">
      <formula>NOT(ISERROR(SEARCH("Str",B94)))</formula>
    </cfRule>
    <cfRule type="containsText" dxfId="2255" priority="2096" operator="containsText" text="Ere">
      <formula>NOT(ISERROR(SEARCH("Ere",B94)))</formula>
    </cfRule>
    <cfRule type="containsText" dxfId="2254" priority="2097" operator="containsText" text="Ear">
      <formula>NOT(ISERROR(SEARCH("Ear",B94)))</formula>
    </cfRule>
    <cfRule type="containsText" dxfId="2253" priority="2098" operator="containsText" text="fnd">
      <formula>NOT(ISERROR(SEARCH("fnd",B94)))</formula>
    </cfRule>
  </conditionalFormatting>
  <conditionalFormatting sqref="B118:C118">
    <cfRule type="containsText" dxfId="2252" priority="1439" operator="containsText" text="Str">
      <formula>NOT(ISERROR(SEARCH("Str",B118)))</formula>
    </cfRule>
    <cfRule type="containsText" dxfId="2251" priority="1440" operator="containsText" text="Ere">
      <formula>NOT(ISERROR(SEARCH("Ere",B118)))</formula>
    </cfRule>
    <cfRule type="containsText" dxfId="2250" priority="1441" operator="containsText" text="Ear">
      <formula>NOT(ISERROR(SEARCH("Ear",B118)))</formula>
    </cfRule>
    <cfRule type="containsText" dxfId="2249" priority="1442" operator="containsText" text="fnd">
      <formula>NOT(ISERROR(SEARCH("fnd",B118)))</formula>
    </cfRule>
  </conditionalFormatting>
  <conditionalFormatting sqref="B126:C126">
    <cfRule type="containsText" dxfId="2248" priority="1379" operator="containsText" text="Str">
      <formula>NOT(ISERROR(SEARCH("Str",B126)))</formula>
    </cfRule>
    <cfRule type="containsText" dxfId="2247" priority="1380" operator="containsText" text="Ere">
      <formula>NOT(ISERROR(SEARCH("Ere",B126)))</formula>
    </cfRule>
    <cfRule type="containsText" dxfId="2246" priority="1381" operator="containsText" text="Ear">
      <formula>NOT(ISERROR(SEARCH("Ear",B126)))</formula>
    </cfRule>
    <cfRule type="containsText" dxfId="2245" priority="1382" operator="containsText" text="fnd">
      <formula>NOT(ISERROR(SEARCH("fnd",B126)))</formula>
    </cfRule>
  </conditionalFormatting>
  <conditionalFormatting sqref="B134:C134">
    <cfRule type="containsText" dxfId="2244" priority="1351" operator="containsText" text="Str">
      <formula>NOT(ISERROR(SEARCH("Str",B134)))</formula>
    </cfRule>
    <cfRule type="containsText" dxfId="2243" priority="1352" operator="containsText" text="Ere">
      <formula>NOT(ISERROR(SEARCH("Ere",B134)))</formula>
    </cfRule>
    <cfRule type="containsText" dxfId="2242" priority="1353" operator="containsText" text="Ear">
      <formula>NOT(ISERROR(SEARCH("Ear",B134)))</formula>
    </cfRule>
    <cfRule type="containsText" dxfId="2241" priority="1354" operator="containsText" text="fnd">
      <formula>NOT(ISERROR(SEARCH("fnd",B134)))</formula>
    </cfRule>
  </conditionalFormatting>
  <conditionalFormatting sqref="B142:C142">
    <cfRule type="containsText" dxfId="2240" priority="1299" operator="containsText" text="Str">
      <formula>NOT(ISERROR(SEARCH("Str",B142)))</formula>
    </cfRule>
    <cfRule type="containsText" dxfId="2239" priority="1300" operator="containsText" text="Ere">
      <formula>NOT(ISERROR(SEARCH("Ere",B142)))</formula>
    </cfRule>
    <cfRule type="containsText" dxfId="2238" priority="1301" operator="containsText" text="Ear">
      <formula>NOT(ISERROR(SEARCH("Ear",B142)))</formula>
    </cfRule>
    <cfRule type="containsText" dxfId="2237" priority="1302" operator="containsText" text="fnd">
      <formula>NOT(ISERROR(SEARCH("fnd",B142)))</formula>
    </cfRule>
  </conditionalFormatting>
  <conditionalFormatting sqref="B158:C158">
    <cfRule type="containsText" dxfId="2236" priority="1155" operator="containsText" text="Str">
      <formula>NOT(ISERROR(SEARCH("Str",B158)))</formula>
    </cfRule>
    <cfRule type="containsText" dxfId="2235" priority="1156" operator="containsText" text="Ere">
      <formula>NOT(ISERROR(SEARCH("Ere",B158)))</formula>
    </cfRule>
    <cfRule type="containsText" dxfId="2234" priority="1157" operator="containsText" text="Ear">
      <formula>NOT(ISERROR(SEARCH("Ear",B158)))</formula>
    </cfRule>
    <cfRule type="containsText" dxfId="2233" priority="1158" operator="containsText" text="fnd">
      <formula>NOT(ISERROR(SEARCH("fnd",B158)))</formula>
    </cfRule>
  </conditionalFormatting>
  <conditionalFormatting sqref="B166:C166">
    <cfRule type="containsText" dxfId="2232" priority="513" operator="containsText" text="Str">
      <formula>NOT(ISERROR(SEARCH("Str",B166)))</formula>
    </cfRule>
    <cfRule type="containsText" dxfId="2231" priority="514" operator="containsText" text="Ere">
      <formula>NOT(ISERROR(SEARCH("Ere",B166)))</formula>
    </cfRule>
    <cfRule type="containsText" dxfId="2230" priority="515" operator="containsText" text="Ear">
      <formula>NOT(ISERROR(SEARCH("Ear",B166)))</formula>
    </cfRule>
    <cfRule type="containsText" dxfId="2229" priority="516" operator="containsText" text="fnd">
      <formula>NOT(ISERROR(SEARCH("fnd",B166)))</formula>
    </cfRule>
  </conditionalFormatting>
  <conditionalFormatting sqref="B174:C174">
    <cfRule type="containsText" dxfId="2228" priority="1019" operator="containsText" text="Str">
      <formula>NOT(ISERROR(SEARCH("Str",B174)))</formula>
    </cfRule>
    <cfRule type="containsText" dxfId="2227" priority="1020" operator="containsText" text="Ere">
      <formula>NOT(ISERROR(SEARCH("Ere",B174)))</formula>
    </cfRule>
    <cfRule type="containsText" dxfId="2226" priority="1021" operator="containsText" text="Ear">
      <formula>NOT(ISERROR(SEARCH("Ear",B174)))</formula>
    </cfRule>
    <cfRule type="containsText" dxfId="2225" priority="1022" operator="containsText" text="fnd">
      <formula>NOT(ISERROR(SEARCH("fnd",B174)))</formula>
    </cfRule>
  </conditionalFormatting>
  <conditionalFormatting sqref="B182:C182">
    <cfRule type="containsText" dxfId="2224" priority="265" operator="containsText" text="Str">
      <formula>NOT(ISERROR(SEARCH("Str",B182)))</formula>
    </cfRule>
    <cfRule type="containsText" dxfId="2223" priority="266" operator="containsText" text="Ere">
      <formula>NOT(ISERROR(SEARCH("Ere",B182)))</formula>
    </cfRule>
    <cfRule type="containsText" dxfId="2222" priority="267" operator="containsText" text="Ear">
      <formula>NOT(ISERROR(SEARCH("Ear",B182)))</formula>
    </cfRule>
    <cfRule type="containsText" dxfId="2221" priority="268" operator="containsText" text="fnd">
      <formula>NOT(ISERROR(SEARCH("fnd",B182)))</formula>
    </cfRule>
  </conditionalFormatting>
  <conditionalFormatting sqref="B199:C199">
    <cfRule type="containsText" dxfId="2220" priority="1735" operator="containsText" text="Str">
      <formula>NOT(ISERROR(SEARCH("Str",B199)))</formula>
    </cfRule>
    <cfRule type="containsText" dxfId="2219" priority="1736" operator="containsText" text="Ere">
      <formula>NOT(ISERROR(SEARCH("Ere",B199)))</formula>
    </cfRule>
    <cfRule type="containsText" dxfId="2218" priority="1737" operator="containsText" text="Ear">
      <formula>NOT(ISERROR(SEARCH("Ear",B199)))</formula>
    </cfRule>
    <cfRule type="containsText" dxfId="2217" priority="1738" operator="containsText" text="fnd">
      <formula>NOT(ISERROR(SEARCH("fnd",B199)))</formula>
    </cfRule>
  </conditionalFormatting>
  <conditionalFormatting sqref="C6">
    <cfRule type="containsText" dxfId="2216" priority="1579" operator="containsText" text="Str">
      <formula>NOT(ISERROR(SEARCH("Str",C6)))</formula>
    </cfRule>
    <cfRule type="containsText" dxfId="2215" priority="1580" operator="containsText" text="Ere">
      <formula>NOT(ISERROR(SEARCH("Ere",C6)))</formula>
    </cfRule>
    <cfRule type="containsText" dxfId="2214" priority="1581" operator="containsText" text="Ear">
      <formula>NOT(ISERROR(SEARCH("Ear",C6)))</formula>
    </cfRule>
    <cfRule type="containsText" dxfId="2213" priority="1582" operator="containsText" text="fnd">
      <formula>NOT(ISERROR(SEARCH("fnd",C6)))</formula>
    </cfRule>
  </conditionalFormatting>
  <conditionalFormatting sqref="C14">
    <cfRule type="containsText" dxfId="2212" priority="1667" operator="containsText" text="Str">
      <formula>NOT(ISERROR(SEARCH("Str",C14)))</formula>
    </cfRule>
    <cfRule type="containsText" dxfId="2211" priority="1668" operator="containsText" text="Ere">
      <formula>NOT(ISERROR(SEARCH("Ere",C14)))</formula>
    </cfRule>
    <cfRule type="containsText" dxfId="2210" priority="1669" operator="containsText" text="Ear">
      <formula>NOT(ISERROR(SEARCH("Ear",C14)))</formula>
    </cfRule>
    <cfRule type="containsText" dxfId="2209" priority="1670" operator="containsText" text="fnd">
      <formula>NOT(ISERROR(SEARCH("fnd",C14)))</formula>
    </cfRule>
  </conditionalFormatting>
  <conditionalFormatting sqref="C22">
    <cfRule type="containsText" dxfId="2208" priority="1459" operator="containsText" text="Str">
      <formula>NOT(ISERROR(SEARCH("Str",C22)))</formula>
    </cfRule>
    <cfRule type="containsText" dxfId="2207" priority="1460" operator="containsText" text="Ere">
      <formula>NOT(ISERROR(SEARCH("Ere",C22)))</formula>
    </cfRule>
    <cfRule type="containsText" dxfId="2206" priority="1461" operator="containsText" text="Ear">
      <formula>NOT(ISERROR(SEARCH("Ear",C22)))</formula>
    </cfRule>
    <cfRule type="containsText" dxfId="2205" priority="1462" operator="containsText" text="fnd">
      <formula>NOT(ISERROR(SEARCH("fnd",C22)))</formula>
    </cfRule>
  </conditionalFormatting>
  <conditionalFormatting sqref="C30">
    <cfRule type="containsText" dxfId="2204" priority="915" operator="containsText" text="Str">
      <formula>NOT(ISERROR(SEARCH("Str",C30)))</formula>
    </cfRule>
    <cfRule type="containsText" dxfId="2203" priority="916" operator="containsText" text="Ere">
      <formula>NOT(ISERROR(SEARCH("Ere",C30)))</formula>
    </cfRule>
    <cfRule type="containsText" dxfId="2202" priority="917" operator="containsText" text="Ear">
      <formula>NOT(ISERROR(SEARCH("Ear",C30)))</formula>
    </cfRule>
    <cfRule type="containsText" dxfId="2201" priority="918" operator="containsText" text="fnd">
      <formula>NOT(ISERROR(SEARCH("fnd",C30)))</formula>
    </cfRule>
  </conditionalFormatting>
  <conditionalFormatting sqref="C38">
    <cfRule type="containsText" dxfId="2200" priority="655" operator="containsText" text="Str">
      <formula>NOT(ISERROR(SEARCH("Str",C38)))</formula>
    </cfRule>
    <cfRule type="containsText" dxfId="2199" priority="656" operator="containsText" text="Ere">
      <formula>NOT(ISERROR(SEARCH("Ere",C38)))</formula>
    </cfRule>
    <cfRule type="containsText" dxfId="2198" priority="657" operator="containsText" text="Ear">
      <formula>NOT(ISERROR(SEARCH("Ear",C38)))</formula>
    </cfRule>
    <cfRule type="containsText" dxfId="2197" priority="658" operator="containsText" text="fnd">
      <formula>NOT(ISERROR(SEARCH("fnd",C38)))</formula>
    </cfRule>
  </conditionalFormatting>
  <conditionalFormatting sqref="C46">
    <cfRule type="containsText" dxfId="2196" priority="2111" operator="containsText" text="Str">
      <formula>NOT(ISERROR(SEARCH("Str",C46)))</formula>
    </cfRule>
    <cfRule type="containsText" dxfId="2195" priority="2112" operator="containsText" text="Ere">
      <formula>NOT(ISERROR(SEARCH("Ere",C46)))</formula>
    </cfRule>
    <cfRule type="containsText" dxfId="2194" priority="2113" operator="containsText" text="Ear">
      <formula>NOT(ISERROR(SEARCH("Ear",C46)))</formula>
    </cfRule>
    <cfRule type="containsText" dxfId="2193" priority="2114" operator="containsText" text="fnd">
      <formula>NOT(ISERROR(SEARCH("fnd",C46)))</formula>
    </cfRule>
  </conditionalFormatting>
  <conditionalFormatting sqref="E5:E6">
    <cfRule type="containsText" dxfId="2192" priority="1639" operator="containsText" text="Str">
      <formula>NOT(ISERROR(SEARCH("Str",E5)))</formula>
    </cfRule>
    <cfRule type="containsText" dxfId="2191" priority="1640" operator="containsText" text="Ere">
      <formula>NOT(ISERROR(SEARCH("Ere",E5)))</formula>
    </cfRule>
    <cfRule type="containsText" dxfId="2190" priority="1641" operator="containsText" text="Ear">
      <formula>NOT(ISERROR(SEARCH("Ear",E5)))</formula>
    </cfRule>
    <cfRule type="containsText" dxfId="2189" priority="1642" operator="containsText" text="fnd">
      <formula>NOT(ISERROR(SEARCH("fnd",E5)))</formula>
    </cfRule>
  </conditionalFormatting>
  <conditionalFormatting sqref="E13:E14">
    <cfRule type="containsText" dxfId="2188" priority="1599" operator="containsText" text="Str">
      <formula>NOT(ISERROR(SEARCH("Str",E13)))</formula>
    </cfRule>
    <cfRule type="containsText" dxfId="2187" priority="1600" operator="containsText" text="Ere">
      <formula>NOT(ISERROR(SEARCH("Ere",E13)))</formula>
    </cfRule>
    <cfRule type="containsText" dxfId="2186" priority="1601" operator="containsText" text="Ear">
      <formula>NOT(ISERROR(SEARCH("Ear",E13)))</formula>
    </cfRule>
    <cfRule type="containsText" dxfId="2185" priority="1602" operator="containsText" text="fnd">
      <formula>NOT(ISERROR(SEARCH("fnd",E13)))</formula>
    </cfRule>
  </conditionalFormatting>
  <conditionalFormatting sqref="E21:E22">
    <cfRule type="containsText" dxfId="2184" priority="619" operator="containsText" text="Str">
      <formula>NOT(ISERROR(SEARCH("Str",E21)))</formula>
    </cfRule>
    <cfRule type="containsText" dxfId="2183" priority="620" operator="containsText" text="Ere">
      <formula>NOT(ISERROR(SEARCH("Ere",E21)))</formula>
    </cfRule>
    <cfRule type="containsText" dxfId="2182" priority="621" operator="containsText" text="Ear">
      <formula>NOT(ISERROR(SEARCH("Ear",E21)))</formula>
    </cfRule>
    <cfRule type="containsText" dxfId="2181" priority="622" operator="containsText" text="fnd">
      <formula>NOT(ISERROR(SEARCH("fnd",E21)))</formula>
    </cfRule>
  </conditionalFormatting>
  <conditionalFormatting sqref="E29">
    <cfRule type="containsText" dxfId="2180" priority="1543" operator="containsText" text="Str">
      <formula>NOT(ISERROR(SEARCH("Str",E29)))</formula>
    </cfRule>
    <cfRule type="containsText" dxfId="2179" priority="1544" operator="containsText" text="Ere">
      <formula>NOT(ISERROR(SEARCH("Ere",E29)))</formula>
    </cfRule>
    <cfRule type="containsText" dxfId="2178" priority="1545" operator="containsText" text="Ear">
      <formula>NOT(ISERROR(SEARCH("Ear",E29)))</formula>
    </cfRule>
    <cfRule type="containsText" dxfId="2177" priority="1546" operator="containsText" text="fnd">
      <formula>NOT(ISERROR(SEARCH("fnd",E29)))</formula>
    </cfRule>
  </conditionalFormatting>
  <conditionalFormatting sqref="E37:E38">
    <cfRule type="containsText" dxfId="2176" priority="871" operator="containsText" text="Str">
      <formula>NOT(ISERROR(SEARCH("Str",E37)))</formula>
    </cfRule>
    <cfRule type="containsText" dxfId="2175" priority="872" operator="containsText" text="Ere">
      <formula>NOT(ISERROR(SEARCH("Ere",E37)))</formula>
    </cfRule>
    <cfRule type="containsText" dxfId="2174" priority="873" operator="containsText" text="Ear">
      <formula>NOT(ISERROR(SEARCH("Ear",E37)))</formula>
    </cfRule>
    <cfRule type="containsText" dxfId="2173" priority="874" operator="containsText" text="fnd">
      <formula>NOT(ISERROR(SEARCH("fnd",E37)))</formula>
    </cfRule>
  </conditionalFormatting>
  <conditionalFormatting sqref="E45">
    <cfRule type="containsText" dxfId="2172" priority="2207" operator="containsText" text="Str">
      <formula>NOT(ISERROR(SEARCH("Str",E45)))</formula>
    </cfRule>
    <cfRule type="containsText" dxfId="2171" priority="2208" operator="containsText" text="Ere">
      <formula>NOT(ISERROR(SEARCH("Ere",E45)))</formula>
    </cfRule>
    <cfRule type="containsText" dxfId="2170" priority="2209" operator="containsText" text="Ear">
      <formula>NOT(ISERROR(SEARCH("Ear",E45)))</formula>
    </cfRule>
    <cfRule type="containsText" dxfId="2169" priority="2210" operator="containsText" text="fnd">
      <formula>NOT(ISERROR(SEARCH("fnd",E45)))</formula>
    </cfRule>
  </conditionalFormatting>
  <conditionalFormatting sqref="E53:E54">
    <cfRule type="containsText" dxfId="2168" priority="1967" operator="containsText" text="Str">
      <formula>NOT(ISERROR(SEARCH("Str",E53)))</formula>
    </cfRule>
    <cfRule type="containsText" dxfId="2167" priority="1968" operator="containsText" text="Ere">
      <formula>NOT(ISERROR(SEARCH("Ere",E53)))</formula>
    </cfRule>
    <cfRule type="containsText" dxfId="2166" priority="1969" operator="containsText" text="Ear">
      <formula>NOT(ISERROR(SEARCH("Ear",E53)))</formula>
    </cfRule>
    <cfRule type="containsText" dxfId="2165" priority="1970" operator="containsText" text="fnd">
      <formula>NOT(ISERROR(SEARCH("fnd",E53)))</formula>
    </cfRule>
  </conditionalFormatting>
  <conditionalFormatting sqref="E61">
    <cfRule type="containsText" dxfId="2164" priority="835" operator="containsText" text="Str">
      <formula>NOT(ISERROR(SEARCH("Str",E61)))</formula>
    </cfRule>
    <cfRule type="containsText" dxfId="2163" priority="836" operator="containsText" text="Ere">
      <formula>NOT(ISERROR(SEARCH("Ere",E61)))</formula>
    </cfRule>
    <cfRule type="containsText" dxfId="2162" priority="837" operator="containsText" text="Ear">
      <formula>NOT(ISERROR(SEARCH("Ear",E61)))</formula>
    </cfRule>
    <cfRule type="containsText" dxfId="2161" priority="838" operator="containsText" text="fnd">
      <formula>NOT(ISERROR(SEARCH("fnd",E61)))</formula>
    </cfRule>
  </conditionalFormatting>
  <conditionalFormatting sqref="E69">
    <cfRule type="containsText" dxfId="2160" priority="2063" operator="containsText" text="Str">
      <formula>NOT(ISERROR(SEARCH("Str",E69)))</formula>
    </cfRule>
    <cfRule type="containsText" dxfId="2159" priority="2064" operator="containsText" text="Ere">
      <formula>NOT(ISERROR(SEARCH("Ere",E69)))</formula>
    </cfRule>
    <cfRule type="containsText" dxfId="2158" priority="2065" operator="containsText" text="Ear">
      <formula>NOT(ISERROR(SEARCH("Ear",E69)))</formula>
    </cfRule>
    <cfRule type="containsText" dxfId="2157" priority="2066" operator="containsText" text="fnd">
      <formula>NOT(ISERROR(SEARCH("fnd",E69)))</formula>
    </cfRule>
  </conditionalFormatting>
  <conditionalFormatting sqref="E86">
    <cfRule type="containsText" dxfId="2156" priority="1995" operator="containsText" text="Str">
      <formula>NOT(ISERROR(SEARCH("Str",E86)))</formula>
    </cfRule>
    <cfRule type="containsText" dxfId="2155" priority="1996" operator="containsText" text="Ere">
      <formula>NOT(ISERROR(SEARCH("Ere",E86)))</formula>
    </cfRule>
    <cfRule type="containsText" dxfId="2154" priority="1997" operator="containsText" text="Ear">
      <formula>NOT(ISERROR(SEARCH("Ear",E86)))</formula>
    </cfRule>
    <cfRule type="containsText" dxfId="2153" priority="1998" operator="containsText" text="fnd">
      <formula>NOT(ISERROR(SEARCH("fnd",E86)))</formula>
    </cfRule>
  </conditionalFormatting>
  <conditionalFormatting sqref="E93">
    <cfRule type="containsText" dxfId="2152" priority="2003" operator="containsText" text="Str">
      <formula>NOT(ISERROR(SEARCH("Str",E93)))</formula>
    </cfRule>
    <cfRule type="containsText" dxfId="2151" priority="2004" operator="containsText" text="Ere">
      <formula>NOT(ISERROR(SEARCH("Ere",E93)))</formula>
    </cfRule>
    <cfRule type="containsText" dxfId="2150" priority="2005" operator="containsText" text="Ear">
      <formula>NOT(ISERROR(SEARCH("Ear",E93)))</formula>
    </cfRule>
    <cfRule type="containsText" dxfId="2149" priority="2006" operator="containsText" text="fnd">
      <formula>NOT(ISERROR(SEARCH("fnd",E93)))</formula>
    </cfRule>
  </conditionalFormatting>
  <conditionalFormatting sqref="E101">
    <cfRule type="containsText" dxfId="2148" priority="1887" operator="containsText" text="Str">
      <formula>NOT(ISERROR(SEARCH("Str",E101)))</formula>
    </cfRule>
    <cfRule type="containsText" dxfId="2147" priority="1888" operator="containsText" text="Ere">
      <formula>NOT(ISERROR(SEARCH("Ere",E101)))</formula>
    </cfRule>
    <cfRule type="containsText" dxfId="2146" priority="1889" operator="containsText" text="Ear">
      <formula>NOT(ISERROR(SEARCH("Ear",E101)))</formula>
    </cfRule>
    <cfRule type="containsText" dxfId="2145" priority="1890" operator="containsText" text="fnd">
      <formula>NOT(ISERROR(SEARCH("fnd",E101)))</formula>
    </cfRule>
  </conditionalFormatting>
  <conditionalFormatting sqref="E109">
    <cfRule type="containsText" dxfId="2144" priority="53" operator="containsText" text="Str">
      <formula>NOT(ISERROR(SEARCH("Str",E109)))</formula>
    </cfRule>
    <cfRule type="containsText" dxfId="2143" priority="54" operator="containsText" text="Ere">
      <formula>NOT(ISERROR(SEARCH("Ere",E109)))</formula>
    </cfRule>
    <cfRule type="containsText" dxfId="2142" priority="55" operator="containsText" text="Ear">
      <formula>NOT(ISERROR(SEARCH("Ear",E109)))</formula>
    </cfRule>
    <cfRule type="containsText" dxfId="2141" priority="56" operator="containsText" text="fnd">
      <formula>NOT(ISERROR(SEARCH("fnd",E109)))</formula>
    </cfRule>
  </conditionalFormatting>
  <conditionalFormatting sqref="E117">
    <cfRule type="containsText" dxfId="2140" priority="465" operator="containsText" text="Str">
      <formula>NOT(ISERROR(SEARCH("Str",E117)))</formula>
    </cfRule>
    <cfRule type="containsText" dxfId="2139" priority="466" operator="containsText" text="Ere">
      <formula>NOT(ISERROR(SEARCH("Ere",E117)))</formula>
    </cfRule>
    <cfRule type="containsText" dxfId="2138" priority="467" operator="containsText" text="Ear">
      <formula>NOT(ISERROR(SEARCH("Ear",E117)))</formula>
    </cfRule>
    <cfRule type="containsText" dxfId="2137" priority="468" operator="containsText" text="fnd">
      <formula>NOT(ISERROR(SEARCH("fnd",E117)))</formula>
    </cfRule>
  </conditionalFormatting>
  <conditionalFormatting sqref="E122 E130 E138 E162 E170 E178">
    <cfRule type="containsText" dxfId="2136" priority="2035" operator="containsText" text="Str">
      <formula>NOT(ISERROR(SEARCH("Str",E122)))</formula>
    </cfRule>
    <cfRule type="containsText" dxfId="2135" priority="2036" operator="containsText" text="Ere">
      <formula>NOT(ISERROR(SEARCH("Ere",E122)))</formula>
    </cfRule>
    <cfRule type="containsText" dxfId="2134" priority="2037" operator="containsText" text="Ear">
      <formula>NOT(ISERROR(SEARCH("Ear",E122)))</formula>
    </cfRule>
    <cfRule type="containsText" dxfId="2133" priority="2038" operator="containsText" text="fnd">
      <formula>NOT(ISERROR(SEARCH("fnd",E122)))</formula>
    </cfRule>
  </conditionalFormatting>
  <conditionalFormatting sqref="E125">
    <cfRule type="containsText" dxfId="2132" priority="1371" operator="containsText" text="Str">
      <formula>NOT(ISERROR(SEARCH("Str",E125)))</formula>
    </cfRule>
    <cfRule type="containsText" dxfId="2131" priority="1372" operator="containsText" text="Ere">
      <formula>NOT(ISERROR(SEARCH("Ere",E125)))</formula>
    </cfRule>
    <cfRule type="containsText" dxfId="2130" priority="1373" operator="containsText" text="Ear">
      <formula>NOT(ISERROR(SEARCH("Ear",E125)))</formula>
    </cfRule>
    <cfRule type="containsText" dxfId="2129" priority="1374" operator="containsText" text="fnd">
      <formula>NOT(ISERROR(SEARCH("fnd",E125)))</formula>
    </cfRule>
  </conditionalFormatting>
  <conditionalFormatting sqref="E133">
    <cfRule type="containsText" dxfId="2128" priority="1323" operator="containsText" text="Str">
      <formula>NOT(ISERROR(SEARCH("Str",E133)))</formula>
    </cfRule>
    <cfRule type="containsText" dxfId="2127" priority="1324" operator="containsText" text="Ere">
      <formula>NOT(ISERROR(SEARCH("Ere",E133)))</formula>
    </cfRule>
    <cfRule type="containsText" dxfId="2126" priority="1325" operator="containsText" text="Ear">
      <formula>NOT(ISERROR(SEARCH("Ear",E133)))</formula>
    </cfRule>
    <cfRule type="containsText" dxfId="2125" priority="1326" operator="containsText" text="fnd">
      <formula>NOT(ISERROR(SEARCH("fnd",E133)))</formula>
    </cfRule>
  </conditionalFormatting>
  <conditionalFormatting sqref="E141">
    <cfRule type="containsText" dxfId="2124" priority="1223" operator="containsText" text="Str">
      <formula>NOT(ISERROR(SEARCH("Str",E141)))</formula>
    </cfRule>
    <cfRule type="containsText" dxfId="2123" priority="1224" operator="containsText" text="Ere">
      <formula>NOT(ISERROR(SEARCH("Ere",E141)))</formula>
    </cfRule>
    <cfRule type="containsText" dxfId="2122" priority="1225" operator="containsText" text="Ear">
      <formula>NOT(ISERROR(SEARCH("Ear",E141)))</formula>
    </cfRule>
    <cfRule type="containsText" dxfId="2121" priority="1226" operator="containsText" text="fnd">
      <formula>NOT(ISERROR(SEARCH("fnd",E141)))</formula>
    </cfRule>
  </conditionalFormatting>
  <conditionalFormatting sqref="E149">
    <cfRule type="containsText" dxfId="2120" priority="313" operator="containsText" text="Str">
      <formula>NOT(ISERROR(SEARCH("Str",E149)))</formula>
    </cfRule>
    <cfRule type="containsText" dxfId="2119" priority="314" operator="containsText" text="Ere">
      <formula>NOT(ISERROR(SEARCH("Ere",E149)))</formula>
    </cfRule>
    <cfRule type="containsText" dxfId="2118" priority="315" operator="containsText" text="Ear">
      <formula>NOT(ISERROR(SEARCH("Ear",E149)))</formula>
    </cfRule>
    <cfRule type="containsText" dxfId="2117" priority="316" operator="containsText" text="fnd">
      <formula>NOT(ISERROR(SEARCH("fnd",E149)))</formula>
    </cfRule>
  </conditionalFormatting>
  <conditionalFormatting sqref="E157">
    <cfRule type="containsText" dxfId="2116" priority="1091" operator="containsText" text="Str">
      <formula>NOT(ISERROR(SEARCH("Str",E157)))</formula>
    </cfRule>
    <cfRule type="containsText" dxfId="2115" priority="1092" operator="containsText" text="Ere">
      <formula>NOT(ISERROR(SEARCH("Ere",E157)))</formula>
    </cfRule>
    <cfRule type="containsText" dxfId="2114" priority="1093" operator="containsText" text="Ear">
      <formula>NOT(ISERROR(SEARCH("Ear",E157)))</formula>
    </cfRule>
    <cfRule type="containsText" dxfId="2113" priority="1094" operator="containsText" text="fnd">
      <formula>NOT(ISERROR(SEARCH("fnd",E157)))</formula>
    </cfRule>
  </conditionalFormatting>
  <conditionalFormatting sqref="E165">
    <cfRule type="containsText" dxfId="2112" priority="603" operator="containsText" text="Str">
      <formula>NOT(ISERROR(SEARCH("Str",E165)))</formula>
    </cfRule>
    <cfRule type="containsText" dxfId="2111" priority="604" operator="containsText" text="Ere">
      <formula>NOT(ISERROR(SEARCH("Ere",E165)))</formula>
    </cfRule>
    <cfRule type="containsText" dxfId="2110" priority="605" operator="containsText" text="Ear">
      <formula>NOT(ISERROR(SEARCH("Ear",E165)))</formula>
    </cfRule>
    <cfRule type="containsText" dxfId="2109" priority="606" operator="containsText" text="fnd">
      <formula>NOT(ISERROR(SEARCH("fnd",E165)))</formula>
    </cfRule>
  </conditionalFormatting>
  <conditionalFormatting sqref="E173">
    <cfRule type="containsText" dxfId="2108" priority="557" operator="containsText" text="Str">
      <formula>NOT(ISERROR(SEARCH("Str",E173)))</formula>
    </cfRule>
    <cfRule type="containsText" dxfId="2107" priority="558" operator="containsText" text="Ere">
      <formula>NOT(ISERROR(SEARCH("Ere",E173)))</formula>
    </cfRule>
    <cfRule type="containsText" dxfId="2106" priority="559" operator="containsText" text="Ear">
      <formula>NOT(ISERROR(SEARCH("Ear",E173)))</formula>
    </cfRule>
    <cfRule type="containsText" dxfId="2105" priority="560" operator="containsText" text="fnd">
      <formula>NOT(ISERROR(SEARCH("fnd",E173)))</formula>
    </cfRule>
  </conditionalFormatting>
  <conditionalFormatting sqref="E181">
    <cfRule type="containsText" dxfId="2104" priority="959" operator="containsText" text="Str">
      <formula>NOT(ISERROR(SEARCH("Str",E181)))</formula>
    </cfRule>
    <cfRule type="containsText" dxfId="2103" priority="960" operator="containsText" text="Ere">
      <formula>NOT(ISERROR(SEARCH("Ere",E181)))</formula>
    </cfRule>
    <cfRule type="containsText" dxfId="2102" priority="961" operator="containsText" text="Ear">
      <formula>NOT(ISERROR(SEARCH("Ear",E181)))</formula>
    </cfRule>
    <cfRule type="containsText" dxfId="2101" priority="962" operator="containsText" text="fnd">
      <formula>NOT(ISERROR(SEARCH("fnd",E181)))</formula>
    </cfRule>
  </conditionalFormatting>
  <conditionalFormatting sqref="E207">
    <cfRule type="containsText" dxfId="2100" priority="2119" operator="containsText" text="Str">
      <formula>NOT(ISERROR(SEARCH("Str",E207)))</formula>
    </cfRule>
    <cfRule type="containsText" dxfId="2099" priority="2120" operator="containsText" text="Ere">
      <formula>NOT(ISERROR(SEARCH("Ere",E207)))</formula>
    </cfRule>
    <cfRule type="containsText" dxfId="2098" priority="2121" operator="containsText" text="Ear">
      <formula>NOT(ISERROR(SEARCH("Ear",E207)))</formula>
    </cfRule>
    <cfRule type="containsText" dxfId="2097" priority="2122" operator="containsText" text="fnd">
      <formula>NOT(ISERROR(SEARCH("fnd",E207)))</formula>
    </cfRule>
  </conditionalFormatting>
  <conditionalFormatting sqref="E30:F30">
    <cfRule type="containsText" dxfId="2096" priority="1547" operator="containsText" text="Str">
      <formula>NOT(ISERROR(SEARCH("Str",E30)))</formula>
    </cfRule>
    <cfRule type="containsText" dxfId="2095" priority="1548" operator="containsText" text="Ere">
      <formula>NOT(ISERROR(SEARCH("Ere",E30)))</formula>
    </cfRule>
    <cfRule type="containsText" dxfId="2094" priority="1549" operator="containsText" text="Ear">
      <formula>NOT(ISERROR(SEARCH("Ear",E30)))</formula>
    </cfRule>
    <cfRule type="containsText" dxfId="2093" priority="1550" operator="containsText" text="fnd">
      <formula>NOT(ISERROR(SEARCH("fnd",E30)))</formula>
    </cfRule>
  </conditionalFormatting>
  <conditionalFormatting sqref="E46:F46">
    <cfRule type="containsText" dxfId="2092" priority="2307" operator="containsText" text="Str">
      <formula>NOT(ISERROR(SEARCH("Str",E46)))</formula>
    </cfRule>
    <cfRule type="containsText" dxfId="2091" priority="2308" operator="containsText" text="Ere">
      <formula>NOT(ISERROR(SEARCH("Ere",E46)))</formula>
    </cfRule>
    <cfRule type="containsText" dxfId="2090" priority="2309" operator="containsText" text="Ear">
      <formula>NOT(ISERROR(SEARCH("Ear",E46)))</formula>
    </cfRule>
    <cfRule type="containsText" dxfId="2089" priority="2310" operator="containsText" text="fnd">
      <formula>NOT(ISERROR(SEARCH("fnd",E46)))</formula>
    </cfRule>
  </conditionalFormatting>
  <conditionalFormatting sqref="E62:F62">
    <cfRule type="containsText" dxfId="2088" priority="839" operator="containsText" text="Str">
      <formula>NOT(ISERROR(SEARCH("Str",E62)))</formula>
    </cfRule>
    <cfRule type="containsText" dxfId="2087" priority="840" operator="containsText" text="Ere">
      <formula>NOT(ISERROR(SEARCH("Ere",E62)))</formula>
    </cfRule>
    <cfRule type="containsText" dxfId="2086" priority="841" operator="containsText" text="Ear">
      <formula>NOT(ISERROR(SEARCH("Ear",E62)))</formula>
    </cfRule>
    <cfRule type="containsText" dxfId="2085" priority="842" operator="containsText" text="fnd">
      <formula>NOT(ISERROR(SEARCH("fnd",E62)))</formula>
    </cfRule>
  </conditionalFormatting>
  <conditionalFormatting sqref="E94:F94">
    <cfRule type="containsText" dxfId="2084" priority="2007" operator="containsText" text="Str">
      <formula>NOT(ISERROR(SEARCH("Str",E94)))</formula>
    </cfRule>
    <cfRule type="containsText" dxfId="2083" priority="2008" operator="containsText" text="Ere">
      <formula>NOT(ISERROR(SEARCH("Ere",E94)))</formula>
    </cfRule>
    <cfRule type="containsText" dxfId="2082" priority="2009" operator="containsText" text="Ear">
      <formula>NOT(ISERROR(SEARCH("Ear",E94)))</formula>
    </cfRule>
    <cfRule type="containsText" dxfId="2081" priority="2010" operator="containsText" text="fnd">
      <formula>NOT(ISERROR(SEARCH("fnd",E94)))</formula>
    </cfRule>
  </conditionalFormatting>
  <conditionalFormatting sqref="E102:F102">
    <cfRule type="containsText" dxfId="2080" priority="1891" operator="containsText" text="Str">
      <formula>NOT(ISERROR(SEARCH("Str",E102)))</formula>
    </cfRule>
    <cfRule type="containsText" dxfId="2079" priority="1892" operator="containsText" text="Ere">
      <formula>NOT(ISERROR(SEARCH("Ere",E102)))</formula>
    </cfRule>
    <cfRule type="containsText" dxfId="2078" priority="1893" operator="containsText" text="Ear">
      <formula>NOT(ISERROR(SEARCH("Ear",E102)))</formula>
    </cfRule>
    <cfRule type="containsText" dxfId="2077" priority="1894" operator="containsText" text="fnd">
      <formula>NOT(ISERROR(SEARCH("fnd",E102)))</formula>
    </cfRule>
  </conditionalFormatting>
  <conditionalFormatting sqref="E134:F134">
    <cfRule type="containsText" dxfId="2076" priority="1327" operator="containsText" text="Str">
      <formula>NOT(ISERROR(SEARCH("Str",E134)))</formula>
    </cfRule>
    <cfRule type="containsText" dxfId="2075" priority="1328" operator="containsText" text="Ere">
      <formula>NOT(ISERROR(SEARCH("Ere",E134)))</formula>
    </cfRule>
    <cfRule type="containsText" dxfId="2074" priority="1329" operator="containsText" text="Ear">
      <formula>NOT(ISERROR(SEARCH("Ear",E134)))</formula>
    </cfRule>
    <cfRule type="containsText" dxfId="2073" priority="1330" operator="containsText" text="fnd">
      <formula>NOT(ISERROR(SEARCH("fnd",E134)))</formula>
    </cfRule>
  </conditionalFormatting>
  <conditionalFormatting sqref="E142:F142">
    <cfRule type="containsText" dxfId="2072" priority="1227" operator="containsText" text="Str">
      <formula>NOT(ISERROR(SEARCH("Str",E142)))</formula>
    </cfRule>
    <cfRule type="containsText" dxfId="2071" priority="1228" operator="containsText" text="Ere">
      <formula>NOT(ISERROR(SEARCH("Ere",E142)))</formula>
    </cfRule>
    <cfRule type="containsText" dxfId="2070" priority="1229" operator="containsText" text="Ear">
      <formula>NOT(ISERROR(SEARCH("Ear",E142)))</formula>
    </cfRule>
    <cfRule type="containsText" dxfId="2069" priority="1230" operator="containsText" text="fnd">
      <formula>NOT(ISERROR(SEARCH("fnd",E142)))</formula>
    </cfRule>
  </conditionalFormatting>
  <conditionalFormatting sqref="E158:F158">
    <cfRule type="containsText" dxfId="2068" priority="1095" operator="containsText" text="Str">
      <formula>NOT(ISERROR(SEARCH("Str",E158)))</formula>
    </cfRule>
    <cfRule type="containsText" dxfId="2067" priority="1096" operator="containsText" text="Ere">
      <formula>NOT(ISERROR(SEARCH("Ere",E158)))</formula>
    </cfRule>
    <cfRule type="containsText" dxfId="2066" priority="1097" operator="containsText" text="Ear">
      <formula>NOT(ISERROR(SEARCH("Ear",E158)))</formula>
    </cfRule>
    <cfRule type="containsText" dxfId="2065" priority="1098" operator="containsText" text="fnd">
      <formula>NOT(ISERROR(SEARCH("fnd",E158)))</formula>
    </cfRule>
  </conditionalFormatting>
  <conditionalFormatting sqref="E166:F166">
    <cfRule type="containsText" dxfId="2064" priority="607" operator="containsText" text="Str">
      <formula>NOT(ISERROR(SEARCH("Str",E166)))</formula>
    </cfRule>
    <cfRule type="containsText" dxfId="2063" priority="608" operator="containsText" text="Ere">
      <formula>NOT(ISERROR(SEARCH("Ere",E166)))</formula>
    </cfRule>
    <cfRule type="containsText" dxfId="2062" priority="609" operator="containsText" text="Ear">
      <formula>NOT(ISERROR(SEARCH("Ear",E166)))</formula>
    </cfRule>
    <cfRule type="containsText" dxfId="2061" priority="610" operator="containsText" text="fnd">
      <formula>NOT(ISERROR(SEARCH("fnd",E166)))</formula>
    </cfRule>
  </conditionalFormatting>
  <conditionalFormatting sqref="E174:F174">
    <cfRule type="containsText" dxfId="2060" priority="561" operator="containsText" text="Str">
      <formula>NOT(ISERROR(SEARCH("Str",E174)))</formula>
    </cfRule>
    <cfRule type="containsText" dxfId="2059" priority="562" operator="containsText" text="Ere">
      <formula>NOT(ISERROR(SEARCH("Ere",E174)))</formula>
    </cfRule>
    <cfRule type="containsText" dxfId="2058" priority="563" operator="containsText" text="Ear">
      <formula>NOT(ISERROR(SEARCH("Ear",E174)))</formula>
    </cfRule>
    <cfRule type="containsText" dxfId="2057" priority="564" operator="containsText" text="fnd">
      <formula>NOT(ISERROR(SEARCH("fnd",E174)))</formula>
    </cfRule>
  </conditionalFormatting>
  <conditionalFormatting sqref="E182:F182">
    <cfRule type="containsText" dxfId="2056" priority="963" operator="containsText" text="Str">
      <formula>NOT(ISERROR(SEARCH("Str",E182)))</formula>
    </cfRule>
    <cfRule type="containsText" dxfId="2055" priority="964" operator="containsText" text="Ere">
      <formula>NOT(ISERROR(SEARCH("Ere",E182)))</formula>
    </cfRule>
    <cfRule type="containsText" dxfId="2054" priority="965" operator="containsText" text="Ear">
      <formula>NOT(ISERROR(SEARCH("Ear",E182)))</formula>
    </cfRule>
    <cfRule type="containsText" dxfId="2053" priority="966" operator="containsText" text="fnd">
      <formula>NOT(ISERROR(SEARCH("fnd",E182)))</formula>
    </cfRule>
  </conditionalFormatting>
  <conditionalFormatting sqref="E208:F208">
    <cfRule type="containsText" dxfId="2052" priority="2123" operator="containsText" text="Str">
      <formula>NOT(ISERROR(SEARCH("Str",E208)))</formula>
    </cfRule>
    <cfRule type="containsText" dxfId="2051" priority="2124" operator="containsText" text="Ere">
      <formula>NOT(ISERROR(SEARCH("Ere",E208)))</formula>
    </cfRule>
    <cfRule type="containsText" dxfId="2050" priority="2125" operator="containsText" text="Ear">
      <formula>NOT(ISERROR(SEARCH("Ear",E208)))</formula>
    </cfRule>
    <cfRule type="containsText" dxfId="2049" priority="2126" operator="containsText" text="fnd">
      <formula>NOT(ISERROR(SEARCH("fnd",E208)))</formula>
    </cfRule>
  </conditionalFormatting>
  <conditionalFormatting sqref="F6">
    <cfRule type="containsText" dxfId="2048" priority="1635" operator="containsText" text="Str">
      <formula>NOT(ISERROR(SEARCH("Str",F6)))</formula>
    </cfRule>
    <cfRule type="containsText" dxfId="2047" priority="1636" operator="containsText" text="Ere">
      <formula>NOT(ISERROR(SEARCH("Ere",F6)))</formula>
    </cfRule>
    <cfRule type="containsText" dxfId="2046" priority="1637" operator="containsText" text="Ear">
      <formula>NOT(ISERROR(SEARCH("Ear",F6)))</formula>
    </cfRule>
    <cfRule type="containsText" dxfId="2045" priority="1638" operator="containsText" text="fnd">
      <formula>NOT(ISERROR(SEARCH("fnd",F6)))</formula>
    </cfRule>
  </conditionalFormatting>
  <conditionalFormatting sqref="F14">
    <cfRule type="containsText" dxfId="2044" priority="1595" operator="containsText" text="Str">
      <formula>NOT(ISERROR(SEARCH("Str",F14)))</formula>
    </cfRule>
    <cfRule type="containsText" dxfId="2043" priority="1596" operator="containsText" text="Ere">
      <formula>NOT(ISERROR(SEARCH("Ere",F14)))</formula>
    </cfRule>
    <cfRule type="containsText" dxfId="2042" priority="1597" operator="containsText" text="Ear">
      <formula>NOT(ISERROR(SEARCH("Ear",F14)))</formula>
    </cfRule>
    <cfRule type="containsText" dxfId="2041" priority="1598" operator="containsText" text="fnd">
      <formula>NOT(ISERROR(SEARCH("fnd",F14)))</formula>
    </cfRule>
  </conditionalFormatting>
  <conditionalFormatting sqref="F22">
    <cfRule type="containsText" dxfId="2040" priority="615" operator="containsText" text="Str">
      <formula>NOT(ISERROR(SEARCH("Str",F22)))</formula>
    </cfRule>
    <cfRule type="containsText" dxfId="2039" priority="616" operator="containsText" text="Ere">
      <formula>NOT(ISERROR(SEARCH("Ere",F22)))</formula>
    </cfRule>
    <cfRule type="containsText" dxfId="2038" priority="617" operator="containsText" text="Ear">
      <formula>NOT(ISERROR(SEARCH("Ear",F22)))</formula>
    </cfRule>
    <cfRule type="containsText" dxfId="2037" priority="618" operator="containsText" text="fnd">
      <formula>NOT(ISERROR(SEARCH("fnd",F22)))</formula>
    </cfRule>
  </conditionalFormatting>
  <conditionalFormatting sqref="F38">
    <cfRule type="containsText" dxfId="2036" priority="867" operator="containsText" text="Str">
      <formula>NOT(ISERROR(SEARCH("Str",F38)))</formula>
    </cfRule>
    <cfRule type="containsText" dxfId="2035" priority="868" operator="containsText" text="Ere">
      <formula>NOT(ISERROR(SEARCH("Ere",F38)))</formula>
    </cfRule>
    <cfRule type="containsText" dxfId="2034" priority="869" operator="containsText" text="Ear">
      <formula>NOT(ISERROR(SEARCH("Ear",F38)))</formula>
    </cfRule>
    <cfRule type="containsText" dxfId="2033" priority="870" operator="containsText" text="fnd">
      <formula>NOT(ISERROR(SEARCH("fnd",F38)))</formula>
    </cfRule>
  </conditionalFormatting>
  <conditionalFormatting sqref="F54">
    <cfRule type="containsText" dxfId="2032" priority="1963" operator="containsText" text="Str">
      <formula>NOT(ISERROR(SEARCH("Str",F54)))</formula>
    </cfRule>
    <cfRule type="containsText" dxfId="2031" priority="1964" operator="containsText" text="Ere">
      <formula>NOT(ISERROR(SEARCH("Ere",F54)))</formula>
    </cfRule>
    <cfRule type="containsText" dxfId="2030" priority="1965" operator="containsText" text="Ear">
      <formula>NOT(ISERROR(SEARCH("Ear",F54)))</formula>
    </cfRule>
    <cfRule type="containsText" dxfId="2029" priority="1966" operator="containsText" text="fnd">
      <formula>NOT(ISERROR(SEARCH("fnd",F54)))</formula>
    </cfRule>
  </conditionalFormatting>
  <conditionalFormatting sqref="F78">
    <cfRule type="containsText" dxfId="2028" priority="1971" operator="containsText" text="Str">
      <formula>NOT(ISERROR(SEARCH("Str",F78)))</formula>
    </cfRule>
    <cfRule type="containsText" dxfId="2027" priority="1972" operator="containsText" text="Ere">
      <formula>NOT(ISERROR(SEARCH("Ere",F78)))</formula>
    </cfRule>
    <cfRule type="containsText" dxfId="2026" priority="1973" operator="containsText" text="Ear">
      <formula>NOT(ISERROR(SEARCH("Ear",F78)))</formula>
    </cfRule>
    <cfRule type="containsText" dxfId="2025" priority="1974" operator="containsText" text="fnd">
      <formula>NOT(ISERROR(SEARCH("fnd",F78)))</formula>
    </cfRule>
  </conditionalFormatting>
  <conditionalFormatting sqref="F199">
    <cfRule type="containsText" dxfId="2024" priority="1575" operator="containsText" text="Str">
      <formula>NOT(ISERROR(SEARCH("Str",F199)))</formula>
    </cfRule>
    <cfRule type="containsText" dxfId="2023" priority="1576" operator="containsText" text="Ere">
      <formula>NOT(ISERROR(SEARCH("Ere",F199)))</formula>
    </cfRule>
    <cfRule type="containsText" dxfId="2022" priority="1577" operator="containsText" text="Ear">
      <formula>NOT(ISERROR(SEARCH("Ear",F199)))</formula>
    </cfRule>
    <cfRule type="containsText" dxfId="2021" priority="1578" operator="containsText" text="fnd">
      <formula>NOT(ISERROR(SEARCH("fnd",F199)))</formula>
    </cfRule>
  </conditionalFormatting>
  <conditionalFormatting sqref="G122 H130 H138 H162 H170 H178">
    <cfRule type="containsText" dxfId="2020" priority="2055" operator="containsText" text="Str">
      <formula>NOT(ISERROR(SEARCH("Str",G122)))</formula>
    </cfRule>
    <cfRule type="containsText" dxfId="2019" priority="2056" operator="containsText" text="Ere">
      <formula>NOT(ISERROR(SEARCH("Ere",G122)))</formula>
    </cfRule>
    <cfRule type="containsText" dxfId="2018" priority="2057" operator="containsText" text="Ear">
      <formula>NOT(ISERROR(SEARCH("Ear",G122)))</formula>
    </cfRule>
    <cfRule type="containsText" dxfId="2017" priority="2058" operator="containsText" text="fnd">
      <formula>NOT(ISERROR(SEARCH("fnd",G122)))</formula>
    </cfRule>
  </conditionalFormatting>
  <conditionalFormatting sqref="H5:H6">
    <cfRule type="containsText" dxfId="2016" priority="225" operator="containsText" text="Str">
      <formula>NOT(ISERROR(SEARCH("Str",H5)))</formula>
    </cfRule>
    <cfRule type="containsText" dxfId="2015" priority="226" operator="containsText" text="Ere">
      <formula>NOT(ISERROR(SEARCH("Ere",H5)))</formula>
    </cfRule>
    <cfRule type="containsText" dxfId="2014" priority="227" operator="containsText" text="Ear">
      <formula>NOT(ISERROR(SEARCH("Ear",H5)))</formula>
    </cfRule>
    <cfRule type="containsText" dxfId="2013" priority="228" operator="containsText" text="fnd">
      <formula>NOT(ISERROR(SEARCH("fnd",H5)))</formula>
    </cfRule>
  </conditionalFormatting>
  <conditionalFormatting sqref="H13:H14">
    <cfRule type="containsText" dxfId="2012" priority="1655" operator="containsText" text="Str">
      <formula>NOT(ISERROR(SEARCH("Str",H13)))</formula>
    </cfRule>
    <cfRule type="containsText" dxfId="2011" priority="1656" operator="containsText" text="Ere">
      <formula>NOT(ISERROR(SEARCH("Ere",H13)))</formula>
    </cfRule>
    <cfRule type="containsText" dxfId="2010" priority="1657" operator="containsText" text="Ear">
      <formula>NOT(ISERROR(SEARCH("Ear",H13)))</formula>
    </cfRule>
    <cfRule type="containsText" dxfId="2009" priority="1658" operator="containsText" text="fnd">
      <formula>NOT(ISERROR(SEARCH("fnd",H13)))</formula>
    </cfRule>
  </conditionalFormatting>
  <conditionalFormatting sqref="H21:H22">
    <cfRule type="containsText" dxfId="2008" priority="1875" operator="containsText" text="Str">
      <formula>NOT(ISERROR(SEARCH("Str",H21)))</formula>
    </cfRule>
    <cfRule type="containsText" dxfId="2007" priority="1876" operator="containsText" text="Ere">
      <formula>NOT(ISERROR(SEARCH("Ere",H21)))</formula>
    </cfRule>
    <cfRule type="containsText" dxfId="2006" priority="1877" operator="containsText" text="Ear">
      <formula>NOT(ISERROR(SEARCH("Ear",H21)))</formula>
    </cfRule>
    <cfRule type="containsText" dxfId="2005" priority="1878" operator="containsText" text="fnd">
      <formula>NOT(ISERROR(SEARCH("fnd",H21)))</formula>
    </cfRule>
  </conditionalFormatting>
  <conditionalFormatting sqref="H29">
    <cfRule type="containsText" dxfId="2004" priority="631" operator="containsText" text="Str">
      <formula>NOT(ISERROR(SEARCH("Str",H29)))</formula>
    </cfRule>
    <cfRule type="containsText" dxfId="2003" priority="632" operator="containsText" text="Ere">
      <formula>NOT(ISERROR(SEARCH("Ere",H29)))</formula>
    </cfRule>
    <cfRule type="containsText" dxfId="2002" priority="633" operator="containsText" text="Ear">
      <formula>NOT(ISERROR(SEARCH("Ear",H29)))</formula>
    </cfRule>
    <cfRule type="containsText" dxfId="2001" priority="634" operator="containsText" text="fnd">
      <formula>NOT(ISERROR(SEARCH("fnd",H29)))</formula>
    </cfRule>
  </conditionalFormatting>
  <conditionalFormatting sqref="H37:H38">
    <cfRule type="containsText" dxfId="2000" priority="895" operator="containsText" text="Str">
      <formula>NOT(ISERROR(SEARCH("Str",H37)))</formula>
    </cfRule>
    <cfRule type="containsText" dxfId="1999" priority="896" operator="containsText" text="Ere">
      <formula>NOT(ISERROR(SEARCH("Ere",H37)))</formula>
    </cfRule>
    <cfRule type="containsText" dxfId="1998" priority="897" operator="containsText" text="Ear">
      <formula>NOT(ISERROR(SEARCH("Ear",H37)))</formula>
    </cfRule>
    <cfRule type="containsText" dxfId="1997" priority="898" operator="containsText" text="fnd">
      <formula>NOT(ISERROR(SEARCH("fnd",H37)))</formula>
    </cfRule>
  </conditionalFormatting>
  <conditionalFormatting sqref="H45">
    <cfRule type="containsText" dxfId="1996" priority="2223" operator="containsText" text="Str">
      <formula>NOT(ISERROR(SEARCH("Str",H45)))</formula>
    </cfRule>
    <cfRule type="containsText" dxfId="1995" priority="2224" operator="containsText" text="Ere">
      <formula>NOT(ISERROR(SEARCH("Ere",H45)))</formula>
    </cfRule>
    <cfRule type="containsText" dxfId="1994" priority="2225" operator="containsText" text="Ear">
      <formula>NOT(ISERROR(SEARCH("Ear",H45)))</formula>
    </cfRule>
    <cfRule type="containsText" dxfId="1993" priority="2226" operator="containsText" text="fnd">
      <formula>NOT(ISERROR(SEARCH("fnd",H45)))</formula>
    </cfRule>
  </conditionalFormatting>
  <conditionalFormatting sqref="H61">
    <cfRule type="containsText" dxfId="1992" priority="1843" operator="containsText" text="Str">
      <formula>NOT(ISERROR(SEARCH("Str",H61)))</formula>
    </cfRule>
    <cfRule type="containsText" dxfId="1991" priority="1844" operator="containsText" text="Ere">
      <formula>NOT(ISERROR(SEARCH("Ere",H61)))</formula>
    </cfRule>
    <cfRule type="containsText" dxfId="1990" priority="1845" operator="containsText" text="Ear">
      <formula>NOT(ISERROR(SEARCH("Ear",H61)))</formula>
    </cfRule>
    <cfRule type="containsText" dxfId="1989" priority="1846" operator="containsText" text="fnd">
      <formula>NOT(ISERROR(SEARCH("fnd",H61)))</formula>
    </cfRule>
  </conditionalFormatting>
  <conditionalFormatting sqref="H69">
    <cfRule type="containsText" dxfId="1988" priority="2195" operator="containsText" text="Str">
      <formula>NOT(ISERROR(SEARCH("Str",H69)))</formula>
    </cfRule>
    <cfRule type="containsText" dxfId="1987" priority="2196" operator="containsText" text="Ere">
      <formula>NOT(ISERROR(SEARCH("Ere",H69)))</formula>
    </cfRule>
    <cfRule type="containsText" dxfId="1986" priority="2197" operator="containsText" text="Ear">
      <formula>NOT(ISERROR(SEARCH("Ear",H69)))</formula>
    </cfRule>
    <cfRule type="containsText" dxfId="1985" priority="2198" operator="containsText" text="fnd">
      <formula>NOT(ISERROR(SEARCH("fnd",H69)))</formula>
    </cfRule>
  </conditionalFormatting>
  <conditionalFormatting sqref="H86 K86:L86 N86:O86">
    <cfRule type="containsText" dxfId="1984" priority="2279" operator="containsText" text="Str">
      <formula>NOT(ISERROR(SEARCH("Str",H86)))</formula>
    </cfRule>
    <cfRule type="containsText" dxfId="1983" priority="2280" operator="containsText" text="Ere">
      <formula>NOT(ISERROR(SEARCH("Ere",H86)))</formula>
    </cfRule>
    <cfRule type="containsText" dxfId="1982" priority="2281" operator="containsText" text="Ear">
      <formula>NOT(ISERROR(SEARCH("Ear",H86)))</formula>
    </cfRule>
    <cfRule type="containsText" dxfId="1981" priority="2282" operator="containsText" text="fnd">
      <formula>NOT(ISERROR(SEARCH("fnd",H86)))</formula>
    </cfRule>
  </conditionalFormatting>
  <conditionalFormatting sqref="H93">
    <cfRule type="containsText" dxfId="1980" priority="1947" operator="containsText" text="Str">
      <formula>NOT(ISERROR(SEARCH("Str",H93)))</formula>
    </cfRule>
    <cfRule type="containsText" dxfId="1979" priority="1948" operator="containsText" text="Ere">
      <formula>NOT(ISERROR(SEARCH("Ere",H93)))</formula>
    </cfRule>
    <cfRule type="containsText" dxfId="1978" priority="1949" operator="containsText" text="Ear">
      <formula>NOT(ISERROR(SEARCH("Ear",H93)))</formula>
    </cfRule>
    <cfRule type="containsText" dxfId="1977" priority="1950" operator="containsText" text="fnd">
      <formula>NOT(ISERROR(SEARCH("fnd",H93)))</formula>
    </cfRule>
  </conditionalFormatting>
  <conditionalFormatting sqref="H101">
    <cfRule type="containsText" dxfId="1976" priority="1483" operator="containsText" text="Str">
      <formula>NOT(ISERROR(SEARCH("Str",H101)))</formula>
    </cfRule>
    <cfRule type="containsText" dxfId="1975" priority="1484" operator="containsText" text="Ere">
      <formula>NOT(ISERROR(SEARCH("Ere",H101)))</formula>
    </cfRule>
    <cfRule type="containsText" dxfId="1974" priority="1485" operator="containsText" text="Ear">
      <formula>NOT(ISERROR(SEARCH("Ear",H101)))</formula>
    </cfRule>
    <cfRule type="containsText" dxfId="1973" priority="1486" operator="containsText" text="fnd">
      <formula>NOT(ISERROR(SEARCH("fnd",H101)))</formula>
    </cfRule>
  </conditionalFormatting>
  <conditionalFormatting sqref="H109">
    <cfRule type="containsText" dxfId="1972" priority="333" operator="containsText" text="Str">
      <formula>NOT(ISERROR(SEARCH("Str",H109)))</formula>
    </cfRule>
    <cfRule type="containsText" dxfId="1971" priority="334" operator="containsText" text="Ere">
      <formula>NOT(ISERROR(SEARCH("Ere",H109)))</formula>
    </cfRule>
    <cfRule type="containsText" dxfId="1970" priority="335" operator="containsText" text="Ear">
      <formula>NOT(ISERROR(SEARCH("Ear",H109)))</formula>
    </cfRule>
    <cfRule type="containsText" dxfId="1969" priority="336" operator="containsText" text="fnd">
      <formula>NOT(ISERROR(SEARCH("fnd",H109)))</formula>
    </cfRule>
  </conditionalFormatting>
  <conditionalFormatting sqref="H117">
    <cfRule type="containsText" dxfId="1968" priority="1427" operator="containsText" text="Str">
      <formula>NOT(ISERROR(SEARCH("Str",H117)))</formula>
    </cfRule>
    <cfRule type="containsText" dxfId="1967" priority="1428" operator="containsText" text="Ere">
      <formula>NOT(ISERROR(SEARCH("Ere",H117)))</formula>
    </cfRule>
    <cfRule type="containsText" dxfId="1966" priority="1429" operator="containsText" text="Ear">
      <formula>NOT(ISERROR(SEARCH("Ear",H117)))</formula>
    </cfRule>
    <cfRule type="containsText" dxfId="1965" priority="1430" operator="containsText" text="fnd">
      <formula>NOT(ISERROR(SEARCH("fnd",H117)))</formula>
    </cfRule>
  </conditionalFormatting>
  <conditionalFormatting sqref="H125">
    <cfRule type="containsText" dxfId="1964" priority="623" operator="containsText" text="Str">
      <formula>NOT(ISERROR(SEARCH("Str",H125)))</formula>
    </cfRule>
    <cfRule type="containsText" dxfId="1963" priority="624" operator="containsText" text="Ere">
      <formula>NOT(ISERROR(SEARCH("Ere",H125)))</formula>
    </cfRule>
    <cfRule type="containsText" dxfId="1962" priority="625" operator="containsText" text="Ear">
      <formula>NOT(ISERROR(SEARCH("Ear",H125)))</formula>
    </cfRule>
    <cfRule type="containsText" dxfId="1961" priority="626" operator="containsText" text="fnd">
      <formula>NOT(ISERROR(SEARCH("fnd",H125)))</formula>
    </cfRule>
  </conditionalFormatting>
  <conditionalFormatting sqref="H133">
    <cfRule type="containsText" dxfId="1960" priority="41" operator="containsText" text="Str">
      <formula>NOT(ISERROR(SEARCH("Str",H133)))</formula>
    </cfRule>
    <cfRule type="containsText" dxfId="1959" priority="42" operator="containsText" text="Ere">
      <formula>NOT(ISERROR(SEARCH("Ere",H133)))</formula>
    </cfRule>
    <cfRule type="containsText" dxfId="1958" priority="43" operator="containsText" text="Ear">
      <formula>NOT(ISERROR(SEARCH("Ear",H133)))</formula>
    </cfRule>
    <cfRule type="containsText" dxfId="1957" priority="44" operator="containsText" text="fnd">
      <formula>NOT(ISERROR(SEARCH("fnd",H133)))</formula>
    </cfRule>
  </conditionalFormatting>
  <conditionalFormatting sqref="H141">
    <cfRule type="containsText" dxfId="1956" priority="1287" operator="containsText" text="Str">
      <formula>NOT(ISERROR(SEARCH("Str",H141)))</formula>
    </cfRule>
    <cfRule type="containsText" dxfId="1955" priority="1288" operator="containsText" text="Ere">
      <formula>NOT(ISERROR(SEARCH("Ere",H141)))</formula>
    </cfRule>
    <cfRule type="containsText" dxfId="1954" priority="1289" operator="containsText" text="Ear">
      <formula>NOT(ISERROR(SEARCH("Ear",H141)))</formula>
    </cfRule>
    <cfRule type="containsText" dxfId="1953" priority="1290" operator="containsText" text="fnd">
      <formula>NOT(ISERROR(SEARCH("fnd",H141)))</formula>
    </cfRule>
  </conditionalFormatting>
  <conditionalFormatting sqref="H149">
    <cfRule type="containsText" dxfId="1952" priority="1199" operator="containsText" text="Str">
      <formula>NOT(ISERROR(SEARCH("Str",H149)))</formula>
    </cfRule>
    <cfRule type="containsText" dxfId="1951" priority="1200" operator="containsText" text="Ere">
      <formula>NOT(ISERROR(SEARCH("Ere",H149)))</formula>
    </cfRule>
    <cfRule type="containsText" dxfId="1950" priority="1201" operator="containsText" text="Ear">
      <formula>NOT(ISERROR(SEARCH("Ear",H149)))</formula>
    </cfRule>
    <cfRule type="containsText" dxfId="1949" priority="1202" operator="containsText" text="fnd">
      <formula>NOT(ISERROR(SEARCH("fnd",H149)))</formula>
    </cfRule>
  </conditionalFormatting>
  <conditionalFormatting sqref="H157">
    <cfRule type="containsText" dxfId="1948" priority="1143" operator="containsText" text="Str">
      <formula>NOT(ISERROR(SEARCH("Str",H157)))</formula>
    </cfRule>
    <cfRule type="containsText" dxfId="1947" priority="1144" operator="containsText" text="Ere">
      <formula>NOT(ISERROR(SEARCH("Ere",H157)))</formula>
    </cfRule>
    <cfRule type="containsText" dxfId="1946" priority="1145" operator="containsText" text="Ear">
      <formula>NOT(ISERROR(SEARCH("Ear",H157)))</formula>
    </cfRule>
    <cfRule type="containsText" dxfId="1945" priority="1146" operator="containsText" text="fnd">
      <formula>NOT(ISERROR(SEARCH("fnd",H157)))</formula>
    </cfRule>
  </conditionalFormatting>
  <conditionalFormatting sqref="H165">
    <cfRule type="containsText" dxfId="1944" priority="595" operator="containsText" text="Str">
      <formula>NOT(ISERROR(SEARCH("Str",H165)))</formula>
    </cfRule>
    <cfRule type="containsText" dxfId="1943" priority="596" operator="containsText" text="Ere">
      <formula>NOT(ISERROR(SEARCH("Ere",H165)))</formula>
    </cfRule>
    <cfRule type="containsText" dxfId="1942" priority="597" operator="containsText" text="Ear">
      <formula>NOT(ISERROR(SEARCH("Ear",H165)))</formula>
    </cfRule>
    <cfRule type="containsText" dxfId="1941" priority="598" operator="containsText" text="fnd">
      <formula>NOT(ISERROR(SEARCH("fnd",H165)))</formula>
    </cfRule>
  </conditionalFormatting>
  <conditionalFormatting sqref="H173">
    <cfRule type="containsText" dxfId="1940" priority="1011" operator="containsText" text="Str">
      <formula>NOT(ISERROR(SEARCH("Str",H173)))</formula>
    </cfRule>
    <cfRule type="containsText" dxfId="1939" priority="1012" operator="containsText" text="Ere">
      <formula>NOT(ISERROR(SEARCH("Ere",H173)))</formula>
    </cfRule>
    <cfRule type="containsText" dxfId="1938" priority="1013" operator="containsText" text="Ear">
      <formula>NOT(ISERROR(SEARCH("Ear",H173)))</formula>
    </cfRule>
    <cfRule type="containsText" dxfId="1937" priority="1014" operator="containsText" text="fnd">
      <formula>NOT(ISERROR(SEARCH("fnd",H173)))</formula>
    </cfRule>
  </conditionalFormatting>
  <conditionalFormatting sqref="H181">
    <cfRule type="containsText" dxfId="1936" priority="137" operator="containsText" text="Str">
      <formula>NOT(ISERROR(SEARCH("Str",H181)))</formula>
    </cfRule>
    <cfRule type="containsText" dxfId="1935" priority="138" operator="containsText" text="Ere">
      <formula>NOT(ISERROR(SEARCH("Ere",H181)))</formula>
    </cfRule>
    <cfRule type="containsText" dxfId="1934" priority="139" operator="containsText" text="Ear">
      <formula>NOT(ISERROR(SEARCH("Ear",H181)))</formula>
    </cfRule>
    <cfRule type="containsText" dxfId="1933" priority="140" operator="containsText" text="fnd">
      <formula>NOT(ISERROR(SEARCH("fnd",H181)))</formula>
    </cfRule>
  </conditionalFormatting>
  <conditionalFormatting sqref="H30:I30">
    <cfRule type="containsText" dxfId="1932" priority="635" operator="containsText" text="Str">
      <formula>NOT(ISERROR(SEARCH("Str",H30)))</formula>
    </cfRule>
    <cfRule type="containsText" dxfId="1931" priority="636" operator="containsText" text="Ere">
      <formula>NOT(ISERROR(SEARCH("Ere",H30)))</formula>
    </cfRule>
    <cfRule type="containsText" dxfId="1930" priority="637" operator="containsText" text="Ear">
      <formula>NOT(ISERROR(SEARCH("Ear",H30)))</formula>
    </cfRule>
    <cfRule type="containsText" dxfId="1929" priority="638" operator="containsText" text="fnd">
      <formula>NOT(ISERROR(SEARCH("fnd",H30)))</formula>
    </cfRule>
  </conditionalFormatting>
  <conditionalFormatting sqref="H46:I46">
    <cfRule type="containsText" dxfId="1928" priority="2311" operator="containsText" text="Str">
      <formula>NOT(ISERROR(SEARCH("Str",H46)))</formula>
    </cfRule>
    <cfRule type="containsText" dxfId="1927" priority="2312" operator="containsText" text="Ere">
      <formula>NOT(ISERROR(SEARCH("Ere",H46)))</formula>
    </cfRule>
    <cfRule type="containsText" dxfId="1926" priority="2313" operator="containsText" text="Ear">
      <formula>NOT(ISERROR(SEARCH("Ear",H46)))</formula>
    </cfRule>
    <cfRule type="containsText" dxfId="1925" priority="2314" operator="containsText" text="fnd">
      <formula>NOT(ISERROR(SEARCH("fnd",H46)))</formula>
    </cfRule>
  </conditionalFormatting>
  <conditionalFormatting sqref="H62:I62">
    <cfRule type="containsText" dxfId="1924" priority="1847" operator="containsText" text="Str">
      <formula>NOT(ISERROR(SEARCH("Str",H62)))</formula>
    </cfRule>
    <cfRule type="containsText" dxfId="1923" priority="1848" operator="containsText" text="Ere">
      <formula>NOT(ISERROR(SEARCH("Ere",H62)))</formula>
    </cfRule>
    <cfRule type="containsText" dxfId="1922" priority="1849" operator="containsText" text="Ear">
      <formula>NOT(ISERROR(SEARCH("Ear",H62)))</formula>
    </cfRule>
    <cfRule type="containsText" dxfId="1921" priority="1850" operator="containsText" text="fnd">
      <formula>NOT(ISERROR(SEARCH("fnd",H62)))</formula>
    </cfRule>
  </conditionalFormatting>
  <conditionalFormatting sqref="H94:I94">
    <cfRule type="containsText" dxfId="1920" priority="1951" operator="containsText" text="Str">
      <formula>NOT(ISERROR(SEARCH("Str",H94)))</formula>
    </cfRule>
    <cfRule type="containsText" dxfId="1919" priority="1952" operator="containsText" text="Ere">
      <formula>NOT(ISERROR(SEARCH("Ere",H94)))</formula>
    </cfRule>
    <cfRule type="containsText" dxfId="1918" priority="1953" operator="containsText" text="Ear">
      <formula>NOT(ISERROR(SEARCH("Ear",H94)))</formula>
    </cfRule>
    <cfRule type="containsText" dxfId="1917" priority="1954" operator="containsText" text="fnd">
      <formula>NOT(ISERROR(SEARCH("fnd",H94)))</formula>
    </cfRule>
  </conditionalFormatting>
  <conditionalFormatting sqref="H102:I102">
    <cfRule type="containsText" dxfId="1916" priority="1487" operator="containsText" text="Str">
      <formula>NOT(ISERROR(SEARCH("Str",H102)))</formula>
    </cfRule>
    <cfRule type="containsText" dxfId="1915" priority="1488" operator="containsText" text="Ere">
      <formula>NOT(ISERROR(SEARCH("Ere",H102)))</formula>
    </cfRule>
    <cfRule type="containsText" dxfId="1914" priority="1489" operator="containsText" text="Ear">
      <formula>NOT(ISERROR(SEARCH("Ear",H102)))</formula>
    </cfRule>
    <cfRule type="containsText" dxfId="1913" priority="1490" operator="containsText" text="fnd">
      <formula>NOT(ISERROR(SEARCH("fnd",H102)))</formula>
    </cfRule>
  </conditionalFormatting>
  <conditionalFormatting sqref="H110:I110">
    <cfRule type="containsText" dxfId="1912" priority="337" operator="containsText" text="Str">
      <formula>NOT(ISERROR(SEARCH("Str",H110)))</formula>
    </cfRule>
    <cfRule type="containsText" dxfId="1911" priority="338" operator="containsText" text="Ere">
      <formula>NOT(ISERROR(SEARCH("Ere",H110)))</formula>
    </cfRule>
    <cfRule type="containsText" dxfId="1910" priority="339" operator="containsText" text="Ear">
      <formula>NOT(ISERROR(SEARCH("Ear",H110)))</formula>
    </cfRule>
    <cfRule type="containsText" dxfId="1909" priority="340" operator="containsText" text="fnd">
      <formula>NOT(ISERROR(SEARCH("fnd",H110)))</formula>
    </cfRule>
  </conditionalFormatting>
  <conditionalFormatting sqref="H118:I118">
    <cfRule type="containsText" dxfId="1908" priority="1431" operator="containsText" text="Str">
      <formula>NOT(ISERROR(SEARCH("Str",H118)))</formula>
    </cfRule>
    <cfRule type="containsText" dxfId="1907" priority="1432" operator="containsText" text="Ere">
      <formula>NOT(ISERROR(SEARCH("Ere",H118)))</formula>
    </cfRule>
    <cfRule type="containsText" dxfId="1906" priority="1433" operator="containsText" text="Ear">
      <formula>NOT(ISERROR(SEARCH("Ear",H118)))</formula>
    </cfRule>
    <cfRule type="containsText" dxfId="1905" priority="1434" operator="containsText" text="fnd">
      <formula>NOT(ISERROR(SEARCH("fnd",H118)))</formula>
    </cfRule>
  </conditionalFormatting>
  <conditionalFormatting sqref="H126:I126">
    <cfRule type="containsText" dxfId="1904" priority="627" operator="containsText" text="Str">
      <formula>NOT(ISERROR(SEARCH("Str",H126)))</formula>
    </cfRule>
    <cfRule type="containsText" dxfId="1903" priority="628" operator="containsText" text="Ere">
      <formula>NOT(ISERROR(SEARCH("Ere",H126)))</formula>
    </cfRule>
    <cfRule type="containsText" dxfId="1902" priority="629" operator="containsText" text="Ear">
      <formula>NOT(ISERROR(SEARCH("Ear",H126)))</formula>
    </cfRule>
    <cfRule type="containsText" dxfId="1901" priority="630" operator="containsText" text="fnd">
      <formula>NOT(ISERROR(SEARCH("fnd",H126)))</formula>
    </cfRule>
  </conditionalFormatting>
  <conditionalFormatting sqref="H134:I134">
    <cfRule type="containsText" dxfId="1900" priority="45" operator="containsText" text="Str">
      <formula>NOT(ISERROR(SEARCH("Str",H134)))</formula>
    </cfRule>
    <cfRule type="containsText" dxfId="1899" priority="46" operator="containsText" text="Ere">
      <formula>NOT(ISERROR(SEARCH("Ere",H134)))</formula>
    </cfRule>
    <cfRule type="containsText" dxfId="1898" priority="47" operator="containsText" text="Ear">
      <formula>NOT(ISERROR(SEARCH("Ear",H134)))</formula>
    </cfRule>
    <cfRule type="containsText" dxfId="1897" priority="48" operator="containsText" text="fnd">
      <formula>NOT(ISERROR(SEARCH("fnd",H134)))</formula>
    </cfRule>
  </conditionalFormatting>
  <conditionalFormatting sqref="H142:I142">
    <cfRule type="containsText" dxfId="1896" priority="1291" operator="containsText" text="Str">
      <formula>NOT(ISERROR(SEARCH("Str",H142)))</formula>
    </cfRule>
    <cfRule type="containsText" dxfId="1895" priority="1292" operator="containsText" text="Ere">
      <formula>NOT(ISERROR(SEARCH("Ere",H142)))</formula>
    </cfRule>
    <cfRule type="containsText" dxfId="1894" priority="1293" operator="containsText" text="Ear">
      <formula>NOT(ISERROR(SEARCH("Ear",H142)))</formula>
    </cfRule>
    <cfRule type="containsText" dxfId="1893" priority="1294" operator="containsText" text="fnd">
      <formula>NOT(ISERROR(SEARCH("fnd",H142)))</formula>
    </cfRule>
  </conditionalFormatting>
  <conditionalFormatting sqref="H150:I150">
    <cfRule type="containsText" dxfId="1892" priority="1203" operator="containsText" text="Str">
      <formula>NOT(ISERROR(SEARCH("Str",H150)))</formula>
    </cfRule>
    <cfRule type="containsText" dxfId="1891" priority="1204" operator="containsText" text="Ere">
      <formula>NOT(ISERROR(SEARCH("Ere",H150)))</formula>
    </cfRule>
    <cfRule type="containsText" dxfId="1890" priority="1205" operator="containsText" text="Ear">
      <formula>NOT(ISERROR(SEARCH("Ear",H150)))</formula>
    </cfRule>
    <cfRule type="containsText" dxfId="1889" priority="1206" operator="containsText" text="fnd">
      <formula>NOT(ISERROR(SEARCH("fnd",H150)))</formula>
    </cfRule>
  </conditionalFormatting>
  <conditionalFormatting sqref="H158:I158">
    <cfRule type="containsText" dxfId="1888" priority="1147" operator="containsText" text="Str">
      <formula>NOT(ISERROR(SEARCH("Str",H158)))</formula>
    </cfRule>
    <cfRule type="containsText" dxfId="1887" priority="1148" operator="containsText" text="Ere">
      <formula>NOT(ISERROR(SEARCH("Ere",H158)))</formula>
    </cfRule>
    <cfRule type="containsText" dxfId="1886" priority="1149" operator="containsText" text="Ear">
      <formula>NOT(ISERROR(SEARCH("Ear",H158)))</formula>
    </cfRule>
    <cfRule type="containsText" dxfId="1885" priority="1150" operator="containsText" text="fnd">
      <formula>NOT(ISERROR(SEARCH("fnd",H158)))</formula>
    </cfRule>
  </conditionalFormatting>
  <conditionalFormatting sqref="H166:I166">
    <cfRule type="containsText" dxfId="1884" priority="599" operator="containsText" text="Str">
      <formula>NOT(ISERROR(SEARCH("Str",H166)))</formula>
    </cfRule>
    <cfRule type="containsText" dxfId="1883" priority="600" operator="containsText" text="Ere">
      <formula>NOT(ISERROR(SEARCH("Ere",H166)))</formula>
    </cfRule>
    <cfRule type="containsText" dxfId="1882" priority="601" operator="containsText" text="Ear">
      <formula>NOT(ISERROR(SEARCH("Ear",H166)))</formula>
    </cfRule>
    <cfRule type="containsText" dxfId="1881" priority="602" operator="containsText" text="fnd">
      <formula>NOT(ISERROR(SEARCH("fnd",H166)))</formula>
    </cfRule>
  </conditionalFormatting>
  <conditionalFormatting sqref="H182:I182">
    <cfRule type="containsText" dxfId="1880" priority="141" operator="containsText" text="Str">
      <formula>NOT(ISERROR(SEARCH("Str",H182)))</formula>
    </cfRule>
    <cfRule type="containsText" dxfId="1879" priority="142" operator="containsText" text="Ere">
      <formula>NOT(ISERROR(SEARCH("Ere",H182)))</formula>
    </cfRule>
    <cfRule type="containsText" dxfId="1878" priority="143" operator="containsText" text="Ear">
      <formula>NOT(ISERROR(SEARCH("Ear",H182)))</formula>
    </cfRule>
    <cfRule type="containsText" dxfId="1877" priority="144" operator="containsText" text="fnd">
      <formula>NOT(ISERROR(SEARCH("fnd",H182)))</formula>
    </cfRule>
  </conditionalFormatting>
  <conditionalFormatting sqref="I6">
    <cfRule type="containsText" dxfId="1876" priority="221" operator="containsText" text="Str">
      <formula>NOT(ISERROR(SEARCH("Str",I6)))</formula>
    </cfRule>
    <cfRule type="containsText" dxfId="1875" priority="222" operator="containsText" text="Ere">
      <formula>NOT(ISERROR(SEARCH("Ere",I6)))</formula>
    </cfRule>
    <cfRule type="containsText" dxfId="1874" priority="223" operator="containsText" text="Ear">
      <formula>NOT(ISERROR(SEARCH("Ear",I6)))</formula>
    </cfRule>
    <cfRule type="containsText" dxfId="1873" priority="224" operator="containsText" text="fnd">
      <formula>NOT(ISERROR(SEARCH("fnd",I6)))</formula>
    </cfRule>
  </conditionalFormatting>
  <conditionalFormatting sqref="I14">
    <cfRule type="containsText" dxfId="1872" priority="1651" operator="containsText" text="Str">
      <formula>NOT(ISERROR(SEARCH("Str",I14)))</formula>
    </cfRule>
    <cfRule type="containsText" dxfId="1871" priority="1652" operator="containsText" text="Ere">
      <formula>NOT(ISERROR(SEARCH("Ere",I14)))</formula>
    </cfRule>
    <cfRule type="containsText" dxfId="1870" priority="1653" operator="containsText" text="Ear">
      <formula>NOT(ISERROR(SEARCH("Ear",I14)))</formula>
    </cfRule>
    <cfRule type="containsText" dxfId="1869" priority="1654" operator="containsText" text="fnd">
      <formula>NOT(ISERROR(SEARCH("fnd",I14)))</formula>
    </cfRule>
  </conditionalFormatting>
  <conditionalFormatting sqref="I22">
    <cfRule type="containsText" dxfId="1868" priority="1871" operator="containsText" text="Str">
      <formula>NOT(ISERROR(SEARCH("Str",I22)))</formula>
    </cfRule>
    <cfRule type="containsText" dxfId="1867" priority="1872" operator="containsText" text="Ere">
      <formula>NOT(ISERROR(SEARCH("Ere",I22)))</formula>
    </cfRule>
    <cfRule type="containsText" dxfId="1866" priority="1873" operator="containsText" text="Ear">
      <formula>NOT(ISERROR(SEARCH("Ear",I22)))</formula>
    </cfRule>
    <cfRule type="containsText" dxfId="1865" priority="1874" operator="containsText" text="fnd">
      <formula>NOT(ISERROR(SEARCH("fnd",I22)))</formula>
    </cfRule>
  </conditionalFormatting>
  <conditionalFormatting sqref="I38">
    <cfRule type="containsText" dxfId="1864" priority="891" operator="containsText" text="Str">
      <formula>NOT(ISERROR(SEARCH("Str",I38)))</formula>
    </cfRule>
    <cfRule type="containsText" dxfId="1863" priority="892" operator="containsText" text="Ere">
      <formula>NOT(ISERROR(SEARCH("Ere",I38)))</formula>
    </cfRule>
    <cfRule type="containsText" dxfId="1862" priority="893" operator="containsText" text="Ear">
      <formula>NOT(ISERROR(SEARCH("Ear",I38)))</formula>
    </cfRule>
    <cfRule type="containsText" dxfId="1861" priority="894" operator="containsText" text="fnd">
      <formula>NOT(ISERROR(SEARCH("fnd",I38)))</formula>
    </cfRule>
  </conditionalFormatting>
  <conditionalFormatting sqref="I54">
    <cfRule type="containsText" dxfId="1860" priority="2079" operator="containsText" text="Str">
      <formula>NOT(ISERROR(SEARCH("Str",I54)))</formula>
    </cfRule>
    <cfRule type="containsText" dxfId="1859" priority="2080" operator="containsText" text="Ere">
      <formula>NOT(ISERROR(SEARCH("Ere",I54)))</formula>
    </cfRule>
    <cfRule type="containsText" dxfId="1858" priority="2081" operator="containsText" text="Ear">
      <formula>NOT(ISERROR(SEARCH("Ear",I54)))</formula>
    </cfRule>
    <cfRule type="containsText" dxfId="1857" priority="2082" operator="containsText" text="fnd">
      <formula>NOT(ISERROR(SEARCH("fnd",I54)))</formula>
    </cfRule>
  </conditionalFormatting>
  <conditionalFormatting sqref="I78">
    <cfRule type="containsText" dxfId="1856" priority="1943" operator="containsText" text="Str">
      <formula>NOT(ISERROR(SEARCH("Str",I78)))</formula>
    </cfRule>
    <cfRule type="containsText" dxfId="1855" priority="1944" operator="containsText" text="Ere">
      <formula>NOT(ISERROR(SEARCH("Ere",I78)))</formula>
    </cfRule>
    <cfRule type="containsText" dxfId="1854" priority="1945" operator="containsText" text="Ear">
      <formula>NOT(ISERROR(SEARCH("Ear",I78)))</formula>
    </cfRule>
    <cfRule type="containsText" dxfId="1853" priority="1946" operator="containsText" text="fnd">
      <formula>NOT(ISERROR(SEARCH("fnd",I78)))</formula>
    </cfRule>
  </conditionalFormatting>
  <conditionalFormatting sqref="I216:I217">
    <cfRule type="containsText" dxfId="1852" priority="9" operator="containsText" text="Str">
      <formula>NOT(ISERROR(SEARCH("Str",I216)))</formula>
    </cfRule>
    <cfRule type="containsText" dxfId="1851" priority="10" operator="containsText" text="Ere">
      <formula>NOT(ISERROR(SEARCH("Ere",I216)))</formula>
    </cfRule>
    <cfRule type="containsText" dxfId="1850" priority="11" operator="containsText" text="Ear">
      <formula>NOT(ISERROR(SEARCH("Ear",I216)))</formula>
    </cfRule>
    <cfRule type="containsText" dxfId="1849" priority="12" operator="containsText" text="fnd">
      <formula>NOT(ISERROR(SEARCH("fnd",I216)))</formula>
    </cfRule>
  </conditionalFormatting>
  <conditionalFormatting sqref="J217:N217">
    <cfRule type="containsText" dxfId="1848" priority="5" operator="containsText" text="Str">
      <formula>NOT(ISERROR(SEARCH("Str",J217)))</formula>
    </cfRule>
    <cfRule type="containsText" dxfId="1847" priority="6" operator="containsText" text="Ere">
      <formula>NOT(ISERROR(SEARCH("Ere",J217)))</formula>
    </cfRule>
    <cfRule type="containsText" dxfId="1846" priority="7" operator="containsText" text="Ear">
      <formula>NOT(ISERROR(SEARCH("Ear",J217)))</formula>
    </cfRule>
    <cfRule type="containsText" dxfId="1845" priority="8" operator="containsText" text="fnd">
      <formula>NOT(ISERROR(SEARCH("fnd",J217)))</formula>
    </cfRule>
  </conditionalFormatting>
  <conditionalFormatting sqref="K5:K6">
    <cfRule type="containsText" dxfId="1844" priority="217" operator="containsText" text="Str">
      <formula>NOT(ISERROR(SEARCH("Str",K5)))</formula>
    </cfRule>
    <cfRule type="containsText" dxfId="1843" priority="218" operator="containsText" text="Ere">
      <formula>NOT(ISERROR(SEARCH("Ere",K5)))</formula>
    </cfRule>
    <cfRule type="containsText" dxfId="1842" priority="219" operator="containsText" text="Ear">
      <formula>NOT(ISERROR(SEARCH("Ear",K5)))</formula>
    </cfRule>
    <cfRule type="containsText" dxfId="1841" priority="220" operator="containsText" text="fnd">
      <formula>NOT(ISERROR(SEARCH("fnd",K5)))</formula>
    </cfRule>
  </conditionalFormatting>
  <conditionalFormatting sqref="K13:K14">
    <cfRule type="containsText" dxfId="1840" priority="1699" operator="containsText" text="Str">
      <formula>NOT(ISERROR(SEARCH("Str",K13)))</formula>
    </cfRule>
    <cfRule type="containsText" dxfId="1839" priority="1700" operator="containsText" text="Ere">
      <formula>NOT(ISERROR(SEARCH("Ere",K13)))</formula>
    </cfRule>
    <cfRule type="containsText" dxfId="1838" priority="1701" operator="containsText" text="Ear">
      <formula>NOT(ISERROR(SEARCH("Ear",K13)))</formula>
    </cfRule>
    <cfRule type="containsText" dxfId="1837" priority="1702" operator="containsText" text="fnd">
      <formula>NOT(ISERROR(SEARCH("fnd",K13)))</formula>
    </cfRule>
  </conditionalFormatting>
  <conditionalFormatting sqref="K21:K22">
    <cfRule type="containsText" dxfId="1836" priority="1839" operator="containsText" text="Str">
      <formula>NOT(ISERROR(SEARCH("Str",K21)))</formula>
    </cfRule>
    <cfRule type="containsText" dxfId="1835" priority="1840" operator="containsText" text="Ere">
      <formula>NOT(ISERROR(SEARCH("Ere",K21)))</formula>
    </cfRule>
    <cfRule type="containsText" dxfId="1834" priority="1841" operator="containsText" text="Ear">
      <formula>NOT(ISERROR(SEARCH("Ear",K21)))</formula>
    </cfRule>
    <cfRule type="containsText" dxfId="1833" priority="1842" operator="containsText" text="fnd">
      <formula>NOT(ISERROR(SEARCH("fnd",K21)))</formula>
    </cfRule>
  </conditionalFormatting>
  <conditionalFormatting sqref="K29">
    <cfRule type="containsText" dxfId="1832" priority="1535" operator="containsText" text="Str">
      <formula>NOT(ISERROR(SEARCH("Str",K29)))</formula>
    </cfRule>
    <cfRule type="containsText" dxfId="1831" priority="1536" operator="containsText" text="Ere">
      <formula>NOT(ISERROR(SEARCH("Ere",K29)))</formula>
    </cfRule>
    <cfRule type="containsText" dxfId="1830" priority="1537" operator="containsText" text="Ear">
      <formula>NOT(ISERROR(SEARCH("Ear",K29)))</formula>
    </cfRule>
    <cfRule type="containsText" dxfId="1829" priority="1538" operator="containsText" text="fnd">
      <formula>NOT(ISERROR(SEARCH("fnd",K29)))</formula>
    </cfRule>
  </conditionalFormatting>
  <conditionalFormatting sqref="K37:K38">
    <cfRule type="containsText" dxfId="1828" priority="887" operator="containsText" text="Str">
      <formula>NOT(ISERROR(SEARCH("Str",K37)))</formula>
    </cfRule>
    <cfRule type="containsText" dxfId="1827" priority="888" operator="containsText" text="Ere">
      <formula>NOT(ISERROR(SEARCH("Ere",K37)))</formula>
    </cfRule>
    <cfRule type="containsText" dxfId="1826" priority="889" operator="containsText" text="Ear">
      <formula>NOT(ISERROR(SEARCH("Ear",K37)))</formula>
    </cfRule>
    <cfRule type="containsText" dxfId="1825" priority="890" operator="containsText" text="fnd">
      <formula>NOT(ISERROR(SEARCH("fnd",K37)))</formula>
    </cfRule>
  </conditionalFormatting>
  <conditionalFormatting sqref="K45:K46">
    <cfRule type="containsText" dxfId="1824" priority="2083" operator="containsText" text="Str">
      <formula>NOT(ISERROR(SEARCH("Str",K45)))</formula>
    </cfRule>
    <cfRule type="containsText" dxfId="1823" priority="2084" operator="containsText" text="Ere">
      <formula>NOT(ISERROR(SEARCH("Ere",K45)))</formula>
    </cfRule>
    <cfRule type="containsText" dxfId="1822" priority="2085" operator="containsText" text="Ear">
      <formula>NOT(ISERROR(SEARCH("Ear",K45)))</formula>
    </cfRule>
    <cfRule type="containsText" dxfId="1821" priority="2086" operator="containsText" text="fnd">
      <formula>NOT(ISERROR(SEARCH("fnd",K45)))</formula>
    </cfRule>
  </conditionalFormatting>
  <conditionalFormatting sqref="K61">
    <cfRule type="containsText" dxfId="1820" priority="1795" operator="containsText" text="Str">
      <formula>NOT(ISERROR(SEARCH("Str",K61)))</formula>
    </cfRule>
    <cfRule type="containsText" dxfId="1819" priority="1796" operator="containsText" text="Ere">
      <formula>NOT(ISERROR(SEARCH("Ere",K61)))</formula>
    </cfRule>
    <cfRule type="containsText" dxfId="1818" priority="1797" operator="containsText" text="Ear">
      <formula>NOT(ISERROR(SEARCH("Ear",K61)))</formula>
    </cfRule>
    <cfRule type="containsText" dxfId="1817" priority="1798" operator="containsText" text="fnd">
      <formula>NOT(ISERROR(SEARCH("fnd",K61)))</formula>
    </cfRule>
  </conditionalFormatting>
  <conditionalFormatting sqref="K77 AF77:AF78">
    <cfRule type="containsText" dxfId="1816" priority="2283" operator="containsText" text="Str">
      <formula>NOT(ISERROR(SEARCH("Str",K77)))</formula>
    </cfRule>
    <cfRule type="containsText" dxfId="1815" priority="2284" operator="containsText" text="Ere">
      <formula>NOT(ISERROR(SEARCH("Ere",K77)))</formula>
    </cfRule>
    <cfRule type="containsText" dxfId="1814" priority="2285" operator="containsText" text="Ear">
      <formula>NOT(ISERROR(SEARCH("Ear",K77)))</formula>
    </cfRule>
    <cfRule type="containsText" dxfId="1813" priority="2286" operator="containsText" text="fnd">
      <formula>NOT(ISERROR(SEARCH("fnd",K77)))</formula>
    </cfRule>
  </conditionalFormatting>
  <conditionalFormatting sqref="K85 N85">
    <cfRule type="containsText" dxfId="1812" priority="2275" operator="containsText" text="Str">
      <formula>NOT(ISERROR(SEARCH("Str",K85)))</formula>
    </cfRule>
    <cfRule type="containsText" dxfId="1811" priority="2276" operator="containsText" text="Ere">
      <formula>NOT(ISERROR(SEARCH("Ere",K85)))</formula>
    </cfRule>
    <cfRule type="containsText" dxfId="1810" priority="2277" operator="containsText" text="Ear">
      <formula>NOT(ISERROR(SEARCH("Ear",K85)))</formula>
    </cfRule>
    <cfRule type="containsText" dxfId="1809" priority="2278" operator="containsText" text="fnd">
      <formula>NOT(ISERROR(SEARCH("fnd",K85)))</formula>
    </cfRule>
  </conditionalFormatting>
  <conditionalFormatting sqref="K93">
    <cfRule type="containsText" dxfId="1808" priority="2239" operator="containsText" text="Str">
      <formula>NOT(ISERROR(SEARCH("Str",K93)))</formula>
    </cfRule>
    <cfRule type="containsText" dxfId="1807" priority="2240" operator="containsText" text="Ere">
      <formula>NOT(ISERROR(SEARCH("Ere",K93)))</formula>
    </cfRule>
    <cfRule type="containsText" dxfId="1806" priority="2241" operator="containsText" text="Ear">
      <formula>NOT(ISERROR(SEARCH("Ear",K93)))</formula>
    </cfRule>
    <cfRule type="containsText" dxfId="1805" priority="2242" operator="containsText" text="fnd">
      <formula>NOT(ISERROR(SEARCH("fnd",K93)))</formula>
    </cfRule>
  </conditionalFormatting>
  <conditionalFormatting sqref="K101">
    <cfRule type="containsText" dxfId="1804" priority="1475" operator="containsText" text="Str">
      <formula>NOT(ISERROR(SEARCH("Str",K101)))</formula>
    </cfRule>
    <cfRule type="containsText" dxfId="1803" priority="1476" operator="containsText" text="Ere">
      <formula>NOT(ISERROR(SEARCH("Ere",K101)))</formula>
    </cfRule>
    <cfRule type="containsText" dxfId="1802" priority="1477" operator="containsText" text="Ear">
      <formula>NOT(ISERROR(SEARCH("Ear",K101)))</formula>
    </cfRule>
    <cfRule type="containsText" dxfId="1801" priority="1478" operator="containsText" text="fnd">
      <formula>NOT(ISERROR(SEARCH("fnd",K101)))</formula>
    </cfRule>
  </conditionalFormatting>
  <conditionalFormatting sqref="K109">
    <cfRule type="containsText" dxfId="1800" priority="1819" operator="containsText" text="Str">
      <formula>NOT(ISERROR(SEARCH("Str",K109)))</formula>
    </cfRule>
    <cfRule type="containsText" dxfId="1799" priority="1820" operator="containsText" text="Ere">
      <formula>NOT(ISERROR(SEARCH("Ere",K109)))</formula>
    </cfRule>
    <cfRule type="containsText" dxfId="1798" priority="1821" operator="containsText" text="Ear">
      <formula>NOT(ISERROR(SEARCH("Ear",K109)))</formula>
    </cfRule>
    <cfRule type="containsText" dxfId="1797" priority="1822" operator="containsText" text="fnd">
      <formula>NOT(ISERROR(SEARCH("fnd",K109)))</formula>
    </cfRule>
  </conditionalFormatting>
  <conditionalFormatting sqref="K117">
    <cfRule type="containsText" dxfId="1796" priority="1419" operator="containsText" text="Str">
      <formula>NOT(ISERROR(SEARCH("Str",K117)))</formula>
    </cfRule>
    <cfRule type="containsText" dxfId="1795" priority="1420" operator="containsText" text="Ere">
      <formula>NOT(ISERROR(SEARCH("Ere",K117)))</formula>
    </cfRule>
    <cfRule type="containsText" dxfId="1794" priority="1421" operator="containsText" text="Ear">
      <formula>NOT(ISERROR(SEARCH("Ear",K117)))</formula>
    </cfRule>
    <cfRule type="containsText" dxfId="1793" priority="1422" operator="containsText" text="fnd">
      <formula>NOT(ISERROR(SEARCH("fnd",K117)))</formula>
    </cfRule>
  </conditionalFormatting>
  <conditionalFormatting sqref="K122 K130 K138 K162 K170 K178">
    <cfRule type="containsText" dxfId="1792" priority="2047" operator="containsText" text="Str">
      <formula>NOT(ISERROR(SEARCH("Str",K122)))</formula>
    </cfRule>
    <cfRule type="containsText" dxfId="1791" priority="2048" operator="containsText" text="Ere">
      <formula>NOT(ISERROR(SEARCH("Ere",K122)))</formula>
    </cfRule>
    <cfRule type="containsText" dxfId="1790" priority="2049" operator="containsText" text="Ear">
      <formula>NOT(ISERROR(SEARCH("Ear",K122)))</formula>
    </cfRule>
    <cfRule type="containsText" dxfId="1789" priority="2050" operator="containsText" text="fnd">
      <formula>NOT(ISERROR(SEARCH("fnd",K122)))</formula>
    </cfRule>
  </conditionalFormatting>
  <conditionalFormatting sqref="K125">
    <cfRule type="containsText" dxfId="1788" priority="699" operator="containsText" text="Str">
      <formula>NOT(ISERROR(SEARCH("Str",K125)))</formula>
    </cfRule>
    <cfRule type="containsText" dxfId="1787" priority="700" operator="containsText" text="Ere">
      <formula>NOT(ISERROR(SEARCH("Ere",K125)))</formula>
    </cfRule>
    <cfRule type="containsText" dxfId="1786" priority="701" operator="containsText" text="Ear">
      <formula>NOT(ISERROR(SEARCH("Ear",K125)))</formula>
    </cfRule>
    <cfRule type="containsText" dxfId="1785" priority="702" operator="containsText" text="fnd">
      <formula>NOT(ISERROR(SEARCH("fnd",K125)))</formula>
    </cfRule>
  </conditionalFormatting>
  <conditionalFormatting sqref="K133">
    <cfRule type="containsText" dxfId="1784" priority="37" operator="containsText" text="Ere">
      <formula>NOT(ISERROR(SEARCH("Ere",K133)))</formula>
    </cfRule>
    <cfRule type="containsText" dxfId="1783" priority="37" operator="containsText" text="Str">
      <formula>NOT(ISERROR(SEARCH("Str",K133)))</formula>
    </cfRule>
    <cfRule type="containsText" dxfId="1782" priority="37" operator="containsText" text="fnd">
      <formula>NOT(ISERROR(SEARCH("fnd",K133)))</formula>
    </cfRule>
    <cfRule type="containsText" dxfId="1781" priority="37" operator="containsText" text="Ear">
      <formula>NOT(ISERROR(SEARCH("Ear",K133)))</formula>
    </cfRule>
  </conditionalFormatting>
  <conditionalFormatting sqref="K141">
    <cfRule type="containsText" dxfId="1780" priority="1279" operator="containsText" text="Str">
      <formula>NOT(ISERROR(SEARCH("Str",K141)))</formula>
    </cfRule>
    <cfRule type="containsText" dxfId="1779" priority="1280" operator="containsText" text="Ere">
      <formula>NOT(ISERROR(SEARCH("Ere",K141)))</formula>
    </cfRule>
    <cfRule type="containsText" dxfId="1778" priority="1281" operator="containsText" text="Ear">
      <formula>NOT(ISERROR(SEARCH("Ear",K141)))</formula>
    </cfRule>
    <cfRule type="containsText" dxfId="1777" priority="1282" operator="containsText" text="fnd">
      <formula>NOT(ISERROR(SEARCH("fnd",K141)))</formula>
    </cfRule>
  </conditionalFormatting>
  <conditionalFormatting sqref="K149">
    <cfRule type="containsText" dxfId="1776" priority="1191" operator="containsText" text="Str">
      <formula>NOT(ISERROR(SEARCH("Str",K149)))</formula>
    </cfRule>
    <cfRule type="containsText" dxfId="1775" priority="1192" operator="containsText" text="Ere">
      <formula>NOT(ISERROR(SEARCH("Ere",K149)))</formula>
    </cfRule>
    <cfRule type="containsText" dxfId="1774" priority="1193" operator="containsText" text="Ear">
      <formula>NOT(ISERROR(SEARCH("Ear",K149)))</formula>
    </cfRule>
    <cfRule type="containsText" dxfId="1773" priority="1194" operator="containsText" text="fnd">
      <formula>NOT(ISERROR(SEARCH("fnd",K149)))</formula>
    </cfRule>
  </conditionalFormatting>
  <conditionalFormatting sqref="K157">
    <cfRule type="containsText" dxfId="1772" priority="1135" operator="containsText" text="Str">
      <formula>NOT(ISERROR(SEARCH("Str",K157)))</formula>
    </cfRule>
    <cfRule type="containsText" dxfId="1771" priority="1136" operator="containsText" text="Ere">
      <formula>NOT(ISERROR(SEARCH("Ere",K157)))</formula>
    </cfRule>
    <cfRule type="containsText" dxfId="1770" priority="1137" operator="containsText" text="Ear">
      <formula>NOT(ISERROR(SEARCH("Ear",K157)))</formula>
    </cfRule>
    <cfRule type="containsText" dxfId="1769" priority="1138" operator="containsText" text="fnd">
      <formula>NOT(ISERROR(SEARCH("fnd",K157)))</formula>
    </cfRule>
  </conditionalFormatting>
  <conditionalFormatting sqref="K165">
    <cfRule type="containsText" dxfId="1768" priority="361" operator="containsText" text="Str">
      <formula>NOT(ISERROR(SEARCH("Str",K165)))</formula>
    </cfRule>
    <cfRule type="containsText" dxfId="1767" priority="362" operator="containsText" text="Ere">
      <formula>NOT(ISERROR(SEARCH("Ere",K165)))</formula>
    </cfRule>
    <cfRule type="containsText" dxfId="1766" priority="363" operator="containsText" text="Ear">
      <formula>NOT(ISERROR(SEARCH("Ear",K165)))</formula>
    </cfRule>
    <cfRule type="containsText" dxfId="1765" priority="364" operator="containsText" text="fnd">
      <formula>NOT(ISERROR(SEARCH("fnd",K165)))</formula>
    </cfRule>
  </conditionalFormatting>
  <conditionalFormatting sqref="K173">
    <cfRule type="containsText" dxfId="1764" priority="533" operator="containsText" text="Str">
      <formula>NOT(ISERROR(SEARCH("Str",K173)))</formula>
    </cfRule>
    <cfRule type="containsText" dxfId="1763" priority="534" operator="containsText" text="Ere">
      <formula>NOT(ISERROR(SEARCH("Ere",K173)))</formula>
    </cfRule>
    <cfRule type="containsText" dxfId="1762" priority="535" operator="containsText" text="Ear">
      <formula>NOT(ISERROR(SEARCH("Ear",K173)))</formula>
    </cfRule>
    <cfRule type="containsText" dxfId="1761" priority="536" operator="containsText" text="fnd">
      <formula>NOT(ISERROR(SEARCH("fnd",K173)))</formula>
    </cfRule>
  </conditionalFormatting>
  <conditionalFormatting sqref="K181">
    <cfRule type="containsText" dxfId="1760" priority="129" operator="containsText" text="Str">
      <formula>NOT(ISERROR(SEARCH("Str",K181)))</formula>
    </cfRule>
    <cfRule type="containsText" dxfId="1759" priority="130" operator="containsText" text="Ere">
      <formula>NOT(ISERROR(SEARCH("Ere",K181)))</formula>
    </cfRule>
    <cfRule type="containsText" dxfId="1758" priority="131" operator="containsText" text="Ear">
      <formula>NOT(ISERROR(SEARCH("Ear",K181)))</formula>
    </cfRule>
    <cfRule type="containsText" dxfId="1757" priority="132" operator="containsText" text="fnd">
      <formula>NOT(ISERROR(SEARCH("fnd",K181)))</formula>
    </cfRule>
  </conditionalFormatting>
  <conditionalFormatting sqref="K207:K208">
    <cfRule type="containsText" dxfId="1756" priority="2127" operator="containsText" text="Str">
      <formula>NOT(ISERROR(SEARCH("Str",K207)))</formula>
    </cfRule>
    <cfRule type="containsText" dxfId="1755" priority="2128" operator="containsText" text="Ere">
      <formula>NOT(ISERROR(SEARCH("Ere",K207)))</formula>
    </cfRule>
    <cfRule type="containsText" dxfId="1754" priority="2129" operator="containsText" text="Ear">
      <formula>NOT(ISERROR(SEARCH("Ear",K207)))</formula>
    </cfRule>
    <cfRule type="containsText" dxfId="1753" priority="2130" operator="containsText" text="fnd">
      <formula>NOT(ISERROR(SEARCH("fnd",K207)))</formula>
    </cfRule>
  </conditionalFormatting>
  <conditionalFormatting sqref="K30:L30">
    <cfRule type="containsText" dxfId="1752" priority="1539" operator="containsText" text="Str">
      <formula>NOT(ISERROR(SEARCH("Str",K30)))</formula>
    </cfRule>
    <cfRule type="containsText" dxfId="1751" priority="1540" operator="containsText" text="Ere">
      <formula>NOT(ISERROR(SEARCH("Ere",K30)))</formula>
    </cfRule>
    <cfRule type="containsText" dxfId="1750" priority="1541" operator="containsText" text="Ear">
      <formula>NOT(ISERROR(SEARCH("Ear",K30)))</formula>
    </cfRule>
    <cfRule type="containsText" dxfId="1749" priority="1542" operator="containsText" text="fnd">
      <formula>NOT(ISERROR(SEARCH("fnd",K30)))</formula>
    </cfRule>
  </conditionalFormatting>
  <conditionalFormatting sqref="K54:L54">
    <cfRule type="containsText" dxfId="1748" priority="2331" operator="containsText" text="Str">
      <formula>NOT(ISERROR(SEARCH("Str",K54)))</formula>
    </cfRule>
    <cfRule type="containsText" dxfId="1747" priority="2332" operator="containsText" text="Ere">
      <formula>NOT(ISERROR(SEARCH("Ere",K54)))</formula>
    </cfRule>
    <cfRule type="containsText" dxfId="1746" priority="2333" operator="containsText" text="Ear">
      <formula>NOT(ISERROR(SEARCH("Ear",K54)))</formula>
    </cfRule>
    <cfRule type="containsText" dxfId="1745" priority="2334" operator="containsText" text="fnd">
      <formula>NOT(ISERROR(SEARCH("fnd",K54)))</formula>
    </cfRule>
  </conditionalFormatting>
  <conditionalFormatting sqref="K62:L62">
    <cfRule type="containsText" dxfId="1744" priority="1799" operator="containsText" text="Str">
      <formula>NOT(ISERROR(SEARCH("Str",K62)))</formula>
    </cfRule>
    <cfRule type="containsText" dxfId="1743" priority="1800" operator="containsText" text="Ere">
      <formula>NOT(ISERROR(SEARCH("Ere",K62)))</formula>
    </cfRule>
    <cfRule type="containsText" dxfId="1742" priority="1801" operator="containsText" text="Ear">
      <formula>NOT(ISERROR(SEARCH("Ear",K62)))</formula>
    </cfRule>
    <cfRule type="containsText" dxfId="1741" priority="1802" operator="containsText" text="fnd">
      <formula>NOT(ISERROR(SEARCH("fnd",K62)))</formula>
    </cfRule>
  </conditionalFormatting>
  <conditionalFormatting sqref="K78:L78">
    <cfRule type="containsText" dxfId="1740" priority="2291" operator="containsText" text="Str">
      <formula>NOT(ISERROR(SEARCH("Str",K78)))</formula>
    </cfRule>
    <cfRule type="containsText" dxfId="1739" priority="2292" operator="containsText" text="Ere">
      <formula>NOT(ISERROR(SEARCH("Ere",K78)))</formula>
    </cfRule>
    <cfRule type="containsText" dxfId="1738" priority="2293" operator="containsText" text="Ear">
      <formula>NOT(ISERROR(SEARCH("Ear",K78)))</formula>
    </cfRule>
    <cfRule type="containsText" dxfId="1737" priority="2294" operator="containsText" text="fnd">
      <formula>NOT(ISERROR(SEARCH("fnd",K78)))</formula>
    </cfRule>
  </conditionalFormatting>
  <conditionalFormatting sqref="K94:L94">
    <cfRule type="containsText" dxfId="1736" priority="2255" operator="containsText" text="Str">
      <formula>NOT(ISERROR(SEARCH("Str",K94)))</formula>
    </cfRule>
    <cfRule type="containsText" dxfId="1735" priority="2256" operator="containsText" text="Ere">
      <formula>NOT(ISERROR(SEARCH("Ere",K94)))</formula>
    </cfRule>
    <cfRule type="containsText" dxfId="1734" priority="2257" operator="containsText" text="Ear">
      <formula>NOT(ISERROR(SEARCH("Ear",K94)))</formula>
    </cfRule>
    <cfRule type="containsText" dxfId="1733" priority="2258" operator="containsText" text="fnd">
      <formula>NOT(ISERROR(SEARCH("fnd",K94)))</formula>
    </cfRule>
  </conditionalFormatting>
  <conditionalFormatting sqref="K102:L102">
    <cfRule type="containsText" dxfId="1732" priority="1479" operator="containsText" text="Str">
      <formula>NOT(ISERROR(SEARCH("Str",K102)))</formula>
    </cfRule>
    <cfRule type="containsText" dxfId="1731" priority="1480" operator="containsText" text="Ere">
      <formula>NOT(ISERROR(SEARCH("Ere",K102)))</formula>
    </cfRule>
    <cfRule type="containsText" dxfId="1730" priority="1481" operator="containsText" text="Ear">
      <formula>NOT(ISERROR(SEARCH("Ear",K102)))</formula>
    </cfRule>
    <cfRule type="containsText" dxfId="1729" priority="1482" operator="containsText" text="fnd">
      <formula>NOT(ISERROR(SEARCH("fnd",K102)))</formula>
    </cfRule>
  </conditionalFormatting>
  <conditionalFormatting sqref="K110:L110">
    <cfRule type="containsText" dxfId="1728" priority="1823" operator="containsText" text="Str">
      <formula>NOT(ISERROR(SEARCH("Str",K110)))</formula>
    </cfRule>
    <cfRule type="containsText" dxfId="1727" priority="1824" operator="containsText" text="Ere">
      <formula>NOT(ISERROR(SEARCH("Ere",K110)))</formula>
    </cfRule>
    <cfRule type="containsText" dxfId="1726" priority="1825" operator="containsText" text="Ear">
      <formula>NOT(ISERROR(SEARCH("Ear",K110)))</formula>
    </cfRule>
    <cfRule type="containsText" dxfId="1725" priority="1826" operator="containsText" text="fnd">
      <formula>NOT(ISERROR(SEARCH("fnd",K110)))</formula>
    </cfRule>
  </conditionalFormatting>
  <conditionalFormatting sqref="K118:L118">
    <cfRule type="containsText" dxfId="1724" priority="1423" operator="containsText" text="Str">
      <formula>NOT(ISERROR(SEARCH("Str",K118)))</formula>
    </cfRule>
    <cfRule type="containsText" dxfId="1723" priority="1424" operator="containsText" text="Ere">
      <formula>NOT(ISERROR(SEARCH("Ere",K118)))</formula>
    </cfRule>
    <cfRule type="containsText" dxfId="1722" priority="1425" operator="containsText" text="Ear">
      <formula>NOT(ISERROR(SEARCH("Ear",K118)))</formula>
    </cfRule>
    <cfRule type="containsText" dxfId="1721" priority="1426" operator="containsText" text="fnd">
      <formula>NOT(ISERROR(SEARCH("fnd",K118)))</formula>
    </cfRule>
  </conditionalFormatting>
  <conditionalFormatting sqref="K126:L126">
    <cfRule type="containsText" dxfId="1720" priority="703" operator="containsText" text="Str">
      <formula>NOT(ISERROR(SEARCH("Str",K126)))</formula>
    </cfRule>
    <cfRule type="containsText" dxfId="1719" priority="704" operator="containsText" text="Ere">
      <formula>NOT(ISERROR(SEARCH("Ere",K126)))</formula>
    </cfRule>
    <cfRule type="containsText" dxfId="1718" priority="705" operator="containsText" text="Ear">
      <formula>NOT(ISERROR(SEARCH("Ear",K126)))</formula>
    </cfRule>
    <cfRule type="containsText" dxfId="1717" priority="706" operator="containsText" text="fnd">
      <formula>NOT(ISERROR(SEARCH("fnd",K126)))</formula>
    </cfRule>
  </conditionalFormatting>
  <conditionalFormatting sqref="K134:L134">
    <cfRule type="containsText" dxfId="1716" priority="38" operator="containsText" text="Ere">
      <formula>NOT(ISERROR(SEARCH("Ere",K134)))</formula>
    </cfRule>
    <cfRule type="containsText" dxfId="1715" priority="39" operator="containsText" text="Ear">
      <formula>NOT(ISERROR(SEARCH("Ear",K134)))</formula>
    </cfRule>
    <cfRule type="containsText" dxfId="1714" priority="40" operator="containsText" text="fnd">
      <formula>NOT(ISERROR(SEARCH("fnd",K134)))</formula>
    </cfRule>
    <cfRule type="containsText" dxfId="1713" priority="2355" operator="containsText" text="Str">
      <formula>NOT(ISERROR(SEARCH("Str",K134)))</formula>
    </cfRule>
  </conditionalFormatting>
  <conditionalFormatting sqref="K142:L142">
    <cfRule type="containsText" dxfId="1712" priority="1283" operator="containsText" text="Str">
      <formula>NOT(ISERROR(SEARCH("Str",K142)))</formula>
    </cfRule>
    <cfRule type="containsText" dxfId="1711" priority="1284" operator="containsText" text="Ere">
      <formula>NOT(ISERROR(SEARCH("Ere",K142)))</formula>
    </cfRule>
    <cfRule type="containsText" dxfId="1710" priority="1285" operator="containsText" text="Ear">
      <formula>NOT(ISERROR(SEARCH("Ear",K142)))</formula>
    </cfRule>
    <cfRule type="containsText" dxfId="1709" priority="1286" operator="containsText" text="fnd">
      <formula>NOT(ISERROR(SEARCH("fnd",K142)))</formula>
    </cfRule>
  </conditionalFormatting>
  <conditionalFormatting sqref="K150:L150">
    <cfRule type="containsText" dxfId="1708" priority="1195" operator="containsText" text="Str">
      <formula>NOT(ISERROR(SEARCH("Str",K150)))</formula>
    </cfRule>
    <cfRule type="containsText" dxfId="1707" priority="1196" operator="containsText" text="Ere">
      <formula>NOT(ISERROR(SEARCH("Ere",K150)))</formula>
    </cfRule>
    <cfRule type="containsText" dxfId="1706" priority="1197" operator="containsText" text="Ear">
      <formula>NOT(ISERROR(SEARCH("Ear",K150)))</formula>
    </cfRule>
    <cfRule type="containsText" dxfId="1705" priority="1198" operator="containsText" text="fnd">
      <formula>NOT(ISERROR(SEARCH("fnd",K150)))</formula>
    </cfRule>
  </conditionalFormatting>
  <conditionalFormatting sqref="K158:L158">
    <cfRule type="containsText" dxfId="1704" priority="1139" operator="containsText" text="Str">
      <formula>NOT(ISERROR(SEARCH("Str",K158)))</formula>
    </cfRule>
    <cfRule type="containsText" dxfId="1703" priority="1140" operator="containsText" text="Ere">
      <formula>NOT(ISERROR(SEARCH("Ere",K158)))</formula>
    </cfRule>
    <cfRule type="containsText" dxfId="1702" priority="1141" operator="containsText" text="Ear">
      <formula>NOT(ISERROR(SEARCH("Ear",K158)))</formula>
    </cfRule>
    <cfRule type="containsText" dxfId="1701" priority="1142" operator="containsText" text="fnd">
      <formula>NOT(ISERROR(SEARCH("fnd",K158)))</formula>
    </cfRule>
  </conditionalFormatting>
  <conditionalFormatting sqref="K166:L166">
    <cfRule type="containsText" dxfId="1700" priority="365" operator="containsText" text="Str">
      <formula>NOT(ISERROR(SEARCH("Str",K166)))</formula>
    </cfRule>
    <cfRule type="containsText" dxfId="1699" priority="366" operator="containsText" text="Ere">
      <formula>NOT(ISERROR(SEARCH("Ere",K166)))</formula>
    </cfRule>
    <cfRule type="containsText" dxfId="1698" priority="367" operator="containsText" text="Ear">
      <formula>NOT(ISERROR(SEARCH("Ear",K166)))</formula>
    </cfRule>
    <cfRule type="containsText" dxfId="1697" priority="368" operator="containsText" text="fnd">
      <formula>NOT(ISERROR(SEARCH("fnd",K166)))</formula>
    </cfRule>
  </conditionalFormatting>
  <conditionalFormatting sqref="K174:L174">
    <cfRule type="containsText" dxfId="1696" priority="537" operator="containsText" text="Str">
      <formula>NOT(ISERROR(SEARCH("Str",K174)))</formula>
    </cfRule>
    <cfRule type="containsText" dxfId="1695" priority="538" operator="containsText" text="Ere">
      <formula>NOT(ISERROR(SEARCH("Ere",K174)))</formula>
    </cfRule>
    <cfRule type="containsText" dxfId="1694" priority="539" operator="containsText" text="Ear">
      <formula>NOT(ISERROR(SEARCH("Ear",K174)))</formula>
    </cfRule>
    <cfRule type="containsText" dxfId="1693" priority="540" operator="containsText" text="fnd">
      <formula>NOT(ISERROR(SEARCH("fnd",K174)))</formula>
    </cfRule>
  </conditionalFormatting>
  <conditionalFormatting sqref="K182:L182">
    <cfRule type="containsText" dxfId="1692" priority="133" operator="containsText" text="Str">
      <formula>NOT(ISERROR(SEARCH("Str",K182)))</formula>
    </cfRule>
    <cfRule type="containsText" dxfId="1691" priority="134" operator="containsText" text="Ere">
      <formula>NOT(ISERROR(SEARCH("Ere",K182)))</formula>
    </cfRule>
    <cfRule type="containsText" dxfId="1690" priority="135" operator="containsText" text="Ear">
      <formula>NOT(ISERROR(SEARCH("Ear",K182)))</formula>
    </cfRule>
    <cfRule type="containsText" dxfId="1689" priority="136" operator="containsText" text="fnd">
      <formula>NOT(ISERROR(SEARCH("fnd",K182)))</formula>
    </cfRule>
  </conditionalFormatting>
  <conditionalFormatting sqref="L6">
    <cfRule type="containsText" dxfId="1688" priority="213" operator="containsText" text="Str">
      <formula>NOT(ISERROR(SEARCH("Str",L6)))</formula>
    </cfRule>
    <cfRule type="containsText" dxfId="1687" priority="214" operator="containsText" text="Ere">
      <formula>NOT(ISERROR(SEARCH("Ere",L6)))</formula>
    </cfRule>
    <cfRule type="containsText" dxfId="1686" priority="215" operator="containsText" text="Ear">
      <formula>NOT(ISERROR(SEARCH("Ear",L6)))</formula>
    </cfRule>
    <cfRule type="containsText" dxfId="1685" priority="216" operator="containsText" text="fnd">
      <formula>NOT(ISERROR(SEARCH("fnd",L6)))</formula>
    </cfRule>
  </conditionalFormatting>
  <conditionalFormatting sqref="L14">
    <cfRule type="containsText" dxfId="1684" priority="1695" operator="containsText" text="Str">
      <formula>NOT(ISERROR(SEARCH("Str",L14)))</formula>
    </cfRule>
    <cfRule type="containsText" dxfId="1683" priority="1696" operator="containsText" text="Ere">
      <formula>NOT(ISERROR(SEARCH("Ere",L14)))</formula>
    </cfRule>
    <cfRule type="containsText" dxfId="1682" priority="1697" operator="containsText" text="Ear">
      <formula>NOT(ISERROR(SEARCH("Ear",L14)))</formula>
    </cfRule>
    <cfRule type="containsText" dxfId="1681" priority="1698" operator="containsText" text="fnd">
      <formula>NOT(ISERROR(SEARCH("fnd",L14)))</formula>
    </cfRule>
  </conditionalFormatting>
  <conditionalFormatting sqref="L22">
    <cfRule type="containsText" dxfId="1680" priority="1835" operator="containsText" text="Str">
      <formula>NOT(ISERROR(SEARCH("Str",L22)))</formula>
    </cfRule>
    <cfRule type="containsText" dxfId="1679" priority="1836" operator="containsText" text="Ere">
      <formula>NOT(ISERROR(SEARCH("Ere",L22)))</formula>
    </cfRule>
    <cfRule type="containsText" dxfId="1678" priority="1837" operator="containsText" text="Ear">
      <formula>NOT(ISERROR(SEARCH("Ear",L22)))</formula>
    </cfRule>
    <cfRule type="containsText" dxfId="1677" priority="1838" operator="containsText" text="fnd">
      <formula>NOT(ISERROR(SEARCH("fnd",L22)))</formula>
    </cfRule>
  </conditionalFormatting>
  <conditionalFormatting sqref="L38">
    <cfRule type="containsText" dxfId="1676" priority="883" operator="containsText" text="Str">
      <formula>NOT(ISERROR(SEARCH("Str",L38)))</formula>
    </cfRule>
    <cfRule type="containsText" dxfId="1675" priority="884" operator="containsText" text="Ere">
      <formula>NOT(ISERROR(SEARCH("Ere",L38)))</formula>
    </cfRule>
    <cfRule type="containsText" dxfId="1674" priority="885" operator="containsText" text="Ear">
      <formula>NOT(ISERROR(SEARCH("Ear",L38)))</formula>
    </cfRule>
    <cfRule type="containsText" dxfId="1673" priority="886" operator="containsText" text="fnd">
      <formula>NOT(ISERROR(SEARCH("fnd",L38)))</formula>
    </cfRule>
  </conditionalFormatting>
  <conditionalFormatting sqref="N5:N6">
    <cfRule type="containsText" dxfId="1672" priority="209" operator="containsText" text="Str">
      <formula>NOT(ISERROR(SEARCH("Str",N5)))</formula>
    </cfRule>
    <cfRule type="containsText" dxfId="1671" priority="210" operator="containsText" text="Ere">
      <formula>NOT(ISERROR(SEARCH("Ere",N5)))</formula>
    </cfRule>
    <cfRule type="containsText" dxfId="1670" priority="211" operator="containsText" text="Ear">
      <formula>NOT(ISERROR(SEARCH("Ear",N5)))</formula>
    </cfRule>
    <cfRule type="containsText" dxfId="1669" priority="212" operator="containsText" text="fnd">
      <formula>NOT(ISERROR(SEARCH("fnd",N5)))</formula>
    </cfRule>
  </conditionalFormatting>
  <conditionalFormatting sqref="N13:N14">
    <cfRule type="containsText" dxfId="1668" priority="1707" operator="containsText" text="Str">
      <formula>NOT(ISERROR(SEARCH("Str",N13)))</formula>
    </cfRule>
    <cfRule type="containsText" dxfId="1667" priority="1708" operator="containsText" text="Ere">
      <formula>NOT(ISERROR(SEARCH("Ere",N13)))</formula>
    </cfRule>
    <cfRule type="containsText" dxfId="1666" priority="1709" operator="containsText" text="Ear">
      <formula>NOT(ISERROR(SEARCH("Ear",N13)))</formula>
    </cfRule>
    <cfRule type="containsText" dxfId="1665" priority="1710" operator="containsText" text="fnd">
      <formula>NOT(ISERROR(SEARCH("fnd",N13)))</formula>
    </cfRule>
  </conditionalFormatting>
  <conditionalFormatting sqref="N21:N22">
    <cfRule type="containsText" dxfId="1664" priority="1619" operator="containsText" text="Str">
      <formula>NOT(ISERROR(SEARCH("Str",N21)))</formula>
    </cfRule>
    <cfRule type="containsText" dxfId="1663" priority="1620" operator="containsText" text="Ere">
      <formula>NOT(ISERROR(SEARCH("Ere",N21)))</formula>
    </cfRule>
    <cfRule type="containsText" dxfId="1662" priority="1621" operator="containsText" text="Ear">
      <formula>NOT(ISERROR(SEARCH("Ear",N21)))</formula>
    </cfRule>
    <cfRule type="containsText" dxfId="1661" priority="1622" operator="containsText" text="fnd">
      <formula>NOT(ISERROR(SEARCH("fnd",N21)))</formula>
    </cfRule>
  </conditionalFormatting>
  <conditionalFormatting sqref="N29">
    <cfRule type="containsText" dxfId="1660" priority="1527" operator="containsText" text="Str">
      <formula>NOT(ISERROR(SEARCH("Str",N29)))</formula>
    </cfRule>
    <cfRule type="containsText" dxfId="1659" priority="1528" operator="containsText" text="Ere">
      <formula>NOT(ISERROR(SEARCH("Ere",N29)))</formula>
    </cfRule>
    <cfRule type="containsText" dxfId="1658" priority="1529" operator="containsText" text="Ear">
      <formula>NOT(ISERROR(SEARCH("Ear",N29)))</formula>
    </cfRule>
    <cfRule type="containsText" dxfId="1657" priority="1530" operator="containsText" text="fnd">
      <formula>NOT(ISERROR(SEARCH("fnd",N29)))</formula>
    </cfRule>
  </conditionalFormatting>
  <conditionalFormatting sqref="N37:N38">
    <cfRule type="containsText" dxfId="1656" priority="879" operator="containsText" text="Str">
      <formula>NOT(ISERROR(SEARCH("Str",N37)))</formula>
    </cfRule>
    <cfRule type="containsText" dxfId="1655" priority="880" operator="containsText" text="Ere">
      <formula>NOT(ISERROR(SEARCH("Ere",N37)))</formula>
    </cfRule>
    <cfRule type="containsText" dxfId="1654" priority="881" operator="containsText" text="Ear">
      <formula>NOT(ISERROR(SEARCH("Ear",N37)))</formula>
    </cfRule>
    <cfRule type="containsText" dxfId="1653" priority="882" operator="containsText" text="fnd">
      <formula>NOT(ISERROR(SEARCH("fnd",N37)))</formula>
    </cfRule>
  </conditionalFormatting>
  <conditionalFormatting sqref="N45 T45 W45">
    <cfRule type="containsText" dxfId="1652" priority="2303" operator="containsText" text="Str">
      <formula>NOT(ISERROR(SEARCH("Str",N45)))</formula>
    </cfRule>
    <cfRule type="containsText" dxfId="1651" priority="2304" operator="containsText" text="Ere">
      <formula>NOT(ISERROR(SEARCH("Ere",N45)))</formula>
    </cfRule>
    <cfRule type="containsText" dxfId="1650" priority="2305" operator="containsText" text="Ear">
      <formula>NOT(ISERROR(SEARCH("Ear",N45)))</formula>
    </cfRule>
    <cfRule type="containsText" dxfId="1649" priority="2306" operator="containsText" text="fnd">
      <formula>NOT(ISERROR(SEARCH("fnd",N45)))</formula>
    </cfRule>
  </conditionalFormatting>
  <conditionalFormatting sqref="N53">
    <cfRule type="containsText" dxfId="1648" priority="2227" operator="containsText" text="Str">
      <formula>NOT(ISERROR(SEARCH("Str",N53)))</formula>
    </cfRule>
    <cfRule type="containsText" dxfId="1647" priority="2228" operator="containsText" text="Ere">
      <formula>NOT(ISERROR(SEARCH("Ere",N53)))</formula>
    </cfRule>
    <cfRule type="containsText" dxfId="1646" priority="2229" operator="containsText" text="Ear">
      <formula>NOT(ISERROR(SEARCH("Ear",N53)))</formula>
    </cfRule>
    <cfRule type="containsText" dxfId="1645" priority="2230" operator="containsText" text="fnd">
      <formula>NOT(ISERROR(SEARCH("fnd",N53)))</formula>
    </cfRule>
  </conditionalFormatting>
  <conditionalFormatting sqref="N61">
    <cfRule type="containsText" dxfId="1644" priority="1863" operator="containsText" text="Str">
      <formula>NOT(ISERROR(SEARCH("Str",N61)))</formula>
    </cfRule>
    <cfRule type="containsText" dxfId="1643" priority="1864" operator="containsText" text="Ere">
      <formula>NOT(ISERROR(SEARCH("Ere",N61)))</formula>
    </cfRule>
    <cfRule type="containsText" dxfId="1642" priority="1865" operator="containsText" text="Ear">
      <formula>NOT(ISERROR(SEARCH("Ear",N61)))</formula>
    </cfRule>
    <cfRule type="containsText" dxfId="1641" priority="1866" operator="containsText" text="fnd">
      <formula>NOT(ISERROR(SEARCH("fnd",N61)))</formula>
    </cfRule>
  </conditionalFormatting>
  <conditionalFormatting sqref="N93">
    <cfRule type="containsText" dxfId="1640" priority="1955" operator="containsText" text="Str">
      <formula>NOT(ISERROR(SEARCH("Str",N93)))</formula>
    </cfRule>
    <cfRule type="containsText" dxfId="1639" priority="1956" operator="containsText" text="Ere">
      <formula>NOT(ISERROR(SEARCH("Ere",N93)))</formula>
    </cfRule>
    <cfRule type="containsText" dxfId="1638" priority="1957" operator="containsText" text="Ear">
      <formula>NOT(ISERROR(SEARCH("Ear",N93)))</formula>
    </cfRule>
    <cfRule type="containsText" dxfId="1637" priority="1958" operator="containsText" text="fnd">
      <formula>NOT(ISERROR(SEARCH("fnd",N93)))</formula>
    </cfRule>
  </conditionalFormatting>
  <conditionalFormatting sqref="N101">
    <cfRule type="containsText" dxfId="1636" priority="285" operator="containsText" text="Str">
      <formula>NOT(ISERROR(SEARCH("Str",N101)))</formula>
    </cfRule>
    <cfRule type="containsText" dxfId="1635" priority="286" operator="containsText" text="Ere">
      <formula>NOT(ISERROR(SEARCH("Ere",N101)))</formula>
    </cfRule>
    <cfRule type="containsText" dxfId="1634" priority="287" operator="containsText" text="Ear">
      <formula>NOT(ISERROR(SEARCH("Ear",N101)))</formula>
    </cfRule>
    <cfRule type="containsText" dxfId="1633" priority="288" operator="containsText" text="fnd">
      <formula>NOT(ISERROR(SEARCH("fnd",N101)))</formula>
    </cfRule>
  </conditionalFormatting>
  <conditionalFormatting sqref="N109">
    <cfRule type="containsText" dxfId="1632" priority="1763" operator="containsText" text="Str">
      <formula>NOT(ISERROR(SEARCH("Str",N109)))</formula>
    </cfRule>
    <cfRule type="containsText" dxfId="1631" priority="1764" operator="containsText" text="Ere">
      <formula>NOT(ISERROR(SEARCH("Ere",N109)))</formula>
    </cfRule>
    <cfRule type="containsText" dxfId="1630" priority="1765" operator="containsText" text="Ear">
      <formula>NOT(ISERROR(SEARCH("Ear",N109)))</formula>
    </cfRule>
    <cfRule type="containsText" dxfId="1629" priority="1766" operator="containsText" text="fnd">
      <formula>NOT(ISERROR(SEARCH("fnd",N109)))</formula>
    </cfRule>
  </conditionalFormatting>
  <conditionalFormatting sqref="N117">
    <cfRule type="containsText" dxfId="1628" priority="1395" operator="containsText" text="Str">
      <formula>NOT(ISERROR(SEARCH("Str",N117)))</formula>
    </cfRule>
    <cfRule type="containsText" dxfId="1627" priority="1396" operator="containsText" text="Ere">
      <formula>NOT(ISERROR(SEARCH("Ere",N117)))</formula>
    </cfRule>
    <cfRule type="containsText" dxfId="1626" priority="1397" operator="containsText" text="Ear">
      <formula>NOT(ISERROR(SEARCH("Ear",N117)))</formula>
    </cfRule>
    <cfRule type="containsText" dxfId="1625" priority="1398" operator="containsText" text="fnd">
      <formula>NOT(ISERROR(SEARCH("fnd",N117)))</formula>
    </cfRule>
  </conditionalFormatting>
  <conditionalFormatting sqref="N122 N130 N138 N162 N178">
    <cfRule type="containsText" dxfId="1624" priority="2051" operator="containsText" text="Str">
      <formula>NOT(ISERROR(SEARCH("Str",N122)))</formula>
    </cfRule>
    <cfRule type="containsText" dxfId="1623" priority="2052" operator="containsText" text="Ere">
      <formula>NOT(ISERROR(SEARCH("Ere",N122)))</formula>
    </cfRule>
    <cfRule type="containsText" dxfId="1622" priority="2053" operator="containsText" text="Ear">
      <formula>NOT(ISERROR(SEARCH("Ear",N122)))</formula>
    </cfRule>
    <cfRule type="containsText" dxfId="1621" priority="2054" operator="containsText" text="fnd">
      <formula>NOT(ISERROR(SEARCH("fnd",N122)))</formula>
    </cfRule>
  </conditionalFormatting>
  <conditionalFormatting sqref="N125">
    <cfRule type="containsText" dxfId="1620" priority="639" operator="containsText" text="Str">
      <formula>NOT(ISERROR(SEARCH("Str",N125)))</formula>
    </cfRule>
    <cfRule type="containsText" dxfId="1619" priority="640" operator="containsText" text="Ere">
      <formula>NOT(ISERROR(SEARCH("Ere",N125)))</formula>
    </cfRule>
    <cfRule type="containsText" dxfId="1618" priority="641" operator="containsText" text="Ear">
      <formula>NOT(ISERROR(SEARCH("Ear",N125)))</formula>
    </cfRule>
    <cfRule type="containsText" dxfId="1617" priority="642" operator="containsText" text="fnd">
      <formula>NOT(ISERROR(SEARCH("fnd",N125)))</formula>
    </cfRule>
  </conditionalFormatting>
  <conditionalFormatting sqref="N133">
    <cfRule type="containsText" dxfId="1616" priority="1339" operator="containsText" text="Str">
      <formula>NOT(ISERROR(SEARCH("Str",N133)))</formula>
    </cfRule>
    <cfRule type="containsText" dxfId="1615" priority="1340" operator="containsText" text="Ere">
      <formula>NOT(ISERROR(SEARCH("Ere",N133)))</formula>
    </cfRule>
    <cfRule type="containsText" dxfId="1614" priority="1341" operator="containsText" text="Ear">
      <formula>NOT(ISERROR(SEARCH("Ear",N133)))</formula>
    </cfRule>
    <cfRule type="containsText" dxfId="1613" priority="1342" operator="containsText" text="fnd">
      <formula>NOT(ISERROR(SEARCH("fnd",N133)))</formula>
    </cfRule>
  </conditionalFormatting>
  <conditionalFormatting sqref="N141">
    <cfRule type="containsText" dxfId="1612" priority="1255" operator="containsText" text="Str">
      <formula>NOT(ISERROR(SEARCH("Str",N141)))</formula>
    </cfRule>
    <cfRule type="containsText" dxfId="1611" priority="1256" operator="containsText" text="Ere">
      <formula>NOT(ISERROR(SEARCH("Ere",N141)))</formula>
    </cfRule>
    <cfRule type="containsText" dxfId="1610" priority="1257" operator="containsText" text="Ear">
      <formula>NOT(ISERROR(SEARCH("Ear",N141)))</formula>
    </cfRule>
    <cfRule type="containsText" dxfId="1609" priority="1258" operator="containsText" text="fnd">
      <formula>NOT(ISERROR(SEARCH("fnd",N141)))</formula>
    </cfRule>
  </conditionalFormatting>
  <conditionalFormatting sqref="N149">
    <cfRule type="containsText" dxfId="1608" priority="281" operator="containsText" text="Str">
      <formula>NOT(ISERROR(SEARCH("Str",N149)))</formula>
    </cfRule>
    <cfRule type="containsText" dxfId="1607" priority="282" operator="containsText" text="Ere">
      <formula>NOT(ISERROR(SEARCH("Ere",N149)))</formula>
    </cfRule>
    <cfRule type="containsText" dxfId="1606" priority="283" operator="containsText" text="Ear">
      <formula>NOT(ISERROR(SEARCH("Ear",N149)))</formula>
    </cfRule>
    <cfRule type="containsText" dxfId="1605" priority="284" operator="containsText" text="fnd">
      <formula>NOT(ISERROR(SEARCH("fnd",N149)))</formula>
    </cfRule>
  </conditionalFormatting>
  <conditionalFormatting sqref="N157">
    <cfRule type="containsText" dxfId="1604" priority="1107" operator="containsText" text="Str">
      <formula>NOT(ISERROR(SEARCH("Str",N157)))</formula>
    </cfRule>
    <cfRule type="containsText" dxfId="1603" priority="1108" operator="containsText" text="Ere">
      <formula>NOT(ISERROR(SEARCH("Ere",N157)))</formula>
    </cfRule>
    <cfRule type="containsText" dxfId="1602" priority="1109" operator="containsText" text="Ear">
      <formula>NOT(ISERROR(SEARCH("Ear",N157)))</formula>
    </cfRule>
    <cfRule type="containsText" dxfId="1601" priority="1110" operator="containsText" text="fnd">
      <formula>NOT(ISERROR(SEARCH("fnd",N157)))</formula>
    </cfRule>
  </conditionalFormatting>
  <conditionalFormatting sqref="N165">
    <cfRule type="containsText" dxfId="1600" priority="1043" operator="containsText" text="Str">
      <formula>NOT(ISERROR(SEARCH("Str",N165)))</formula>
    </cfRule>
    <cfRule type="containsText" dxfId="1599" priority="1044" operator="containsText" text="Ere">
      <formula>NOT(ISERROR(SEARCH("Ere",N165)))</formula>
    </cfRule>
    <cfRule type="containsText" dxfId="1598" priority="1045" operator="containsText" text="Ear">
      <formula>NOT(ISERROR(SEARCH("Ear",N165)))</formula>
    </cfRule>
    <cfRule type="containsText" dxfId="1597" priority="1046" operator="containsText" text="fnd">
      <formula>NOT(ISERROR(SEARCH("fnd",N165)))</formula>
    </cfRule>
  </conditionalFormatting>
  <conditionalFormatting sqref="N173">
    <cfRule type="containsText" dxfId="1596" priority="441" operator="containsText" text="Str">
      <formula>NOT(ISERROR(SEARCH("Str",N173)))</formula>
    </cfRule>
    <cfRule type="containsText" dxfId="1595" priority="442" operator="containsText" text="Ere">
      <formula>NOT(ISERROR(SEARCH("Ere",N173)))</formula>
    </cfRule>
    <cfRule type="containsText" dxfId="1594" priority="443" operator="containsText" text="Ear">
      <formula>NOT(ISERROR(SEARCH("Ear",N173)))</formula>
    </cfRule>
    <cfRule type="containsText" dxfId="1593" priority="444" operator="containsText" text="fnd">
      <formula>NOT(ISERROR(SEARCH("fnd",N173)))</formula>
    </cfRule>
  </conditionalFormatting>
  <conditionalFormatting sqref="N181">
    <cfRule type="containsText" dxfId="1592" priority="121" operator="containsText" text="Str">
      <formula>NOT(ISERROR(SEARCH("Str",N181)))</formula>
    </cfRule>
    <cfRule type="containsText" dxfId="1591" priority="122" operator="containsText" text="Ere">
      <formula>NOT(ISERROR(SEARCH("Ere",N181)))</formula>
    </cfRule>
    <cfRule type="containsText" dxfId="1590" priority="123" operator="containsText" text="Ear">
      <formula>NOT(ISERROR(SEARCH("Ear",N181)))</formula>
    </cfRule>
    <cfRule type="containsText" dxfId="1589" priority="124" operator="containsText" text="fnd">
      <formula>NOT(ISERROR(SEARCH("fnd",N181)))</formula>
    </cfRule>
  </conditionalFormatting>
  <conditionalFormatting sqref="N30:O30">
    <cfRule type="containsText" dxfId="1588" priority="1531" operator="containsText" text="Str">
      <formula>NOT(ISERROR(SEARCH("Str",N30)))</formula>
    </cfRule>
    <cfRule type="containsText" dxfId="1587" priority="1532" operator="containsText" text="Ere">
      <formula>NOT(ISERROR(SEARCH("Ere",N30)))</formula>
    </cfRule>
    <cfRule type="containsText" dxfId="1586" priority="1533" operator="containsText" text="Ear">
      <formula>NOT(ISERROR(SEARCH("Ear",N30)))</formula>
    </cfRule>
    <cfRule type="containsText" dxfId="1585" priority="1534" operator="containsText" text="fnd">
      <formula>NOT(ISERROR(SEARCH("fnd",N30)))</formula>
    </cfRule>
  </conditionalFormatting>
  <conditionalFormatting sqref="N46:O46">
    <cfRule type="containsText" dxfId="1584" priority="2315" operator="containsText" text="Str">
      <formula>NOT(ISERROR(SEARCH("Str",N46)))</formula>
    </cfRule>
    <cfRule type="containsText" dxfId="1583" priority="2316" operator="containsText" text="Ere">
      <formula>NOT(ISERROR(SEARCH("Ere",N46)))</formula>
    </cfRule>
    <cfRule type="containsText" dxfId="1582" priority="2317" operator="containsText" text="Ear">
      <formula>NOT(ISERROR(SEARCH("Ear",N46)))</formula>
    </cfRule>
    <cfRule type="containsText" dxfId="1581" priority="2318" operator="containsText" text="fnd">
      <formula>NOT(ISERROR(SEARCH("fnd",N46)))</formula>
    </cfRule>
  </conditionalFormatting>
  <conditionalFormatting sqref="N54:O54">
    <cfRule type="containsText" dxfId="1580" priority="2327" operator="containsText" text="Str">
      <formula>NOT(ISERROR(SEARCH("Str",N54)))</formula>
    </cfRule>
    <cfRule type="containsText" dxfId="1579" priority="2328" operator="containsText" text="Ere">
      <formula>NOT(ISERROR(SEARCH("Ere",N54)))</formula>
    </cfRule>
    <cfRule type="containsText" dxfId="1578" priority="2329" operator="containsText" text="Ear">
      <formula>NOT(ISERROR(SEARCH("Ear",N54)))</formula>
    </cfRule>
    <cfRule type="containsText" dxfId="1577" priority="2330" operator="containsText" text="fnd">
      <formula>NOT(ISERROR(SEARCH("fnd",N54)))</formula>
    </cfRule>
  </conditionalFormatting>
  <conditionalFormatting sqref="N62:O62">
    <cfRule type="containsText" dxfId="1576" priority="1867" operator="containsText" text="Str">
      <formula>NOT(ISERROR(SEARCH("Str",N62)))</formula>
    </cfRule>
    <cfRule type="containsText" dxfId="1575" priority="1868" operator="containsText" text="Ere">
      <formula>NOT(ISERROR(SEARCH("Ere",N62)))</formula>
    </cfRule>
    <cfRule type="containsText" dxfId="1574" priority="1869" operator="containsText" text="Ear">
      <formula>NOT(ISERROR(SEARCH("Ear",N62)))</formula>
    </cfRule>
    <cfRule type="containsText" dxfId="1573" priority="1870" operator="containsText" text="fnd">
      <formula>NOT(ISERROR(SEARCH("fnd",N62)))</formula>
    </cfRule>
  </conditionalFormatting>
  <conditionalFormatting sqref="N94:O94">
    <cfRule type="containsText" dxfId="1572" priority="1959" operator="containsText" text="Str">
      <formula>NOT(ISERROR(SEARCH("Str",N94)))</formula>
    </cfRule>
    <cfRule type="containsText" dxfId="1571" priority="1960" operator="containsText" text="Ere">
      <formula>NOT(ISERROR(SEARCH("Ere",N94)))</formula>
    </cfRule>
    <cfRule type="containsText" dxfId="1570" priority="1961" operator="containsText" text="Ear">
      <formula>NOT(ISERROR(SEARCH("Ear",N94)))</formula>
    </cfRule>
    <cfRule type="containsText" dxfId="1569" priority="1962" operator="containsText" text="fnd">
      <formula>NOT(ISERROR(SEARCH("fnd",N94)))</formula>
    </cfRule>
  </conditionalFormatting>
  <conditionalFormatting sqref="N102:O102">
    <cfRule type="containsText" dxfId="1568" priority="289" operator="containsText" text="Str">
      <formula>NOT(ISERROR(SEARCH("Str",N102)))</formula>
    </cfRule>
    <cfRule type="containsText" dxfId="1567" priority="290" operator="containsText" text="Ere">
      <formula>NOT(ISERROR(SEARCH("Ere",N102)))</formula>
    </cfRule>
    <cfRule type="containsText" dxfId="1566" priority="291" operator="containsText" text="Ear">
      <formula>NOT(ISERROR(SEARCH("Ear",N102)))</formula>
    </cfRule>
    <cfRule type="containsText" dxfId="1565" priority="292" operator="containsText" text="fnd">
      <formula>NOT(ISERROR(SEARCH("fnd",N102)))</formula>
    </cfRule>
  </conditionalFormatting>
  <conditionalFormatting sqref="N110:O110">
    <cfRule type="containsText" dxfId="1564" priority="1767" operator="containsText" text="Str">
      <formula>NOT(ISERROR(SEARCH("Str",N110)))</formula>
    </cfRule>
    <cfRule type="containsText" dxfId="1563" priority="1768" operator="containsText" text="Ere">
      <formula>NOT(ISERROR(SEARCH("Ere",N110)))</formula>
    </cfRule>
    <cfRule type="containsText" dxfId="1562" priority="1769" operator="containsText" text="Ear">
      <formula>NOT(ISERROR(SEARCH("Ear",N110)))</formula>
    </cfRule>
    <cfRule type="containsText" dxfId="1561" priority="1770" operator="containsText" text="fnd">
      <formula>NOT(ISERROR(SEARCH("fnd",N110)))</formula>
    </cfRule>
  </conditionalFormatting>
  <conditionalFormatting sqref="N118:O118">
    <cfRule type="containsText" dxfId="1560" priority="1399" operator="containsText" text="Str">
      <formula>NOT(ISERROR(SEARCH("Str",N118)))</formula>
    </cfRule>
    <cfRule type="containsText" dxfId="1559" priority="1400" operator="containsText" text="Ere">
      <formula>NOT(ISERROR(SEARCH("Ere",N118)))</formula>
    </cfRule>
    <cfRule type="containsText" dxfId="1558" priority="1401" operator="containsText" text="Ear">
      <formula>NOT(ISERROR(SEARCH("Ear",N118)))</formula>
    </cfRule>
    <cfRule type="containsText" dxfId="1557" priority="1402" operator="containsText" text="fnd">
      <formula>NOT(ISERROR(SEARCH("fnd",N118)))</formula>
    </cfRule>
  </conditionalFormatting>
  <conditionalFormatting sqref="N126:O126">
    <cfRule type="containsText" dxfId="1556" priority="643" operator="containsText" text="Str">
      <formula>NOT(ISERROR(SEARCH("Str",N126)))</formula>
    </cfRule>
    <cfRule type="containsText" dxfId="1555" priority="644" operator="containsText" text="Ere">
      <formula>NOT(ISERROR(SEARCH("Ere",N126)))</formula>
    </cfRule>
    <cfRule type="containsText" dxfId="1554" priority="645" operator="containsText" text="Ear">
      <formula>NOT(ISERROR(SEARCH("Ear",N126)))</formula>
    </cfRule>
    <cfRule type="containsText" dxfId="1553" priority="646" operator="containsText" text="fnd">
      <formula>NOT(ISERROR(SEARCH("fnd",N126)))</formula>
    </cfRule>
  </conditionalFormatting>
  <conditionalFormatting sqref="N134:O134">
    <cfRule type="containsText" dxfId="1552" priority="1343" operator="containsText" text="Str">
      <formula>NOT(ISERROR(SEARCH("Str",N134)))</formula>
    </cfRule>
    <cfRule type="containsText" dxfId="1551" priority="1344" operator="containsText" text="Ere">
      <formula>NOT(ISERROR(SEARCH("Ere",N134)))</formula>
    </cfRule>
    <cfRule type="containsText" dxfId="1550" priority="1345" operator="containsText" text="Ear">
      <formula>NOT(ISERROR(SEARCH("Ear",N134)))</formula>
    </cfRule>
    <cfRule type="containsText" dxfId="1549" priority="1346" operator="containsText" text="fnd">
      <formula>NOT(ISERROR(SEARCH("fnd",N134)))</formula>
    </cfRule>
  </conditionalFormatting>
  <conditionalFormatting sqref="N142:O142">
    <cfRule type="containsText" dxfId="1548" priority="1259" operator="containsText" text="Str">
      <formula>NOT(ISERROR(SEARCH("Str",N142)))</formula>
    </cfRule>
    <cfRule type="containsText" dxfId="1547" priority="1260" operator="containsText" text="Ere">
      <formula>NOT(ISERROR(SEARCH("Ere",N142)))</formula>
    </cfRule>
    <cfRule type="containsText" dxfId="1546" priority="1261" operator="containsText" text="Ear">
      <formula>NOT(ISERROR(SEARCH("Ear",N142)))</formula>
    </cfRule>
    <cfRule type="containsText" dxfId="1545" priority="1262" operator="containsText" text="fnd">
      <formula>NOT(ISERROR(SEARCH("fnd",N142)))</formula>
    </cfRule>
  </conditionalFormatting>
  <conditionalFormatting sqref="N158:O158">
    <cfRule type="containsText" dxfId="1544" priority="1111" operator="containsText" text="Str">
      <formula>NOT(ISERROR(SEARCH("Str",N158)))</formula>
    </cfRule>
    <cfRule type="containsText" dxfId="1543" priority="1112" operator="containsText" text="Ere">
      <formula>NOT(ISERROR(SEARCH("Ere",N158)))</formula>
    </cfRule>
    <cfRule type="containsText" dxfId="1542" priority="1113" operator="containsText" text="Ear">
      <formula>NOT(ISERROR(SEARCH("Ear",N158)))</formula>
    </cfRule>
    <cfRule type="containsText" dxfId="1541" priority="1114" operator="containsText" text="fnd">
      <formula>NOT(ISERROR(SEARCH("fnd",N158)))</formula>
    </cfRule>
  </conditionalFormatting>
  <conditionalFormatting sqref="N166:O166">
    <cfRule type="containsText" dxfId="1540" priority="1047" operator="containsText" text="Str">
      <formula>NOT(ISERROR(SEARCH("Str",N166)))</formula>
    </cfRule>
    <cfRule type="containsText" dxfId="1539" priority="1048" operator="containsText" text="Ere">
      <formula>NOT(ISERROR(SEARCH("Ere",N166)))</formula>
    </cfRule>
    <cfRule type="containsText" dxfId="1538" priority="1049" operator="containsText" text="Ear">
      <formula>NOT(ISERROR(SEARCH("Ear",N166)))</formula>
    </cfRule>
    <cfRule type="containsText" dxfId="1537" priority="1050" operator="containsText" text="fnd">
      <formula>NOT(ISERROR(SEARCH("fnd",N166)))</formula>
    </cfRule>
  </conditionalFormatting>
  <conditionalFormatting sqref="N174:O174">
    <cfRule type="containsText" dxfId="1536" priority="445" operator="containsText" text="Str">
      <formula>NOT(ISERROR(SEARCH("Str",N174)))</formula>
    </cfRule>
    <cfRule type="containsText" dxfId="1535" priority="446" operator="containsText" text="Ere">
      <formula>NOT(ISERROR(SEARCH("Ere",N174)))</formula>
    </cfRule>
    <cfRule type="containsText" dxfId="1534" priority="447" operator="containsText" text="Ear">
      <formula>NOT(ISERROR(SEARCH("Ear",N174)))</formula>
    </cfRule>
    <cfRule type="containsText" dxfId="1533" priority="448" operator="containsText" text="fnd">
      <formula>NOT(ISERROR(SEARCH("fnd",N174)))</formula>
    </cfRule>
  </conditionalFormatting>
  <conditionalFormatting sqref="N182:O182">
    <cfRule type="containsText" dxfId="1532" priority="125" operator="containsText" text="Str">
      <formula>NOT(ISERROR(SEARCH("Str",N182)))</formula>
    </cfRule>
    <cfRule type="containsText" dxfId="1531" priority="126" operator="containsText" text="Ere">
      <formula>NOT(ISERROR(SEARCH("Ere",N182)))</formula>
    </cfRule>
    <cfRule type="containsText" dxfId="1530" priority="127" operator="containsText" text="Ear">
      <formula>NOT(ISERROR(SEARCH("Ear",N182)))</formula>
    </cfRule>
    <cfRule type="containsText" dxfId="1529" priority="128" operator="containsText" text="fnd">
      <formula>NOT(ISERROR(SEARCH("fnd",N182)))</formula>
    </cfRule>
  </conditionalFormatting>
  <conditionalFormatting sqref="O6">
    <cfRule type="containsText" dxfId="1528" priority="205" operator="containsText" text="Str">
      <formula>NOT(ISERROR(SEARCH("Str",O6)))</formula>
    </cfRule>
    <cfRule type="containsText" dxfId="1527" priority="206" operator="containsText" text="Ere">
      <formula>NOT(ISERROR(SEARCH("Ere",O6)))</formula>
    </cfRule>
    <cfRule type="containsText" dxfId="1526" priority="207" operator="containsText" text="Ear">
      <formula>NOT(ISERROR(SEARCH("Ear",O6)))</formula>
    </cfRule>
    <cfRule type="containsText" dxfId="1525" priority="208" operator="containsText" text="fnd">
      <formula>NOT(ISERROR(SEARCH("fnd",O6)))</formula>
    </cfRule>
  </conditionalFormatting>
  <conditionalFormatting sqref="O14">
    <cfRule type="containsText" dxfId="1524" priority="1703" operator="containsText" text="Str">
      <formula>NOT(ISERROR(SEARCH("Str",O14)))</formula>
    </cfRule>
    <cfRule type="containsText" dxfId="1523" priority="1704" operator="containsText" text="Ere">
      <formula>NOT(ISERROR(SEARCH("Ere",O14)))</formula>
    </cfRule>
    <cfRule type="containsText" dxfId="1522" priority="1705" operator="containsText" text="Ear">
      <formula>NOT(ISERROR(SEARCH("Ear",O14)))</formula>
    </cfRule>
    <cfRule type="containsText" dxfId="1521" priority="1706" operator="containsText" text="fnd">
      <formula>NOT(ISERROR(SEARCH("fnd",O14)))</formula>
    </cfRule>
  </conditionalFormatting>
  <conditionalFormatting sqref="O22">
    <cfRule type="containsText" dxfId="1520" priority="1615" operator="containsText" text="Str">
      <formula>NOT(ISERROR(SEARCH("Str",O22)))</formula>
    </cfRule>
    <cfRule type="containsText" dxfId="1519" priority="1616" operator="containsText" text="Ere">
      <formula>NOT(ISERROR(SEARCH("Ere",O22)))</formula>
    </cfRule>
    <cfRule type="containsText" dxfId="1518" priority="1617" operator="containsText" text="Ear">
      <formula>NOT(ISERROR(SEARCH("Ear",O22)))</formula>
    </cfRule>
    <cfRule type="containsText" dxfId="1517" priority="1618" operator="containsText" text="fnd">
      <formula>NOT(ISERROR(SEARCH("fnd",O22)))</formula>
    </cfRule>
  </conditionalFormatting>
  <conditionalFormatting sqref="O38">
    <cfRule type="containsText" dxfId="1516" priority="875" operator="containsText" text="Str">
      <formula>NOT(ISERROR(SEARCH("Str",O38)))</formula>
    </cfRule>
    <cfRule type="containsText" dxfId="1515" priority="876" operator="containsText" text="Ere">
      <formula>NOT(ISERROR(SEARCH("Ere",O38)))</formula>
    </cfRule>
    <cfRule type="containsText" dxfId="1514" priority="877" operator="containsText" text="Ear">
      <formula>NOT(ISERROR(SEARCH("Ear",O38)))</formula>
    </cfRule>
    <cfRule type="containsText" dxfId="1513" priority="878" operator="containsText" text="fnd">
      <formula>NOT(ISERROR(SEARCH("fnd",O38)))</formula>
    </cfRule>
  </conditionalFormatting>
  <conditionalFormatting sqref="O78">
    <cfRule type="containsText" dxfId="1512" priority="1939" operator="containsText" text="Str">
      <formula>NOT(ISERROR(SEARCH("Str",O78)))</formula>
    </cfRule>
    <cfRule type="containsText" dxfId="1511" priority="1940" operator="containsText" text="Ere">
      <formula>NOT(ISERROR(SEARCH("Ere",O78)))</formula>
    </cfRule>
    <cfRule type="containsText" dxfId="1510" priority="1941" operator="containsText" text="Ear">
      <formula>NOT(ISERROR(SEARCH("Ear",O78)))</formula>
    </cfRule>
    <cfRule type="containsText" dxfId="1509" priority="1942" operator="containsText" text="fnd">
      <formula>NOT(ISERROR(SEARCH("fnd",O78)))</formula>
    </cfRule>
  </conditionalFormatting>
  <conditionalFormatting sqref="O201">
    <cfRule type="containsText" dxfId="1508" priority="2115" operator="containsText" text="Str">
      <formula>NOT(ISERROR(SEARCH("Str",O201)))</formula>
    </cfRule>
    <cfRule type="containsText" dxfId="1507" priority="2116" operator="containsText" text="Ere">
      <formula>NOT(ISERROR(SEARCH("Ere",O201)))</formula>
    </cfRule>
    <cfRule type="containsText" dxfId="1506" priority="2117" operator="containsText" text="Ear">
      <formula>NOT(ISERROR(SEARCH("Ear",O201)))</formula>
    </cfRule>
    <cfRule type="containsText" dxfId="1505" priority="2118" operator="containsText" text="fnd">
      <formula>NOT(ISERROR(SEARCH("fnd",O201)))</formula>
    </cfRule>
  </conditionalFormatting>
  <conditionalFormatting sqref="Q5:Q6">
    <cfRule type="containsText" dxfId="1504" priority="201" operator="containsText" text="Str">
      <formula>NOT(ISERROR(SEARCH("Str",Q5)))</formula>
    </cfRule>
    <cfRule type="containsText" dxfId="1503" priority="202" operator="containsText" text="Ere">
      <formula>NOT(ISERROR(SEARCH("Ere",Q5)))</formula>
    </cfRule>
    <cfRule type="containsText" dxfId="1502" priority="203" operator="containsText" text="Ear">
      <formula>NOT(ISERROR(SEARCH("Ear",Q5)))</formula>
    </cfRule>
    <cfRule type="containsText" dxfId="1501" priority="204" operator="containsText" text="fnd">
      <formula>NOT(ISERROR(SEARCH("fnd",Q5)))</formula>
    </cfRule>
  </conditionalFormatting>
  <conditionalFormatting sqref="Q13:Q14">
    <cfRule type="containsText" dxfId="1500" priority="1743" operator="containsText" text="Str">
      <formula>NOT(ISERROR(SEARCH("Str",Q13)))</formula>
    </cfRule>
    <cfRule type="containsText" dxfId="1499" priority="1744" operator="containsText" text="Ere">
      <formula>NOT(ISERROR(SEARCH("Ere",Q13)))</formula>
    </cfRule>
    <cfRule type="containsText" dxfId="1498" priority="1745" operator="containsText" text="Ear">
      <formula>NOT(ISERROR(SEARCH("Ear",Q13)))</formula>
    </cfRule>
    <cfRule type="containsText" dxfId="1497" priority="1746" operator="containsText" text="fnd">
      <formula>NOT(ISERROR(SEARCH("fnd",Q13)))</formula>
    </cfRule>
  </conditionalFormatting>
  <conditionalFormatting sqref="Q21:Q22">
    <cfRule type="containsText" dxfId="1496" priority="1611" operator="containsText" text="Str">
      <formula>NOT(ISERROR(SEARCH("Str",Q21)))</formula>
    </cfRule>
    <cfRule type="containsText" dxfId="1495" priority="1612" operator="containsText" text="Ere">
      <formula>NOT(ISERROR(SEARCH("Ere",Q21)))</formula>
    </cfRule>
    <cfRule type="containsText" dxfId="1494" priority="1613" operator="containsText" text="Ear">
      <formula>NOT(ISERROR(SEARCH("Ear",Q21)))</formula>
    </cfRule>
    <cfRule type="containsText" dxfId="1493" priority="1614" operator="containsText" text="fnd">
      <formula>NOT(ISERROR(SEARCH("fnd",Q21)))</formula>
    </cfRule>
  </conditionalFormatting>
  <conditionalFormatting sqref="Q29">
    <cfRule type="containsText" dxfId="1492" priority="663" operator="containsText" text="Str">
      <formula>NOT(ISERROR(SEARCH("Str",Q29)))</formula>
    </cfRule>
    <cfRule type="containsText" dxfId="1491" priority="664" operator="containsText" text="Ere">
      <formula>NOT(ISERROR(SEARCH("Ere",Q29)))</formula>
    </cfRule>
    <cfRule type="containsText" dxfId="1490" priority="665" operator="containsText" text="Ear">
      <formula>NOT(ISERROR(SEARCH("Ear",Q29)))</formula>
    </cfRule>
    <cfRule type="containsText" dxfId="1489" priority="666" operator="containsText" text="fnd">
      <formula>NOT(ISERROR(SEARCH("fnd",Q29)))</formula>
    </cfRule>
  </conditionalFormatting>
  <conditionalFormatting sqref="Q37:Q38">
    <cfRule type="containsText" dxfId="1488" priority="2135" operator="containsText" text="Str">
      <formula>NOT(ISERROR(SEARCH("Str",Q37)))</formula>
    </cfRule>
    <cfRule type="containsText" dxfId="1487" priority="2136" operator="containsText" text="Ere">
      <formula>NOT(ISERROR(SEARCH("Ere",Q37)))</formula>
    </cfRule>
    <cfRule type="containsText" dxfId="1486" priority="2137" operator="containsText" text="Ear">
      <formula>NOT(ISERROR(SEARCH("Ear",Q37)))</formula>
    </cfRule>
    <cfRule type="containsText" dxfId="1485" priority="2138" operator="containsText" text="fnd">
      <formula>NOT(ISERROR(SEARCH("fnd",Q37)))</formula>
    </cfRule>
  </conditionalFormatting>
  <conditionalFormatting sqref="Q45">
    <cfRule type="containsText" dxfId="1484" priority="851" operator="containsText" text="Str">
      <formula>NOT(ISERROR(SEARCH("Str",Q45)))</formula>
    </cfRule>
    <cfRule type="containsText" dxfId="1483" priority="852" operator="containsText" text="Ere">
      <formula>NOT(ISERROR(SEARCH("Ere",Q45)))</formula>
    </cfRule>
    <cfRule type="containsText" dxfId="1482" priority="853" operator="containsText" text="Ear">
      <formula>NOT(ISERROR(SEARCH("Ear",Q45)))</formula>
    </cfRule>
    <cfRule type="containsText" dxfId="1481" priority="854" operator="containsText" text="fnd">
      <formula>NOT(ISERROR(SEARCH("fnd",Q45)))</formula>
    </cfRule>
  </conditionalFormatting>
  <conditionalFormatting sqref="Q53">
    <cfRule type="containsText" dxfId="1480" priority="2163" operator="containsText" text="Str">
      <formula>NOT(ISERROR(SEARCH("Str",Q53)))</formula>
    </cfRule>
    <cfRule type="containsText" dxfId="1479" priority="2164" operator="containsText" text="Ere">
      <formula>NOT(ISERROR(SEARCH("Ere",Q53)))</formula>
    </cfRule>
    <cfRule type="containsText" dxfId="1478" priority="2165" operator="containsText" text="Ear">
      <formula>NOT(ISERROR(SEARCH("Ear",Q53)))</formula>
    </cfRule>
    <cfRule type="containsText" dxfId="1477" priority="2166" operator="containsText" text="fnd">
      <formula>NOT(ISERROR(SEARCH("fnd",Q53)))</formula>
    </cfRule>
  </conditionalFormatting>
  <conditionalFormatting sqref="Q61">
    <cfRule type="containsText" dxfId="1476" priority="831" operator="containsText" text="Str">
      <formula>NOT(ISERROR(SEARCH("Str",Q61)))</formula>
    </cfRule>
    <cfRule type="containsText" dxfId="1475" priority="832" operator="containsText" text="Ere">
      <formula>NOT(ISERROR(SEARCH("Ere",Q61)))</formula>
    </cfRule>
    <cfRule type="containsText" dxfId="1474" priority="833" operator="containsText" text="Ear">
      <formula>NOT(ISERROR(SEARCH("Ear",Q61)))</formula>
    </cfRule>
    <cfRule type="containsText" dxfId="1473" priority="834" operator="containsText" text="fnd">
      <formula>NOT(ISERROR(SEARCH("fnd",Q61)))</formula>
    </cfRule>
  </conditionalFormatting>
  <conditionalFormatting sqref="Q77">
    <cfRule type="containsText" dxfId="1472" priority="803" operator="containsText" text="Str">
      <formula>NOT(ISERROR(SEARCH("Str",Q77)))</formula>
    </cfRule>
    <cfRule type="containsText" dxfId="1471" priority="804" operator="containsText" text="Ere">
      <formula>NOT(ISERROR(SEARCH("Ere",Q77)))</formula>
    </cfRule>
    <cfRule type="containsText" dxfId="1470" priority="805" operator="containsText" text="Ear">
      <formula>NOT(ISERROR(SEARCH("Ear",Q77)))</formula>
    </cfRule>
    <cfRule type="containsText" dxfId="1469" priority="806" operator="containsText" text="fnd">
      <formula>NOT(ISERROR(SEARCH("fnd",Q77)))</formula>
    </cfRule>
  </conditionalFormatting>
  <conditionalFormatting sqref="Q85">
    <cfRule type="containsText" dxfId="1468" priority="2143" operator="containsText" text="Str">
      <formula>NOT(ISERROR(SEARCH("Str",Q85)))</formula>
    </cfRule>
    <cfRule type="containsText" dxfId="1467" priority="2144" operator="containsText" text="Ere">
      <formula>NOT(ISERROR(SEARCH("Ere",Q85)))</formula>
    </cfRule>
    <cfRule type="containsText" dxfId="1466" priority="2145" operator="containsText" text="Ear">
      <formula>NOT(ISERROR(SEARCH("Ear",Q85)))</formula>
    </cfRule>
    <cfRule type="containsText" dxfId="1465" priority="2146" operator="containsText" text="fnd">
      <formula>NOT(ISERROR(SEARCH("fnd",Q85)))</formula>
    </cfRule>
  </conditionalFormatting>
  <conditionalFormatting sqref="Q93">
    <cfRule type="containsText" dxfId="1464" priority="1587" operator="containsText" text="Str">
      <formula>NOT(ISERROR(SEARCH("Str",Q93)))</formula>
    </cfRule>
    <cfRule type="containsText" dxfId="1463" priority="1588" operator="containsText" text="Ere">
      <formula>NOT(ISERROR(SEARCH("Ere",Q93)))</formula>
    </cfRule>
    <cfRule type="containsText" dxfId="1462" priority="1589" operator="containsText" text="Ear">
      <formula>NOT(ISERROR(SEARCH("Ear",Q93)))</formula>
    </cfRule>
    <cfRule type="containsText" dxfId="1461" priority="1590" operator="containsText" text="fnd">
      <formula>NOT(ISERROR(SEARCH("fnd",Q93)))</formula>
    </cfRule>
  </conditionalFormatting>
  <conditionalFormatting sqref="Q101">
    <cfRule type="containsText" dxfId="1460" priority="1551" operator="containsText" text="Str">
      <formula>NOT(ISERROR(SEARCH("Str",Q101)))</formula>
    </cfRule>
    <cfRule type="containsText" dxfId="1459" priority="1552" operator="containsText" text="Ere">
      <formula>NOT(ISERROR(SEARCH("Ere",Q101)))</formula>
    </cfRule>
    <cfRule type="containsText" dxfId="1458" priority="1553" operator="containsText" text="Ear">
      <formula>NOT(ISERROR(SEARCH("Ear",Q101)))</formula>
    </cfRule>
    <cfRule type="containsText" dxfId="1457" priority="1554" operator="containsText" text="fnd">
      <formula>NOT(ISERROR(SEARCH("fnd",Q101)))</formula>
    </cfRule>
  </conditionalFormatting>
  <conditionalFormatting sqref="Q109">
    <cfRule type="containsText" dxfId="1456" priority="1787" operator="containsText" text="Str">
      <formula>NOT(ISERROR(SEARCH("Str",Q109)))</formula>
    </cfRule>
    <cfRule type="containsText" dxfId="1455" priority="1788" operator="containsText" text="Ere">
      <formula>NOT(ISERROR(SEARCH("Ere",Q109)))</formula>
    </cfRule>
    <cfRule type="containsText" dxfId="1454" priority="1789" operator="containsText" text="Ear">
      <formula>NOT(ISERROR(SEARCH("Ear",Q109)))</formula>
    </cfRule>
    <cfRule type="containsText" dxfId="1453" priority="1790" operator="containsText" text="fnd">
      <formula>NOT(ISERROR(SEARCH("fnd",Q109)))</formula>
    </cfRule>
  </conditionalFormatting>
  <conditionalFormatting sqref="Q117">
    <cfRule type="containsText" dxfId="1452" priority="1411" operator="containsText" text="Str">
      <formula>NOT(ISERROR(SEARCH("Str",Q117)))</formula>
    </cfRule>
    <cfRule type="containsText" dxfId="1451" priority="1412" operator="containsText" text="Ere">
      <formula>NOT(ISERROR(SEARCH("Ere",Q117)))</formula>
    </cfRule>
    <cfRule type="containsText" dxfId="1450" priority="1413" operator="containsText" text="Ear">
      <formula>NOT(ISERROR(SEARCH("Ear",Q117)))</formula>
    </cfRule>
    <cfRule type="containsText" dxfId="1449" priority="1414" operator="containsText" text="fnd">
      <formula>NOT(ISERROR(SEARCH("fnd",Q117)))</formula>
    </cfRule>
  </conditionalFormatting>
  <conditionalFormatting sqref="Q125">
    <cfRule type="containsText" dxfId="1448" priority="525" operator="containsText" text="Str">
      <formula>NOT(ISERROR(SEARCH("Str",Q125)))</formula>
    </cfRule>
    <cfRule type="containsText" dxfId="1447" priority="526" operator="containsText" text="Ere">
      <formula>NOT(ISERROR(SEARCH("Ere",Q125)))</formula>
    </cfRule>
    <cfRule type="containsText" dxfId="1446" priority="527" operator="containsText" text="Ear">
      <formula>NOT(ISERROR(SEARCH("Ear",Q125)))</formula>
    </cfRule>
    <cfRule type="containsText" dxfId="1445" priority="528" operator="containsText" text="fnd">
      <formula>NOT(ISERROR(SEARCH("fnd",Q125)))</formula>
    </cfRule>
  </conditionalFormatting>
  <conditionalFormatting sqref="Q130 Q138 Q162 Q178">
    <cfRule type="containsText" dxfId="1444" priority="2059" operator="containsText" text="Str">
      <formula>NOT(ISERROR(SEARCH("Str",Q130)))</formula>
    </cfRule>
    <cfRule type="containsText" dxfId="1443" priority="2060" operator="containsText" text="Ere">
      <formula>NOT(ISERROR(SEARCH("Ere",Q130)))</formula>
    </cfRule>
    <cfRule type="containsText" dxfId="1442" priority="2061" operator="containsText" text="Ear">
      <formula>NOT(ISERROR(SEARCH("Ear",Q130)))</formula>
    </cfRule>
    <cfRule type="containsText" dxfId="1441" priority="2062" operator="containsText" text="fnd">
      <formula>NOT(ISERROR(SEARCH("fnd",Q130)))</formula>
    </cfRule>
  </conditionalFormatting>
  <conditionalFormatting sqref="Q133">
    <cfRule type="containsText" dxfId="1440" priority="13" operator="containsText" text="Str">
      <formula>NOT(ISERROR(SEARCH("Str",Q133)))</formula>
    </cfRule>
    <cfRule type="containsText" dxfId="1439" priority="14" operator="containsText" text="Ere">
      <formula>NOT(ISERROR(SEARCH("Ere",Q133)))</formula>
    </cfRule>
    <cfRule type="containsText" dxfId="1438" priority="15" operator="containsText" text="Ear">
      <formula>NOT(ISERROR(SEARCH("Ear",Q133)))</formula>
    </cfRule>
    <cfRule type="containsText" dxfId="1437" priority="16" operator="containsText" text="fnd">
      <formula>NOT(ISERROR(SEARCH("fnd",Q133)))</formula>
    </cfRule>
  </conditionalFormatting>
  <conditionalFormatting sqref="Q141">
    <cfRule type="containsText" dxfId="1436" priority="1271" operator="containsText" text="Str">
      <formula>NOT(ISERROR(SEARCH("Str",Q141)))</formula>
    </cfRule>
    <cfRule type="containsText" dxfId="1435" priority="1272" operator="containsText" text="Ere">
      <formula>NOT(ISERROR(SEARCH("Ere",Q141)))</formula>
    </cfRule>
    <cfRule type="containsText" dxfId="1434" priority="1273" operator="containsText" text="Ear">
      <formula>NOT(ISERROR(SEARCH("Ear",Q141)))</formula>
    </cfRule>
    <cfRule type="containsText" dxfId="1433" priority="1274" operator="containsText" text="fnd">
      <formula>NOT(ISERROR(SEARCH("fnd",Q141)))</formula>
    </cfRule>
  </conditionalFormatting>
  <conditionalFormatting sqref="Q149">
    <cfRule type="containsText" dxfId="1432" priority="1183" operator="containsText" text="Str">
      <formula>NOT(ISERROR(SEARCH("Str",Q149)))</formula>
    </cfRule>
    <cfRule type="containsText" dxfId="1431" priority="1184" operator="containsText" text="Ere">
      <formula>NOT(ISERROR(SEARCH("Ere",Q149)))</formula>
    </cfRule>
    <cfRule type="containsText" dxfId="1430" priority="1185" operator="containsText" text="Ear">
      <formula>NOT(ISERROR(SEARCH("Ear",Q149)))</formula>
    </cfRule>
    <cfRule type="containsText" dxfId="1429" priority="1186" operator="containsText" text="fnd">
      <formula>NOT(ISERROR(SEARCH("fnd",Q149)))</formula>
    </cfRule>
  </conditionalFormatting>
  <conditionalFormatting sqref="Q157">
    <cfRule type="containsText" dxfId="1428" priority="1123" operator="containsText" text="Str">
      <formula>NOT(ISERROR(SEARCH("Str",Q157)))</formula>
    </cfRule>
    <cfRule type="containsText" dxfId="1427" priority="1124" operator="containsText" text="Ere">
      <formula>NOT(ISERROR(SEARCH("Ere",Q157)))</formula>
    </cfRule>
    <cfRule type="containsText" dxfId="1426" priority="1125" operator="containsText" text="Ear">
      <formula>NOT(ISERROR(SEARCH("Ear",Q157)))</formula>
    </cfRule>
    <cfRule type="containsText" dxfId="1425" priority="1126" operator="containsText" text="fnd">
      <formula>NOT(ISERROR(SEARCH("fnd",Q157)))</formula>
    </cfRule>
  </conditionalFormatting>
  <conditionalFormatting sqref="Q165">
    <cfRule type="containsText" dxfId="1424" priority="1059" operator="containsText" text="Str">
      <formula>NOT(ISERROR(SEARCH("Str",Q165)))</formula>
    </cfRule>
    <cfRule type="containsText" dxfId="1423" priority="1060" operator="containsText" text="Ere">
      <formula>NOT(ISERROR(SEARCH("Ere",Q165)))</formula>
    </cfRule>
    <cfRule type="containsText" dxfId="1422" priority="1061" operator="containsText" text="Ear">
      <formula>NOT(ISERROR(SEARCH("Ear",Q165)))</formula>
    </cfRule>
    <cfRule type="containsText" dxfId="1421" priority="1062" operator="containsText" text="fnd">
      <formula>NOT(ISERROR(SEARCH("fnd",Q165)))</formula>
    </cfRule>
  </conditionalFormatting>
  <conditionalFormatting sqref="Q173">
    <cfRule type="containsText" dxfId="1420" priority="393" operator="containsText" text="Str">
      <formula>NOT(ISERROR(SEARCH("Str",Q173)))</formula>
    </cfRule>
    <cfRule type="containsText" dxfId="1419" priority="394" operator="containsText" text="Ere">
      <formula>NOT(ISERROR(SEARCH("Ere",Q173)))</formula>
    </cfRule>
    <cfRule type="containsText" dxfId="1418" priority="395" operator="containsText" text="Ear">
      <formula>NOT(ISERROR(SEARCH("Ear",Q173)))</formula>
    </cfRule>
    <cfRule type="containsText" dxfId="1417" priority="396" operator="containsText" text="fnd">
      <formula>NOT(ISERROR(SEARCH("fnd",Q173)))</formula>
    </cfRule>
  </conditionalFormatting>
  <conditionalFormatting sqref="Q181">
    <cfRule type="containsText" dxfId="1416" priority="113" operator="containsText" text="Str">
      <formula>NOT(ISERROR(SEARCH("Str",Q181)))</formula>
    </cfRule>
    <cfRule type="containsText" dxfId="1415" priority="114" operator="containsText" text="Ere">
      <formula>NOT(ISERROR(SEARCH("Ere",Q181)))</formula>
    </cfRule>
    <cfRule type="containsText" dxfId="1414" priority="115" operator="containsText" text="Ear">
      <formula>NOT(ISERROR(SEARCH("Ear",Q181)))</formula>
    </cfRule>
    <cfRule type="containsText" dxfId="1413" priority="116" operator="containsText" text="fnd">
      <formula>NOT(ISERROR(SEARCH("fnd",Q181)))</formula>
    </cfRule>
  </conditionalFormatting>
  <conditionalFormatting sqref="Q30:R30">
    <cfRule type="containsText" dxfId="1412" priority="667" operator="containsText" text="Str">
      <formula>NOT(ISERROR(SEARCH("Str",Q30)))</formula>
    </cfRule>
    <cfRule type="containsText" dxfId="1411" priority="668" operator="containsText" text="Ere">
      <formula>NOT(ISERROR(SEARCH("Ere",Q30)))</formula>
    </cfRule>
    <cfRule type="containsText" dxfId="1410" priority="669" operator="containsText" text="Ear">
      <formula>NOT(ISERROR(SEARCH("Ear",Q30)))</formula>
    </cfRule>
    <cfRule type="containsText" dxfId="1409" priority="670" operator="containsText" text="fnd">
      <formula>NOT(ISERROR(SEARCH("fnd",Q30)))</formula>
    </cfRule>
  </conditionalFormatting>
  <conditionalFormatting sqref="Q54:R54">
    <cfRule type="containsText" dxfId="1408" priority="2323" operator="containsText" text="Str">
      <formula>NOT(ISERROR(SEARCH("Str",Q54)))</formula>
    </cfRule>
    <cfRule type="containsText" dxfId="1407" priority="2324" operator="containsText" text="Ere">
      <formula>NOT(ISERROR(SEARCH("Ere",Q54)))</formula>
    </cfRule>
    <cfRule type="containsText" dxfId="1406" priority="2325" operator="containsText" text="Ear">
      <formula>NOT(ISERROR(SEARCH("Ear",Q54)))</formula>
    </cfRule>
    <cfRule type="containsText" dxfId="1405" priority="2326" operator="containsText" text="fnd">
      <formula>NOT(ISERROR(SEARCH("fnd",Q54)))</formula>
    </cfRule>
  </conditionalFormatting>
  <conditionalFormatting sqref="Q78:R78">
    <cfRule type="containsText" dxfId="1404" priority="807" operator="containsText" text="Str">
      <formula>NOT(ISERROR(SEARCH("Str",Q78)))</formula>
    </cfRule>
    <cfRule type="containsText" dxfId="1403" priority="808" operator="containsText" text="Ere">
      <formula>NOT(ISERROR(SEARCH("Ere",Q78)))</formula>
    </cfRule>
    <cfRule type="containsText" dxfId="1402" priority="809" operator="containsText" text="Ear">
      <formula>NOT(ISERROR(SEARCH("Ear",Q78)))</formula>
    </cfRule>
    <cfRule type="containsText" dxfId="1401" priority="810" operator="containsText" text="fnd">
      <formula>NOT(ISERROR(SEARCH("fnd",Q78)))</formula>
    </cfRule>
  </conditionalFormatting>
  <conditionalFormatting sqref="Q86:R86">
    <cfRule type="containsText" dxfId="1400" priority="2191" operator="containsText" text="Str">
      <formula>NOT(ISERROR(SEARCH("Str",Q86)))</formula>
    </cfRule>
    <cfRule type="containsText" dxfId="1399" priority="2192" operator="containsText" text="Ere">
      <formula>NOT(ISERROR(SEARCH("Ere",Q86)))</formula>
    </cfRule>
    <cfRule type="containsText" dxfId="1398" priority="2193" operator="containsText" text="Ear">
      <formula>NOT(ISERROR(SEARCH("Ear",Q86)))</formula>
    </cfRule>
    <cfRule type="containsText" dxfId="1397" priority="2194" operator="containsText" text="fnd">
      <formula>NOT(ISERROR(SEARCH("fnd",Q86)))</formula>
    </cfRule>
  </conditionalFormatting>
  <conditionalFormatting sqref="Q94:R94">
    <cfRule type="containsText" dxfId="1396" priority="1591" operator="containsText" text="Str">
      <formula>NOT(ISERROR(SEARCH("Str",Q94)))</formula>
    </cfRule>
    <cfRule type="containsText" dxfId="1395" priority="1592" operator="containsText" text="Ere">
      <formula>NOT(ISERROR(SEARCH("Ere",Q94)))</formula>
    </cfRule>
    <cfRule type="containsText" dxfId="1394" priority="1593" operator="containsText" text="Ear">
      <formula>NOT(ISERROR(SEARCH("Ear",Q94)))</formula>
    </cfRule>
    <cfRule type="containsText" dxfId="1393" priority="1594" operator="containsText" text="fnd">
      <formula>NOT(ISERROR(SEARCH("fnd",Q94)))</formula>
    </cfRule>
  </conditionalFormatting>
  <conditionalFormatting sqref="Q102:R102">
    <cfRule type="containsText" dxfId="1392" priority="1555" operator="containsText" text="Str">
      <formula>NOT(ISERROR(SEARCH("Str",Q102)))</formula>
    </cfRule>
    <cfRule type="containsText" dxfId="1391" priority="1556" operator="containsText" text="Ere">
      <formula>NOT(ISERROR(SEARCH("Ere",Q102)))</formula>
    </cfRule>
    <cfRule type="containsText" dxfId="1390" priority="1557" operator="containsText" text="Ear">
      <formula>NOT(ISERROR(SEARCH("Ear",Q102)))</formula>
    </cfRule>
    <cfRule type="containsText" dxfId="1389" priority="1558" operator="containsText" text="fnd">
      <formula>NOT(ISERROR(SEARCH("fnd",Q102)))</formula>
    </cfRule>
  </conditionalFormatting>
  <conditionalFormatting sqref="Q110:R110">
    <cfRule type="containsText" dxfId="1388" priority="1791" operator="containsText" text="Str">
      <formula>NOT(ISERROR(SEARCH("Str",Q110)))</formula>
    </cfRule>
    <cfRule type="containsText" dxfId="1387" priority="1792" operator="containsText" text="Ere">
      <formula>NOT(ISERROR(SEARCH("Ere",Q110)))</formula>
    </cfRule>
    <cfRule type="containsText" dxfId="1386" priority="1793" operator="containsText" text="Ear">
      <formula>NOT(ISERROR(SEARCH("Ear",Q110)))</formula>
    </cfRule>
    <cfRule type="containsText" dxfId="1385" priority="1794" operator="containsText" text="fnd">
      <formula>NOT(ISERROR(SEARCH("fnd",Q110)))</formula>
    </cfRule>
  </conditionalFormatting>
  <conditionalFormatting sqref="Q118:R118">
    <cfRule type="containsText" dxfId="1384" priority="1415" operator="containsText" text="Str">
      <formula>NOT(ISERROR(SEARCH("Str",Q118)))</formula>
    </cfRule>
    <cfRule type="containsText" dxfId="1383" priority="1416" operator="containsText" text="Ere">
      <formula>NOT(ISERROR(SEARCH("Ere",Q118)))</formula>
    </cfRule>
    <cfRule type="containsText" dxfId="1382" priority="1417" operator="containsText" text="Ear">
      <formula>NOT(ISERROR(SEARCH("Ear",Q118)))</formula>
    </cfRule>
    <cfRule type="containsText" dxfId="1381" priority="1418" operator="containsText" text="fnd">
      <formula>NOT(ISERROR(SEARCH("fnd",Q118)))</formula>
    </cfRule>
  </conditionalFormatting>
  <conditionalFormatting sqref="Q126:R126">
    <cfRule type="containsText" dxfId="1380" priority="529" operator="containsText" text="Str">
      <formula>NOT(ISERROR(SEARCH("Str",Q126)))</formula>
    </cfRule>
    <cfRule type="containsText" dxfId="1379" priority="530" operator="containsText" text="Ere">
      <formula>NOT(ISERROR(SEARCH("Ere",Q126)))</formula>
    </cfRule>
    <cfRule type="containsText" dxfId="1378" priority="531" operator="containsText" text="Ear">
      <formula>NOT(ISERROR(SEARCH("Ear",Q126)))</formula>
    </cfRule>
    <cfRule type="containsText" dxfId="1377" priority="532" operator="containsText" text="fnd">
      <formula>NOT(ISERROR(SEARCH("fnd",Q126)))</formula>
    </cfRule>
  </conditionalFormatting>
  <conditionalFormatting sqref="Q134:R134">
    <cfRule type="containsText" dxfId="1376" priority="17" operator="containsText" text="Str">
      <formula>NOT(ISERROR(SEARCH("Str",Q134)))</formula>
    </cfRule>
    <cfRule type="containsText" dxfId="1375" priority="18" operator="containsText" text="Ere">
      <formula>NOT(ISERROR(SEARCH("Ere",Q134)))</formula>
    </cfRule>
    <cfRule type="containsText" dxfId="1374" priority="19" operator="containsText" text="Ear">
      <formula>NOT(ISERROR(SEARCH("Ear",Q134)))</formula>
    </cfRule>
    <cfRule type="containsText" dxfId="1373" priority="20" operator="containsText" text="fnd">
      <formula>NOT(ISERROR(SEARCH("fnd",Q134)))</formula>
    </cfRule>
  </conditionalFormatting>
  <conditionalFormatting sqref="Q142:R142">
    <cfRule type="containsText" dxfId="1372" priority="1275" operator="containsText" text="Str">
      <formula>NOT(ISERROR(SEARCH("Str",Q142)))</formula>
    </cfRule>
    <cfRule type="containsText" dxfId="1371" priority="1276" operator="containsText" text="Ere">
      <formula>NOT(ISERROR(SEARCH("Ere",Q142)))</formula>
    </cfRule>
    <cfRule type="containsText" dxfId="1370" priority="1277" operator="containsText" text="Ear">
      <formula>NOT(ISERROR(SEARCH("Ear",Q142)))</formula>
    </cfRule>
    <cfRule type="containsText" dxfId="1369" priority="1278" operator="containsText" text="fnd">
      <formula>NOT(ISERROR(SEARCH("fnd",Q142)))</formula>
    </cfRule>
  </conditionalFormatting>
  <conditionalFormatting sqref="Q150:R150">
    <cfRule type="containsText" dxfId="1368" priority="1187" operator="containsText" text="Str">
      <formula>NOT(ISERROR(SEARCH("Str",Q150)))</formula>
    </cfRule>
    <cfRule type="containsText" dxfId="1367" priority="1188" operator="containsText" text="Ere">
      <formula>NOT(ISERROR(SEARCH("Ere",Q150)))</formula>
    </cfRule>
    <cfRule type="containsText" dxfId="1366" priority="1189" operator="containsText" text="Ear">
      <formula>NOT(ISERROR(SEARCH("Ear",Q150)))</formula>
    </cfRule>
    <cfRule type="containsText" dxfId="1365" priority="1190" operator="containsText" text="fnd">
      <formula>NOT(ISERROR(SEARCH("fnd",Q150)))</formula>
    </cfRule>
  </conditionalFormatting>
  <conditionalFormatting sqref="Q166:R166">
    <cfRule type="containsText" dxfId="1364" priority="1063" operator="containsText" text="Str">
      <formula>NOT(ISERROR(SEARCH("Str",Q166)))</formula>
    </cfRule>
    <cfRule type="containsText" dxfId="1363" priority="1064" operator="containsText" text="Ere">
      <formula>NOT(ISERROR(SEARCH("Ere",Q166)))</formula>
    </cfRule>
    <cfRule type="containsText" dxfId="1362" priority="1065" operator="containsText" text="Ear">
      <formula>NOT(ISERROR(SEARCH("Ear",Q166)))</formula>
    </cfRule>
    <cfRule type="containsText" dxfId="1361" priority="1066" operator="containsText" text="fnd">
      <formula>NOT(ISERROR(SEARCH("fnd",Q166)))</formula>
    </cfRule>
  </conditionalFormatting>
  <conditionalFormatting sqref="Q174:R174">
    <cfRule type="containsText" dxfId="1360" priority="397" operator="containsText" text="Str">
      <formula>NOT(ISERROR(SEARCH("Str",Q174)))</formula>
    </cfRule>
    <cfRule type="containsText" dxfId="1359" priority="398" operator="containsText" text="Ere">
      <formula>NOT(ISERROR(SEARCH("Ere",Q174)))</formula>
    </cfRule>
    <cfRule type="containsText" dxfId="1358" priority="399" operator="containsText" text="Ear">
      <formula>NOT(ISERROR(SEARCH("Ear",Q174)))</formula>
    </cfRule>
    <cfRule type="containsText" dxfId="1357" priority="400" operator="containsText" text="fnd">
      <formula>NOT(ISERROR(SEARCH("fnd",Q174)))</formula>
    </cfRule>
  </conditionalFormatting>
  <conditionalFormatting sqref="Q182:R182">
    <cfRule type="containsText" dxfId="1356" priority="117" operator="containsText" text="Str">
      <formula>NOT(ISERROR(SEARCH("Str",Q182)))</formula>
    </cfRule>
    <cfRule type="containsText" dxfId="1355" priority="118" operator="containsText" text="Ere">
      <formula>NOT(ISERROR(SEARCH("Ere",Q182)))</formula>
    </cfRule>
    <cfRule type="containsText" dxfId="1354" priority="119" operator="containsText" text="Ear">
      <formula>NOT(ISERROR(SEARCH("Ear",Q182)))</formula>
    </cfRule>
    <cfRule type="containsText" dxfId="1353" priority="120" operator="containsText" text="fnd">
      <formula>NOT(ISERROR(SEARCH("fnd",Q182)))</formula>
    </cfRule>
  </conditionalFormatting>
  <conditionalFormatting sqref="R6">
    <cfRule type="containsText" dxfId="1352" priority="197" operator="containsText" text="Str">
      <formula>NOT(ISERROR(SEARCH("Str",R6)))</formula>
    </cfRule>
    <cfRule type="containsText" dxfId="1351" priority="198" operator="containsText" text="Ere">
      <formula>NOT(ISERROR(SEARCH("Ere",R6)))</formula>
    </cfRule>
    <cfRule type="containsText" dxfId="1350" priority="199" operator="containsText" text="Ear">
      <formula>NOT(ISERROR(SEARCH("Ear",R6)))</formula>
    </cfRule>
    <cfRule type="containsText" dxfId="1349" priority="200" operator="containsText" text="fnd">
      <formula>NOT(ISERROR(SEARCH("fnd",R6)))</formula>
    </cfRule>
  </conditionalFormatting>
  <conditionalFormatting sqref="R14">
    <cfRule type="containsText" dxfId="1348" priority="1739" operator="containsText" text="Str">
      <formula>NOT(ISERROR(SEARCH("Str",R14)))</formula>
    </cfRule>
    <cfRule type="containsText" dxfId="1347" priority="1740" operator="containsText" text="Ere">
      <formula>NOT(ISERROR(SEARCH("Ere",R14)))</formula>
    </cfRule>
    <cfRule type="containsText" dxfId="1346" priority="1741" operator="containsText" text="Ear">
      <formula>NOT(ISERROR(SEARCH("Ear",R14)))</formula>
    </cfRule>
    <cfRule type="containsText" dxfId="1345" priority="1742" operator="containsText" text="fnd">
      <formula>NOT(ISERROR(SEARCH("fnd",R14)))</formula>
    </cfRule>
  </conditionalFormatting>
  <conditionalFormatting sqref="R22">
    <cfRule type="containsText" dxfId="1344" priority="1607" operator="containsText" text="Str">
      <formula>NOT(ISERROR(SEARCH("Str",R22)))</formula>
    </cfRule>
    <cfRule type="containsText" dxfId="1343" priority="1608" operator="containsText" text="Ere">
      <formula>NOT(ISERROR(SEARCH("Ere",R22)))</formula>
    </cfRule>
    <cfRule type="containsText" dxfId="1342" priority="1609" operator="containsText" text="Ear">
      <formula>NOT(ISERROR(SEARCH("Ear",R22)))</formula>
    </cfRule>
    <cfRule type="containsText" dxfId="1341" priority="1610" operator="containsText" text="fnd">
      <formula>NOT(ISERROR(SEARCH("fnd",R22)))</formula>
    </cfRule>
  </conditionalFormatting>
  <conditionalFormatting sqref="R38">
    <cfRule type="containsText" dxfId="1340" priority="2091" operator="containsText" text="Str">
      <formula>NOT(ISERROR(SEARCH("Str",R38)))</formula>
    </cfRule>
    <cfRule type="containsText" dxfId="1339" priority="2092" operator="containsText" text="Ere">
      <formula>NOT(ISERROR(SEARCH("Ere",R38)))</formula>
    </cfRule>
    <cfRule type="containsText" dxfId="1338" priority="2093" operator="containsText" text="Ear">
      <formula>NOT(ISERROR(SEARCH("Ear",R38)))</formula>
    </cfRule>
    <cfRule type="containsText" dxfId="1337" priority="2094" operator="containsText" text="fnd">
      <formula>NOT(ISERROR(SEARCH("fnd",R38)))</formula>
    </cfRule>
  </conditionalFormatting>
  <conditionalFormatting sqref="S122 T130 T138 T162 T170 T178">
    <cfRule type="containsText" dxfId="1336" priority="2043" operator="containsText" text="Str">
      <formula>NOT(ISERROR(SEARCH("Str",S122)))</formula>
    </cfRule>
    <cfRule type="containsText" dxfId="1335" priority="2044" operator="containsText" text="Ere">
      <formula>NOT(ISERROR(SEARCH("Ere",S122)))</formula>
    </cfRule>
    <cfRule type="containsText" dxfId="1334" priority="2045" operator="containsText" text="Ear">
      <formula>NOT(ISERROR(SEARCH("Ear",S122)))</formula>
    </cfRule>
    <cfRule type="containsText" dxfId="1333" priority="2046" operator="containsText" text="fnd">
      <formula>NOT(ISERROR(SEARCH("fnd",S122)))</formula>
    </cfRule>
  </conditionalFormatting>
  <conditionalFormatting sqref="T5">
    <cfRule type="containsText" dxfId="1332" priority="193" operator="containsText" text="Str">
      <formula>NOT(ISERROR(SEARCH("Str",T5)))</formula>
    </cfRule>
    <cfRule type="containsText" dxfId="1331" priority="194" operator="containsText" text="Ere">
      <formula>NOT(ISERROR(SEARCH("Ere",T5)))</formula>
    </cfRule>
    <cfRule type="containsText" dxfId="1330" priority="195" operator="containsText" text="Ear">
      <formula>NOT(ISERROR(SEARCH("Ear",T5)))</formula>
    </cfRule>
    <cfRule type="containsText" dxfId="1329" priority="196" operator="containsText" text="fnd">
      <formula>NOT(ISERROR(SEARCH("fnd",T5)))</formula>
    </cfRule>
  </conditionalFormatting>
  <conditionalFormatting sqref="T13:T14">
    <cfRule type="containsText" dxfId="1328" priority="421" operator="containsText" text="Str">
      <formula>NOT(ISERROR(SEARCH("Str",T13)))</formula>
    </cfRule>
    <cfRule type="containsText" dxfId="1327" priority="422" operator="containsText" text="Ere">
      <formula>NOT(ISERROR(SEARCH("Ere",T13)))</formula>
    </cfRule>
    <cfRule type="containsText" dxfId="1326" priority="423" operator="containsText" text="Ear">
      <formula>NOT(ISERROR(SEARCH("Ear",T13)))</formula>
    </cfRule>
    <cfRule type="containsText" dxfId="1325" priority="424" operator="containsText" text="fnd">
      <formula>NOT(ISERROR(SEARCH("fnd",T13)))</formula>
    </cfRule>
  </conditionalFormatting>
  <conditionalFormatting sqref="T21:T22">
    <cfRule type="containsText" dxfId="1324" priority="1519" operator="containsText" text="Str">
      <formula>NOT(ISERROR(SEARCH("Str",T21)))</formula>
    </cfRule>
    <cfRule type="containsText" dxfId="1323" priority="1520" operator="containsText" text="Ere">
      <formula>NOT(ISERROR(SEARCH("Ere",T21)))</formula>
    </cfRule>
    <cfRule type="containsText" dxfId="1322" priority="1521" operator="containsText" text="Ear">
      <formula>NOT(ISERROR(SEARCH("Ear",T21)))</formula>
    </cfRule>
    <cfRule type="containsText" dxfId="1321" priority="1522" operator="containsText" text="fnd">
      <formula>NOT(ISERROR(SEARCH("fnd",T21)))</formula>
    </cfRule>
  </conditionalFormatting>
  <conditionalFormatting sqref="T29">
    <cfRule type="containsText" dxfId="1320" priority="317" operator="containsText" text="Str">
      <formula>NOT(ISERROR(SEARCH("Str",T29)))</formula>
    </cfRule>
    <cfRule type="containsText" dxfId="1319" priority="318" operator="containsText" text="Ere">
      <formula>NOT(ISERROR(SEARCH("Ere",T29)))</formula>
    </cfRule>
    <cfRule type="containsText" dxfId="1318" priority="319" operator="containsText" text="Ear">
      <formula>NOT(ISERROR(SEARCH("Ear",T29)))</formula>
    </cfRule>
    <cfRule type="containsText" dxfId="1317" priority="320" operator="containsText" text="fnd">
      <formula>NOT(ISERROR(SEARCH("fnd",T29)))</formula>
    </cfRule>
  </conditionalFormatting>
  <conditionalFormatting sqref="T37">
    <cfRule type="containsText" dxfId="1316" priority="1687" operator="containsText" text="Str">
      <formula>NOT(ISERROR(SEARCH("Str",T37)))</formula>
    </cfRule>
    <cfRule type="containsText" dxfId="1315" priority="1688" operator="containsText" text="Ere">
      <formula>NOT(ISERROR(SEARCH("Ere",T37)))</formula>
    </cfRule>
    <cfRule type="containsText" dxfId="1314" priority="1689" operator="containsText" text="Ear">
      <formula>NOT(ISERROR(SEARCH("Ear",T37)))</formula>
    </cfRule>
    <cfRule type="containsText" dxfId="1313" priority="1690" operator="containsText" text="fnd">
      <formula>NOT(ISERROR(SEARCH("fnd",T37)))</formula>
    </cfRule>
  </conditionalFormatting>
  <conditionalFormatting sqref="T53">
    <cfRule type="containsText" dxfId="1312" priority="2147" operator="containsText" text="Str">
      <formula>NOT(ISERROR(SEARCH("Str",T53)))</formula>
    </cfRule>
    <cfRule type="containsText" dxfId="1311" priority="2148" operator="containsText" text="Ere">
      <formula>NOT(ISERROR(SEARCH("Ere",T53)))</formula>
    </cfRule>
    <cfRule type="containsText" dxfId="1310" priority="2149" operator="containsText" text="Ear">
      <formula>NOT(ISERROR(SEARCH("Ear",T53)))</formula>
    </cfRule>
    <cfRule type="containsText" dxfId="1309" priority="2150" operator="containsText" text="fnd">
      <formula>NOT(ISERROR(SEARCH("fnd",T53)))</formula>
    </cfRule>
  </conditionalFormatting>
  <conditionalFormatting sqref="T61">
    <cfRule type="containsText" dxfId="1308" priority="2071" operator="containsText" text="Str">
      <formula>NOT(ISERROR(SEARCH("Str",T61)))</formula>
    </cfRule>
    <cfRule type="containsText" dxfId="1307" priority="2072" operator="containsText" text="Ere">
      <formula>NOT(ISERROR(SEARCH("Ere",T61)))</formula>
    </cfRule>
    <cfRule type="containsText" dxfId="1306" priority="2073" operator="containsText" text="Ear">
      <formula>NOT(ISERROR(SEARCH("Ear",T61)))</formula>
    </cfRule>
    <cfRule type="containsText" dxfId="1305" priority="2074" operator="containsText" text="fnd">
      <formula>NOT(ISERROR(SEARCH("fnd",T61)))</formula>
    </cfRule>
  </conditionalFormatting>
  <conditionalFormatting sqref="T85">
    <cfRule type="containsText" dxfId="1304" priority="2139" operator="containsText" text="Str">
      <formula>NOT(ISERROR(SEARCH("Str",T85)))</formula>
    </cfRule>
    <cfRule type="containsText" dxfId="1303" priority="2140" operator="containsText" text="Ere">
      <formula>NOT(ISERROR(SEARCH("Ere",T85)))</formula>
    </cfRule>
    <cfRule type="containsText" dxfId="1302" priority="2141" operator="containsText" text="Ear">
      <formula>NOT(ISERROR(SEARCH("Ear",T85)))</formula>
    </cfRule>
    <cfRule type="containsText" dxfId="1301" priority="2142" operator="containsText" text="fnd">
      <formula>NOT(ISERROR(SEARCH("fnd",T85)))</formula>
    </cfRule>
  </conditionalFormatting>
  <conditionalFormatting sqref="T93">
    <cfRule type="containsText" dxfId="1300" priority="2235" operator="containsText" text="Str">
      <formula>NOT(ISERROR(SEARCH("Str",T93)))</formula>
    </cfRule>
    <cfRule type="containsText" dxfId="1299" priority="2236" operator="containsText" text="Ere">
      <formula>NOT(ISERROR(SEARCH("Ere",T93)))</formula>
    </cfRule>
    <cfRule type="containsText" dxfId="1298" priority="2237" operator="containsText" text="Ear">
      <formula>NOT(ISERROR(SEARCH("Ear",T93)))</formula>
    </cfRule>
    <cfRule type="containsText" dxfId="1297" priority="2238" operator="containsText" text="fnd">
      <formula>NOT(ISERROR(SEARCH("fnd",T93)))</formula>
    </cfRule>
  </conditionalFormatting>
  <conditionalFormatting sqref="T101">
    <cfRule type="containsText" dxfId="1296" priority="2211" operator="containsText" text="Str">
      <formula>NOT(ISERROR(SEARCH("Str",T101)))</formula>
    </cfRule>
    <cfRule type="containsText" dxfId="1295" priority="2212" operator="containsText" text="Ere">
      <formula>NOT(ISERROR(SEARCH("Ere",T101)))</formula>
    </cfRule>
    <cfRule type="containsText" dxfId="1294" priority="2213" operator="containsText" text="Ear">
      <formula>NOT(ISERROR(SEARCH("Ear",T101)))</formula>
    </cfRule>
    <cfRule type="containsText" dxfId="1293" priority="2214" operator="containsText" text="fnd">
      <formula>NOT(ISERROR(SEARCH("fnd",T101)))</formula>
    </cfRule>
  </conditionalFormatting>
  <conditionalFormatting sqref="T109">
    <cfRule type="containsText" dxfId="1292" priority="1771" operator="containsText" text="Str">
      <formula>NOT(ISERROR(SEARCH("Str",T109)))</formula>
    </cfRule>
    <cfRule type="containsText" dxfId="1291" priority="1772" operator="containsText" text="Ere">
      <formula>NOT(ISERROR(SEARCH("Ere",T109)))</formula>
    </cfRule>
    <cfRule type="containsText" dxfId="1290" priority="1773" operator="containsText" text="Ear">
      <formula>NOT(ISERROR(SEARCH("Ear",T109)))</formula>
    </cfRule>
    <cfRule type="containsText" dxfId="1289" priority="1774" operator="containsText" text="fnd">
      <formula>NOT(ISERROR(SEARCH("fnd",T109)))</formula>
    </cfRule>
  </conditionalFormatting>
  <conditionalFormatting sqref="T117">
    <cfRule type="containsText" dxfId="1288" priority="1403" operator="containsText" text="Str">
      <formula>NOT(ISERROR(SEARCH("Str",T117)))</formula>
    </cfRule>
    <cfRule type="containsText" dxfId="1287" priority="1404" operator="containsText" text="Ere">
      <formula>NOT(ISERROR(SEARCH("Ere",T117)))</formula>
    </cfRule>
    <cfRule type="containsText" dxfId="1286" priority="1405" operator="containsText" text="Ear">
      <formula>NOT(ISERROR(SEARCH("Ear",T117)))</formula>
    </cfRule>
    <cfRule type="containsText" dxfId="1285" priority="1406" operator="containsText" text="fnd">
      <formula>NOT(ISERROR(SEARCH("fnd",T117)))</formula>
    </cfRule>
  </conditionalFormatting>
  <conditionalFormatting sqref="T125">
    <cfRule type="containsText" dxfId="1284" priority="579" operator="containsText" text="Str">
      <formula>NOT(ISERROR(SEARCH("Str",T125)))</formula>
    </cfRule>
    <cfRule type="containsText" dxfId="1283" priority="580" operator="containsText" text="Ere">
      <formula>NOT(ISERROR(SEARCH("Ere",T125)))</formula>
    </cfRule>
    <cfRule type="containsText" dxfId="1282" priority="581" operator="containsText" text="Ear">
      <formula>NOT(ISERROR(SEARCH("Ear",T125)))</formula>
    </cfRule>
    <cfRule type="containsText" dxfId="1281" priority="582" operator="containsText" text="fnd">
      <formula>NOT(ISERROR(SEARCH("fnd",T125)))</formula>
    </cfRule>
  </conditionalFormatting>
  <conditionalFormatting sqref="T133">
    <cfRule type="containsText" dxfId="1280" priority="353" operator="containsText" text="Str">
      <formula>NOT(ISERROR(SEARCH("Str",T133)))</formula>
    </cfRule>
    <cfRule type="containsText" dxfId="1279" priority="354" operator="containsText" text="Ere">
      <formula>NOT(ISERROR(SEARCH("Ere",T133)))</formula>
    </cfRule>
    <cfRule type="containsText" dxfId="1278" priority="355" operator="containsText" text="Ear">
      <formula>NOT(ISERROR(SEARCH("Ear",T133)))</formula>
    </cfRule>
    <cfRule type="containsText" dxfId="1277" priority="356" operator="containsText" text="fnd">
      <formula>NOT(ISERROR(SEARCH("fnd",T133)))</formula>
    </cfRule>
  </conditionalFormatting>
  <conditionalFormatting sqref="T141">
    <cfRule type="containsText" dxfId="1276" priority="1263" operator="containsText" text="Str">
      <formula>NOT(ISERROR(SEARCH("Str",T141)))</formula>
    </cfRule>
    <cfRule type="containsText" dxfId="1275" priority="1264" operator="containsText" text="Ere">
      <formula>NOT(ISERROR(SEARCH("Ere",T141)))</formula>
    </cfRule>
    <cfRule type="containsText" dxfId="1274" priority="1265" operator="containsText" text="Ear">
      <formula>NOT(ISERROR(SEARCH("Ear",T141)))</formula>
    </cfRule>
    <cfRule type="containsText" dxfId="1273" priority="1266" operator="containsText" text="fnd">
      <formula>NOT(ISERROR(SEARCH("fnd",T141)))</formula>
    </cfRule>
  </conditionalFormatting>
  <conditionalFormatting sqref="T149">
    <cfRule type="containsText" dxfId="1272" priority="1175" operator="containsText" text="Str">
      <formula>NOT(ISERROR(SEARCH("Str",T149)))</formula>
    </cfRule>
    <cfRule type="containsText" dxfId="1271" priority="1176" operator="containsText" text="Ere">
      <formula>NOT(ISERROR(SEARCH("Ere",T149)))</formula>
    </cfRule>
    <cfRule type="containsText" dxfId="1270" priority="1177" operator="containsText" text="Ear">
      <formula>NOT(ISERROR(SEARCH("Ear",T149)))</formula>
    </cfRule>
    <cfRule type="containsText" dxfId="1269" priority="1178" operator="containsText" text="fnd">
      <formula>NOT(ISERROR(SEARCH("fnd",T149)))</formula>
    </cfRule>
  </conditionalFormatting>
  <conditionalFormatting sqref="T157">
    <cfRule type="containsText" dxfId="1268" priority="1115" operator="containsText" text="Str">
      <formula>NOT(ISERROR(SEARCH("Str",T157)))</formula>
    </cfRule>
    <cfRule type="containsText" dxfId="1267" priority="1116" operator="containsText" text="Ere">
      <formula>NOT(ISERROR(SEARCH("Ere",T157)))</formula>
    </cfRule>
    <cfRule type="containsText" dxfId="1266" priority="1117" operator="containsText" text="Ear">
      <formula>NOT(ISERROR(SEARCH("Ear",T157)))</formula>
    </cfRule>
    <cfRule type="containsText" dxfId="1265" priority="1118" operator="containsText" text="fnd">
      <formula>NOT(ISERROR(SEARCH("fnd",T157)))</formula>
    </cfRule>
  </conditionalFormatting>
  <conditionalFormatting sqref="T165">
    <cfRule type="containsText" dxfId="1264" priority="1051" operator="containsText" text="Str">
      <formula>NOT(ISERROR(SEARCH("Str",T165)))</formula>
    </cfRule>
    <cfRule type="containsText" dxfId="1263" priority="1052" operator="containsText" text="Ere">
      <formula>NOT(ISERROR(SEARCH("Ere",T165)))</formula>
    </cfRule>
    <cfRule type="containsText" dxfId="1262" priority="1053" operator="containsText" text="Ear">
      <formula>NOT(ISERROR(SEARCH("Ear",T165)))</formula>
    </cfRule>
    <cfRule type="containsText" dxfId="1261" priority="1054" operator="containsText" text="fnd">
      <formula>NOT(ISERROR(SEARCH("fnd",T165)))</formula>
    </cfRule>
  </conditionalFormatting>
  <conditionalFormatting sqref="T173">
    <cfRule type="containsText" dxfId="1260" priority="995" operator="containsText" text="Str">
      <formula>NOT(ISERROR(SEARCH("Str",T173)))</formula>
    </cfRule>
    <cfRule type="containsText" dxfId="1259" priority="996" operator="containsText" text="Ere">
      <formula>NOT(ISERROR(SEARCH("Ere",T173)))</formula>
    </cfRule>
    <cfRule type="containsText" dxfId="1258" priority="997" operator="containsText" text="Ear">
      <formula>NOT(ISERROR(SEARCH("Ear",T173)))</formula>
    </cfRule>
    <cfRule type="containsText" dxfId="1257" priority="998" operator="containsText" text="fnd">
      <formula>NOT(ISERROR(SEARCH("fnd",T173)))</formula>
    </cfRule>
  </conditionalFormatting>
  <conditionalFormatting sqref="T181">
    <cfRule type="containsText" dxfId="1256" priority="105" operator="containsText" text="Str">
      <formula>NOT(ISERROR(SEARCH("Str",T181)))</formula>
    </cfRule>
    <cfRule type="containsText" dxfId="1255" priority="106" operator="containsText" text="Ere">
      <formula>NOT(ISERROR(SEARCH("Ere",T181)))</formula>
    </cfRule>
    <cfRule type="containsText" dxfId="1254" priority="107" operator="containsText" text="Ear">
      <formula>NOT(ISERROR(SEARCH("Ear",T181)))</formula>
    </cfRule>
    <cfRule type="containsText" dxfId="1253" priority="108" operator="containsText" text="fnd">
      <formula>NOT(ISERROR(SEARCH("fnd",T181)))</formula>
    </cfRule>
  </conditionalFormatting>
  <conditionalFormatting sqref="T30:U30">
    <cfRule type="containsText" dxfId="1252" priority="321" operator="containsText" text="Str">
      <formula>NOT(ISERROR(SEARCH("Str",T30)))</formula>
    </cfRule>
    <cfRule type="containsText" dxfId="1251" priority="322" operator="containsText" text="Ere">
      <formula>NOT(ISERROR(SEARCH("Ere",T30)))</formula>
    </cfRule>
    <cfRule type="containsText" dxfId="1250" priority="323" operator="containsText" text="Ear">
      <formula>NOT(ISERROR(SEARCH("Ear",T30)))</formula>
    </cfRule>
    <cfRule type="containsText" dxfId="1249" priority="324" operator="containsText" text="fnd">
      <formula>NOT(ISERROR(SEARCH("fnd",T30)))</formula>
    </cfRule>
  </conditionalFormatting>
  <conditionalFormatting sqref="T38:U38">
    <cfRule type="containsText" dxfId="1248" priority="1691" operator="containsText" text="Str">
      <formula>NOT(ISERROR(SEARCH("Str",T38)))</formula>
    </cfRule>
    <cfRule type="containsText" dxfId="1247" priority="1692" operator="containsText" text="Ere">
      <formula>NOT(ISERROR(SEARCH("Ere",T38)))</formula>
    </cfRule>
    <cfRule type="containsText" dxfId="1246" priority="1693" operator="containsText" text="Ear">
      <formula>NOT(ISERROR(SEARCH("Ear",T38)))</formula>
    </cfRule>
    <cfRule type="containsText" dxfId="1245" priority="1694" operator="containsText" text="fnd">
      <formula>NOT(ISERROR(SEARCH("fnd",T38)))</formula>
    </cfRule>
  </conditionalFormatting>
  <conditionalFormatting sqref="T46:U46">
    <cfRule type="containsText" dxfId="1244" priority="1455" operator="containsText" text="Str">
      <formula>NOT(ISERROR(SEARCH("Str",T46)))</formula>
    </cfRule>
    <cfRule type="containsText" dxfId="1243" priority="1456" operator="containsText" text="Ere">
      <formula>NOT(ISERROR(SEARCH("Ere",T46)))</formula>
    </cfRule>
    <cfRule type="containsText" dxfId="1242" priority="1457" operator="containsText" text="Ear">
      <formula>NOT(ISERROR(SEARCH("Ear",T46)))</formula>
    </cfRule>
    <cfRule type="containsText" dxfId="1241" priority="1458" operator="containsText" text="fnd">
      <formula>NOT(ISERROR(SEARCH("fnd",T46)))</formula>
    </cfRule>
  </conditionalFormatting>
  <conditionalFormatting sqref="T54:U54">
    <cfRule type="containsText" dxfId="1240" priority="2319" operator="containsText" text="Str">
      <formula>NOT(ISERROR(SEARCH("Str",T54)))</formula>
    </cfRule>
    <cfRule type="containsText" dxfId="1239" priority="2320" operator="containsText" text="Ere">
      <formula>NOT(ISERROR(SEARCH("Ere",T54)))</formula>
    </cfRule>
    <cfRule type="containsText" dxfId="1238" priority="2321" operator="containsText" text="Ear">
      <formula>NOT(ISERROR(SEARCH("Ear",T54)))</formula>
    </cfRule>
    <cfRule type="containsText" dxfId="1237" priority="2322" operator="containsText" text="fnd">
      <formula>NOT(ISERROR(SEARCH("fnd",T54)))</formula>
    </cfRule>
  </conditionalFormatting>
  <conditionalFormatting sqref="T62:U62">
    <cfRule type="containsText" dxfId="1236" priority="2075" operator="containsText" text="Str">
      <formula>NOT(ISERROR(SEARCH("Str",T62)))</formula>
    </cfRule>
    <cfRule type="containsText" dxfId="1235" priority="2076" operator="containsText" text="Ere">
      <formula>NOT(ISERROR(SEARCH("Ere",T62)))</formula>
    </cfRule>
    <cfRule type="containsText" dxfId="1234" priority="2077" operator="containsText" text="Ear">
      <formula>NOT(ISERROR(SEARCH("Ear",T62)))</formula>
    </cfRule>
    <cfRule type="containsText" dxfId="1233" priority="2078" operator="containsText" text="fnd">
      <formula>NOT(ISERROR(SEARCH("fnd",T62)))</formula>
    </cfRule>
  </conditionalFormatting>
  <conditionalFormatting sqref="T70:U70">
    <cfRule type="containsText" dxfId="1232" priority="2179" operator="containsText" text="Str">
      <formula>NOT(ISERROR(SEARCH("Str",T70)))</formula>
    </cfRule>
    <cfRule type="containsText" dxfId="1231" priority="2180" operator="containsText" text="Ere">
      <formula>NOT(ISERROR(SEARCH("Ere",T70)))</formula>
    </cfRule>
    <cfRule type="containsText" dxfId="1230" priority="2181" operator="containsText" text="Ear">
      <formula>NOT(ISERROR(SEARCH("Ear",T70)))</formula>
    </cfRule>
    <cfRule type="containsText" dxfId="1229" priority="2182" operator="containsText" text="fnd">
      <formula>NOT(ISERROR(SEARCH("fnd",T70)))</formula>
    </cfRule>
  </conditionalFormatting>
  <conditionalFormatting sqref="T86:U86">
    <cfRule type="containsText" dxfId="1228" priority="2187" operator="containsText" text="Str">
      <formula>NOT(ISERROR(SEARCH("Str",T86)))</formula>
    </cfRule>
    <cfRule type="containsText" dxfId="1227" priority="2188" operator="containsText" text="Ere">
      <formula>NOT(ISERROR(SEARCH("Ere",T86)))</formula>
    </cfRule>
    <cfRule type="containsText" dxfId="1226" priority="2189" operator="containsText" text="Ear">
      <formula>NOT(ISERROR(SEARCH("Ear",T86)))</formula>
    </cfRule>
    <cfRule type="containsText" dxfId="1225" priority="2190" operator="containsText" text="fnd">
      <formula>NOT(ISERROR(SEARCH("fnd",T86)))</formula>
    </cfRule>
  </conditionalFormatting>
  <conditionalFormatting sqref="T94:U94">
    <cfRule type="containsText" dxfId="1224" priority="2251" operator="containsText" text="Str">
      <formula>NOT(ISERROR(SEARCH("Str",T94)))</formula>
    </cfRule>
    <cfRule type="containsText" dxfId="1223" priority="2252" operator="containsText" text="Ere">
      <formula>NOT(ISERROR(SEARCH("Ere",T94)))</formula>
    </cfRule>
    <cfRule type="containsText" dxfId="1222" priority="2253" operator="containsText" text="Ear">
      <formula>NOT(ISERROR(SEARCH("Ear",T94)))</formula>
    </cfRule>
    <cfRule type="containsText" dxfId="1221" priority="2254" operator="containsText" text="fnd">
      <formula>NOT(ISERROR(SEARCH("fnd",T94)))</formula>
    </cfRule>
  </conditionalFormatting>
  <conditionalFormatting sqref="T102:U102 W102:X102">
    <cfRule type="containsText" dxfId="1220" priority="2259" operator="containsText" text="Str">
      <formula>NOT(ISERROR(SEARCH("Str",T102)))</formula>
    </cfRule>
    <cfRule type="containsText" dxfId="1219" priority="2260" operator="containsText" text="Ere">
      <formula>NOT(ISERROR(SEARCH("Ere",T102)))</formula>
    </cfRule>
    <cfRule type="containsText" dxfId="1218" priority="2261" operator="containsText" text="Ear">
      <formula>NOT(ISERROR(SEARCH("Ear",T102)))</formula>
    </cfRule>
    <cfRule type="containsText" dxfId="1217" priority="2262" operator="containsText" text="fnd">
      <formula>NOT(ISERROR(SEARCH("fnd",T102)))</formula>
    </cfRule>
  </conditionalFormatting>
  <conditionalFormatting sqref="T110:U110">
    <cfRule type="containsText" dxfId="1216" priority="1775" operator="containsText" text="Str">
      <formula>NOT(ISERROR(SEARCH("Str",T110)))</formula>
    </cfRule>
    <cfRule type="containsText" dxfId="1215" priority="1776" operator="containsText" text="Ere">
      <formula>NOT(ISERROR(SEARCH("Ere",T110)))</formula>
    </cfRule>
    <cfRule type="containsText" dxfId="1214" priority="1777" operator="containsText" text="Ear">
      <formula>NOT(ISERROR(SEARCH("Ear",T110)))</formula>
    </cfRule>
    <cfRule type="containsText" dxfId="1213" priority="1778" operator="containsText" text="fnd">
      <formula>NOT(ISERROR(SEARCH("fnd",T110)))</formula>
    </cfRule>
  </conditionalFormatting>
  <conditionalFormatting sqref="T118:U118">
    <cfRule type="containsText" dxfId="1212" priority="1407" operator="containsText" text="Str">
      <formula>NOT(ISERROR(SEARCH("Str",T118)))</formula>
    </cfRule>
    <cfRule type="containsText" dxfId="1211" priority="1408" operator="containsText" text="Ere">
      <formula>NOT(ISERROR(SEARCH("Ere",T118)))</formula>
    </cfRule>
    <cfRule type="containsText" dxfId="1210" priority="1409" operator="containsText" text="Ear">
      <formula>NOT(ISERROR(SEARCH("Ear",T118)))</formula>
    </cfRule>
    <cfRule type="containsText" dxfId="1209" priority="1410" operator="containsText" text="fnd">
      <formula>NOT(ISERROR(SEARCH("fnd",T118)))</formula>
    </cfRule>
  </conditionalFormatting>
  <conditionalFormatting sqref="T126:U126">
    <cfRule type="containsText" dxfId="1208" priority="583" operator="containsText" text="Str">
      <formula>NOT(ISERROR(SEARCH("Str",T126)))</formula>
    </cfRule>
    <cfRule type="containsText" dxfId="1207" priority="584" operator="containsText" text="Ere">
      <formula>NOT(ISERROR(SEARCH("Ere",T126)))</formula>
    </cfRule>
    <cfRule type="containsText" dxfId="1206" priority="585" operator="containsText" text="Ear">
      <formula>NOT(ISERROR(SEARCH("Ear",T126)))</formula>
    </cfRule>
    <cfRule type="containsText" dxfId="1205" priority="586" operator="containsText" text="fnd">
      <formula>NOT(ISERROR(SEARCH("fnd",T126)))</formula>
    </cfRule>
  </conditionalFormatting>
  <conditionalFormatting sqref="T142:U142">
    <cfRule type="containsText" dxfId="1204" priority="1267" operator="containsText" text="Str">
      <formula>NOT(ISERROR(SEARCH("Str",T142)))</formula>
    </cfRule>
    <cfRule type="containsText" dxfId="1203" priority="1268" operator="containsText" text="Ere">
      <formula>NOT(ISERROR(SEARCH("Ere",T142)))</formula>
    </cfRule>
    <cfRule type="containsText" dxfId="1202" priority="1269" operator="containsText" text="Ear">
      <formula>NOT(ISERROR(SEARCH("Ear",T142)))</formula>
    </cfRule>
    <cfRule type="containsText" dxfId="1201" priority="1270" operator="containsText" text="fnd">
      <formula>NOT(ISERROR(SEARCH("fnd",T142)))</formula>
    </cfRule>
  </conditionalFormatting>
  <conditionalFormatting sqref="T150:U150">
    <cfRule type="containsText" dxfId="1200" priority="1179" operator="containsText" text="Str">
      <formula>NOT(ISERROR(SEARCH("Str",T150)))</formula>
    </cfRule>
    <cfRule type="containsText" dxfId="1199" priority="1180" operator="containsText" text="Ere">
      <formula>NOT(ISERROR(SEARCH("Ere",T150)))</formula>
    </cfRule>
    <cfRule type="containsText" dxfId="1198" priority="1181" operator="containsText" text="Ear">
      <formula>NOT(ISERROR(SEARCH("Ear",T150)))</formula>
    </cfRule>
    <cfRule type="containsText" dxfId="1197" priority="1182" operator="containsText" text="fnd">
      <formula>NOT(ISERROR(SEARCH("fnd",T150)))</formula>
    </cfRule>
  </conditionalFormatting>
  <conditionalFormatting sqref="T158:U158">
    <cfRule type="containsText" dxfId="1196" priority="1119" operator="containsText" text="Str">
      <formula>NOT(ISERROR(SEARCH("Str",T158)))</formula>
    </cfRule>
    <cfRule type="containsText" dxfId="1195" priority="1120" operator="containsText" text="Ere">
      <formula>NOT(ISERROR(SEARCH("Ere",T158)))</formula>
    </cfRule>
    <cfRule type="containsText" dxfId="1194" priority="1121" operator="containsText" text="Ear">
      <formula>NOT(ISERROR(SEARCH("Ear",T158)))</formula>
    </cfRule>
    <cfRule type="containsText" dxfId="1193" priority="1122" operator="containsText" text="fnd">
      <formula>NOT(ISERROR(SEARCH("fnd",T158)))</formula>
    </cfRule>
  </conditionalFormatting>
  <conditionalFormatting sqref="T166:U166">
    <cfRule type="containsText" dxfId="1192" priority="1055" operator="containsText" text="Str">
      <formula>NOT(ISERROR(SEARCH("Str",T166)))</formula>
    </cfRule>
    <cfRule type="containsText" dxfId="1191" priority="1056" operator="containsText" text="Ere">
      <formula>NOT(ISERROR(SEARCH("Ere",T166)))</formula>
    </cfRule>
    <cfRule type="containsText" dxfId="1190" priority="1057" operator="containsText" text="Ear">
      <formula>NOT(ISERROR(SEARCH("Ear",T166)))</formula>
    </cfRule>
    <cfRule type="containsText" dxfId="1189" priority="1058" operator="containsText" text="fnd">
      <formula>NOT(ISERROR(SEARCH("fnd",T166)))</formula>
    </cfRule>
  </conditionalFormatting>
  <conditionalFormatting sqref="T174:U174">
    <cfRule type="containsText" dxfId="1188" priority="999" operator="containsText" text="Str">
      <formula>NOT(ISERROR(SEARCH("Str",T174)))</formula>
    </cfRule>
    <cfRule type="containsText" dxfId="1187" priority="1000" operator="containsText" text="Ere">
      <formula>NOT(ISERROR(SEARCH("Ere",T174)))</formula>
    </cfRule>
    <cfRule type="containsText" dxfId="1186" priority="1001" operator="containsText" text="Ear">
      <formula>NOT(ISERROR(SEARCH("Ear",T174)))</formula>
    </cfRule>
    <cfRule type="containsText" dxfId="1185" priority="1002" operator="containsText" text="fnd">
      <formula>NOT(ISERROR(SEARCH("fnd",T174)))</formula>
    </cfRule>
  </conditionalFormatting>
  <conditionalFormatting sqref="T182:U182">
    <cfRule type="containsText" dxfId="1184" priority="109" operator="containsText" text="Str">
      <formula>NOT(ISERROR(SEARCH("Str",T182)))</formula>
    </cfRule>
    <cfRule type="containsText" dxfId="1183" priority="110" operator="containsText" text="Ere">
      <formula>NOT(ISERROR(SEARCH("Ere",T182)))</formula>
    </cfRule>
    <cfRule type="containsText" dxfId="1182" priority="111" operator="containsText" text="Ear">
      <formula>NOT(ISERROR(SEARCH("Ear",T182)))</formula>
    </cfRule>
    <cfRule type="containsText" dxfId="1181" priority="112" operator="containsText" text="fnd">
      <formula>NOT(ISERROR(SEARCH("fnd",T182)))</formula>
    </cfRule>
  </conditionalFormatting>
  <conditionalFormatting sqref="U14">
    <cfRule type="containsText" dxfId="1180" priority="417" operator="containsText" text="Str">
      <formula>NOT(ISERROR(SEARCH("Str",U14)))</formula>
    </cfRule>
    <cfRule type="containsText" dxfId="1179" priority="418" operator="containsText" text="Ere">
      <formula>NOT(ISERROR(SEARCH("Ere",U14)))</formula>
    </cfRule>
    <cfRule type="containsText" dxfId="1178" priority="419" operator="containsText" text="Ear">
      <formula>NOT(ISERROR(SEARCH("Ear",U14)))</formula>
    </cfRule>
    <cfRule type="containsText" dxfId="1177" priority="420" operator="containsText" text="fnd">
      <formula>NOT(ISERROR(SEARCH("fnd",U14)))</formula>
    </cfRule>
  </conditionalFormatting>
  <conditionalFormatting sqref="U22">
    <cfRule type="containsText" dxfId="1176" priority="1515" operator="containsText" text="Str">
      <formula>NOT(ISERROR(SEARCH("Str",U22)))</formula>
    </cfRule>
    <cfRule type="containsText" dxfId="1175" priority="1516" operator="containsText" text="Ere">
      <formula>NOT(ISERROR(SEARCH("Ere",U22)))</formula>
    </cfRule>
    <cfRule type="containsText" dxfId="1174" priority="1517" operator="containsText" text="Ear">
      <formula>NOT(ISERROR(SEARCH("Ear",U22)))</formula>
    </cfRule>
    <cfRule type="containsText" dxfId="1173" priority="1518" operator="containsText" text="fnd">
      <formula>NOT(ISERROR(SEARCH("fnd",U22)))</formula>
    </cfRule>
  </conditionalFormatting>
  <conditionalFormatting sqref="U78">
    <cfRule type="containsText" dxfId="1172" priority="309" operator="containsText" text="Str">
      <formula>NOT(ISERROR(SEARCH("Str",U78)))</formula>
    </cfRule>
    <cfRule type="containsText" dxfId="1171" priority="310" operator="containsText" text="Ere">
      <formula>NOT(ISERROR(SEARCH("Ere",U78)))</formula>
    </cfRule>
    <cfRule type="containsText" dxfId="1170" priority="311" operator="containsText" text="Ear">
      <formula>NOT(ISERROR(SEARCH("Ear",U78)))</formula>
    </cfRule>
    <cfRule type="containsText" dxfId="1169" priority="312" operator="containsText" text="fnd">
      <formula>NOT(ISERROR(SEARCH("fnd",U78)))</formula>
    </cfRule>
  </conditionalFormatting>
  <conditionalFormatting sqref="W5">
    <cfRule type="containsText" dxfId="1168" priority="149" operator="containsText" text="Str">
      <formula>NOT(ISERROR(SEARCH("Str",W5)))</formula>
    </cfRule>
    <cfRule type="containsText" dxfId="1167" priority="150" operator="containsText" text="Ere">
      <formula>NOT(ISERROR(SEARCH("Ere",W5)))</formula>
    </cfRule>
    <cfRule type="containsText" dxfId="1166" priority="151" operator="containsText" text="Ear">
      <formula>NOT(ISERROR(SEARCH("Ear",W5)))</formula>
    </cfRule>
    <cfRule type="containsText" dxfId="1165" priority="152" operator="containsText" text="fnd">
      <formula>NOT(ISERROR(SEARCH("fnd",W5)))</formula>
    </cfRule>
  </conditionalFormatting>
  <conditionalFormatting sqref="W13:W14">
    <cfRule type="containsText" dxfId="1164" priority="1715" operator="containsText" text="Str">
      <formula>NOT(ISERROR(SEARCH("Str",W13)))</formula>
    </cfRule>
    <cfRule type="containsText" dxfId="1163" priority="1716" operator="containsText" text="Ere">
      <formula>NOT(ISERROR(SEARCH("Ere",W13)))</formula>
    </cfRule>
    <cfRule type="containsText" dxfId="1162" priority="1717" operator="containsText" text="Ear">
      <formula>NOT(ISERROR(SEARCH("Ear",W13)))</formula>
    </cfRule>
    <cfRule type="containsText" dxfId="1161" priority="1718" operator="containsText" text="fnd">
      <formula>NOT(ISERROR(SEARCH("fnd",W13)))</formula>
    </cfRule>
  </conditionalFormatting>
  <conditionalFormatting sqref="W21:W22">
    <cfRule type="containsText" dxfId="1160" priority="1783" operator="containsText" text="Str">
      <formula>NOT(ISERROR(SEARCH("Str",W21)))</formula>
    </cfRule>
    <cfRule type="containsText" dxfId="1159" priority="1784" operator="containsText" text="Ere">
      <formula>NOT(ISERROR(SEARCH("Ere",W21)))</formula>
    </cfRule>
    <cfRule type="containsText" dxfId="1158" priority="1785" operator="containsText" text="Ear">
      <formula>NOT(ISERROR(SEARCH("Ear",W21)))</formula>
    </cfRule>
    <cfRule type="containsText" dxfId="1157" priority="1786" operator="containsText" text="fnd">
      <formula>NOT(ISERROR(SEARCH("fnd",W21)))</formula>
    </cfRule>
  </conditionalFormatting>
  <conditionalFormatting sqref="W29">
    <cfRule type="containsText" dxfId="1156" priority="863" operator="containsText" text="Str">
      <formula>NOT(ISERROR(SEARCH("Str",W29)))</formula>
    </cfRule>
    <cfRule type="containsText" dxfId="1155" priority="864" operator="containsText" text="Ere">
      <formula>NOT(ISERROR(SEARCH("Ere",W29)))</formula>
    </cfRule>
    <cfRule type="containsText" dxfId="1154" priority="865" operator="containsText" text="Ear">
      <formula>NOT(ISERROR(SEARCH("Ear",W29)))</formula>
    </cfRule>
    <cfRule type="containsText" dxfId="1153" priority="866" operator="containsText" text="fnd">
      <formula>NOT(ISERROR(SEARCH("fnd",W29)))</formula>
    </cfRule>
  </conditionalFormatting>
  <conditionalFormatting sqref="W37">
    <cfRule type="containsText" dxfId="1152" priority="369" operator="containsText" text="Str">
      <formula>NOT(ISERROR(SEARCH("Str",W37)))</formula>
    </cfRule>
    <cfRule type="containsText" dxfId="1151" priority="370" operator="containsText" text="Ere">
      <formula>NOT(ISERROR(SEARCH("Ere",W37)))</formula>
    </cfRule>
    <cfRule type="containsText" dxfId="1150" priority="371" operator="containsText" text="Ear">
      <formula>NOT(ISERROR(SEARCH("Ear",W37)))</formula>
    </cfRule>
    <cfRule type="containsText" dxfId="1149" priority="372" operator="containsText" text="fnd">
      <formula>NOT(ISERROR(SEARCH("fnd",W37)))</formula>
    </cfRule>
  </conditionalFormatting>
  <conditionalFormatting sqref="W53">
    <cfRule type="containsText" dxfId="1148" priority="565" operator="containsText" text="Str">
      <formula>NOT(ISERROR(SEARCH("Str",W53)))</formula>
    </cfRule>
    <cfRule type="containsText" dxfId="1147" priority="566" operator="containsText" text="Ere">
      <formula>NOT(ISERROR(SEARCH("Ere",W53)))</formula>
    </cfRule>
    <cfRule type="containsText" dxfId="1146" priority="567" operator="containsText" text="Ear">
      <formula>NOT(ISERROR(SEARCH("Ear",W53)))</formula>
    </cfRule>
    <cfRule type="containsText" dxfId="1145" priority="568" operator="containsText" text="fnd">
      <formula>NOT(ISERROR(SEARCH("fnd",W53)))</formula>
    </cfRule>
  </conditionalFormatting>
  <conditionalFormatting sqref="W61">
    <cfRule type="containsText" dxfId="1144" priority="783" operator="containsText" text="Str">
      <formula>NOT(ISERROR(SEARCH("Str",W61)))</formula>
    </cfRule>
    <cfRule type="containsText" dxfId="1143" priority="784" operator="containsText" text="Ere">
      <formula>NOT(ISERROR(SEARCH("Ere",W61)))</formula>
    </cfRule>
    <cfRule type="containsText" dxfId="1142" priority="785" operator="containsText" text="Ear">
      <formula>NOT(ISERROR(SEARCH("Ear",W61)))</formula>
    </cfRule>
    <cfRule type="containsText" dxfId="1141" priority="786" operator="containsText" text="fnd">
      <formula>NOT(ISERROR(SEARCH("fnd",W61)))</formula>
    </cfRule>
  </conditionalFormatting>
  <conditionalFormatting sqref="W85">
    <cfRule type="containsText" dxfId="1140" priority="675" operator="containsText" text="Str">
      <formula>NOT(ISERROR(SEARCH("Str",W85)))</formula>
    </cfRule>
    <cfRule type="containsText" dxfId="1139" priority="676" operator="containsText" text="Ere">
      <formula>NOT(ISERROR(SEARCH("Ere",W85)))</formula>
    </cfRule>
    <cfRule type="containsText" dxfId="1138" priority="677" operator="containsText" text="Ear">
      <formula>NOT(ISERROR(SEARCH("Ear",W85)))</formula>
    </cfRule>
    <cfRule type="containsText" dxfId="1137" priority="678" operator="containsText" text="fnd">
      <formula>NOT(ISERROR(SEARCH("fnd",W85)))</formula>
    </cfRule>
  </conditionalFormatting>
  <conditionalFormatting sqref="W93">
    <cfRule type="containsText" dxfId="1136" priority="1507" operator="containsText" text="Str">
      <formula>NOT(ISERROR(SEARCH("Str",W93)))</formula>
    </cfRule>
    <cfRule type="containsText" dxfId="1135" priority="1508" operator="containsText" text="Ere">
      <formula>NOT(ISERROR(SEARCH("Ere",W93)))</formula>
    </cfRule>
    <cfRule type="containsText" dxfId="1134" priority="1509" operator="containsText" text="Ear">
      <formula>NOT(ISERROR(SEARCH("Ear",W93)))</formula>
    </cfRule>
    <cfRule type="containsText" dxfId="1133" priority="1510" operator="containsText" text="fnd">
      <formula>NOT(ISERROR(SEARCH("fnd",W93)))</formula>
    </cfRule>
  </conditionalFormatting>
  <conditionalFormatting sqref="W101">
    <cfRule type="containsText" dxfId="1132" priority="2215" operator="containsText" text="Str">
      <formula>NOT(ISERROR(SEARCH("Str",W101)))</formula>
    </cfRule>
    <cfRule type="containsText" dxfId="1131" priority="2216" operator="containsText" text="Ere">
      <formula>NOT(ISERROR(SEARCH("Ere",W101)))</formula>
    </cfRule>
    <cfRule type="containsText" dxfId="1130" priority="2217" operator="containsText" text="Ear">
      <formula>NOT(ISERROR(SEARCH("Ear",W101)))</formula>
    </cfRule>
    <cfRule type="containsText" dxfId="1129" priority="2218" operator="containsText" text="fnd">
      <formula>NOT(ISERROR(SEARCH("fnd",W101)))</formula>
    </cfRule>
  </conditionalFormatting>
  <conditionalFormatting sqref="W109">
    <cfRule type="containsText" dxfId="1128" priority="1747" operator="containsText" text="Str">
      <formula>NOT(ISERROR(SEARCH("Str",W109)))</formula>
    </cfRule>
    <cfRule type="containsText" dxfId="1127" priority="1748" operator="containsText" text="Ere">
      <formula>NOT(ISERROR(SEARCH("Ere",W109)))</formula>
    </cfRule>
    <cfRule type="containsText" dxfId="1126" priority="1749" operator="containsText" text="Ear">
      <formula>NOT(ISERROR(SEARCH("Ear",W109)))</formula>
    </cfRule>
    <cfRule type="containsText" dxfId="1125" priority="1750" operator="containsText" text="fnd">
      <formula>NOT(ISERROR(SEARCH("fnd",W109)))</formula>
    </cfRule>
  </conditionalFormatting>
  <conditionalFormatting sqref="W117">
    <cfRule type="containsText" dxfId="1124" priority="409" operator="containsText" text="Str">
      <formula>NOT(ISERROR(SEARCH("Str",W117)))</formula>
    </cfRule>
    <cfRule type="containsText" dxfId="1123" priority="410" operator="containsText" text="Ere">
      <formula>NOT(ISERROR(SEARCH("Ere",W117)))</formula>
    </cfRule>
    <cfRule type="containsText" dxfId="1122" priority="411" operator="containsText" text="Ear">
      <formula>NOT(ISERROR(SEARCH("Ear",W117)))</formula>
    </cfRule>
    <cfRule type="containsText" dxfId="1121" priority="412" operator="containsText" text="fnd">
      <formula>NOT(ISERROR(SEARCH("fnd",W117)))</formula>
    </cfRule>
  </conditionalFormatting>
  <conditionalFormatting sqref="W122 W130 W138 W154 W162 W178">
    <cfRule type="containsText" dxfId="1120" priority="2039" operator="containsText" text="Str">
      <formula>NOT(ISERROR(SEARCH("Str",W122)))</formula>
    </cfRule>
    <cfRule type="containsText" dxfId="1119" priority="2040" operator="containsText" text="Ere">
      <formula>NOT(ISERROR(SEARCH("Ere",W122)))</formula>
    </cfRule>
    <cfRule type="containsText" dxfId="1118" priority="2041" operator="containsText" text="Ear">
      <formula>NOT(ISERROR(SEARCH("Ear",W122)))</formula>
    </cfRule>
    <cfRule type="containsText" dxfId="1117" priority="2042" operator="containsText" text="fnd">
      <formula>NOT(ISERROR(SEARCH("fnd",W122)))</formula>
    </cfRule>
  </conditionalFormatting>
  <conditionalFormatting sqref="W125">
    <cfRule type="containsText" dxfId="1116" priority="461" operator="containsText" text="Str">
      <formula>NOT(ISERROR(SEARCH("Str",W125)))</formula>
    </cfRule>
    <cfRule type="containsText" dxfId="1115" priority="462" operator="containsText" text="Ere">
      <formula>NOT(ISERROR(SEARCH("Ere",W125)))</formula>
    </cfRule>
    <cfRule type="containsText" dxfId="1114" priority="463" operator="containsText" text="Ear">
      <formula>NOT(ISERROR(SEARCH("Ear",W125)))</formula>
    </cfRule>
    <cfRule type="containsText" dxfId="1113" priority="464" operator="containsText" text="fnd">
      <formula>NOT(ISERROR(SEARCH("fnd",W125)))</formula>
    </cfRule>
  </conditionalFormatting>
  <conditionalFormatting sqref="W133">
    <cfRule type="containsText" dxfId="1112" priority="1331" operator="containsText" text="Str">
      <formula>NOT(ISERROR(SEARCH("Str",W133)))</formula>
    </cfRule>
    <cfRule type="containsText" dxfId="1111" priority="1332" operator="containsText" text="Ere">
      <formula>NOT(ISERROR(SEARCH("Ere",W133)))</formula>
    </cfRule>
    <cfRule type="containsText" dxfId="1110" priority="1333" operator="containsText" text="Ear">
      <formula>NOT(ISERROR(SEARCH("Ear",W133)))</formula>
    </cfRule>
    <cfRule type="containsText" dxfId="1109" priority="1334" operator="containsText" text="fnd">
      <formula>NOT(ISERROR(SEARCH("fnd",W133)))</formula>
    </cfRule>
  </conditionalFormatting>
  <conditionalFormatting sqref="W141">
    <cfRule type="containsText" dxfId="1108" priority="1239" operator="containsText" text="Str">
      <formula>NOT(ISERROR(SEARCH("Str",W141)))</formula>
    </cfRule>
    <cfRule type="containsText" dxfId="1107" priority="1240" operator="containsText" text="Ere">
      <formula>NOT(ISERROR(SEARCH("Ere",W141)))</formula>
    </cfRule>
    <cfRule type="containsText" dxfId="1106" priority="1241" operator="containsText" text="Ear">
      <formula>NOT(ISERROR(SEARCH("Ear",W141)))</formula>
    </cfRule>
    <cfRule type="containsText" dxfId="1105" priority="1242" operator="containsText" text="fnd">
      <formula>NOT(ISERROR(SEARCH("fnd",W141)))</formula>
    </cfRule>
  </conditionalFormatting>
  <conditionalFormatting sqref="W149">
    <cfRule type="containsText" dxfId="1104" priority="301" operator="containsText" text="Str">
      <formula>NOT(ISERROR(SEARCH("Str",W149)))</formula>
    </cfRule>
    <cfRule type="containsText" dxfId="1103" priority="302" operator="containsText" text="Ere">
      <formula>NOT(ISERROR(SEARCH("Ere",W149)))</formula>
    </cfRule>
    <cfRule type="containsText" dxfId="1102" priority="303" operator="containsText" text="Ear">
      <formula>NOT(ISERROR(SEARCH("Ear",W149)))</formula>
    </cfRule>
    <cfRule type="containsText" dxfId="1101" priority="304" operator="containsText" text="fnd">
      <formula>NOT(ISERROR(SEARCH("fnd",W149)))</formula>
    </cfRule>
  </conditionalFormatting>
  <conditionalFormatting sqref="W157">
    <cfRule type="containsText" dxfId="1100" priority="755" operator="containsText" text="Str">
      <formula>NOT(ISERROR(SEARCH("Str",W157)))</formula>
    </cfRule>
    <cfRule type="containsText" dxfId="1099" priority="756" operator="containsText" text="Ere">
      <formula>NOT(ISERROR(SEARCH("Ere",W157)))</formula>
    </cfRule>
    <cfRule type="containsText" dxfId="1098" priority="757" operator="containsText" text="Ear">
      <formula>NOT(ISERROR(SEARCH("Ear",W157)))</formula>
    </cfRule>
    <cfRule type="containsText" dxfId="1097" priority="758" operator="containsText" text="fnd">
      <formula>NOT(ISERROR(SEARCH("fnd",W157)))</formula>
    </cfRule>
  </conditionalFormatting>
  <conditionalFormatting sqref="W165">
    <cfRule type="containsText" dxfId="1096" priority="453" operator="containsText" text="Str">
      <formula>NOT(ISERROR(SEARCH("Str",W165)))</formula>
    </cfRule>
    <cfRule type="containsText" dxfId="1095" priority="454" operator="containsText" text="Ere">
      <formula>NOT(ISERROR(SEARCH("Ere",W165)))</formula>
    </cfRule>
    <cfRule type="containsText" dxfId="1094" priority="455" operator="containsText" text="Ear">
      <formula>NOT(ISERROR(SEARCH("Ear",W165)))</formula>
    </cfRule>
    <cfRule type="containsText" dxfId="1093" priority="456" operator="containsText" text="fnd">
      <formula>NOT(ISERROR(SEARCH("fnd",W165)))</formula>
    </cfRule>
  </conditionalFormatting>
  <conditionalFormatting sqref="W173">
    <cfRule type="containsText" dxfId="1092" priority="425" operator="containsText" text="Str">
      <formula>NOT(ISERROR(SEARCH("Str",W173)))</formula>
    </cfRule>
    <cfRule type="containsText" dxfId="1091" priority="426" operator="containsText" text="Ere">
      <formula>NOT(ISERROR(SEARCH("Ere",W173)))</formula>
    </cfRule>
    <cfRule type="containsText" dxfId="1090" priority="427" operator="containsText" text="Ear">
      <formula>NOT(ISERROR(SEARCH("Ear",W173)))</formula>
    </cfRule>
    <cfRule type="containsText" dxfId="1089" priority="428" operator="containsText" text="fnd">
      <formula>NOT(ISERROR(SEARCH("fnd",W173)))</formula>
    </cfRule>
  </conditionalFormatting>
  <conditionalFormatting sqref="W181">
    <cfRule type="containsText" dxfId="1088" priority="97" operator="containsText" text="Str">
      <formula>NOT(ISERROR(SEARCH("Str",W181)))</formula>
    </cfRule>
    <cfRule type="containsText" dxfId="1087" priority="98" operator="containsText" text="Ere">
      <formula>NOT(ISERROR(SEARCH("Ere",W181)))</formula>
    </cfRule>
    <cfRule type="containsText" dxfId="1086" priority="99" operator="containsText" text="Ear">
      <formula>NOT(ISERROR(SEARCH("Ear",W181)))</formula>
    </cfRule>
    <cfRule type="containsText" dxfId="1085" priority="100" operator="containsText" text="fnd">
      <formula>NOT(ISERROR(SEARCH("fnd",W181)))</formula>
    </cfRule>
  </conditionalFormatting>
  <conditionalFormatting sqref="W38:X38">
    <cfRule type="containsText" dxfId="1084" priority="373" operator="containsText" text="Str">
      <formula>NOT(ISERROR(SEARCH("Str",W38)))</formula>
    </cfRule>
    <cfRule type="containsText" dxfId="1083" priority="374" operator="containsText" text="Ere">
      <formula>NOT(ISERROR(SEARCH("Ere",W38)))</formula>
    </cfRule>
    <cfRule type="containsText" dxfId="1082" priority="375" operator="containsText" text="Ear">
      <formula>NOT(ISERROR(SEARCH("Ear",W38)))</formula>
    </cfRule>
    <cfRule type="containsText" dxfId="1081" priority="376" operator="containsText" text="fnd">
      <formula>NOT(ISERROR(SEARCH("fnd",W38)))</formula>
    </cfRule>
  </conditionalFormatting>
  <conditionalFormatting sqref="W46:X46">
    <cfRule type="containsText" dxfId="1080" priority="1451" operator="containsText" text="Str">
      <formula>NOT(ISERROR(SEARCH("Str",W46)))</formula>
    </cfRule>
    <cfRule type="containsText" dxfId="1079" priority="1452" operator="containsText" text="Ere">
      <formula>NOT(ISERROR(SEARCH("Ere",W46)))</formula>
    </cfRule>
    <cfRule type="containsText" dxfId="1078" priority="1453" operator="containsText" text="Ear">
      <formula>NOT(ISERROR(SEARCH("Ear",W46)))</formula>
    </cfRule>
    <cfRule type="containsText" dxfId="1077" priority="1454" operator="containsText" text="fnd">
      <formula>NOT(ISERROR(SEARCH("fnd",W46)))</formula>
    </cfRule>
  </conditionalFormatting>
  <conditionalFormatting sqref="W54:X54">
    <cfRule type="containsText" dxfId="1076" priority="569" operator="containsText" text="Str">
      <formula>NOT(ISERROR(SEARCH("Str",W54)))</formula>
    </cfRule>
    <cfRule type="containsText" dxfId="1075" priority="570" operator="containsText" text="Ere">
      <formula>NOT(ISERROR(SEARCH("Ere",W54)))</formula>
    </cfRule>
    <cfRule type="containsText" dxfId="1074" priority="571" operator="containsText" text="Ear">
      <formula>NOT(ISERROR(SEARCH("Ear",W54)))</formula>
    </cfRule>
    <cfRule type="containsText" dxfId="1073" priority="572" operator="containsText" text="fnd">
      <formula>NOT(ISERROR(SEARCH("fnd",W54)))</formula>
    </cfRule>
  </conditionalFormatting>
  <conditionalFormatting sqref="W70:X70">
    <cfRule type="containsText" dxfId="1072" priority="277" operator="containsText" text="Str">
      <formula>NOT(ISERROR(SEARCH("Str",W70)))</formula>
    </cfRule>
    <cfRule type="containsText" dxfId="1071" priority="278" operator="containsText" text="Ere">
      <formula>NOT(ISERROR(SEARCH("Ere",W70)))</formula>
    </cfRule>
    <cfRule type="containsText" dxfId="1070" priority="279" operator="containsText" text="Ear">
      <formula>NOT(ISERROR(SEARCH("Ear",W70)))</formula>
    </cfRule>
    <cfRule type="containsText" dxfId="1069" priority="280" operator="containsText" text="fnd">
      <formula>NOT(ISERROR(SEARCH("fnd",W70)))</formula>
    </cfRule>
  </conditionalFormatting>
  <conditionalFormatting sqref="W77:X78">
    <cfRule type="containsText" dxfId="1068" priority="2155" operator="containsText" text="Str">
      <formula>NOT(ISERROR(SEARCH("Str",W77)))</formula>
    </cfRule>
    <cfRule type="containsText" dxfId="1067" priority="2156" operator="containsText" text="Ere">
      <formula>NOT(ISERROR(SEARCH("Ere",W77)))</formula>
    </cfRule>
    <cfRule type="containsText" dxfId="1066" priority="2157" operator="containsText" text="Ear">
      <formula>NOT(ISERROR(SEARCH("Ear",W77)))</formula>
    </cfRule>
    <cfRule type="containsText" dxfId="1065" priority="2158" operator="containsText" text="fnd">
      <formula>NOT(ISERROR(SEARCH("fnd",W77)))</formula>
    </cfRule>
  </conditionalFormatting>
  <conditionalFormatting sqref="W86:X86">
    <cfRule type="containsText" dxfId="1064" priority="679" operator="containsText" text="Str">
      <formula>NOT(ISERROR(SEARCH("Str",W86)))</formula>
    </cfRule>
    <cfRule type="containsText" dxfId="1063" priority="680" operator="containsText" text="Ere">
      <formula>NOT(ISERROR(SEARCH("Ere",W86)))</formula>
    </cfRule>
    <cfRule type="containsText" dxfId="1062" priority="681" operator="containsText" text="Ear">
      <formula>NOT(ISERROR(SEARCH("Ear",W86)))</formula>
    </cfRule>
    <cfRule type="containsText" dxfId="1061" priority="682" operator="containsText" text="fnd">
      <formula>NOT(ISERROR(SEARCH("fnd",W86)))</formula>
    </cfRule>
  </conditionalFormatting>
  <conditionalFormatting sqref="W94:X94">
    <cfRule type="containsText" dxfId="1060" priority="1511" operator="containsText" text="Str">
      <formula>NOT(ISERROR(SEARCH("Str",W94)))</formula>
    </cfRule>
    <cfRule type="containsText" dxfId="1059" priority="1512" operator="containsText" text="Ere">
      <formula>NOT(ISERROR(SEARCH("Ere",W94)))</formula>
    </cfRule>
    <cfRule type="containsText" dxfId="1058" priority="1513" operator="containsText" text="Ear">
      <formula>NOT(ISERROR(SEARCH("Ear",W94)))</formula>
    </cfRule>
    <cfRule type="containsText" dxfId="1057" priority="1514" operator="containsText" text="fnd">
      <formula>NOT(ISERROR(SEARCH("fnd",W94)))</formula>
    </cfRule>
  </conditionalFormatting>
  <conditionalFormatting sqref="W110:X110">
    <cfRule type="containsText" dxfId="1056" priority="1751" operator="containsText" text="Str">
      <formula>NOT(ISERROR(SEARCH("Str",W110)))</formula>
    </cfRule>
    <cfRule type="containsText" dxfId="1055" priority="1752" operator="containsText" text="Ere">
      <formula>NOT(ISERROR(SEARCH("Ere",W110)))</formula>
    </cfRule>
    <cfRule type="containsText" dxfId="1054" priority="1753" operator="containsText" text="Ear">
      <formula>NOT(ISERROR(SEARCH("Ear",W110)))</formula>
    </cfRule>
    <cfRule type="containsText" dxfId="1053" priority="1754" operator="containsText" text="fnd">
      <formula>NOT(ISERROR(SEARCH("fnd",W110)))</formula>
    </cfRule>
  </conditionalFormatting>
  <conditionalFormatting sqref="W118:X118">
    <cfRule type="containsText" dxfId="1052" priority="413" operator="containsText" text="Str">
      <formula>NOT(ISERROR(SEARCH("Str",W118)))</formula>
    </cfRule>
    <cfRule type="containsText" dxfId="1051" priority="414" operator="containsText" text="Ere">
      <formula>NOT(ISERROR(SEARCH("Ere",W118)))</formula>
    </cfRule>
    <cfRule type="containsText" dxfId="1050" priority="415" operator="containsText" text="Ear">
      <formula>NOT(ISERROR(SEARCH("Ear",W118)))</formula>
    </cfRule>
    <cfRule type="containsText" dxfId="1049" priority="416" operator="containsText" text="fnd">
      <formula>NOT(ISERROR(SEARCH("fnd",W118)))</formula>
    </cfRule>
  </conditionalFormatting>
  <conditionalFormatting sqref="W134:X134">
    <cfRule type="containsText" dxfId="1048" priority="1335" operator="containsText" text="Str">
      <formula>NOT(ISERROR(SEARCH("Str",W134)))</formula>
    </cfRule>
    <cfRule type="containsText" dxfId="1047" priority="1336" operator="containsText" text="Ere">
      <formula>NOT(ISERROR(SEARCH("Ere",W134)))</formula>
    </cfRule>
    <cfRule type="containsText" dxfId="1046" priority="1337" operator="containsText" text="Ear">
      <formula>NOT(ISERROR(SEARCH("Ear",W134)))</formula>
    </cfRule>
    <cfRule type="containsText" dxfId="1045" priority="1338" operator="containsText" text="fnd">
      <formula>NOT(ISERROR(SEARCH("fnd",W134)))</formula>
    </cfRule>
  </conditionalFormatting>
  <conditionalFormatting sqref="W142:X142">
    <cfRule type="containsText" dxfId="1044" priority="1243" operator="containsText" text="Str">
      <formula>NOT(ISERROR(SEARCH("Str",W142)))</formula>
    </cfRule>
    <cfRule type="containsText" dxfId="1043" priority="1244" operator="containsText" text="Ere">
      <formula>NOT(ISERROR(SEARCH("Ere",W142)))</formula>
    </cfRule>
    <cfRule type="containsText" dxfId="1042" priority="1245" operator="containsText" text="Ear">
      <formula>NOT(ISERROR(SEARCH("Ear",W142)))</formula>
    </cfRule>
    <cfRule type="containsText" dxfId="1041" priority="1246" operator="containsText" text="fnd">
      <formula>NOT(ISERROR(SEARCH("fnd",W142)))</formula>
    </cfRule>
  </conditionalFormatting>
  <conditionalFormatting sqref="W150:X150">
    <cfRule type="containsText" dxfId="1040" priority="305" operator="containsText" text="Str">
      <formula>NOT(ISERROR(SEARCH("Str",W150)))</formula>
    </cfRule>
    <cfRule type="containsText" dxfId="1039" priority="306" operator="containsText" text="Ere">
      <formula>NOT(ISERROR(SEARCH("Ere",W150)))</formula>
    </cfRule>
    <cfRule type="containsText" dxfId="1038" priority="307" operator="containsText" text="Ear">
      <formula>NOT(ISERROR(SEARCH("Ear",W150)))</formula>
    </cfRule>
    <cfRule type="containsText" dxfId="1037" priority="308" operator="containsText" text="fnd">
      <formula>NOT(ISERROR(SEARCH("fnd",W150)))</formula>
    </cfRule>
  </conditionalFormatting>
  <conditionalFormatting sqref="W174:X174">
    <cfRule type="containsText" dxfId="1036" priority="429" operator="containsText" text="Str">
      <formula>NOT(ISERROR(SEARCH("Str",W174)))</formula>
    </cfRule>
    <cfRule type="containsText" dxfId="1035" priority="430" operator="containsText" text="Ere">
      <formula>NOT(ISERROR(SEARCH("Ere",W174)))</formula>
    </cfRule>
    <cfRule type="containsText" dxfId="1034" priority="431" operator="containsText" text="Ear">
      <formula>NOT(ISERROR(SEARCH("Ear",W174)))</formula>
    </cfRule>
    <cfRule type="containsText" dxfId="1033" priority="432" operator="containsText" text="fnd">
      <formula>NOT(ISERROR(SEARCH("fnd",W174)))</formula>
    </cfRule>
  </conditionalFormatting>
  <conditionalFormatting sqref="W182:X182">
    <cfRule type="containsText" dxfId="1032" priority="101" operator="containsText" text="Str">
      <formula>NOT(ISERROR(SEARCH("Str",W182)))</formula>
    </cfRule>
    <cfRule type="containsText" dxfId="1031" priority="102" operator="containsText" text="Ere">
      <formula>NOT(ISERROR(SEARCH("Ere",W182)))</formula>
    </cfRule>
    <cfRule type="containsText" dxfId="1030" priority="103" operator="containsText" text="Ear">
      <formula>NOT(ISERROR(SEARCH("Ear",W182)))</formula>
    </cfRule>
    <cfRule type="containsText" dxfId="1029" priority="104" operator="containsText" text="fnd">
      <formula>NOT(ISERROR(SEARCH("fnd",W182)))</formula>
    </cfRule>
  </conditionalFormatting>
  <conditionalFormatting sqref="X14">
    <cfRule type="containsText" dxfId="1028" priority="1711" operator="containsText" text="Str">
      <formula>NOT(ISERROR(SEARCH("Str",X14)))</formula>
    </cfRule>
    <cfRule type="containsText" dxfId="1027" priority="1712" operator="containsText" text="Ere">
      <formula>NOT(ISERROR(SEARCH("Ere",X14)))</formula>
    </cfRule>
    <cfRule type="containsText" dxfId="1026" priority="1713" operator="containsText" text="Ear">
      <formula>NOT(ISERROR(SEARCH("Ear",X14)))</formula>
    </cfRule>
    <cfRule type="containsText" dxfId="1025" priority="1714" operator="containsText" text="fnd">
      <formula>NOT(ISERROR(SEARCH("fnd",X14)))</formula>
    </cfRule>
  </conditionalFormatting>
  <conditionalFormatting sqref="X22">
    <cfRule type="containsText" dxfId="1024" priority="1779" operator="containsText" text="Str">
      <formula>NOT(ISERROR(SEARCH("Str",X22)))</formula>
    </cfRule>
    <cfRule type="containsText" dxfId="1023" priority="1780" operator="containsText" text="Ere">
      <formula>NOT(ISERROR(SEARCH("Ere",X22)))</formula>
    </cfRule>
    <cfRule type="containsText" dxfId="1022" priority="1781" operator="containsText" text="Ear">
      <formula>NOT(ISERROR(SEARCH("Ear",X22)))</formula>
    </cfRule>
    <cfRule type="containsText" dxfId="1021" priority="1782" operator="containsText" text="fnd">
      <formula>NOT(ISERROR(SEARCH("fnd",X22)))</formula>
    </cfRule>
  </conditionalFormatting>
  <conditionalFormatting sqref="Z5:Z6">
    <cfRule type="containsText" dxfId="1020" priority="189" operator="containsText" text="Str">
      <formula>NOT(ISERROR(SEARCH("Str",Z5)))</formula>
    </cfRule>
    <cfRule type="containsText" dxfId="1019" priority="190" operator="containsText" text="Ere">
      <formula>NOT(ISERROR(SEARCH("Ere",Z5)))</formula>
    </cfRule>
    <cfRule type="containsText" dxfId="1018" priority="191" operator="containsText" text="Ear">
      <formula>NOT(ISERROR(SEARCH("Ear",Z5)))</formula>
    </cfRule>
    <cfRule type="containsText" dxfId="1017" priority="192" operator="containsText" text="fnd">
      <formula>NOT(ISERROR(SEARCH("fnd",Z5)))</formula>
    </cfRule>
  </conditionalFormatting>
  <conditionalFormatting sqref="Z13:Z14">
    <cfRule type="containsText" dxfId="1016" priority="389" operator="containsText" text="Str">
      <formula>NOT(ISERROR(SEARCH("Str",Z13)))</formula>
    </cfRule>
    <cfRule type="containsText" dxfId="1015" priority="390" operator="containsText" text="Ere">
      <formula>NOT(ISERROR(SEARCH("Ere",Z13)))</formula>
    </cfRule>
    <cfRule type="containsText" dxfId="1014" priority="391" operator="containsText" text="Ear">
      <formula>NOT(ISERROR(SEARCH("Ear",Z13)))</formula>
    </cfRule>
    <cfRule type="containsText" dxfId="1013" priority="392" operator="containsText" text="fnd">
      <formula>NOT(ISERROR(SEARCH("fnd",Z13)))</formula>
    </cfRule>
  </conditionalFormatting>
  <conditionalFormatting sqref="Z21:Z22">
    <cfRule type="containsText" dxfId="1012" priority="1931" operator="containsText" text="Str">
      <formula>NOT(ISERROR(SEARCH("Str",Z21)))</formula>
    </cfRule>
    <cfRule type="containsText" dxfId="1011" priority="1932" operator="containsText" text="Ere">
      <formula>NOT(ISERROR(SEARCH("Ere",Z21)))</formula>
    </cfRule>
    <cfRule type="containsText" dxfId="1010" priority="1933" operator="containsText" text="Ear">
      <formula>NOT(ISERROR(SEARCH("Ear",Z21)))</formula>
    </cfRule>
    <cfRule type="containsText" dxfId="1009" priority="1934" operator="containsText" text="fnd">
      <formula>NOT(ISERROR(SEARCH("fnd",Z21)))</formula>
    </cfRule>
  </conditionalFormatting>
  <conditionalFormatting sqref="Z29">
    <cfRule type="containsText" dxfId="1008" priority="1879" operator="containsText" text="Str">
      <formula>NOT(ISERROR(SEARCH("Str",Z29)))</formula>
    </cfRule>
    <cfRule type="containsText" dxfId="1007" priority="1880" operator="containsText" text="Ere">
      <formula>NOT(ISERROR(SEARCH("Ere",Z29)))</formula>
    </cfRule>
    <cfRule type="containsText" dxfId="1006" priority="1881" operator="containsText" text="Ear">
      <formula>NOT(ISERROR(SEARCH("Ear",Z29)))</formula>
    </cfRule>
    <cfRule type="containsText" dxfId="1005" priority="1882" operator="containsText" text="fnd">
      <formula>NOT(ISERROR(SEARCH("fnd",Z29)))</formula>
    </cfRule>
  </conditionalFormatting>
  <conditionalFormatting sqref="Z37">
    <cfRule type="containsText" dxfId="1004" priority="1499" operator="containsText" text="Str">
      <formula>NOT(ISERROR(SEARCH("Str",Z37)))</formula>
    </cfRule>
    <cfRule type="containsText" dxfId="1003" priority="1500" operator="containsText" text="Ere">
      <formula>NOT(ISERROR(SEARCH("Ere",Z37)))</formula>
    </cfRule>
    <cfRule type="containsText" dxfId="1002" priority="1501" operator="containsText" text="Ear">
      <formula>NOT(ISERROR(SEARCH("Ear",Z37)))</formula>
    </cfRule>
    <cfRule type="containsText" dxfId="1001" priority="1502" operator="containsText" text="fnd">
      <formula>NOT(ISERROR(SEARCH("fnd",Z37)))</formula>
    </cfRule>
  </conditionalFormatting>
  <conditionalFormatting sqref="Z45">
    <cfRule type="containsText" dxfId="1000" priority="2087" operator="containsText" text="Str">
      <formula>NOT(ISERROR(SEARCH("Str",Z45)))</formula>
    </cfRule>
    <cfRule type="containsText" dxfId="999" priority="2088" operator="containsText" text="Ere">
      <formula>NOT(ISERROR(SEARCH("Ere",Z45)))</formula>
    </cfRule>
    <cfRule type="containsText" dxfId="998" priority="2089" operator="containsText" text="Ear">
      <formula>NOT(ISERROR(SEARCH("Ear",Z45)))</formula>
    </cfRule>
    <cfRule type="containsText" dxfId="997" priority="2090" operator="containsText" text="fnd">
      <formula>NOT(ISERROR(SEARCH("fnd",Z45)))</formula>
    </cfRule>
  </conditionalFormatting>
  <conditionalFormatting sqref="Z53">
    <cfRule type="containsText" dxfId="996" priority="477" operator="containsText" text="Str">
      <formula>NOT(ISERROR(SEARCH("Str",Z53)))</formula>
    </cfRule>
    <cfRule type="containsText" dxfId="995" priority="478" operator="containsText" text="Ere">
      <formula>NOT(ISERROR(SEARCH("Ere",Z53)))</formula>
    </cfRule>
    <cfRule type="containsText" dxfId="994" priority="479" operator="containsText" text="Ear">
      <formula>NOT(ISERROR(SEARCH("Ear",Z53)))</formula>
    </cfRule>
    <cfRule type="containsText" dxfId="993" priority="480" operator="containsText" text="fnd">
      <formula>NOT(ISERROR(SEARCH("fnd",Z53)))</formula>
    </cfRule>
  </conditionalFormatting>
  <conditionalFormatting sqref="Z61">
    <cfRule type="containsText" dxfId="992" priority="2067" operator="containsText" text="Str">
      <formula>NOT(ISERROR(SEARCH("Str",Z61)))</formula>
    </cfRule>
    <cfRule type="containsText" dxfId="991" priority="2068" operator="containsText" text="Ere">
      <formula>NOT(ISERROR(SEARCH("Ere",Z61)))</formula>
    </cfRule>
    <cfRule type="containsText" dxfId="990" priority="2069" operator="containsText" text="Ear">
      <formula>NOT(ISERROR(SEARCH("Ear",Z61)))</formula>
    </cfRule>
    <cfRule type="containsText" dxfId="989" priority="2070" operator="containsText" text="fnd">
      <formula>NOT(ISERROR(SEARCH("fnd",Z61)))</formula>
    </cfRule>
  </conditionalFormatting>
  <conditionalFormatting sqref="Z69">
    <cfRule type="containsText" dxfId="988" priority="779" operator="containsText" text="Str">
      <formula>NOT(ISERROR(SEARCH("Str",Z69)))</formula>
    </cfRule>
    <cfRule type="containsText" dxfId="987" priority="780" operator="containsText" text="Ere">
      <formula>NOT(ISERROR(SEARCH("Ere",Z69)))</formula>
    </cfRule>
    <cfRule type="containsText" dxfId="986" priority="781" operator="containsText" text="Ear">
      <formula>NOT(ISERROR(SEARCH("Ear",Z69)))</formula>
    </cfRule>
    <cfRule type="containsText" dxfId="985" priority="782" operator="containsText" text="fnd">
      <formula>NOT(ISERROR(SEARCH("fnd",Z69)))</formula>
    </cfRule>
  </conditionalFormatting>
  <conditionalFormatting sqref="Z85">
    <cfRule type="containsText" dxfId="984" priority="691" operator="containsText" text="Str">
      <formula>NOT(ISERROR(SEARCH("Str",Z85)))</formula>
    </cfRule>
    <cfRule type="containsText" dxfId="983" priority="692" operator="containsText" text="Ere">
      <formula>NOT(ISERROR(SEARCH("Ere",Z85)))</formula>
    </cfRule>
    <cfRule type="containsText" dxfId="982" priority="693" operator="containsText" text="Ear">
      <formula>NOT(ISERROR(SEARCH("Ear",Z85)))</formula>
    </cfRule>
    <cfRule type="containsText" dxfId="981" priority="694" operator="containsText" text="fnd">
      <formula>NOT(ISERROR(SEARCH("fnd",Z85)))</formula>
    </cfRule>
  </conditionalFormatting>
  <conditionalFormatting sqref="Z93">
    <cfRule type="containsText" dxfId="980" priority="1895" operator="containsText" text="Str">
      <formula>NOT(ISERROR(SEARCH("Str",Z93)))</formula>
    </cfRule>
    <cfRule type="containsText" dxfId="979" priority="1896" operator="containsText" text="Ere">
      <formula>NOT(ISERROR(SEARCH("Ere",Z93)))</formula>
    </cfRule>
    <cfRule type="containsText" dxfId="978" priority="1897" operator="containsText" text="Ear">
      <formula>NOT(ISERROR(SEARCH("Ear",Z93)))</formula>
    </cfRule>
    <cfRule type="containsText" dxfId="977" priority="1898" operator="containsText" text="fnd">
      <formula>NOT(ISERROR(SEARCH("fnd",Z93)))</formula>
    </cfRule>
  </conditionalFormatting>
  <conditionalFormatting sqref="Z101">
    <cfRule type="containsText" dxfId="976" priority="2203" operator="containsText" text="Str">
      <formula>NOT(ISERROR(SEARCH("Str",Z101)))</formula>
    </cfRule>
    <cfRule type="containsText" dxfId="975" priority="2204" operator="containsText" text="Ere">
      <formula>NOT(ISERROR(SEARCH("Ere",Z101)))</formula>
    </cfRule>
    <cfRule type="containsText" dxfId="974" priority="2205" operator="containsText" text="Ear">
      <formula>NOT(ISERROR(SEARCH("Ear",Z101)))</formula>
    </cfRule>
    <cfRule type="containsText" dxfId="973" priority="2206" operator="containsText" text="fnd">
      <formula>NOT(ISERROR(SEARCH("fnd",Z101)))</formula>
    </cfRule>
  </conditionalFormatting>
  <conditionalFormatting sqref="Z109">
    <cfRule type="containsText" dxfId="972" priority="1803" operator="containsText" text="Str">
      <formula>NOT(ISERROR(SEARCH("Str",Z109)))</formula>
    </cfRule>
    <cfRule type="containsText" dxfId="971" priority="1804" operator="containsText" text="Ere">
      <formula>NOT(ISERROR(SEARCH("Ere",Z109)))</formula>
    </cfRule>
    <cfRule type="containsText" dxfId="970" priority="1805" operator="containsText" text="Ear">
      <formula>NOT(ISERROR(SEARCH("Ear",Z109)))</formula>
    </cfRule>
    <cfRule type="containsText" dxfId="969" priority="1806" operator="containsText" text="fnd">
      <formula>NOT(ISERROR(SEARCH("fnd",Z109)))</formula>
    </cfRule>
  </conditionalFormatting>
  <conditionalFormatting sqref="Z117">
    <cfRule type="containsText" dxfId="968" priority="719" operator="containsText" text="Str">
      <formula>NOT(ISERROR(SEARCH("Str",Z117)))</formula>
    </cfRule>
    <cfRule type="containsText" dxfId="967" priority="720" operator="containsText" text="Ere">
      <formula>NOT(ISERROR(SEARCH("Ere",Z117)))</formula>
    </cfRule>
    <cfRule type="containsText" dxfId="966" priority="721" operator="containsText" text="Ear">
      <formula>NOT(ISERROR(SEARCH("Ear",Z117)))</formula>
    </cfRule>
    <cfRule type="containsText" dxfId="965" priority="722" operator="containsText" text="fnd">
      <formula>NOT(ISERROR(SEARCH("fnd",Z117)))</formula>
    </cfRule>
  </conditionalFormatting>
  <conditionalFormatting sqref="Z122 Z130 Z170 Z178">
    <cfRule type="containsText" dxfId="964" priority="2031" operator="containsText" text="Str">
      <formula>NOT(ISERROR(SEARCH("Str",Z122)))</formula>
    </cfRule>
    <cfRule type="containsText" dxfId="963" priority="2032" operator="containsText" text="Ere">
      <formula>NOT(ISERROR(SEARCH("Ere",Z122)))</formula>
    </cfRule>
    <cfRule type="containsText" dxfId="962" priority="2033" operator="containsText" text="Ear">
      <formula>NOT(ISERROR(SEARCH("Ear",Z122)))</formula>
    </cfRule>
    <cfRule type="containsText" dxfId="961" priority="2034" operator="containsText" text="fnd">
      <formula>NOT(ISERROR(SEARCH("fnd",Z122)))</formula>
    </cfRule>
  </conditionalFormatting>
  <conditionalFormatting sqref="Z125">
    <cfRule type="containsText" dxfId="960" priority="501" operator="containsText" text="Str">
      <formula>NOT(ISERROR(SEARCH("Str",Z125)))</formula>
    </cfRule>
    <cfRule type="containsText" dxfId="959" priority="502" operator="containsText" text="Ere">
      <formula>NOT(ISERROR(SEARCH("Ere",Z125)))</formula>
    </cfRule>
    <cfRule type="containsText" dxfId="958" priority="503" operator="containsText" text="Ear">
      <formula>NOT(ISERROR(SEARCH("Ear",Z125)))</formula>
    </cfRule>
    <cfRule type="containsText" dxfId="957" priority="504" operator="containsText" text="fnd">
      <formula>NOT(ISERROR(SEARCH("fnd",Z125)))</formula>
    </cfRule>
  </conditionalFormatting>
  <conditionalFormatting sqref="Z133">
    <cfRule type="containsText" dxfId="956" priority="269" operator="containsText" text="Str">
      <formula>NOT(ISERROR(SEARCH("Str",Z133)))</formula>
    </cfRule>
    <cfRule type="containsText" dxfId="955" priority="270" operator="containsText" text="Ere">
      <formula>NOT(ISERROR(SEARCH("Ere",Z133)))</formula>
    </cfRule>
    <cfRule type="containsText" dxfId="954" priority="271" operator="containsText" text="Ear">
      <formula>NOT(ISERROR(SEARCH("Ear",Z133)))</formula>
    </cfRule>
    <cfRule type="containsText" dxfId="953" priority="272" operator="containsText" text="fnd">
      <formula>NOT(ISERROR(SEARCH("fnd",Z133)))</formula>
    </cfRule>
  </conditionalFormatting>
  <conditionalFormatting sqref="Z141">
    <cfRule type="containsText" dxfId="952" priority="759" operator="containsText" text="Str">
      <formula>NOT(ISERROR(SEARCH("Str",Z141)))</formula>
    </cfRule>
    <cfRule type="containsText" dxfId="951" priority="760" operator="containsText" text="Ere">
      <formula>NOT(ISERROR(SEARCH("Ere",Z141)))</formula>
    </cfRule>
    <cfRule type="containsText" dxfId="950" priority="761" operator="containsText" text="Ear">
      <formula>NOT(ISERROR(SEARCH("Ear",Z141)))</formula>
    </cfRule>
    <cfRule type="containsText" dxfId="949" priority="762" operator="containsText" text="fnd">
      <formula>NOT(ISERROR(SEARCH("fnd",Z141)))</formula>
    </cfRule>
  </conditionalFormatting>
  <conditionalFormatting sqref="Z149">
    <cfRule type="containsText" dxfId="948" priority="401" operator="containsText" text="Str">
      <formula>NOT(ISERROR(SEARCH("Str",Z149)))</formula>
    </cfRule>
    <cfRule type="containsText" dxfId="947" priority="402" operator="containsText" text="Ere">
      <formula>NOT(ISERROR(SEARCH("Ere",Z149)))</formula>
    </cfRule>
    <cfRule type="containsText" dxfId="946" priority="403" operator="containsText" text="Ear">
      <formula>NOT(ISERROR(SEARCH("Ear",Z149)))</formula>
    </cfRule>
    <cfRule type="containsText" dxfId="945" priority="404" operator="containsText" text="fnd">
      <formula>NOT(ISERROR(SEARCH("fnd",Z149)))</formula>
    </cfRule>
  </conditionalFormatting>
  <conditionalFormatting sqref="Z157">
    <cfRule type="containsText" dxfId="944" priority="1127" operator="containsText" text="Str">
      <formula>NOT(ISERROR(SEARCH("Str",Z157)))</formula>
    </cfRule>
    <cfRule type="containsText" dxfId="943" priority="1128" operator="containsText" text="Ere">
      <formula>NOT(ISERROR(SEARCH("Ere",Z157)))</formula>
    </cfRule>
    <cfRule type="containsText" dxfId="942" priority="1129" operator="containsText" text="Ear">
      <formula>NOT(ISERROR(SEARCH("Ear",Z157)))</formula>
    </cfRule>
    <cfRule type="containsText" dxfId="941" priority="1130" operator="containsText" text="fnd">
      <formula>NOT(ISERROR(SEARCH("fnd",Z157)))</formula>
    </cfRule>
  </conditionalFormatting>
  <conditionalFormatting sqref="Z165">
    <cfRule type="containsText" dxfId="940" priority="433" operator="containsText" text="Str">
      <formula>NOT(ISERROR(SEARCH("Str",Z165)))</formula>
    </cfRule>
    <cfRule type="containsText" dxfId="939" priority="434" operator="containsText" text="Ere">
      <formula>NOT(ISERROR(SEARCH("Ere",Z165)))</formula>
    </cfRule>
    <cfRule type="containsText" dxfId="938" priority="435" operator="containsText" text="Ear">
      <formula>NOT(ISERROR(SEARCH("Ear",Z165)))</formula>
    </cfRule>
    <cfRule type="containsText" dxfId="937" priority="436" operator="containsText" text="fnd">
      <formula>NOT(ISERROR(SEARCH("fnd",Z165)))</formula>
    </cfRule>
  </conditionalFormatting>
  <conditionalFormatting sqref="Z173">
    <cfRule type="containsText" dxfId="936" priority="1003" operator="containsText" text="Str">
      <formula>NOT(ISERROR(SEARCH("Str",Z173)))</formula>
    </cfRule>
    <cfRule type="containsText" dxfId="935" priority="1004" operator="containsText" text="Ere">
      <formula>NOT(ISERROR(SEARCH("Ere",Z173)))</formula>
    </cfRule>
    <cfRule type="containsText" dxfId="934" priority="1005" operator="containsText" text="Ear">
      <formula>NOT(ISERROR(SEARCH("Ear",Z173)))</formula>
    </cfRule>
    <cfRule type="containsText" dxfId="933" priority="1006" operator="containsText" text="fnd">
      <formula>NOT(ISERROR(SEARCH("fnd",Z173)))</formula>
    </cfRule>
  </conditionalFormatting>
  <conditionalFormatting sqref="Z181">
    <cfRule type="containsText" dxfId="932" priority="89" operator="containsText" text="Str">
      <formula>NOT(ISERROR(SEARCH("Str",Z181)))</formula>
    </cfRule>
    <cfRule type="containsText" dxfId="931" priority="90" operator="containsText" text="Ere">
      <formula>NOT(ISERROR(SEARCH("Ere",Z181)))</formula>
    </cfRule>
    <cfRule type="containsText" dxfId="930" priority="91" operator="containsText" text="Ear">
      <formula>NOT(ISERROR(SEARCH("Ear",Z181)))</formula>
    </cfRule>
    <cfRule type="containsText" dxfId="929" priority="92" operator="containsText" text="fnd">
      <formula>NOT(ISERROR(SEARCH("fnd",Z181)))</formula>
    </cfRule>
  </conditionalFormatting>
  <conditionalFormatting sqref="Z30:AA30">
    <cfRule type="containsText" dxfId="928" priority="1883" operator="containsText" text="Str">
      <formula>NOT(ISERROR(SEARCH("Str",Z30)))</formula>
    </cfRule>
    <cfRule type="containsText" dxfId="927" priority="1884" operator="containsText" text="Ere">
      <formula>NOT(ISERROR(SEARCH("Ere",Z30)))</formula>
    </cfRule>
    <cfRule type="containsText" dxfId="926" priority="1885" operator="containsText" text="Ear">
      <formula>NOT(ISERROR(SEARCH("Ear",Z30)))</formula>
    </cfRule>
    <cfRule type="containsText" dxfId="925" priority="1886" operator="containsText" text="fnd">
      <formula>NOT(ISERROR(SEARCH("fnd",Z30)))</formula>
    </cfRule>
  </conditionalFormatting>
  <conditionalFormatting sqref="Z38:AA38">
    <cfRule type="containsText" dxfId="924" priority="1503" operator="containsText" text="Str">
      <formula>NOT(ISERROR(SEARCH("Str",Z38)))</formula>
    </cfRule>
    <cfRule type="containsText" dxfId="923" priority="1504" operator="containsText" text="Ere">
      <formula>NOT(ISERROR(SEARCH("Ere",Z38)))</formula>
    </cfRule>
    <cfRule type="containsText" dxfId="922" priority="1505" operator="containsText" text="Ear">
      <formula>NOT(ISERROR(SEARCH("Ear",Z38)))</formula>
    </cfRule>
    <cfRule type="containsText" dxfId="921" priority="1506" operator="containsText" text="fnd">
      <formula>NOT(ISERROR(SEARCH("fnd",Z38)))</formula>
    </cfRule>
  </conditionalFormatting>
  <conditionalFormatting sqref="Z46:AA46">
    <cfRule type="containsText" dxfId="920" priority="2339" operator="containsText" text="Str">
      <formula>NOT(ISERROR(SEARCH("Str",Z46)))</formula>
    </cfRule>
    <cfRule type="containsText" dxfId="919" priority="2340" operator="containsText" text="Ere">
      <formula>NOT(ISERROR(SEARCH("Ere",Z46)))</formula>
    </cfRule>
    <cfRule type="containsText" dxfId="918" priority="2341" operator="containsText" text="Ear">
      <formula>NOT(ISERROR(SEARCH("Ear",Z46)))</formula>
    </cfRule>
    <cfRule type="containsText" dxfId="917" priority="2342" operator="containsText" text="fnd">
      <formula>NOT(ISERROR(SEARCH("fnd",Z46)))</formula>
    </cfRule>
  </conditionalFormatting>
  <conditionalFormatting sqref="Z54:AA54">
    <cfRule type="containsText" dxfId="916" priority="481" operator="containsText" text="Str">
      <formula>NOT(ISERROR(SEARCH("Str",Z54)))</formula>
    </cfRule>
    <cfRule type="containsText" dxfId="915" priority="482" operator="containsText" text="Ere">
      <formula>NOT(ISERROR(SEARCH("Ere",Z54)))</formula>
    </cfRule>
    <cfRule type="containsText" dxfId="914" priority="483" operator="containsText" text="Ear">
      <formula>NOT(ISERROR(SEARCH("Ear",Z54)))</formula>
    </cfRule>
    <cfRule type="containsText" dxfId="913" priority="484" operator="containsText" text="fnd">
      <formula>NOT(ISERROR(SEARCH("fnd",Z54)))</formula>
    </cfRule>
  </conditionalFormatting>
  <conditionalFormatting sqref="Z62:AA62 AM62">
    <cfRule type="containsText" dxfId="912" priority="2295" operator="containsText" text="Str">
      <formula>NOT(ISERROR(SEARCH("Str",Z62)))</formula>
    </cfRule>
    <cfRule type="containsText" dxfId="911" priority="2296" operator="containsText" text="Ere">
      <formula>NOT(ISERROR(SEARCH("Ere",Z62)))</formula>
    </cfRule>
    <cfRule type="containsText" dxfId="910" priority="2297" operator="containsText" text="Ear">
      <formula>NOT(ISERROR(SEARCH("Ear",Z62)))</formula>
    </cfRule>
    <cfRule type="containsText" dxfId="909" priority="2298" operator="containsText" text="fnd">
      <formula>NOT(ISERROR(SEARCH("fnd",Z62)))</formula>
    </cfRule>
  </conditionalFormatting>
  <conditionalFormatting sqref="Z77:AA78">
    <cfRule type="containsText" dxfId="908" priority="1935" operator="containsText" text="Str">
      <formula>NOT(ISERROR(SEARCH("Str",Z77)))</formula>
    </cfRule>
    <cfRule type="containsText" dxfId="907" priority="1936" operator="containsText" text="Ere">
      <formula>NOT(ISERROR(SEARCH("Ere",Z77)))</formula>
    </cfRule>
    <cfRule type="containsText" dxfId="906" priority="1937" operator="containsText" text="Ear">
      <formula>NOT(ISERROR(SEARCH("Ear",Z77)))</formula>
    </cfRule>
    <cfRule type="containsText" dxfId="905" priority="1938" operator="containsText" text="fnd">
      <formula>NOT(ISERROR(SEARCH("fnd",Z77)))</formula>
    </cfRule>
  </conditionalFormatting>
  <conditionalFormatting sqref="Z86:AA86">
    <cfRule type="containsText" dxfId="904" priority="695" operator="containsText" text="Str">
      <formula>NOT(ISERROR(SEARCH("Str",Z86)))</formula>
    </cfRule>
    <cfRule type="containsText" dxfId="903" priority="696" operator="containsText" text="Ere">
      <formula>NOT(ISERROR(SEARCH("Ere",Z86)))</formula>
    </cfRule>
    <cfRule type="containsText" dxfId="902" priority="697" operator="containsText" text="Ear">
      <formula>NOT(ISERROR(SEARCH("Ear",Z86)))</formula>
    </cfRule>
    <cfRule type="containsText" dxfId="901" priority="698" operator="containsText" text="fnd">
      <formula>NOT(ISERROR(SEARCH("fnd",Z86)))</formula>
    </cfRule>
  </conditionalFormatting>
  <conditionalFormatting sqref="Z94:AA94">
    <cfRule type="containsText" dxfId="900" priority="1899" operator="containsText" text="Str">
      <formula>NOT(ISERROR(SEARCH("Str",Z94)))</formula>
    </cfRule>
    <cfRule type="containsText" dxfId="899" priority="1900" operator="containsText" text="Ere">
      <formula>NOT(ISERROR(SEARCH("Ere",Z94)))</formula>
    </cfRule>
    <cfRule type="containsText" dxfId="898" priority="1901" operator="containsText" text="Ear">
      <formula>NOT(ISERROR(SEARCH("Ear",Z94)))</formula>
    </cfRule>
    <cfRule type="containsText" dxfId="897" priority="1902" operator="containsText" text="fnd">
      <formula>NOT(ISERROR(SEARCH("fnd",Z94)))</formula>
    </cfRule>
  </conditionalFormatting>
  <conditionalFormatting sqref="Z102:AA102">
    <cfRule type="containsText" dxfId="896" priority="2247" operator="containsText" text="Str">
      <formula>NOT(ISERROR(SEARCH("Str",Z102)))</formula>
    </cfRule>
    <cfRule type="containsText" dxfId="895" priority="2248" operator="containsText" text="Ere">
      <formula>NOT(ISERROR(SEARCH("Ere",Z102)))</formula>
    </cfRule>
    <cfRule type="containsText" dxfId="894" priority="2249" operator="containsText" text="Ear">
      <formula>NOT(ISERROR(SEARCH("Ear",Z102)))</formula>
    </cfRule>
    <cfRule type="containsText" dxfId="893" priority="2250" operator="containsText" text="fnd">
      <formula>NOT(ISERROR(SEARCH("fnd",Z102)))</formula>
    </cfRule>
  </conditionalFormatting>
  <conditionalFormatting sqref="Z110:AA110">
    <cfRule type="containsText" dxfId="892" priority="1807" operator="containsText" text="Str">
      <formula>NOT(ISERROR(SEARCH("Str",Z110)))</formula>
    </cfRule>
    <cfRule type="containsText" dxfId="891" priority="1808" operator="containsText" text="Ere">
      <formula>NOT(ISERROR(SEARCH("Ere",Z110)))</formula>
    </cfRule>
    <cfRule type="containsText" dxfId="890" priority="1809" operator="containsText" text="Ear">
      <formula>NOT(ISERROR(SEARCH("Ear",Z110)))</formula>
    </cfRule>
    <cfRule type="containsText" dxfId="889" priority="1810" operator="containsText" text="fnd">
      <formula>NOT(ISERROR(SEARCH("fnd",Z110)))</formula>
    </cfRule>
  </conditionalFormatting>
  <conditionalFormatting sqref="Z118:AA118">
    <cfRule type="containsText" dxfId="888" priority="723" operator="containsText" text="Str">
      <formula>NOT(ISERROR(SEARCH("Str",Z118)))</formula>
    </cfRule>
    <cfRule type="containsText" dxfId="887" priority="724" operator="containsText" text="Ere">
      <formula>NOT(ISERROR(SEARCH("Ere",Z118)))</formula>
    </cfRule>
    <cfRule type="containsText" dxfId="886" priority="725" operator="containsText" text="Ear">
      <formula>NOT(ISERROR(SEARCH("Ear",Z118)))</formula>
    </cfRule>
    <cfRule type="containsText" dxfId="885" priority="726" operator="containsText" text="fnd">
      <formula>NOT(ISERROR(SEARCH("fnd",Z118)))</formula>
    </cfRule>
  </conditionalFormatting>
  <conditionalFormatting sqref="Z126:AA126">
    <cfRule type="containsText" dxfId="884" priority="505" operator="containsText" text="Str">
      <formula>NOT(ISERROR(SEARCH("Str",Z126)))</formula>
    </cfRule>
    <cfRule type="containsText" dxfId="883" priority="506" operator="containsText" text="Ere">
      <formula>NOT(ISERROR(SEARCH("Ere",Z126)))</formula>
    </cfRule>
    <cfRule type="containsText" dxfId="882" priority="507" operator="containsText" text="Ear">
      <formula>NOT(ISERROR(SEARCH("Ear",Z126)))</formula>
    </cfRule>
    <cfRule type="containsText" dxfId="881" priority="508" operator="containsText" text="fnd">
      <formula>NOT(ISERROR(SEARCH("fnd",Z126)))</formula>
    </cfRule>
  </conditionalFormatting>
  <conditionalFormatting sqref="Z134:AA134">
    <cfRule type="containsText" dxfId="880" priority="273" operator="containsText" text="Str">
      <formula>NOT(ISERROR(SEARCH("Str",Z134)))</formula>
    </cfRule>
    <cfRule type="containsText" dxfId="879" priority="274" operator="containsText" text="Ere">
      <formula>NOT(ISERROR(SEARCH("Ere",Z134)))</formula>
    </cfRule>
    <cfRule type="containsText" dxfId="878" priority="275" operator="containsText" text="Ear">
      <formula>NOT(ISERROR(SEARCH("Ear",Z134)))</formula>
    </cfRule>
    <cfRule type="containsText" dxfId="877" priority="276" operator="containsText" text="fnd">
      <formula>NOT(ISERROR(SEARCH("fnd",Z134)))</formula>
    </cfRule>
  </conditionalFormatting>
  <conditionalFormatting sqref="Z150:AA150">
    <cfRule type="containsText" dxfId="876" priority="405" operator="containsText" text="Str">
      <formula>NOT(ISERROR(SEARCH("Str",Z150)))</formula>
    </cfRule>
    <cfRule type="containsText" dxfId="875" priority="406" operator="containsText" text="Ere">
      <formula>NOT(ISERROR(SEARCH("Ere",Z150)))</formula>
    </cfRule>
    <cfRule type="containsText" dxfId="874" priority="407" operator="containsText" text="Ear">
      <formula>NOT(ISERROR(SEARCH("Ear",Z150)))</formula>
    </cfRule>
    <cfRule type="containsText" dxfId="873" priority="408" operator="containsText" text="fnd">
      <formula>NOT(ISERROR(SEARCH("fnd",Z150)))</formula>
    </cfRule>
  </conditionalFormatting>
  <conditionalFormatting sqref="Z158:AA158">
    <cfRule type="containsText" dxfId="872" priority="1131" operator="containsText" text="Str">
      <formula>NOT(ISERROR(SEARCH("Str",Z158)))</formula>
    </cfRule>
    <cfRule type="containsText" dxfId="871" priority="1132" operator="containsText" text="Ere">
      <formula>NOT(ISERROR(SEARCH("Ere",Z158)))</formula>
    </cfRule>
    <cfRule type="containsText" dxfId="870" priority="1133" operator="containsText" text="Ear">
      <formula>NOT(ISERROR(SEARCH("Ear",Z158)))</formula>
    </cfRule>
    <cfRule type="containsText" dxfId="869" priority="1134" operator="containsText" text="fnd">
      <formula>NOT(ISERROR(SEARCH("fnd",Z158)))</formula>
    </cfRule>
  </conditionalFormatting>
  <conditionalFormatting sqref="Z166:AA166">
    <cfRule type="containsText" dxfId="868" priority="437" operator="containsText" text="Str">
      <formula>NOT(ISERROR(SEARCH("Str",Z166)))</formula>
    </cfRule>
    <cfRule type="containsText" dxfId="867" priority="438" operator="containsText" text="Ere">
      <formula>NOT(ISERROR(SEARCH("Ere",Z166)))</formula>
    </cfRule>
    <cfRule type="containsText" dxfId="866" priority="439" operator="containsText" text="Ear">
      <formula>NOT(ISERROR(SEARCH("Ear",Z166)))</formula>
    </cfRule>
    <cfRule type="containsText" dxfId="865" priority="440" operator="containsText" text="fnd">
      <formula>NOT(ISERROR(SEARCH("fnd",Z166)))</formula>
    </cfRule>
  </conditionalFormatting>
  <conditionalFormatting sqref="Z174:AA174">
    <cfRule type="containsText" dxfId="864" priority="1007" operator="containsText" text="Str">
      <formula>NOT(ISERROR(SEARCH("Str",Z174)))</formula>
    </cfRule>
    <cfRule type="containsText" dxfId="863" priority="1008" operator="containsText" text="Ere">
      <formula>NOT(ISERROR(SEARCH("Ere",Z174)))</formula>
    </cfRule>
    <cfRule type="containsText" dxfId="862" priority="1009" operator="containsText" text="Ear">
      <formula>NOT(ISERROR(SEARCH("Ear",Z174)))</formula>
    </cfRule>
    <cfRule type="containsText" dxfId="861" priority="1010" operator="containsText" text="fnd">
      <formula>NOT(ISERROR(SEARCH("fnd",Z174)))</formula>
    </cfRule>
  </conditionalFormatting>
  <conditionalFormatting sqref="Z182:AA182">
    <cfRule type="containsText" dxfId="860" priority="93" operator="containsText" text="Str">
      <formula>NOT(ISERROR(SEARCH("Str",Z182)))</formula>
    </cfRule>
    <cfRule type="containsText" dxfId="859" priority="94" operator="containsText" text="Ere">
      <formula>NOT(ISERROR(SEARCH("Ere",Z182)))</formula>
    </cfRule>
    <cfRule type="containsText" dxfId="858" priority="95" operator="containsText" text="Ear">
      <formula>NOT(ISERROR(SEARCH("Ear",Z182)))</formula>
    </cfRule>
    <cfRule type="containsText" dxfId="857" priority="96" operator="containsText" text="fnd">
      <formula>NOT(ISERROR(SEARCH("fnd",Z182)))</formula>
    </cfRule>
  </conditionalFormatting>
  <conditionalFormatting sqref="AA6">
    <cfRule type="containsText" dxfId="856" priority="185" operator="containsText" text="Str">
      <formula>NOT(ISERROR(SEARCH("Str",AA6)))</formula>
    </cfRule>
    <cfRule type="containsText" dxfId="855" priority="186" operator="containsText" text="Ere">
      <formula>NOT(ISERROR(SEARCH("Ere",AA6)))</formula>
    </cfRule>
    <cfRule type="containsText" dxfId="854" priority="187" operator="containsText" text="Ear">
      <formula>NOT(ISERROR(SEARCH("Ear",AA6)))</formula>
    </cfRule>
    <cfRule type="containsText" dxfId="853" priority="188" operator="containsText" text="fnd">
      <formula>NOT(ISERROR(SEARCH("fnd",AA6)))</formula>
    </cfRule>
  </conditionalFormatting>
  <conditionalFormatting sqref="AA14">
    <cfRule type="containsText" dxfId="852" priority="385" operator="containsText" text="Str">
      <formula>NOT(ISERROR(SEARCH("Str",AA14)))</formula>
    </cfRule>
    <cfRule type="containsText" dxfId="851" priority="386" operator="containsText" text="Ere">
      <formula>NOT(ISERROR(SEARCH("Ere",AA14)))</formula>
    </cfRule>
    <cfRule type="containsText" dxfId="850" priority="387" operator="containsText" text="Ear">
      <formula>NOT(ISERROR(SEARCH("Ear",AA14)))</formula>
    </cfRule>
    <cfRule type="containsText" dxfId="849" priority="388" operator="containsText" text="fnd">
      <formula>NOT(ISERROR(SEARCH("fnd",AA14)))</formula>
    </cfRule>
  </conditionalFormatting>
  <conditionalFormatting sqref="AA22">
    <cfRule type="containsText" dxfId="848" priority="1923" operator="containsText" text="Str">
      <formula>NOT(ISERROR(SEARCH("Str",AA22)))</formula>
    </cfRule>
    <cfRule type="containsText" dxfId="847" priority="1924" operator="containsText" text="Ere">
      <formula>NOT(ISERROR(SEARCH("Ere",AA22)))</formula>
    </cfRule>
    <cfRule type="containsText" dxfId="846" priority="1925" operator="containsText" text="Ear">
      <formula>NOT(ISERROR(SEARCH("Ear",AA22)))</formula>
    </cfRule>
    <cfRule type="containsText" dxfId="845" priority="1926" operator="containsText" text="fnd">
      <formula>NOT(ISERROR(SEARCH("fnd",AA22)))</formula>
    </cfRule>
  </conditionalFormatting>
  <conditionalFormatting sqref="AC5:AC6">
    <cfRule type="containsText" dxfId="844" priority="181" operator="containsText" text="Str">
      <formula>NOT(ISERROR(SEARCH("Str",AC5)))</formula>
    </cfRule>
    <cfRule type="containsText" dxfId="843" priority="182" operator="containsText" text="Ere">
      <formula>NOT(ISERROR(SEARCH("Ere",AC5)))</formula>
    </cfRule>
    <cfRule type="containsText" dxfId="842" priority="183" operator="containsText" text="Ear">
      <formula>NOT(ISERROR(SEARCH("Ear",AC5)))</formula>
    </cfRule>
    <cfRule type="containsText" dxfId="841" priority="184" operator="containsText" text="fnd">
      <formula>NOT(ISERROR(SEARCH("fnd",AC5)))</formula>
    </cfRule>
  </conditionalFormatting>
  <conditionalFormatting sqref="AC13:AC14">
    <cfRule type="containsText" dxfId="840" priority="943" operator="containsText" text="Str">
      <formula>NOT(ISERROR(SEARCH("Str",AC13)))</formula>
    </cfRule>
    <cfRule type="containsText" dxfId="839" priority="944" operator="containsText" text="Ere">
      <formula>NOT(ISERROR(SEARCH("Ere",AC13)))</formula>
    </cfRule>
    <cfRule type="containsText" dxfId="838" priority="945" operator="containsText" text="Ear">
      <formula>NOT(ISERROR(SEARCH("Ear",AC13)))</formula>
    </cfRule>
    <cfRule type="containsText" dxfId="837" priority="946" operator="containsText" text="fnd">
      <formula>NOT(ISERROR(SEARCH("fnd",AC13)))</formula>
    </cfRule>
  </conditionalFormatting>
  <conditionalFormatting sqref="AC21:AC22">
    <cfRule type="containsText" dxfId="836" priority="1927" operator="containsText" text="Str">
      <formula>NOT(ISERROR(SEARCH("Str",AC21)))</formula>
    </cfRule>
    <cfRule type="containsText" dxfId="835" priority="1928" operator="containsText" text="Ere">
      <formula>NOT(ISERROR(SEARCH("Ere",AC21)))</formula>
    </cfRule>
    <cfRule type="containsText" dxfId="834" priority="1929" operator="containsText" text="Ear">
      <formula>NOT(ISERROR(SEARCH("Ear",AC21)))</formula>
    </cfRule>
    <cfRule type="containsText" dxfId="833" priority="1930" operator="containsText" text="fnd">
      <formula>NOT(ISERROR(SEARCH("fnd",AC21)))</formula>
    </cfRule>
  </conditionalFormatting>
  <conditionalFormatting sqref="AC29">
    <cfRule type="containsText" dxfId="832" priority="1827" operator="containsText" text="Str">
      <formula>NOT(ISERROR(SEARCH("Str",AC29)))</formula>
    </cfRule>
    <cfRule type="containsText" dxfId="831" priority="1828" operator="containsText" text="Ere">
      <formula>NOT(ISERROR(SEARCH("Ere",AC29)))</formula>
    </cfRule>
    <cfRule type="containsText" dxfId="830" priority="1829" operator="containsText" text="Ear">
      <formula>NOT(ISERROR(SEARCH("Ear",AC29)))</formula>
    </cfRule>
    <cfRule type="containsText" dxfId="829" priority="1830" operator="containsText" text="fnd">
      <formula>NOT(ISERROR(SEARCH("fnd",AC29)))</formula>
    </cfRule>
  </conditionalFormatting>
  <conditionalFormatting sqref="AC37">
    <cfRule type="containsText" dxfId="828" priority="1491" operator="containsText" text="Str">
      <formula>NOT(ISERROR(SEARCH("Str",AC37)))</formula>
    </cfRule>
    <cfRule type="containsText" dxfId="827" priority="1492" operator="containsText" text="Ere">
      <formula>NOT(ISERROR(SEARCH("Ere",AC37)))</formula>
    </cfRule>
    <cfRule type="containsText" dxfId="826" priority="1493" operator="containsText" text="Ear">
      <formula>NOT(ISERROR(SEARCH("Ear",AC37)))</formula>
    </cfRule>
    <cfRule type="containsText" dxfId="825" priority="1494" operator="containsText" text="fnd">
      <formula>NOT(ISERROR(SEARCH("fnd",AC37)))</formula>
    </cfRule>
  </conditionalFormatting>
  <conditionalFormatting sqref="AC45">
    <cfRule type="containsText" dxfId="824" priority="611" operator="containsText" text="Str">
      <formula>NOT(ISERROR(SEARCH("Str",AC45)))</formula>
    </cfRule>
    <cfRule type="containsText" dxfId="823" priority="612" operator="containsText" text="Ere">
      <formula>NOT(ISERROR(SEARCH("Ere",AC45)))</formula>
    </cfRule>
    <cfRule type="containsText" dxfId="822" priority="613" operator="containsText" text="Ear">
      <formula>NOT(ISERROR(SEARCH("Ear",AC45)))</formula>
    </cfRule>
    <cfRule type="containsText" dxfId="821" priority="614" operator="containsText" text="fnd">
      <formula>NOT(ISERROR(SEARCH("fnd",AC45)))</formula>
    </cfRule>
  </conditionalFormatting>
  <conditionalFormatting sqref="AC53">
    <cfRule type="containsText" dxfId="820" priority="545" operator="containsText" text="Str">
      <formula>NOT(ISERROR(SEARCH("Str",AC53)))</formula>
    </cfRule>
    <cfRule type="containsText" dxfId="819" priority="546" operator="containsText" text="Ere">
      <formula>NOT(ISERROR(SEARCH("Ere",AC53)))</formula>
    </cfRule>
    <cfRule type="containsText" dxfId="818" priority="547" operator="containsText" text="Ear">
      <formula>NOT(ISERROR(SEARCH("Ear",AC53)))</formula>
    </cfRule>
    <cfRule type="containsText" dxfId="817" priority="548" operator="containsText" text="fnd">
      <formula>NOT(ISERROR(SEARCH("fnd",AC53)))</formula>
    </cfRule>
  </conditionalFormatting>
  <conditionalFormatting sqref="AC61">
    <cfRule type="containsText" dxfId="816" priority="827" operator="containsText" text="Str">
      <formula>NOT(ISERROR(SEARCH("Str",AC61)))</formula>
    </cfRule>
    <cfRule type="containsText" dxfId="815" priority="828" operator="containsText" text="Ere">
      <formula>NOT(ISERROR(SEARCH("Ere",AC61)))</formula>
    </cfRule>
    <cfRule type="containsText" dxfId="814" priority="829" operator="containsText" text="Ear">
      <formula>NOT(ISERROR(SEARCH("Ear",AC61)))</formula>
    </cfRule>
    <cfRule type="containsText" dxfId="813" priority="830" operator="containsText" text="fnd">
      <formula>NOT(ISERROR(SEARCH("fnd",AC61)))</formula>
    </cfRule>
  </conditionalFormatting>
  <conditionalFormatting sqref="AC70">
    <cfRule type="containsText" dxfId="812" priority="2167" operator="containsText" text="Str">
      <formula>NOT(ISERROR(SEARCH("Str",AC70)))</formula>
    </cfRule>
    <cfRule type="containsText" dxfId="811" priority="2168" operator="containsText" text="Ere">
      <formula>NOT(ISERROR(SEARCH("Ere",AC70)))</formula>
    </cfRule>
    <cfRule type="containsText" dxfId="810" priority="2169" operator="containsText" text="Ear">
      <formula>NOT(ISERROR(SEARCH("Ear",AC70)))</formula>
    </cfRule>
    <cfRule type="containsText" dxfId="809" priority="2170" operator="containsText" text="fnd">
      <formula>NOT(ISERROR(SEARCH("fnd",AC70)))</formula>
    </cfRule>
  </conditionalFormatting>
  <conditionalFormatting sqref="AC77">
    <cfRule type="containsText" dxfId="808" priority="767" operator="containsText" text="Str">
      <formula>NOT(ISERROR(SEARCH("Str",AC77)))</formula>
    </cfRule>
    <cfRule type="containsText" dxfId="807" priority="768" operator="containsText" text="Ere">
      <formula>NOT(ISERROR(SEARCH("Ere",AC77)))</formula>
    </cfRule>
    <cfRule type="containsText" dxfId="806" priority="769" operator="containsText" text="Ear">
      <formula>NOT(ISERROR(SEARCH("Ear",AC77)))</formula>
    </cfRule>
    <cfRule type="containsText" dxfId="805" priority="770" operator="containsText" text="fnd">
      <formula>NOT(ISERROR(SEARCH("fnd",AC77)))</formula>
    </cfRule>
  </conditionalFormatting>
  <conditionalFormatting sqref="AC85:AC86">
    <cfRule type="containsText" dxfId="804" priority="2159" operator="containsText" text="Str">
      <formula>NOT(ISERROR(SEARCH("Str",AC85)))</formula>
    </cfRule>
    <cfRule type="containsText" dxfId="803" priority="2160" operator="containsText" text="Ere">
      <formula>NOT(ISERROR(SEARCH("Ere",AC85)))</formula>
    </cfRule>
    <cfRule type="containsText" dxfId="802" priority="2161" operator="containsText" text="Ear">
      <formula>NOT(ISERROR(SEARCH("Ear",AC85)))</formula>
    </cfRule>
    <cfRule type="containsText" dxfId="801" priority="2162" operator="containsText" text="fnd">
      <formula>NOT(ISERROR(SEARCH("fnd",AC85)))</formula>
    </cfRule>
  </conditionalFormatting>
  <conditionalFormatting sqref="AC93">
    <cfRule type="containsText" dxfId="800" priority="245" operator="containsText" text="Str">
      <formula>NOT(ISERROR(SEARCH("Str",AC93)))</formula>
    </cfRule>
    <cfRule type="containsText" dxfId="799" priority="246" operator="containsText" text="Ere">
      <formula>NOT(ISERROR(SEARCH("Ere",AC93)))</formula>
    </cfRule>
    <cfRule type="containsText" dxfId="798" priority="247" operator="containsText" text="Ear">
      <formula>NOT(ISERROR(SEARCH("Ear",AC93)))</formula>
    </cfRule>
    <cfRule type="containsText" dxfId="797" priority="248" operator="containsText" text="fnd">
      <formula>NOT(ISERROR(SEARCH("fnd",AC93)))</formula>
    </cfRule>
  </conditionalFormatting>
  <conditionalFormatting sqref="AC101">
    <cfRule type="containsText" dxfId="796" priority="1443" operator="containsText" text="Str">
      <formula>NOT(ISERROR(SEARCH("Str",AC101)))</formula>
    </cfRule>
    <cfRule type="containsText" dxfId="795" priority="1444" operator="containsText" text="Ere">
      <formula>NOT(ISERROR(SEARCH("Ere",AC101)))</formula>
    </cfRule>
    <cfRule type="containsText" dxfId="794" priority="1445" operator="containsText" text="Ear">
      <formula>NOT(ISERROR(SEARCH("Ear",AC101)))</formula>
    </cfRule>
    <cfRule type="containsText" dxfId="793" priority="1446" operator="containsText" text="fnd">
      <formula>NOT(ISERROR(SEARCH("fnd",AC101)))</formula>
    </cfRule>
  </conditionalFormatting>
  <conditionalFormatting sqref="AC109">
    <cfRule type="containsText" dxfId="792" priority="735" operator="containsText" text="Str">
      <formula>NOT(ISERROR(SEARCH("Str",AC109)))</formula>
    </cfRule>
    <cfRule type="containsText" dxfId="791" priority="736" operator="containsText" text="Ere">
      <formula>NOT(ISERROR(SEARCH("Ere",AC109)))</formula>
    </cfRule>
    <cfRule type="containsText" dxfId="790" priority="737" operator="containsText" text="Ear">
      <formula>NOT(ISERROR(SEARCH("Ear",AC109)))</formula>
    </cfRule>
    <cfRule type="containsText" dxfId="789" priority="738" operator="containsText" text="fnd">
      <formula>NOT(ISERROR(SEARCH("fnd",AC109)))</formula>
    </cfRule>
  </conditionalFormatting>
  <conditionalFormatting sqref="AC117">
    <cfRule type="containsText" dxfId="788" priority="1387" operator="containsText" text="Str">
      <formula>NOT(ISERROR(SEARCH("Str",AC117)))</formula>
    </cfRule>
    <cfRule type="containsText" dxfId="787" priority="1388" operator="containsText" text="Ere">
      <formula>NOT(ISERROR(SEARCH("Ere",AC117)))</formula>
    </cfRule>
    <cfRule type="containsText" dxfId="786" priority="1389" operator="containsText" text="Ear">
      <formula>NOT(ISERROR(SEARCH("Ear",AC117)))</formula>
    </cfRule>
    <cfRule type="containsText" dxfId="785" priority="1390" operator="containsText" text="fnd">
      <formula>NOT(ISERROR(SEARCH("fnd",AC117)))</formula>
    </cfRule>
  </conditionalFormatting>
  <conditionalFormatting sqref="AC122 AC130 AC154 AC170 AC178">
    <cfRule type="containsText" dxfId="784" priority="2027" operator="containsText" text="Str">
      <formula>NOT(ISERROR(SEARCH("Str",AC122)))</formula>
    </cfRule>
    <cfRule type="containsText" dxfId="783" priority="2028" operator="containsText" text="Ere">
      <formula>NOT(ISERROR(SEARCH("Ere",AC122)))</formula>
    </cfRule>
    <cfRule type="containsText" dxfId="782" priority="2029" operator="containsText" text="Ear">
      <formula>NOT(ISERROR(SEARCH("Ear",AC122)))</formula>
    </cfRule>
    <cfRule type="containsText" dxfId="781" priority="2030" operator="containsText" text="fnd">
      <formula>NOT(ISERROR(SEARCH("fnd",AC122)))</formula>
    </cfRule>
  </conditionalFormatting>
  <conditionalFormatting sqref="AC125">
    <cfRule type="containsText" dxfId="780" priority="549" operator="containsText" text="Str">
      <formula>NOT(ISERROR(SEARCH("Str",AC125)))</formula>
    </cfRule>
    <cfRule type="containsText" dxfId="779" priority="550" operator="containsText" text="Ere">
      <formula>NOT(ISERROR(SEARCH("Ere",AC125)))</formula>
    </cfRule>
    <cfRule type="containsText" dxfId="778" priority="551" operator="containsText" text="Ear">
      <formula>NOT(ISERROR(SEARCH("Ear",AC125)))</formula>
    </cfRule>
    <cfRule type="containsText" dxfId="777" priority="552" operator="containsText" text="fnd">
      <formula>NOT(ISERROR(SEARCH("fnd",AC125)))</formula>
    </cfRule>
  </conditionalFormatting>
  <conditionalFormatting sqref="AC133">
    <cfRule type="containsText" dxfId="776" priority="325" operator="containsText" text="Str">
      <formula>NOT(ISERROR(SEARCH("Str",AC133)))</formula>
    </cfRule>
    <cfRule type="containsText" dxfId="775" priority="326" operator="containsText" text="Ere">
      <formula>NOT(ISERROR(SEARCH("Ere",AC133)))</formula>
    </cfRule>
    <cfRule type="containsText" dxfId="774" priority="327" operator="containsText" text="Ear">
      <formula>NOT(ISERROR(SEARCH("Ear",AC133)))</formula>
    </cfRule>
    <cfRule type="containsText" dxfId="773" priority="328" operator="containsText" text="fnd">
      <formula>NOT(ISERROR(SEARCH("fnd",AC133)))</formula>
    </cfRule>
  </conditionalFormatting>
  <conditionalFormatting sqref="AC141">
    <cfRule type="containsText" dxfId="772" priority="1247" operator="containsText" text="Str">
      <formula>NOT(ISERROR(SEARCH("Str",AC141)))</formula>
    </cfRule>
    <cfRule type="containsText" dxfId="771" priority="1248" operator="containsText" text="Ere">
      <formula>NOT(ISERROR(SEARCH("Ere",AC141)))</formula>
    </cfRule>
    <cfRule type="containsText" dxfId="770" priority="1249" operator="containsText" text="Ear">
      <formula>NOT(ISERROR(SEARCH("Ear",AC141)))</formula>
    </cfRule>
    <cfRule type="containsText" dxfId="769" priority="1250" operator="containsText" text="fnd">
      <formula>NOT(ISERROR(SEARCH("fnd",AC141)))</formula>
    </cfRule>
  </conditionalFormatting>
  <conditionalFormatting sqref="AC149">
    <cfRule type="containsText" dxfId="768" priority="1171" operator="containsText" text="Str">
      <formula>NOT(ISERROR(SEARCH("Str",AC149)))</formula>
    </cfRule>
    <cfRule type="containsText" dxfId="767" priority="1172" operator="containsText" text="Ere">
      <formula>NOT(ISERROR(SEARCH("Ere",AC149)))</formula>
    </cfRule>
    <cfRule type="containsText" dxfId="766" priority="1173" operator="containsText" text="Ear">
      <formula>NOT(ISERROR(SEARCH("Ear",AC149)))</formula>
    </cfRule>
    <cfRule type="containsText" dxfId="765" priority="1174" operator="containsText" text="fnd">
      <formula>NOT(ISERROR(SEARCH("fnd",AC149)))</formula>
    </cfRule>
  </conditionalFormatting>
  <conditionalFormatting sqref="AC157">
    <cfRule type="containsText" dxfId="764" priority="457" operator="containsText" text="Str">
      <formula>NOT(ISERROR(SEARCH("Str",AC157)))</formula>
    </cfRule>
    <cfRule type="containsText" dxfId="763" priority="458" operator="containsText" text="Ere">
      <formula>NOT(ISERROR(SEARCH("Ere",AC157)))</formula>
    </cfRule>
    <cfRule type="containsText" dxfId="762" priority="459" operator="containsText" text="Ear">
      <formula>NOT(ISERROR(SEARCH("Ear",AC157)))</formula>
    </cfRule>
    <cfRule type="containsText" dxfId="761" priority="460" operator="containsText" text="fnd">
      <formula>NOT(ISERROR(SEARCH("fnd",AC157)))</formula>
    </cfRule>
  </conditionalFormatting>
  <conditionalFormatting sqref="AC165">
    <cfRule type="containsText" dxfId="760" priority="449" operator="containsText" text="Str">
      <formula>NOT(ISERROR(SEARCH("Str",AC165)))</formula>
    </cfRule>
    <cfRule type="containsText" dxfId="759" priority="450" operator="containsText" text="Ere">
      <formula>NOT(ISERROR(SEARCH("Ere",AC165)))</formula>
    </cfRule>
    <cfRule type="containsText" dxfId="758" priority="451" operator="containsText" text="Ear">
      <formula>NOT(ISERROR(SEARCH("Ear",AC165)))</formula>
    </cfRule>
    <cfRule type="containsText" dxfId="757" priority="452" operator="containsText" text="fnd">
      <formula>NOT(ISERROR(SEARCH("fnd",AC165)))</formula>
    </cfRule>
  </conditionalFormatting>
  <conditionalFormatting sqref="AC173">
    <cfRule type="containsText" dxfId="756" priority="987" operator="containsText" text="Str">
      <formula>NOT(ISERROR(SEARCH("Str",AC173)))</formula>
    </cfRule>
    <cfRule type="containsText" dxfId="755" priority="988" operator="containsText" text="Ere">
      <formula>NOT(ISERROR(SEARCH("Ere",AC173)))</formula>
    </cfRule>
    <cfRule type="containsText" dxfId="754" priority="989" operator="containsText" text="Ear">
      <formula>NOT(ISERROR(SEARCH("Ear",AC173)))</formula>
    </cfRule>
    <cfRule type="containsText" dxfId="753" priority="990" operator="containsText" text="fnd">
      <formula>NOT(ISERROR(SEARCH("fnd",AC173)))</formula>
    </cfRule>
  </conditionalFormatting>
  <conditionalFormatting sqref="AC181">
    <cfRule type="containsText" dxfId="752" priority="81" operator="containsText" text="Str">
      <formula>NOT(ISERROR(SEARCH("Str",AC181)))</formula>
    </cfRule>
    <cfRule type="containsText" dxfId="751" priority="82" operator="containsText" text="Ere">
      <formula>NOT(ISERROR(SEARCH("Ere",AC181)))</formula>
    </cfRule>
    <cfRule type="containsText" dxfId="750" priority="83" operator="containsText" text="Ear">
      <formula>NOT(ISERROR(SEARCH("Ear",AC181)))</formula>
    </cfRule>
    <cfRule type="containsText" dxfId="749" priority="84" operator="containsText" text="fnd">
      <formula>NOT(ISERROR(SEARCH("fnd",AC181)))</formula>
    </cfRule>
  </conditionalFormatting>
  <conditionalFormatting sqref="AC30:AD30">
    <cfRule type="containsText" dxfId="748" priority="1831" operator="containsText" text="Str">
      <formula>NOT(ISERROR(SEARCH("Str",AC30)))</formula>
    </cfRule>
    <cfRule type="containsText" dxfId="747" priority="1832" operator="containsText" text="Ere">
      <formula>NOT(ISERROR(SEARCH("Ere",AC30)))</formula>
    </cfRule>
    <cfRule type="containsText" dxfId="746" priority="1833" operator="containsText" text="Ear">
      <formula>NOT(ISERROR(SEARCH("Ear",AC30)))</formula>
    </cfRule>
    <cfRule type="containsText" dxfId="745" priority="1834" operator="containsText" text="fnd">
      <formula>NOT(ISERROR(SEARCH("fnd",AC30)))</formula>
    </cfRule>
  </conditionalFormatting>
  <conditionalFormatting sqref="AC38:AD38">
    <cfRule type="containsText" dxfId="744" priority="1495" operator="containsText" text="Str">
      <formula>NOT(ISERROR(SEARCH("Str",AC38)))</formula>
    </cfRule>
    <cfRule type="containsText" dxfId="743" priority="1496" operator="containsText" text="Ere">
      <formula>NOT(ISERROR(SEARCH("Ere",AC38)))</formula>
    </cfRule>
    <cfRule type="containsText" dxfId="742" priority="1497" operator="containsText" text="Ear">
      <formula>NOT(ISERROR(SEARCH("Ear",AC38)))</formula>
    </cfRule>
    <cfRule type="containsText" dxfId="741" priority="1498" operator="containsText" text="fnd">
      <formula>NOT(ISERROR(SEARCH("fnd",AC38)))</formula>
    </cfRule>
  </conditionalFormatting>
  <conditionalFormatting sqref="AC54:AD54">
    <cfRule type="containsText" dxfId="740" priority="541" operator="containsText" text="Str">
      <formula>NOT(ISERROR(SEARCH("Str",AC54)))</formula>
    </cfRule>
    <cfRule type="containsText" dxfId="739" priority="542" operator="containsText" text="Ere">
      <formula>NOT(ISERROR(SEARCH("Ere",AC54)))</formula>
    </cfRule>
    <cfRule type="containsText" dxfId="738" priority="543" operator="containsText" text="Ear">
      <formula>NOT(ISERROR(SEARCH("Ear",AC54)))</formula>
    </cfRule>
    <cfRule type="containsText" dxfId="737" priority="544" operator="containsText" text="fnd">
      <formula>NOT(ISERROR(SEARCH("fnd",AC54)))</formula>
    </cfRule>
  </conditionalFormatting>
  <conditionalFormatting sqref="AC94:AD94">
    <cfRule type="containsText" dxfId="736" priority="249" operator="containsText" text="Str">
      <formula>NOT(ISERROR(SEARCH("Str",AC94)))</formula>
    </cfRule>
    <cfRule type="containsText" dxfId="735" priority="250" operator="containsText" text="Ere">
      <formula>NOT(ISERROR(SEARCH("Ere",AC94)))</formula>
    </cfRule>
    <cfRule type="containsText" dxfId="734" priority="251" operator="containsText" text="Ear">
      <formula>NOT(ISERROR(SEARCH("Ear",AC94)))</formula>
    </cfRule>
    <cfRule type="containsText" dxfId="733" priority="252" operator="containsText" text="fnd">
      <formula>NOT(ISERROR(SEARCH("fnd",AC94)))</formula>
    </cfRule>
  </conditionalFormatting>
  <conditionalFormatting sqref="AC102:AD102">
    <cfRule type="containsText" dxfId="732" priority="1447" operator="containsText" text="Str">
      <formula>NOT(ISERROR(SEARCH("Str",AC102)))</formula>
    </cfRule>
    <cfRule type="containsText" dxfId="731" priority="1448" operator="containsText" text="Ere">
      <formula>NOT(ISERROR(SEARCH("Ere",AC102)))</formula>
    </cfRule>
    <cfRule type="containsText" dxfId="730" priority="1449" operator="containsText" text="Ear">
      <formula>NOT(ISERROR(SEARCH("Ear",AC102)))</formula>
    </cfRule>
    <cfRule type="containsText" dxfId="729" priority="1450" operator="containsText" text="fnd">
      <formula>NOT(ISERROR(SEARCH("fnd",AC102)))</formula>
    </cfRule>
  </conditionalFormatting>
  <conditionalFormatting sqref="AC118:AD118">
    <cfRule type="containsText" dxfId="728" priority="1391" operator="containsText" text="Str">
      <formula>NOT(ISERROR(SEARCH("Str",AC118)))</formula>
    </cfRule>
    <cfRule type="containsText" dxfId="727" priority="1392" operator="containsText" text="Ere">
      <formula>NOT(ISERROR(SEARCH("Ere",AC118)))</formula>
    </cfRule>
    <cfRule type="containsText" dxfId="726" priority="1393" operator="containsText" text="Ear">
      <formula>NOT(ISERROR(SEARCH("Ear",AC118)))</formula>
    </cfRule>
    <cfRule type="containsText" dxfId="725" priority="1394" operator="containsText" text="fnd">
      <formula>NOT(ISERROR(SEARCH("fnd",AC118)))</formula>
    </cfRule>
  </conditionalFormatting>
  <conditionalFormatting sqref="AC126:AD126">
    <cfRule type="containsText" dxfId="724" priority="553" operator="containsText" text="Str">
      <formula>NOT(ISERROR(SEARCH("Str",AC126)))</formula>
    </cfRule>
    <cfRule type="containsText" dxfId="723" priority="554" operator="containsText" text="Ere">
      <formula>NOT(ISERROR(SEARCH("Ere",AC126)))</formula>
    </cfRule>
    <cfRule type="containsText" dxfId="722" priority="555" operator="containsText" text="Ear">
      <formula>NOT(ISERROR(SEARCH("Ear",AC126)))</formula>
    </cfRule>
    <cfRule type="containsText" dxfId="721" priority="556" operator="containsText" text="fnd">
      <formula>NOT(ISERROR(SEARCH("fnd",AC126)))</formula>
    </cfRule>
  </conditionalFormatting>
  <conditionalFormatting sqref="AC134:AD134">
    <cfRule type="containsText" dxfId="720" priority="329" operator="containsText" text="Str">
      <formula>NOT(ISERROR(SEARCH("Str",AC134)))</formula>
    </cfRule>
    <cfRule type="containsText" dxfId="719" priority="330" operator="containsText" text="Ere">
      <formula>NOT(ISERROR(SEARCH("Ere",AC134)))</formula>
    </cfRule>
    <cfRule type="containsText" dxfId="718" priority="331" operator="containsText" text="Ear">
      <formula>NOT(ISERROR(SEARCH("Ear",AC134)))</formula>
    </cfRule>
    <cfRule type="containsText" dxfId="717" priority="332" operator="containsText" text="fnd">
      <formula>NOT(ISERROR(SEARCH("fnd",AC134)))</formula>
    </cfRule>
  </conditionalFormatting>
  <conditionalFormatting sqref="AC142:AD142">
    <cfRule type="containsText" dxfId="716" priority="1251" operator="containsText" text="Str">
      <formula>NOT(ISERROR(SEARCH("Str",AC142)))</formula>
    </cfRule>
    <cfRule type="containsText" dxfId="715" priority="1252" operator="containsText" text="Ere">
      <formula>NOT(ISERROR(SEARCH("Ere",AC142)))</formula>
    </cfRule>
    <cfRule type="containsText" dxfId="714" priority="1253" operator="containsText" text="Ear">
      <formula>NOT(ISERROR(SEARCH("Ear",AC142)))</formula>
    </cfRule>
    <cfRule type="containsText" dxfId="713" priority="1254" operator="containsText" text="fnd">
      <formula>NOT(ISERROR(SEARCH("fnd",AC142)))</formula>
    </cfRule>
  </conditionalFormatting>
  <conditionalFormatting sqref="AC174:AD174">
    <cfRule type="containsText" dxfId="712" priority="991" operator="containsText" text="Str">
      <formula>NOT(ISERROR(SEARCH("Str",AC174)))</formula>
    </cfRule>
    <cfRule type="containsText" dxfId="711" priority="992" operator="containsText" text="Ere">
      <formula>NOT(ISERROR(SEARCH("Ere",AC174)))</formula>
    </cfRule>
    <cfRule type="containsText" dxfId="710" priority="993" operator="containsText" text="Ear">
      <formula>NOT(ISERROR(SEARCH("Ear",AC174)))</formula>
    </cfRule>
    <cfRule type="containsText" dxfId="709" priority="994" operator="containsText" text="fnd">
      <formula>NOT(ISERROR(SEARCH("fnd",AC174)))</formula>
    </cfRule>
  </conditionalFormatting>
  <conditionalFormatting sqref="AC182:AD182">
    <cfRule type="containsText" dxfId="708" priority="85" operator="containsText" text="Str">
      <formula>NOT(ISERROR(SEARCH("Str",AC182)))</formula>
    </cfRule>
    <cfRule type="containsText" dxfId="707" priority="86" operator="containsText" text="Ere">
      <formula>NOT(ISERROR(SEARCH("Ere",AC182)))</formula>
    </cfRule>
    <cfRule type="containsText" dxfId="706" priority="87" operator="containsText" text="Ear">
      <formula>NOT(ISERROR(SEARCH("Ear",AC182)))</formula>
    </cfRule>
    <cfRule type="containsText" dxfId="705" priority="88" operator="containsText" text="fnd">
      <formula>NOT(ISERROR(SEARCH("fnd",AC182)))</formula>
    </cfRule>
  </conditionalFormatting>
  <conditionalFormatting sqref="AD6">
    <cfRule type="containsText" dxfId="704" priority="177" operator="containsText" text="Str">
      <formula>NOT(ISERROR(SEARCH("Str",AD6)))</formula>
    </cfRule>
    <cfRule type="containsText" dxfId="703" priority="178" operator="containsText" text="Ere">
      <formula>NOT(ISERROR(SEARCH("Ere",AD6)))</formula>
    </cfRule>
    <cfRule type="containsText" dxfId="702" priority="179" operator="containsText" text="Ear">
      <formula>NOT(ISERROR(SEARCH("Ear",AD6)))</formula>
    </cfRule>
    <cfRule type="containsText" dxfId="701" priority="180" operator="containsText" text="fnd">
      <formula>NOT(ISERROR(SEARCH("fnd",AD6)))</formula>
    </cfRule>
  </conditionalFormatting>
  <conditionalFormatting sqref="AD14">
    <cfRule type="containsText" dxfId="700" priority="939" operator="containsText" text="Str">
      <formula>NOT(ISERROR(SEARCH("Str",AD14)))</formula>
    </cfRule>
    <cfRule type="containsText" dxfId="699" priority="940" operator="containsText" text="Ere">
      <formula>NOT(ISERROR(SEARCH("Ere",AD14)))</formula>
    </cfRule>
    <cfRule type="containsText" dxfId="698" priority="941" operator="containsText" text="Ear">
      <formula>NOT(ISERROR(SEARCH("Ear",AD14)))</formula>
    </cfRule>
    <cfRule type="containsText" dxfId="697" priority="942" operator="containsText" text="fnd">
      <formula>NOT(ISERROR(SEARCH("fnd",AD14)))</formula>
    </cfRule>
  </conditionalFormatting>
  <conditionalFormatting sqref="AD22">
    <cfRule type="containsText" dxfId="696" priority="1919" operator="containsText" text="Str">
      <formula>NOT(ISERROR(SEARCH("Str",AD22)))</formula>
    </cfRule>
    <cfRule type="containsText" dxfId="695" priority="1920" operator="containsText" text="Ere">
      <formula>NOT(ISERROR(SEARCH("Ere",AD22)))</formula>
    </cfRule>
    <cfRule type="containsText" dxfId="694" priority="1921" operator="containsText" text="Ear">
      <formula>NOT(ISERROR(SEARCH("Ear",AD22)))</formula>
    </cfRule>
    <cfRule type="containsText" dxfId="693" priority="1922" operator="containsText" text="fnd">
      <formula>NOT(ISERROR(SEARCH("fnd",AD22)))</formula>
    </cfRule>
  </conditionalFormatting>
  <conditionalFormatting sqref="AF5:AF6">
    <cfRule type="containsText" dxfId="692" priority="173" operator="containsText" text="Str">
      <formula>NOT(ISERROR(SEARCH("Str",AF5)))</formula>
    </cfRule>
    <cfRule type="containsText" dxfId="691" priority="174" operator="containsText" text="Ere">
      <formula>NOT(ISERROR(SEARCH("Ere",AF5)))</formula>
    </cfRule>
    <cfRule type="containsText" dxfId="690" priority="175" operator="containsText" text="Ear">
      <formula>NOT(ISERROR(SEARCH("Ear",AF5)))</formula>
    </cfRule>
    <cfRule type="containsText" dxfId="689" priority="176" operator="containsText" text="fnd">
      <formula>NOT(ISERROR(SEARCH("fnd",AF5)))</formula>
    </cfRule>
  </conditionalFormatting>
  <conditionalFormatting sqref="AF13:AF14">
    <cfRule type="containsText" dxfId="688" priority="751" operator="containsText" text="Str">
      <formula>NOT(ISERROR(SEARCH("Str",AF13)))</formula>
    </cfRule>
    <cfRule type="containsText" dxfId="687" priority="752" operator="containsText" text="Ere">
      <formula>NOT(ISERROR(SEARCH("Ere",AF13)))</formula>
    </cfRule>
    <cfRule type="containsText" dxfId="686" priority="753" operator="containsText" text="Ear">
      <formula>NOT(ISERROR(SEARCH("Ear",AF13)))</formula>
    </cfRule>
    <cfRule type="containsText" dxfId="685" priority="754" operator="containsText" text="fnd">
      <formula>NOT(ISERROR(SEARCH("fnd",AF13)))</formula>
    </cfRule>
  </conditionalFormatting>
  <conditionalFormatting sqref="AF21:AF22">
    <cfRule type="containsText" dxfId="684" priority="1815" operator="containsText" text="Str">
      <formula>NOT(ISERROR(SEARCH("Str",AF21)))</formula>
    </cfRule>
    <cfRule type="containsText" dxfId="683" priority="1816" operator="containsText" text="Ere">
      <formula>NOT(ISERROR(SEARCH("Ere",AF21)))</formula>
    </cfRule>
    <cfRule type="containsText" dxfId="682" priority="1817" operator="containsText" text="Ear">
      <formula>NOT(ISERROR(SEARCH("Ear",AF21)))</formula>
    </cfRule>
    <cfRule type="containsText" dxfId="681" priority="1818" operator="containsText" text="fnd">
      <formula>NOT(ISERROR(SEARCH("fnd",AF21)))</formula>
    </cfRule>
  </conditionalFormatting>
  <conditionalFormatting sqref="AF29">
    <cfRule type="containsText" dxfId="680" priority="1467" operator="containsText" text="Str">
      <formula>NOT(ISERROR(SEARCH("Str",AF29)))</formula>
    </cfRule>
    <cfRule type="containsText" dxfId="679" priority="1468" operator="containsText" text="Ere">
      <formula>NOT(ISERROR(SEARCH("Ere",AF29)))</formula>
    </cfRule>
    <cfRule type="containsText" dxfId="678" priority="1469" operator="containsText" text="Ear">
      <formula>NOT(ISERROR(SEARCH("Ear",AF29)))</formula>
    </cfRule>
    <cfRule type="containsText" dxfId="677" priority="1470" operator="containsText" text="fnd">
      <formula>NOT(ISERROR(SEARCH("fnd",AF29)))</formula>
    </cfRule>
  </conditionalFormatting>
  <conditionalFormatting sqref="AF37">
    <cfRule type="containsText" dxfId="676" priority="2231" operator="containsText" text="Str">
      <formula>NOT(ISERROR(SEARCH("Str",AF37)))</formula>
    </cfRule>
    <cfRule type="containsText" dxfId="675" priority="2232" operator="containsText" text="Ere">
      <formula>NOT(ISERROR(SEARCH("Ere",AF37)))</formula>
    </cfRule>
    <cfRule type="containsText" dxfId="674" priority="2233" operator="containsText" text="Ear">
      <formula>NOT(ISERROR(SEARCH("Ear",AF37)))</formula>
    </cfRule>
    <cfRule type="containsText" dxfId="673" priority="2234" operator="containsText" text="fnd">
      <formula>NOT(ISERROR(SEARCH("fnd",AF37)))</formula>
    </cfRule>
  </conditionalFormatting>
  <conditionalFormatting sqref="AF53">
    <cfRule type="containsText" dxfId="672" priority="771" operator="containsText" text="Str">
      <formula>NOT(ISERROR(SEARCH("Str",AF53)))</formula>
    </cfRule>
    <cfRule type="containsText" dxfId="671" priority="772" operator="containsText" text="Ere">
      <formula>NOT(ISERROR(SEARCH("Ere",AF53)))</formula>
    </cfRule>
    <cfRule type="containsText" dxfId="670" priority="773" operator="containsText" text="Ear">
      <formula>NOT(ISERROR(SEARCH("Ear",AF53)))</formula>
    </cfRule>
    <cfRule type="containsText" dxfId="669" priority="774" operator="containsText" text="fnd">
      <formula>NOT(ISERROR(SEARCH("fnd",AF53)))</formula>
    </cfRule>
  </conditionalFormatting>
  <conditionalFormatting sqref="AF61">
    <cfRule type="containsText" dxfId="668" priority="1903" operator="containsText" text="Str">
      <formula>NOT(ISERROR(SEARCH("Str",AF61)))</formula>
    </cfRule>
    <cfRule type="containsText" dxfId="667" priority="1904" operator="containsText" text="Ere">
      <formula>NOT(ISERROR(SEARCH("Ere",AF61)))</formula>
    </cfRule>
    <cfRule type="containsText" dxfId="666" priority="1905" operator="containsText" text="Ear">
      <formula>NOT(ISERROR(SEARCH("Ear",AF61)))</formula>
    </cfRule>
    <cfRule type="containsText" dxfId="665" priority="1906" operator="containsText" text="fnd">
      <formula>NOT(ISERROR(SEARCH("fnd",AF61)))</formula>
    </cfRule>
  </conditionalFormatting>
  <conditionalFormatting sqref="AF69">
    <cfRule type="containsText" dxfId="664" priority="2151" operator="containsText" text="Str">
      <formula>NOT(ISERROR(SEARCH("Str",AF69)))</formula>
    </cfRule>
    <cfRule type="containsText" dxfId="663" priority="2152" operator="containsText" text="Ere">
      <formula>NOT(ISERROR(SEARCH("Ere",AF69)))</formula>
    </cfRule>
    <cfRule type="containsText" dxfId="662" priority="2153" operator="containsText" text="Ear">
      <formula>NOT(ISERROR(SEARCH("Ear",AF69)))</formula>
    </cfRule>
    <cfRule type="containsText" dxfId="661" priority="2154" operator="containsText" text="fnd">
      <formula>NOT(ISERROR(SEARCH("fnd",AF69)))</formula>
    </cfRule>
  </conditionalFormatting>
  <conditionalFormatting sqref="AF85 AI85">
    <cfRule type="containsText" dxfId="660" priority="2243" operator="containsText" text="Str">
      <formula>NOT(ISERROR(SEARCH("Str",AF85)))</formula>
    </cfRule>
    <cfRule type="containsText" dxfId="659" priority="2244" operator="containsText" text="Ere">
      <formula>NOT(ISERROR(SEARCH("Ere",AF85)))</formula>
    </cfRule>
    <cfRule type="containsText" dxfId="658" priority="2245" operator="containsText" text="Ear">
      <formula>NOT(ISERROR(SEARCH("Ear",AF85)))</formula>
    </cfRule>
    <cfRule type="containsText" dxfId="657" priority="2246" operator="containsText" text="fnd">
      <formula>NOT(ISERROR(SEARCH("fnd",AF85)))</formula>
    </cfRule>
  </conditionalFormatting>
  <conditionalFormatting sqref="AF93:AF94">
    <cfRule type="containsText" dxfId="656" priority="2219" operator="containsText" text="Str">
      <formula>NOT(ISERROR(SEARCH("Str",AF93)))</formula>
    </cfRule>
    <cfRule type="containsText" dxfId="655" priority="2220" operator="containsText" text="Ere">
      <formula>NOT(ISERROR(SEARCH("Ere",AF93)))</formula>
    </cfRule>
    <cfRule type="containsText" dxfId="654" priority="2221" operator="containsText" text="Ear">
      <formula>NOT(ISERROR(SEARCH("Ear",AF93)))</formula>
    </cfRule>
    <cfRule type="containsText" dxfId="653" priority="2222" operator="containsText" text="fnd">
      <formula>NOT(ISERROR(SEARCH("fnd",AF93)))</formula>
    </cfRule>
  </conditionalFormatting>
  <conditionalFormatting sqref="AF101">
    <cfRule type="containsText" dxfId="652" priority="469" operator="containsText" text="Str">
      <formula>NOT(ISERROR(SEARCH("Str",AF101)))</formula>
    </cfRule>
    <cfRule type="containsText" dxfId="651" priority="470" operator="containsText" text="Ere">
      <formula>NOT(ISERROR(SEARCH("Ere",AF101)))</formula>
    </cfRule>
    <cfRule type="containsText" dxfId="650" priority="471" operator="containsText" text="Ear">
      <formula>NOT(ISERROR(SEARCH("Ear",AF101)))</formula>
    </cfRule>
    <cfRule type="containsText" dxfId="649" priority="472" operator="containsText" text="fnd">
      <formula>NOT(ISERROR(SEARCH("fnd",AF101)))</formula>
    </cfRule>
  </conditionalFormatting>
  <conditionalFormatting sqref="AF109">
    <cfRule type="containsText" dxfId="648" priority="1719" operator="containsText" text="Str">
      <formula>NOT(ISERROR(SEARCH("Str",AF109)))</formula>
    </cfRule>
    <cfRule type="containsText" dxfId="647" priority="1720" operator="containsText" text="Ere">
      <formula>NOT(ISERROR(SEARCH("Ere",AF109)))</formula>
    </cfRule>
    <cfRule type="containsText" dxfId="646" priority="1721" operator="containsText" text="Ear">
      <formula>NOT(ISERROR(SEARCH("Ear",AF109)))</formula>
    </cfRule>
    <cfRule type="containsText" dxfId="645" priority="1722" operator="containsText" text="fnd">
      <formula>NOT(ISERROR(SEARCH("fnd",AF109)))</formula>
    </cfRule>
  </conditionalFormatting>
  <conditionalFormatting sqref="AF117">
    <cfRule type="containsText" dxfId="644" priority="683" operator="containsText" text="Str">
      <formula>NOT(ISERROR(SEARCH("Str",AF117)))</formula>
    </cfRule>
    <cfRule type="containsText" dxfId="643" priority="684" operator="containsText" text="Ere">
      <formula>NOT(ISERROR(SEARCH("Ere",AF117)))</formula>
    </cfRule>
    <cfRule type="containsText" dxfId="642" priority="685" operator="containsText" text="Ear">
      <formula>NOT(ISERROR(SEARCH("Ear",AF117)))</formula>
    </cfRule>
    <cfRule type="containsText" dxfId="641" priority="686" operator="containsText" text="fnd">
      <formula>NOT(ISERROR(SEARCH("fnd",AF117)))</formula>
    </cfRule>
  </conditionalFormatting>
  <conditionalFormatting sqref="AF122 AF130 AF138 AF162 AF170 AF178">
    <cfRule type="containsText" dxfId="640" priority="2023" operator="containsText" text="Str">
      <formula>NOT(ISERROR(SEARCH("Str",AF122)))</formula>
    </cfRule>
    <cfRule type="containsText" dxfId="639" priority="2024" operator="containsText" text="Ere">
      <formula>NOT(ISERROR(SEARCH("Ere",AF122)))</formula>
    </cfRule>
    <cfRule type="containsText" dxfId="638" priority="2025" operator="containsText" text="Ear">
      <formula>NOT(ISERROR(SEARCH("Ear",AF122)))</formula>
    </cfRule>
    <cfRule type="containsText" dxfId="637" priority="2026" operator="containsText" text="fnd">
      <formula>NOT(ISERROR(SEARCH("fnd",AF122)))</formula>
    </cfRule>
  </conditionalFormatting>
  <conditionalFormatting sqref="AF125">
    <cfRule type="containsText" dxfId="636" priority="485" operator="containsText" text="Str">
      <formula>NOT(ISERROR(SEARCH("Str",AF125)))</formula>
    </cfRule>
    <cfRule type="containsText" dxfId="635" priority="486" operator="containsText" text="Ere">
      <formula>NOT(ISERROR(SEARCH("Ere",AF125)))</formula>
    </cfRule>
    <cfRule type="containsText" dxfId="634" priority="487" operator="containsText" text="Ear">
      <formula>NOT(ISERROR(SEARCH("Ear",AF125)))</formula>
    </cfRule>
    <cfRule type="containsText" dxfId="633" priority="488" operator="containsText" text="fnd">
      <formula>NOT(ISERROR(SEARCH("fnd",AF125)))</formula>
    </cfRule>
  </conditionalFormatting>
  <conditionalFormatting sqref="AF133">
    <cfRule type="containsText" dxfId="632" priority="229" operator="containsText" text="Str">
      <formula>NOT(ISERROR(SEARCH("Str",AF133)))</formula>
    </cfRule>
    <cfRule type="containsText" dxfId="631" priority="230" operator="containsText" text="Ere">
      <formula>NOT(ISERROR(SEARCH("Ere",AF133)))</formula>
    </cfRule>
    <cfRule type="containsText" dxfId="630" priority="231" operator="containsText" text="Ear">
      <formula>NOT(ISERROR(SEARCH("Ear",AF133)))</formula>
    </cfRule>
    <cfRule type="containsText" dxfId="629" priority="232" operator="containsText" text="fnd">
      <formula>NOT(ISERROR(SEARCH("fnd",AF133)))</formula>
    </cfRule>
  </conditionalFormatting>
  <conditionalFormatting sqref="AF141">
    <cfRule type="containsText" dxfId="628" priority="1231" operator="containsText" text="Str">
      <formula>NOT(ISERROR(SEARCH("Str",AF141)))</formula>
    </cfRule>
    <cfRule type="containsText" dxfId="627" priority="1232" operator="containsText" text="Ere">
      <formula>NOT(ISERROR(SEARCH("Ere",AF141)))</formula>
    </cfRule>
    <cfRule type="containsText" dxfId="626" priority="1233" operator="containsText" text="Ear">
      <formula>NOT(ISERROR(SEARCH("Ear",AF141)))</formula>
    </cfRule>
    <cfRule type="containsText" dxfId="625" priority="1234" operator="containsText" text="fnd">
      <formula>NOT(ISERROR(SEARCH("fnd",AF141)))</formula>
    </cfRule>
  </conditionalFormatting>
  <conditionalFormatting sqref="AF149">
    <cfRule type="containsText" dxfId="624" priority="1167" operator="containsText" text="Str">
      <formula>NOT(ISERROR(SEARCH("Str",AF149)))</formula>
    </cfRule>
    <cfRule type="containsText" dxfId="623" priority="1168" operator="containsText" text="Ere">
      <formula>NOT(ISERROR(SEARCH("Ere",AF149)))</formula>
    </cfRule>
    <cfRule type="containsText" dxfId="622" priority="1169" operator="containsText" text="Ear">
      <formula>NOT(ISERROR(SEARCH("Ear",AF149)))</formula>
    </cfRule>
    <cfRule type="containsText" dxfId="621" priority="1170" operator="containsText" text="fnd">
      <formula>NOT(ISERROR(SEARCH("fnd",AF149)))</formula>
    </cfRule>
  </conditionalFormatting>
  <conditionalFormatting sqref="AF157">
    <cfRule type="containsText" dxfId="620" priority="1099" operator="containsText" text="Str">
      <formula>NOT(ISERROR(SEARCH("Str",AF157)))</formula>
    </cfRule>
    <cfRule type="containsText" dxfId="619" priority="1100" operator="containsText" text="Ere">
      <formula>NOT(ISERROR(SEARCH("Ere",AF157)))</formula>
    </cfRule>
    <cfRule type="containsText" dxfId="618" priority="1101" operator="containsText" text="Ear">
      <formula>NOT(ISERROR(SEARCH("Ear",AF157)))</formula>
    </cfRule>
    <cfRule type="containsText" dxfId="617" priority="1102" operator="containsText" text="fnd">
      <formula>NOT(ISERROR(SEARCH("fnd",AF157)))</formula>
    </cfRule>
  </conditionalFormatting>
  <conditionalFormatting sqref="AF165">
    <cfRule type="containsText" dxfId="616" priority="1035" operator="containsText" text="Str">
      <formula>NOT(ISERROR(SEARCH("Str",AF165)))</formula>
    </cfRule>
    <cfRule type="containsText" dxfId="615" priority="1036" operator="containsText" text="Ere">
      <formula>NOT(ISERROR(SEARCH("Ere",AF165)))</formula>
    </cfRule>
    <cfRule type="containsText" dxfId="614" priority="1037" operator="containsText" text="Ear">
      <formula>NOT(ISERROR(SEARCH("Ear",AF165)))</formula>
    </cfRule>
    <cfRule type="containsText" dxfId="613" priority="1038" operator="containsText" text="fnd">
      <formula>NOT(ISERROR(SEARCH("fnd",AF165)))</formula>
    </cfRule>
  </conditionalFormatting>
  <conditionalFormatting sqref="AF173">
    <cfRule type="containsText" dxfId="612" priority="345" operator="containsText" text="Str">
      <formula>NOT(ISERROR(SEARCH("Str",AF173)))</formula>
    </cfRule>
    <cfRule type="containsText" dxfId="611" priority="346" operator="containsText" text="Ere">
      <formula>NOT(ISERROR(SEARCH("Ere",AF173)))</formula>
    </cfRule>
    <cfRule type="containsText" dxfId="610" priority="347" operator="containsText" text="Ear">
      <formula>NOT(ISERROR(SEARCH("Ear",AF173)))</formula>
    </cfRule>
    <cfRule type="containsText" dxfId="609" priority="348" operator="containsText" text="fnd">
      <formula>NOT(ISERROR(SEARCH("fnd",AF173)))</formula>
    </cfRule>
  </conditionalFormatting>
  <conditionalFormatting sqref="AF181">
    <cfRule type="containsText" dxfId="608" priority="73" operator="containsText" text="Str">
      <formula>NOT(ISERROR(SEARCH("Str",AF181)))</formula>
    </cfRule>
    <cfRule type="containsText" dxfId="607" priority="74" operator="containsText" text="Ere">
      <formula>NOT(ISERROR(SEARCH("Ere",AF181)))</formula>
    </cfRule>
    <cfRule type="containsText" dxfId="606" priority="75" operator="containsText" text="Ear">
      <formula>NOT(ISERROR(SEARCH("Ear",AF181)))</formula>
    </cfRule>
    <cfRule type="containsText" dxfId="605" priority="76" operator="containsText" text="fnd">
      <formula>NOT(ISERROR(SEARCH("fnd",AF181)))</formula>
    </cfRule>
  </conditionalFormatting>
  <conditionalFormatting sqref="AF30:AG30">
    <cfRule type="containsText" dxfId="604" priority="1471" operator="containsText" text="Str">
      <formula>NOT(ISERROR(SEARCH("Str",AF30)))</formula>
    </cfRule>
    <cfRule type="containsText" dxfId="603" priority="1472" operator="containsText" text="Ere">
      <formula>NOT(ISERROR(SEARCH("Ere",AF30)))</formula>
    </cfRule>
    <cfRule type="containsText" dxfId="602" priority="1473" operator="containsText" text="Ear">
      <formula>NOT(ISERROR(SEARCH("Ear",AF30)))</formula>
    </cfRule>
    <cfRule type="containsText" dxfId="601" priority="1474" operator="containsText" text="fnd">
      <formula>NOT(ISERROR(SEARCH("fnd",AF30)))</formula>
    </cfRule>
  </conditionalFormatting>
  <conditionalFormatting sqref="AF38:AG38">
    <cfRule type="containsText" dxfId="600" priority="2343" operator="containsText" text="Str">
      <formula>NOT(ISERROR(SEARCH("Str",AF38)))</formula>
    </cfRule>
    <cfRule type="containsText" dxfId="599" priority="2344" operator="containsText" text="Ere">
      <formula>NOT(ISERROR(SEARCH("Ere",AF38)))</formula>
    </cfRule>
    <cfRule type="containsText" dxfId="598" priority="2345" operator="containsText" text="Ear">
      <formula>NOT(ISERROR(SEARCH("Ear",AF38)))</formula>
    </cfRule>
    <cfRule type="containsText" dxfId="597" priority="2346" operator="containsText" text="fnd">
      <formula>NOT(ISERROR(SEARCH("fnd",AF38)))</formula>
    </cfRule>
  </conditionalFormatting>
  <conditionalFormatting sqref="AF45:AG46 K53 H53:H54">
    <cfRule type="containsText" dxfId="596" priority="2299" operator="containsText" text="Str">
      <formula>NOT(ISERROR(SEARCH("Str",H45)))</formula>
    </cfRule>
    <cfRule type="containsText" dxfId="595" priority="2300" operator="containsText" text="Ere">
      <formula>NOT(ISERROR(SEARCH("Ere",H45)))</formula>
    </cfRule>
    <cfRule type="containsText" dxfId="594" priority="2301" operator="containsText" text="Ear">
      <formula>NOT(ISERROR(SEARCH("Ear",H45)))</formula>
    </cfRule>
    <cfRule type="containsText" dxfId="593" priority="2302" operator="containsText" text="fnd">
      <formula>NOT(ISERROR(SEARCH("fnd",H45)))</formula>
    </cfRule>
  </conditionalFormatting>
  <conditionalFormatting sqref="AF62:AG62">
    <cfRule type="containsText" dxfId="592" priority="1907" operator="containsText" text="Str">
      <formula>NOT(ISERROR(SEARCH("Str",AF62)))</formula>
    </cfRule>
    <cfRule type="containsText" dxfId="591" priority="1908" operator="containsText" text="Ere">
      <formula>NOT(ISERROR(SEARCH("Ere",AF62)))</formula>
    </cfRule>
    <cfRule type="containsText" dxfId="590" priority="1909" operator="containsText" text="Ear">
      <formula>NOT(ISERROR(SEARCH("Ear",AF62)))</formula>
    </cfRule>
    <cfRule type="containsText" dxfId="589" priority="1910" operator="containsText" text="fnd">
      <formula>NOT(ISERROR(SEARCH("fnd",AF62)))</formula>
    </cfRule>
  </conditionalFormatting>
  <conditionalFormatting sqref="AF70:AG70">
    <cfRule type="containsText" dxfId="588" priority="2175" operator="containsText" text="Str">
      <formula>NOT(ISERROR(SEARCH("Str",AF70)))</formula>
    </cfRule>
    <cfRule type="containsText" dxfId="587" priority="2176" operator="containsText" text="Ere">
      <formula>NOT(ISERROR(SEARCH("Ere",AF70)))</formula>
    </cfRule>
    <cfRule type="containsText" dxfId="586" priority="2177" operator="containsText" text="Ear">
      <formula>NOT(ISERROR(SEARCH("Ear",AF70)))</formula>
    </cfRule>
    <cfRule type="containsText" dxfId="585" priority="2178" operator="containsText" text="fnd">
      <formula>NOT(ISERROR(SEARCH("fnd",AF70)))</formula>
    </cfRule>
  </conditionalFormatting>
  <conditionalFormatting sqref="AF86:AG86">
    <cfRule type="containsText" dxfId="584" priority="2271" operator="containsText" text="Str">
      <formula>NOT(ISERROR(SEARCH("Str",AF86)))</formula>
    </cfRule>
    <cfRule type="containsText" dxfId="583" priority="2272" operator="containsText" text="Ere">
      <formula>NOT(ISERROR(SEARCH("Ere",AF86)))</formula>
    </cfRule>
    <cfRule type="containsText" dxfId="582" priority="2273" operator="containsText" text="Ear">
      <formula>NOT(ISERROR(SEARCH("Ear",AF86)))</formula>
    </cfRule>
    <cfRule type="containsText" dxfId="581" priority="2274" operator="containsText" text="fnd">
      <formula>NOT(ISERROR(SEARCH("fnd",AF86)))</formula>
    </cfRule>
  </conditionalFormatting>
  <conditionalFormatting sqref="AF110:AG110">
    <cfRule type="containsText" dxfId="580" priority="1723" operator="containsText" text="Str">
      <formula>NOT(ISERROR(SEARCH("Str",AF110)))</formula>
    </cfRule>
    <cfRule type="containsText" dxfId="579" priority="1724" operator="containsText" text="Ere">
      <formula>NOT(ISERROR(SEARCH("Ere",AF110)))</formula>
    </cfRule>
    <cfRule type="containsText" dxfId="578" priority="1725" operator="containsText" text="Ear">
      <formula>NOT(ISERROR(SEARCH("Ear",AF110)))</formula>
    </cfRule>
    <cfRule type="containsText" dxfId="577" priority="1726" operator="containsText" text="fnd">
      <formula>NOT(ISERROR(SEARCH("fnd",AF110)))</formula>
    </cfRule>
  </conditionalFormatting>
  <conditionalFormatting sqref="AF118:AG118">
    <cfRule type="containsText" dxfId="576" priority="687" operator="containsText" text="Str">
      <formula>NOT(ISERROR(SEARCH("Str",AF118)))</formula>
    </cfRule>
    <cfRule type="containsText" dxfId="575" priority="688" operator="containsText" text="Ere">
      <formula>NOT(ISERROR(SEARCH("Ere",AF118)))</formula>
    </cfRule>
    <cfRule type="containsText" dxfId="574" priority="689" operator="containsText" text="Ear">
      <formula>NOT(ISERROR(SEARCH("Ear",AF118)))</formula>
    </cfRule>
    <cfRule type="containsText" dxfId="573" priority="690" operator="containsText" text="fnd">
      <formula>NOT(ISERROR(SEARCH("fnd",AF118)))</formula>
    </cfRule>
  </conditionalFormatting>
  <conditionalFormatting sqref="AF126:AG126">
    <cfRule type="containsText" dxfId="572" priority="489" operator="containsText" text="Str">
      <formula>NOT(ISERROR(SEARCH("Str",AF126)))</formula>
    </cfRule>
    <cfRule type="containsText" dxfId="571" priority="490" operator="containsText" text="Ere">
      <formula>NOT(ISERROR(SEARCH("Ere",AF126)))</formula>
    </cfRule>
    <cfRule type="containsText" dxfId="570" priority="491" operator="containsText" text="Ear">
      <formula>NOT(ISERROR(SEARCH("Ear",AF126)))</formula>
    </cfRule>
    <cfRule type="containsText" dxfId="569" priority="492" operator="containsText" text="fnd">
      <formula>NOT(ISERROR(SEARCH("fnd",AF126)))</formula>
    </cfRule>
  </conditionalFormatting>
  <conditionalFormatting sqref="AF134:AG134">
    <cfRule type="containsText" dxfId="568" priority="233" operator="containsText" text="Str">
      <formula>NOT(ISERROR(SEARCH("Str",AF134)))</formula>
    </cfRule>
    <cfRule type="containsText" dxfId="567" priority="234" operator="containsText" text="Ere">
      <formula>NOT(ISERROR(SEARCH("Ere",AF134)))</formula>
    </cfRule>
    <cfRule type="containsText" dxfId="566" priority="235" operator="containsText" text="Ear">
      <formula>NOT(ISERROR(SEARCH("Ear",AF134)))</formula>
    </cfRule>
    <cfRule type="containsText" dxfId="565" priority="236" operator="containsText" text="fnd">
      <formula>NOT(ISERROR(SEARCH("fnd",AF134)))</formula>
    </cfRule>
  </conditionalFormatting>
  <conditionalFormatting sqref="AF142:AG142">
    <cfRule type="containsText" dxfId="564" priority="1235" operator="containsText" text="Str">
      <formula>NOT(ISERROR(SEARCH("Str",AF142)))</formula>
    </cfRule>
    <cfRule type="containsText" dxfId="563" priority="1236" operator="containsText" text="Ere">
      <formula>NOT(ISERROR(SEARCH("Ere",AF142)))</formula>
    </cfRule>
    <cfRule type="containsText" dxfId="562" priority="1237" operator="containsText" text="Ear">
      <formula>NOT(ISERROR(SEARCH("Ear",AF142)))</formula>
    </cfRule>
    <cfRule type="containsText" dxfId="561" priority="1238" operator="containsText" text="fnd">
      <formula>NOT(ISERROR(SEARCH("fnd",AF142)))</formula>
    </cfRule>
  </conditionalFormatting>
  <conditionalFormatting sqref="AF158:AG158">
    <cfRule type="containsText" dxfId="560" priority="1103" operator="containsText" text="Str">
      <formula>NOT(ISERROR(SEARCH("Str",AF158)))</formula>
    </cfRule>
    <cfRule type="containsText" dxfId="559" priority="1104" operator="containsText" text="Ere">
      <formula>NOT(ISERROR(SEARCH("Ere",AF158)))</formula>
    </cfRule>
    <cfRule type="containsText" dxfId="558" priority="1105" operator="containsText" text="Ear">
      <formula>NOT(ISERROR(SEARCH("Ear",AF158)))</formula>
    </cfRule>
    <cfRule type="containsText" dxfId="557" priority="1106" operator="containsText" text="fnd">
      <formula>NOT(ISERROR(SEARCH("fnd",AF158)))</formula>
    </cfRule>
  </conditionalFormatting>
  <conditionalFormatting sqref="AF166:AG166">
    <cfRule type="containsText" dxfId="556" priority="1039" operator="containsText" text="Str">
      <formula>NOT(ISERROR(SEARCH("Str",AF166)))</formula>
    </cfRule>
    <cfRule type="containsText" dxfId="555" priority="1040" operator="containsText" text="Ere">
      <formula>NOT(ISERROR(SEARCH("Ere",AF166)))</formula>
    </cfRule>
    <cfRule type="containsText" dxfId="554" priority="1041" operator="containsText" text="Ear">
      <formula>NOT(ISERROR(SEARCH("Ear",AF166)))</formula>
    </cfRule>
    <cfRule type="containsText" dxfId="553" priority="1042" operator="containsText" text="fnd">
      <formula>NOT(ISERROR(SEARCH("fnd",AF166)))</formula>
    </cfRule>
  </conditionalFormatting>
  <conditionalFormatting sqref="AF174:AG174">
    <cfRule type="containsText" dxfId="552" priority="349" operator="containsText" text="Str">
      <formula>NOT(ISERROR(SEARCH("Str",AF174)))</formula>
    </cfRule>
    <cfRule type="containsText" dxfId="551" priority="350" operator="containsText" text="Ere">
      <formula>NOT(ISERROR(SEARCH("Ere",AF174)))</formula>
    </cfRule>
    <cfRule type="containsText" dxfId="550" priority="351" operator="containsText" text="Ear">
      <formula>NOT(ISERROR(SEARCH("Ear",AF174)))</formula>
    </cfRule>
    <cfRule type="containsText" dxfId="549" priority="352" operator="containsText" text="fnd">
      <formula>NOT(ISERROR(SEARCH("fnd",AF174)))</formula>
    </cfRule>
  </conditionalFormatting>
  <conditionalFormatting sqref="AF182:AG182">
    <cfRule type="containsText" dxfId="548" priority="77" operator="containsText" text="Str">
      <formula>NOT(ISERROR(SEARCH("Str",AF182)))</formula>
    </cfRule>
    <cfRule type="containsText" dxfId="547" priority="78" operator="containsText" text="Ere">
      <formula>NOT(ISERROR(SEARCH("Ere",AF182)))</formula>
    </cfRule>
    <cfRule type="containsText" dxfId="546" priority="79" operator="containsText" text="Ear">
      <formula>NOT(ISERROR(SEARCH("Ear",AF182)))</formula>
    </cfRule>
    <cfRule type="containsText" dxfId="545" priority="80" operator="containsText" text="fnd">
      <formula>NOT(ISERROR(SEARCH("fnd",AF182)))</formula>
    </cfRule>
  </conditionalFormatting>
  <conditionalFormatting sqref="AG6">
    <cfRule type="containsText" dxfId="544" priority="169" operator="containsText" text="Str">
      <formula>NOT(ISERROR(SEARCH("Str",AG6)))</formula>
    </cfRule>
    <cfRule type="containsText" dxfId="543" priority="170" operator="containsText" text="Ere">
      <formula>NOT(ISERROR(SEARCH("Ere",AG6)))</formula>
    </cfRule>
    <cfRule type="containsText" dxfId="542" priority="171" operator="containsText" text="Ear">
      <formula>NOT(ISERROR(SEARCH("Ear",AG6)))</formula>
    </cfRule>
    <cfRule type="containsText" dxfId="541" priority="172" operator="containsText" text="fnd">
      <formula>NOT(ISERROR(SEARCH("fnd",AG6)))</formula>
    </cfRule>
  </conditionalFormatting>
  <conditionalFormatting sqref="AG14">
    <cfRule type="containsText" dxfId="540" priority="747" operator="containsText" text="Str">
      <formula>NOT(ISERROR(SEARCH("Str",AG14)))</formula>
    </cfRule>
    <cfRule type="containsText" dxfId="539" priority="748" operator="containsText" text="Ere">
      <formula>NOT(ISERROR(SEARCH("Ere",AG14)))</formula>
    </cfRule>
    <cfRule type="containsText" dxfId="538" priority="749" operator="containsText" text="Ear">
      <formula>NOT(ISERROR(SEARCH("Ear",AG14)))</formula>
    </cfRule>
    <cfRule type="containsText" dxfId="537" priority="750" operator="containsText" text="fnd">
      <formula>NOT(ISERROR(SEARCH("fnd",AG14)))</formula>
    </cfRule>
  </conditionalFormatting>
  <conditionalFormatting sqref="AG22">
    <cfRule type="containsText" dxfId="536" priority="1811" operator="containsText" text="Str">
      <formula>NOT(ISERROR(SEARCH("Str",AG22)))</formula>
    </cfRule>
    <cfRule type="containsText" dxfId="535" priority="1812" operator="containsText" text="Ere">
      <formula>NOT(ISERROR(SEARCH("Ere",AG22)))</formula>
    </cfRule>
    <cfRule type="containsText" dxfId="534" priority="1813" operator="containsText" text="Ear">
      <formula>NOT(ISERROR(SEARCH("Ear",AG22)))</formula>
    </cfRule>
    <cfRule type="containsText" dxfId="533" priority="1814" operator="containsText" text="fnd">
      <formula>NOT(ISERROR(SEARCH("fnd",AG22)))</formula>
    </cfRule>
  </conditionalFormatting>
  <conditionalFormatting sqref="AG78">
    <cfRule type="containsText" dxfId="532" priority="2287" operator="containsText" text="Str">
      <formula>NOT(ISERROR(SEARCH("Str",AG78)))</formula>
    </cfRule>
    <cfRule type="containsText" dxfId="531" priority="2288" operator="containsText" text="Ere">
      <formula>NOT(ISERROR(SEARCH("Ere",AG78)))</formula>
    </cfRule>
    <cfRule type="containsText" dxfId="530" priority="2289" operator="containsText" text="Ear">
      <formula>NOT(ISERROR(SEARCH("Ear",AG78)))</formula>
    </cfRule>
    <cfRule type="containsText" dxfId="529" priority="2290" operator="containsText" text="fnd">
      <formula>NOT(ISERROR(SEARCH("fnd",AG78)))</formula>
    </cfRule>
  </conditionalFormatting>
  <conditionalFormatting sqref="AI5:AI6">
    <cfRule type="containsText" dxfId="528" priority="165" operator="containsText" text="Str">
      <formula>NOT(ISERROR(SEARCH("Str",AI5)))</formula>
    </cfRule>
    <cfRule type="containsText" dxfId="527" priority="166" operator="containsText" text="Ere">
      <formula>NOT(ISERROR(SEARCH("Ere",AI5)))</formula>
    </cfRule>
    <cfRule type="containsText" dxfId="526" priority="167" operator="containsText" text="Ear">
      <formula>NOT(ISERROR(SEARCH("Ear",AI5)))</formula>
    </cfRule>
    <cfRule type="containsText" dxfId="525" priority="168" operator="containsText" text="fnd">
      <formula>NOT(ISERROR(SEARCH("fnd",AI5)))</formula>
    </cfRule>
  </conditionalFormatting>
  <conditionalFormatting sqref="AI13:AI14">
    <cfRule type="containsText" dxfId="524" priority="1663" operator="containsText" text="Str">
      <formula>NOT(ISERROR(SEARCH("Str",AI13)))</formula>
    </cfRule>
    <cfRule type="containsText" dxfId="523" priority="1664" operator="containsText" text="Ere">
      <formula>NOT(ISERROR(SEARCH("Ere",AI13)))</formula>
    </cfRule>
    <cfRule type="containsText" dxfId="522" priority="1665" operator="containsText" text="Ear">
      <formula>NOT(ISERROR(SEARCH("Ear",AI13)))</formula>
    </cfRule>
    <cfRule type="containsText" dxfId="521" priority="1666" operator="containsText" text="fnd">
      <formula>NOT(ISERROR(SEARCH("fnd",AI13)))</formula>
    </cfRule>
  </conditionalFormatting>
  <conditionalFormatting sqref="AI21:AI22">
    <cfRule type="containsText" dxfId="520" priority="935" operator="containsText" text="Str">
      <formula>NOT(ISERROR(SEARCH("Str",AI21)))</formula>
    </cfRule>
    <cfRule type="containsText" dxfId="519" priority="936" operator="containsText" text="Ere">
      <formula>NOT(ISERROR(SEARCH("Ere",AI21)))</formula>
    </cfRule>
    <cfRule type="containsText" dxfId="518" priority="937" operator="containsText" text="Ear">
      <formula>NOT(ISERROR(SEARCH("Ear",AI21)))</formula>
    </cfRule>
    <cfRule type="containsText" dxfId="517" priority="938" operator="containsText" text="fnd">
      <formula>NOT(ISERROR(SEARCH("fnd",AI21)))</formula>
    </cfRule>
  </conditionalFormatting>
  <conditionalFormatting sqref="AI29">
    <cfRule type="containsText" dxfId="516" priority="1727" operator="containsText" text="Str">
      <formula>NOT(ISERROR(SEARCH("Str",AI29)))</formula>
    </cfRule>
    <cfRule type="containsText" dxfId="515" priority="1728" operator="containsText" text="Ere">
      <formula>NOT(ISERROR(SEARCH("Ere",AI29)))</formula>
    </cfRule>
    <cfRule type="containsText" dxfId="514" priority="1729" operator="containsText" text="Ear">
      <formula>NOT(ISERROR(SEARCH("Ear",AI29)))</formula>
    </cfRule>
    <cfRule type="containsText" dxfId="513" priority="1730" operator="containsText" text="fnd">
      <formula>NOT(ISERROR(SEARCH("fnd",AI29)))</formula>
    </cfRule>
  </conditionalFormatting>
  <conditionalFormatting sqref="AI37">
    <cfRule type="containsText" dxfId="512" priority="855" operator="containsText" text="Str">
      <formula>NOT(ISERROR(SEARCH("Str",AI37)))</formula>
    </cfRule>
    <cfRule type="containsText" dxfId="511" priority="856" operator="containsText" text="Ere">
      <formula>NOT(ISERROR(SEARCH("Ere",AI37)))</formula>
    </cfRule>
    <cfRule type="containsText" dxfId="510" priority="857" operator="containsText" text="Ear">
      <formula>NOT(ISERROR(SEARCH("Ear",AI37)))</formula>
    </cfRule>
    <cfRule type="containsText" dxfId="509" priority="858" operator="containsText" text="fnd">
      <formula>NOT(ISERROR(SEARCH("fnd",AI37)))</formula>
    </cfRule>
  </conditionalFormatting>
  <conditionalFormatting sqref="AI53">
    <cfRule type="containsText" dxfId="508" priority="775" operator="containsText" text="Str">
      <formula>NOT(ISERROR(SEARCH("Str",AI53)))</formula>
    </cfRule>
    <cfRule type="containsText" dxfId="507" priority="776" operator="containsText" text="Ere">
      <formula>NOT(ISERROR(SEARCH("Ere",AI53)))</formula>
    </cfRule>
    <cfRule type="containsText" dxfId="506" priority="777" operator="containsText" text="Ear">
      <formula>NOT(ISERROR(SEARCH("Ear",AI53)))</formula>
    </cfRule>
    <cfRule type="containsText" dxfId="505" priority="778" operator="containsText" text="fnd">
      <formula>NOT(ISERROR(SEARCH("fnd",AI53)))</formula>
    </cfRule>
  </conditionalFormatting>
  <conditionalFormatting sqref="AI61">
    <cfRule type="containsText" dxfId="504" priority="1987" operator="containsText" text="Str">
      <formula>NOT(ISERROR(SEARCH("Str",AI61)))</formula>
    </cfRule>
    <cfRule type="containsText" dxfId="503" priority="1988" operator="containsText" text="Ere">
      <formula>NOT(ISERROR(SEARCH("Ere",AI61)))</formula>
    </cfRule>
    <cfRule type="containsText" dxfId="502" priority="1989" operator="containsText" text="Ear">
      <formula>NOT(ISERROR(SEARCH("Ear",AI61)))</formula>
    </cfRule>
    <cfRule type="containsText" dxfId="501" priority="1990" operator="containsText" text="fnd">
      <formula>NOT(ISERROR(SEARCH("fnd",AI61)))</formula>
    </cfRule>
  </conditionalFormatting>
  <conditionalFormatting sqref="AI69">
    <cfRule type="containsText" dxfId="500" priority="1911" operator="containsText" text="Str">
      <formula>NOT(ISERROR(SEARCH("Str",AI69)))</formula>
    </cfRule>
    <cfRule type="containsText" dxfId="499" priority="1912" operator="containsText" text="Ere">
      <formula>NOT(ISERROR(SEARCH("Ere",AI69)))</formula>
    </cfRule>
    <cfRule type="containsText" dxfId="498" priority="1913" operator="containsText" text="Ear">
      <formula>NOT(ISERROR(SEARCH("Ear",AI69)))</formula>
    </cfRule>
    <cfRule type="containsText" dxfId="497" priority="1914" operator="containsText" text="fnd">
      <formula>NOT(ISERROR(SEARCH("fnd",AI69)))</formula>
    </cfRule>
  </conditionalFormatting>
  <conditionalFormatting sqref="AI77:AI78">
    <cfRule type="containsText" dxfId="496" priority="253" operator="containsText" text="Str">
      <formula>NOT(ISERROR(SEARCH("Str",AI77)))</formula>
    </cfRule>
    <cfRule type="containsText" dxfId="495" priority="254" operator="containsText" text="Ere">
      <formula>NOT(ISERROR(SEARCH("Ere",AI77)))</formula>
    </cfRule>
    <cfRule type="containsText" dxfId="494" priority="255" operator="containsText" text="Ear">
      <formula>NOT(ISERROR(SEARCH("Ear",AI77)))</formula>
    </cfRule>
    <cfRule type="containsText" dxfId="493" priority="256" operator="containsText" text="fnd">
      <formula>NOT(ISERROR(SEARCH("fnd",AI77)))</formula>
    </cfRule>
  </conditionalFormatting>
  <conditionalFormatting sqref="AI93:AI94">
    <cfRule type="containsText" dxfId="492" priority="1647" operator="containsText" text="Str">
      <formula>NOT(ISERROR(SEARCH("Str",AI93)))</formula>
    </cfRule>
    <cfRule type="containsText" dxfId="491" priority="1648" operator="containsText" text="Ere">
      <formula>NOT(ISERROR(SEARCH("Ere",AI93)))</formula>
    </cfRule>
    <cfRule type="containsText" dxfId="490" priority="1649" operator="containsText" text="Ear">
      <formula>NOT(ISERROR(SEARCH("Ear",AI93)))</formula>
    </cfRule>
    <cfRule type="containsText" dxfId="489" priority="1650" operator="containsText" text="fnd">
      <formula>NOT(ISERROR(SEARCH("fnd",AI93)))</formula>
    </cfRule>
  </conditionalFormatting>
  <conditionalFormatting sqref="AI101">
    <cfRule type="containsText" dxfId="488" priority="2199" operator="containsText" text="Str">
      <formula>NOT(ISERROR(SEARCH("Str",AI101)))</formula>
    </cfRule>
    <cfRule type="containsText" dxfId="487" priority="2200" operator="containsText" text="Ere">
      <formula>NOT(ISERROR(SEARCH("Ere",AI101)))</formula>
    </cfRule>
    <cfRule type="containsText" dxfId="486" priority="2201" operator="containsText" text="Ear">
      <formula>NOT(ISERROR(SEARCH("Ear",AI101)))</formula>
    </cfRule>
    <cfRule type="containsText" dxfId="485" priority="2202" operator="containsText" text="fnd">
      <formula>NOT(ISERROR(SEARCH("fnd",AI101)))</formula>
    </cfRule>
  </conditionalFormatting>
  <conditionalFormatting sqref="AI109">
    <cfRule type="containsText" dxfId="484" priority="1679" operator="containsText" text="Str">
      <formula>NOT(ISERROR(SEARCH("Str",AI109)))</formula>
    </cfRule>
    <cfRule type="containsText" dxfId="483" priority="1680" operator="containsText" text="Ere">
      <formula>NOT(ISERROR(SEARCH("Ere",AI109)))</formula>
    </cfRule>
    <cfRule type="containsText" dxfId="482" priority="1681" operator="containsText" text="Ear">
      <formula>NOT(ISERROR(SEARCH("Ear",AI109)))</formula>
    </cfRule>
    <cfRule type="containsText" dxfId="481" priority="1682" operator="containsText" text="fnd">
      <formula>NOT(ISERROR(SEARCH("fnd",AI109)))</formula>
    </cfRule>
  </conditionalFormatting>
  <conditionalFormatting sqref="AI117">
    <cfRule type="containsText" dxfId="480" priority="587" operator="containsText" text="Str">
      <formula>NOT(ISERROR(SEARCH("Str",AI117)))</formula>
    </cfRule>
    <cfRule type="containsText" dxfId="479" priority="588" operator="containsText" text="Ere">
      <formula>NOT(ISERROR(SEARCH("Ere",AI117)))</formula>
    </cfRule>
    <cfRule type="containsText" dxfId="478" priority="589" operator="containsText" text="Ear">
      <formula>NOT(ISERROR(SEARCH("Ear",AI117)))</formula>
    </cfRule>
    <cfRule type="containsText" dxfId="477" priority="590" operator="containsText" text="fnd">
      <formula>NOT(ISERROR(SEARCH("fnd",AI117)))</formula>
    </cfRule>
  </conditionalFormatting>
  <conditionalFormatting sqref="AI122 AI130 AI138 AI170 AI178">
    <cfRule type="containsText" dxfId="476" priority="2019" operator="containsText" text="Str">
      <formula>NOT(ISERROR(SEARCH("Str",AI122)))</formula>
    </cfRule>
    <cfRule type="containsText" dxfId="475" priority="2020" operator="containsText" text="Ere">
      <formula>NOT(ISERROR(SEARCH("Ere",AI122)))</formula>
    </cfRule>
    <cfRule type="containsText" dxfId="474" priority="2021" operator="containsText" text="Ear">
      <formula>NOT(ISERROR(SEARCH("Ear",AI122)))</formula>
    </cfRule>
    <cfRule type="containsText" dxfId="473" priority="2022" operator="containsText" text="fnd">
      <formula>NOT(ISERROR(SEARCH("fnd",AI122)))</formula>
    </cfRule>
  </conditionalFormatting>
  <conditionalFormatting sqref="AI125">
    <cfRule type="containsText" dxfId="472" priority="1363" operator="containsText" text="Str">
      <formula>NOT(ISERROR(SEARCH("Str",AI125)))</formula>
    </cfRule>
    <cfRule type="containsText" dxfId="471" priority="1364" operator="containsText" text="Ere">
      <formula>NOT(ISERROR(SEARCH("Ere",AI125)))</formula>
    </cfRule>
    <cfRule type="containsText" dxfId="470" priority="1365" operator="containsText" text="Ear">
      <formula>NOT(ISERROR(SEARCH("Ear",AI125)))</formula>
    </cfRule>
    <cfRule type="containsText" dxfId="469" priority="1366" operator="containsText" text="fnd">
      <formula>NOT(ISERROR(SEARCH("fnd",AI125)))</formula>
    </cfRule>
  </conditionalFormatting>
  <conditionalFormatting sqref="AI133">
    <cfRule type="containsText" dxfId="468" priority="1311" operator="containsText" text="Str">
      <formula>NOT(ISERROR(SEARCH("Str",AI133)))</formula>
    </cfRule>
    <cfRule type="containsText" dxfId="467" priority="1312" operator="containsText" text="Ere">
      <formula>NOT(ISERROR(SEARCH("Ere",AI133)))</formula>
    </cfRule>
    <cfRule type="containsText" dxfId="466" priority="1313" operator="containsText" text="Ear">
      <formula>NOT(ISERROR(SEARCH("Ear",AI133)))</formula>
    </cfRule>
    <cfRule type="containsText" dxfId="465" priority="1314" operator="containsText" text="fnd">
      <formula>NOT(ISERROR(SEARCH("fnd",AI133)))</formula>
    </cfRule>
  </conditionalFormatting>
  <conditionalFormatting sqref="AI141">
    <cfRule type="containsText" dxfId="464" priority="1207" operator="containsText" text="Str">
      <formula>NOT(ISERROR(SEARCH("Str",AI141)))</formula>
    </cfRule>
    <cfRule type="containsText" dxfId="463" priority="1208" operator="containsText" text="Ere">
      <formula>NOT(ISERROR(SEARCH("Ere",AI141)))</formula>
    </cfRule>
    <cfRule type="containsText" dxfId="462" priority="1209" operator="containsText" text="Ear">
      <formula>NOT(ISERROR(SEARCH("Ear",AI141)))</formula>
    </cfRule>
    <cfRule type="containsText" dxfId="461" priority="1210" operator="containsText" text="fnd">
      <formula>NOT(ISERROR(SEARCH("fnd",AI141)))</formula>
    </cfRule>
  </conditionalFormatting>
  <conditionalFormatting sqref="AI149">
    <cfRule type="containsText" dxfId="460" priority="293" operator="containsText" text="Str">
      <formula>NOT(ISERROR(SEARCH("Str",AI149)))</formula>
    </cfRule>
    <cfRule type="containsText" dxfId="459" priority="294" operator="containsText" text="Ere">
      <formula>NOT(ISERROR(SEARCH("Ere",AI149)))</formula>
    </cfRule>
    <cfRule type="containsText" dxfId="458" priority="295" operator="containsText" text="Ear">
      <formula>NOT(ISERROR(SEARCH("Ear",AI149)))</formula>
    </cfRule>
    <cfRule type="containsText" dxfId="457" priority="296" operator="containsText" text="fnd">
      <formula>NOT(ISERROR(SEARCH("fnd",AI149)))</formula>
    </cfRule>
  </conditionalFormatting>
  <conditionalFormatting sqref="AI157">
    <cfRule type="containsText" dxfId="456" priority="1075" operator="containsText" text="Str">
      <formula>NOT(ISERROR(SEARCH("Str",AI157)))</formula>
    </cfRule>
    <cfRule type="containsText" dxfId="455" priority="1076" operator="containsText" text="Ere">
      <formula>NOT(ISERROR(SEARCH("Ere",AI157)))</formula>
    </cfRule>
    <cfRule type="containsText" dxfId="454" priority="1077" operator="containsText" text="Ear">
      <formula>NOT(ISERROR(SEARCH("Ear",AI157)))</formula>
    </cfRule>
    <cfRule type="containsText" dxfId="453" priority="1078" operator="containsText" text="fnd">
      <formula>NOT(ISERROR(SEARCH("fnd",AI157)))</formula>
    </cfRule>
  </conditionalFormatting>
  <conditionalFormatting sqref="AI165">
    <cfRule type="containsText" dxfId="452" priority="493" operator="containsText" text="Str">
      <formula>NOT(ISERROR(SEARCH("Str",AI165)))</formula>
    </cfRule>
    <cfRule type="containsText" dxfId="451" priority="494" operator="containsText" text="Ere">
      <formula>NOT(ISERROR(SEARCH("Ere",AI165)))</formula>
    </cfRule>
    <cfRule type="containsText" dxfId="450" priority="495" operator="containsText" text="Ear">
      <formula>NOT(ISERROR(SEARCH("Ear",AI165)))</formula>
    </cfRule>
    <cfRule type="containsText" dxfId="449" priority="496" operator="containsText" text="fnd">
      <formula>NOT(ISERROR(SEARCH("fnd",AI165)))</formula>
    </cfRule>
  </conditionalFormatting>
  <conditionalFormatting sqref="AI173">
    <cfRule type="containsText" dxfId="448" priority="971" operator="containsText" text="Str">
      <formula>NOT(ISERROR(SEARCH("Str",AI173)))</formula>
    </cfRule>
    <cfRule type="containsText" dxfId="447" priority="972" operator="containsText" text="Ere">
      <formula>NOT(ISERROR(SEARCH("Ere",AI173)))</formula>
    </cfRule>
    <cfRule type="containsText" dxfId="446" priority="973" operator="containsText" text="Ear">
      <formula>NOT(ISERROR(SEARCH("Ear",AI173)))</formula>
    </cfRule>
    <cfRule type="containsText" dxfId="445" priority="974" operator="containsText" text="fnd">
      <formula>NOT(ISERROR(SEARCH("fnd",AI173)))</formula>
    </cfRule>
  </conditionalFormatting>
  <conditionalFormatting sqref="AI181">
    <cfRule type="containsText" dxfId="444" priority="65" operator="containsText" text="Str">
      <formula>NOT(ISERROR(SEARCH("Str",AI181)))</formula>
    </cfRule>
    <cfRule type="containsText" dxfId="443" priority="66" operator="containsText" text="Ere">
      <formula>NOT(ISERROR(SEARCH("Ere",AI181)))</formula>
    </cfRule>
    <cfRule type="containsText" dxfId="442" priority="67" operator="containsText" text="Ear">
      <formula>NOT(ISERROR(SEARCH("Ear",AI181)))</formula>
    </cfRule>
    <cfRule type="containsText" dxfId="441" priority="68" operator="containsText" text="fnd">
      <formula>NOT(ISERROR(SEARCH("fnd",AI181)))</formula>
    </cfRule>
  </conditionalFormatting>
  <conditionalFormatting sqref="AI30:AJ30">
    <cfRule type="containsText" dxfId="440" priority="1731" operator="containsText" text="Str">
      <formula>NOT(ISERROR(SEARCH("Str",AI30)))</formula>
    </cfRule>
    <cfRule type="containsText" dxfId="439" priority="1732" operator="containsText" text="Ere">
      <formula>NOT(ISERROR(SEARCH("Ere",AI30)))</formula>
    </cfRule>
    <cfRule type="containsText" dxfId="438" priority="1733" operator="containsText" text="Ear">
      <formula>NOT(ISERROR(SEARCH("Ear",AI30)))</formula>
    </cfRule>
    <cfRule type="containsText" dxfId="437" priority="1734" operator="containsText" text="fnd">
      <formula>NOT(ISERROR(SEARCH("fnd",AI30)))</formula>
    </cfRule>
  </conditionalFormatting>
  <conditionalFormatting sqref="AI38:AJ38">
    <cfRule type="containsText" dxfId="436" priority="859" operator="containsText" text="Str">
      <formula>NOT(ISERROR(SEARCH("Str",AI38)))</formula>
    </cfRule>
    <cfRule type="containsText" dxfId="435" priority="860" operator="containsText" text="Ere">
      <formula>NOT(ISERROR(SEARCH("Ere",AI38)))</formula>
    </cfRule>
    <cfRule type="containsText" dxfId="434" priority="861" operator="containsText" text="Ear">
      <formula>NOT(ISERROR(SEARCH("Ear",AI38)))</formula>
    </cfRule>
    <cfRule type="containsText" dxfId="433" priority="862" operator="containsText" text="fnd">
      <formula>NOT(ISERROR(SEARCH("fnd",AI38)))</formula>
    </cfRule>
  </conditionalFormatting>
  <conditionalFormatting sqref="AI46:AJ46">
    <cfRule type="containsText" dxfId="432" priority="2335" operator="containsText" text="Str">
      <formula>NOT(ISERROR(SEARCH("Str",AI46)))</formula>
    </cfRule>
    <cfRule type="containsText" dxfId="431" priority="2336" operator="containsText" text="Ere">
      <formula>NOT(ISERROR(SEARCH("Ere",AI46)))</formula>
    </cfRule>
    <cfRule type="containsText" dxfId="430" priority="2337" operator="containsText" text="Ear">
      <formula>NOT(ISERROR(SEARCH("Ear",AI46)))</formula>
    </cfRule>
    <cfRule type="containsText" dxfId="429" priority="2338" operator="containsText" text="fnd">
      <formula>NOT(ISERROR(SEARCH("fnd",AI46)))</formula>
    </cfRule>
  </conditionalFormatting>
  <conditionalFormatting sqref="AI62:AJ62">
    <cfRule type="containsText" dxfId="428" priority="1991" operator="containsText" text="Str">
      <formula>NOT(ISERROR(SEARCH("Str",AI62)))</formula>
    </cfRule>
    <cfRule type="containsText" dxfId="427" priority="1992" operator="containsText" text="Ere">
      <formula>NOT(ISERROR(SEARCH("Ere",AI62)))</formula>
    </cfRule>
    <cfRule type="containsText" dxfId="426" priority="1993" operator="containsText" text="Ear">
      <formula>NOT(ISERROR(SEARCH("Ear",AI62)))</formula>
    </cfRule>
    <cfRule type="containsText" dxfId="425" priority="1994" operator="containsText" text="fnd">
      <formula>NOT(ISERROR(SEARCH("fnd",AI62)))</formula>
    </cfRule>
  </conditionalFormatting>
  <conditionalFormatting sqref="AI70:AJ70">
    <cfRule type="containsText" dxfId="424" priority="1915" operator="containsText" text="Str">
      <formula>NOT(ISERROR(SEARCH("Str",AI70)))</formula>
    </cfRule>
    <cfRule type="containsText" dxfId="423" priority="1916" operator="containsText" text="Ere">
      <formula>NOT(ISERROR(SEARCH("Ere",AI70)))</formula>
    </cfRule>
    <cfRule type="containsText" dxfId="422" priority="1917" operator="containsText" text="Ear">
      <formula>NOT(ISERROR(SEARCH("Ear",AI70)))</formula>
    </cfRule>
    <cfRule type="containsText" dxfId="421" priority="1918" operator="containsText" text="fnd">
      <formula>NOT(ISERROR(SEARCH("fnd",AI70)))</formula>
    </cfRule>
  </conditionalFormatting>
  <conditionalFormatting sqref="AI86:AJ86">
    <cfRule type="containsText" dxfId="420" priority="2267" operator="containsText" text="Str">
      <formula>NOT(ISERROR(SEARCH("Str",AI86)))</formula>
    </cfRule>
    <cfRule type="containsText" dxfId="419" priority="2268" operator="containsText" text="Ere">
      <formula>NOT(ISERROR(SEARCH("Ere",AI86)))</formula>
    </cfRule>
    <cfRule type="containsText" dxfId="418" priority="2269" operator="containsText" text="Ear">
      <formula>NOT(ISERROR(SEARCH("Ear",AI86)))</formula>
    </cfRule>
    <cfRule type="containsText" dxfId="417" priority="2270" operator="containsText" text="fnd">
      <formula>NOT(ISERROR(SEARCH("fnd",AI86)))</formula>
    </cfRule>
  </conditionalFormatting>
  <conditionalFormatting sqref="AI102:AJ102">
    <cfRule type="containsText" dxfId="416" priority="2263" operator="containsText" text="Str">
      <formula>NOT(ISERROR(SEARCH("Str",AI102)))</formula>
    </cfRule>
    <cfRule type="containsText" dxfId="415" priority="2264" operator="containsText" text="Ere">
      <formula>NOT(ISERROR(SEARCH("Ere",AI102)))</formula>
    </cfRule>
    <cfRule type="containsText" dxfId="414" priority="2265" operator="containsText" text="Ear">
      <formula>NOT(ISERROR(SEARCH("Ear",AI102)))</formula>
    </cfRule>
    <cfRule type="containsText" dxfId="413" priority="2266" operator="containsText" text="fnd">
      <formula>NOT(ISERROR(SEARCH("fnd",AI102)))</formula>
    </cfRule>
  </conditionalFormatting>
  <conditionalFormatting sqref="AI110:AJ110">
    <cfRule type="containsText" dxfId="412" priority="1683" operator="containsText" text="Str">
      <formula>NOT(ISERROR(SEARCH("Str",AI110)))</formula>
    </cfRule>
    <cfRule type="containsText" dxfId="411" priority="1684" operator="containsText" text="Ere">
      <formula>NOT(ISERROR(SEARCH("Ere",AI110)))</formula>
    </cfRule>
    <cfRule type="containsText" dxfId="410" priority="1685" operator="containsText" text="Ear">
      <formula>NOT(ISERROR(SEARCH("Ear",AI110)))</formula>
    </cfRule>
    <cfRule type="containsText" dxfId="409" priority="1686" operator="containsText" text="fnd">
      <formula>NOT(ISERROR(SEARCH("fnd",AI110)))</formula>
    </cfRule>
  </conditionalFormatting>
  <conditionalFormatting sqref="AI118:AJ118">
    <cfRule type="containsText" dxfId="408" priority="591" operator="containsText" text="Str">
      <formula>NOT(ISERROR(SEARCH("Str",AI118)))</formula>
    </cfRule>
    <cfRule type="containsText" dxfId="407" priority="592" operator="containsText" text="Ere">
      <formula>NOT(ISERROR(SEARCH("Ere",AI118)))</formula>
    </cfRule>
    <cfRule type="containsText" dxfId="406" priority="593" operator="containsText" text="Ear">
      <formula>NOT(ISERROR(SEARCH("Ear",AI118)))</formula>
    </cfRule>
    <cfRule type="containsText" dxfId="405" priority="594" operator="containsText" text="fnd">
      <formula>NOT(ISERROR(SEARCH("fnd",AI118)))</formula>
    </cfRule>
  </conditionalFormatting>
  <conditionalFormatting sqref="AI126:AJ126">
    <cfRule type="containsText" dxfId="404" priority="1367" operator="containsText" text="Str">
      <formula>NOT(ISERROR(SEARCH("Str",AI126)))</formula>
    </cfRule>
    <cfRule type="containsText" dxfId="403" priority="1368" operator="containsText" text="Ere">
      <formula>NOT(ISERROR(SEARCH("Ere",AI126)))</formula>
    </cfRule>
    <cfRule type="containsText" dxfId="402" priority="1369" operator="containsText" text="Ear">
      <formula>NOT(ISERROR(SEARCH("Ear",AI126)))</formula>
    </cfRule>
    <cfRule type="containsText" dxfId="401" priority="1370" operator="containsText" text="fnd">
      <formula>NOT(ISERROR(SEARCH("fnd",AI126)))</formula>
    </cfRule>
  </conditionalFormatting>
  <conditionalFormatting sqref="AI134:AJ134">
    <cfRule type="containsText" dxfId="400" priority="1315" operator="containsText" text="Str">
      <formula>NOT(ISERROR(SEARCH("Str",AI134)))</formula>
    </cfRule>
    <cfRule type="containsText" dxfId="399" priority="1316" operator="containsText" text="Ere">
      <formula>NOT(ISERROR(SEARCH("Ere",AI134)))</formula>
    </cfRule>
    <cfRule type="containsText" dxfId="398" priority="1317" operator="containsText" text="Ear">
      <formula>NOT(ISERROR(SEARCH("Ear",AI134)))</formula>
    </cfRule>
    <cfRule type="containsText" dxfId="397" priority="1318" operator="containsText" text="fnd">
      <formula>NOT(ISERROR(SEARCH("fnd",AI134)))</formula>
    </cfRule>
  </conditionalFormatting>
  <conditionalFormatting sqref="AI142:AJ142">
    <cfRule type="containsText" dxfId="396" priority="1211" operator="containsText" text="Str">
      <formula>NOT(ISERROR(SEARCH("Str",AI142)))</formula>
    </cfRule>
    <cfRule type="containsText" dxfId="395" priority="1212" operator="containsText" text="Ere">
      <formula>NOT(ISERROR(SEARCH("Ere",AI142)))</formula>
    </cfRule>
    <cfRule type="containsText" dxfId="394" priority="1213" operator="containsText" text="Ear">
      <formula>NOT(ISERROR(SEARCH("Ear",AI142)))</formula>
    </cfRule>
    <cfRule type="containsText" dxfId="393" priority="1214" operator="containsText" text="fnd">
      <formula>NOT(ISERROR(SEARCH("fnd",AI142)))</formula>
    </cfRule>
  </conditionalFormatting>
  <conditionalFormatting sqref="AI150:AJ150">
    <cfRule type="containsText" dxfId="392" priority="297" operator="containsText" text="Str">
      <formula>NOT(ISERROR(SEARCH("Str",AI150)))</formula>
    </cfRule>
    <cfRule type="containsText" dxfId="391" priority="298" operator="containsText" text="Ere">
      <formula>NOT(ISERROR(SEARCH("Ere",AI150)))</formula>
    </cfRule>
    <cfRule type="containsText" dxfId="390" priority="299" operator="containsText" text="Ear">
      <formula>NOT(ISERROR(SEARCH("Ear",AI150)))</formula>
    </cfRule>
    <cfRule type="containsText" dxfId="389" priority="300" operator="containsText" text="fnd">
      <formula>NOT(ISERROR(SEARCH("fnd",AI150)))</formula>
    </cfRule>
  </conditionalFormatting>
  <conditionalFormatting sqref="AI158:AJ158">
    <cfRule type="containsText" dxfId="388" priority="1079" operator="containsText" text="Str">
      <formula>NOT(ISERROR(SEARCH("Str",AI158)))</formula>
    </cfRule>
    <cfRule type="containsText" dxfId="387" priority="1080" operator="containsText" text="Ere">
      <formula>NOT(ISERROR(SEARCH("Ere",AI158)))</formula>
    </cfRule>
    <cfRule type="containsText" dxfId="386" priority="1081" operator="containsText" text="Ear">
      <formula>NOT(ISERROR(SEARCH("Ear",AI158)))</formula>
    </cfRule>
    <cfRule type="containsText" dxfId="385" priority="1082" operator="containsText" text="fnd">
      <formula>NOT(ISERROR(SEARCH("fnd",AI158)))</formula>
    </cfRule>
  </conditionalFormatting>
  <conditionalFormatting sqref="AI166:AJ166">
    <cfRule type="containsText" dxfId="384" priority="497" operator="containsText" text="Str">
      <formula>NOT(ISERROR(SEARCH("Str",AI166)))</formula>
    </cfRule>
    <cfRule type="containsText" dxfId="383" priority="498" operator="containsText" text="Ere">
      <formula>NOT(ISERROR(SEARCH("Ere",AI166)))</formula>
    </cfRule>
    <cfRule type="containsText" dxfId="382" priority="499" operator="containsText" text="Ear">
      <formula>NOT(ISERROR(SEARCH("Ear",AI166)))</formula>
    </cfRule>
    <cfRule type="containsText" dxfId="381" priority="500" operator="containsText" text="fnd">
      <formula>NOT(ISERROR(SEARCH("fnd",AI166)))</formula>
    </cfRule>
  </conditionalFormatting>
  <conditionalFormatting sqref="AI174:AJ174">
    <cfRule type="containsText" dxfId="380" priority="975" operator="containsText" text="Str">
      <formula>NOT(ISERROR(SEARCH("Str",AI174)))</formula>
    </cfRule>
    <cfRule type="containsText" dxfId="379" priority="976" operator="containsText" text="Ere">
      <formula>NOT(ISERROR(SEARCH("Ere",AI174)))</formula>
    </cfRule>
    <cfRule type="containsText" dxfId="378" priority="977" operator="containsText" text="Ear">
      <formula>NOT(ISERROR(SEARCH("Ear",AI174)))</formula>
    </cfRule>
    <cfRule type="containsText" dxfId="377" priority="978" operator="containsText" text="fnd">
      <formula>NOT(ISERROR(SEARCH("fnd",AI174)))</formula>
    </cfRule>
  </conditionalFormatting>
  <conditionalFormatting sqref="AI182:AJ182">
    <cfRule type="containsText" dxfId="376" priority="69" operator="containsText" text="Str">
      <formula>NOT(ISERROR(SEARCH("Str",AI182)))</formula>
    </cfRule>
    <cfRule type="containsText" dxfId="375" priority="70" operator="containsText" text="Ere">
      <formula>NOT(ISERROR(SEARCH("Ere",AI182)))</formula>
    </cfRule>
    <cfRule type="containsText" dxfId="374" priority="71" operator="containsText" text="Ear">
      <formula>NOT(ISERROR(SEARCH("Ear",AI182)))</formula>
    </cfRule>
    <cfRule type="containsText" dxfId="373" priority="72" operator="containsText" text="fnd">
      <formula>NOT(ISERROR(SEARCH("fnd",AI182)))</formula>
    </cfRule>
  </conditionalFormatting>
  <conditionalFormatting sqref="AJ6">
    <cfRule type="containsText" dxfId="372" priority="161" operator="containsText" text="Str">
      <formula>NOT(ISERROR(SEARCH("Str",AJ6)))</formula>
    </cfRule>
    <cfRule type="containsText" dxfId="371" priority="162" operator="containsText" text="Ere">
      <formula>NOT(ISERROR(SEARCH("Ere",AJ6)))</formula>
    </cfRule>
    <cfRule type="containsText" dxfId="370" priority="163" operator="containsText" text="Ear">
      <formula>NOT(ISERROR(SEARCH("Ear",AJ6)))</formula>
    </cfRule>
    <cfRule type="containsText" dxfId="369" priority="164" operator="containsText" text="fnd">
      <formula>NOT(ISERROR(SEARCH("fnd",AJ6)))</formula>
    </cfRule>
  </conditionalFormatting>
  <conditionalFormatting sqref="AJ14">
    <cfRule type="containsText" dxfId="368" priority="1659" operator="containsText" text="Str">
      <formula>NOT(ISERROR(SEARCH("Str",AJ14)))</formula>
    </cfRule>
    <cfRule type="containsText" dxfId="367" priority="1660" operator="containsText" text="Ere">
      <formula>NOT(ISERROR(SEARCH("Ere",AJ14)))</formula>
    </cfRule>
    <cfRule type="containsText" dxfId="366" priority="1661" operator="containsText" text="Ear">
      <formula>NOT(ISERROR(SEARCH("Ear",AJ14)))</formula>
    </cfRule>
    <cfRule type="containsText" dxfId="365" priority="1662" operator="containsText" text="fnd">
      <formula>NOT(ISERROR(SEARCH("fnd",AJ14)))</formula>
    </cfRule>
  </conditionalFormatting>
  <conditionalFormatting sqref="AJ22">
    <cfRule type="containsText" dxfId="364" priority="931" operator="containsText" text="Str">
      <formula>NOT(ISERROR(SEARCH("Str",AJ22)))</formula>
    </cfRule>
    <cfRule type="containsText" dxfId="363" priority="932" operator="containsText" text="Ere">
      <formula>NOT(ISERROR(SEARCH("Ere",AJ22)))</formula>
    </cfRule>
    <cfRule type="containsText" dxfId="362" priority="933" operator="containsText" text="Ear">
      <formula>NOT(ISERROR(SEARCH("Ear",AJ22)))</formula>
    </cfRule>
    <cfRule type="containsText" dxfId="361" priority="934" operator="containsText" text="fnd">
      <formula>NOT(ISERROR(SEARCH("fnd",AJ22)))</formula>
    </cfRule>
  </conditionalFormatting>
  <conditionalFormatting sqref="AJ78">
    <cfRule type="containsText" dxfId="360" priority="257" operator="containsText" text="Str">
      <formula>NOT(ISERROR(SEARCH("Str",AJ78)))</formula>
    </cfRule>
    <cfRule type="containsText" dxfId="359" priority="258" operator="containsText" text="Ere">
      <formula>NOT(ISERROR(SEARCH("Ere",AJ78)))</formula>
    </cfRule>
    <cfRule type="containsText" dxfId="358" priority="259" operator="containsText" text="Ear">
      <formula>NOT(ISERROR(SEARCH("Ear",AJ78)))</formula>
    </cfRule>
    <cfRule type="containsText" dxfId="357" priority="260" operator="containsText" text="fnd">
      <formula>NOT(ISERROR(SEARCH("fnd",AJ78)))</formula>
    </cfRule>
  </conditionalFormatting>
  <conditionalFormatting sqref="AL5:AL6">
    <cfRule type="containsText" dxfId="356" priority="157" operator="containsText" text="Str">
      <formula>NOT(ISERROR(SEARCH("Str",AL5)))</formula>
    </cfRule>
    <cfRule type="containsText" dxfId="355" priority="158" operator="containsText" text="Ere">
      <formula>NOT(ISERROR(SEARCH("Ere",AL5)))</formula>
    </cfRule>
    <cfRule type="containsText" dxfId="354" priority="159" operator="containsText" text="Ear">
      <formula>NOT(ISERROR(SEARCH("Ear",AL5)))</formula>
    </cfRule>
    <cfRule type="containsText" dxfId="353" priority="160" operator="containsText" text="fnd">
      <formula>NOT(ISERROR(SEARCH("fnd",AL5)))</formula>
    </cfRule>
  </conditionalFormatting>
  <conditionalFormatting sqref="AL13:AL14">
    <cfRule type="containsText" dxfId="352" priority="1631" operator="containsText" text="Str">
      <formula>NOT(ISERROR(SEARCH("Str",AL13)))</formula>
    </cfRule>
    <cfRule type="containsText" dxfId="351" priority="1632" operator="containsText" text="Ere">
      <formula>NOT(ISERROR(SEARCH("Ere",AL13)))</formula>
    </cfRule>
    <cfRule type="containsText" dxfId="350" priority="1633" operator="containsText" text="Ear">
      <formula>NOT(ISERROR(SEARCH("Ear",AL13)))</formula>
    </cfRule>
    <cfRule type="containsText" dxfId="349" priority="1634" operator="containsText" text="fnd">
      <formula>NOT(ISERROR(SEARCH("fnd",AL13)))</formula>
    </cfRule>
  </conditionalFormatting>
  <conditionalFormatting sqref="AL21">
    <cfRule type="containsText" dxfId="348" priority="2347" operator="containsText" text="Str">
      <formula>NOT(ISERROR(SEARCH("Str",AL21)))</formula>
    </cfRule>
    <cfRule type="containsText" dxfId="347" priority="2348" operator="containsText" text="Ere">
      <formula>NOT(ISERROR(SEARCH("Ere",AL21)))</formula>
    </cfRule>
    <cfRule type="containsText" dxfId="346" priority="2349" operator="containsText" text="Ear">
      <formula>NOT(ISERROR(SEARCH("Ear",AL21)))</formula>
    </cfRule>
    <cfRule type="containsText" dxfId="345" priority="2350" operator="containsText" text="fnd">
      <formula>NOT(ISERROR(SEARCH("fnd",AL21)))</formula>
    </cfRule>
  </conditionalFormatting>
  <conditionalFormatting sqref="AL29">
    <cfRule type="containsText" dxfId="344" priority="907" operator="containsText" text="Str">
      <formula>NOT(ISERROR(SEARCH("Str",AL29)))</formula>
    </cfRule>
    <cfRule type="containsText" dxfId="343" priority="908" operator="containsText" text="Ere">
      <formula>NOT(ISERROR(SEARCH("Ere",AL29)))</formula>
    </cfRule>
    <cfRule type="containsText" dxfId="342" priority="909" operator="containsText" text="Ear">
      <formula>NOT(ISERROR(SEARCH("Ear",AL29)))</formula>
    </cfRule>
    <cfRule type="containsText" dxfId="341" priority="910" operator="containsText" text="fnd">
      <formula>NOT(ISERROR(SEARCH("fnd",AL29)))</formula>
    </cfRule>
  </conditionalFormatting>
  <conditionalFormatting sqref="AL37">
    <cfRule type="containsText" dxfId="340" priority="647" operator="containsText" text="Str">
      <formula>NOT(ISERROR(SEARCH("Str",AL37)))</formula>
    </cfRule>
    <cfRule type="containsText" dxfId="339" priority="648" operator="containsText" text="Ere">
      <formula>NOT(ISERROR(SEARCH("Ere",AL37)))</formula>
    </cfRule>
    <cfRule type="containsText" dxfId="338" priority="649" operator="containsText" text="Ear">
      <formula>NOT(ISERROR(SEARCH("Ear",AL37)))</formula>
    </cfRule>
    <cfRule type="containsText" dxfId="337" priority="650" operator="containsText" text="fnd">
      <formula>NOT(ISERROR(SEARCH("fnd",AL37)))</formula>
    </cfRule>
  </conditionalFormatting>
  <conditionalFormatting sqref="AL61:AL62">
    <cfRule type="containsText" dxfId="336" priority="1999" operator="containsText" text="Str">
      <formula>NOT(ISERROR(SEARCH("Str",AL61)))</formula>
    </cfRule>
    <cfRule type="containsText" dxfId="335" priority="2000" operator="containsText" text="Ere">
      <formula>NOT(ISERROR(SEARCH("Ere",AL61)))</formula>
    </cfRule>
    <cfRule type="containsText" dxfId="334" priority="2001" operator="containsText" text="Ear">
      <formula>NOT(ISERROR(SEARCH("Ear",AL61)))</formula>
    </cfRule>
    <cfRule type="containsText" dxfId="333" priority="2002" operator="containsText" text="fnd">
      <formula>NOT(ISERROR(SEARCH("fnd",AL61)))</formula>
    </cfRule>
  </conditionalFormatting>
  <conditionalFormatting sqref="AL69">
    <cfRule type="containsText" dxfId="332" priority="2171" operator="containsText" text="Str">
      <formula>NOT(ISERROR(SEARCH("Str",AL69)))</formula>
    </cfRule>
    <cfRule type="containsText" dxfId="331" priority="2172" operator="containsText" text="Ere">
      <formula>NOT(ISERROR(SEARCH("Ere",AL69)))</formula>
    </cfRule>
    <cfRule type="containsText" dxfId="330" priority="2173" operator="containsText" text="Ear">
      <formula>NOT(ISERROR(SEARCH("Ear",AL69)))</formula>
    </cfRule>
    <cfRule type="containsText" dxfId="329" priority="2174" operator="containsText" text="fnd">
      <formula>NOT(ISERROR(SEARCH("fnd",AL69)))</formula>
    </cfRule>
  </conditionalFormatting>
  <conditionalFormatting sqref="AL77">
    <cfRule type="containsText" dxfId="328" priority="795" operator="containsText" text="Str">
      <formula>NOT(ISERROR(SEARCH("Str",AL77)))</formula>
    </cfRule>
    <cfRule type="containsText" dxfId="327" priority="796" operator="containsText" text="Ere">
      <formula>NOT(ISERROR(SEARCH("Ere",AL77)))</formula>
    </cfRule>
    <cfRule type="containsText" dxfId="326" priority="797" operator="containsText" text="Ear">
      <formula>NOT(ISERROR(SEARCH("Ear",AL77)))</formula>
    </cfRule>
    <cfRule type="containsText" dxfId="325" priority="798" operator="containsText" text="fnd">
      <formula>NOT(ISERROR(SEARCH("fnd",AL77)))</formula>
    </cfRule>
  </conditionalFormatting>
  <conditionalFormatting sqref="AL85">
    <cfRule type="containsText" dxfId="324" priority="763" operator="containsText" text="Str">
      <formula>NOT(ISERROR(SEARCH("Str",AL85)))</formula>
    </cfRule>
    <cfRule type="containsText" dxfId="323" priority="764" operator="containsText" text="Ere">
      <formula>NOT(ISERROR(SEARCH("Ere",AL85)))</formula>
    </cfRule>
    <cfRule type="containsText" dxfId="322" priority="765" operator="containsText" text="Ear">
      <formula>NOT(ISERROR(SEARCH("Ear",AL85)))</formula>
    </cfRule>
    <cfRule type="containsText" dxfId="321" priority="766" operator="containsText" text="fnd">
      <formula>NOT(ISERROR(SEARCH("fnd",AL85)))</formula>
    </cfRule>
  </conditionalFormatting>
  <conditionalFormatting sqref="AL93:AL94">
    <cfRule type="containsText" dxfId="320" priority="1623" operator="containsText" text="Str">
      <formula>NOT(ISERROR(SEARCH("Str",AL93)))</formula>
    </cfRule>
    <cfRule type="containsText" dxfId="319" priority="1624" operator="containsText" text="Ere">
      <formula>NOT(ISERROR(SEARCH("Ere",AL93)))</formula>
    </cfRule>
    <cfRule type="containsText" dxfId="318" priority="1625" operator="containsText" text="Ear">
      <formula>NOT(ISERROR(SEARCH("Ear",AL93)))</formula>
    </cfRule>
    <cfRule type="containsText" dxfId="317" priority="1626" operator="containsText" text="fnd">
      <formula>NOT(ISERROR(SEARCH("fnd",AL93)))</formula>
    </cfRule>
  </conditionalFormatting>
  <conditionalFormatting sqref="AL101">
    <cfRule type="containsText" dxfId="316" priority="1851" operator="containsText" text="Str">
      <formula>NOT(ISERROR(SEARCH("Str",AL101)))</formula>
    </cfRule>
    <cfRule type="containsText" dxfId="315" priority="1852" operator="containsText" text="Ere">
      <formula>NOT(ISERROR(SEARCH("Ere",AL101)))</formula>
    </cfRule>
    <cfRule type="containsText" dxfId="314" priority="1853" operator="containsText" text="Ear">
      <formula>NOT(ISERROR(SEARCH("Ear",AL101)))</formula>
    </cfRule>
    <cfRule type="containsText" dxfId="313" priority="1854" operator="containsText" text="fnd">
      <formula>NOT(ISERROR(SEARCH("fnd",AL101)))</formula>
    </cfRule>
  </conditionalFormatting>
  <conditionalFormatting sqref="AL109">
    <cfRule type="containsText" dxfId="312" priority="731" operator="containsText" text="Str">
      <formula>NOT(ISERROR(SEARCH("Str",AL109)))</formula>
    </cfRule>
    <cfRule type="containsText" dxfId="311" priority="732" operator="containsText" text="Ere">
      <formula>NOT(ISERROR(SEARCH("Ere",AL109)))</formula>
    </cfRule>
    <cfRule type="containsText" dxfId="310" priority="733" operator="containsText" text="Ear">
      <formula>NOT(ISERROR(SEARCH("Ear",AL109)))</formula>
    </cfRule>
    <cfRule type="containsText" dxfId="309" priority="734" operator="containsText" text="fnd">
      <formula>NOT(ISERROR(SEARCH("fnd",AL109)))</formula>
    </cfRule>
  </conditionalFormatting>
  <conditionalFormatting sqref="AL117">
    <cfRule type="containsText" dxfId="308" priority="517" operator="containsText" text="Str">
      <formula>NOT(ISERROR(SEARCH("Str",AL117)))</formula>
    </cfRule>
    <cfRule type="containsText" dxfId="307" priority="518" operator="containsText" text="Ere">
      <formula>NOT(ISERROR(SEARCH("Ere",AL117)))</formula>
    </cfRule>
    <cfRule type="containsText" dxfId="306" priority="519" operator="containsText" text="Ear">
      <formula>NOT(ISERROR(SEARCH("Ear",AL117)))</formula>
    </cfRule>
    <cfRule type="containsText" dxfId="305" priority="520" operator="containsText" text="fnd">
      <formula>NOT(ISERROR(SEARCH("fnd",AL117)))</formula>
    </cfRule>
  </conditionalFormatting>
  <conditionalFormatting sqref="AL122 AL130 AL138 AL154 AL162 AL170 AL178">
    <cfRule type="containsText" dxfId="304" priority="2015" operator="containsText" text="Str">
      <formula>NOT(ISERROR(SEARCH("Str",AL122)))</formula>
    </cfRule>
    <cfRule type="containsText" dxfId="303" priority="2016" operator="containsText" text="Ere">
      <formula>NOT(ISERROR(SEARCH("Ere",AL122)))</formula>
    </cfRule>
    <cfRule type="containsText" dxfId="302" priority="2017" operator="containsText" text="Ear">
      <formula>NOT(ISERROR(SEARCH("Ear",AL122)))</formula>
    </cfRule>
    <cfRule type="containsText" dxfId="301" priority="2018" operator="containsText" text="fnd">
      <formula>NOT(ISERROR(SEARCH("fnd",AL122)))</formula>
    </cfRule>
  </conditionalFormatting>
  <conditionalFormatting sqref="AL125">
    <cfRule type="containsText" dxfId="300" priority="715" operator="containsText" text="Str">
      <formula>NOT(ISERROR(SEARCH("Str",AL125)))</formula>
    </cfRule>
    <cfRule type="containsText" dxfId="299" priority="716" operator="containsText" text="Ere">
      <formula>NOT(ISERROR(SEARCH("Ere",AL125)))</formula>
    </cfRule>
    <cfRule type="containsText" dxfId="298" priority="717" operator="containsText" text="Ear">
      <formula>NOT(ISERROR(SEARCH("Ear",AL125)))</formula>
    </cfRule>
    <cfRule type="containsText" dxfId="297" priority="718" operator="containsText" text="fnd">
      <formula>NOT(ISERROR(SEARCH("fnd",AL125)))</formula>
    </cfRule>
  </conditionalFormatting>
  <conditionalFormatting sqref="AL133">
    <cfRule type="containsText" dxfId="296" priority="1319" operator="containsText" text="Str">
      <formula>NOT(ISERROR(SEARCH("Str",AL133)))</formula>
    </cfRule>
    <cfRule type="containsText" dxfId="295" priority="1320" operator="containsText" text="Ere">
      <formula>NOT(ISERROR(SEARCH("Ere",AL133)))</formula>
    </cfRule>
    <cfRule type="containsText" dxfId="294" priority="1321" operator="containsText" text="Ear">
      <formula>NOT(ISERROR(SEARCH("Ear",AL133)))</formula>
    </cfRule>
    <cfRule type="containsText" dxfId="293" priority="1322" operator="containsText" text="fnd">
      <formula>NOT(ISERROR(SEARCH("fnd",AL133)))</formula>
    </cfRule>
  </conditionalFormatting>
  <conditionalFormatting sqref="AL141">
    <cfRule type="containsText" dxfId="292" priority="1215" operator="containsText" text="Str">
      <formula>NOT(ISERROR(SEARCH("Str",AL141)))</formula>
    </cfRule>
    <cfRule type="containsText" dxfId="291" priority="1216" operator="containsText" text="Ere">
      <formula>NOT(ISERROR(SEARCH("Ere",AL141)))</formula>
    </cfRule>
    <cfRule type="containsText" dxfId="290" priority="1217" operator="containsText" text="Ear">
      <formula>NOT(ISERROR(SEARCH("Ear",AL141)))</formula>
    </cfRule>
    <cfRule type="containsText" dxfId="289" priority="1218" operator="containsText" text="fnd">
      <formula>NOT(ISERROR(SEARCH("fnd",AL141)))</formula>
    </cfRule>
  </conditionalFormatting>
  <conditionalFormatting sqref="AL149">
    <cfRule type="containsText" dxfId="288" priority="1163" operator="containsText" text="Str">
      <formula>NOT(ISERROR(SEARCH("Str",AL149)))</formula>
    </cfRule>
    <cfRule type="containsText" dxfId="287" priority="1164" operator="containsText" text="Ere">
      <formula>NOT(ISERROR(SEARCH("Ere",AL149)))</formula>
    </cfRule>
    <cfRule type="containsText" dxfId="286" priority="1165" operator="containsText" text="Ear">
      <formula>NOT(ISERROR(SEARCH("Ear",AL149)))</formula>
    </cfRule>
    <cfRule type="containsText" dxfId="285" priority="1166" operator="containsText" text="fnd">
      <formula>NOT(ISERROR(SEARCH("fnd",AL149)))</formula>
    </cfRule>
  </conditionalFormatting>
  <conditionalFormatting sqref="AL157">
    <cfRule type="containsText" dxfId="284" priority="1083" operator="containsText" text="Str">
      <formula>NOT(ISERROR(SEARCH("Str",AL157)))</formula>
    </cfRule>
    <cfRule type="containsText" dxfId="283" priority="1084" operator="containsText" text="Ere">
      <formula>NOT(ISERROR(SEARCH("Ere",AL157)))</formula>
    </cfRule>
    <cfRule type="containsText" dxfId="282" priority="1085" operator="containsText" text="Ear">
      <formula>NOT(ISERROR(SEARCH("Ear",AL157)))</formula>
    </cfRule>
    <cfRule type="containsText" dxfId="281" priority="1086" operator="containsText" text="fnd">
      <formula>NOT(ISERROR(SEARCH("fnd",AL157)))</formula>
    </cfRule>
  </conditionalFormatting>
  <conditionalFormatting sqref="AL165">
    <cfRule type="containsText" dxfId="280" priority="1027" operator="containsText" text="Str">
      <formula>NOT(ISERROR(SEARCH("Str",AL165)))</formula>
    </cfRule>
    <cfRule type="containsText" dxfId="279" priority="1028" operator="containsText" text="Ere">
      <formula>NOT(ISERROR(SEARCH("Ere",AL165)))</formula>
    </cfRule>
    <cfRule type="containsText" dxfId="278" priority="1029" operator="containsText" text="Ear">
      <formula>NOT(ISERROR(SEARCH("Ear",AL165)))</formula>
    </cfRule>
    <cfRule type="containsText" dxfId="277" priority="1030" operator="containsText" text="fnd">
      <formula>NOT(ISERROR(SEARCH("fnd",AL165)))</formula>
    </cfRule>
  </conditionalFormatting>
  <conditionalFormatting sqref="AL173">
    <cfRule type="containsText" dxfId="276" priority="979" operator="containsText" text="Str">
      <formula>NOT(ISERROR(SEARCH("Str",AL173)))</formula>
    </cfRule>
    <cfRule type="containsText" dxfId="275" priority="980" operator="containsText" text="Ere">
      <formula>NOT(ISERROR(SEARCH("Ere",AL173)))</formula>
    </cfRule>
    <cfRule type="containsText" dxfId="274" priority="981" operator="containsText" text="Ear">
      <formula>NOT(ISERROR(SEARCH("Ear",AL173)))</formula>
    </cfRule>
    <cfRule type="containsText" dxfId="273" priority="982" operator="containsText" text="fnd">
      <formula>NOT(ISERROR(SEARCH("fnd",AL173)))</formula>
    </cfRule>
  </conditionalFormatting>
  <conditionalFormatting sqref="AL181">
    <cfRule type="containsText" dxfId="272" priority="57" operator="containsText" text="Str">
      <formula>NOT(ISERROR(SEARCH("Str",AL181)))</formula>
    </cfRule>
    <cfRule type="containsText" dxfId="271" priority="58" operator="containsText" text="Ere">
      <formula>NOT(ISERROR(SEARCH("Ere",AL181)))</formula>
    </cfRule>
    <cfRule type="containsText" dxfId="270" priority="59" operator="containsText" text="Ear">
      <formula>NOT(ISERROR(SEARCH("Ear",AL181)))</formula>
    </cfRule>
    <cfRule type="containsText" dxfId="269" priority="60" operator="containsText" text="fnd">
      <formula>NOT(ISERROR(SEARCH("fnd",AL181)))</formula>
    </cfRule>
  </conditionalFormatting>
  <conditionalFormatting sqref="AL30:AM30">
    <cfRule type="containsText" dxfId="268" priority="911" operator="containsText" text="Str">
      <formula>NOT(ISERROR(SEARCH("Str",AL30)))</formula>
    </cfRule>
    <cfRule type="containsText" dxfId="267" priority="912" operator="containsText" text="Ere">
      <formula>NOT(ISERROR(SEARCH("Ere",AL30)))</formula>
    </cfRule>
    <cfRule type="containsText" dxfId="266" priority="913" operator="containsText" text="Ear">
      <formula>NOT(ISERROR(SEARCH("Ear",AL30)))</formula>
    </cfRule>
    <cfRule type="containsText" dxfId="265" priority="914" operator="containsText" text="fnd">
      <formula>NOT(ISERROR(SEARCH("fnd",AL30)))</formula>
    </cfRule>
  </conditionalFormatting>
  <conditionalFormatting sqref="AL38:AM38">
    <cfRule type="containsText" dxfId="264" priority="651" operator="containsText" text="Str">
      <formula>NOT(ISERROR(SEARCH("Str",AL38)))</formula>
    </cfRule>
    <cfRule type="containsText" dxfId="263" priority="652" operator="containsText" text="Ere">
      <formula>NOT(ISERROR(SEARCH("Ere",AL38)))</formula>
    </cfRule>
    <cfRule type="containsText" dxfId="262" priority="653" operator="containsText" text="Ear">
      <formula>NOT(ISERROR(SEARCH("Ear",AL38)))</formula>
    </cfRule>
    <cfRule type="containsText" dxfId="261" priority="654" operator="containsText" text="fnd">
      <formula>NOT(ISERROR(SEARCH("fnd",AL38)))</formula>
    </cfRule>
  </conditionalFormatting>
  <conditionalFormatting sqref="AL53:AM54">
    <cfRule type="containsText" dxfId="260" priority="847" operator="containsText" text="Str">
      <formula>NOT(ISERROR(SEARCH("Str",AL53)))</formula>
    </cfRule>
    <cfRule type="containsText" dxfId="259" priority="848" operator="containsText" text="Ere">
      <formula>NOT(ISERROR(SEARCH("Ere",AL53)))</formula>
    </cfRule>
    <cfRule type="containsText" dxfId="258" priority="849" operator="containsText" text="Ear">
      <formula>NOT(ISERROR(SEARCH("Ear",AL53)))</formula>
    </cfRule>
    <cfRule type="containsText" dxfId="257" priority="850" operator="containsText" text="fnd">
      <formula>NOT(ISERROR(SEARCH("fnd",AL53)))</formula>
    </cfRule>
  </conditionalFormatting>
  <conditionalFormatting sqref="AL70:AM70">
    <cfRule type="containsText" dxfId="256" priority="2183" operator="containsText" text="Str">
      <formula>NOT(ISERROR(SEARCH("Str",AL70)))</formula>
    </cfRule>
    <cfRule type="containsText" dxfId="255" priority="2184" operator="containsText" text="Ere">
      <formula>NOT(ISERROR(SEARCH("Ere",AL70)))</formula>
    </cfRule>
    <cfRule type="containsText" dxfId="254" priority="2185" operator="containsText" text="Ear">
      <formula>NOT(ISERROR(SEARCH("Ear",AL70)))</formula>
    </cfRule>
    <cfRule type="containsText" dxfId="253" priority="2186" operator="containsText" text="fnd">
      <formula>NOT(ISERROR(SEARCH("fnd",AL70)))</formula>
    </cfRule>
  </conditionalFormatting>
  <conditionalFormatting sqref="AL78:AM78">
    <cfRule type="containsText" dxfId="252" priority="799" operator="containsText" text="Str">
      <formula>NOT(ISERROR(SEARCH("Str",AL78)))</formula>
    </cfRule>
    <cfRule type="containsText" dxfId="251" priority="800" operator="containsText" text="Ere">
      <formula>NOT(ISERROR(SEARCH("Ere",AL78)))</formula>
    </cfRule>
    <cfRule type="containsText" dxfId="250" priority="801" operator="containsText" text="Ear">
      <formula>NOT(ISERROR(SEARCH("Ear",AL78)))</formula>
    </cfRule>
    <cfRule type="containsText" dxfId="249" priority="802" operator="containsText" text="fnd">
      <formula>NOT(ISERROR(SEARCH("fnd",AL78)))</formula>
    </cfRule>
  </conditionalFormatting>
  <conditionalFormatting sqref="AL102:AM102">
    <cfRule type="containsText" dxfId="248" priority="1855" operator="containsText" text="Str">
      <formula>NOT(ISERROR(SEARCH("Str",AL102)))</formula>
    </cfRule>
    <cfRule type="containsText" dxfId="247" priority="1856" operator="containsText" text="Ere">
      <formula>NOT(ISERROR(SEARCH("Ere",AL102)))</formula>
    </cfRule>
    <cfRule type="containsText" dxfId="246" priority="1857" operator="containsText" text="Ear">
      <formula>NOT(ISERROR(SEARCH("Ear",AL102)))</formula>
    </cfRule>
    <cfRule type="containsText" dxfId="245" priority="1858" operator="containsText" text="fnd">
      <formula>NOT(ISERROR(SEARCH("fnd",AL102)))</formula>
    </cfRule>
  </conditionalFormatting>
  <conditionalFormatting sqref="AL118:AM118">
    <cfRule type="containsText" dxfId="244" priority="521" operator="containsText" text="Str">
      <formula>NOT(ISERROR(SEARCH("Str",AL118)))</formula>
    </cfRule>
    <cfRule type="containsText" dxfId="243" priority="522" operator="containsText" text="Ere">
      <formula>NOT(ISERROR(SEARCH("Ere",AL118)))</formula>
    </cfRule>
    <cfRule type="containsText" dxfId="242" priority="523" operator="containsText" text="Ear">
      <formula>NOT(ISERROR(SEARCH("Ear",AL118)))</formula>
    </cfRule>
    <cfRule type="containsText" dxfId="241" priority="524" operator="containsText" text="fnd">
      <formula>NOT(ISERROR(SEARCH("fnd",AL118)))</formula>
    </cfRule>
  </conditionalFormatting>
  <conditionalFormatting sqref="AL142:AM142">
    <cfRule type="containsText" dxfId="240" priority="1219" operator="containsText" text="Str">
      <formula>NOT(ISERROR(SEARCH("Str",AL142)))</formula>
    </cfRule>
    <cfRule type="containsText" dxfId="239" priority="1220" operator="containsText" text="Ere">
      <formula>NOT(ISERROR(SEARCH("Ere",AL142)))</formula>
    </cfRule>
    <cfRule type="containsText" dxfId="238" priority="1221" operator="containsText" text="Ear">
      <formula>NOT(ISERROR(SEARCH("Ear",AL142)))</formula>
    </cfRule>
    <cfRule type="containsText" dxfId="237" priority="1222" operator="containsText" text="fnd">
      <formula>NOT(ISERROR(SEARCH("fnd",AL142)))</formula>
    </cfRule>
  </conditionalFormatting>
  <conditionalFormatting sqref="AL158:AM158">
    <cfRule type="containsText" dxfId="236" priority="1087" operator="containsText" text="Str">
      <formula>NOT(ISERROR(SEARCH("Str",AL158)))</formula>
    </cfRule>
    <cfRule type="containsText" dxfId="235" priority="1088" operator="containsText" text="Ere">
      <formula>NOT(ISERROR(SEARCH("Ere",AL158)))</formula>
    </cfRule>
    <cfRule type="containsText" dxfId="234" priority="1089" operator="containsText" text="Ear">
      <formula>NOT(ISERROR(SEARCH("Ear",AL158)))</formula>
    </cfRule>
    <cfRule type="containsText" dxfId="233" priority="1090" operator="containsText" text="fnd">
      <formula>NOT(ISERROR(SEARCH("fnd",AL158)))</formula>
    </cfRule>
  </conditionalFormatting>
  <conditionalFormatting sqref="AL166:AM166">
    <cfRule type="containsText" dxfId="232" priority="1031" operator="containsText" text="Str">
      <formula>NOT(ISERROR(SEARCH("Str",AL166)))</formula>
    </cfRule>
    <cfRule type="containsText" dxfId="231" priority="1032" operator="containsText" text="Ere">
      <formula>NOT(ISERROR(SEARCH("Ere",AL166)))</formula>
    </cfRule>
    <cfRule type="containsText" dxfId="230" priority="1033" operator="containsText" text="Ear">
      <formula>NOT(ISERROR(SEARCH("Ear",AL166)))</formula>
    </cfRule>
    <cfRule type="containsText" dxfId="229" priority="1034" operator="containsText" text="fnd">
      <formula>NOT(ISERROR(SEARCH("fnd",AL166)))</formula>
    </cfRule>
  </conditionalFormatting>
  <conditionalFormatting sqref="AL174:AM174">
    <cfRule type="containsText" dxfId="228" priority="983" operator="containsText" text="Str">
      <formula>NOT(ISERROR(SEARCH("Str",AL174)))</formula>
    </cfRule>
    <cfRule type="containsText" dxfId="227" priority="984" operator="containsText" text="Ere">
      <formula>NOT(ISERROR(SEARCH("Ere",AL174)))</formula>
    </cfRule>
    <cfRule type="containsText" dxfId="226" priority="985" operator="containsText" text="Ear">
      <formula>NOT(ISERROR(SEARCH("Ear",AL174)))</formula>
    </cfRule>
    <cfRule type="containsText" dxfId="225" priority="986" operator="containsText" text="fnd">
      <formula>NOT(ISERROR(SEARCH("fnd",AL174)))</formula>
    </cfRule>
  </conditionalFormatting>
  <conditionalFormatting sqref="AL182:AM182">
    <cfRule type="containsText" dxfId="224" priority="61" operator="containsText" text="Str">
      <formula>NOT(ISERROR(SEARCH("Str",AL182)))</formula>
    </cfRule>
    <cfRule type="containsText" dxfId="223" priority="62" operator="containsText" text="Ere">
      <formula>NOT(ISERROR(SEARCH("Ere",AL182)))</formula>
    </cfRule>
    <cfRule type="containsText" dxfId="222" priority="63" operator="containsText" text="Ear">
      <formula>NOT(ISERROR(SEARCH("Ear",AL182)))</formula>
    </cfRule>
    <cfRule type="containsText" dxfId="221" priority="64" operator="containsText" text="fnd">
      <formula>NOT(ISERROR(SEARCH("fnd",AL182)))</formula>
    </cfRule>
  </conditionalFormatting>
  <conditionalFormatting sqref="AM6">
    <cfRule type="containsText" dxfId="220" priority="153" operator="containsText" text="Str">
      <formula>NOT(ISERROR(SEARCH("Str",AM6)))</formula>
    </cfRule>
    <cfRule type="containsText" dxfId="219" priority="154" operator="containsText" text="Ere">
      <formula>NOT(ISERROR(SEARCH("Ere",AM6)))</formula>
    </cfRule>
    <cfRule type="containsText" dxfId="218" priority="155" operator="containsText" text="Ear">
      <formula>NOT(ISERROR(SEARCH("Ear",AM6)))</formula>
    </cfRule>
    <cfRule type="containsText" dxfId="217" priority="156" operator="containsText" text="fnd">
      <formula>NOT(ISERROR(SEARCH("fnd",AM6)))</formula>
    </cfRule>
  </conditionalFormatting>
  <conditionalFormatting sqref="AM14">
    <cfRule type="containsText" dxfId="216" priority="1627" operator="containsText" text="Str">
      <formula>NOT(ISERROR(SEARCH("Str",AM14)))</formula>
    </cfRule>
    <cfRule type="containsText" dxfId="215" priority="1628" operator="containsText" text="Ere">
      <formula>NOT(ISERROR(SEARCH("Ere",AM14)))</formula>
    </cfRule>
    <cfRule type="containsText" dxfId="214" priority="1629" operator="containsText" text="Ear">
      <formula>NOT(ISERROR(SEARCH("Ear",AM14)))</formula>
    </cfRule>
    <cfRule type="containsText" dxfId="213" priority="1630" operator="containsText" text="fnd">
      <formula>NOT(ISERROR(SEARCH("fnd",AM14)))</formula>
    </cfRule>
  </conditionalFormatting>
  <conditionalFormatting sqref="AO5:AO6">
    <cfRule type="containsText" dxfId="212" priority="145" operator="containsText" text="Str">
      <formula>NOT(ISERROR(SEARCH("Str",AO5)))</formula>
    </cfRule>
    <cfRule type="containsText" dxfId="211" priority="146" operator="containsText" text="Ere">
      <formula>NOT(ISERROR(SEARCH("Ere",AO5)))</formula>
    </cfRule>
    <cfRule type="containsText" dxfId="210" priority="147" operator="containsText" text="Ear">
      <formula>NOT(ISERROR(SEARCH("Ear",AO5)))</formula>
    </cfRule>
    <cfRule type="containsText" dxfId="209" priority="148" operator="containsText" text="fnd">
      <formula>NOT(ISERROR(SEARCH("fnd",AO5)))</formula>
    </cfRule>
  </conditionalFormatting>
  <conditionalFormatting sqref="AO13:AO14">
    <cfRule type="containsText" dxfId="208" priority="1759" operator="containsText" text="Str">
      <formula>NOT(ISERROR(SEARCH("Str",AO13)))</formula>
    </cfRule>
    <cfRule type="containsText" dxfId="207" priority="1760" operator="containsText" text="Ere">
      <formula>NOT(ISERROR(SEARCH("Ere",AO13)))</formula>
    </cfRule>
    <cfRule type="containsText" dxfId="206" priority="1761" operator="containsText" text="Ear">
      <formula>NOT(ISERROR(SEARCH("Ear",AO13)))</formula>
    </cfRule>
    <cfRule type="containsText" dxfId="205" priority="1762" operator="containsText" text="fnd">
      <formula>NOT(ISERROR(SEARCH("fnd",AO13)))</formula>
    </cfRule>
  </conditionalFormatting>
  <conditionalFormatting sqref="AO21:AO22">
    <cfRule type="containsText" dxfId="204" priority="927" operator="containsText" text="Str">
      <formula>NOT(ISERROR(SEARCH("Str",AO21)))</formula>
    </cfRule>
    <cfRule type="containsText" dxfId="203" priority="928" operator="containsText" text="Ere">
      <formula>NOT(ISERROR(SEARCH("Ere",AO21)))</formula>
    </cfRule>
    <cfRule type="containsText" dxfId="202" priority="929" operator="containsText" text="Ear">
      <formula>NOT(ISERROR(SEARCH("Ear",AO21)))</formula>
    </cfRule>
    <cfRule type="containsText" dxfId="201" priority="930" operator="containsText" text="fnd">
      <formula>NOT(ISERROR(SEARCH("fnd",AO21)))</formula>
    </cfRule>
  </conditionalFormatting>
  <conditionalFormatting sqref="AO29">
    <cfRule type="containsText" dxfId="200" priority="899" operator="containsText" text="Str">
      <formula>NOT(ISERROR(SEARCH("Str",AO29)))</formula>
    </cfRule>
    <cfRule type="containsText" dxfId="199" priority="900" operator="containsText" text="Ere">
      <formula>NOT(ISERROR(SEARCH("Ere",AO29)))</formula>
    </cfRule>
    <cfRule type="containsText" dxfId="198" priority="901" operator="containsText" text="Ear">
      <formula>NOT(ISERROR(SEARCH("Ear",AO29)))</formula>
    </cfRule>
    <cfRule type="containsText" dxfId="197" priority="902" operator="containsText" text="fnd">
      <formula>NOT(ISERROR(SEARCH("fnd",AO29)))</formula>
    </cfRule>
  </conditionalFormatting>
  <conditionalFormatting sqref="AO37">
    <cfRule type="containsText" dxfId="196" priority="707" operator="containsText" text="Str">
      <formula>NOT(ISERROR(SEARCH("Str",AO37)))</formula>
    </cfRule>
    <cfRule type="containsText" dxfId="195" priority="708" operator="containsText" text="Ere">
      <formula>NOT(ISERROR(SEARCH("Ere",AO37)))</formula>
    </cfRule>
    <cfRule type="containsText" dxfId="194" priority="709" operator="containsText" text="Ear">
      <formula>NOT(ISERROR(SEARCH("Ear",AO37)))</formula>
    </cfRule>
    <cfRule type="containsText" dxfId="193" priority="710" operator="containsText" text="fnd">
      <formula>NOT(ISERROR(SEARCH("fnd",AO37)))</formula>
    </cfRule>
  </conditionalFormatting>
  <conditionalFormatting sqref="AO61:AO62">
    <cfRule type="containsText" dxfId="192" priority="1979" operator="containsText" text="Str">
      <formula>NOT(ISERROR(SEARCH("Str",AO61)))</formula>
    </cfRule>
    <cfRule type="containsText" dxfId="191" priority="1980" operator="containsText" text="Ere">
      <formula>NOT(ISERROR(SEARCH("Ere",AO61)))</formula>
    </cfRule>
    <cfRule type="containsText" dxfId="190" priority="1981" operator="containsText" text="Ear">
      <formula>NOT(ISERROR(SEARCH("Ear",AO61)))</formula>
    </cfRule>
    <cfRule type="containsText" dxfId="189" priority="1982" operator="containsText" text="fnd">
      <formula>NOT(ISERROR(SEARCH("fnd",AO61)))</formula>
    </cfRule>
  </conditionalFormatting>
  <conditionalFormatting sqref="AO69">
    <cfRule type="containsText" dxfId="188" priority="819" operator="containsText" text="Str">
      <formula>NOT(ISERROR(SEARCH("Str",AO69)))</formula>
    </cfRule>
    <cfRule type="containsText" dxfId="187" priority="820" operator="containsText" text="Ere">
      <formula>NOT(ISERROR(SEARCH("Ere",AO69)))</formula>
    </cfRule>
    <cfRule type="containsText" dxfId="186" priority="821" operator="containsText" text="Ear">
      <formula>NOT(ISERROR(SEARCH("Ear",AO69)))</formula>
    </cfRule>
    <cfRule type="containsText" dxfId="185" priority="822" operator="containsText" text="fnd">
      <formula>NOT(ISERROR(SEARCH("fnd",AO69)))</formula>
    </cfRule>
  </conditionalFormatting>
  <conditionalFormatting sqref="AO77">
    <cfRule type="containsText" dxfId="184" priority="671" operator="containsText" text="Str">
      <formula>NOT(ISERROR(SEARCH("Str",AO77)))</formula>
    </cfRule>
    <cfRule type="containsText" dxfId="183" priority="672" operator="containsText" text="Ere">
      <formula>NOT(ISERROR(SEARCH("Ere",AO77)))</formula>
    </cfRule>
    <cfRule type="containsText" dxfId="182" priority="673" operator="containsText" text="Ear">
      <formula>NOT(ISERROR(SEARCH("Ear",AO77)))</formula>
    </cfRule>
    <cfRule type="containsText" dxfId="181" priority="674" operator="containsText" text="fnd">
      <formula>NOT(ISERROR(SEARCH("fnd",AO77)))</formula>
    </cfRule>
  </conditionalFormatting>
  <conditionalFormatting sqref="AO85">
    <cfRule type="containsText" dxfId="180" priority="787" operator="containsText" text="Str">
      <formula>NOT(ISERROR(SEARCH("Str",AO85)))</formula>
    </cfRule>
    <cfRule type="containsText" dxfId="179" priority="788" operator="containsText" text="Ere">
      <formula>NOT(ISERROR(SEARCH("Ere",AO85)))</formula>
    </cfRule>
    <cfRule type="containsText" dxfId="178" priority="789" operator="containsText" text="Ear">
      <formula>NOT(ISERROR(SEARCH("Ear",AO85)))</formula>
    </cfRule>
    <cfRule type="containsText" dxfId="177" priority="790" operator="containsText" text="fnd">
      <formula>NOT(ISERROR(SEARCH("fnd",AO85)))</formula>
    </cfRule>
  </conditionalFormatting>
  <conditionalFormatting sqref="AO93:AO94">
    <cfRule type="containsText" dxfId="176" priority="1859" operator="containsText" text="Str">
      <formula>NOT(ISERROR(SEARCH("Str",AO93)))</formula>
    </cfRule>
    <cfRule type="containsText" dxfId="175" priority="1860" operator="containsText" text="Ere">
      <formula>NOT(ISERROR(SEARCH("Ere",AO93)))</formula>
    </cfRule>
    <cfRule type="containsText" dxfId="174" priority="1861" operator="containsText" text="Ear">
      <formula>NOT(ISERROR(SEARCH("Ear",AO93)))</formula>
    </cfRule>
    <cfRule type="containsText" dxfId="173" priority="1862" operator="containsText" text="fnd">
      <formula>NOT(ISERROR(SEARCH("fnd",AO93)))</formula>
    </cfRule>
  </conditionalFormatting>
  <conditionalFormatting sqref="AO101:AO102">
    <cfRule type="containsText" dxfId="172" priority="25" operator="containsText" text="Str">
      <formula>NOT(ISERROR(SEARCH("Str",AO101)))</formula>
    </cfRule>
    <cfRule type="containsText" dxfId="171" priority="26" operator="containsText" text="Ere">
      <formula>NOT(ISERROR(SEARCH("Ere",AO101)))</formula>
    </cfRule>
    <cfRule type="containsText" dxfId="170" priority="27" operator="containsText" text="Ear">
      <formula>NOT(ISERROR(SEARCH("Ear",AO101)))</formula>
    </cfRule>
    <cfRule type="containsText" dxfId="169" priority="28" operator="containsText" text="fnd">
      <formula>NOT(ISERROR(SEARCH("fnd",AO101)))</formula>
    </cfRule>
  </conditionalFormatting>
  <conditionalFormatting sqref="AO109">
    <cfRule type="containsText" dxfId="168" priority="727" operator="containsText" text="Str">
      <formula>NOT(ISERROR(SEARCH("Str",AO109)))</formula>
    </cfRule>
    <cfRule type="containsText" dxfId="167" priority="728" operator="containsText" text="Ere">
      <formula>NOT(ISERROR(SEARCH("Ere",AO109)))</formula>
    </cfRule>
    <cfRule type="containsText" dxfId="166" priority="729" operator="containsText" text="Ear">
      <formula>NOT(ISERROR(SEARCH("Ear",AO109)))</formula>
    </cfRule>
    <cfRule type="containsText" dxfId="165" priority="730" operator="containsText" text="fnd">
      <formula>NOT(ISERROR(SEARCH("fnd",AO109)))</formula>
    </cfRule>
  </conditionalFormatting>
  <conditionalFormatting sqref="AO117">
    <cfRule type="containsText" dxfId="164" priority="1383" operator="containsText" text="Str">
      <formula>NOT(ISERROR(SEARCH("Str",AO117)))</formula>
    </cfRule>
    <cfRule type="containsText" dxfId="163" priority="1384" operator="containsText" text="Ere">
      <formula>NOT(ISERROR(SEARCH("Ere",AO117)))</formula>
    </cfRule>
    <cfRule type="containsText" dxfId="162" priority="1385" operator="containsText" text="Ear">
      <formula>NOT(ISERROR(SEARCH("Ear",AO117)))</formula>
    </cfRule>
    <cfRule type="containsText" dxfId="161" priority="1386" operator="containsText" text="fnd">
      <formula>NOT(ISERROR(SEARCH("fnd",AO117)))</formula>
    </cfRule>
  </conditionalFormatting>
  <conditionalFormatting sqref="AO122 AO130 AO138 AO154 AO162 AO170 AO178">
    <cfRule type="containsText" dxfId="160" priority="2011" operator="containsText" text="Str">
      <formula>NOT(ISERROR(SEARCH("Str",AO122)))</formula>
    </cfRule>
    <cfRule type="containsText" dxfId="159" priority="2012" operator="containsText" text="Ere">
      <formula>NOT(ISERROR(SEARCH("Ere",AO122)))</formula>
    </cfRule>
    <cfRule type="containsText" dxfId="158" priority="2013" operator="containsText" text="Ear">
      <formula>NOT(ISERROR(SEARCH("Ear",AO122)))</formula>
    </cfRule>
    <cfRule type="containsText" dxfId="157" priority="2014" operator="containsText" text="fnd">
      <formula>NOT(ISERROR(SEARCH("fnd",AO122)))</formula>
    </cfRule>
  </conditionalFormatting>
  <conditionalFormatting sqref="AO125">
    <cfRule type="containsText" dxfId="156" priority="1355" operator="containsText" text="Str">
      <formula>NOT(ISERROR(SEARCH("Str",AO125)))</formula>
    </cfRule>
    <cfRule type="containsText" dxfId="155" priority="1356" operator="containsText" text="Ere">
      <formula>NOT(ISERROR(SEARCH("Ere",AO125)))</formula>
    </cfRule>
    <cfRule type="containsText" dxfId="154" priority="1357" operator="containsText" text="Ear">
      <formula>NOT(ISERROR(SEARCH("Ear",AO125)))</formula>
    </cfRule>
    <cfRule type="containsText" dxfId="153" priority="1358" operator="containsText" text="fnd">
      <formula>NOT(ISERROR(SEARCH("fnd",AO125)))</formula>
    </cfRule>
  </conditionalFormatting>
  <conditionalFormatting sqref="AO133">
    <cfRule type="containsText" dxfId="152" priority="1303" operator="containsText" text="Str">
      <formula>NOT(ISERROR(SEARCH("Str",AO133)))</formula>
    </cfRule>
    <cfRule type="containsText" dxfId="151" priority="1304" operator="containsText" text="Ere">
      <formula>NOT(ISERROR(SEARCH("Ere",AO133)))</formula>
    </cfRule>
    <cfRule type="containsText" dxfId="150" priority="1305" operator="containsText" text="Ear">
      <formula>NOT(ISERROR(SEARCH("Ear",AO133)))</formula>
    </cfRule>
    <cfRule type="containsText" dxfId="149" priority="1306" operator="containsText" text="fnd">
      <formula>NOT(ISERROR(SEARCH("fnd",AO133)))</formula>
    </cfRule>
  </conditionalFormatting>
  <conditionalFormatting sqref="AO141">
    <cfRule type="containsText" dxfId="148" priority="237" operator="containsText" text="Str">
      <formula>NOT(ISERROR(SEARCH("Str",AO141)))</formula>
    </cfRule>
    <cfRule type="containsText" dxfId="147" priority="238" operator="containsText" text="Ere">
      <formula>NOT(ISERROR(SEARCH("Ere",AO141)))</formula>
    </cfRule>
    <cfRule type="containsText" dxfId="146" priority="239" operator="containsText" text="Ear">
      <formula>NOT(ISERROR(SEARCH("Ear",AO141)))</formula>
    </cfRule>
    <cfRule type="containsText" dxfId="145" priority="240" operator="containsText" text="fnd">
      <formula>NOT(ISERROR(SEARCH("fnd",AO141)))</formula>
    </cfRule>
  </conditionalFormatting>
  <conditionalFormatting sqref="AO149">
    <cfRule type="containsText" dxfId="144" priority="1159" operator="containsText" text="Str">
      <formula>NOT(ISERROR(SEARCH("Str",AO149)))</formula>
    </cfRule>
    <cfRule type="containsText" dxfId="143" priority="1160" operator="containsText" text="Ere">
      <formula>NOT(ISERROR(SEARCH("Ere",AO149)))</formula>
    </cfRule>
    <cfRule type="containsText" dxfId="142" priority="1161" operator="containsText" text="Ear">
      <formula>NOT(ISERROR(SEARCH("Ear",AO149)))</formula>
    </cfRule>
    <cfRule type="containsText" dxfId="141" priority="1162" operator="containsText" text="fnd">
      <formula>NOT(ISERROR(SEARCH("fnd",AO149)))</formula>
    </cfRule>
  </conditionalFormatting>
  <conditionalFormatting sqref="AO157">
    <cfRule type="containsText" dxfId="140" priority="1067" operator="containsText" text="Str">
      <formula>NOT(ISERROR(SEARCH("Str",AO157)))</formula>
    </cfRule>
    <cfRule type="containsText" dxfId="139" priority="1068" operator="containsText" text="Ere">
      <formula>NOT(ISERROR(SEARCH("Ere",AO157)))</formula>
    </cfRule>
    <cfRule type="containsText" dxfId="138" priority="1069" operator="containsText" text="Ear">
      <formula>NOT(ISERROR(SEARCH("Ear",AO157)))</formula>
    </cfRule>
    <cfRule type="containsText" dxfId="137" priority="1070" operator="containsText" text="fnd">
      <formula>NOT(ISERROR(SEARCH("fnd",AO157)))</formula>
    </cfRule>
  </conditionalFormatting>
  <conditionalFormatting sqref="AO165">
    <cfRule type="containsText" dxfId="136" priority="1023" operator="containsText" text="Str">
      <formula>NOT(ISERROR(SEARCH("Str",AO165)))</formula>
    </cfRule>
    <cfRule type="containsText" dxfId="135" priority="1024" operator="containsText" text="Ere">
      <formula>NOT(ISERROR(SEARCH("Ere",AO165)))</formula>
    </cfRule>
    <cfRule type="containsText" dxfId="134" priority="1025" operator="containsText" text="Ear">
      <formula>NOT(ISERROR(SEARCH("Ear",AO165)))</formula>
    </cfRule>
    <cfRule type="containsText" dxfId="133" priority="1026" operator="containsText" text="fnd">
      <formula>NOT(ISERROR(SEARCH("fnd",AO165)))</formula>
    </cfRule>
  </conditionalFormatting>
  <conditionalFormatting sqref="AO173">
    <cfRule type="containsText" dxfId="132" priority="967" operator="containsText" text="Str">
      <formula>NOT(ISERROR(SEARCH("Str",AO173)))</formula>
    </cfRule>
    <cfRule type="containsText" dxfId="131" priority="968" operator="containsText" text="Ere">
      <formula>NOT(ISERROR(SEARCH("Ere",AO173)))</formula>
    </cfRule>
    <cfRule type="containsText" dxfId="130" priority="969" operator="containsText" text="Ear">
      <formula>NOT(ISERROR(SEARCH("Ear",AO173)))</formula>
    </cfRule>
    <cfRule type="containsText" dxfId="129" priority="970" operator="containsText" text="fnd">
      <formula>NOT(ISERROR(SEARCH("fnd",AO173)))</formula>
    </cfRule>
  </conditionalFormatting>
  <conditionalFormatting sqref="AO181">
    <cfRule type="containsText" dxfId="128" priority="951" operator="containsText" text="Str">
      <formula>NOT(ISERROR(SEARCH("Str",AO181)))</formula>
    </cfRule>
    <cfRule type="containsText" dxfId="127" priority="952" operator="containsText" text="Ere">
      <formula>NOT(ISERROR(SEARCH("Ere",AO181)))</formula>
    </cfRule>
    <cfRule type="containsText" dxfId="126" priority="953" operator="containsText" text="Ear">
      <formula>NOT(ISERROR(SEARCH("Ear",AO181)))</formula>
    </cfRule>
    <cfRule type="containsText" dxfId="125" priority="954" operator="containsText" text="fnd">
      <formula>NOT(ISERROR(SEARCH("fnd",AO181)))</formula>
    </cfRule>
  </conditionalFormatting>
  <conditionalFormatting sqref="AO30:AR30">
    <cfRule type="containsText" dxfId="124" priority="903" operator="containsText" text="Str">
      <formula>NOT(ISERROR(SEARCH("Str",AO30)))</formula>
    </cfRule>
    <cfRule type="containsText" dxfId="123" priority="904" operator="containsText" text="Ere">
      <formula>NOT(ISERROR(SEARCH("Ere",AO30)))</formula>
    </cfRule>
    <cfRule type="containsText" dxfId="122" priority="905" operator="containsText" text="Ear">
      <formula>NOT(ISERROR(SEARCH("Ear",AO30)))</formula>
    </cfRule>
    <cfRule type="containsText" dxfId="121" priority="906" operator="containsText" text="fnd">
      <formula>NOT(ISERROR(SEARCH("fnd",AO30)))</formula>
    </cfRule>
  </conditionalFormatting>
  <conditionalFormatting sqref="AO38:AR38">
    <cfRule type="containsText" dxfId="120" priority="711" operator="containsText" text="Str">
      <formula>NOT(ISERROR(SEARCH("Str",AO38)))</formula>
    </cfRule>
    <cfRule type="containsText" dxfId="119" priority="712" operator="containsText" text="Ere">
      <formula>NOT(ISERROR(SEARCH("Ere",AO38)))</formula>
    </cfRule>
    <cfRule type="containsText" dxfId="118" priority="713" operator="containsText" text="Ear">
      <formula>NOT(ISERROR(SEARCH("Ear",AO38)))</formula>
    </cfRule>
    <cfRule type="containsText" dxfId="117" priority="714" operator="containsText" text="fnd">
      <formula>NOT(ISERROR(SEARCH("fnd",AO38)))</formula>
    </cfRule>
  </conditionalFormatting>
  <conditionalFormatting sqref="AO53:AR54">
    <cfRule type="containsText" dxfId="116" priority="843" operator="containsText" text="Str">
      <formula>NOT(ISERROR(SEARCH("Str",AO53)))</formula>
    </cfRule>
    <cfRule type="containsText" dxfId="115" priority="844" operator="containsText" text="Ere">
      <formula>NOT(ISERROR(SEARCH("Ere",AO53)))</formula>
    </cfRule>
    <cfRule type="containsText" dxfId="114" priority="845" operator="containsText" text="Ear">
      <formula>NOT(ISERROR(SEARCH("Ear",AO53)))</formula>
    </cfRule>
    <cfRule type="containsText" dxfId="113" priority="846" operator="containsText" text="fnd">
      <formula>NOT(ISERROR(SEARCH("fnd",AO53)))</formula>
    </cfRule>
  </conditionalFormatting>
  <conditionalFormatting sqref="AO70:AR70">
    <cfRule type="containsText" dxfId="112" priority="823" operator="containsText" text="Str">
      <formula>NOT(ISERROR(SEARCH("Str",AO70)))</formula>
    </cfRule>
    <cfRule type="containsText" dxfId="111" priority="824" operator="containsText" text="Ere">
      <formula>NOT(ISERROR(SEARCH("Ere",AO70)))</formula>
    </cfRule>
    <cfRule type="containsText" dxfId="110" priority="825" operator="containsText" text="Ear">
      <formula>NOT(ISERROR(SEARCH("Ear",AO70)))</formula>
    </cfRule>
    <cfRule type="containsText" dxfId="109" priority="826" operator="containsText" text="fnd">
      <formula>NOT(ISERROR(SEARCH("fnd",AO70)))</formula>
    </cfRule>
  </conditionalFormatting>
  <conditionalFormatting sqref="AO86:AR86">
    <cfRule type="containsText" dxfId="108" priority="791" operator="containsText" text="Str">
      <formula>NOT(ISERROR(SEARCH("Str",AO86)))</formula>
    </cfRule>
    <cfRule type="containsText" dxfId="107" priority="792" operator="containsText" text="Ere">
      <formula>NOT(ISERROR(SEARCH("Ere",AO86)))</formula>
    </cfRule>
    <cfRule type="containsText" dxfId="106" priority="793" operator="containsText" text="Ear">
      <formula>NOT(ISERROR(SEARCH("Ear",AO86)))</formula>
    </cfRule>
    <cfRule type="containsText" dxfId="105" priority="794" operator="containsText" text="fnd">
      <formula>NOT(ISERROR(SEARCH("fnd",AO86)))</formula>
    </cfRule>
  </conditionalFormatting>
  <conditionalFormatting sqref="AO126:AR126">
    <cfRule type="containsText" dxfId="104" priority="1359" operator="containsText" text="Str">
      <formula>NOT(ISERROR(SEARCH("Str",AO126)))</formula>
    </cfRule>
    <cfRule type="containsText" dxfId="103" priority="1360" operator="containsText" text="Ere">
      <formula>NOT(ISERROR(SEARCH("Ere",AO126)))</formula>
    </cfRule>
    <cfRule type="containsText" dxfId="102" priority="1361" operator="containsText" text="Ear">
      <formula>NOT(ISERROR(SEARCH("Ear",AO126)))</formula>
    </cfRule>
    <cfRule type="containsText" dxfId="101" priority="1362" operator="containsText" text="fnd">
      <formula>NOT(ISERROR(SEARCH("fnd",AO126)))</formula>
    </cfRule>
  </conditionalFormatting>
  <conditionalFormatting sqref="AO134:AR134">
    <cfRule type="containsText" dxfId="100" priority="1307" operator="containsText" text="Str">
      <formula>NOT(ISERROR(SEARCH("Str",AO134)))</formula>
    </cfRule>
    <cfRule type="containsText" dxfId="99" priority="1308" operator="containsText" text="Ere">
      <formula>NOT(ISERROR(SEARCH("Ere",AO134)))</formula>
    </cfRule>
    <cfRule type="containsText" dxfId="98" priority="1309" operator="containsText" text="Ear">
      <formula>NOT(ISERROR(SEARCH("Ear",AO134)))</formula>
    </cfRule>
    <cfRule type="containsText" dxfId="97" priority="1310" operator="containsText" text="fnd">
      <formula>NOT(ISERROR(SEARCH("fnd",AO134)))</formula>
    </cfRule>
  </conditionalFormatting>
  <conditionalFormatting sqref="AO142:AR142">
    <cfRule type="containsText" dxfId="96" priority="241" operator="containsText" text="Str">
      <formula>NOT(ISERROR(SEARCH("Str",AO142)))</formula>
    </cfRule>
    <cfRule type="containsText" dxfId="95" priority="242" operator="containsText" text="Ere">
      <formula>NOT(ISERROR(SEARCH("Ere",AO142)))</formula>
    </cfRule>
    <cfRule type="containsText" dxfId="94" priority="243" operator="containsText" text="Ear">
      <formula>NOT(ISERROR(SEARCH("Ear",AO142)))</formula>
    </cfRule>
    <cfRule type="containsText" dxfId="93" priority="244" operator="containsText" text="fnd">
      <formula>NOT(ISERROR(SEARCH("fnd",AO142)))</formula>
    </cfRule>
  </conditionalFormatting>
  <conditionalFormatting sqref="AO158:AR158">
    <cfRule type="containsText" dxfId="92" priority="1071" operator="containsText" text="Str">
      <formula>NOT(ISERROR(SEARCH("Str",AO158)))</formula>
    </cfRule>
    <cfRule type="containsText" dxfId="91" priority="1072" operator="containsText" text="Ere">
      <formula>NOT(ISERROR(SEARCH("Ere",AO158)))</formula>
    </cfRule>
    <cfRule type="containsText" dxfId="90" priority="1073" operator="containsText" text="Ear">
      <formula>NOT(ISERROR(SEARCH("Ear",AO158)))</formula>
    </cfRule>
    <cfRule type="containsText" dxfId="89" priority="1074" operator="containsText" text="fnd">
      <formula>NOT(ISERROR(SEARCH("fnd",AO158)))</formula>
    </cfRule>
  </conditionalFormatting>
  <conditionalFormatting sqref="AO182:AR182">
    <cfRule type="containsText" dxfId="88" priority="955" operator="containsText" text="Str">
      <formula>NOT(ISERROR(SEARCH("Str",AO182)))</formula>
    </cfRule>
    <cfRule type="containsText" dxfId="87" priority="956" operator="containsText" text="Ere">
      <formula>NOT(ISERROR(SEARCH("Ere",AO182)))</formula>
    </cfRule>
    <cfRule type="containsText" dxfId="86" priority="957" operator="containsText" text="Ear">
      <formula>NOT(ISERROR(SEARCH("Ear",AO182)))</formula>
    </cfRule>
    <cfRule type="containsText" dxfId="85" priority="958" operator="containsText" text="fnd">
      <formula>NOT(ISERROR(SEARCH("fnd",AO182)))</formula>
    </cfRule>
  </conditionalFormatting>
  <conditionalFormatting sqref="AP102">
    <cfRule type="containsText" dxfId="84" priority="21" operator="containsText" text="Str">
      <formula>NOT(ISERROR(SEARCH("Str",AP102)))</formula>
    </cfRule>
    <cfRule type="containsText" dxfId="83" priority="22" operator="containsText" text="Ere">
      <formula>NOT(ISERROR(SEARCH("Ere",AP102)))</formula>
    </cfRule>
    <cfRule type="containsText" dxfId="82" priority="23" operator="containsText" text="Ear">
      <formula>NOT(ISERROR(SEARCH("Ear",AP102)))</formula>
    </cfRule>
    <cfRule type="containsText" dxfId="81" priority="24" operator="containsText" text="fnd">
      <formula>NOT(ISERROR(SEARCH("fnd",AP102)))</formula>
    </cfRule>
  </conditionalFormatting>
  <conditionalFormatting sqref="AP14:AR14">
    <cfRule type="containsText" dxfId="80" priority="1755" operator="containsText" text="Str">
      <formula>NOT(ISERROR(SEARCH("Str",AP14)))</formula>
    </cfRule>
    <cfRule type="containsText" dxfId="79" priority="1756" operator="containsText" text="Ere">
      <formula>NOT(ISERROR(SEARCH("Ere",AP14)))</formula>
    </cfRule>
    <cfRule type="containsText" dxfId="78" priority="1757" operator="containsText" text="Ear">
      <formula>NOT(ISERROR(SEARCH("Ear",AP14)))</formula>
    </cfRule>
    <cfRule type="containsText" dxfId="77" priority="1758" operator="containsText" text="fnd">
      <formula>NOT(ISERROR(SEARCH("fnd",AP14)))</formula>
    </cfRule>
  </conditionalFormatting>
  <conditionalFormatting sqref="AP22:AR22">
    <cfRule type="containsText" dxfId="76" priority="923" operator="containsText" text="Str">
      <formula>NOT(ISERROR(SEARCH("Str",AP22)))</formula>
    </cfRule>
    <cfRule type="containsText" dxfId="75" priority="924" operator="containsText" text="Ere">
      <formula>NOT(ISERROR(SEARCH("Ere",AP22)))</formula>
    </cfRule>
    <cfRule type="containsText" dxfId="74" priority="925" operator="containsText" text="Ear">
      <formula>NOT(ISERROR(SEARCH("Ear",AP22)))</formula>
    </cfRule>
    <cfRule type="containsText" dxfId="73" priority="926" operator="containsText" text="fnd">
      <formula>NOT(ISERROR(SEARCH("fnd",AP22)))</formula>
    </cfRule>
  </conditionalFormatting>
  <conditionalFormatting sqref="AP62:AR62">
    <cfRule type="containsText" dxfId="72" priority="1983" operator="containsText" text="Str">
      <formula>NOT(ISERROR(SEARCH("Str",AP62)))</formula>
    </cfRule>
    <cfRule type="containsText" dxfId="71" priority="1984" operator="containsText" text="Ere">
      <formula>NOT(ISERROR(SEARCH("Ere",AP62)))</formula>
    </cfRule>
    <cfRule type="containsText" dxfId="70" priority="1985" operator="containsText" text="Ear">
      <formula>NOT(ISERROR(SEARCH("Ear",AP62)))</formula>
    </cfRule>
    <cfRule type="containsText" dxfId="69" priority="1986" operator="containsText" text="fnd">
      <formula>NOT(ISERROR(SEARCH("fnd",AP62)))</formula>
    </cfRule>
  </conditionalFormatting>
  <conditionalFormatting sqref="AQ6">
    <cfRule type="containsText" dxfId="68" priority="577" operator="containsText" text="Str">
      <formula>NOT(ISERROR(SEARCH("Str",AQ6)))</formula>
    </cfRule>
    <cfRule type="containsText" dxfId="67" priority="578" operator="containsText" text="Ere">
      <formula>NOT(ISERROR(SEARCH("Ere",AQ6)))</formula>
    </cfRule>
  </conditionalFormatting>
  <conditionalFormatting sqref="AR5:AR6">
    <cfRule type="containsText" dxfId="66" priority="947" operator="containsText" text="Str">
      <formula>NOT(ISERROR(SEARCH("Str",AR5)))</formula>
    </cfRule>
    <cfRule type="containsText" dxfId="65" priority="948" operator="containsText" text="Ere">
      <formula>NOT(ISERROR(SEARCH("Ere",AR5)))</formula>
    </cfRule>
    <cfRule type="containsText" dxfId="64" priority="949" operator="containsText" text="Ear">
      <formula>NOT(ISERROR(SEARCH("Ear",AR5)))</formula>
    </cfRule>
    <cfRule type="containsText" dxfId="63" priority="950" operator="containsText" text="fnd">
      <formula>NOT(ISERROR(SEARCH("fnd",AR5)))</formula>
    </cfRule>
  </conditionalFormatting>
  <conditionalFormatting sqref="AV2 BA2">
    <cfRule type="containsText" dxfId="62" priority="1" operator="containsText" text="Str">
      <formula>NOT(ISERROR(SEARCH("Str",AV2)))</formula>
    </cfRule>
    <cfRule type="containsText" dxfId="61" priority="2" operator="containsText" text="Ere">
      <formula>NOT(ISERROR(SEARCH("Ere",AV2)))</formula>
    </cfRule>
    <cfRule type="containsText" dxfId="60" priority="3" operator="containsText" text="Ear">
      <formula>NOT(ISERROR(SEARCH("Ear",AV2)))</formula>
    </cfRule>
    <cfRule type="containsText" dxfId="59" priority="4" operator="containsText" text="fnd">
      <formula>NOT(ISERROR(SEARCH("fnd",AV2)))</formula>
    </cfRule>
  </conditionalFormatting>
  <conditionalFormatting sqref="AV3:BA3">
    <cfRule type="containsText" dxfId="58" priority="49" operator="containsText" text="Str">
      <formula>NOT(ISERROR(SEARCH("Str",AV3)))</formula>
    </cfRule>
    <cfRule type="containsText" dxfId="57" priority="50" operator="containsText" text="Ere">
      <formula>NOT(ISERROR(SEARCH("Ere",AV3)))</formula>
    </cfRule>
    <cfRule type="containsText" dxfId="56" priority="51" operator="containsText" text="Ear">
      <formula>NOT(ISERROR(SEARCH("Ear",AV3)))</formula>
    </cfRule>
    <cfRule type="containsText" dxfId="55" priority="52" operator="containsText" text="fnd">
      <formula>NOT(ISERROR(SEARCH("fnd",AV3)))</formula>
    </cfRule>
  </conditionalFormatting>
  <conditionalFormatting sqref="AW27:AZ27">
    <cfRule type="containsText" dxfId="54" priority="2351" operator="containsText" text="Str">
      <formula>NOT(ISERROR(SEARCH("Str",AW27)))</formula>
    </cfRule>
    <cfRule type="containsText" dxfId="53" priority="2352" operator="containsText" text="Ere">
      <formula>NOT(ISERROR(SEARCH("Ere",AW27)))</formula>
    </cfRule>
    <cfRule type="containsText" dxfId="52" priority="2353" operator="containsText" text="Ear">
      <formula>NOT(ISERROR(SEARCH("Ear",AW27)))</formula>
    </cfRule>
    <cfRule type="containsText" dxfId="51" priority="2354" operator="containsText" text="fnd">
      <formula>NOT(ISERROR(SEARCH("fnd",AW27)))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38"/>
  <sheetViews>
    <sheetView tabSelected="1"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I6" sqref="I6"/>
    </sheetView>
  </sheetViews>
  <sheetFormatPr defaultColWidth="9" defaultRowHeight="14.5" x14ac:dyDescent="0.35"/>
  <cols>
    <col min="1" max="1" width="13.08984375" style="578" bestFit="1" customWidth="1"/>
    <col min="2" max="2" width="14.54296875" style="578" bestFit="1" customWidth="1"/>
    <col min="3" max="3" width="13.1796875" style="578" customWidth="1"/>
    <col min="4" max="4" width="11" style="548" customWidth="1"/>
    <col min="5" max="5" width="13" style="548" customWidth="1"/>
    <col min="6" max="6" width="11.54296875" style="578" customWidth="1"/>
    <col min="7" max="7" width="11.453125" style="548" customWidth="1"/>
    <col min="8" max="8" width="8.81640625" style="548" customWidth="1"/>
    <col min="9" max="9" width="9.54296875" style="548" customWidth="1"/>
    <col min="10" max="10" width="11.54296875" style="577" customWidth="1"/>
    <col min="11" max="11" width="13.6328125" style="548" customWidth="1"/>
    <col min="12" max="12" width="9.54296875" style="548" customWidth="1"/>
    <col min="13" max="13" width="30.1796875" style="548" customWidth="1"/>
    <col min="14" max="14" width="45.81640625" style="548" bestFit="1" customWidth="1"/>
    <col min="15" max="15" width="6.1796875" style="540" bestFit="1" customWidth="1"/>
    <col min="16" max="16" width="1.453125" style="541" customWidth="1"/>
    <col min="17" max="17" width="29.453125" style="566" hidden="1" customWidth="1"/>
    <col min="18" max="16384" width="9" style="541"/>
  </cols>
  <sheetData>
    <row r="1" spans="1:17" ht="30" customHeight="1" x14ac:dyDescent="0.35">
      <c r="A1" s="818"/>
      <c r="B1" s="534" t="s">
        <v>2094</v>
      </c>
      <c r="C1" s="535" t="s">
        <v>635</v>
      </c>
      <c r="D1" s="536" t="s">
        <v>351</v>
      </c>
      <c r="E1" s="821">
        <v>46171</v>
      </c>
      <c r="F1" s="822"/>
      <c r="G1" s="537" t="s">
        <v>2095</v>
      </c>
      <c r="H1" s="823" t="s">
        <v>2096</v>
      </c>
      <c r="I1" s="823"/>
      <c r="J1" s="537" t="s">
        <v>2097</v>
      </c>
      <c r="K1" s="538" t="s">
        <v>2160</v>
      </c>
      <c r="L1" s="539"/>
      <c r="M1" s="824"/>
      <c r="N1" s="825"/>
      <c r="Q1" s="542" t="s">
        <v>2098</v>
      </c>
    </row>
    <row r="2" spans="1:17" ht="30" customHeight="1" x14ac:dyDescent="0.35">
      <c r="A2" s="819"/>
      <c r="B2" s="543" t="s">
        <v>2099</v>
      </c>
      <c r="C2" s="826" t="s">
        <v>2100</v>
      </c>
      <c r="D2" s="827"/>
      <c r="E2" s="827"/>
      <c r="F2" s="828"/>
      <c r="G2" s="537" t="s">
        <v>2101</v>
      </c>
      <c r="H2" s="824" t="s">
        <v>2161</v>
      </c>
      <c r="I2" s="829"/>
      <c r="J2" s="829"/>
      <c r="K2" s="825"/>
      <c r="L2" s="537" t="s">
        <v>2102</v>
      </c>
      <c r="M2" s="824" t="s">
        <v>2103</v>
      </c>
      <c r="N2" s="825"/>
      <c r="Q2" s="544" t="s">
        <v>2104</v>
      </c>
    </row>
    <row r="3" spans="1:17" ht="29" x14ac:dyDescent="0.35">
      <c r="A3" s="820"/>
      <c r="B3" s="543" t="s">
        <v>2105</v>
      </c>
      <c r="C3" s="826" t="s">
        <v>2106</v>
      </c>
      <c r="D3" s="827"/>
      <c r="E3" s="827"/>
      <c r="F3" s="828"/>
      <c r="G3" s="537" t="s">
        <v>2107</v>
      </c>
      <c r="H3" s="830" t="s">
        <v>2157</v>
      </c>
      <c r="I3" s="831"/>
      <c r="J3" s="537" t="s">
        <v>2108</v>
      </c>
      <c r="K3" s="581" t="s">
        <v>2158</v>
      </c>
      <c r="L3" s="543" t="s">
        <v>2109</v>
      </c>
      <c r="M3" s="832" t="s">
        <v>2159</v>
      </c>
      <c r="N3" s="832"/>
      <c r="Q3" s="545" t="s">
        <v>2110</v>
      </c>
    </row>
    <row r="4" spans="1:17" s="547" customFormat="1" ht="58" x14ac:dyDescent="0.35">
      <c r="A4" s="546" t="s">
        <v>794</v>
      </c>
      <c r="B4" s="546" t="s">
        <v>366</v>
      </c>
      <c r="C4" s="546" t="s">
        <v>2111</v>
      </c>
      <c r="D4" s="546" t="s">
        <v>2112</v>
      </c>
      <c r="E4" s="546" t="s">
        <v>2113</v>
      </c>
      <c r="F4" s="546" t="s">
        <v>2114</v>
      </c>
      <c r="G4" s="546" t="s">
        <v>2115</v>
      </c>
      <c r="H4" s="546" t="s">
        <v>2116</v>
      </c>
      <c r="I4" s="546" t="s">
        <v>2117</v>
      </c>
      <c r="J4" s="546" t="s">
        <v>2118</v>
      </c>
      <c r="K4" s="546" t="s">
        <v>370</v>
      </c>
      <c r="L4" s="546" t="s">
        <v>2119</v>
      </c>
      <c r="M4" s="546" t="s">
        <v>371</v>
      </c>
      <c r="N4" s="546" t="s">
        <v>2120</v>
      </c>
      <c r="O4" s="579" t="s">
        <v>2121</v>
      </c>
      <c r="Q4" s="545" t="s">
        <v>2122</v>
      </c>
    </row>
    <row r="5" spans="1:17" s="548" customFormat="1" ht="29" x14ac:dyDescent="0.35">
      <c r="A5" s="587">
        <v>1</v>
      </c>
      <c r="B5" s="596" t="s">
        <v>2123</v>
      </c>
      <c r="C5" s="582">
        <v>118.39700000000001</v>
      </c>
      <c r="D5" s="584">
        <v>118.39700000000001</v>
      </c>
      <c r="E5" s="584">
        <f t="shared" ref="E5:E12" si="0">C5-D5</f>
        <v>0</v>
      </c>
      <c r="F5" s="582">
        <f>E5</f>
        <v>0</v>
      </c>
      <c r="G5" s="582"/>
      <c r="H5" s="583"/>
      <c r="I5" s="584"/>
      <c r="J5" s="582">
        <f t="shared" ref="J5:J12" si="1">D5+H5</f>
        <v>118.39700000000001</v>
      </c>
      <c r="K5" s="582">
        <f t="shared" ref="K5:K9" si="2">C5-J5</f>
        <v>0</v>
      </c>
      <c r="L5" s="582" t="s">
        <v>599</v>
      </c>
      <c r="M5" s="585"/>
      <c r="N5" s="586"/>
      <c r="O5" s="580">
        <f t="shared" ref="O5:O12" si="3">(J5/C5)</f>
        <v>1</v>
      </c>
      <c r="Q5" s="545" t="s">
        <v>2124</v>
      </c>
    </row>
    <row r="6" spans="1:17" s="548" customFormat="1" ht="29" x14ac:dyDescent="0.35">
      <c r="A6" s="587">
        <v>2</v>
      </c>
      <c r="B6" s="597" t="s">
        <v>2125</v>
      </c>
      <c r="C6" s="587">
        <v>306</v>
      </c>
      <c r="D6" s="587">
        <v>258</v>
      </c>
      <c r="E6" s="587">
        <f t="shared" si="0"/>
        <v>48</v>
      </c>
      <c r="F6" s="587">
        <v>25</v>
      </c>
      <c r="G6" s="587"/>
      <c r="H6" s="587">
        <f>SUMMARY!K7</f>
        <v>10</v>
      </c>
      <c r="I6" s="587">
        <v>3</v>
      </c>
      <c r="J6" s="587">
        <f t="shared" si="1"/>
        <v>268</v>
      </c>
      <c r="K6" s="587">
        <f t="shared" si="2"/>
        <v>38</v>
      </c>
      <c r="L6" s="587">
        <v>3</v>
      </c>
      <c r="M6" s="588" t="s">
        <v>2191</v>
      </c>
      <c r="N6" s="589" t="s">
        <v>2200</v>
      </c>
      <c r="O6" s="580">
        <f t="shared" si="3"/>
        <v>0.87581699346405228</v>
      </c>
      <c r="P6" s="549"/>
      <c r="Q6" s="545" t="s">
        <v>2126</v>
      </c>
    </row>
    <row r="7" spans="1:17" s="548" customFormat="1" ht="29" x14ac:dyDescent="0.35">
      <c r="A7" s="587">
        <v>3</v>
      </c>
      <c r="B7" s="597" t="s">
        <v>2127</v>
      </c>
      <c r="C7" s="587">
        <v>306</v>
      </c>
      <c r="D7" s="587">
        <v>228</v>
      </c>
      <c r="E7" s="587">
        <f t="shared" si="0"/>
        <v>78</v>
      </c>
      <c r="F7" s="587">
        <v>0</v>
      </c>
      <c r="G7" s="587"/>
      <c r="H7" s="587">
        <f>SUMMARY!K8</f>
        <v>19</v>
      </c>
      <c r="I7" s="587">
        <v>0</v>
      </c>
      <c r="J7" s="587">
        <f t="shared" si="1"/>
        <v>247</v>
      </c>
      <c r="K7" s="587">
        <f t="shared" si="2"/>
        <v>59</v>
      </c>
      <c r="L7" s="587"/>
      <c r="M7" s="588" t="s">
        <v>2132</v>
      </c>
      <c r="N7" s="590"/>
      <c r="O7" s="580">
        <f t="shared" si="3"/>
        <v>0.80718954248366015</v>
      </c>
      <c r="Q7" s="545" t="s">
        <v>2128</v>
      </c>
    </row>
    <row r="8" spans="1:17" s="548" customFormat="1" ht="29" x14ac:dyDescent="0.35">
      <c r="A8" s="587">
        <v>4</v>
      </c>
      <c r="B8" s="597" t="s">
        <v>2129</v>
      </c>
      <c r="C8" s="587">
        <v>290</v>
      </c>
      <c r="D8" s="587">
        <v>180</v>
      </c>
      <c r="E8" s="587">
        <f t="shared" si="0"/>
        <v>110</v>
      </c>
      <c r="F8" s="587">
        <v>45</v>
      </c>
      <c r="G8" s="587"/>
      <c r="H8" s="587">
        <f>SUMMARY!K9</f>
        <v>28</v>
      </c>
      <c r="I8" s="587">
        <v>5</v>
      </c>
      <c r="J8" s="587">
        <f t="shared" si="1"/>
        <v>208</v>
      </c>
      <c r="K8" s="587">
        <f t="shared" si="2"/>
        <v>82</v>
      </c>
      <c r="L8" s="587">
        <v>3</v>
      </c>
      <c r="M8" s="588" t="s">
        <v>2195</v>
      </c>
      <c r="N8" s="591"/>
      <c r="O8" s="580">
        <f t="shared" si="3"/>
        <v>0.71724137931034482</v>
      </c>
      <c r="Q8" s="545" t="s">
        <v>2130</v>
      </c>
    </row>
    <row r="9" spans="1:17" s="548" customFormat="1" ht="29" x14ac:dyDescent="0.35">
      <c r="A9" s="587">
        <v>5</v>
      </c>
      <c r="B9" s="597" t="s">
        <v>2131</v>
      </c>
      <c r="C9" s="587">
        <v>290</v>
      </c>
      <c r="D9" s="587"/>
      <c r="E9" s="587">
        <f t="shared" si="0"/>
        <v>290</v>
      </c>
      <c r="F9" s="587">
        <v>45</v>
      </c>
      <c r="G9" s="587"/>
      <c r="H9" s="587"/>
      <c r="I9" s="587"/>
      <c r="J9" s="587">
        <f t="shared" si="1"/>
        <v>0</v>
      </c>
      <c r="K9" s="587">
        <f t="shared" si="2"/>
        <v>290</v>
      </c>
      <c r="L9" s="587"/>
      <c r="M9" s="588" t="s">
        <v>2132</v>
      </c>
      <c r="N9" s="590"/>
      <c r="O9" s="580">
        <f t="shared" si="3"/>
        <v>0</v>
      </c>
      <c r="Q9" s="545" t="s">
        <v>2133</v>
      </c>
    </row>
    <row r="10" spans="1:17" s="548" customFormat="1" ht="29" x14ac:dyDescent="0.35">
      <c r="A10" s="587">
        <v>6</v>
      </c>
      <c r="B10" s="597" t="s">
        <v>2134</v>
      </c>
      <c r="C10" s="587">
        <v>12</v>
      </c>
      <c r="D10" s="587"/>
      <c r="E10" s="587">
        <f t="shared" si="0"/>
        <v>12</v>
      </c>
      <c r="F10" s="598">
        <v>12.364000000000001</v>
      </c>
      <c r="G10" s="592"/>
      <c r="H10" s="592"/>
      <c r="I10" s="592"/>
      <c r="J10" s="587">
        <f t="shared" si="1"/>
        <v>0</v>
      </c>
      <c r="K10" s="592">
        <f>+E10-H10</f>
        <v>12</v>
      </c>
      <c r="L10" s="599"/>
      <c r="M10" s="588" t="s">
        <v>2132</v>
      </c>
      <c r="N10" s="593"/>
      <c r="O10" s="580">
        <f t="shared" si="3"/>
        <v>0</v>
      </c>
      <c r="Q10" s="545" t="s">
        <v>2135</v>
      </c>
    </row>
    <row r="11" spans="1:17" s="548" customFormat="1" ht="29" x14ac:dyDescent="0.35">
      <c r="A11" s="587">
        <v>7</v>
      </c>
      <c r="B11" s="597" t="s">
        <v>2136</v>
      </c>
      <c r="C11" s="587">
        <f>C10</f>
        <v>12</v>
      </c>
      <c r="D11" s="587"/>
      <c r="E11" s="587">
        <f t="shared" si="0"/>
        <v>12</v>
      </c>
      <c r="F11" s="598"/>
      <c r="G11" s="592"/>
      <c r="H11" s="592"/>
      <c r="I11" s="592"/>
      <c r="J11" s="587">
        <f t="shared" si="1"/>
        <v>0</v>
      </c>
      <c r="K11" s="592">
        <f t="shared" ref="K11:K12" si="4">+E11-H11</f>
        <v>12</v>
      </c>
      <c r="L11" s="599"/>
      <c r="M11" s="588" t="s">
        <v>2132</v>
      </c>
      <c r="N11" s="594"/>
      <c r="O11" s="580">
        <f t="shared" si="3"/>
        <v>0</v>
      </c>
      <c r="Q11" s="545" t="s">
        <v>2137</v>
      </c>
    </row>
    <row r="12" spans="1:17" s="548" customFormat="1" ht="29" x14ac:dyDescent="0.35">
      <c r="A12" s="587">
        <v>8</v>
      </c>
      <c r="B12" s="597" t="s">
        <v>2138</v>
      </c>
      <c r="C12" s="587">
        <f>C11</f>
        <v>12</v>
      </c>
      <c r="D12" s="587"/>
      <c r="E12" s="587">
        <f t="shared" si="0"/>
        <v>12</v>
      </c>
      <c r="F12" s="587"/>
      <c r="G12" s="595"/>
      <c r="H12" s="595"/>
      <c r="I12" s="595"/>
      <c r="J12" s="592">
        <f t="shared" si="1"/>
        <v>0</v>
      </c>
      <c r="K12" s="587">
        <f t="shared" si="4"/>
        <v>12</v>
      </c>
      <c r="L12" s="587"/>
      <c r="M12" s="588" t="s">
        <v>2139</v>
      </c>
      <c r="N12" s="590"/>
      <c r="O12" s="580">
        <f t="shared" si="3"/>
        <v>0</v>
      </c>
      <c r="Q12" s="545" t="s">
        <v>2140</v>
      </c>
    </row>
    <row r="13" spans="1:17" x14ac:dyDescent="0.35">
      <c r="A13" s="834"/>
      <c r="B13" s="834"/>
      <c r="C13" s="834"/>
      <c r="D13" s="834"/>
      <c r="E13" s="834"/>
      <c r="F13" s="834"/>
      <c r="G13" s="834"/>
      <c r="H13" s="834"/>
      <c r="I13" s="834"/>
      <c r="J13" s="834"/>
      <c r="K13" s="834"/>
      <c r="L13" s="834"/>
      <c r="M13" s="834"/>
      <c r="N13" s="834"/>
      <c r="Q13" s="545" t="s">
        <v>2141</v>
      </c>
    </row>
    <row r="14" spans="1:17" hidden="1" x14ac:dyDescent="0.35">
      <c r="A14" s="835" t="s">
        <v>2142</v>
      </c>
      <c r="B14" s="835"/>
      <c r="C14" s="835"/>
      <c r="D14" s="835"/>
      <c r="E14" s="835"/>
      <c r="F14" s="835"/>
      <c r="G14" s="835"/>
      <c r="H14" s="550"/>
      <c r="I14" s="551"/>
      <c r="J14" s="541"/>
      <c r="K14" s="541"/>
      <c r="L14" s="541"/>
      <c r="M14" s="541"/>
      <c r="N14" s="541"/>
      <c r="Q14" s="545" t="s">
        <v>2143</v>
      </c>
    </row>
    <row r="15" spans="1:17" hidden="1" x14ac:dyDescent="0.35">
      <c r="A15" s="836"/>
      <c r="B15" s="837"/>
      <c r="C15" s="837"/>
      <c r="D15" s="837"/>
      <c r="E15" s="837"/>
      <c r="F15" s="837"/>
      <c r="G15" s="838"/>
      <c r="H15" s="541"/>
      <c r="I15" s="541"/>
      <c r="J15" s="541"/>
      <c r="K15" s="552"/>
      <c r="L15" s="541"/>
      <c r="M15" s="551"/>
      <c r="N15" s="541"/>
      <c r="Q15" s="545" t="s">
        <v>2144</v>
      </c>
    </row>
    <row r="16" spans="1:17" hidden="1" x14ac:dyDescent="0.35">
      <c r="A16" s="839" t="s">
        <v>2145</v>
      </c>
      <c r="B16" s="839"/>
      <c r="C16" s="839"/>
      <c r="D16" s="839"/>
      <c r="E16" s="839"/>
      <c r="F16" s="839"/>
      <c r="G16" s="839"/>
      <c r="H16" s="541"/>
      <c r="I16" s="553"/>
      <c r="J16" s="541"/>
      <c r="K16" s="541"/>
      <c r="L16" s="541"/>
      <c r="M16" s="541"/>
      <c r="N16" s="541"/>
      <c r="Q16" s="554" t="s">
        <v>2146</v>
      </c>
    </row>
    <row r="17" spans="1:17" ht="46.5" hidden="1" customHeight="1" x14ac:dyDescent="0.35">
      <c r="A17" s="555" t="s">
        <v>2147</v>
      </c>
      <c r="B17" s="555" t="s">
        <v>2148</v>
      </c>
      <c r="C17" s="556" t="s">
        <v>2149</v>
      </c>
      <c r="D17" s="557" t="s">
        <v>2150</v>
      </c>
      <c r="E17" s="558" t="s">
        <v>396</v>
      </c>
      <c r="F17" s="559" t="s">
        <v>371</v>
      </c>
      <c r="G17" s="558"/>
      <c r="H17" s="541"/>
      <c r="I17" s="541"/>
      <c r="J17" s="541"/>
      <c r="K17" s="541"/>
      <c r="L17" s="541"/>
      <c r="M17" s="541"/>
      <c r="N17" s="541"/>
      <c r="Q17" s="545"/>
    </row>
    <row r="18" spans="1:17" hidden="1" x14ac:dyDescent="0.35">
      <c r="A18" s="560">
        <f>E6</f>
        <v>48</v>
      </c>
      <c r="B18" s="560">
        <f>H6</f>
        <v>10</v>
      </c>
      <c r="C18" s="561">
        <f>I6</f>
        <v>3</v>
      </c>
      <c r="D18" s="561"/>
      <c r="E18" s="562">
        <f>A18-B18-C18-D18</f>
        <v>35</v>
      </c>
      <c r="F18" s="563"/>
      <c r="G18" s="564"/>
      <c r="H18" s="541"/>
      <c r="I18" s="541"/>
      <c r="J18" s="541"/>
      <c r="K18" s="541"/>
      <c r="L18" s="541"/>
      <c r="M18" s="541"/>
      <c r="N18" s="541"/>
      <c r="Q18" s="545"/>
    </row>
    <row r="19" spans="1:17" hidden="1" x14ac:dyDescent="0.35">
      <c r="A19" s="560"/>
      <c r="B19" s="560"/>
      <c r="C19" s="561"/>
      <c r="D19" s="565"/>
      <c r="E19" s="562"/>
      <c r="F19" s="563"/>
      <c r="G19" s="564"/>
      <c r="H19" s="541"/>
      <c r="I19" s="541"/>
      <c r="J19" s="541"/>
      <c r="K19" s="541"/>
      <c r="L19" s="541"/>
      <c r="M19" s="541"/>
      <c r="N19" s="541"/>
      <c r="Q19" s="545"/>
    </row>
    <row r="20" spans="1:17" hidden="1" x14ac:dyDescent="0.35">
      <c r="A20" s="839" t="s">
        <v>2151</v>
      </c>
      <c r="B20" s="839"/>
      <c r="C20" s="839"/>
      <c r="D20" s="839"/>
      <c r="E20" s="839"/>
      <c r="F20" s="839"/>
      <c r="G20" s="839"/>
      <c r="H20" s="541"/>
      <c r="I20" s="541"/>
      <c r="J20" s="541"/>
      <c r="K20" s="541"/>
      <c r="L20" s="541"/>
      <c r="M20" s="541"/>
      <c r="N20" s="541"/>
    </row>
    <row r="21" spans="1:17" ht="45.75" hidden="1" customHeight="1" x14ac:dyDescent="0.35">
      <c r="A21" s="555" t="s">
        <v>2147</v>
      </c>
      <c r="B21" s="555" t="s">
        <v>2148</v>
      </c>
      <c r="C21" s="556" t="s">
        <v>2149</v>
      </c>
      <c r="D21" s="557" t="s">
        <v>2150</v>
      </c>
      <c r="E21" s="558" t="s">
        <v>396</v>
      </c>
      <c r="F21" s="559" t="s">
        <v>2152</v>
      </c>
      <c r="G21" s="559" t="s">
        <v>371</v>
      </c>
      <c r="H21" s="541"/>
      <c r="I21" s="541"/>
      <c r="J21" s="541"/>
      <c r="K21" s="541"/>
      <c r="L21" s="541"/>
      <c r="M21" s="541"/>
      <c r="N21" s="541"/>
    </row>
    <row r="22" spans="1:17" hidden="1" x14ac:dyDescent="0.35">
      <c r="A22" s="560">
        <f>E8</f>
        <v>110</v>
      </c>
      <c r="B22" s="560">
        <f>H8</f>
        <v>28</v>
      </c>
      <c r="C22" s="562">
        <f>I8</f>
        <v>5</v>
      </c>
      <c r="D22" s="562"/>
      <c r="E22" s="562">
        <f>'[3]Page Chart'!X4</f>
        <v>5</v>
      </c>
      <c r="F22" s="567">
        <f>E18</f>
        <v>35</v>
      </c>
      <c r="G22" s="563"/>
      <c r="H22" s="541"/>
      <c r="I22" s="541"/>
      <c r="J22" s="541"/>
      <c r="K22" s="541"/>
      <c r="L22" s="541"/>
      <c r="M22" s="541"/>
      <c r="N22" s="541"/>
    </row>
    <row r="23" spans="1:17" hidden="1" x14ac:dyDescent="0.35">
      <c r="A23" s="560"/>
      <c r="B23" s="560"/>
      <c r="C23" s="562"/>
      <c r="D23" s="562"/>
      <c r="E23" s="562"/>
      <c r="F23" s="567"/>
      <c r="G23" s="563"/>
      <c r="H23" s="541"/>
      <c r="I23" s="541"/>
      <c r="J23" s="541"/>
      <c r="K23" s="541"/>
      <c r="L23" s="541"/>
      <c r="M23" s="541"/>
      <c r="N23" s="541"/>
    </row>
    <row r="24" spans="1:17" hidden="1" x14ac:dyDescent="0.35">
      <c r="A24" s="833" t="s">
        <v>2153</v>
      </c>
      <c r="B24" s="833"/>
      <c r="C24" s="833"/>
      <c r="D24" s="833"/>
      <c r="E24" s="833"/>
      <c r="F24" s="833"/>
      <c r="G24" s="833"/>
      <c r="H24" s="541"/>
      <c r="I24" s="541"/>
      <c r="J24" s="541"/>
      <c r="K24" s="541"/>
      <c r="L24" s="541"/>
      <c r="M24" s="541"/>
      <c r="N24" s="541"/>
    </row>
    <row r="25" spans="1:17" ht="72.5" hidden="1" x14ac:dyDescent="0.35">
      <c r="A25" s="568" t="s">
        <v>2154</v>
      </c>
      <c r="B25" s="568" t="s">
        <v>2148</v>
      </c>
      <c r="C25" s="569" t="s">
        <v>2149</v>
      </c>
      <c r="D25" s="557" t="s">
        <v>2150</v>
      </c>
      <c r="E25" s="558" t="s">
        <v>396</v>
      </c>
      <c r="F25" s="570" t="s">
        <v>2155</v>
      </c>
      <c r="G25" s="559" t="s">
        <v>2156</v>
      </c>
      <c r="H25" s="541"/>
      <c r="I25" s="541"/>
      <c r="J25" s="541"/>
      <c r="K25" s="541"/>
      <c r="L25" s="541"/>
      <c r="M25" s="541"/>
      <c r="N25" s="541"/>
    </row>
    <row r="26" spans="1:17" hidden="1" x14ac:dyDescent="0.35">
      <c r="A26" s="571">
        <f>E10</f>
        <v>12</v>
      </c>
      <c r="B26" s="571">
        <f>H10</f>
        <v>0</v>
      </c>
      <c r="C26" s="572">
        <f>I10</f>
        <v>0</v>
      </c>
      <c r="D26" s="573"/>
      <c r="E26" s="574"/>
      <c r="F26" s="575"/>
      <c r="G26" s="576"/>
      <c r="H26" s="541"/>
      <c r="I26" s="541"/>
      <c r="J26" s="541"/>
      <c r="K26" s="541"/>
      <c r="L26" s="541"/>
      <c r="M26" s="541"/>
      <c r="N26" s="541"/>
    </row>
    <row r="27" spans="1:17" hidden="1" x14ac:dyDescent="0.35">
      <c r="A27" s="548"/>
      <c r="B27" s="577"/>
      <c r="C27" s="548"/>
      <c r="F27" s="541"/>
      <c r="G27" s="541"/>
      <c r="H27" s="541"/>
      <c r="I27" s="541"/>
      <c r="J27" s="541"/>
      <c r="K27" s="541"/>
      <c r="L27" s="541"/>
      <c r="M27" s="541"/>
      <c r="N27" s="541"/>
    </row>
    <row r="28" spans="1:17" hidden="1" x14ac:dyDescent="0.35">
      <c r="A28" s="548"/>
      <c r="B28" s="577"/>
      <c r="C28" s="548"/>
      <c r="F28" s="541"/>
      <c r="G28" s="541"/>
      <c r="H28" s="541"/>
      <c r="I28" s="541"/>
      <c r="J28" s="541"/>
      <c r="K28" s="541"/>
      <c r="L28" s="541"/>
      <c r="M28" s="541"/>
      <c r="N28" s="541"/>
    </row>
    <row r="29" spans="1:17" ht="15" thickBot="1" x14ac:dyDescent="0.4">
      <c r="A29" s="548"/>
      <c r="B29" s="577"/>
      <c r="C29" s="548"/>
      <c r="F29" s="541"/>
      <c r="G29" s="541"/>
      <c r="H29" s="541"/>
      <c r="I29" s="541"/>
      <c r="J29" s="541"/>
      <c r="K29" s="541"/>
      <c r="L29" s="541"/>
      <c r="M29" s="541"/>
      <c r="N29" s="541"/>
    </row>
    <row r="30" spans="1:17" ht="19.5" customHeight="1" x14ac:dyDescent="0.35">
      <c r="A30" s="614" t="s">
        <v>2163</v>
      </c>
      <c r="B30" s="605" t="s">
        <v>2164</v>
      </c>
      <c r="C30" s="606" t="s">
        <v>2165</v>
      </c>
      <c r="D30" s="606" t="s">
        <v>2168</v>
      </c>
      <c r="E30" s="607" t="s">
        <v>2166</v>
      </c>
      <c r="F30" s="621" t="s">
        <v>2176</v>
      </c>
      <c r="G30" s="615" t="s">
        <v>2178</v>
      </c>
      <c r="H30" s="616" t="s">
        <v>2179</v>
      </c>
      <c r="I30" s="617" t="s">
        <v>2180</v>
      </c>
      <c r="J30" s="617" t="s">
        <v>2181</v>
      </c>
      <c r="K30" s="618" t="s">
        <v>371</v>
      </c>
      <c r="L30" s="541"/>
      <c r="M30" s="541"/>
      <c r="N30" s="541"/>
    </row>
    <row r="31" spans="1:17" ht="24" x14ac:dyDescent="0.3">
      <c r="A31" s="608" t="s">
        <v>11</v>
      </c>
      <c r="B31" s="600" t="s">
        <v>2167</v>
      </c>
      <c r="C31" s="603" t="s">
        <v>2169</v>
      </c>
      <c r="D31" s="603" t="s">
        <v>2169</v>
      </c>
      <c r="E31" s="609" t="s">
        <v>2170</v>
      </c>
      <c r="F31" s="619" t="s">
        <v>2093</v>
      </c>
      <c r="G31" s="625">
        <v>15</v>
      </c>
      <c r="H31" s="622">
        <v>7863971676</v>
      </c>
      <c r="I31" s="623">
        <v>46149</v>
      </c>
      <c r="J31" s="623">
        <v>46333</v>
      </c>
      <c r="K31" s="618"/>
      <c r="L31" s="541"/>
      <c r="M31" s="541"/>
      <c r="N31" s="541"/>
    </row>
    <row r="32" spans="1:17" x14ac:dyDescent="0.3">
      <c r="A32" s="608" t="s">
        <v>264</v>
      </c>
      <c r="B32" s="603" t="s">
        <v>2171</v>
      </c>
      <c r="C32" s="604" t="s">
        <v>2171</v>
      </c>
      <c r="D32" s="604" t="s">
        <v>2171</v>
      </c>
      <c r="E32" s="609" t="s">
        <v>2171</v>
      </c>
      <c r="F32" s="620" t="s">
        <v>425</v>
      </c>
      <c r="G32" s="618"/>
      <c r="H32" s="618"/>
      <c r="I32" s="618"/>
      <c r="J32" s="618"/>
      <c r="K32" s="618"/>
      <c r="L32" s="541"/>
      <c r="M32" s="541"/>
      <c r="N32" s="541"/>
    </row>
    <row r="33" spans="1:11" ht="15" thickBot="1" x14ac:dyDescent="0.4">
      <c r="A33" s="610" t="s">
        <v>2172</v>
      </c>
      <c r="B33" s="611" t="s">
        <v>2171</v>
      </c>
      <c r="C33" s="612" t="s">
        <v>2171</v>
      </c>
      <c r="D33" s="612" t="s">
        <v>2171</v>
      </c>
      <c r="E33" s="613" t="s">
        <v>2171</v>
      </c>
      <c r="F33" s="619" t="s">
        <v>2177</v>
      </c>
      <c r="G33" s="601"/>
      <c r="H33" s="601"/>
      <c r="I33" s="601"/>
      <c r="J33" s="602"/>
      <c r="K33" s="601"/>
    </row>
    <row r="34" spans="1:11" x14ac:dyDescent="0.35">
      <c r="I34" s="624"/>
    </row>
    <row r="35" spans="1:11" ht="22" customHeight="1" x14ac:dyDescent="0.35">
      <c r="A35" s="631" t="s">
        <v>2173</v>
      </c>
      <c r="B35" s="626" t="s">
        <v>2186</v>
      </c>
      <c r="C35" s="626" t="s">
        <v>574</v>
      </c>
      <c r="D35" s="626" t="s">
        <v>2183</v>
      </c>
      <c r="E35" s="604" t="s">
        <v>2178</v>
      </c>
      <c r="F35" s="628" t="s">
        <v>2179</v>
      </c>
      <c r="G35" s="629" t="s">
        <v>2180</v>
      </c>
      <c r="H35" s="629" t="s">
        <v>2181</v>
      </c>
      <c r="I35" s="600" t="s">
        <v>2184</v>
      </c>
      <c r="J35" s="600" t="s">
        <v>2185</v>
      </c>
      <c r="K35" s="601" t="s">
        <v>371</v>
      </c>
    </row>
    <row r="36" spans="1:11" ht="18.5" customHeight="1" x14ac:dyDescent="0.35">
      <c r="A36" s="630" t="s">
        <v>125</v>
      </c>
      <c r="B36" s="634">
        <v>36.159756000000002</v>
      </c>
      <c r="C36" s="632" t="s">
        <v>2174</v>
      </c>
      <c r="D36" s="633" t="s">
        <v>2061</v>
      </c>
      <c r="E36" s="627">
        <v>25</v>
      </c>
      <c r="F36" s="601"/>
      <c r="G36" s="630"/>
      <c r="H36" s="601"/>
      <c r="I36" s="601"/>
      <c r="J36" s="601"/>
      <c r="K36" s="601" t="s">
        <v>2175</v>
      </c>
    </row>
    <row r="37" spans="1:11" x14ac:dyDescent="0.35">
      <c r="A37" s="630" t="s">
        <v>163</v>
      </c>
      <c r="B37" s="634">
        <v>125.84959600000001</v>
      </c>
      <c r="C37" s="630" t="s">
        <v>2182</v>
      </c>
      <c r="D37" s="630"/>
      <c r="E37" s="627">
        <v>25</v>
      </c>
      <c r="F37" s="601"/>
      <c r="G37" s="630"/>
      <c r="H37" s="601"/>
      <c r="I37" s="601"/>
      <c r="J37" s="635">
        <f>67243.564/1000</f>
        <v>67.243563999999992</v>
      </c>
      <c r="K37" s="601"/>
    </row>
    <row r="38" spans="1:11" x14ac:dyDescent="0.35">
      <c r="D38" s="578"/>
      <c r="F38" s="548"/>
      <c r="G38" s="578"/>
      <c r="J38" s="548"/>
    </row>
  </sheetData>
  <dataConsolidate/>
  <mergeCells count="16">
    <mergeCell ref="A24:G24"/>
    <mergeCell ref="A13:N13"/>
    <mergeCell ref="A14:G14"/>
    <mergeCell ref="A15:G15"/>
    <mergeCell ref="A16:G16"/>
    <mergeCell ref="A20:G20"/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9" location="Erection!A1" display="Erection!A1" xr:uid="{49497281-C7B1-4621-8575-A6C368C11221}"/>
    <hyperlink ref="Q10" location="Tackwelding!A1" display="Tackwelding!A1" xr:uid="{17CC04A3-B65C-4BE2-B417-9A2360AB79AF}"/>
    <hyperlink ref="Q11" location="Stringing!A1" display="Stringing!A1" xr:uid="{53840C5F-0359-42F6-9222-3B3DF7FE1DA6}"/>
    <hyperlink ref="Q12" location="'Stringing associated works'!A1" display="'Stringing associated works'!A1" xr:uid="{4D9292F2-0FA9-49DC-ABAB-60096699CCB7}"/>
    <hyperlink ref="Q13" location="OPGW!A1" display="OPGW!A1" xr:uid="{12B5ED45-B47E-4B78-9EE2-B48FAA58967B}"/>
    <hyperlink ref="Q14" location="'Visual chart'!A1" display="'Visual chart'!A1" xr:uid="{8EB9DF72-4A94-4706-A3A6-E0B78E45977A}"/>
    <hyperlink ref="Q15" location="'Page Chart'!A1" display="'Page Chart'!A1" xr:uid="{B12AD0FB-F462-4E39-8A71-6ECE51916C55}"/>
    <hyperlink ref="Q16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A2" zoomScale="73" zoomScaleNormal="106" workbookViewId="0">
      <selection activeCell="O4" sqref="O4:R4"/>
    </sheetView>
  </sheetViews>
  <sheetFormatPr defaultRowHeight="22.5" customHeight="1" x14ac:dyDescent="0.35"/>
  <cols>
    <col min="3" max="3" width="11.81640625" customWidth="1"/>
    <col min="4" max="4" width="10.179687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81640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68" t="s">
        <v>617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70"/>
    </row>
    <row r="2" spans="1:19" ht="22.5" customHeight="1" thickBot="1" x14ac:dyDescent="0.4">
      <c r="A2" s="871" t="s">
        <v>513</v>
      </c>
      <c r="B2" s="872"/>
      <c r="C2" s="872"/>
      <c r="D2" s="872"/>
      <c r="E2" s="872"/>
      <c r="F2" s="872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3"/>
    </row>
    <row r="3" spans="1:19" ht="22.5" customHeight="1" thickBot="1" x14ac:dyDescent="0.4">
      <c r="A3" s="874" t="s">
        <v>514</v>
      </c>
      <c r="B3" s="875"/>
      <c r="C3" s="875"/>
      <c r="D3" s="875"/>
      <c r="E3" s="875"/>
      <c r="F3" s="875"/>
      <c r="G3" s="875"/>
      <c r="H3" s="875"/>
      <c r="I3" s="875"/>
      <c r="J3" s="875"/>
      <c r="K3" s="875"/>
      <c r="L3" s="875"/>
      <c r="M3" s="875"/>
      <c r="N3" s="875"/>
      <c r="O3" s="875"/>
      <c r="P3" s="875"/>
      <c r="Q3" s="875"/>
      <c r="R3" s="876"/>
    </row>
    <row r="4" spans="1:19" ht="22.5" customHeight="1" thickBot="1" x14ac:dyDescent="0.4">
      <c r="A4" s="686"/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  <c r="N4" s="48" t="s">
        <v>515</v>
      </c>
      <c r="O4" s="877">
        <v>46171</v>
      </c>
      <c r="P4" s="878"/>
      <c r="Q4" s="878"/>
      <c r="R4" s="879"/>
    </row>
    <row r="5" spans="1:19" ht="22.5" customHeight="1" x14ac:dyDescent="0.35">
      <c r="A5" s="858" t="s">
        <v>366</v>
      </c>
      <c r="B5" s="859"/>
      <c r="C5" s="860"/>
      <c r="D5" s="864" t="s">
        <v>516</v>
      </c>
      <c r="E5" s="866" t="s">
        <v>517</v>
      </c>
      <c r="F5" s="864" t="s">
        <v>518</v>
      </c>
      <c r="G5" s="850" t="s">
        <v>519</v>
      </c>
      <c r="H5" s="848" t="s">
        <v>520</v>
      </c>
      <c r="I5" s="850" t="s">
        <v>521</v>
      </c>
      <c r="J5" s="854" t="s">
        <v>522</v>
      </c>
      <c r="K5" s="856" t="s">
        <v>523</v>
      </c>
      <c r="L5" s="854" t="s">
        <v>524</v>
      </c>
      <c r="M5" s="856" t="s">
        <v>525</v>
      </c>
      <c r="N5" s="848" t="s">
        <v>526</v>
      </c>
      <c r="O5" s="848" t="s">
        <v>527</v>
      </c>
      <c r="P5" s="848" t="s">
        <v>528</v>
      </c>
      <c r="Q5" s="850" t="s">
        <v>529</v>
      </c>
      <c r="R5" s="848" t="s">
        <v>371</v>
      </c>
    </row>
    <row r="6" spans="1:19" ht="25.5" customHeight="1" thickBot="1" x14ac:dyDescent="0.4">
      <c r="A6" s="861"/>
      <c r="B6" s="862"/>
      <c r="C6" s="863"/>
      <c r="D6" s="865"/>
      <c r="E6" s="867"/>
      <c r="F6" s="865"/>
      <c r="G6" s="851"/>
      <c r="H6" s="849"/>
      <c r="I6" s="851"/>
      <c r="J6" s="855"/>
      <c r="K6" s="857"/>
      <c r="L6" s="855"/>
      <c r="M6" s="857"/>
      <c r="N6" s="849"/>
      <c r="O6" s="849"/>
      <c r="P6" s="849"/>
      <c r="Q6" s="851"/>
      <c r="R6" s="849"/>
    </row>
    <row r="7" spans="1:19" ht="88.5" customHeight="1" thickBot="1" x14ac:dyDescent="0.4">
      <c r="A7" s="852" t="s">
        <v>530</v>
      </c>
      <c r="B7" s="852"/>
      <c r="C7" s="853"/>
      <c r="D7" s="57">
        <v>309</v>
      </c>
      <c r="E7" s="222">
        <v>309</v>
      </c>
      <c r="F7" s="49">
        <v>306</v>
      </c>
      <c r="G7" s="51">
        <v>258</v>
      </c>
      <c r="H7" s="49">
        <v>0</v>
      </c>
      <c r="I7" s="50">
        <v>25</v>
      </c>
      <c r="J7" s="52"/>
      <c r="K7" s="53">
        <f>M7-G7</f>
        <v>10</v>
      </c>
      <c r="L7" s="54">
        <f>F7+H7</f>
        <v>306</v>
      </c>
      <c r="M7" s="61">
        <f>'VC-765kV MKTL'!AV3</f>
        <v>268</v>
      </c>
      <c r="N7" s="55">
        <f>E7-M7</f>
        <v>41</v>
      </c>
      <c r="O7" s="122" t="s">
        <v>2190</v>
      </c>
      <c r="P7" s="206">
        <v>3</v>
      </c>
      <c r="Q7" s="56"/>
      <c r="R7" s="122"/>
      <c r="S7" s="6"/>
    </row>
    <row r="8" spans="1:19" ht="35.25" customHeight="1" thickBot="1" x14ac:dyDescent="0.4">
      <c r="A8" s="840" t="s">
        <v>531</v>
      </c>
      <c r="B8" s="841"/>
      <c r="C8" s="842"/>
      <c r="D8" s="57">
        <v>309</v>
      </c>
      <c r="E8" s="222">
        <v>309</v>
      </c>
      <c r="F8" s="57">
        <v>262</v>
      </c>
      <c r="G8" s="59">
        <v>228</v>
      </c>
      <c r="H8" s="57">
        <v>25</v>
      </c>
      <c r="I8" s="58">
        <v>25</v>
      </c>
      <c r="J8" s="60"/>
      <c r="K8" s="60">
        <f>M8-G8</f>
        <v>19</v>
      </c>
      <c r="L8" s="62">
        <f>F8+H8</f>
        <v>287</v>
      </c>
      <c r="M8" s="61">
        <f>'VC-765kV MKTL'!AW3</f>
        <v>247</v>
      </c>
      <c r="N8" s="63">
        <f>D8-M8</f>
        <v>62</v>
      </c>
      <c r="O8" s="424"/>
      <c r="P8" s="206"/>
      <c r="Q8" s="64"/>
      <c r="R8" s="65"/>
      <c r="S8" s="80"/>
    </row>
    <row r="9" spans="1:19" ht="51" customHeight="1" thickBot="1" x14ac:dyDescent="0.4">
      <c r="A9" s="840" t="s">
        <v>532</v>
      </c>
      <c r="B9" s="841"/>
      <c r="C9" s="843"/>
      <c r="D9" s="57">
        <v>309</v>
      </c>
      <c r="E9" s="423">
        <v>309</v>
      </c>
      <c r="F9" s="57">
        <v>270</v>
      </c>
      <c r="G9" s="57">
        <v>180</v>
      </c>
      <c r="H9" s="57">
        <v>20</v>
      </c>
      <c r="I9" s="423">
        <v>45</v>
      </c>
      <c r="J9" s="60"/>
      <c r="K9" s="60">
        <f>M9-G9</f>
        <v>28</v>
      </c>
      <c r="L9" s="62">
        <f>F9+H9</f>
        <v>290</v>
      </c>
      <c r="M9" s="60">
        <f>'VC-765kV MKTL'!AX3</f>
        <v>208</v>
      </c>
      <c r="N9" s="63">
        <f>E9-M9</f>
        <v>101</v>
      </c>
      <c r="O9" s="424" t="s">
        <v>2194</v>
      </c>
      <c r="P9" s="60">
        <v>3</v>
      </c>
      <c r="Q9" s="425"/>
      <c r="R9" s="422"/>
      <c r="S9" s="80"/>
    </row>
    <row r="10" spans="1:19" ht="32.25" customHeight="1" thickBot="1" x14ac:dyDescent="0.4">
      <c r="A10" s="844" t="s">
        <v>533</v>
      </c>
      <c r="B10" s="845"/>
      <c r="C10" s="66" t="s">
        <v>534</v>
      </c>
      <c r="D10" s="67">
        <v>118.39700000000001</v>
      </c>
      <c r="E10" s="68">
        <v>118.39700000000001</v>
      </c>
      <c r="F10" s="69"/>
      <c r="G10" s="68"/>
      <c r="H10" s="70">
        <v>0</v>
      </c>
      <c r="I10" s="71"/>
      <c r="J10" s="72"/>
      <c r="K10" s="73"/>
      <c r="L10" s="74">
        <f>F10+H10</f>
        <v>0</v>
      </c>
      <c r="M10" s="75">
        <f>K10+G10</f>
        <v>0</v>
      </c>
      <c r="N10" s="76">
        <f>E10-M10</f>
        <v>118.39700000000001</v>
      </c>
      <c r="O10" s="77"/>
      <c r="P10" s="78">
        <v>0</v>
      </c>
      <c r="Q10" s="25"/>
      <c r="R10" s="79"/>
      <c r="S10" s="80"/>
    </row>
    <row r="11" spans="1:19" ht="33" customHeight="1" thickBot="1" x14ac:dyDescent="0.4">
      <c r="A11" s="846"/>
      <c r="B11" s="847"/>
      <c r="C11" s="66" t="s">
        <v>535</v>
      </c>
      <c r="D11" s="67">
        <f>D10</f>
        <v>118.39700000000001</v>
      </c>
      <c r="E11" s="68">
        <f>E10</f>
        <v>118.39700000000001</v>
      </c>
      <c r="F11" s="69"/>
      <c r="G11" s="68"/>
      <c r="H11" s="70">
        <v>0</v>
      </c>
      <c r="I11" s="71"/>
      <c r="J11" s="72"/>
      <c r="K11" s="73"/>
      <c r="L11" s="74">
        <f>L10</f>
        <v>0</v>
      </c>
      <c r="M11" s="75">
        <f>K11+G11</f>
        <v>0</v>
      </c>
      <c r="N11" s="76">
        <f>E11-M11</f>
        <v>118.39700000000001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640</v>
      </c>
      <c r="C13" s="170" t="s">
        <v>661</v>
      </c>
      <c r="D13" s="170" t="s">
        <v>643</v>
      </c>
      <c r="E13" s="170" t="s">
        <v>775</v>
      </c>
      <c r="F13" s="170" t="s">
        <v>369</v>
      </c>
      <c r="G13" s="171" t="s">
        <v>370</v>
      </c>
      <c r="M13" s="80"/>
      <c r="S13" s="80"/>
    </row>
    <row r="14" spans="1:19" ht="36.75" customHeight="1" x14ac:dyDescent="0.35">
      <c r="B14" s="172">
        <v>1</v>
      </c>
      <c r="C14" s="165" t="s">
        <v>372</v>
      </c>
      <c r="D14" s="268">
        <v>118.39700000000001</v>
      </c>
      <c r="E14" s="268">
        <v>118.39700000000001</v>
      </c>
      <c r="F14" s="268">
        <v>118.39700000000001</v>
      </c>
      <c r="G14" s="173">
        <f>D14-F14</f>
        <v>0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118.39700000000001</v>
      </c>
      <c r="E15" s="269">
        <v>118.39700000000001</v>
      </c>
      <c r="F15" s="269">
        <v>118.39700000000001</v>
      </c>
      <c r="G15" s="177">
        <f>D15-F15</f>
        <v>0</v>
      </c>
      <c r="M15" s="80"/>
    </row>
    <row r="16" spans="1:19" ht="22.5" customHeight="1" x14ac:dyDescent="0.35">
      <c r="M16" s="6"/>
      <c r="O16" s="80"/>
    </row>
    <row r="17" spans="13:15" ht="22.5" customHeight="1" x14ac:dyDescent="0.35">
      <c r="M17" s="80"/>
      <c r="O17" s="80"/>
    </row>
    <row r="18" spans="13:15" ht="22.5" customHeight="1" x14ac:dyDescent="0.35">
      <c r="M18" s="80"/>
      <c r="O18" s="81"/>
    </row>
    <row r="19" spans="13:15" ht="22.5" customHeight="1" x14ac:dyDescent="0.35">
      <c r="M19" s="80"/>
      <c r="O19" s="81"/>
    </row>
    <row r="20" spans="13:15" ht="22.5" customHeight="1" x14ac:dyDescent="0.35">
      <c r="M20" s="80"/>
      <c r="O20" s="81"/>
    </row>
    <row r="21" spans="13:15" ht="22.5" customHeight="1" x14ac:dyDescent="0.35">
      <c r="M21" s="80"/>
      <c r="O21" s="81"/>
    </row>
    <row r="22" spans="13:15" ht="22.5" customHeight="1" x14ac:dyDescent="0.35">
      <c r="M22" s="80"/>
    </row>
    <row r="23" spans="13:15" ht="22.5" customHeight="1" x14ac:dyDescent="0.35">
      <c r="M23" s="80"/>
    </row>
    <row r="24" spans="13:15" ht="22.5" customHeight="1" x14ac:dyDescent="0.35">
      <c r="M24" s="80"/>
    </row>
    <row r="25" spans="13:15" ht="22.5" customHeight="1" x14ac:dyDescent="0.35">
      <c r="M25" s="80"/>
    </row>
    <row r="26" spans="13:15" ht="22.5" customHeight="1" x14ac:dyDescent="0.35">
      <c r="M26" s="80"/>
    </row>
    <row r="27" spans="13:15" ht="22.5" customHeight="1" x14ac:dyDescent="0.35">
      <c r="M27" s="80"/>
    </row>
  </sheetData>
  <mergeCells count="25">
    <mergeCell ref="A1:R1"/>
    <mergeCell ref="A2:R2"/>
    <mergeCell ref="A3:R3"/>
    <mergeCell ref="A4:M4"/>
    <mergeCell ref="O4:R4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8:C8"/>
    <mergeCell ref="A9:C9"/>
    <mergeCell ref="A10:B11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F7"/>
  <sheetViews>
    <sheetView zoomScale="85" zoomScaleNormal="85" workbookViewId="0">
      <selection activeCell="E6" activeCellId="1" sqref="B6 E6"/>
    </sheetView>
  </sheetViews>
  <sheetFormatPr defaultRowHeight="14.5" x14ac:dyDescent="0.35"/>
  <cols>
    <col min="1" max="1" width="15.81640625" bestFit="1" customWidth="1"/>
    <col min="2" max="2" width="22.453125" bestFit="1" customWidth="1"/>
    <col min="3" max="3" width="11.36328125" bestFit="1" customWidth="1"/>
    <col min="4" max="4" width="12.1796875" bestFit="1" customWidth="1"/>
    <col min="5" max="5" width="13.453125" bestFit="1" customWidth="1"/>
    <col min="6" max="6" width="10.81640625" bestFit="1" customWidth="1"/>
    <col min="7" max="7" width="23.6328125" bestFit="1" customWidth="1"/>
    <col min="8" max="9" width="10.81640625" bestFit="1" customWidth="1"/>
  </cols>
  <sheetData>
    <row r="4" spans="1:6" x14ac:dyDescent="0.35">
      <c r="A4" s="415" t="s">
        <v>2072</v>
      </c>
      <c r="B4" s="415" t="s">
        <v>2071</v>
      </c>
    </row>
    <row r="5" spans="1:6" x14ac:dyDescent="0.35">
      <c r="A5" s="415" t="s">
        <v>2069</v>
      </c>
      <c r="B5" t="s">
        <v>2089</v>
      </c>
      <c r="C5" t="s">
        <v>421</v>
      </c>
      <c r="D5" t="s">
        <v>476</v>
      </c>
      <c r="E5" t="s">
        <v>2063</v>
      </c>
      <c r="F5" t="s">
        <v>2070</v>
      </c>
    </row>
    <row r="6" spans="1:6" x14ac:dyDescent="0.35">
      <c r="A6" s="416" t="s">
        <v>2067</v>
      </c>
      <c r="B6">
        <v>1</v>
      </c>
      <c r="C6">
        <v>22</v>
      </c>
      <c r="D6">
        <v>21</v>
      </c>
      <c r="E6">
        <v>2</v>
      </c>
      <c r="F6">
        <v>46</v>
      </c>
    </row>
    <row r="7" spans="1:6" x14ac:dyDescent="0.35">
      <c r="A7" s="416" t="s">
        <v>2070</v>
      </c>
      <c r="B7">
        <v>1</v>
      </c>
      <c r="C7">
        <v>22</v>
      </c>
      <c r="D7">
        <v>21</v>
      </c>
      <c r="E7">
        <v>2</v>
      </c>
      <c r="F7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E6"/>
  <sheetViews>
    <sheetView zoomScale="85" zoomScaleNormal="85" workbookViewId="0">
      <selection activeCell="D5" activeCellId="1" sqref="B5 D5"/>
    </sheetView>
  </sheetViews>
  <sheetFormatPr defaultRowHeight="14.5" x14ac:dyDescent="0.35"/>
  <cols>
    <col min="1" max="2" width="15.81640625" bestFit="1" customWidth="1"/>
    <col min="3" max="3" width="11.81640625" bestFit="1" customWidth="1"/>
    <col min="4" max="4" width="11.36328125" bestFit="1" customWidth="1"/>
    <col min="5" max="5" width="10.81640625" bestFit="1" customWidth="1"/>
    <col min="6" max="6" width="11.36328125" bestFit="1" customWidth="1"/>
    <col min="7" max="7" width="15.36328125" bestFit="1" customWidth="1"/>
    <col min="8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5" x14ac:dyDescent="0.35">
      <c r="A3" s="415" t="s">
        <v>2072</v>
      </c>
      <c r="B3" s="415" t="s">
        <v>2071</v>
      </c>
    </row>
    <row r="4" spans="1:5" x14ac:dyDescent="0.35">
      <c r="A4" s="415" t="s">
        <v>2069</v>
      </c>
      <c r="B4" t="s">
        <v>2088</v>
      </c>
      <c r="C4" t="s">
        <v>424</v>
      </c>
      <c r="D4" t="s">
        <v>2065</v>
      </c>
      <c r="E4" t="s">
        <v>2070</v>
      </c>
    </row>
    <row r="5" spans="1:5" x14ac:dyDescent="0.35">
      <c r="A5" s="416" t="s">
        <v>2068</v>
      </c>
      <c r="B5">
        <v>1</v>
      </c>
      <c r="C5">
        <v>32</v>
      </c>
      <c r="D5">
        <v>1</v>
      </c>
      <c r="E5">
        <v>34</v>
      </c>
    </row>
    <row r="6" spans="1:5" x14ac:dyDescent="0.35">
      <c r="A6" s="416" t="s">
        <v>2070</v>
      </c>
      <c r="B6">
        <v>1</v>
      </c>
      <c r="C6">
        <v>32</v>
      </c>
      <c r="D6">
        <v>1</v>
      </c>
      <c r="E6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667</v>
      </c>
      <c r="C2" s="184" t="s">
        <v>668</v>
      </c>
      <c r="D2" s="184" t="s">
        <v>669</v>
      </c>
      <c r="E2" s="184" t="s">
        <v>670</v>
      </c>
      <c r="F2" s="184" t="s">
        <v>671</v>
      </c>
      <c r="G2" s="184" t="s">
        <v>6</v>
      </c>
      <c r="H2" s="184" t="s">
        <v>672</v>
      </c>
      <c r="I2" s="184" t="s">
        <v>673</v>
      </c>
      <c r="J2" s="184" t="s">
        <v>674</v>
      </c>
      <c r="K2" s="184" t="s">
        <v>675</v>
      </c>
      <c r="L2" s="184" t="s">
        <v>676</v>
      </c>
      <c r="M2" s="184" t="s">
        <v>677</v>
      </c>
      <c r="N2" s="184" t="s">
        <v>371</v>
      </c>
    </row>
    <row r="3" spans="1:15" ht="38.25" customHeight="1" thickBot="1" x14ac:dyDescent="0.4">
      <c r="A3" s="185">
        <v>1</v>
      </c>
      <c r="B3" s="880" t="s">
        <v>408</v>
      </c>
      <c r="C3" s="881"/>
      <c r="D3" s="881"/>
      <c r="E3" s="881"/>
      <c r="F3" s="881"/>
      <c r="G3" s="881"/>
      <c r="H3" s="881"/>
      <c r="I3" s="881"/>
      <c r="J3" s="881"/>
      <c r="K3" s="881"/>
      <c r="L3" s="881"/>
      <c r="M3" s="881"/>
      <c r="N3" s="882"/>
    </row>
    <row r="4" spans="1:15" ht="66.75" customHeight="1" thickBot="1" x14ac:dyDescent="0.4">
      <c r="A4" s="186" t="s">
        <v>678</v>
      </c>
      <c r="B4" s="187" t="s">
        <v>679</v>
      </c>
      <c r="C4" s="187">
        <v>2</v>
      </c>
      <c r="D4" s="187" t="s">
        <v>680</v>
      </c>
      <c r="E4" s="187" t="s">
        <v>579</v>
      </c>
      <c r="F4" s="187" t="s">
        <v>580</v>
      </c>
      <c r="G4" s="187" t="s">
        <v>681</v>
      </c>
      <c r="H4" s="187" t="s">
        <v>451</v>
      </c>
      <c r="I4" s="187" t="s">
        <v>682</v>
      </c>
      <c r="J4" s="187" t="s">
        <v>683</v>
      </c>
      <c r="K4" s="188" t="s">
        <v>684</v>
      </c>
      <c r="L4" s="883" t="s">
        <v>685</v>
      </c>
      <c r="M4" s="886" t="s">
        <v>686</v>
      </c>
      <c r="N4" s="187"/>
      <c r="O4" s="189"/>
    </row>
    <row r="5" spans="1:15" ht="63.75" customHeight="1" thickBot="1" x14ac:dyDescent="0.4">
      <c r="A5" s="188" t="s">
        <v>687</v>
      </c>
      <c r="B5" s="188" t="s">
        <v>688</v>
      </c>
      <c r="C5" s="190">
        <v>2</v>
      </c>
      <c r="D5" s="886" t="s">
        <v>689</v>
      </c>
      <c r="E5" s="191" t="s">
        <v>585</v>
      </c>
      <c r="F5" s="192" t="s">
        <v>580</v>
      </c>
      <c r="G5" s="193" t="s">
        <v>681</v>
      </c>
      <c r="H5" s="193" t="s">
        <v>631</v>
      </c>
      <c r="I5" s="193" t="s">
        <v>690</v>
      </c>
      <c r="J5" s="886" t="s">
        <v>691</v>
      </c>
      <c r="K5" s="188" t="s">
        <v>692</v>
      </c>
      <c r="L5" s="884"/>
      <c r="M5" s="887"/>
      <c r="N5" s="193"/>
      <c r="O5" s="189"/>
    </row>
    <row r="6" spans="1:15" ht="63.75" customHeight="1" thickBot="1" x14ac:dyDescent="0.4">
      <c r="A6" s="188" t="s">
        <v>693</v>
      </c>
      <c r="B6" s="188" t="s">
        <v>694</v>
      </c>
      <c r="C6" s="188">
        <v>2</v>
      </c>
      <c r="D6" s="887"/>
      <c r="E6" s="188" t="s">
        <v>587</v>
      </c>
      <c r="F6" s="188" t="s">
        <v>580</v>
      </c>
      <c r="G6" s="188" t="s">
        <v>681</v>
      </c>
      <c r="H6" s="188" t="s">
        <v>695</v>
      </c>
      <c r="I6" s="188" t="s">
        <v>690</v>
      </c>
      <c r="J6" s="887"/>
      <c r="K6" s="188" t="s">
        <v>692</v>
      </c>
      <c r="L6" s="884"/>
      <c r="M6" s="887"/>
      <c r="N6" s="188"/>
      <c r="O6" s="189"/>
    </row>
    <row r="7" spans="1:15" ht="61.5" customHeight="1" thickBot="1" x14ac:dyDescent="0.4">
      <c r="A7" s="188" t="s">
        <v>696</v>
      </c>
      <c r="B7" s="188" t="s">
        <v>697</v>
      </c>
      <c r="C7" s="188">
        <v>2</v>
      </c>
      <c r="D7" s="887"/>
      <c r="E7" s="188" t="s">
        <v>588</v>
      </c>
      <c r="F7" s="188" t="s">
        <v>580</v>
      </c>
      <c r="G7" s="188" t="s">
        <v>681</v>
      </c>
      <c r="H7" s="188" t="s">
        <v>631</v>
      </c>
      <c r="I7" s="188" t="s">
        <v>690</v>
      </c>
      <c r="J7" s="887"/>
      <c r="K7" s="188" t="s">
        <v>692</v>
      </c>
      <c r="L7" s="884"/>
      <c r="M7" s="887"/>
      <c r="N7" s="188"/>
      <c r="O7" s="189"/>
    </row>
    <row r="8" spans="1:15" ht="60.75" customHeight="1" thickBot="1" x14ac:dyDescent="0.4">
      <c r="A8" s="188" t="s">
        <v>698</v>
      </c>
      <c r="B8" s="188" t="s">
        <v>699</v>
      </c>
      <c r="C8" s="188">
        <v>2</v>
      </c>
      <c r="D8" s="887"/>
      <c r="E8" s="188" t="s">
        <v>589</v>
      </c>
      <c r="F8" s="188" t="s">
        <v>580</v>
      </c>
      <c r="G8" s="188" t="s">
        <v>681</v>
      </c>
      <c r="H8" s="188" t="s">
        <v>631</v>
      </c>
      <c r="I8" s="188" t="s">
        <v>690</v>
      </c>
      <c r="J8" s="888"/>
      <c r="K8" s="188" t="s">
        <v>692</v>
      </c>
      <c r="L8" s="885"/>
      <c r="M8" s="888"/>
      <c r="N8" s="188"/>
      <c r="O8" s="189"/>
    </row>
    <row r="9" spans="1:15" ht="60.75" customHeight="1" thickBot="1" x14ac:dyDescent="0.4">
      <c r="A9" s="188" t="s">
        <v>700</v>
      </c>
      <c r="B9" s="188" t="s">
        <v>701</v>
      </c>
      <c r="C9" s="188">
        <v>2</v>
      </c>
      <c r="D9" s="887"/>
      <c r="E9" s="188" t="s">
        <v>598</v>
      </c>
      <c r="F9" s="188" t="s">
        <v>580</v>
      </c>
      <c r="G9" s="188" t="s">
        <v>681</v>
      </c>
      <c r="H9" s="188" t="s">
        <v>737</v>
      </c>
      <c r="I9" s="188" t="s">
        <v>702</v>
      </c>
      <c r="J9" s="188" t="s">
        <v>599</v>
      </c>
      <c r="K9" s="188" t="s">
        <v>599</v>
      </c>
      <c r="L9" s="188" t="s">
        <v>599</v>
      </c>
      <c r="M9" s="190" t="s">
        <v>599</v>
      </c>
      <c r="N9" s="188"/>
      <c r="O9" s="189"/>
    </row>
    <row r="10" spans="1:15" ht="62.25" customHeight="1" thickBot="1" x14ac:dyDescent="0.4">
      <c r="A10" s="188" t="s">
        <v>703</v>
      </c>
      <c r="B10" s="196" t="s">
        <v>704</v>
      </c>
      <c r="C10" s="196">
        <v>2</v>
      </c>
      <c r="D10" s="888"/>
      <c r="E10" s="196" t="s">
        <v>602</v>
      </c>
      <c r="F10" s="196" t="s">
        <v>580</v>
      </c>
      <c r="G10" s="196" t="s">
        <v>681</v>
      </c>
      <c r="H10" s="196" t="s">
        <v>631</v>
      </c>
      <c r="I10" s="196" t="s">
        <v>705</v>
      </c>
      <c r="J10" s="196" t="s">
        <v>599</v>
      </c>
      <c r="K10" s="196" t="s">
        <v>599</v>
      </c>
      <c r="L10" s="188" t="s">
        <v>599</v>
      </c>
      <c r="M10" s="190" t="s">
        <v>599</v>
      </c>
      <c r="N10" s="196"/>
      <c r="O10" s="189"/>
    </row>
    <row r="11" spans="1:15" ht="64.5" customHeight="1" thickBot="1" x14ac:dyDescent="0.4">
      <c r="A11" s="188" t="s">
        <v>706</v>
      </c>
      <c r="B11" s="190" t="s">
        <v>707</v>
      </c>
      <c r="C11" s="190">
        <v>2</v>
      </c>
      <c r="D11" s="190" t="s">
        <v>708</v>
      </c>
      <c r="E11" s="188" t="s">
        <v>590</v>
      </c>
      <c r="F11" s="190" t="s">
        <v>580</v>
      </c>
      <c r="G11" s="190" t="s">
        <v>681</v>
      </c>
      <c r="H11" s="190" t="s">
        <v>451</v>
      </c>
      <c r="I11" s="190" t="s">
        <v>709</v>
      </c>
      <c r="J11" s="190" t="s">
        <v>710</v>
      </c>
      <c r="K11" s="190" t="s">
        <v>709</v>
      </c>
      <c r="L11" s="197" t="s">
        <v>685</v>
      </c>
      <c r="M11" s="198" t="s">
        <v>686</v>
      </c>
      <c r="N11" s="190"/>
      <c r="O11" s="189"/>
    </row>
    <row r="12" spans="1:15" ht="64.5" customHeight="1" thickBot="1" x14ac:dyDescent="0.4">
      <c r="A12" s="188" t="s">
        <v>711</v>
      </c>
      <c r="B12" s="188" t="s">
        <v>712</v>
      </c>
      <c r="C12" s="188">
        <v>2</v>
      </c>
      <c r="D12" s="188" t="s">
        <v>713</v>
      </c>
      <c r="E12" s="188" t="s">
        <v>594</v>
      </c>
      <c r="F12" s="188" t="s">
        <v>580</v>
      </c>
      <c r="G12" s="188" t="s">
        <v>681</v>
      </c>
      <c r="H12" s="188" t="s">
        <v>631</v>
      </c>
      <c r="I12" s="196" t="s">
        <v>705</v>
      </c>
      <c r="J12" s="190" t="s">
        <v>714</v>
      </c>
      <c r="K12" s="190"/>
      <c r="L12" s="197" t="s">
        <v>685</v>
      </c>
      <c r="M12" s="198" t="s">
        <v>686</v>
      </c>
      <c r="N12" s="188"/>
      <c r="O12" s="189"/>
    </row>
    <row r="13" spans="1:15" ht="39.75" customHeight="1" thickBot="1" x14ac:dyDescent="0.4">
      <c r="A13" s="185">
        <v>2</v>
      </c>
      <c r="B13" s="880" t="s">
        <v>715</v>
      </c>
      <c r="C13" s="881"/>
      <c r="D13" s="881"/>
      <c r="E13" s="881"/>
      <c r="F13" s="881"/>
      <c r="G13" s="881"/>
      <c r="H13" s="881"/>
      <c r="I13" s="881"/>
      <c r="J13" s="881"/>
      <c r="K13" s="881"/>
      <c r="L13" s="881"/>
      <c r="M13" s="881"/>
      <c r="N13" s="882"/>
      <c r="O13" s="189"/>
    </row>
    <row r="14" spans="1:15" ht="61.5" customHeight="1" thickBot="1" x14ac:dyDescent="0.4">
      <c r="A14" s="194" t="s">
        <v>678</v>
      </c>
      <c r="B14" s="199" t="s">
        <v>716</v>
      </c>
      <c r="C14" s="199">
        <v>2</v>
      </c>
      <c r="D14" s="199" t="s">
        <v>717</v>
      </c>
      <c r="E14" s="187" t="s">
        <v>604</v>
      </c>
      <c r="F14" s="199" t="s">
        <v>580</v>
      </c>
      <c r="G14" s="199" t="s">
        <v>681</v>
      </c>
      <c r="H14" s="199" t="s">
        <v>465</v>
      </c>
      <c r="I14" s="199" t="s">
        <v>718</v>
      </c>
      <c r="J14" s="199" t="s">
        <v>719</v>
      </c>
      <c r="K14" s="199" t="s">
        <v>789</v>
      </c>
      <c r="L14" s="199" t="s">
        <v>685</v>
      </c>
      <c r="M14" s="198" t="s">
        <v>686</v>
      </c>
      <c r="N14" s="187"/>
      <c r="O14" s="189"/>
    </row>
    <row r="15" spans="1:15" ht="61.5" customHeight="1" thickBot="1" x14ac:dyDescent="0.4">
      <c r="A15" s="190" t="s">
        <v>687</v>
      </c>
      <c r="B15" s="188" t="s">
        <v>720</v>
      </c>
      <c r="C15" s="188">
        <v>2</v>
      </c>
      <c r="D15" s="190" t="s">
        <v>717</v>
      </c>
      <c r="E15" s="188" t="s">
        <v>606</v>
      </c>
      <c r="F15" s="188" t="s">
        <v>580</v>
      </c>
      <c r="G15" s="188" t="s">
        <v>681</v>
      </c>
      <c r="H15" s="188" t="s">
        <v>465</v>
      </c>
      <c r="I15" s="188" t="s">
        <v>721</v>
      </c>
      <c r="J15" s="188" t="s">
        <v>719</v>
      </c>
      <c r="K15" s="188" t="s">
        <v>599</v>
      </c>
      <c r="L15" s="188" t="s">
        <v>685</v>
      </c>
      <c r="M15" s="198" t="s">
        <v>686</v>
      </c>
      <c r="N15" s="188"/>
      <c r="O15" s="189"/>
    </row>
    <row r="16" spans="1:15" ht="61.5" customHeight="1" thickBot="1" x14ac:dyDescent="0.4">
      <c r="A16" s="195" t="s">
        <v>693</v>
      </c>
      <c r="B16" s="188" t="s">
        <v>722</v>
      </c>
      <c r="C16" s="188">
        <v>2</v>
      </c>
      <c r="D16" s="199" t="s">
        <v>717</v>
      </c>
      <c r="E16" s="188" t="s">
        <v>607</v>
      </c>
      <c r="F16" s="188" t="s">
        <v>580</v>
      </c>
      <c r="G16" s="188" t="s">
        <v>681</v>
      </c>
      <c r="H16" s="188" t="s">
        <v>465</v>
      </c>
      <c r="I16" s="188" t="s">
        <v>705</v>
      </c>
      <c r="J16" s="188" t="s">
        <v>719</v>
      </c>
      <c r="K16" s="188" t="s">
        <v>599</v>
      </c>
      <c r="L16" s="188" t="s">
        <v>685</v>
      </c>
      <c r="M16" s="198" t="s">
        <v>686</v>
      </c>
      <c r="N16" s="188"/>
      <c r="O16" s="189"/>
    </row>
    <row r="17" spans="1:15" ht="42" customHeight="1" thickBot="1" x14ac:dyDescent="0.4">
      <c r="A17" s="185">
        <v>3</v>
      </c>
      <c r="B17" s="880" t="s">
        <v>723</v>
      </c>
      <c r="C17" s="881"/>
      <c r="D17" s="881"/>
      <c r="E17" s="881"/>
      <c r="F17" s="881"/>
      <c r="G17" s="881"/>
      <c r="H17" s="881"/>
      <c r="I17" s="881"/>
      <c r="J17" s="881"/>
      <c r="K17" s="881"/>
      <c r="L17" s="881"/>
      <c r="M17" s="881"/>
      <c r="N17" s="882"/>
      <c r="O17" s="189"/>
    </row>
    <row r="18" spans="1:15" ht="59.25" customHeight="1" thickBot="1" x14ac:dyDescent="0.4">
      <c r="A18" s="195" t="s">
        <v>678</v>
      </c>
      <c r="B18" s="200" t="s">
        <v>724</v>
      </c>
      <c r="C18" s="200">
        <v>2</v>
      </c>
      <c r="D18" s="200" t="s">
        <v>725</v>
      </c>
      <c r="E18" s="191" t="s">
        <v>610</v>
      </c>
      <c r="F18" s="192" t="s">
        <v>580</v>
      </c>
      <c r="G18" s="193" t="s">
        <v>681</v>
      </c>
      <c r="H18" s="193" t="s">
        <v>726</v>
      </c>
      <c r="I18" s="193" t="s">
        <v>727</v>
      </c>
      <c r="J18" s="193" t="s">
        <v>719</v>
      </c>
      <c r="K18" s="201" t="s">
        <v>860</v>
      </c>
      <c r="L18" s="193" t="s">
        <v>685</v>
      </c>
      <c r="M18" s="198" t="s">
        <v>686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2"/>
  <sheetViews>
    <sheetView zoomScale="98" workbookViewId="0">
      <pane xSplit="5" ySplit="2" topLeftCell="F199" activePane="bottomRight" state="frozen"/>
      <selection pane="topRight" activeCell="D1" sqref="D1"/>
      <selection pane="bottomLeft" activeCell="A3" sqref="A3"/>
      <selection pane="bottomRight" activeCell="E213" sqref="E213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14.36328125" style="6" bestFit="1" customWidth="1"/>
    <col min="5" max="5" width="15.6328125" customWidth="1"/>
    <col min="6" max="6" width="15.1796875" style="464" customWidth="1"/>
    <col min="7" max="9" width="15.1796875" style="6" customWidth="1"/>
    <col min="10" max="10" width="29.1796875" style="6" bestFit="1" customWidth="1"/>
    <col min="11" max="11" width="15.1796875" style="6" hidden="1" customWidth="1"/>
    <col min="12" max="16384" width="9.1796875" style="6"/>
  </cols>
  <sheetData>
    <row r="1" spans="1:11" ht="22.5" customHeight="1" x14ac:dyDescent="0.35">
      <c r="A1" s="417" t="s">
        <v>662</v>
      </c>
      <c r="B1" s="418"/>
      <c r="C1" s="418"/>
      <c r="D1" s="418"/>
      <c r="E1" s="426"/>
      <c r="F1" s="465"/>
      <c r="G1" s="418"/>
      <c r="H1" s="418"/>
      <c r="I1" s="418"/>
      <c r="J1" s="418"/>
      <c r="K1" s="469"/>
    </row>
    <row r="2" spans="1:11" x14ac:dyDescent="0.35">
      <c r="A2" s="33" t="s">
        <v>411</v>
      </c>
      <c r="B2" s="2" t="s">
        <v>412</v>
      </c>
      <c r="C2" s="2" t="s">
        <v>5</v>
      </c>
      <c r="D2" s="468" t="s">
        <v>2090</v>
      </c>
      <c r="E2" s="427" t="s">
        <v>415</v>
      </c>
      <c r="F2" s="466" t="s">
        <v>416</v>
      </c>
      <c r="G2" s="33" t="s">
        <v>417</v>
      </c>
      <c r="H2" s="419" t="s">
        <v>2086</v>
      </c>
      <c r="I2" s="419" t="s">
        <v>2085</v>
      </c>
      <c r="J2" s="33" t="s">
        <v>2092</v>
      </c>
      <c r="K2" s="470" t="s">
        <v>418</v>
      </c>
    </row>
    <row r="3" spans="1:11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38" t="s">
        <v>2066</v>
      </c>
      <c r="E3" s="428" t="s">
        <v>424</v>
      </c>
      <c r="F3" s="39" t="s">
        <v>618</v>
      </c>
      <c r="G3" s="414">
        <v>45903</v>
      </c>
      <c r="H3" s="414"/>
      <c r="I3" s="414"/>
      <c r="J3" s="2" t="s">
        <v>624</v>
      </c>
      <c r="K3" s="272"/>
    </row>
    <row r="4" spans="1:11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38" t="s">
        <v>2066</v>
      </c>
      <c r="E4" s="428" t="s">
        <v>424</v>
      </c>
      <c r="F4" s="39" t="s">
        <v>618</v>
      </c>
      <c r="G4" s="39">
        <v>45915</v>
      </c>
      <c r="H4" s="2"/>
      <c r="I4" s="2"/>
      <c r="J4" s="2" t="s">
        <v>619</v>
      </c>
      <c r="K4" s="272"/>
    </row>
    <row r="5" spans="1:11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38" t="s">
        <v>2066</v>
      </c>
      <c r="E5" s="428" t="s">
        <v>424</v>
      </c>
      <c r="F5" s="39" t="s">
        <v>622</v>
      </c>
      <c r="G5" s="39">
        <v>45908</v>
      </c>
      <c r="H5" s="2"/>
      <c r="I5" s="2"/>
      <c r="J5" s="2" t="s">
        <v>620</v>
      </c>
      <c r="K5" s="272"/>
    </row>
    <row r="6" spans="1:11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38" t="s">
        <v>2066</v>
      </c>
      <c r="E6" s="428" t="s">
        <v>424</v>
      </c>
      <c r="F6" s="39" t="s">
        <v>622</v>
      </c>
      <c r="G6" s="39">
        <v>45918</v>
      </c>
      <c r="H6" s="2"/>
      <c r="I6" s="2"/>
      <c r="J6" s="2" t="s">
        <v>621</v>
      </c>
      <c r="K6" s="272"/>
    </row>
    <row r="7" spans="1:11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38" t="s">
        <v>2066</v>
      </c>
      <c r="E7" s="428" t="s">
        <v>424</v>
      </c>
      <c r="F7" s="39" t="s">
        <v>728</v>
      </c>
      <c r="G7" s="39">
        <v>45923</v>
      </c>
      <c r="H7" s="2"/>
      <c r="I7" s="2"/>
      <c r="J7" s="2" t="s">
        <v>664</v>
      </c>
      <c r="K7" s="272"/>
    </row>
    <row r="8" spans="1:11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38" t="s">
        <v>2066</v>
      </c>
      <c r="E8" s="428" t="s">
        <v>424</v>
      </c>
      <c r="F8" s="39" t="s">
        <v>728</v>
      </c>
      <c r="G8" s="39">
        <v>45912</v>
      </c>
      <c r="H8" s="2"/>
      <c r="I8" s="2"/>
      <c r="J8" s="2" t="s">
        <v>734</v>
      </c>
      <c r="K8" s="272"/>
    </row>
    <row r="9" spans="1:11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38" t="s">
        <v>2066</v>
      </c>
      <c r="E9" s="428" t="s">
        <v>424</v>
      </c>
      <c r="F9" s="39" t="s">
        <v>729</v>
      </c>
      <c r="G9" s="39">
        <v>45914</v>
      </c>
      <c r="H9" s="2"/>
      <c r="I9" s="2"/>
      <c r="J9" s="2" t="s">
        <v>624</v>
      </c>
      <c r="K9" s="272"/>
    </row>
    <row r="10" spans="1:11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38" t="s">
        <v>2066</v>
      </c>
      <c r="E10" s="428" t="s">
        <v>424</v>
      </c>
      <c r="F10" s="39" t="s">
        <v>729</v>
      </c>
      <c r="G10" s="39">
        <v>45912</v>
      </c>
      <c r="H10" s="2"/>
      <c r="I10" s="2"/>
      <c r="J10" s="2" t="s">
        <v>625</v>
      </c>
      <c r="K10" s="272"/>
    </row>
    <row r="11" spans="1:11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38" t="s">
        <v>2066</v>
      </c>
      <c r="E11" s="428" t="s">
        <v>424</v>
      </c>
      <c r="F11" s="39" t="s">
        <v>622</v>
      </c>
      <c r="G11" s="39">
        <v>45914</v>
      </c>
      <c r="H11" s="39"/>
      <c r="I11" s="39"/>
      <c r="J11" s="2" t="s">
        <v>620</v>
      </c>
      <c r="K11" s="272"/>
    </row>
    <row r="12" spans="1:11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38" t="s">
        <v>2066</v>
      </c>
      <c r="E12" s="428" t="s">
        <v>424</v>
      </c>
      <c r="F12" s="39" t="s">
        <v>730</v>
      </c>
      <c r="G12" s="39">
        <v>45927</v>
      </c>
      <c r="H12" s="2"/>
      <c r="I12" s="2"/>
      <c r="J12" s="2" t="s">
        <v>619</v>
      </c>
      <c r="K12" s="272"/>
    </row>
    <row r="13" spans="1:11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38" t="s">
        <v>2066</v>
      </c>
      <c r="E13" s="428" t="s">
        <v>424</v>
      </c>
      <c r="F13" s="39" t="s">
        <v>731</v>
      </c>
      <c r="G13" s="39">
        <v>45919</v>
      </c>
      <c r="H13" s="39"/>
      <c r="I13" s="39"/>
      <c r="J13" s="2" t="s">
        <v>734</v>
      </c>
      <c r="K13" s="272"/>
    </row>
    <row r="14" spans="1:11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38" t="s">
        <v>2066</v>
      </c>
      <c r="E14" s="428" t="s">
        <v>424</v>
      </c>
      <c r="F14" s="39" t="s">
        <v>730</v>
      </c>
      <c r="G14" s="39">
        <v>45919</v>
      </c>
      <c r="H14" s="39"/>
      <c r="I14" s="39"/>
      <c r="J14" s="2" t="s">
        <v>624</v>
      </c>
      <c r="K14" s="272"/>
    </row>
    <row r="15" spans="1:11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38" t="s">
        <v>2066</v>
      </c>
      <c r="E15" s="428" t="s">
        <v>424</v>
      </c>
      <c r="F15" s="39" t="s">
        <v>663</v>
      </c>
      <c r="G15" s="39">
        <v>45920</v>
      </c>
      <c r="H15" s="2"/>
      <c r="I15" s="2"/>
      <c r="J15" s="2" t="s">
        <v>620</v>
      </c>
      <c r="K15" s="272"/>
    </row>
    <row r="16" spans="1:11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38" t="s">
        <v>2066</v>
      </c>
      <c r="E16" s="428" t="s">
        <v>424</v>
      </c>
      <c r="F16" s="39" t="s">
        <v>732</v>
      </c>
      <c r="G16" s="39">
        <v>45923</v>
      </c>
      <c r="H16" s="2"/>
      <c r="I16" s="2"/>
      <c r="J16" s="2" t="s">
        <v>625</v>
      </c>
      <c r="K16" s="272"/>
    </row>
    <row r="17" spans="1:11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38" t="s">
        <v>2066</v>
      </c>
      <c r="E17" s="428" t="s">
        <v>424</v>
      </c>
      <c r="F17" s="39" t="s">
        <v>743</v>
      </c>
      <c r="G17" s="39">
        <v>45934</v>
      </c>
      <c r="H17" s="2"/>
      <c r="I17" s="2"/>
      <c r="J17" s="2" t="s">
        <v>664</v>
      </c>
      <c r="K17" s="272"/>
    </row>
    <row r="18" spans="1:11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38" t="s">
        <v>2066</v>
      </c>
      <c r="E18" s="428" t="s">
        <v>424</v>
      </c>
      <c r="F18" s="39" t="s">
        <v>733</v>
      </c>
      <c r="G18" s="39">
        <v>45924</v>
      </c>
      <c r="H18" s="2"/>
      <c r="I18" s="2"/>
      <c r="J18" s="2" t="s">
        <v>735</v>
      </c>
      <c r="K18" s="272"/>
    </row>
    <row r="19" spans="1:11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38" t="s">
        <v>2066</v>
      </c>
      <c r="E19" s="428" t="s">
        <v>424</v>
      </c>
      <c r="F19" s="39" t="s">
        <v>738</v>
      </c>
      <c r="G19" s="39">
        <v>45925</v>
      </c>
      <c r="H19" s="2"/>
      <c r="I19" s="2"/>
      <c r="J19" s="2" t="s">
        <v>624</v>
      </c>
      <c r="K19" s="272"/>
    </row>
    <row r="20" spans="1:11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38" t="s">
        <v>2066</v>
      </c>
      <c r="E20" s="428" t="s">
        <v>424</v>
      </c>
      <c r="F20" s="39" t="s">
        <v>739</v>
      </c>
      <c r="G20" s="39">
        <v>45926</v>
      </c>
      <c r="H20" s="2"/>
      <c r="I20" s="2"/>
      <c r="J20" s="2" t="s">
        <v>620</v>
      </c>
      <c r="K20" s="272"/>
    </row>
    <row r="21" spans="1:11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38" t="s">
        <v>2066</v>
      </c>
      <c r="E21" s="428" t="s">
        <v>424</v>
      </c>
      <c r="F21" s="39" t="s">
        <v>741</v>
      </c>
      <c r="G21" s="39">
        <v>45929</v>
      </c>
      <c r="H21" s="2"/>
      <c r="I21" s="2"/>
      <c r="J21" s="2" t="s">
        <v>625</v>
      </c>
      <c r="K21" s="272"/>
    </row>
    <row r="22" spans="1:11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38" t="s">
        <v>2066</v>
      </c>
      <c r="E22" s="428" t="s">
        <v>424</v>
      </c>
      <c r="F22" s="39" t="s">
        <v>742</v>
      </c>
      <c r="G22" s="39">
        <v>45930</v>
      </c>
      <c r="H22" s="2"/>
      <c r="I22" s="2"/>
      <c r="J22" s="2" t="s">
        <v>734</v>
      </c>
      <c r="K22" s="272"/>
    </row>
    <row r="23" spans="1:11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38" t="s">
        <v>2066</v>
      </c>
      <c r="E23" s="428" t="s">
        <v>424</v>
      </c>
      <c r="F23" s="39" t="s">
        <v>745</v>
      </c>
      <c r="G23" s="39">
        <v>45936</v>
      </c>
      <c r="H23" s="2"/>
      <c r="I23" s="2"/>
      <c r="J23" s="2" t="s">
        <v>624</v>
      </c>
      <c r="K23" s="272"/>
    </row>
    <row r="24" spans="1:11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38" t="s">
        <v>2066</v>
      </c>
      <c r="E24" s="428" t="s">
        <v>424</v>
      </c>
      <c r="F24" s="39" t="s">
        <v>744</v>
      </c>
      <c r="G24" s="39">
        <v>45932</v>
      </c>
      <c r="H24" s="2"/>
      <c r="I24" s="2"/>
      <c r="J24" s="2" t="s">
        <v>620</v>
      </c>
      <c r="K24" s="272"/>
    </row>
    <row r="25" spans="1:11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38" t="s">
        <v>2066</v>
      </c>
      <c r="E25" s="428" t="s">
        <v>424</v>
      </c>
      <c r="F25" s="39" t="s">
        <v>745</v>
      </c>
      <c r="G25" s="39">
        <v>45943</v>
      </c>
      <c r="H25" s="2"/>
      <c r="I25" s="2"/>
      <c r="J25" s="2" t="s">
        <v>619</v>
      </c>
      <c r="K25" s="272"/>
    </row>
    <row r="26" spans="1:11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38" t="s">
        <v>2066</v>
      </c>
      <c r="E26" s="428" t="s">
        <v>424</v>
      </c>
      <c r="F26" s="39" t="s">
        <v>743</v>
      </c>
      <c r="G26" s="39">
        <v>45931</v>
      </c>
      <c r="H26" s="2"/>
      <c r="I26" s="2"/>
      <c r="J26" s="2" t="s">
        <v>624</v>
      </c>
      <c r="K26" s="272"/>
    </row>
    <row r="27" spans="1:11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38" t="s">
        <v>2066</v>
      </c>
      <c r="E27" s="428" t="s">
        <v>424</v>
      </c>
      <c r="F27" s="39" t="s">
        <v>745</v>
      </c>
      <c r="G27" s="39">
        <v>45936</v>
      </c>
      <c r="H27" s="2"/>
      <c r="I27" s="2"/>
      <c r="J27" s="2" t="s">
        <v>625</v>
      </c>
      <c r="K27" s="272"/>
    </row>
    <row r="28" spans="1:11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38" t="s">
        <v>2066</v>
      </c>
      <c r="E28" s="428" t="s">
        <v>424</v>
      </c>
      <c r="F28" s="39" t="s">
        <v>748</v>
      </c>
      <c r="G28" s="39">
        <v>45946</v>
      </c>
      <c r="H28" s="2"/>
      <c r="I28" s="2"/>
      <c r="J28" s="2" t="s">
        <v>664</v>
      </c>
      <c r="K28" s="272"/>
    </row>
    <row r="29" spans="1:11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38" t="s">
        <v>2066</v>
      </c>
      <c r="E29" s="428" t="s">
        <v>424</v>
      </c>
      <c r="F29" s="39" t="s">
        <v>746</v>
      </c>
      <c r="G29" s="39">
        <v>45941</v>
      </c>
      <c r="H29" s="2"/>
      <c r="I29" s="2"/>
      <c r="J29" s="2" t="s">
        <v>747</v>
      </c>
      <c r="K29" s="272"/>
    </row>
    <row r="30" spans="1:11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38" t="s">
        <v>2066</v>
      </c>
      <c r="E30" s="428" t="s">
        <v>424</v>
      </c>
      <c r="F30" s="39" t="s">
        <v>753</v>
      </c>
      <c r="G30" s="39">
        <v>45946</v>
      </c>
      <c r="H30" s="2"/>
      <c r="I30" s="2"/>
      <c r="J30" s="2" t="s">
        <v>747</v>
      </c>
      <c r="K30" s="272"/>
    </row>
    <row r="31" spans="1:11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38" t="s">
        <v>2066</v>
      </c>
      <c r="E31" s="428" t="s">
        <v>424</v>
      </c>
      <c r="F31" s="39" t="s">
        <v>755</v>
      </c>
      <c r="G31" s="39">
        <v>45952</v>
      </c>
      <c r="H31" s="2"/>
      <c r="I31" s="2"/>
      <c r="J31" s="2" t="s">
        <v>747</v>
      </c>
      <c r="K31" s="272"/>
    </row>
    <row r="32" spans="1:11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38" t="s">
        <v>2066</v>
      </c>
      <c r="E32" s="428" t="s">
        <v>424</v>
      </c>
      <c r="F32" s="47" t="s">
        <v>758</v>
      </c>
      <c r="G32" s="47">
        <v>45955</v>
      </c>
      <c r="H32" s="47"/>
      <c r="I32" s="47"/>
      <c r="J32" s="2" t="s">
        <v>747</v>
      </c>
      <c r="K32" s="272"/>
    </row>
    <row r="33" spans="1:11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38" t="s">
        <v>2066</v>
      </c>
      <c r="E33" s="428" t="s">
        <v>424</v>
      </c>
      <c r="F33" s="467" t="s">
        <v>757</v>
      </c>
      <c r="G33" s="39">
        <v>45963</v>
      </c>
      <c r="H33" s="2"/>
      <c r="I33" s="2"/>
      <c r="J33" s="2" t="s">
        <v>747</v>
      </c>
      <c r="K33" s="272"/>
    </row>
    <row r="34" spans="1:11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38" t="s">
        <v>2066</v>
      </c>
      <c r="E34" s="428" t="s">
        <v>424</v>
      </c>
      <c r="F34" s="39" t="s">
        <v>770</v>
      </c>
      <c r="G34" s="39">
        <v>45968</v>
      </c>
      <c r="H34" s="2"/>
      <c r="I34" s="2"/>
      <c r="J34" s="2" t="s">
        <v>747</v>
      </c>
      <c r="K34" s="272"/>
    </row>
    <row r="35" spans="1:11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38" t="s">
        <v>2066</v>
      </c>
      <c r="E35" s="428" t="s">
        <v>424</v>
      </c>
      <c r="F35" s="39" t="s">
        <v>777</v>
      </c>
      <c r="G35" s="39">
        <v>45972</v>
      </c>
      <c r="H35" s="2"/>
      <c r="I35" s="2"/>
      <c r="J35" s="2" t="s">
        <v>747</v>
      </c>
      <c r="K35" s="272"/>
    </row>
    <row r="36" spans="1:11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38" t="s">
        <v>2066</v>
      </c>
      <c r="E36" s="428" t="s">
        <v>424</v>
      </c>
      <c r="F36" s="39" t="s">
        <v>781</v>
      </c>
      <c r="G36" s="39">
        <v>45986</v>
      </c>
      <c r="H36" s="2"/>
      <c r="I36" s="2"/>
      <c r="J36" s="2" t="s">
        <v>779</v>
      </c>
      <c r="K36" s="272"/>
    </row>
    <row r="37" spans="1:11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38" t="s">
        <v>2066</v>
      </c>
      <c r="E37" s="428" t="s">
        <v>424</v>
      </c>
      <c r="F37" s="39" t="s">
        <v>781</v>
      </c>
      <c r="G37" s="39">
        <v>45985</v>
      </c>
      <c r="H37" s="2"/>
      <c r="I37" s="2"/>
      <c r="J37" s="2" t="s">
        <v>780</v>
      </c>
      <c r="K37" s="272"/>
    </row>
    <row r="38" spans="1:11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38" t="s">
        <v>2066</v>
      </c>
      <c r="E38" s="428" t="s">
        <v>424</v>
      </c>
      <c r="F38" s="39" t="s">
        <v>845</v>
      </c>
      <c r="G38" s="39">
        <v>46000</v>
      </c>
      <c r="H38" s="2"/>
      <c r="I38" s="2" t="s">
        <v>2081</v>
      </c>
      <c r="J38" s="2" t="s">
        <v>843</v>
      </c>
      <c r="K38" s="272">
        <v>44</v>
      </c>
    </row>
    <row r="39" spans="1:11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38" t="s">
        <v>2066</v>
      </c>
      <c r="E39" s="428" t="s">
        <v>424</v>
      </c>
      <c r="F39" s="39" t="s">
        <v>778</v>
      </c>
      <c r="G39" s="39">
        <v>45977</v>
      </c>
      <c r="H39" s="2"/>
      <c r="I39" s="2"/>
      <c r="J39" s="2" t="s">
        <v>747</v>
      </c>
      <c r="K39" s="272"/>
    </row>
    <row r="40" spans="1:11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38" t="s">
        <v>2066</v>
      </c>
      <c r="E40" s="428" t="s">
        <v>424</v>
      </c>
      <c r="F40" s="39" t="s">
        <v>788</v>
      </c>
      <c r="G40" s="39">
        <v>45988</v>
      </c>
      <c r="H40" s="2"/>
      <c r="I40" s="2"/>
      <c r="J40" s="2" t="s">
        <v>747</v>
      </c>
      <c r="K40" s="272"/>
    </row>
    <row r="41" spans="1:11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38" t="s">
        <v>2066</v>
      </c>
      <c r="E41" s="428" t="s">
        <v>424</v>
      </c>
      <c r="F41" s="39" t="s">
        <v>841</v>
      </c>
      <c r="G41" s="39">
        <v>45986</v>
      </c>
      <c r="H41" s="2"/>
      <c r="I41" s="2"/>
      <c r="J41" s="2" t="s">
        <v>620</v>
      </c>
      <c r="K41" s="272"/>
    </row>
    <row r="42" spans="1:11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38" t="s">
        <v>2066</v>
      </c>
      <c r="E42" s="428" t="s">
        <v>424</v>
      </c>
      <c r="F42" s="39" t="s">
        <v>844</v>
      </c>
      <c r="G42" s="39">
        <v>45991</v>
      </c>
      <c r="H42" s="2"/>
      <c r="I42" s="2"/>
      <c r="J42" s="2" t="s">
        <v>620</v>
      </c>
      <c r="K42" s="272"/>
    </row>
    <row r="43" spans="1:11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38" t="s">
        <v>2066</v>
      </c>
      <c r="E43" s="428" t="s">
        <v>424</v>
      </c>
      <c r="F43" s="39" t="s">
        <v>844</v>
      </c>
      <c r="G43" s="39">
        <v>45995</v>
      </c>
      <c r="H43" s="2"/>
      <c r="I43" s="2" t="s">
        <v>2081</v>
      </c>
      <c r="J43" s="2" t="s">
        <v>780</v>
      </c>
      <c r="K43" s="272"/>
    </row>
    <row r="44" spans="1:11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38" t="s">
        <v>2066</v>
      </c>
      <c r="E44" s="428" t="s">
        <v>424</v>
      </c>
      <c r="F44" s="39" t="s">
        <v>845</v>
      </c>
      <c r="G44" s="39">
        <v>45996</v>
      </c>
      <c r="H44" s="2"/>
      <c r="I44" s="2" t="s">
        <v>2081</v>
      </c>
      <c r="J44" s="2" t="s">
        <v>779</v>
      </c>
      <c r="K44" s="272"/>
    </row>
    <row r="45" spans="1:11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38" t="s">
        <v>2066</v>
      </c>
      <c r="E45" s="428" t="s">
        <v>424</v>
      </c>
      <c r="F45" s="39" t="s">
        <v>846</v>
      </c>
      <c r="G45" s="39">
        <v>45994</v>
      </c>
      <c r="H45" s="2"/>
      <c r="I45" s="2" t="s">
        <v>2081</v>
      </c>
      <c r="J45" s="2" t="s">
        <v>747</v>
      </c>
      <c r="K45" s="272"/>
    </row>
    <row r="46" spans="1:11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38" t="s">
        <v>2066</v>
      </c>
      <c r="E46" s="428" t="s">
        <v>424</v>
      </c>
      <c r="F46" s="39" t="s">
        <v>848</v>
      </c>
      <c r="G46" s="39">
        <v>45996</v>
      </c>
      <c r="H46" s="2"/>
      <c r="I46" s="2" t="s">
        <v>2081</v>
      </c>
      <c r="J46" s="2" t="s">
        <v>620</v>
      </c>
      <c r="K46" s="272"/>
    </row>
    <row r="47" spans="1:11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38" t="s">
        <v>2066</v>
      </c>
      <c r="E47" s="428" t="s">
        <v>424</v>
      </c>
      <c r="F47" s="39" t="s">
        <v>856</v>
      </c>
      <c r="G47" s="39">
        <v>46006</v>
      </c>
      <c r="H47" s="2"/>
      <c r="I47" s="2" t="s">
        <v>2081</v>
      </c>
      <c r="J47" s="2" t="s">
        <v>779</v>
      </c>
      <c r="K47" s="272"/>
    </row>
    <row r="48" spans="1:11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38" t="s">
        <v>2066</v>
      </c>
      <c r="E48" s="428" t="s">
        <v>424</v>
      </c>
      <c r="F48" s="39" t="s">
        <v>849</v>
      </c>
      <c r="G48" s="39">
        <v>46003</v>
      </c>
      <c r="H48" s="2"/>
      <c r="I48" s="2" t="s">
        <v>2081</v>
      </c>
      <c r="J48" s="2" t="s">
        <v>780</v>
      </c>
      <c r="K48" s="272"/>
    </row>
    <row r="49" spans="1:11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38" t="s">
        <v>2066</v>
      </c>
      <c r="E49" s="428" t="s">
        <v>424</v>
      </c>
      <c r="F49" s="39" t="s">
        <v>854</v>
      </c>
      <c r="G49" s="39">
        <v>46002</v>
      </c>
      <c r="H49" s="2"/>
      <c r="I49" s="2" t="s">
        <v>2081</v>
      </c>
      <c r="J49" s="2" t="s">
        <v>620</v>
      </c>
      <c r="K49" s="272"/>
    </row>
    <row r="50" spans="1:11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38" t="s">
        <v>2066</v>
      </c>
      <c r="E50" s="428" t="s">
        <v>424</v>
      </c>
      <c r="F50" s="39" t="s">
        <v>852</v>
      </c>
      <c r="G50" s="39">
        <v>46007</v>
      </c>
      <c r="H50" s="2"/>
      <c r="I50" s="2" t="s">
        <v>2081</v>
      </c>
      <c r="J50" s="2" t="s">
        <v>747</v>
      </c>
      <c r="K50" s="272"/>
    </row>
    <row r="51" spans="1:11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38" t="s">
        <v>2066</v>
      </c>
      <c r="E51" s="428" t="s">
        <v>424</v>
      </c>
      <c r="F51" s="39" t="s">
        <v>861</v>
      </c>
      <c r="G51" s="39">
        <v>46010</v>
      </c>
      <c r="H51" s="2"/>
      <c r="I51" s="2" t="s">
        <v>2081</v>
      </c>
      <c r="J51" s="2" t="s">
        <v>780</v>
      </c>
      <c r="K51" s="272"/>
    </row>
    <row r="52" spans="1:11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38" t="s">
        <v>2068</v>
      </c>
      <c r="E52" s="428" t="s">
        <v>424</v>
      </c>
      <c r="F52" s="39" t="s">
        <v>861</v>
      </c>
      <c r="G52" s="39">
        <v>46008</v>
      </c>
      <c r="H52" s="2"/>
      <c r="I52" s="2" t="s">
        <v>2081</v>
      </c>
      <c r="J52" s="2" t="s">
        <v>858</v>
      </c>
      <c r="K52" s="272"/>
    </row>
    <row r="53" spans="1:11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38" t="s">
        <v>2066</v>
      </c>
      <c r="E53" s="428" t="s">
        <v>424</v>
      </c>
      <c r="F53" s="39" t="s">
        <v>862</v>
      </c>
      <c r="G53" s="39">
        <v>46007</v>
      </c>
      <c r="H53" s="2"/>
      <c r="I53" s="2" t="s">
        <v>2081</v>
      </c>
      <c r="J53" s="2" t="s">
        <v>620</v>
      </c>
      <c r="K53" s="272"/>
    </row>
    <row r="54" spans="1:11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38" t="s">
        <v>2066</v>
      </c>
      <c r="E54" s="428" t="s">
        <v>424</v>
      </c>
      <c r="F54" s="39" t="s">
        <v>864</v>
      </c>
      <c r="G54" s="39">
        <v>46028</v>
      </c>
      <c r="H54" s="2"/>
      <c r="I54" s="2" t="s">
        <v>2080</v>
      </c>
      <c r="J54" s="2" t="s">
        <v>843</v>
      </c>
      <c r="K54" s="272"/>
    </row>
    <row r="55" spans="1:11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38" t="s">
        <v>2066</v>
      </c>
      <c r="E55" s="428" t="s">
        <v>424</v>
      </c>
      <c r="F55" s="39" t="s">
        <v>865</v>
      </c>
      <c r="G55" s="39">
        <v>46014</v>
      </c>
      <c r="H55" s="2"/>
      <c r="I55" s="2" t="s">
        <v>2081</v>
      </c>
      <c r="J55" s="2" t="s">
        <v>779</v>
      </c>
      <c r="K55" s="272"/>
    </row>
    <row r="56" spans="1:11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38" t="s">
        <v>2066</v>
      </c>
      <c r="E56" s="428" t="s">
        <v>424</v>
      </c>
      <c r="F56" s="39" t="s">
        <v>867</v>
      </c>
      <c r="G56" s="39">
        <v>46012</v>
      </c>
      <c r="H56" s="2"/>
      <c r="I56" s="2" t="s">
        <v>2081</v>
      </c>
      <c r="J56" s="2" t="s">
        <v>620</v>
      </c>
      <c r="K56" s="272"/>
    </row>
    <row r="57" spans="1:11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38" t="s">
        <v>2066</v>
      </c>
      <c r="E57" s="428" t="s">
        <v>424</v>
      </c>
      <c r="F57" s="39" t="s">
        <v>869</v>
      </c>
      <c r="G57" s="39">
        <v>46013</v>
      </c>
      <c r="H57" s="2"/>
      <c r="I57" s="2" t="s">
        <v>2081</v>
      </c>
      <c r="J57" s="2" t="s">
        <v>747</v>
      </c>
      <c r="K57" s="272"/>
    </row>
    <row r="58" spans="1:11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38" t="s">
        <v>2068</v>
      </c>
      <c r="E58" s="428" t="s">
        <v>424</v>
      </c>
      <c r="F58" s="39" t="s">
        <v>868</v>
      </c>
      <c r="G58" s="39">
        <v>46019</v>
      </c>
      <c r="H58" s="2"/>
      <c r="I58" s="2" t="s">
        <v>2081</v>
      </c>
      <c r="J58" s="2" t="s">
        <v>858</v>
      </c>
      <c r="K58" s="272"/>
    </row>
    <row r="59" spans="1:11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38" t="s">
        <v>2066</v>
      </c>
      <c r="E59" s="428" t="s">
        <v>424</v>
      </c>
      <c r="F59" s="39" t="s">
        <v>870</v>
      </c>
      <c r="G59" s="39">
        <v>46022</v>
      </c>
      <c r="H59" s="2"/>
      <c r="I59" s="2" t="s">
        <v>2081</v>
      </c>
      <c r="J59" s="2" t="s">
        <v>780</v>
      </c>
      <c r="K59" s="272"/>
    </row>
    <row r="60" spans="1:11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38" t="s">
        <v>2066</v>
      </c>
      <c r="E60" s="428" t="s">
        <v>424</v>
      </c>
      <c r="F60" s="39" t="s">
        <v>871</v>
      </c>
      <c r="G60" s="39">
        <v>46020</v>
      </c>
      <c r="H60" s="2"/>
      <c r="I60" s="2" t="s">
        <v>2081</v>
      </c>
      <c r="J60" s="2" t="s">
        <v>620</v>
      </c>
      <c r="K60" s="272"/>
    </row>
    <row r="61" spans="1:11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38" t="s">
        <v>2066</v>
      </c>
      <c r="E61" s="428" t="s">
        <v>424</v>
      </c>
      <c r="F61" s="39" t="s">
        <v>872</v>
      </c>
      <c r="G61" s="39">
        <v>46019</v>
      </c>
      <c r="H61" s="2"/>
      <c r="I61" s="2" t="s">
        <v>2081</v>
      </c>
      <c r="J61" s="2" t="s">
        <v>747</v>
      </c>
      <c r="K61" s="272"/>
    </row>
    <row r="62" spans="1:11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38" t="s">
        <v>2066</v>
      </c>
      <c r="E62" s="428" t="s">
        <v>424</v>
      </c>
      <c r="F62" s="39" t="s">
        <v>873</v>
      </c>
      <c r="G62" s="39">
        <v>46021</v>
      </c>
      <c r="H62" s="2"/>
      <c r="I62" s="2" t="s">
        <v>2081</v>
      </c>
      <c r="J62" s="2" t="s">
        <v>779</v>
      </c>
      <c r="K62" s="272"/>
    </row>
    <row r="63" spans="1:11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38" t="s">
        <v>2066</v>
      </c>
      <c r="E63" s="428" t="s">
        <v>424</v>
      </c>
      <c r="F63" s="39" t="s">
        <v>875</v>
      </c>
      <c r="G63" s="39">
        <v>46026</v>
      </c>
      <c r="H63" s="2"/>
      <c r="I63" s="2" t="s">
        <v>2080</v>
      </c>
      <c r="J63" s="2" t="s">
        <v>620</v>
      </c>
      <c r="K63" s="272"/>
    </row>
    <row r="64" spans="1:11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38" t="s">
        <v>2066</v>
      </c>
      <c r="E64" s="428" t="s">
        <v>424</v>
      </c>
      <c r="F64" s="39" t="s">
        <v>875</v>
      </c>
      <c r="G64" s="39">
        <v>46025</v>
      </c>
      <c r="H64" s="2"/>
      <c r="I64" s="2" t="s">
        <v>2080</v>
      </c>
      <c r="J64" s="2" t="s">
        <v>747</v>
      </c>
      <c r="K64" s="272"/>
    </row>
    <row r="65" spans="1:11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38" t="s">
        <v>2066</v>
      </c>
      <c r="E65" s="428" t="s">
        <v>424</v>
      </c>
      <c r="F65" s="39" t="s">
        <v>877</v>
      </c>
      <c r="G65" s="39">
        <v>46034</v>
      </c>
      <c r="H65" s="2"/>
      <c r="I65" s="2" t="s">
        <v>2080</v>
      </c>
      <c r="J65" s="2" t="s">
        <v>780</v>
      </c>
      <c r="K65" s="272"/>
    </row>
    <row r="66" spans="1:11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38" t="s">
        <v>2068</v>
      </c>
      <c r="E66" s="428" t="s">
        <v>424</v>
      </c>
      <c r="F66" s="39" t="s">
        <v>876</v>
      </c>
      <c r="G66" s="39">
        <v>46031</v>
      </c>
      <c r="H66" s="2"/>
      <c r="I66" s="2" t="s">
        <v>2080</v>
      </c>
      <c r="J66" s="2" t="s">
        <v>858</v>
      </c>
      <c r="K66" s="272"/>
    </row>
    <row r="67" spans="1:11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38" t="s">
        <v>2066</v>
      </c>
      <c r="E67" s="428" t="s">
        <v>424</v>
      </c>
      <c r="F67" s="39" t="s">
        <v>876</v>
      </c>
      <c r="G67" s="39">
        <v>46028</v>
      </c>
      <c r="H67" s="2"/>
      <c r="I67" s="2" t="s">
        <v>2080</v>
      </c>
      <c r="J67" s="2" t="s">
        <v>779</v>
      </c>
      <c r="K67" s="272"/>
    </row>
    <row r="68" spans="1:11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38" t="s">
        <v>2066</v>
      </c>
      <c r="E68" s="428" t="s">
        <v>424</v>
      </c>
      <c r="F68" s="39" t="s">
        <v>879</v>
      </c>
      <c r="G68" s="39">
        <v>46031</v>
      </c>
      <c r="H68" s="2"/>
      <c r="I68" s="2" t="s">
        <v>2080</v>
      </c>
      <c r="J68" s="2" t="s">
        <v>747</v>
      </c>
      <c r="K68" s="272"/>
    </row>
    <row r="69" spans="1:11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38" t="s">
        <v>2066</v>
      </c>
      <c r="E69" s="428" t="s">
        <v>424</v>
      </c>
      <c r="F69" s="39" t="s">
        <v>880</v>
      </c>
      <c r="G69" s="39">
        <v>46032</v>
      </c>
      <c r="H69" s="2"/>
      <c r="I69" s="2" t="s">
        <v>2080</v>
      </c>
      <c r="J69" s="2" t="s">
        <v>620</v>
      </c>
      <c r="K69" s="272"/>
    </row>
    <row r="70" spans="1:11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38" t="s">
        <v>2066</v>
      </c>
      <c r="E70" s="428" t="s">
        <v>424</v>
      </c>
      <c r="F70" s="39" t="s">
        <v>884</v>
      </c>
      <c r="G70" s="39">
        <v>46036</v>
      </c>
      <c r="H70" s="2"/>
      <c r="I70" s="2" t="s">
        <v>2080</v>
      </c>
      <c r="J70" s="2" t="s">
        <v>780</v>
      </c>
      <c r="K70" s="272"/>
    </row>
    <row r="71" spans="1:11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38" t="s">
        <v>2066</v>
      </c>
      <c r="E71" s="428" t="s">
        <v>424</v>
      </c>
      <c r="F71" s="39" t="s">
        <v>883</v>
      </c>
      <c r="G71" s="39">
        <v>46041</v>
      </c>
      <c r="H71" s="2"/>
      <c r="I71" s="2" t="s">
        <v>2080</v>
      </c>
      <c r="J71" s="2" t="s">
        <v>747</v>
      </c>
      <c r="K71" s="272"/>
    </row>
    <row r="72" spans="1:11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38" t="s">
        <v>2068</v>
      </c>
      <c r="E72" s="428" t="s">
        <v>424</v>
      </c>
      <c r="F72" s="39" t="s">
        <v>882</v>
      </c>
      <c r="G72" s="39">
        <v>46047</v>
      </c>
      <c r="H72" s="2"/>
      <c r="I72" s="2" t="s">
        <v>2080</v>
      </c>
      <c r="J72" s="2" t="s">
        <v>858</v>
      </c>
      <c r="K72" s="272"/>
    </row>
    <row r="73" spans="1:11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38" t="s">
        <v>2066</v>
      </c>
      <c r="E73" s="428" t="s">
        <v>424</v>
      </c>
      <c r="F73" s="39" t="s">
        <v>883</v>
      </c>
      <c r="G73" s="39">
        <v>46037</v>
      </c>
      <c r="H73" s="2"/>
      <c r="I73" s="2" t="s">
        <v>2080</v>
      </c>
      <c r="J73" s="2" t="s">
        <v>620</v>
      </c>
      <c r="K73" s="272"/>
    </row>
    <row r="74" spans="1:11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38" t="s">
        <v>2066</v>
      </c>
      <c r="E74" s="428" t="s">
        <v>424</v>
      </c>
      <c r="F74" s="39" t="s">
        <v>886</v>
      </c>
      <c r="G74" s="39">
        <v>46042</v>
      </c>
      <c r="H74" s="2"/>
      <c r="I74" s="2" t="s">
        <v>2080</v>
      </c>
      <c r="J74" s="2" t="s">
        <v>780</v>
      </c>
      <c r="K74" s="272"/>
    </row>
    <row r="75" spans="1:11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38" t="s">
        <v>2066</v>
      </c>
      <c r="E75" s="428" t="s">
        <v>424</v>
      </c>
      <c r="F75" s="39" t="s">
        <v>887</v>
      </c>
      <c r="G75" s="39">
        <v>46041</v>
      </c>
      <c r="H75" s="2"/>
      <c r="I75" s="2" t="s">
        <v>2080</v>
      </c>
      <c r="J75" s="2" t="s">
        <v>620</v>
      </c>
      <c r="K75" s="272"/>
    </row>
    <row r="76" spans="1:11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38" t="s">
        <v>2068</v>
      </c>
      <c r="E76" s="428" t="s">
        <v>424</v>
      </c>
      <c r="F76" s="39" t="s">
        <v>888</v>
      </c>
      <c r="G76" s="39">
        <v>46046</v>
      </c>
      <c r="H76" s="2"/>
      <c r="I76" s="2" t="s">
        <v>2080</v>
      </c>
      <c r="J76" s="2" t="s">
        <v>747</v>
      </c>
      <c r="K76" s="272"/>
    </row>
    <row r="77" spans="1:11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38" t="s">
        <v>2066</v>
      </c>
      <c r="E77" s="428" t="s">
        <v>424</v>
      </c>
      <c r="F77" s="39" t="s">
        <v>892</v>
      </c>
      <c r="G77" s="39">
        <v>46059</v>
      </c>
      <c r="H77" s="2"/>
      <c r="I77" s="2" t="s">
        <v>2079</v>
      </c>
      <c r="J77" s="2" t="s">
        <v>890</v>
      </c>
      <c r="K77" s="272"/>
    </row>
    <row r="78" spans="1:11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38" t="s">
        <v>2066</v>
      </c>
      <c r="E78" s="428" t="s">
        <v>424</v>
      </c>
      <c r="F78" s="39" t="s">
        <v>889</v>
      </c>
      <c r="G78" s="39">
        <v>46047</v>
      </c>
      <c r="H78" s="2"/>
      <c r="I78" s="2" t="s">
        <v>2080</v>
      </c>
      <c r="J78" s="2" t="s">
        <v>620</v>
      </c>
      <c r="K78" s="272"/>
    </row>
    <row r="79" spans="1:11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38" t="s">
        <v>2066</v>
      </c>
      <c r="E79" s="428" t="s">
        <v>424</v>
      </c>
      <c r="F79" s="39" t="s">
        <v>891</v>
      </c>
      <c r="G79" s="39">
        <v>46049</v>
      </c>
      <c r="H79" s="2"/>
      <c r="I79" s="2" t="s">
        <v>2080</v>
      </c>
      <c r="J79" s="2" t="s">
        <v>747</v>
      </c>
      <c r="K79" s="272"/>
    </row>
    <row r="80" spans="1:11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38" t="s">
        <v>2066</v>
      </c>
      <c r="E80" s="428" t="s">
        <v>424</v>
      </c>
      <c r="F80" s="39" t="s">
        <v>891</v>
      </c>
      <c r="G80" s="39">
        <v>46050</v>
      </c>
      <c r="H80" s="2"/>
      <c r="I80" s="2" t="s">
        <v>2080</v>
      </c>
      <c r="J80" s="2" t="s">
        <v>620</v>
      </c>
      <c r="K80" s="272"/>
    </row>
    <row r="81" spans="1:13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38" t="s">
        <v>2066</v>
      </c>
      <c r="E81" s="428" t="s">
        <v>424</v>
      </c>
      <c r="F81" s="39" t="s">
        <v>891</v>
      </c>
      <c r="G81" s="39">
        <v>46049</v>
      </c>
      <c r="H81" s="2"/>
      <c r="I81" s="2" t="s">
        <v>2080</v>
      </c>
      <c r="J81" s="2" t="s">
        <v>779</v>
      </c>
      <c r="K81" s="272"/>
    </row>
    <row r="82" spans="1:13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38" t="s">
        <v>2066</v>
      </c>
      <c r="E82" s="428" t="s">
        <v>424</v>
      </c>
      <c r="F82" s="39" t="s">
        <v>892</v>
      </c>
      <c r="G82" s="39">
        <v>46059</v>
      </c>
      <c r="H82" s="2"/>
      <c r="I82" s="2" t="s">
        <v>2079</v>
      </c>
      <c r="J82" s="2" t="s">
        <v>779</v>
      </c>
      <c r="K82" s="272"/>
    </row>
    <row r="83" spans="1:13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38" t="s">
        <v>2067</v>
      </c>
      <c r="E83" s="428" t="s">
        <v>424</v>
      </c>
      <c r="F83" s="39" t="s">
        <v>894</v>
      </c>
      <c r="G83" s="39">
        <v>46059</v>
      </c>
      <c r="H83" s="2"/>
      <c r="I83" s="2" t="s">
        <v>2079</v>
      </c>
      <c r="J83" s="2" t="s">
        <v>895</v>
      </c>
      <c r="K83" s="272"/>
    </row>
    <row r="84" spans="1:13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38" t="s">
        <v>2068</v>
      </c>
      <c r="E84" s="428" t="s">
        <v>424</v>
      </c>
      <c r="F84" s="39" t="s">
        <v>894</v>
      </c>
      <c r="G84" s="39">
        <v>46062</v>
      </c>
      <c r="H84" s="2"/>
      <c r="I84" s="2" t="s">
        <v>2079</v>
      </c>
      <c r="J84" s="2" t="s">
        <v>858</v>
      </c>
      <c r="K84" s="272"/>
    </row>
    <row r="85" spans="1:13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38" t="s">
        <v>2068</v>
      </c>
      <c r="E85" s="428" t="s">
        <v>424</v>
      </c>
      <c r="F85" s="39" t="s">
        <v>892</v>
      </c>
      <c r="G85" s="39">
        <v>46052</v>
      </c>
      <c r="H85" s="2"/>
      <c r="I85" s="2" t="s">
        <v>2080</v>
      </c>
      <c r="J85" s="2" t="s">
        <v>898</v>
      </c>
      <c r="K85" s="272"/>
    </row>
    <row r="86" spans="1:13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38" t="s">
        <v>2066</v>
      </c>
      <c r="E86" s="428" t="s">
        <v>424</v>
      </c>
      <c r="F86" s="39" t="s">
        <v>896</v>
      </c>
      <c r="G86" s="39">
        <v>46056</v>
      </c>
      <c r="H86" s="2"/>
      <c r="I86" s="2" t="s">
        <v>2079</v>
      </c>
      <c r="J86" s="2" t="s">
        <v>780</v>
      </c>
      <c r="K86" s="272"/>
    </row>
    <row r="87" spans="1:13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38" t="s">
        <v>2066</v>
      </c>
      <c r="E87" s="428" t="s">
        <v>424</v>
      </c>
      <c r="F87" s="39" t="s">
        <v>894</v>
      </c>
      <c r="G87" s="39">
        <v>46052</v>
      </c>
      <c r="H87" s="2"/>
      <c r="I87" s="2" t="s">
        <v>2080</v>
      </c>
      <c r="J87" s="2" t="s">
        <v>620</v>
      </c>
      <c r="K87" s="272"/>
    </row>
    <row r="88" spans="1:13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38" t="s">
        <v>2066</v>
      </c>
      <c r="E88" s="428" t="s">
        <v>424</v>
      </c>
      <c r="F88" s="39" t="s">
        <v>896</v>
      </c>
      <c r="G88" s="39">
        <v>46054</v>
      </c>
      <c r="H88" s="2"/>
      <c r="I88" s="2" t="s">
        <v>2079</v>
      </c>
      <c r="J88" s="2" t="s">
        <v>747</v>
      </c>
      <c r="K88" s="272"/>
    </row>
    <row r="89" spans="1:13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38" t="s">
        <v>2066</v>
      </c>
      <c r="E89" s="428" t="s">
        <v>424</v>
      </c>
      <c r="F89" s="39" t="s">
        <v>909</v>
      </c>
      <c r="G89" s="39">
        <v>46059</v>
      </c>
      <c r="H89" s="2"/>
      <c r="I89" s="2" t="s">
        <v>2079</v>
      </c>
      <c r="J89" s="2" t="s">
        <v>620</v>
      </c>
      <c r="K89" s="272"/>
    </row>
    <row r="90" spans="1:13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38" t="s">
        <v>2068</v>
      </c>
      <c r="E90" s="428" t="s">
        <v>424</v>
      </c>
      <c r="F90" s="39" t="s">
        <v>909</v>
      </c>
      <c r="G90" s="39">
        <v>46059</v>
      </c>
      <c r="H90" s="2"/>
      <c r="I90" s="2" t="s">
        <v>2079</v>
      </c>
      <c r="J90" s="2" t="s">
        <v>898</v>
      </c>
      <c r="K90" s="272"/>
    </row>
    <row r="91" spans="1:13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38" t="s">
        <v>2066</v>
      </c>
      <c r="E91" s="428" t="s">
        <v>424</v>
      </c>
      <c r="F91" s="39" t="s">
        <v>899</v>
      </c>
      <c r="G91" s="39">
        <v>46058</v>
      </c>
      <c r="H91" s="2"/>
      <c r="I91" s="2" t="s">
        <v>2079</v>
      </c>
      <c r="J91" s="2" t="s">
        <v>620</v>
      </c>
      <c r="K91" s="272"/>
    </row>
    <row r="92" spans="1:13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38" t="s">
        <v>2066</v>
      </c>
      <c r="E92" s="428" t="s">
        <v>424</v>
      </c>
      <c r="F92" s="39" t="s">
        <v>908</v>
      </c>
      <c r="G92" s="39">
        <v>46061</v>
      </c>
      <c r="H92" s="2"/>
      <c r="I92" s="2" t="s">
        <v>2079</v>
      </c>
      <c r="J92" s="2" t="s">
        <v>747</v>
      </c>
      <c r="K92" s="272"/>
    </row>
    <row r="93" spans="1:13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38" t="s">
        <v>2066</v>
      </c>
      <c r="E93" s="428" t="s">
        <v>424</v>
      </c>
      <c r="F93" s="39" t="s">
        <v>907</v>
      </c>
      <c r="G93" s="39">
        <v>46066</v>
      </c>
      <c r="H93" s="2"/>
      <c r="I93" s="2" t="s">
        <v>2079</v>
      </c>
      <c r="J93" s="2" t="s">
        <v>920</v>
      </c>
      <c r="K93" s="272"/>
    </row>
    <row r="94" spans="1:13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38" t="s">
        <v>2066</v>
      </c>
      <c r="E94" s="428" t="s">
        <v>424</v>
      </c>
      <c r="F94" s="39" t="s">
        <v>911</v>
      </c>
      <c r="G94" s="39">
        <v>46067</v>
      </c>
      <c r="H94" s="2"/>
      <c r="I94" s="2" t="s">
        <v>2079</v>
      </c>
      <c r="J94" s="2" t="s">
        <v>921</v>
      </c>
      <c r="K94" s="272"/>
    </row>
    <row r="95" spans="1:13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38" t="s">
        <v>2066</v>
      </c>
      <c r="E95" s="428" t="s">
        <v>424</v>
      </c>
      <c r="F95" s="39" t="s">
        <v>911</v>
      </c>
      <c r="G95" s="39">
        <v>46069</v>
      </c>
      <c r="H95" s="2"/>
      <c r="I95" s="2" t="s">
        <v>2079</v>
      </c>
      <c r="J95" s="2" t="s">
        <v>620</v>
      </c>
      <c r="K95" s="272"/>
    </row>
    <row r="96" spans="1:13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38" t="s">
        <v>2066</v>
      </c>
      <c r="E96" s="428" t="s">
        <v>424</v>
      </c>
      <c r="F96" s="39" t="s">
        <v>919</v>
      </c>
      <c r="G96" s="39">
        <v>46097</v>
      </c>
      <c r="H96" s="2"/>
      <c r="I96" s="2" t="s">
        <v>2078</v>
      </c>
      <c r="J96" s="2" t="s">
        <v>620</v>
      </c>
      <c r="K96" s="272"/>
      <c r="M96" s="56"/>
    </row>
    <row r="97" spans="1:13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38" t="s">
        <v>2066</v>
      </c>
      <c r="E97" s="428" t="s">
        <v>424</v>
      </c>
      <c r="F97" s="39" t="s">
        <v>910</v>
      </c>
      <c r="G97" s="39">
        <v>46067</v>
      </c>
      <c r="H97" s="2"/>
      <c r="I97" s="2" t="s">
        <v>2079</v>
      </c>
      <c r="J97" s="2" t="s">
        <v>924</v>
      </c>
      <c r="K97" s="272"/>
      <c r="M97" s="56"/>
    </row>
    <row r="98" spans="1:13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38" t="s">
        <v>2067</v>
      </c>
      <c r="E98" s="428" t="s">
        <v>424</v>
      </c>
      <c r="F98" s="39" t="s">
        <v>910</v>
      </c>
      <c r="G98" s="39">
        <v>46070</v>
      </c>
      <c r="H98" s="2"/>
      <c r="I98" s="2" t="s">
        <v>2079</v>
      </c>
      <c r="J98" s="2" t="s">
        <v>895</v>
      </c>
      <c r="K98" s="272"/>
      <c r="M98" s="56"/>
    </row>
    <row r="99" spans="1:13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 t="s">
        <v>2066</v>
      </c>
      <c r="E99" s="428" t="s">
        <v>424</v>
      </c>
      <c r="F99" s="39" t="s">
        <v>910</v>
      </c>
      <c r="G99" s="39">
        <v>46065</v>
      </c>
      <c r="H99" s="2"/>
      <c r="I99" s="2" t="s">
        <v>2079</v>
      </c>
      <c r="J99" s="2" t="s">
        <v>620</v>
      </c>
      <c r="K99" s="272"/>
      <c r="L99" s="80"/>
      <c r="M99" s="56"/>
    </row>
    <row r="100" spans="1:13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38" t="s">
        <v>2067</v>
      </c>
      <c r="E100" s="428" t="s">
        <v>424</v>
      </c>
      <c r="F100" s="39" t="s">
        <v>911</v>
      </c>
      <c r="G100" s="39">
        <v>46065</v>
      </c>
      <c r="H100" s="2"/>
      <c r="I100" s="2" t="s">
        <v>2079</v>
      </c>
      <c r="J100" s="2" t="s">
        <v>898</v>
      </c>
      <c r="K100" s="272"/>
      <c r="M100" s="56"/>
    </row>
    <row r="101" spans="1:13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 t="s">
        <v>2066</v>
      </c>
      <c r="E101" s="428" t="s">
        <v>424</v>
      </c>
      <c r="F101" s="39" t="s">
        <v>912</v>
      </c>
      <c r="G101" s="39">
        <v>46066</v>
      </c>
      <c r="H101" s="2"/>
      <c r="I101" s="2" t="s">
        <v>2079</v>
      </c>
      <c r="J101" s="2" t="s">
        <v>747</v>
      </c>
      <c r="K101" s="272"/>
      <c r="L101" s="80"/>
      <c r="M101" s="56"/>
    </row>
    <row r="102" spans="1:13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38" t="s">
        <v>2068</v>
      </c>
      <c r="E102" s="428" t="s">
        <v>424</v>
      </c>
      <c r="F102" s="39" t="s">
        <v>912</v>
      </c>
      <c r="G102" s="39">
        <v>46069</v>
      </c>
      <c r="H102" s="2"/>
      <c r="I102" s="2" t="s">
        <v>2079</v>
      </c>
      <c r="J102" s="2" t="s">
        <v>858</v>
      </c>
      <c r="K102" s="272"/>
      <c r="M102" s="56"/>
    </row>
    <row r="103" spans="1:13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38" t="s">
        <v>2066</v>
      </c>
      <c r="E103" s="428" t="s">
        <v>424</v>
      </c>
      <c r="F103" s="39" t="s">
        <v>913</v>
      </c>
      <c r="G103" s="39">
        <v>46070</v>
      </c>
      <c r="H103" s="2"/>
      <c r="I103" s="2" t="s">
        <v>2079</v>
      </c>
      <c r="J103" s="2" t="s">
        <v>620</v>
      </c>
      <c r="K103" s="272"/>
      <c r="M103" s="56"/>
    </row>
    <row r="104" spans="1:13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38" t="s">
        <v>2068</v>
      </c>
      <c r="E104" s="428" t="s">
        <v>424</v>
      </c>
      <c r="F104" s="39" t="s">
        <v>914</v>
      </c>
      <c r="G104" s="39">
        <v>46075</v>
      </c>
      <c r="H104" s="2"/>
      <c r="I104" s="2" t="s">
        <v>2079</v>
      </c>
      <c r="J104" s="2" t="s">
        <v>898</v>
      </c>
      <c r="K104" s="272"/>
      <c r="M104" s="56"/>
    </row>
    <row r="105" spans="1:13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38" t="s">
        <v>2066</v>
      </c>
      <c r="E105" s="428" t="s">
        <v>424</v>
      </c>
      <c r="F105" s="39" t="s">
        <v>915</v>
      </c>
      <c r="G105" s="39">
        <v>46078</v>
      </c>
      <c r="H105" s="2"/>
      <c r="I105" s="2" t="s">
        <v>2079</v>
      </c>
      <c r="J105" s="2" t="s">
        <v>920</v>
      </c>
      <c r="K105" s="272"/>
      <c r="M105" s="56"/>
    </row>
    <row r="106" spans="1:13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38" t="s">
        <v>2066</v>
      </c>
      <c r="E106" s="428" t="s">
        <v>424</v>
      </c>
      <c r="F106" s="39" t="s">
        <v>915</v>
      </c>
      <c r="G106" s="39">
        <v>46080</v>
      </c>
      <c r="H106" s="2"/>
      <c r="I106" s="2" t="s">
        <v>2079</v>
      </c>
      <c r="J106" s="2" t="s">
        <v>747</v>
      </c>
      <c r="K106" s="272"/>
      <c r="M106" s="56"/>
    </row>
    <row r="107" spans="1:13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38" t="s">
        <v>2068</v>
      </c>
      <c r="E107" s="428" t="s">
        <v>424</v>
      </c>
      <c r="F107" s="39" t="s">
        <v>915</v>
      </c>
      <c r="G107" s="39">
        <v>46078</v>
      </c>
      <c r="H107" s="2"/>
      <c r="I107" s="2" t="s">
        <v>2079</v>
      </c>
      <c r="J107" s="2" t="s">
        <v>921</v>
      </c>
      <c r="K107" s="272"/>
      <c r="L107" s="292"/>
      <c r="M107" s="56"/>
    </row>
    <row r="108" spans="1:13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 t="s">
        <v>2066</v>
      </c>
      <c r="E108" s="428" t="s">
        <v>424</v>
      </c>
      <c r="F108" s="39" t="s">
        <v>915</v>
      </c>
      <c r="G108" s="39">
        <v>46081</v>
      </c>
      <c r="H108" s="2"/>
      <c r="I108" s="2" t="s">
        <v>2079</v>
      </c>
      <c r="J108" s="2" t="s">
        <v>922</v>
      </c>
      <c r="K108" s="272"/>
      <c r="L108" s="80"/>
      <c r="M108" s="56"/>
    </row>
    <row r="109" spans="1:13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 t="s">
        <v>2066</v>
      </c>
      <c r="E109" s="428" t="s">
        <v>424</v>
      </c>
      <c r="F109" s="39" t="s">
        <v>916</v>
      </c>
      <c r="G109" s="39">
        <v>46079</v>
      </c>
      <c r="H109" s="2"/>
      <c r="I109" s="2" t="s">
        <v>2079</v>
      </c>
      <c r="J109" s="2" t="s">
        <v>923</v>
      </c>
      <c r="K109" s="272"/>
      <c r="L109" s="80"/>
      <c r="M109" s="56"/>
    </row>
    <row r="110" spans="1:13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 t="s">
        <v>2068</v>
      </c>
      <c r="E110" s="428" t="s">
        <v>424</v>
      </c>
      <c r="F110" s="39" t="s">
        <v>916</v>
      </c>
      <c r="G110" s="39">
        <v>46078</v>
      </c>
      <c r="H110" s="2"/>
      <c r="I110" s="2" t="s">
        <v>2079</v>
      </c>
      <c r="J110" s="2" t="s">
        <v>858</v>
      </c>
      <c r="K110" s="272"/>
      <c r="L110" s="80"/>
      <c r="M110" s="56"/>
    </row>
    <row r="111" spans="1:13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38" t="s">
        <v>2067</v>
      </c>
      <c r="E111" s="428" t="s">
        <v>424</v>
      </c>
      <c r="F111" s="39" t="s">
        <v>918</v>
      </c>
      <c r="G111" s="39">
        <v>46080</v>
      </c>
      <c r="H111" s="2"/>
      <c r="I111" s="2" t="s">
        <v>2079</v>
      </c>
      <c r="J111" s="2" t="s">
        <v>895</v>
      </c>
      <c r="K111" s="272"/>
      <c r="L111" s="292"/>
      <c r="M111" s="56"/>
    </row>
    <row r="112" spans="1:13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 t="s">
        <v>2066</v>
      </c>
      <c r="E112" s="428" t="s">
        <v>424</v>
      </c>
      <c r="F112" s="39" t="s">
        <v>917</v>
      </c>
      <c r="G112" s="39">
        <v>46075</v>
      </c>
      <c r="H112" s="2"/>
      <c r="I112" s="2" t="s">
        <v>2079</v>
      </c>
      <c r="J112" s="2" t="s">
        <v>620</v>
      </c>
      <c r="K112" s="272"/>
      <c r="L112" s="80"/>
      <c r="M112" s="56"/>
    </row>
    <row r="113" spans="1:11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38" t="s">
        <v>2068</v>
      </c>
      <c r="E113" s="428" t="s">
        <v>424</v>
      </c>
      <c r="F113" s="39" t="s">
        <v>905</v>
      </c>
      <c r="G113" s="39">
        <v>46081</v>
      </c>
      <c r="H113" s="2"/>
      <c r="I113" s="2" t="s">
        <v>2079</v>
      </c>
      <c r="J113" s="2" t="s">
        <v>898</v>
      </c>
      <c r="K113" s="272"/>
    </row>
    <row r="114" spans="1:11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38" t="s">
        <v>2066</v>
      </c>
      <c r="E114" s="428" t="s">
        <v>424</v>
      </c>
      <c r="F114" s="39" t="s">
        <v>905</v>
      </c>
      <c r="G114" s="39">
        <v>46080</v>
      </c>
      <c r="H114" s="2"/>
      <c r="I114" s="2" t="s">
        <v>2079</v>
      </c>
      <c r="J114" s="2" t="s">
        <v>924</v>
      </c>
      <c r="K114" s="272"/>
    </row>
    <row r="115" spans="1:11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38" t="s">
        <v>2068</v>
      </c>
      <c r="E115" s="428" t="s">
        <v>424</v>
      </c>
      <c r="F115" s="39" t="s">
        <v>927</v>
      </c>
      <c r="G115" s="39">
        <v>46090</v>
      </c>
      <c r="H115" s="2"/>
      <c r="I115" s="2" t="s">
        <v>2078</v>
      </c>
      <c r="J115" s="2" t="s">
        <v>858</v>
      </c>
      <c r="K115" s="272"/>
    </row>
    <row r="116" spans="1:11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38" t="s">
        <v>2068</v>
      </c>
      <c r="E116" s="428" t="s">
        <v>424</v>
      </c>
      <c r="F116" s="39" t="s">
        <v>926</v>
      </c>
      <c r="G116" s="39">
        <v>46093</v>
      </c>
      <c r="H116" s="2"/>
      <c r="I116" s="2" t="s">
        <v>2078</v>
      </c>
      <c r="J116" s="2" t="s">
        <v>921</v>
      </c>
      <c r="K116" s="272"/>
    </row>
    <row r="117" spans="1:11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38" t="s">
        <v>2066</v>
      </c>
      <c r="E117" s="428" t="s">
        <v>424</v>
      </c>
      <c r="F117" s="39" t="s">
        <v>927</v>
      </c>
      <c r="G117" s="39">
        <v>46090</v>
      </c>
      <c r="H117" s="2"/>
      <c r="I117" s="2" t="s">
        <v>2078</v>
      </c>
      <c r="J117" s="2" t="s">
        <v>923</v>
      </c>
      <c r="K117" s="272"/>
    </row>
    <row r="118" spans="1:11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38" t="s">
        <v>2067</v>
      </c>
      <c r="E118" s="428" t="s">
        <v>424</v>
      </c>
      <c r="F118" s="39" t="s">
        <v>929</v>
      </c>
      <c r="G118" s="39">
        <v>46090</v>
      </c>
      <c r="H118" s="2"/>
      <c r="I118" s="2" t="s">
        <v>2078</v>
      </c>
      <c r="J118" s="2" t="s">
        <v>895</v>
      </c>
      <c r="K118" s="272"/>
    </row>
    <row r="119" spans="1:11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38" t="s">
        <v>2066</v>
      </c>
      <c r="E119" s="428" t="s">
        <v>424</v>
      </c>
      <c r="F119" s="39" t="s">
        <v>929</v>
      </c>
      <c r="G119" s="39">
        <v>46096</v>
      </c>
      <c r="H119" s="2"/>
      <c r="I119" s="2" t="s">
        <v>2078</v>
      </c>
      <c r="J119" s="2" t="s">
        <v>747</v>
      </c>
      <c r="K119" s="272"/>
    </row>
    <row r="120" spans="1:11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38" t="s">
        <v>2068</v>
      </c>
      <c r="E120" s="428" t="s">
        <v>424</v>
      </c>
      <c r="F120" s="39" t="s">
        <v>928</v>
      </c>
      <c r="G120" s="39">
        <v>46091</v>
      </c>
      <c r="H120" s="2"/>
      <c r="I120" s="2" t="s">
        <v>2078</v>
      </c>
      <c r="J120" s="2" t="s">
        <v>898</v>
      </c>
      <c r="K120" s="272"/>
    </row>
    <row r="121" spans="1:11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38" t="s">
        <v>2066</v>
      </c>
      <c r="E121" s="428" t="s">
        <v>424</v>
      </c>
      <c r="F121" s="39" t="s">
        <v>1925</v>
      </c>
      <c r="G121" s="638">
        <v>46114</v>
      </c>
      <c r="H121" s="411"/>
      <c r="I121" s="411" t="s">
        <v>2073</v>
      </c>
      <c r="J121" s="2" t="s">
        <v>922</v>
      </c>
      <c r="K121" s="272"/>
    </row>
    <row r="122" spans="1:11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38" t="s">
        <v>2068</v>
      </c>
      <c r="E122" s="428" t="s">
        <v>424</v>
      </c>
      <c r="F122" s="39" t="s">
        <v>1922</v>
      </c>
      <c r="G122" s="39">
        <v>46098</v>
      </c>
      <c r="H122" s="2"/>
      <c r="I122" s="2" t="s">
        <v>2078</v>
      </c>
      <c r="J122" s="2" t="s">
        <v>858</v>
      </c>
      <c r="K122" s="272"/>
    </row>
    <row r="123" spans="1:11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38" t="s">
        <v>2067</v>
      </c>
      <c r="E123" s="428" t="s">
        <v>424</v>
      </c>
      <c r="F123" s="39" t="s">
        <v>1920</v>
      </c>
      <c r="G123" s="39">
        <v>46096</v>
      </c>
      <c r="H123" s="2"/>
      <c r="I123" s="2" t="s">
        <v>2078</v>
      </c>
      <c r="J123" s="2" t="s">
        <v>895</v>
      </c>
      <c r="K123" s="272"/>
    </row>
    <row r="124" spans="1:11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38" t="s">
        <v>2067</v>
      </c>
      <c r="E124" s="428" t="s">
        <v>424</v>
      </c>
      <c r="F124" s="39" t="s">
        <v>1921</v>
      </c>
      <c r="G124" s="39">
        <v>46097</v>
      </c>
      <c r="H124" s="2"/>
      <c r="I124" s="2" t="s">
        <v>2078</v>
      </c>
      <c r="J124" s="2" t="s">
        <v>923</v>
      </c>
      <c r="K124" s="272"/>
    </row>
    <row r="125" spans="1:11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38" t="s">
        <v>2068</v>
      </c>
      <c r="E125" s="428" t="s">
        <v>424</v>
      </c>
      <c r="F125" s="39" t="s">
        <v>1922</v>
      </c>
      <c r="G125" s="39">
        <v>46097</v>
      </c>
      <c r="H125" s="2"/>
      <c r="I125" s="2" t="s">
        <v>2078</v>
      </c>
      <c r="J125" s="2" t="s">
        <v>898</v>
      </c>
      <c r="K125" s="272"/>
    </row>
    <row r="126" spans="1:11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38" t="s">
        <v>2068</v>
      </c>
      <c r="E126" s="428" t="s">
        <v>424</v>
      </c>
      <c r="F126" s="39" t="s">
        <v>1923</v>
      </c>
      <c r="G126" s="39">
        <v>46111</v>
      </c>
      <c r="H126" s="2"/>
      <c r="I126" s="2" t="s">
        <v>2078</v>
      </c>
      <c r="J126" s="2" t="s">
        <v>921</v>
      </c>
      <c r="K126" s="272"/>
    </row>
    <row r="127" spans="1:11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38" t="s">
        <v>2066</v>
      </c>
      <c r="E127" s="428" t="s">
        <v>424</v>
      </c>
      <c r="F127" s="39" t="s">
        <v>1924</v>
      </c>
      <c r="G127" s="39">
        <v>46104</v>
      </c>
      <c r="H127" s="2"/>
      <c r="I127" s="2" t="s">
        <v>2078</v>
      </c>
      <c r="J127" s="2" t="s">
        <v>747</v>
      </c>
      <c r="K127" s="272"/>
    </row>
    <row r="128" spans="1:11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38" t="s">
        <v>2067</v>
      </c>
      <c r="E128" s="428" t="s">
        <v>424</v>
      </c>
      <c r="F128" s="39" t="s">
        <v>1924</v>
      </c>
      <c r="G128" s="39">
        <v>46102</v>
      </c>
      <c r="H128" s="2"/>
      <c r="I128" s="2" t="s">
        <v>2078</v>
      </c>
      <c r="J128" s="2" t="s">
        <v>895</v>
      </c>
      <c r="K128" s="272"/>
    </row>
    <row r="129" spans="1:13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38" t="s">
        <v>2068</v>
      </c>
      <c r="E129" s="428" t="s">
        <v>424</v>
      </c>
      <c r="F129" s="39" t="s">
        <v>1927</v>
      </c>
      <c r="G129" s="39">
        <v>46104</v>
      </c>
      <c r="H129" s="2"/>
      <c r="I129" s="2" t="s">
        <v>2078</v>
      </c>
      <c r="J129" s="2" t="s">
        <v>898</v>
      </c>
      <c r="K129" s="272"/>
    </row>
    <row r="130" spans="1:13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38" t="s">
        <v>2067</v>
      </c>
      <c r="E130" s="428" t="s">
        <v>424</v>
      </c>
      <c r="F130" s="39" t="s">
        <v>1924</v>
      </c>
      <c r="G130" s="39">
        <v>46101</v>
      </c>
      <c r="H130" s="2"/>
      <c r="I130" s="2" t="s">
        <v>2078</v>
      </c>
      <c r="J130" s="2" t="s">
        <v>923</v>
      </c>
      <c r="K130" s="272"/>
    </row>
    <row r="131" spans="1:13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38" t="s">
        <v>2066</v>
      </c>
      <c r="E131" s="428" t="s">
        <v>424</v>
      </c>
      <c r="F131" s="39" t="s">
        <v>1924</v>
      </c>
      <c r="G131" s="39">
        <v>46102</v>
      </c>
      <c r="H131" s="2"/>
      <c r="I131" s="2" t="s">
        <v>2078</v>
      </c>
      <c r="J131" s="2" t="s">
        <v>620</v>
      </c>
      <c r="K131" s="272"/>
    </row>
    <row r="132" spans="1:13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38" t="s">
        <v>2068</v>
      </c>
      <c r="E132" s="428" t="s">
        <v>424</v>
      </c>
      <c r="F132" s="39" t="s">
        <v>1928</v>
      </c>
      <c r="G132" s="39">
        <v>46104</v>
      </c>
      <c r="H132" s="2"/>
      <c r="I132" s="2" t="s">
        <v>2078</v>
      </c>
      <c r="J132" s="2" t="s">
        <v>858</v>
      </c>
      <c r="K132" s="272"/>
    </row>
    <row r="133" spans="1:13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38" t="s">
        <v>2066</v>
      </c>
      <c r="E133" s="428" t="s">
        <v>424</v>
      </c>
      <c r="F133" s="39" t="s">
        <v>1926</v>
      </c>
      <c r="G133" s="39">
        <v>46112</v>
      </c>
      <c r="H133" s="2"/>
      <c r="I133" s="2" t="s">
        <v>2078</v>
      </c>
      <c r="J133" s="2" t="s">
        <v>923</v>
      </c>
      <c r="K133" s="272"/>
    </row>
    <row r="134" spans="1:13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38" t="s">
        <v>2067</v>
      </c>
      <c r="E134" s="428" t="s">
        <v>424</v>
      </c>
      <c r="F134" s="39" t="s">
        <v>1929</v>
      </c>
      <c r="G134" s="39">
        <v>46110</v>
      </c>
      <c r="H134" s="2"/>
      <c r="I134" s="2" t="s">
        <v>2078</v>
      </c>
      <c r="J134" s="2" t="s">
        <v>895</v>
      </c>
      <c r="K134" s="272"/>
    </row>
    <row r="135" spans="1:13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38" t="s">
        <v>2066</v>
      </c>
      <c r="E135" s="428" t="s">
        <v>424</v>
      </c>
      <c r="F135" s="39" t="s">
        <v>1929</v>
      </c>
      <c r="G135" s="39">
        <v>46110</v>
      </c>
      <c r="H135" s="2"/>
      <c r="I135" s="2" t="s">
        <v>2078</v>
      </c>
      <c r="J135" s="2" t="s">
        <v>620</v>
      </c>
      <c r="K135" s="272"/>
      <c r="M135" s="291"/>
    </row>
    <row r="136" spans="1:13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38" t="s">
        <v>2066</v>
      </c>
      <c r="E136" s="428" t="s">
        <v>424</v>
      </c>
      <c r="F136" s="39" t="s">
        <v>1929</v>
      </c>
      <c r="G136" s="39">
        <v>46109</v>
      </c>
      <c r="H136" s="2"/>
      <c r="I136" s="2" t="s">
        <v>2078</v>
      </c>
      <c r="J136" s="2" t="s">
        <v>1930</v>
      </c>
      <c r="K136" s="272"/>
    </row>
    <row r="137" spans="1:13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38" t="s">
        <v>2067</v>
      </c>
      <c r="E137" s="428" t="s">
        <v>424</v>
      </c>
      <c r="F137" s="39" t="s">
        <v>1933</v>
      </c>
      <c r="G137" s="39">
        <v>46121</v>
      </c>
      <c r="H137" s="39" t="s">
        <v>2078</v>
      </c>
      <c r="I137" s="39" t="s">
        <v>2073</v>
      </c>
      <c r="J137" s="2" t="s">
        <v>1931</v>
      </c>
      <c r="K137" s="272"/>
    </row>
    <row r="138" spans="1:13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38" t="s">
        <v>2066</v>
      </c>
      <c r="E138" s="428" t="s">
        <v>424</v>
      </c>
      <c r="F138" s="39" t="s">
        <v>1934</v>
      </c>
      <c r="G138" s="638">
        <v>46113</v>
      </c>
      <c r="H138" s="411"/>
      <c r="I138" s="411" t="s">
        <v>2073</v>
      </c>
      <c r="J138" s="2" t="s">
        <v>747</v>
      </c>
      <c r="K138" s="272"/>
    </row>
    <row r="139" spans="1:13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38" t="s">
        <v>2068</v>
      </c>
      <c r="E139" s="428" t="s">
        <v>424</v>
      </c>
      <c r="F139" s="39" t="s">
        <v>1955</v>
      </c>
      <c r="G139" s="39">
        <v>46110</v>
      </c>
      <c r="H139" s="2"/>
      <c r="I139" s="2" t="s">
        <v>2078</v>
      </c>
      <c r="J139" s="2" t="s">
        <v>858</v>
      </c>
      <c r="K139" s="272"/>
    </row>
    <row r="140" spans="1:13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38" t="s">
        <v>2068</v>
      </c>
      <c r="E140" s="428" t="s">
        <v>424</v>
      </c>
      <c r="F140" s="39" t="s">
        <v>1934</v>
      </c>
      <c r="G140" s="39">
        <v>46112</v>
      </c>
      <c r="H140" s="2"/>
      <c r="I140" s="2" t="s">
        <v>2078</v>
      </c>
      <c r="J140" s="2" t="s">
        <v>898</v>
      </c>
      <c r="K140" s="272"/>
    </row>
    <row r="141" spans="1:13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38" t="s">
        <v>2066</v>
      </c>
      <c r="E141" s="428" t="s">
        <v>424</v>
      </c>
      <c r="F141" s="39" t="s">
        <v>1934</v>
      </c>
      <c r="G141" s="39">
        <v>46116</v>
      </c>
      <c r="H141" s="2"/>
      <c r="I141" s="411" t="s">
        <v>2073</v>
      </c>
      <c r="J141" s="2" t="s">
        <v>1932</v>
      </c>
      <c r="K141" s="272"/>
    </row>
    <row r="142" spans="1:13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38" t="s">
        <v>2066</v>
      </c>
      <c r="E142" s="428" t="s">
        <v>424</v>
      </c>
      <c r="F142" s="39" t="s">
        <v>1959</v>
      </c>
      <c r="G142" s="39">
        <v>46117</v>
      </c>
      <c r="H142" s="2"/>
      <c r="I142" s="411" t="s">
        <v>2073</v>
      </c>
      <c r="J142" s="2" t="s">
        <v>1930</v>
      </c>
      <c r="K142" s="272"/>
    </row>
    <row r="143" spans="1:13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38" t="s">
        <v>2066</v>
      </c>
      <c r="E143" s="428" t="s">
        <v>424</v>
      </c>
      <c r="F143" s="39" t="s">
        <v>1959</v>
      </c>
      <c r="G143" s="39">
        <v>46114</v>
      </c>
      <c r="H143" s="2"/>
      <c r="I143" s="411" t="s">
        <v>2073</v>
      </c>
      <c r="J143" s="2" t="s">
        <v>620</v>
      </c>
      <c r="K143" s="272"/>
      <c r="M143" s="80"/>
    </row>
    <row r="144" spans="1:13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38" t="s">
        <v>2067</v>
      </c>
      <c r="E144" s="428" t="s">
        <v>424</v>
      </c>
      <c r="F144" s="39" t="s">
        <v>1960</v>
      </c>
      <c r="G144" s="39">
        <v>46116</v>
      </c>
      <c r="H144" s="2"/>
      <c r="I144" s="411" t="s">
        <v>2073</v>
      </c>
      <c r="J144" s="2" t="s">
        <v>895</v>
      </c>
      <c r="K144" s="272"/>
    </row>
    <row r="145" spans="1:13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38" t="s">
        <v>2068</v>
      </c>
      <c r="E145" s="428" t="s">
        <v>424</v>
      </c>
      <c r="F145" s="39" t="s">
        <v>1960</v>
      </c>
      <c r="G145" s="39">
        <v>46116</v>
      </c>
      <c r="H145" s="2"/>
      <c r="I145" s="411" t="s">
        <v>2073</v>
      </c>
      <c r="J145" s="2" t="s">
        <v>858</v>
      </c>
      <c r="K145" s="272"/>
    </row>
    <row r="146" spans="1:13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38" t="s">
        <v>2068</v>
      </c>
      <c r="E146" s="428" t="s">
        <v>424</v>
      </c>
      <c r="F146" s="39" t="s">
        <v>1961</v>
      </c>
      <c r="G146" s="39">
        <v>46119</v>
      </c>
      <c r="H146" s="39" t="s">
        <v>2073</v>
      </c>
      <c r="I146" s="39" t="s">
        <v>2073</v>
      </c>
      <c r="J146" s="2" t="s">
        <v>921</v>
      </c>
      <c r="K146" s="272"/>
      <c r="M146" s="292"/>
    </row>
    <row r="147" spans="1:13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38" t="s">
        <v>2066</v>
      </c>
      <c r="E147" s="428" t="s">
        <v>424</v>
      </c>
      <c r="F147" s="39" t="s">
        <v>1962</v>
      </c>
      <c r="G147" s="39">
        <v>46117</v>
      </c>
      <c r="H147" s="39" t="s">
        <v>2073</v>
      </c>
      <c r="I147" s="411" t="s">
        <v>2073</v>
      </c>
      <c r="J147" s="2" t="s">
        <v>923</v>
      </c>
      <c r="K147" s="272"/>
    </row>
    <row r="148" spans="1:13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38" t="s">
        <v>2068</v>
      </c>
      <c r="E148" s="428" t="s">
        <v>424</v>
      </c>
      <c r="F148" s="39" t="s">
        <v>1962</v>
      </c>
      <c r="G148" s="39">
        <v>46119</v>
      </c>
      <c r="H148" s="39" t="s">
        <v>2073</v>
      </c>
      <c r="I148" s="39" t="s">
        <v>2073</v>
      </c>
      <c r="J148" s="2" t="s">
        <v>898</v>
      </c>
      <c r="K148" s="272"/>
    </row>
    <row r="149" spans="1:13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38" t="s">
        <v>2066</v>
      </c>
      <c r="E149" s="428" t="s">
        <v>424</v>
      </c>
      <c r="F149" s="39" t="s">
        <v>1963</v>
      </c>
      <c r="G149" s="39">
        <v>46121</v>
      </c>
      <c r="H149" s="39" t="s">
        <v>2073</v>
      </c>
      <c r="I149" s="39" t="s">
        <v>2073</v>
      </c>
      <c r="J149" s="2" t="s">
        <v>747</v>
      </c>
      <c r="K149" s="272"/>
    </row>
    <row r="150" spans="1:13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38" t="s">
        <v>2066</v>
      </c>
      <c r="E150" s="428" t="s">
        <v>424</v>
      </c>
      <c r="F150" s="39" t="s">
        <v>1963</v>
      </c>
      <c r="G150" s="39">
        <v>46118</v>
      </c>
      <c r="H150" s="39" t="s">
        <v>2073</v>
      </c>
      <c r="I150" s="411" t="s">
        <v>2073</v>
      </c>
      <c r="J150" s="2" t="s">
        <v>620</v>
      </c>
      <c r="K150" s="272"/>
    </row>
    <row r="151" spans="1:13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38" t="s">
        <v>2066</v>
      </c>
      <c r="E151" s="428" t="s">
        <v>424</v>
      </c>
      <c r="F151" s="39" t="s">
        <v>1963</v>
      </c>
      <c r="G151" s="39">
        <v>46122</v>
      </c>
      <c r="H151" s="39" t="s">
        <v>2073</v>
      </c>
      <c r="I151" s="39" t="s">
        <v>2073</v>
      </c>
      <c r="J151" s="2" t="s">
        <v>922</v>
      </c>
      <c r="K151" s="272"/>
    </row>
    <row r="152" spans="1:13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38" t="s">
        <v>2066</v>
      </c>
      <c r="E152" s="428" t="s">
        <v>424</v>
      </c>
      <c r="F152" s="39" t="s">
        <v>1964</v>
      </c>
      <c r="G152" s="39">
        <v>46125</v>
      </c>
      <c r="H152" s="39" t="s">
        <v>2073</v>
      </c>
      <c r="I152" s="39" t="s">
        <v>2073</v>
      </c>
      <c r="J152" s="2" t="s">
        <v>1932</v>
      </c>
      <c r="K152" s="272"/>
    </row>
    <row r="153" spans="1:13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38" t="s">
        <v>2067</v>
      </c>
      <c r="E153" s="428" t="s">
        <v>424</v>
      </c>
      <c r="F153" s="39" t="s">
        <v>1964</v>
      </c>
      <c r="G153" s="39">
        <v>46121</v>
      </c>
      <c r="H153" s="39" t="s">
        <v>2073</v>
      </c>
      <c r="I153" s="39" t="s">
        <v>2073</v>
      </c>
      <c r="J153" s="2" t="s">
        <v>895</v>
      </c>
      <c r="K153" s="272"/>
    </row>
    <row r="154" spans="1:13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38" t="s">
        <v>2068</v>
      </c>
      <c r="E154" s="428" t="s">
        <v>424</v>
      </c>
      <c r="F154" s="39" t="s">
        <v>1964</v>
      </c>
      <c r="G154" s="39">
        <v>46127</v>
      </c>
      <c r="H154" s="39" t="s">
        <v>2073</v>
      </c>
      <c r="I154" s="39" t="s">
        <v>2073</v>
      </c>
      <c r="J154" s="2" t="s">
        <v>858</v>
      </c>
      <c r="K154" s="272"/>
      <c r="M154" s="80"/>
    </row>
    <row r="155" spans="1:13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38" t="s">
        <v>2066</v>
      </c>
      <c r="E155" s="429" t="s">
        <v>476</v>
      </c>
      <c r="F155" s="39" t="s">
        <v>1964</v>
      </c>
      <c r="G155" s="39">
        <v>46128</v>
      </c>
      <c r="H155" s="39" t="s">
        <v>2073</v>
      </c>
      <c r="I155" s="39" t="s">
        <v>2073</v>
      </c>
      <c r="J155" s="2" t="s">
        <v>1930</v>
      </c>
      <c r="K155" s="272"/>
    </row>
    <row r="156" spans="1:13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38" t="s">
        <v>2066</v>
      </c>
      <c r="E156" s="428" t="s">
        <v>424</v>
      </c>
      <c r="F156" s="39" t="s">
        <v>1964</v>
      </c>
      <c r="G156" s="39">
        <v>46121</v>
      </c>
      <c r="H156" s="39" t="s">
        <v>2073</v>
      </c>
      <c r="I156" s="39" t="s">
        <v>2073</v>
      </c>
      <c r="J156" s="2" t="s">
        <v>923</v>
      </c>
      <c r="K156" s="272"/>
    </row>
    <row r="157" spans="1:13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38" t="s">
        <v>2066</v>
      </c>
      <c r="E157" s="428" t="s">
        <v>424</v>
      </c>
      <c r="F157" s="39">
        <v>46120</v>
      </c>
      <c r="G157" s="39">
        <v>46123</v>
      </c>
      <c r="H157" s="39" t="s">
        <v>2073</v>
      </c>
      <c r="I157" s="39" t="s">
        <v>2073</v>
      </c>
      <c r="J157" s="2" t="s">
        <v>620</v>
      </c>
      <c r="K157" s="272"/>
    </row>
    <row r="158" spans="1:13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38" t="s">
        <v>2068</v>
      </c>
      <c r="E158" s="428" t="s">
        <v>424</v>
      </c>
      <c r="F158" s="39">
        <v>46121</v>
      </c>
      <c r="G158" s="39">
        <v>46126</v>
      </c>
      <c r="H158" s="39" t="s">
        <v>2073</v>
      </c>
      <c r="I158" s="39" t="s">
        <v>2073</v>
      </c>
      <c r="J158" s="2" t="s">
        <v>921</v>
      </c>
      <c r="K158" s="272"/>
    </row>
    <row r="159" spans="1:13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38" t="s">
        <v>2066</v>
      </c>
      <c r="E159" s="428" t="s">
        <v>424</v>
      </c>
      <c r="F159" s="39">
        <v>46120</v>
      </c>
      <c r="G159" s="39">
        <v>46141</v>
      </c>
      <c r="H159" s="39" t="s">
        <v>2073</v>
      </c>
      <c r="I159" s="39" t="s">
        <v>2073</v>
      </c>
      <c r="J159" s="2" t="s">
        <v>1965</v>
      </c>
      <c r="K159" s="272"/>
    </row>
    <row r="160" spans="1:13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38" t="s">
        <v>2066</v>
      </c>
      <c r="E160" s="428" t="s">
        <v>424</v>
      </c>
      <c r="F160" s="39">
        <v>46123</v>
      </c>
      <c r="G160" s="39">
        <v>46126</v>
      </c>
      <c r="H160" s="39" t="s">
        <v>2073</v>
      </c>
      <c r="I160" s="39" t="s">
        <v>2073</v>
      </c>
      <c r="J160" s="2" t="s">
        <v>747</v>
      </c>
      <c r="K160" s="272"/>
    </row>
    <row r="161" spans="1:11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38" t="s">
        <v>2067</v>
      </c>
      <c r="E161" s="428" t="s">
        <v>424</v>
      </c>
      <c r="F161" s="39">
        <v>46124</v>
      </c>
      <c r="G161" s="39">
        <v>46133</v>
      </c>
      <c r="H161" s="39" t="s">
        <v>2073</v>
      </c>
      <c r="I161" s="39" t="s">
        <v>2073</v>
      </c>
      <c r="J161" s="2" t="s">
        <v>1931</v>
      </c>
      <c r="K161" s="272"/>
    </row>
    <row r="162" spans="1:11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38" t="s">
        <v>2066</v>
      </c>
      <c r="E162" s="428" t="s">
        <v>424</v>
      </c>
      <c r="F162" s="39">
        <v>46122</v>
      </c>
      <c r="G162" s="39">
        <v>46125</v>
      </c>
      <c r="H162" s="39" t="s">
        <v>2073</v>
      </c>
      <c r="I162" s="39" t="s">
        <v>2073</v>
      </c>
      <c r="J162" s="2" t="s">
        <v>923</v>
      </c>
      <c r="K162" s="272"/>
    </row>
    <row r="163" spans="1:11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38" t="s">
        <v>2067</v>
      </c>
      <c r="E163" s="428" t="s">
        <v>424</v>
      </c>
      <c r="F163" s="39">
        <v>46122</v>
      </c>
      <c r="G163" s="39">
        <v>46127</v>
      </c>
      <c r="H163" s="39" t="s">
        <v>2073</v>
      </c>
      <c r="I163" s="39" t="s">
        <v>2073</v>
      </c>
      <c r="J163" s="2" t="s">
        <v>895</v>
      </c>
      <c r="K163" s="272"/>
    </row>
    <row r="164" spans="1:11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38" t="s">
        <v>2066</v>
      </c>
      <c r="E164" s="428" t="s">
        <v>424</v>
      </c>
      <c r="F164" s="39">
        <v>46124</v>
      </c>
      <c r="G164" s="39">
        <v>46130</v>
      </c>
      <c r="H164" s="39" t="s">
        <v>2073</v>
      </c>
      <c r="I164" s="39" t="s">
        <v>2073</v>
      </c>
      <c r="J164" s="2" t="s">
        <v>922</v>
      </c>
      <c r="K164" s="272"/>
    </row>
    <row r="165" spans="1:11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38" t="s">
        <v>2066</v>
      </c>
      <c r="E165" s="428" t="s">
        <v>424</v>
      </c>
      <c r="F165" s="39">
        <v>46125</v>
      </c>
      <c r="G165" s="39">
        <v>46133</v>
      </c>
      <c r="H165" s="39" t="s">
        <v>2073</v>
      </c>
      <c r="I165" s="39" t="s">
        <v>2073</v>
      </c>
      <c r="J165" s="2" t="s">
        <v>1932</v>
      </c>
      <c r="K165" s="272"/>
    </row>
    <row r="166" spans="1:11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38" t="s">
        <v>2066</v>
      </c>
      <c r="E166" s="428" t="s">
        <v>424</v>
      </c>
      <c r="F166" s="39">
        <v>46125</v>
      </c>
      <c r="G166" s="39">
        <v>46128</v>
      </c>
      <c r="H166" s="39" t="s">
        <v>2073</v>
      </c>
      <c r="I166" s="39" t="s">
        <v>2073</v>
      </c>
      <c r="J166" s="2" t="s">
        <v>923</v>
      </c>
      <c r="K166" s="272"/>
    </row>
    <row r="167" spans="1:11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38" t="s">
        <v>2066</v>
      </c>
      <c r="E167" s="428" t="s">
        <v>424</v>
      </c>
      <c r="F167" s="39">
        <v>46128</v>
      </c>
      <c r="G167" s="39">
        <v>46141</v>
      </c>
      <c r="H167" s="39" t="s">
        <v>2073</v>
      </c>
      <c r="I167" s="39" t="s">
        <v>2073</v>
      </c>
      <c r="J167" s="2" t="s">
        <v>2059</v>
      </c>
      <c r="K167" s="272"/>
    </row>
    <row r="168" spans="1:11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38" t="s">
        <v>2068</v>
      </c>
      <c r="E168" s="428" t="s">
        <v>424</v>
      </c>
      <c r="F168" s="39">
        <v>46126</v>
      </c>
      <c r="G168" s="39">
        <v>46135</v>
      </c>
      <c r="H168" s="39" t="s">
        <v>2073</v>
      </c>
      <c r="I168" s="39" t="s">
        <v>2073</v>
      </c>
      <c r="J168" s="2" t="s">
        <v>2060</v>
      </c>
      <c r="K168" s="272"/>
    </row>
    <row r="169" spans="1:11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38" t="s">
        <v>2066</v>
      </c>
      <c r="E169" s="428" t="s">
        <v>424</v>
      </c>
      <c r="F169" s="39">
        <v>46124</v>
      </c>
      <c r="G169" s="39">
        <v>46130</v>
      </c>
      <c r="H169" s="39" t="s">
        <v>2073</v>
      </c>
      <c r="I169" s="39" t="s">
        <v>2073</v>
      </c>
      <c r="J169" s="2" t="s">
        <v>620</v>
      </c>
      <c r="K169" s="272"/>
    </row>
    <row r="170" spans="1:11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38" t="s">
        <v>2067</v>
      </c>
      <c r="E170" s="428" t="s">
        <v>424</v>
      </c>
      <c r="F170" s="39">
        <v>46128</v>
      </c>
      <c r="G170" s="39">
        <v>46134</v>
      </c>
      <c r="H170" s="39" t="s">
        <v>2073</v>
      </c>
      <c r="I170" s="39" t="s">
        <v>2073</v>
      </c>
      <c r="J170" s="2" t="s">
        <v>895</v>
      </c>
      <c r="K170" s="272"/>
    </row>
    <row r="171" spans="1:11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38" t="s">
        <v>2068</v>
      </c>
      <c r="E171" s="428" t="s">
        <v>424</v>
      </c>
      <c r="F171" s="39">
        <v>46129</v>
      </c>
      <c r="G171" s="39">
        <v>46134</v>
      </c>
      <c r="H171" s="39" t="s">
        <v>2073</v>
      </c>
      <c r="I171" s="39" t="s">
        <v>2073</v>
      </c>
      <c r="J171" s="2" t="s">
        <v>858</v>
      </c>
      <c r="K171" s="272"/>
    </row>
    <row r="172" spans="1:11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38" t="s">
        <v>2066</v>
      </c>
      <c r="E172" s="428" t="s">
        <v>424</v>
      </c>
      <c r="F172" s="39">
        <v>46130</v>
      </c>
      <c r="G172" s="39">
        <v>46133</v>
      </c>
      <c r="H172" s="39" t="s">
        <v>2073</v>
      </c>
      <c r="I172" s="39" t="s">
        <v>2073</v>
      </c>
      <c r="J172" s="2" t="s">
        <v>923</v>
      </c>
      <c r="K172" s="272"/>
    </row>
    <row r="173" spans="1:11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63" t="s">
        <v>2066</v>
      </c>
      <c r="E173" s="428" t="s">
        <v>424</v>
      </c>
      <c r="F173" s="39">
        <v>46131</v>
      </c>
      <c r="G173" s="39">
        <v>46134</v>
      </c>
      <c r="H173" s="39" t="s">
        <v>2073</v>
      </c>
      <c r="I173" s="39" t="s">
        <v>2073</v>
      </c>
      <c r="J173" s="2" t="s">
        <v>620</v>
      </c>
      <c r="K173" s="272"/>
    </row>
    <row r="174" spans="1:11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63" t="s">
        <v>2066</v>
      </c>
      <c r="E174" s="428" t="s">
        <v>424</v>
      </c>
      <c r="F174" s="39">
        <v>46131</v>
      </c>
      <c r="G174" s="39">
        <v>46140</v>
      </c>
      <c r="H174" s="39" t="s">
        <v>2073</v>
      </c>
      <c r="I174" s="39" t="s">
        <v>2073</v>
      </c>
      <c r="J174" s="2" t="s">
        <v>922</v>
      </c>
      <c r="K174" s="272"/>
    </row>
    <row r="175" spans="1:11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 t="s">
        <v>2067</v>
      </c>
      <c r="E175" s="428" t="s">
        <v>424</v>
      </c>
      <c r="F175" s="39">
        <v>46133</v>
      </c>
      <c r="G175" s="39">
        <v>46138</v>
      </c>
      <c r="H175" s="39" t="s">
        <v>2073</v>
      </c>
      <c r="I175" s="2" t="s">
        <v>2073</v>
      </c>
      <c r="J175" s="2" t="s">
        <v>2087</v>
      </c>
      <c r="K175" s="272"/>
    </row>
    <row r="176" spans="1:11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38" t="s">
        <v>2066</v>
      </c>
      <c r="E176" s="428" t="s">
        <v>424</v>
      </c>
      <c r="F176" s="39">
        <v>46134</v>
      </c>
      <c r="G176" s="39">
        <v>46142</v>
      </c>
      <c r="H176" s="39" t="s">
        <v>2073</v>
      </c>
      <c r="I176" s="2" t="s">
        <v>2073</v>
      </c>
      <c r="J176" s="2" t="s">
        <v>1932</v>
      </c>
      <c r="K176" s="272"/>
    </row>
    <row r="177" spans="1:11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63" t="s">
        <v>2066</v>
      </c>
      <c r="E177" s="428" t="s">
        <v>424</v>
      </c>
      <c r="F177" s="39">
        <v>46134</v>
      </c>
      <c r="G177" s="39">
        <v>46137</v>
      </c>
      <c r="H177" s="39" t="s">
        <v>2073</v>
      </c>
      <c r="I177" s="39" t="s">
        <v>2073</v>
      </c>
      <c r="J177" s="2" t="s">
        <v>923</v>
      </c>
      <c r="K177" s="272"/>
    </row>
    <row r="178" spans="1:11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2067</v>
      </c>
      <c r="E178" s="428" t="s">
        <v>424</v>
      </c>
      <c r="F178" s="39">
        <v>46134</v>
      </c>
      <c r="G178" s="39">
        <v>46163</v>
      </c>
      <c r="H178" s="39" t="s">
        <v>2073</v>
      </c>
      <c r="I178" s="2" t="s">
        <v>2091</v>
      </c>
      <c r="J178" s="2" t="s">
        <v>1931</v>
      </c>
      <c r="K178" s="272"/>
    </row>
    <row r="179" spans="1:11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63" t="s">
        <v>2066</v>
      </c>
      <c r="E179" s="428" t="s">
        <v>424</v>
      </c>
      <c r="F179" s="39">
        <v>46135</v>
      </c>
      <c r="G179" s="39">
        <v>46138</v>
      </c>
      <c r="H179" s="39" t="s">
        <v>2073</v>
      </c>
      <c r="I179" s="39" t="s">
        <v>2073</v>
      </c>
      <c r="J179" s="2" t="s">
        <v>620</v>
      </c>
      <c r="K179" s="272"/>
    </row>
    <row r="180" spans="1:11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 t="s">
        <v>2067</v>
      </c>
      <c r="E180" s="428" t="s">
        <v>424</v>
      </c>
      <c r="F180" s="39">
        <v>46135</v>
      </c>
      <c r="G180" s="39">
        <v>46140</v>
      </c>
      <c r="H180" s="2" t="s">
        <v>2073</v>
      </c>
      <c r="I180" s="2" t="s">
        <v>2073</v>
      </c>
      <c r="J180" s="2" t="s">
        <v>895</v>
      </c>
      <c r="K180" s="272"/>
    </row>
    <row r="181" spans="1:11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38" t="s">
        <v>2068</v>
      </c>
      <c r="E181" s="428" t="s">
        <v>424</v>
      </c>
      <c r="F181" s="39">
        <v>46135</v>
      </c>
      <c r="G181" s="39">
        <v>46140</v>
      </c>
      <c r="H181" s="2" t="s">
        <v>2073</v>
      </c>
      <c r="I181" s="2" t="s">
        <v>2073</v>
      </c>
      <c r="J181" s="2" t="s">
        <v>858</v>
      </c>
      <c r="K181" s="272"/>
    </row>
    <row r="182" spans="1:11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63" t="s">
        <v>2066</v>
      </c>
      <c r="E182" s="428" t="s">
        <v>424</v>
      </c>
      <c r="F182" s="39">
        <v>46138</v>
      </c>
      <c r="G182" s="39">
        <v>46140</v>
      </c>
      <c r="H182" s="2" t="s">
        <v>2073</v>
      </c>
      <c r="I182" s="2" t="s">
        <v>2073</v>
      </c>
      <c r="J182" s="2" t="s">
        <v>923</v>
      </c>
      <c r="K182" s="272"/>
    </row>
    <row r="183" spans="1:11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38" t="s">
        <v>2068</v>
      </c>
      <c r="E183" s="428" t="s">
        <v>424</v>
      </c>
      <c r="F183" s="39">
        <v>46138</v>
      </c>
      <c r="G183" s="39">
        <v>46142</v>
      </c>
      <c r="H183" s="2" t="s">
        <v>2073</v>
      </c>
      <c r="I183" s="2" t="s">
        <v>2073</v>
      </c>
      <c r="J183" s="2" t="s">
        <v>921</v>
      </c>
      <c r="K183" s="272"/>
    </row>
    <row r="184" spans="1:11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63" t="s">
        <v>2066</v>
      </c>
      <c r="E184" s="428" t="s">
        <v>424</v>
      </c>
      <c r="F184" s="39">
        <v>46139</v>
      </c>
      <c r="G184" s="39">
        <v>46144</v>
      </c>
      <c r="H184" s="2" t="s">
        <v>2073</v>
      </c>
      <c r="I184" s="2" t="s">
        <v>2091</v>
      </c>
      <c r="J184" s="2" t="s">
        <v>620</v>
      </c>
      <c r="K184" s="272"/>
    </row>
    <row r="185" spans="1:11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63" t="s">
        <v>2066</v>
      </c>
      <c r="E185" s="428" t="s">
        <v>424</v>
      </c>
      <c r="F185" s="39">
        <v>46142</v>
      </c>
      <c r="G185" s="39">
        <v>46156</v>
      </c>
      <c r="H185" s="2" t="s">
        <v>2073</v>
      </c>
      <c r="I185" s="2" t="s">
        <v>2091</v>
      </c>
      <c r="J185" s="2" t="s">
        <v>2059</v>
      </c>
    </row>
    <row r="186" spans="1:11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63" t="s">
        <v>2066</v>
      </c>
      <c r="E186" s="428" t="s">
        <v>424</v>
      </c>
      <c r="F186" s="39">
        <v>46142</v>
      </c>
      <c r="G186" s="39">
        <v>46154</v>
      </c>
      <c r="H186" s="2" t="s">
        <v>2073</v>
      </c>
      <c r="I186" s="2" t="s">
        <v>2091</v>
      </c>
      <c r="J186" s="2" t="s">
        <v>922</v>
      </c>
    </row>
    <row r="187" spans="1:11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63" t="s">
        <v>2066</v>
      </c>
      <c r="E187" s="428" t="s">
        <v>424</v>
      </c>
      <c r="F187" s="39">
        <v>46141</v>
      </c>
      <c r="G187" s="39">
        <v>46144</v>
      </c>
      <c r="H187" s="2" t="s">
        <v>2073</v>
      </c>
      <c r="I187" s="2" t="s">
        <v>2091</v>
      </c>
      <c r="J187" s="2" t="s">
        <v>923</v>
      </c>
    </row>
    <row r="188" spans="1:11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63" t="s">
        <v>2066</v>
      </c>
      <c r="E188" s="428" t="s">
        <v>424</v>
      </c>
      <c r="F188" s="39">
        <v>46142</v>
      </c>
      <c r="G188" s="39">
        <v>46153</v>
      </c>
      <c r="H188" s="2" t="s">
        <v>2073</v>
      </c>
      <c r="I188" s="2" t="s">
        <v>2091</v>
      </c>
      <c r="J188" s="2" t="s">
        <v>1965</v>
      </c>
    </row>
    <row r="189" spans="1:11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2067</v>
      </c>
      <c r="E189" s="428" t="s">
        <v>424</v>
      </c>
      <c r="F189" s="39">
        <v>46141</v>
      </c>
      <c r="G189" s="39">
        <v>46150</v>
      </c>
      <c r="H189" s="2" t="s">
        <v>2073</v>
      </c>
      <c r="I189" s="2" t="s">
        <v>2091</v>
      </c>
      <c r="J189" s="2" t="s">
        <v>895</v>
      </c>
    </row>
    <row r="190" spans="1:11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38" t="s">
        <v>2068</v>
      </c>
      <c r="E190" s="428" t="s">
        <v>424</v>
      </c>
      <c r="F190" s="39">
        <v>46142</v>
      </c>
      <c r="G190" s="39">
        <v>46148</v>
      </c>
      <c r="H190" s="2" t="s">
        <v>2073</v>
      </c>
      <c r="I190" s="2" t="s">
        <v>2091</v>
      </c>
      <c r="J190" s="2" t="s">
        <v>858</v>
      </c>
    </row>
    <row r="191" spans="1:11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63" t="s">
        <v>2066</v>
      </c>
      <c r="E191" s="428" t="s">
        <v>424</v>
      </c>
      <c r="F191" s="39">
        <v>46142</v>
      </c>
      <c r="G191" s="39">
        <v>46154</v>
      </c>
      <c r="H191" s="2" t="s">
        <v>2073</v>
      </c>
      <c r="I191" s="2" t="s">
        <v>2091</v>
      </c>
      <c r="J191" s="2" t="s">
        <v>1932</v>
      </c>
    </row>
    <row r="192" spans="1:11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63" t="s">
        <v>2066</v>
      </c>
      <c r="E192" s="428" t="s">
        <v>424</v>
      </c>
      <c r="F192" s="39">
        <v>46145</v>
      </c>
      <c r="G192" s="39">
        <v>46148</v>
      </c>
      <c r="H192" s="2" t="s">
        <v>2091</v>
      </c>
      <c r="I192" s="2" t="s">
        <v>2091</v>
      </c>
      <c r="J192" s="2" t="s">
        <v>923</v>
      </c>
    </row>
    <row r="193" spans="1:10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38" t="s">
        <v>2068</v>
      </c>
      <c r="E193" s="428" t="s">
        <v>424</v>
      </c>
      <c r="F193" s="39">
        <v>46145</v>
      </c>
      <c r="G193" s="39">
        <v>46159</v>
      </c>
      <c r="H193" s="38" t="s">
        <v>2091</v>
      </c>
      <c r="I193" s="38" t="s">
        <v>2091</v>
      </c>
      <c r="J193" s="2" t="s">
        <v>921</v>
      </c>
    </row>
    <row r="194" spans="1:10" x14ac:dyDescent="0.35">
      <c r="A194" s="2">
        <v>193</v>
      </c>
      <c r="B194" s="2" t="s">
        <v>124</v>
      </c>
      <c r="C194" s="2" t="s">
        <v>23</v>
      </c>
      <c r="D194" s="263" t="s">
        <v>2066</v>
      </c>
      <c r="E194" s="428" t="s">
        <v>424</v>
      </c>
      <c r="F194" s="39">
        <v>46146</v>
      </c>
      <c r="G194" s="39">
        <v>46149</v>
      </c>
      <c r="H194" s="38" t="s">
        <v>2091</v>
      </c>
      <c r="I194" s="2" t="s">
        <v>2091</v>
      </c>
      <c r="J194" s="2" t="s">
        <v>620</v>
      </c>
    </row>
    <row r="195" spans="1:10" x14ac:dyDescent="0.35">
      <c r="A195" s="2">
        <v>194</v>
      </c>
      <c r="B195" s="2" t="s">
        <v>205</v>
      </c>
      <c r="C195" s="2" t="s">
        <v>31</v>
      </c>
      <c r="D195" s="263" t="s">
        <v>2066</v>
      </c>
      <c r="E195" s="428" t="s">
        <v>424</v>
      </c>
      <c r="F195" s="39">
        <v>46149</v>
      </c>
      <c r="G195" s="39">
        <v>46153</v>
      </c>
      <c r="H195" s="2" t="s">
        <v>2091</v>
      </c>
      <c r="I195" s="2" t="s">
        <v>2091</v>
      </c>
      <c r="J195" s="2" t="s">
        <v>923</v>
      </c>
    </row>
    <row r="196" spans="1:10" x14ac:dyDescent="0.35">
      <c r="A196" s="2">
        <v>195</v>
      </c>
      <c r="B196" s="2" t="s">
        <v>344</v>
      </c>
      <c r="C196" s="2" t="s">
        <v>23</v>
      </c>
      <c r="D196" s="38" t="s">
        <v>2068</v>
      </c>
      <c r="E196" s="428" t="s">
        <v>424</v>
      </c>
      <c r="F196" s="39">
        <v>46149</v>
      </c>
      <c r="G196" s="39">
        <v>46156</v>
      </c>
      <c r="H196" s="2" t="s">
        <v>2091</v>
      </c>
      <c r="I196" s="2" t="s">
        <v>2091</v>
      </c>
      <c r="J196" s="2" t="s">
        <v>858</v>
      </c>
    </row>
    <row r="197" spans="1:10" x14ac:dyDescent="0.35">
      <c r="A197" s="2">
        <v>196</v>
      </c>
      <c r="B197" s="2" t="s">
        <v>125</v>
      </c>
      <c r="C197" s="2" t="s">
        <v>31</v>
      </c>
      <c r="D197" s="263" t="s">
        <v>2066</v>
      </c>
      <c r="E197" s="428" t="s">
        <v>424</v>
      </c>
      <c r="F197" s="39">
        <v>46150</v>
      </c>
      <c r="G197" s="39">
        <v>46153</v>
      </c>
      <c r="H197" s="2" t="s">
        <v>2091</v>
      </c>
      <c r="I197" s="2" t="s">
        <v>2091</v>
      </c>
      <c r="J197" s="2" t="s">
        <v>620</v>
      </c>
    </row>
    <row r="198" spans="1:10" x14ac:dyDescent="0.35">
      <c r="A198" s="2">
        <v>197</v>
      </c>
      <c r="B198" s="2" t="s">
        <v>254</v>
      </c>
      <c r="C198" s="2" t="s">
        <v>23</v>
      </c>
      <c r="D198" s="2" t="s">
        <v>2067</v>
      </c>
      <c r="E198" s="428" t="s">
        <v>424</v>
      </c>
      <c r="F198" s="39">
        <v>46151</v>
      </c>
      <c r="G198" s="39">
        <v>46158</v>
      </c>
      <c r="H198" s="2" t="s">
        <v>2091</v>
      </c>
      <c r="I198" s="2" t="s">
        <v>2091</v>
      </c>
      <c r="J198" s="2" t="s">
        <v>895</v>
      </c>
    </row>
    <row r="199" spans="1:10" x14ac:dyDescent="0.35">
      <c r="A199" s="2">
        <v>198</v>
      </c>
      <c r="B199" s="38" t="s">
        <v>136</v>
      </c>
      <c r="C199" s="38" t="s">
        <v>16</v>
      </c>
      <c r="D199" s="263" t="s">
        <v>2066</v>
      </c>
      <c r="E199" s="428" t="s">
        <v>424</v>
      </c>
      <c r="F199" s="39">
        <v>46154</v>
      </c>
      <c r="G199" s="39">
        <v>46158</v>
      </c>
      <c r="H199" s="2" t="s">
        <v>2091</v>
      </c>
      <c r="I199" s="2" t="s">
        <v>2091</v>
      </c>
      <c r="J199" s="2" t="s">
        <v>620</v>
      </c>
    </row>
    <row r="200" spans="1:10" x14ac:dyDescent="0.35">
      <c r="A200" s="2">
        <v>199</v>
      </c>
      <c r="B200" s="2" t="s">
        <v>212</v>
      </c>
      <c r="C200" s="38" t="s">
        <v>31</v>
      </c>
      <c r="D200" s="2" t="s">
        <v>2067</v>
      </c>
      <c r="E200" s="428" t="s">
        <v>424</v>
      </c>
      <c r="F200" s="39">
        <v>46154</v>
      </c>
      <c r="G200" s="39">
        <v>46158</v>
      </c>
      <c r="H200" s="2" t="s">
        <v>2091</v>
      </c>
      <c r="I200" s="2" t="s">
        <v>2091</v>
      </c>
      <c r="J200" s="2" t="s">
        <v>923</v>
      </c>
    </row>
    <row r="201" spans="1:10" x14ac:dyDescent="0.35">
      <c r="A201" s="2">
        <v>200</v>
      </c>
      <c r="B201" s="36" t="s">
        <v>184</v>
      </c>
      <c r="C201" s="286" t="s">
        <v>23</v>
      </c>
      <c r="D201" s="263" t="s">
        <v>2066</v>
      </c>
      <c r="E201" s="428" t="s">
        <v>424</v>
      </c>
      <c r="F201" s="39">
        <v>46157</v>
      </c>
      <c r="G201" s="39">
        <v>46160</v>
      </c>
      <c r="H201" s="2" t="s">
        <v>2091</v>
      </c>
      <c r="I201" s="2" t="s">
        <v>2091</v>
      </c>
      <c r="J201" s="2" t="s">
        <v>922</v>
      </c>
    </row>
    <row r="202" spans="1:10" x14ac:dyDescent="0.35">
      <c r="A202" s="2">
        <v>201</v>
      </c>
      <c r="B202" s="2" t="s">
        <v>161</v>
      </c>
      <c r="C202" s="286" t="s">
        <v>162</v>
      </c>
      <c r="D202" s="263" t="s">
        <v>2066</v>
      </c>
      <c r="E202" s="428" t="s">
        <v>424</v>
      </c>
      <c r="F202" s="39">
        <v>46158</v>
      </c>
      <c r="G202" s="39">
        <v>46166</v>
      </c>
      <c r="H202" s="2" t="s">
        <v>2091</v>
      </c>
      <c r="I202" s="2" t="s">
        <v>2091</v>
      </c>
      <c r="J202" s="2" t="s">
        <v>2059</v>
      </c>
    </row>
    <row r="203" spans="1:10" x14ac:dyDescent="0.35">
      <c r="A203" s="2">
        <v>202</v>
      </c>
      <c r="B203" s="2" t="s">
        <v>343</v>
      </c>
      <c r="C203" s="286" t="s">
        <v>23</v>
      </c>
      <c r="D203" s="38" t="s">
        <v>2068</v>
      </c>
      <c r="E203" s="428" t="s">
        <v>424</v>
      </c>
      <c r="F203" s="39">
        <v>46157</v>
      </c>
      <c r="G203" s="39">
        <v>46162</v>
      </c>
      <c r="H203" s="2" t="s">
        <v>2091</v>
      </c>
      <c r="I203" s="2" t="s">
        <v>2091</v>
      </c>
      <c r="J203" s="2" t="s">
        <v>858</v>
      </c>
    </row>
    <row r="204" spans="1:10" x14ac:dyDescent="0.35">
      <c r="A204" s="2">
        <v>203</v>
      </c>
      <c r="B204" s="40" t="s">
        <v>131</v>
      </c>
      <c r="C204" s="286" t="s">
        <v>33</v>
      </c>
      <c r="D204" s="263" t="s">
        <v>2066</v>
      </c>
      <c r="E204" s="428" t="s">
        <v>424</v>
      </c>
      <c r="F204" s="39">
        <v>46160</v>
      </c>
      <c r="G204" s="39">
        <v>46164</v>
      </c>
      <c r="H204" s="2" t="s">
        <v>2091</v>
      </c>
      <c r="I204" s="2" t="s">
        <v>2091</v>
      </c>
      <c r="J204" s="2" t="s">
        <v>620</v>
      </c>
    </row>
    <row r="205" spans="1:10" x14ac:dyDescent="0.35">
      <c r="A205" s="2">
        <v>204</v>
      </c>
      <c r="B205" s="2" t="s">
        <v>268</v>
      </c>
      <c r="C205" s="286" t="s">
        <v>31</v>
      </c>
      <c r="D205" s="38" t="s">
        <v>2068</v>
      </c>
      <c r="E205" s="428" t="s">
        <v>424</v>
      </c>
      <c r="F205" s="39">
        <v>46160</v>
      </c>
      <c r="G205" s="39">
        <v>46163</v>
      </c>
      <c r="H205" s="2" t="s">
        <v>2091</v>
      </c>
      <c r="I205" s="2" t="s">
        <v>2091</v>
      </c>
      <c r="J205" s="2" t="s">
        <v>923</v>
      </c>
    </row>
    <row r="206" spans="1:10" x14ac:dyDescent="0.35">
      <c r="A206" s="2">
        <v>205</v>
      </c>
      <c r="B206" s="2" t="s">
        <v>253</v>
      </c>
      <c r="C206" s="286" t="s">
        <v>23</v>
      </c>
      <c r="D206" s="2" t="s">
        <v>2067</v>
      </c>
      <c r="E206" s="428" t="s">
        <v>424</v>
      </c>
      <c r="F206" s="39">
        <v>46160</v>
      </c>
      <c r="G206" s="39">
        <v>46167</v>
      </c>
      <c r="H206" s="2" t="s">
        <v>2091</v>
      </c>
      <c r="I206" s="2" t="s">
        <v>2091</v>
      </c>
      <c r="J206" s="2" t="s">
        <v>895</v>
      </c>
    </row>
    <row r="207" spans="1:10" x14ac:dyDescent="0.35">
      <c r="A207" s="2">
        <v>206</v>
      </c>
      <c r="B207" s="36" t="s">
        <v>279</v>
      </c>
      <c r="C207" s="286" t="s">
        <v>31</v>
      </c>
      <c r="D207" s="38" t="s">
        <v>2068</v>
      </c>
      <c r="E207" s="428" t="s">
        <v>424</v>
      </c>
      <c r="F207" s="39">
        <v>46161</v>
      </c>
      <c r="G207" s="39">
        <v>46170</v>
      </c>
      <c r="H207" s="2" t="s">
        <v>2091</v>
      </c>
      <c r="I207" s="2" t="s">
        <v>2091</v>
      </c>
      <c r="J207" s="2" t="s">
        <v>921</v>
      </c>
    </row>
    <row r="208" spans="1:10" x14ac:dyDescent="0.35">
      <c r="A208" s="2">
        <v>207</v>
      </c>
      <c r="B208" s="2" t="s">
        <v>276</v>
      </c>
      <c r="C208" s="286" t="s">
        <v>33</v>
      </c>
      <c r="D208" s="38" t="s">
        <v>2068</v>
      </c>
      <c r="E208" s="428" t="s">
        <v>424</v>
      </c>
      <c r="F208" s="39">
        <v>46165</v>
      </c>
      <c r="G208" s="39">
        <v>46168</v>
      </c>
      <c r="H208" s="2" t="s">
        <v>2091</v>
      </c>
      <c r="I208" s="2" t="s">
        <v>2091</v>
      </c>
      <c r="J208" s="2" t="s">
        <v>923</v>
      </c>
    </row>
    <row r="209" spans="1:10" x14ac:dyDescent="0.35">
      <c r="A209" s="2">
        <v>208</v>
      </c>
      <c r="B209" s="38" t="s">
        <v>135</v>
      </c>
      <c r="C209" s="286" t="s">
        <v>31</v>
      </c>
      <c r="D209" s="263" t="s">
        <v>2066</v>
      </c>
      <c r="E209" s="428" t="s">
        <v>424</v>
      </c>
      <c r="F209" s="39">
        <v>46164</v>
      </c>
      <c r="G209" s="39">
        <v>46168</v>
      </c>
      <c r="H209" s="2" t="s">
        <v>2091</v>
      </c>
      <c r="I209" s="2" t="s">
        <v>2091</v>
      </c>
      <c r="J209" s="2" t="s">
        <v>620</v>
      </c>
    </row>
    <row r="210" spans="1:10" x14ac:dyDescent="0.35">
      <c r="A210" s="2">
        <v>209</v>
      </c>
      <c r="B210" s="41" t="s">
        <v>224</v>
      </c>
      <c r="C210" s="286" t="s">
        <v>16</v>
      </c>
      <c r="D210" s="2" t="s">
        <v>2067</v>
      </c>
      <c r="E210" s="426" t="s">
        <v>2197</v>
      </c>
      <c r="F210" s="39">
        <v>46169</v>
      </c>
      <c r="G210" s="2"/>
      <c r="H210" s="2" t="s">
        <v>2091</v>
      </c>
      <c r="I210" s="2"/>
      <c r="J210" s="2" t="s">
        <v>895</v>
      </c>
    </row>
    <row r="211" spans="1:10" x14ac:dyDescent="0.35">
      <c r="A211" s="2">
        <v>210</v>
      </c>
      <c r="B211" s="41" t="s">
        <v>123</v>
      </c>
      <c r="C211" s="286" t="s">
        <v>40</v>
      </c>
      <c r="D211" s="263" t="s">
        <v>2066</v>
      </c>
      <c r="E211" s="426" t="s">
        <v>2196</v>
      </c>
      <c r="F211" s="39">
        <v>46169</v>
      </c>
      <c r="G211" s="2"/>
      <c r="H211" s="2" t="s">
        <v>2091</v>
      </c>
      <c r="I211" s="2"/>
      <c r="J211" s="2" t="s">
        <v>620</v>
      </c>
    </row>
    <row r="212" spans="1:10" x14ac:dyDescent="0.35">
      <c r="A212" s="2">
        <v>211</v>
      </c>
      <c r="B212" s="41" t="s">
        <v>273</v>
      </c>
      <c r="C212" s="286" t="s">
        <v>33</v>
      </c>
      <c r="D212" s="38" t="s">
        <v>2068</v>
      </c>
      <c r="E212" s="644" t="s">
        <v>2196</v>
      </c>
      <c r="F212" s="39">
        <v>46170</v>
      </c>
      <c r="G212" s="2"/>
      <c r="H212" s="2" t="s">
        <v>2091</v>
      </c>
      <c r="I212" s="2"/>
      <c r="J212" s="2" t="s">
        <v>923</v>
      </c>
    </row>
  </sheetData>
  <autoFilter ref="A2:K212" xr:uid="{00000000-0009-0000-0000-000003000000}"/>
  <phoneticPr fontId="33" type="noConversion"/>
  <conditionalFormatting sqref="B1:C172 C4:C193 B174:C1048576">
    <cfRule type="duplicateValues" dxfId="50" priority="43"/>
    <cfRule type="duplicateValues" dxfId="49" priority="44"/>
  </conditionalFormatting>
  <conditionalFormatting sqref="B1:C1048576">
    <cfRule type="duplicateValues" dxfId="48" priority="17"/>
    <cfRule type="duplicateValues" dxfId="47" priority="28"/>
  </conditionalFormatting>
  <conditionalFormatting sqref="B1:D172 B174:C174 B175:D176 B177:C177 B178:D178 B179:C179 B180:D181 B182:C182 B183:D183 B189:D190 B191:C192 B193:D193 B184:C188 C4:C193 B194:C195 B196:D196 B197:C197 B198:D198 B199:C199 B200:D200 B201:C202 B203:D203 B204:C204 C201:C207 B205:D208 B209:C209 B210:D210 B211:C211 B212:D1048576 C211:C212">
    <cfRule type="duplicateValues" dxfId="46" priority="45"/>
    <cfRule type="duplicateValues" dxfId="45" priority="46"/>
  </conditionalFormatting>
  <conditionalFormatting sqref="D173">
    <cfRule type="duplicateValues" dxfId="44" priority="41"/>
    <cfRule type="duplicateValues" dxfId="43" priority="42"/>
  </conditionalFormatting>
  <conditionalFormatting sqref="D174">
    <cfRule type="duplicateValues" dxfId="42" priority="39"/>
    <cfRule type="duplicateValues" dxfId="41" priority="40"/>
  </conditionalFormatting>
  <conditionalFormatting sqref="D177">
    <cfRule type="duplicateValues" dxfId="40" priority="37"/>
    <cfRule type="duplicateValues" dxfId="39" priority="38"/>
  </conditionalFormatting>
  <conditionalFormatting sqref="D179">
    <cfRule type="duplicateValues" dxfId="38" priority="35"/>
    <cfRule type="duplicateValues" dxfId="37" priority="36"/>
  </conditionalFormatting>
  <conditionalFormatting sqref="D182">
    <cfRule type="duplicateValues" dxfId="36" priority="33"/>
    <cfRule type="duplicateValues" dxfId="35" priority="34"/>
  </conditionalFormatting>
  <conditionalFormatting sqref="D184">
    <cfRule type="duplicateValues" dxfId="34" priority="31"/>
    <cfRule type="duplicateValues" dxfId="33" priority="32"/>
  </conditionalFormatting>
  <conditionalFormatting sqref="D185">
    <cfRule type="duplicateValues" dxfId="32" priority="29"/>
    <cfRule type="duplicateValues" dxfId="31" priority="30"/>
  </conditionalFormatting>
  <conditionalFormatting sqref="D186">
    <cfRule type="duplicateValues" dxfId="30" priority="26"/>
    <cfRule type="duplicateValues" dxfId="29" priority="27"/>
  </conditionalFormatting>
  <conditionalFormatting sqref="D187">
    <cfRule type="duplicateValues" dxfId="28" priority="24"/>
    <cfRule type="duplicateValues" dxfId="27" priority="25"/>
  </conditionalFormatting>
  <conditionalFormatting sqref="D188">
    <cfRule type="duplicateValues" dxfId="26" priority="22"/>
    <cfRule type="duplicateValues" dxfId="25" priority="23"/>
  </conditionalFormatting>
  <conditionalFormatting sqref="D191">
    <cfRule type="duplicateValues" dxfId="24" priority="20"/>
    <cfRule type="duplicateValues" dxfId="23" priority="21"/>
  </conditionalFormatting>
  <conditionalFormatting sqref="D192">
    <cfRule type="duplicateValues" dxfId="22" priority="18"/>
    <cfRule type="duplicateValues" dxfId="21" priority="19"/>
  </conditionalFormatting>
  <conditionalFormatting sqref="D194">
    <cfRule type="duplicateValues" dxfId="20" priority="15"/>
    <cfRule type="duplicateValues" dxfId="19" priority="16"/>
  </conditionalFormatting>
  <conditionalFormatting sqref="D195">
    <cfRule type="duplicateValues" dxfId="18" priority="13"/>
    <cfRule type="duplicateValues" dxfId="17" priority="14"/>
  </conditionalFormatting>
  <conditionalFormatting sqref="D197">
    <cfRule type="duplicateValues" dxfId="16" priority="11"/>
    <cfRule type="duplicateValues" dxfId="15" priority="12"/>
  </conditionalFormatting>
  <conditionalFormatting sqref="D199">
    <cfRule type="duplicateValues" dxfId="14" priority="9"/>
    <cfRule type="duplicateValues" dxfId="13" priority="10"/>
  </conditionalFormatting>
  <conditionalFormatting sqref="D201:D202">
    <cfRule type="duplicateValues" dxfId="12" priority="7"/>
    <cfRule type="duplicateValues" dxfId="11" priority="8"/>
  </conditionalFormatting>
  <conditionalFormatting sqref="D204">
    <cfRule type="duplicateValues" dxfId="10" priority="5"/>
    <cfRule type="duplicateValues" dxfId="9" priority="6"/>
  </conditionalFormatting>
  <conditionalFormatting sqref="D209">
    <cfRule type="duplicateValues" dxfId="8" priority="3"/>
    <cfRule type="duplicateValues" dxfId="7" priority="4"/>
  </conditionalFormatting>
  <conditionalFormatting sqref="D211">
    <cfRule type="duplicateValues" dxfId="6" priority="1"/>
    <cfRule type="duplicateValues" dxfId="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O276"/>
  <sheetViews>
    <sheetView zoomScale="89" zoomScaleNormal="85" workbookViewId="0">
      <pane xSplit="5" ySplit="2" topLeftCell="F264" activePane="bottomRight" state="frozen"/>
      <selection pane="topRight" activeCell="E1" sqref="E1"/>
      <selection pane="bottomLeft" activeCell="A3" sqref="A3"/>
      <selection pane="bottomRight" activeCell="F269" sqref="F269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6" width="15.08984375" style="20" customWidth="1"/>
    <col min="7" max="7" width="14.1796875" style="20" customWidth="1"/>
    <col min="8" max="8" width="17" style="6" customWidth="1"/>
    <col min="9" max="9" width="13" style="6" customWidth="1"/>
    <col min="10" max="10" width="19.453125" style="6" customWidth="1"/>
    <col min="11" max="11" width="17.81640625" style="6" customWidth="1"/>
    <col min="12" max="12" width="27.1796875" style="6" bestFit="1" customWidth="1"/>
    <col min="13" max="13" width="18.54296875" style="6" hidden="1" customWidth="1"/>
    <col min="14" max="14" width="18.81640625" style="6" hidden="1" customWidth="1"/>
    <col min="15" max="15" width="17.54296875" style="6" hidden="1" customWidth="1"/>
    <col min="16" max="16384" width="9.1796875" style="6"/>
  </cols>
  <sheetData>
    <row r="1" spans="1:15" ht="21" customHeight="1" x14ac:dyDescent="0.35">
      <c r="A1" s="417" t="s">
        <v>410</v>
      </c>
      <c r="B1" s="417"/>
      <c r="C1" s="417"/>
      <c r="D1" s="417"/>
      <c r="E1" s="417"/>
      <c r="F1" s="420"/>
      <c r="G1" s="420"/>
      <c r="H1" s="417"/>
      <c r="I1" s="417"/>
      <c r="J1" s="417"/>
      <c r="K1" s="417"/>
      <c r="L1" s="417"/>
      <c r="M1" s="417"/>
      <c r="N1" s="417"/>
      <c r="O1" s="417"/>
    </row>
    <row r="2" spans="1:15" x14ac:dyDescent="0.35">
      <c r="A2" s="33" t="s">
        <v>411</v>
      </c>
      <c r="B2" s="33" t="s">
        <v>412</v>
      </c>
      <c r="C2" s="533" t="s">
        <v>2090</v>
      </c>
      <c r="D2" s="33" t="s">
        <v>413</v>
      </c>
      <c r="E2" s="33" t="s">
        <v>414</v>
      </c>
      <c r="F2" s="419" t="s">
        <v>415</v>
      </c>
      <c r="G2" s="419" t="s">
        <v>2162</v>
      </c>
      <c r="H2" s="33" t="s">
        <v>416</v>
      </c>
      <c r="I2" s="33" t="s">
        <v>417</v>
      </c>
      <c r="J2" s="33" t="s">
        <v>2083</v>
      </c>
      <c r="K2" s="419" t="s">
        <v>2082</v>
      </c>
      <c r="L2" s="33" t="s">
        <v>2092</v>
      </c>
      <c r="M2" s="470" t="s">
        <v>418</v>
      </c>
      <c r="N2" s="33" t="s">
        <v>419</v>
      </c>
      <c r="O2" s="33" t="s">
        <v>420</v>
      </c>
    </row>
    <row r="3" spans="1:15" ht="14.5" customHeight="1" x14ac:dyDescent="0.35">
      <c r="A3" s="34">
        <v>1</v>
      </c>
      <c r="B3" s="34" t="s">
        <v>50</v>
      </c>
      <c r="C3" s="34" t="s">
        <v>2066</v>
      </c>
      <c r="D3" s="34" t="s">
        <v>31</v>
      </c>
      <c r="E3" s="34" t="s">
        <v>347</v>
      </c>
      <c r="F3" s="421" t="s">
        <v>421</v>
      </c>
      <c r="G3" s="421"/>
      <c r="H3" s="2"/>
      <c r="I3" s="529">
        <v>45658</v>
      </c>
      <c r="J3" s="529"/>
      <c r="K3" s="529"/>
      <c r="L3" s="34" t="s">
        <v>422</v>
      </c>
      <c r="M3" s="272" t="s">
        <v>423</v>
      </c>
      <c r="N3" s="35" t="s">
        <v>424</v>
      </c>
      <c r="O3" s="2"/>
    </row>
    <row r="4" spans="1:15" ht="14.5" customHeight="1" x14ac:dyDescent="0.35">
      <c r="A4" s="34">
        <v>2</v>
      </c>
      <c r="B4" s="34" t="s">
        <v>52</v>
      </c>
      <c r="C4" s="34" t="s">
        <v>2066</v>
      </c>
      <c r="D4" s="34" t="s">
        <v>33</v>
      </c>
      <c r="E4" s="34" t="s">
        <v>347</v>
      </c>
      <c r="F4" s="421" t="s">
        <v>421</v>
      </c>
      <c r="G4" s="421"/>
      <c r="H4" s="2"/>
      <c r="I4" s="529">
        <v>45658</v>
      </c>
      <c r="J4" s="529"/>
      <c r="K4" s="529"/>
      <c r="L4" s="34" t="s">
        <v>422</v>
      </c>
      <c r="M4" s="272" t="s">
        <v>423</v>
      </c>
      <c r="N4" s="35" t="s">
        <v>424</v>
      </c>
      <c r="O4" s="2"/>
    </row>
    <row r="5" spans="1:15" ht="14.5" customHeight="1" x14ac:dyDescent="0.35">
      <c r="A5" s="34">
        <v>3</v>
      </c>
      <c r="B5" s="34" t="s">
        <v>53</v>
      </c>
      <c r="C5" s="34" t="s">
        <v>2066</v>
      </c>
      <c r="D5" s="34" t="s">
        <v>33</v>
      </c>
      <c r="E5" s="34" t="s">
        <v>347</v>
      </c>
      <c r="F5" s="421" t="s">
        <v>421</v>
      </c>
      <c r="G5" s="421"/>
      <c r="H5" s="2"/>
      <c r="I5" s="529">
        <v>45658</v>
      </c>
      <c r="J5" s="529"/>
      <c r="K5" s="529"/>
      <c r="L5" s="34" t="s">
        <v>422</v>
      </c>
      <c r="M5" s="272" t="s">
        <v>423</v>
      </c>
      <c r="N5" s="35" t="s">
        <v>424</v>
      </c>
      <c r="O5" s="2"/>
    </row>
    <row r="6" spans="1:15" ht="14.5" customHeight="1" x14ac:dyDescent="0.35">
      <c r="A6" s="34">
        <v>4</v>
      </c>
      <c r="B6" s="34" t="s">
        <v>55</v>
      </c>
      <c r="C6" s="34" t="s">
        <v>2066</v>
      </c>
      <c r="D6" s="34" t="s">
        <v>31</v>
      </c>
      <c r="E6" s="34" t="s">
        <v>347</v>
      </c>
      <c r="F6" s="421" t="s">
        <v>421</v>
      </c>
      <c r="G6" s="421"/>
      <c r="H6" s="2"/>
      <c r="I6" s="529">
        <v>45658</v>
      </c>
      <c r="J6" s="529"/>
      <c r="K6" s="529"/>
      <c r="L6" s="34" t="s">
        <v>425</v>
      </c>
      <c r="M6" s="272" t="s">
        <v>423</v>
      </c>
      <c r="N6" s="35" t="s">
        <v>424</v>
      </c>
      <c r="O6" s="2"/>
    </row>
    <row r="7" spans="1:15" ht="14.5" customHeight="1" x14ac:dyDescent="0.35">
      <c r="A7" s="34">
        <v>5</v>
      </c>
      <c r="B7" s="34" t="s">
        <v>104</v>
      </c>
      <c r="C7" s="34" t="s">
        <v>2066</v>
      </c>
      <c r="D7" s="34" t="s">
        <v>31</v>
      </c>
      <c r="E7" s="34" t="s">
        <v>347</v>
      </c>
      <c r="F7" s="421" t="s">
        <v>421</v>
      </c>
      <c r="G7" s="421"/>
      <c r="H7" s="2"/>
      <c r="I7" s="529">
        <v>45658</v>
      </c>
      <c r="J7" s="529"/>
      <c r="K7" s="529"/>
      <c r="L7" s="34" t="s">
        <v>422</v>
      </c>
      <c r="M7" s="272" t="s">
        <v>423</v>
      </c>
      <c r="N7" s="36"/>
      <c r="O7" s="2"/>
    </row>
    <row r="8" spans="1:15" ht="14.5" customHeight="1" x14ac:dyDescent="0.35">
      <c r="A8" s="34">
        <v>6</v>
      </c>
      <c r="B8" s="262" t="s">
        <v>54</v>
      </c>
      <c r="C8" s="34" t="s">
        <v>2066</v>
      </c>
      <c r="D8" s="34" t="s">
        <v>31</v>
      </c>
      <c r="E8" s="34" t="s">
        <v>347</v>
      </c>
      <c r="F8" s="421" t="s">
        <v>421</v>
      </c>
      <c r="G8" s="421"/>
      <c r="H8" s="2"/>
      <c r="I8" s="529">
        <v>45689</v>
      </c>
      <c r="J8" s="529"/>
      <c r="K8" s="529"/>
      <c r="L8" s="34" t="s">
        <v>422</v>
      </c>
      <c r="M8" s="272" t="s">
        <v>423</v>
      </c>
      <c r="N8" s="35" t="s">
        <v>424</v>
      </c>
      <c r="O8" s="2"/>
    </row>
    <row r="9" spans="1:15" ht="14.5" customHeight="1" x14ac:dyDescent="0.35">
      <c r="A9" s="34">
        <v>7</v>
      </c>
      <c r="B9" s="262" t="s">
        <v>56</v>
      </c>
      <c r="C9" s="34" t="s">
        <v>2066</v>
      </c>
      <c r="D9" s="34" t="s">
        <v>31</v>
      </c>
      <c r="E9" s="34" t="s">
        <v>348</v>
      </c>
      <c r="F9" s="421" t="s">
        <v>421</v>
      </c>
      <c r="G9" s="421"/>
      <c r="H9" s="2"/>
      <c r="I9" s="529">
        <v>45689</v>
      </c>
      <c r="J9" s="529"/>
      <c r="K9" s="529"/>
      <c r="L9" s="34" t="s">
        <v>425</v>
      </c>
      <c r="M9" s="272" t="s">
        <v>423</v>
      </c>
      <c r="N9" s="35" t="s">
        <v>424</v>
      </c>
      <c r="O9" s="2"/>
    </row>
    <row r="10" spans="1:15" ht="14.5" customHeight="1" x14ac:dyDescent="0.35">
      <c r="A10" s="34">
        <v>8</v>
      </c>
      <c r="B10" s="262" t="s">
        <v>57</v>
      </c>
      <c r="C10" s="34" t="s">
        <v>2066</v>
      </c>
      <c r="D10" s="34" t="s">
        <v>33</v>
      </c>
      <c r="E10" s="34" t="s">
        <v>348</v>
      </c>
      <c r="F10" s="421" t="s">
        <v>421</v>
      </c>
      <c r="G10" s="421"/>
      <c r="H10" s="2"/>
      <c r="I10" s="529">
        <v>45689</v>
      </c>
      <c r="J10" s="529"/>
      <c r="K10" s="529"/>
      <c r="L10" s="34" t="s">
        <v>425</v>
      </c>
      <c r="M10" s="272" t="s">
        <v>423</v>
      </c>
      <c r="N10" s="35" t="s">
        <v>424</v>
      </c>
      <c r="O10" s="2"/>
    </row>
    <row r="11" spans="1:15" ht="14.5" customHeight="1" x14ac:dyDescent="0.35">
      <c r="A11" s="34">
        <v>9</v>
      </c>
      <c r="B11" s="34" t="s">
        <v>51</v>
      </c>
      <c r="C11" s="34" t="s">
        <v>2066</v>
      </c>
      <c r="D11" s="34" t="s">
        <v>33</v>
      </c>
      <c r="E11" s="34" t="s">
        <v>347</v>
      </c>
      <c r="F11" s="421" t="s">
        <v>421</v>
      </c>
      <c r="G11" s="421"/>
      <c r="H11" s="2"/>
      <c r="I11" s="529">
        <v>45689</v>
      </c>
      <c r="J11" s="529"/>
      <c r="K11" s="529"/>
      <c r="L11" s="34" t="s">
        <v>422</v>
      </c>
      <c r="M11" s="272" t="s">
        <v>423</v>
      </c>
      <c r="N11" s="35" t="s">
        <v>424</v>
      </c>
      <c r="O11" s="2"/>
    </row>
    <row r="12" spans="1:15" ht="14.5" customHeight="1" x14ac:dyDescent="0.35">
      <c r="A12" s="34">
        <v>10</v>
      </c>
      <c r="B12" s="263" t="s">
        <v>101</v>
      </c>
      <c r="C12" s="34" t="s">
        <v>2066</v>
      </c>
      <c r="D12" s="37" t="s">
        <v>31</v>
      </c>
      <c r="E12" s="34" t="s">
        <v>347</v>
      </c>
      <c r="F12" s="421" t="s">
        <v>421</v>
      </c>
      <c r="G12" s="421"/>
      <c r="H12" s="2"/>
      <c r="I12" s="529">
        <v>45689</v>
      </c>
      <c r="J12" s="529"/>
      <c r="K12" s="529"/>
      <c r="L12" s="34" t="s">
        <v>426</v>
      </c>
      <c r="M12" s="272" t="s">
        <v>423</v>
      </c>
      <c r="N12" s="35" t="s">
        <v>424</v>
      </c>
      <c r="O12" s="2"/>
    </row>
    <row r="13" spans="1:15" ht="14.5" customHeight="1" x14ac:dyDescent="0.35">
      <c r="A13" s="34">
        <v>11</v>
      </c>
      <c r="B13" s="263" t="s">
        <v>97</v>
      </c>
      <c r="C13" s="34" t="s">
        <v>2066</v>
      </c>
      <c r="D13" s="37" t="s">
        <v>31</v>
      </c>
      <c r="E13" s="34" t="s">
        <v>347</v>
      </c>
      <c r="F13" s="421" t="s">
        <v>421</v>
      </c>
      <c r="G13" s="421"/>
      <c r="H13" s="2"/>
      <c r="I13" s="529">
        <v>45689</v>
      </c>
      <c r="J13" s="529"/>
      <c r="K13" s="529"/>
      <c r="L13" s="34" t="s">
        <v>426</v>
      </c>
      <c r="M13" s="272" t="s">
        <v>423</v>
      </c>
      <c r="N13" s="35" t="s">
        <v>424</v>
      </c>
      <c r="O13" s="2"/>
    </row>
    <row r="14" spans="1:15" ht="14.5" customHeight="1" x14ac:dyDescent="0.35">
      <c r="A14" s="34">
        <v>12</v>
      </c>
      <c r="B14" s="263" t="s">
        <v>47</v>
      </c>
      <c r="C14" s="34" t="s">
        <v>2066</v>
      </c>
      <c r="D14" s="37" t="s">
        <v>31</v>
      </c>
      <c r="E14" s="34" t="s">
        <v>347</v>
      </c>
      <c r="F14" s="421" t="s">
        <v>421</v>
      </c>
      <c r="G14" s="421"/>
      <c r="H14" s="2"/>
      <c r="I14" s="529">
        <v>45689</v>
      </c>
      <c r="J14" s="529"/>
      <c r="K14" s="529"/>
      <c r="L14" s="34" t="s">
        <v>425</v>
      </c>
      <c r="M14" s="272" t="s">
        <v>423</v>
      </c>
      <c r="N14" s="35" t="s">
        <v>424</v>
      </c>
      <c r="O14" s="2"/>
    </row>
    <row r="15" spans="1:15" ht="14.5" customHeight="1" x14ac:dyDescent="0.35">
      <c r="A15" s="34">
        <v>13</v>
      </c>
      <c r="B15" s="263" t="s">
        <v>64</v>
      </c>
      <c r="C15" s="34" t="s">
        <v>2066</v>
      </c>
      <c r="D15" s="37" t="s">
        <v>16</v>
      </c>
      <c r="E15" s="37" t="s">
        <v>347</v>
      </c>
      <c r="F15" s="421" t="s">
        <v>421</v>
      </c>
      <c r="G15" s="421"/>
      <c r="H15" s="2"/>
      <c r="I15" s="529">
        <v>45689</v>
      </c>
      <c r="J15" s="529"/>
      <c r="K15" s="529"/>
      <c r="L15" s="34" t="s">
        <v>422</v>
      </c>
      <c r="M15" s="272" t="s">
        <v>423</v>
      </c>
      <c r="N15" s="36"/>
      <c r="O15" s="2"/>
    </row>
    <row r="16" spans="1:15" ht="14.5" customHeight="1" x14ac:dyDescent="0.35">
      <c r="A16" s="34">
        <v>14</v>
      </c>
      <c r="B16" s="263" t="s">
        <v>98</v>
      </c>
      <c r="C16" s="34" t="s">
        <v>2066</v>
      </c>
      <c r="D16" s="37" t="s">
        <v>31</v>
      </c>
      <c r="E16" s="34" t="s">
        <v>347</v>
      </c>
      <c r="F16" s="421" t="s">
        <v>421</v>
      </c>
      <c r="G16" s="421"/>
      <c r="H16" s="2"/>
      <c r="I16" s="529">
        <v>45689</v>
      </c>
      <c r="J16" s="529"/>
      <c r="K16" s="529"/>
      <c r="L16" s="34" t="s">
        <v>426</v>
      </c>
      <c r="M16" s="272" t="s">
        <v>423</v>
      </c>
      <c r="N16" s="35" t="s">
        <v>424</v>
      </c>
      <c r="O16" s="2"/>
    </row>
    <row r="17" spans="1:15" ht="14.5" customHeight="1" x14ac:dyDescent="0.35">
      <c r="A17" s="34">
        <v>15</v>
      </c>
      <c r="B17" s="263" t="s">
        <v>79</v>
      </c>
      <c r="C17" s="34" t="s">
        <v>2066</v>
      </c>
      <c r="D17" s="37" t="s">
        <v>427</v>
      </c>
      <c r="E17" s="37" t="s">
        <v>347</v>
      </c>
      <c r="F17" s="421" t="s">
        <v>421</v>
      </c>
      <c r="G17" s="421"/>
      <c r="H17" s="2"/>
      <c r="I17" s="529">
        <v>45689</v>
      </c>
      <c r="J17" s="529"/>
      <c r="K17" s="529"/>
      <c r="L17" s="34" t="s">
        <v>428</v>
      </c>
      <c r="M17" s="272" t="s">
        <v>423</v>
      </c>
      <c r="N17" s="35" t="s">
        <v>424</v>
      </c>
      <c r="O17" s="2"/>
    </row>
    <row r="18" spans="1:15" ht="14.5" customHeight="1" x14ac:dyDescent="0.35">
      <c r="A18" s="34">
        <v>16</v>
      </c>
      <c r="B18" s="34" t="s">
        <v>92</v>
      </c>
      <c r="C18" s="34" t="s">
        <v>2066</v>
      </c>
      <c r="D18" s="37" t="s">
        <v>33</v>
      </c>
      <c r="E18" s="37" t="s">
        <v>347</v>
      </c>
      <c r="F18" s="421" t="s">
        <v>421</v>
      </c>
      <c r="G18" s="421"/>
      <c r="H18" s="2"/>
      <c r="I18" s="529">
        <v>45689</v>
      </c>
      <c r="J18" s="529"/>
      <c r="K18" s="529"/>
      <c r="L18" s="34" t="s">
        <v>429</v>
      </c>
      <c r="M18" s="272" t="s">
        <v>423</v>
      </c>
      <c r="N18" s="35" t="s">
        <v>424</v>
      </c>
      <c r="O18" s="2"/>
    </row>
    <row r="19" spans="1:15" ht="14.5" customHeight="1" x14ac:dyDescent="0.35">
      <c r="A19" s="34">
        <v>17</v>
      </c>
      <c r="B19" s="34" t="s">
        <v>99</v>
      </c>
      <c r="C19" s="34" t="s">
        <v>2066</v>
      </c>
      <c r="D19" s="34" t="s">
        <v>33</v>
      </c>
      <c r="E19" s="37" t="s">
        <v>347</v>
      </c>
      <c r="F19" s="421" t="s">
        <v>421</v>
      </c>
      <c r="G19" s="421"/>
      <c r="H19" s="2"/>
      <c r="I19" s="529">
        <v>45689</v>
      </c>
      <c r="J19" s="529"/>
      <c r="K19" s="529"/>
      <c r="L19" s="34" t="s">
        <v>426</v>
      </c>
      <c r="M19" s="272" t="s">
        <v>423</v>
      </c>
      <c r="N19" s="35" t="s">
        <v>424</v>
      </c>
      <c r="O19" s="2"/>
    </row>
    <row r="20" spans="1:15" ht="14.5" customHeight="1" x14ac:dyDescent="0.35">
      <c r="A20" s="34">
        <v>18</v>
      </c>
      <c r="B20" s="34" t="s">
        <v>63</v>
      </c>
      <c r="C20" s="34" t="s">
        <v>2066</v>
      </c>
      <c r="D20" s="34" t="s">
        <v>31</v>
      </c>
      <c r="E20" s="34" t="s">
        <v>347</v>
      </c>
      <c r="F20" s="421" t="s">
        <v>421</v>
      </c>
      <c r="G20" s="421"/>
      <c r="H20" s="2"/>
      <c r="I20" s="529">
        <v>45689</v>
      </c>
      <c r="J20" s="529"/>
      <c r="K20" s="529"/>
      <c r="L20" s="34" t="s">
        <v>422</v>
      </c>
      <c r="M20" s="272" t="s">
        <v>423</v>
      </c>
      <c r="N20" s="35" t="s">
        <v>424</v>
      </c>
      <c r="O20" s="2"/>
    </row>
    <row r="21" spans="1:15" ht="14.5" customHeight="1" x14ac:dyDescent="0.35">
      <c r="A21" s="34">
        <v>19</v>
      </c>
      <c r="B21" s="34" t="s">
        <v>80</v>
      </c>
      <c r="C21" s="34" t="s">
        <v>2066</v>
      </c>
      <c r="D21" s="34" t="s">
        <v>31</v>
      </c>
      <c r="E21" s="34" t="s">
        <v>347</v>
      </c>
      <c r="F21" s="421" t="s">
        <v>421</v>
      </c>
      <c r="G21" s="421"/>
      <c r="H21" s="2"/>
      <c r="I21" s="529">
        <v>45689</v>
      </c>
      <c r="J21" s="529"/>
      <c r="K21" s="529"/>
      <c r="L21" s="34" t="s">
        <v>428</v>
      </c>
      <c r="M21" s="272" t="s">
        <v>423</v>
      </c>
      <c r="N21" s="35" t="s">
        <v>424</v>
      </c>
      <c r="O21" s="2"/>
    </row>
    <row r="22" spans="1:15" ht="14.5" customHeight="1" x14ac:dyDescent="0.35">
      <c r="A22" s="34">
        <v>20</v>
      </c>
      <c r="B22" s="34" t="s">
        <v>48</v>
      </c>
      <c r="C22" s="34" t="s">
        <v>2066</v>
      </c>
      <c r="D22" s="34" t="s">
        <v>31</v>
      </c>
      <c r="E22" s="34" t="s">
        <v>347</v>
      </c>
      <c r="F22" s="421" t="s">
        <v>421</v>
      </c>
      <c r="G22" s="421"/>
      <c r="H22" s="2"/>
      <c r="I22" s="529">
        <v>45717</v>
      </c>
      <c r="J22" s="529"/>
      <c r="K22" s="529"/>
      <c r="L22" s="34" t="s">
        <v>425</v>
      </c>
      <c r="M22" s="272" t="s">
        <v>423</v>
      </c>
      <c r="N22" s="35" t="s">
        <v>424</v>
      </c>
      <c r="O22" s="2"/>
    </row>
    <row r="23" spans="1:15" ht="14.5" customHeight="1" x14ac:dyDescent="0.35">
      <c r="A23" s="34">
        <v>21</v>
      </c>
      <c r="B23" s="34" t="s">
        <v>94</v>
      </c>
      <c r="C23" s="34" t="s">
        <v>2066</v>
      </c>
      <c r="D23" s="34" t="s">
        <v>16</v>
      </c>
      <c r="E23" s="37" t="s">
        <v>347</v>
      </c>
      <c r="F23" s="421" t="s">
        <v>421</v>
      </c>
      <c r="G23" s="421"/>
      <c r="H23" s="2"/>
      <c r="I23" s="529">
        <v>45717</v>
      </c>
      <c r="J23" s="529"/>
      <c r="K23" s="529"/>
      <c r="L23" s="34" t="s">
        <v>429</v>
      </c>
      <c r="M23" s="272" t="s">
        <v>423</v>
      </c>
      <c r="N23" s="35" t="s">
        <v>424</v>
      </c>
      <c r="O23" s="2"/>
    </row>
    <row r="24" spans="1:15" ht="14.5" customHeight="1" x14ac:dyDescent="0.35">
      <c r="A24" s="34">
        <v>22</v>
      </c>
      <c r="B24" s="34" t="s">
        <v>102</v>
      </c>
      <c r="C24" s="34" t="s">
        <v>2066</v>
      </c>
      <c r="D24" s="34" t="s">
        <v>389</v>
      </c>
      <c r="E24" s="37" t="s">
        <v>349</v>
      </c>
      <c r="F24" s="421" t="s">
        <v>421</v>
      </c>
      <c r="G24" s="421"/>
      <c r="H24" s="2"/>
      <c r="I24" s="529">
        <v>45717</v>
      </c>
      <c r="J24" s="529"/>
      <c r="K24" s="529"/>
      <c r="L24" s="34" t="s">
        <v>426</v>
      </c>
      <c r="M24" s="272" t="s">
        <v>423</v>
      </c>
      <c r="N24" s="35" t="s">
        <v>424</v>
      </c>
      <c r="O24" s="2"/>
    </row>
    <row r="25" spans="1:15" ht="14.5" customHeight="1" x14ac:dyDescent="0.35">
      <c r="A25" s="34">
        <v>23</v>
      </c>
      <c r="B25" s="34" t="s">
        <v>82</v>
      </c>
      <c r="C25" s="34" t="s">
        <v>2066</v>
      </c>
      <c r="D25" s="34" t="s">
        <v>389</v>
      </c>
      <c r="E25" s="37" t="s">
        <v>347</v>
      </c>
      <c r="F25" s="421" t="s">
        <v>421</v>
      </c>
      <c r="G25" s="421"/>
      <c r="H25" s="2"/>
      <c r="I25" s="529">
        <v>45717</v>
      </c>
      <c r="J25" s="529"/>
      <c r="K25" s="529"/>
      <c r="L25" s="34" t="s">
        <v>428</v>
      </c>
      <c r="M25" s="272" t="s">
        <v>423</v>
      </c>
      <c r="N25" s="36"/>
      <c r="O25" s="2"/>
    </row>
    <row r="26" spans="1:15" ht="14.5" customHeight="1" x14ac:dyDescent="0.35">
      <c r="A26" s="34">
        <v>24</v>
      </c>
      <c r="B26" s="34" t="s">
        <v>108</v>
      </c>
      <c r="C26" s="34" t="s">
        <v>2066</v>
      </c>
      <c r="D26" s="34" t="s">
        <v>389</v>
      </c>
      <c r="E26" s="37" t="s">
        <v>347</v>
      </c>
      <c r="F26" s="421" t="s">
        <v>421</v>
      </c>
      <c r="G26" s="421"/>
      <c r="H26" s="2"/>
      <c r="I26" s="529">
        <v>45717</v>
      </c>
      <c r="J26" s="529"/>
      <c r="K26" s="529"/>
      <c r="L26" s="34" t="s">
        <v>426</v>
      </c>
      <c r="M26" s="272" t="s">
        <v>423</v>
      </c>
      <c r="N26" s="35" t="s">
        <v>424</v>
      </c>
      <c r="O26" s="2"/>
    </row>
    <row r="27" spans="1:15" ht="14.5" customHeight="1" x14ac:dyDescent="0.35">
      <c r="A27" s="34">
        <v>25</v>
      </c>
      <c r="B27" s="34" t="s">
        <v>46</v>
      </c>
      <c r="C27" s="34" t="s">
        <v>2066</v>
      </c>
      <c r="D27" s="34" t="s">
        <v>31</v>
      </c>
      <c r="E27" s="34" t="s">
        <v>347</v>
      </c>
      <c r="F27" s="421" t="s">
        <v>421</v>
      </c>
      <c r="G27" s="421"/>
      <c r="H27" s="2"/>
      <c r="I27" s="529">
        <v>45717</v>
      </c>
      <c r="J27" s="529"/>
      <c r="K27" s="529"/>
      <c r="L27" s="34" t="s">
        <v>425</v>
      </c>
      <c r="M27" s="272" t="s">
        <v>423</v>
      </c>
      <c r="N27" s="35" t="s">
        <v>424</v>
      </c>
      <c r="O27" s="2"/>
    </row>
    <row r="28" spans="1:15" ht="14.5" customHeight="1" x14ac:dyDescent="0.35">
      <c r="A28" s="34">
        <v>26</v>
      </c>
      <c r="B28" s="34" t="s">
        <v>81</v>
      </c>
      <c r="C28" s="34" t="s">
        <v>2066</v>
      </c>
      <c r="D28" s="34" t="s">
        <v>31</v>
      </c>
      <c r="E28" s="34" t="s">
        <v>347</v>
      </c>
      <c r="F28" s="421" t="s">
        <v>421</v>
      </c>
      <c r="G28" s="421"/>
      <c r="H28" s="2"/>
      <c r="I28" s="529">
        <v>45717</v>
      </c>
      <c r="J28" s="529"/>
      <c r="K28" s="529"/>
      <c r="L28" s="34" t="s">
        <v>428</v>
      </c>
      <c r="M28" s="272" t="s">
        <v>423</v>
      </c>
      <c r="N28" s="36"/>
      <c r="O28" s="2"/>
    </row>
    <row r="29" spans="1:15" ht="14.5" customHeight="1" x14ac:dyDescent="0.35">
      <c r="A29" s="34">
        <v>27</v>
      </c>
      <c r="B29" s="34" t="s">
        <v>67</v>
      </c>
      <c r="C29" s="34" t="s">
        <v>2066</v>
      </c>
      <c r="D29" s="34" t="s">
        <v>23</v>
      </c>
      <c r="E29" s="34" t="s">
        <v>347</v>
      </c>
      <c r="F29" s="421" t="s">
        <v>421</v>
      </c>
      <c r="G29" s="421"/>
      <c r="H29" s="2"/>
      <c r="I29" s="529">
        <v>45717</v>
      </c>
      <c r="J29" s="529"/>
      <c r="K29" s="529"/>
      <c r="L29" s="34" t="s">
        <v>422</v>
      </c>
      <c r="M29" s="272" t="s">
        <v>423</v>
      </c>
      <c r="N29" s="36"/>
      <c r="O29" s="2"/>
    </row>
    <row r="30" spans="1:15" ht="14.5" customHeight="1" x14ac:dyDescent="0.35">
      <c r="A30" s="34">
        <v>28</v>
      </c>
      <c r="B30" s="34" t="s">
        <v>91</v>
      </c>
      <c r="C30" s="34" t="s">
        <v>2066</v>
      </c>
      <c r="D30" s="34" t="s">
        <v>31</v>
      </c>
      <c r="E30" s="37" t="s">
        <v>349</v>
      </c>
      <c r="F30" s="421" t="s">
        <v>421</v>
      </c>
      <c r="G30" s="421"/>
      <c r="H30" s="2"/>
      <c r="I30" s="529">
        <v>45717</v>
      </c>
      <c r="J30" s="529"/>
      <c r="K30" s="529"/>
      <c r="L30" s="34" t="s">
        <v>429</v>
      </c>
      <c r="M30" s="272" t="s">
        <v>423</v>
      </c>
      <c r="N30" s="36"/>
      <c r="O30" s="2"/>
    </row>
    <row r="31" spans="1:15" ht="14.5" customHeight="1" x14ac:dyDescent="0.35">
      <c r="A31" s="34">
        <v>29</v>
      </c>
      <c r="B31" s="34" t="s">
        <v>95</v>
      </c>
      <c r="C31" s="34" t="s">
        <v>2066</v>
      </c>
      <c r="D31" s="34" t="s">
        <v>23</v>
      </c>
      <c r="E31" s="37" t="s">
        <v>349</v>
      </c>
      <c r="F31" s="421" t="s">
        <v>421</v>
      </c>
      <c r="G31" s="421"/>
      <c r="H31" s="2"/>
      <c r="I31" s="529">
        <v>45717</v>
      </c>
      <c r="J31" s="529"/>
      <c r="K31" s="529"/>
      <c r="L31" s="34" t="s">
        <v>426</v>
      </c>
      <c r="M31" s="272" t="s">
        <v>423</v>
      </c>
      <c r="N31" s="35" t="s">
        <v>424</v>
      </c>
      <c r="O31" s="2"/>
    </row>
    <row r="32" spans="1:15" ht="14.5" customHeight="1" x14ac:dyDescent="0.35">
      <c r="A32" s="34">
        <v>30</v>
      </c>
      <c r="B32" s="34" t="s">
        <v>83</v>
      </c>
      <c r="C32" s="34" t="s">
        <v>2066</v>
      </c>
      <c r="D32" s="34" t="s">
        <v>31</v>
      </c>
      <c r="E32" s="34" t="s">
        <v>347</v>
      </c>
      <c r="F32" s="421" t="s">
        <v>421</v>
      </c>
      <c r="G32" s="421"/>
      <c r="H32" s="2"/>
      <c r="I32" s="529">
        <v>45717</v>
      </c>
      <c r="J32" s="529"/>
      <c r="K32" s="529"/>
      <c r="L32" s="34" t="s">
        <v>428</v>
      </c>
      <c r="M32" s="272" t="s">
        <v>423</v>
      </c>
      <c r="N32" s="36"/>
      <c r="O32" s="2"/>
    </row>
    <row r="33" spans="1:15" ht="14.5" customHeight="1" x14ac:dyDescent="0.35">
      <c r="A33" s="34">
        <v>31</v>
      </c>
      <c r="B33" s="34" t="s">
        <v>66</v>
      </c>
      <c r="C33" s="34" t="s">
        <v>2066</v>
      </c>
      <c r="D33" s="34" t="s">
        <v>31</v>
      </c>
      <c r="E33" s="34" t="s">
        <v>347</v>
      </c>
      <c r="F33" s="421" t="s">
        <v>421</v>
      </c>
      <c r="G33" s="421"/>
      <c r="H33" s="2"/>
      <c r="I33" s="529">
        <v>45717</v>
      </c>
      <c r="J33" s="529"/>
      <c r="K33" s="529"/>
      <c r="L33" s="34" t="s">
        <v>422</v>
      </c>
      <c r="M33" s="272" t="s">
        <v>423</v>
      </c>
      <c r="N33" s="36"/>
      <c r="O33" s="2"/>
    </row>
    <row r="34" spans="1:15" ht="14.5" customHeight="1" x14ac:dyDescent="0.35">
      <c r="A34" s="34">
        <v>32</v>
      </c>
      <c r="B34" s="34" t="s">
        <v>103</v>
      </c>
      <c r="C34" s="34" t="s">
        <v>2066</v>
      </c>
      <c r="D34" s="34" t="s">
        <v>20</v>
      </c>
      <c r="E34" s="34" t="s">
        <v>349</v>
      </c>
      <c r="F34" s="421" t="s">
        <v>421</v>
      </c>
      <c r="G34" s="421"/>
      <c r="H34" s="2"/>
      <c r="I34" s="529">
        <v>45717</v>
      </c>
      <c r="J34" s="529"/>
      <c r="K34" s="529"/>
      <c r="L34" s="34" t="s">
        <v>426</v>
      </c>
      <c r="M34" s="272" t="s">
        <v>423</v>
      </c>
      <c r="N34" s="35" t="s">
        <v>424</v>
      </c>
      <c r="O34" s="2"/>
    </row>
    <row r="35" spans="1:15" ht="14.5" customHeight="1" x14ac:dyDescent="0.35">
      <c r="A35" s="34">
        <v>33</v>
      </c>
      <c r="B35" s="34" t="s">
        <v>93</v>
      </c>
      <c r="C35" s="34" t="s">
        <v>2066</v>
      </c>
      <c r="D35" s="34" t="s">
        <v>31</v>
      </c>
      <c r="E35" s="34" t="s">
        <v>347</v>
      </c>
      <c r="F35" s="421" t="s">
        <v>421</v>
      </c>
      <c r="G35" s="421"/>
      <c r="H35" s="2"/>
      <c r="I35" s="529">
        <v>45717</v>
      </c>
      <c r="J35" s="529"/>
      <c r="K35" s="529"/>
      <c r="L35" s="34" t="s">
        <v>429</v>
      </c>
      <c r="M35" s="272" t="s">
        <v>423</v>
      </c>
      <c r="N35" s="35" t="s">
        <v>424</v>
      </c>
      <c r="O35" s="2"/>
    </row>
    <row r="36" spans="1:15" ht="14.5" customHeight="1" x14ac:dyDescent="0.35">
      <c r="A36" s="34">
        <v>34</v>
      </c>
      <c r="B36" s="34" t="s">
        <v>85</v>
      </c>
      <c r="C36" s="34" t="s">
        <v>2066</v>
      </c>
      <c r="D36" s="34" t="s">
        <v>31</v>
      </c>
      <c r="E36" s="34" t="s">
        <v>347</v>
      </c>
      <c r="F36" s="421" t="s">
        <v>421</v>
      </c>
      <c r="G36" s="421"/>
      <c r="H36" s="2"/>
      <c r="I36" s="529">
        <v>45717</v>
      </c>
      <c r="J36" s="529"/>
      <c r="K36" s="529"/>
      <c r="L36" s="34" t="s">
        <v>428</v>
      </c>
      <c r="M36" s="272" t="s">
        <v>423</v>
      </c>
      <c r="N36" s="36"/>
      <c r="O36" s="2"/>
    </row>
    <row r="37" spans="1:15" ht="14.5" customHeight="1" x14ac:dyDescent="0.35">
      <c r="A37" s="34">
        <v>35</v>
      </c>
      <c r="B37" s="34" t="s">
        <v>107</v>
      </c>
      <c r="C37" s="34" t="s">
        <v>2066</v>
      </c>
      <c r="D37" s="34" t="s">
        <v>31</v>
      </c>
      <c r="E37" s="34" t="s">
        <v>347</v>
      </c>
      <c r="F37" s="421" t="s">
        <v>421</v>
      </c>
      <c r="G37" s="421"/>
      <c r="H37" s="2"/>
      <c r="I37" s="529">
        <v>45717</v>
      </c>
      <c r="J37" s="529"/>
      <c r="K37" s="529"/>
      <c r="L37" s="34" t="s">
        <v>426</v>
      </c>
      <c r="M37" s="272" t="s">
        <v>423</v>
      </c>
      <c r="N37" s="35" t="s">
        <v>424</v>
      </c>
      <c r="O37" s="2"/>
    </row>
    <row r="38" spans="1:15" ht="14.5" customHeight="1" x14ac:dyDescent="0.35">
      <c r="A38" s="34">
        <v>36</v>
      </c>
      <c r="B38" s="34" t="s">
        <v>72</v>
      </c>
      <c r="C38" s="34" t="s">
        <v>2066</v>
      </c>
      <c r="D38" s="34" t="s">
        <v>389</v>
      </c>
      <c r="E38" s="37" t="s">
        <v>347</v>
      </c>
      <c r="F38" s="421" t="s">
        <v>421</v>
      </c>
      <c r="G38" s="421"/>
      <c r="H38" s="2"/>
      <c r="I38" s="529">
        <v>45717</v>
      </c>
      <c r="J38" s="529"/>
      <c r="K38" s="529"/>
      <c r="L38" s="34" t="s">
        <v>425</v>
      </c>
      <c r="M38" s="272" t="s">
        <v>423</v>
      </c>
      <c r="N38" s="35" t="s">
        <v>424</v>
      </c>
      <c r="O38" s="2"/>
    </row>
    <row r="39" spans="1:15" ht="14.5" customHeight="1" x14ac:dyDescent="0.35">
      <c r="A39" s="34">
        <v>37</v>
      </c>
      <c r="B39" s="34" t="s">
        <v>87</v>
      </c>
      <c r="C39" s="34" t="s">
        <v>2066</v>
      </c>
      <c r="D39" s="34" t="s">
        <v>23</v>
      </c>
      <c r="E39" s="34" t="s">
        <v>347</v>
      </c>
      <c r="F39" s="421" t="s">
        <v>421</v>
      </c>
      <c r="G39" s="421"/>
      <c r="H39" s="2"/>
      <c r="I39" s="529">
        <v>45717</v>
      </c>
      <c r="J39" s="529"/>
      <c r="K39" s="529"/>
      <c r="L39" s="34" t="s">
        <v>428</v>
      </c>
      <c r="M39" s="272" t="s">
        <v>423</v>
      </c>
      <c r="N39" s="36"/>
      <c r="O39" s="2"/>
    </row>
    <row r="40" spans="1:15" ht="14.5" customHeight="1" x14ac:dyDescent="0.35">
      <c r="A40" s="34">
        <v>38</v>
      </c>
      <c r="B40" s="34" t="s">
        <v>75</v>
      </c>
      <c r="C40" s="34" t="s">
        <v>2066</v>
      </c>
      <c r="D40" s="34" t="s">
        <v>35</v>
      </c>
      <c r="E40" s="37" t="s">
        <v>347</v>
      </c>
      <c r="F40" s="421" t="s">
        <v>421</v>
      </c>
      <c r="G40" s="421"/>
      <c r="H40" s="2"/>
      <c r="I40" s="529">
        <v>45717</v>
      </c>
      <c r="J40" s="529"/>
      <c r="K40" s="529"/>
      <c r="L40" s="34" t="s">
        <v>429</v>
      </c>
      <c r="M40" s="272" t="s">
        <v>423</v>
      </c>
      <c r="N40" s="36"/>
      <c r="O40" s="2"/>
    </row>
    <row r="41" spans="1:15" ht="14.5" customHeight="1" x14ac:dyDescent="0.35">
      <c r="A41" s="34">
        <v>39</v>
      </c>
      <c r="B41" s="34" t="s">
        <v>88</v>
      </c>
      <c r="C41" s="34" t="s">
        <v>2066</v>
      </c>
      <c r="D41" s="34" t="s">
        <v>33</v>
      </c>
      <c r="E41" s="37" t="s">
        <v>347</v>
      </c>
      <c r="F41" s="421" t="s">
        <v>421</v>
      </c>
      <c r="G41" s="421"/>
      <c r="H41" s="2"/>
      <c r="I41" s="529">
        <v>45717</v>
      </c>
      <c r="J41" s="529"/>
      <c r="K41" s="529"/>
      <c r="L41" s="34" t="s">
        <v>428</v>
      </c>
      <c r="M41" s="272" t="s">
        <v>423</v>
      </c>
      <c r="N41" s="36"/>
      <c r="O41" s="2"/>
    </row>
    <row r="42" spans="1:15" ht="14.5" customHeight="1" x14ac:dyDescent="0.35">
      <c r="A42" s="34">
        <v>40</v>
      </c>
      <c r="B42" s="34" t="s">
        <v>106</v>
      </c>
      <c r="C42" s="34" t="s">
        <v>2066</v>
      </c>
      <c r="D42" s="34" t="s">
        <v>389</v>
      </c>
      <c r="E42" s="37" t="s">
        <v>347</v>
      </c>
      <c r="F42" s="421" t="s">
        <v>421</v>
      </c>
      <c r="G42" s="421"/>
      <c r="H42" s="2"/>
      <c r="I42" s="529">
        <v>45717</v>
      </c>
      <c r="J42" s="529"/>
      <c r="K42" s="529"/>
      <c r="L42" s="34" t="s">
        <v>426</v>
      </c>
      <c r="M42" s="272" t="s">
        <v>423</v>
      </c>
      <c r="N42" s="35" t="s">
        <v>424</v>
      </c>
      <c r="O42" s="2"/>
    </row>
    <row r="43" spans="1:15" ht="14.5" customHeight="1" x14ac:dyDescent="0.35">
      <c r="A43" s="34">
        <v>41</v>
      </c>
      <c r="B43" s="34" t="s">
        <v>71</v>
      </c>
      <c r="C43" s="34" t="s">
        <v>2066</v>
      </c>
      <c r="D43" s="34" t="s">
        <v>33</v>
      </c>
      <c r="E43" s="37" t="s">
        <v>347</v>
      </c>
      <c r="F43" s="421" t="s">
        <v>421</v>
      </c>
      <c r="G43" s="421"/>
      <c r="H43" s="2"/>
      <c r="I43" s="529">
        <v>45717</v>
      </c>
      <c r="J43" s="529"/>
      <c r="K43" s="529"/>
      <c r="L43" s="34" t="s">
        <v>425</v>
      </c>
      <c r="M43" s="272" t="s">
        <v>423</v>
      </c>
      <c r="N43" s="35" t="s">
        <v>424</v>
      </c>
      <c r="O43" s="2"/>
    </row>
    <row r="44" spans="1:15" ht="14.5" customHeight="1" x14ac:dyDescent="0.35">
      <c r="A44" s="34">
        <v>42</v>
      </c>
      <c r="B44" s="34" t="s">
        <v>76</v>
      </c>
      <c r="C44" s="34" t="s">
        <v>2066</v>
      </c>
      <c r="D44" s="34" t="s">
        <v>31</v>
      </c>
      <c r="E44" s="34" t="s">
        <v>347</v>
      </c>
      <c r="F44" s="421" t="s">
        <v>421</v>
      </c>
      <c r="G44" s="421"/>
      <c r="H44" s="2"/>
      <c r="I44" s="529">
        <v>45717</v>
      </c>
      <c r="J44" s="529"/>
      <c r="K44" s="529"/>
      <c r="L44" s="34" t="s">
        <v>429</v>
      </c>
      <c r="M44" s="272" t="s">
        <v>423</v>
      </c>
      <c r="N44" s="36"/>
      <c r="O44" s="2"/>
    </row>
    <row r="45" spans="1:15" ht="14.5" customHeight="1" x14ac:dyDescent="0.35">
      <c r="A45" s="34">
        <v>43</v>
      </c>
      <c r="B45" s="34" t="s">
        <v>86</v>
      </c>
      <c r="C45" s="34" t="s">
        <v>2066</v>
      </c>
      <c r="D45" s="34" t="s">
        <v>31</v>
      </c>
      <c r="E45" s="34" t="s">
        <v>347</v>
      </c>
      <c r="F45" s="421" t="s">
        <v>421</v>
      </c>
      <c r="G45" s="421"/>
      <c r="H45" s="2"/>
      <c r="I45" s="529">
        <v>45717</v>
      </c>
      <c r="J45" s="529"/>
      <c r="K45" s="529"/>
      <c r="L45" s="34" t="s">
        <v>428</v>
      </c>
      <c r="M45" s="272" t="s">
        <v>423</v>
      </c>
      <c r="N45" s="36"/>
      <c r="O45" s="2"/>
    </row>
    <row r="46" spans="1:15" ht="14.5" customHeight="1" x14ac:dyDescent="0.35">
      <c r="A46" s="34">
        <v>44</v>
      </c>
      <c r="B46" s="34" t="s">
        <v>109</v>
      </c>
      <c r="C46" s="34" t="s">
        <v>2066</v>
      </c>
      <c r="D46" s="34" t="s">
        <v>31</v>
      </c>
      <c r="E46" s="34" t="s">
        <v>347</v>
      </c>
      <c r="F46" s="421" t="s">
        <v>421</v>
      </c>
      <c r="G46" s="421"/>
      <c r="H46" s="2"/>
      <c r="I46" s="529">
        <v>45717</v>
      </c>
      <c r="J46" s="529"/>
      <c r="K46" s="529"/>
      <c r="L46" s="34" t="s">
        <v>426</v>
      </c>
      <c r="M46" s="272" t="s">
        <v>423</v>
      </c>
      <c r="N46" s="35" t="s">
        <v>424</v>
      </c>
      <c r="O46" s="2"/>
    </row>
    <row r="47" spans="1:15" ht="14.5" customHeight="1" x14ac:dyDescent="0.35">
      <c r="A47" s="34">
        <v>45</v>
      </c>
      <c r="B47" s="34" t="s">
        <v>105</v>
      </c>
      <c r="C47" s="34" t="s">
        <v>2066</v>
      </c>
      <c r="D47" s="34" t="s">
        <v>16</v>
      </c>
      <c r="E47" s="37" t="s">
        <v>347</v>
      </c>
      <c r="F47" s="421" t="s">
        <v>421</v>
      </c>
      <c r="G47" s="421"/>
      <c r="H47" s="2"/>
      <c r="I47" s="529">
        <v>45717</v>
      </c>
      <c r="J47" s="529"/>
      <c r="K47" s="529"/>
      <c r="L47" s="34" t="s">
        <v>426</v>
      </c>
      <c r="M47" s="272" t="s">
        <v>423</v>
      </c>
      <c r="N47" s="35" t="s">
        <v>424</v>
      </c>
      <c r="O47" s="2"/>
    </row>
    <row r="48" spans="1:15" ht="14.5" customHeight="1" x14ac:dyDescent="0.35">
      <c r="A48" s="34">
        <v>46</v>
      </c>
      <c r="B48" s="34" t="s">
        <v>73</v>
      </c>
      <c r="C48" s="34" t="s">
        <v>2066</v>
      </c>
      <c r="D48" s="34" t="s">
        <v>23</v>
      </c>
      <c r="E48" s="34" t="s">
        <v>347</v>
      </c>
      <c r="F48" s="421" t="s">
        <v>421</v>
      </c>
      <c r="G48" s="421"/>
      <c r="H48" s="2"/>
      <c r="I48" s="529">
        <v>45717</v>
      </c>
      <c r="J48" s="529"/>
      <c r="K48" s="529"/>
      <c r="L48" s="34" t="s">
        <v>425</v>
      </c>
      <c r="M48" s="272" t="s">
        <v>423</v>
      </c>
      <c r="N48" s="35" t="s">
        <v>424</v>
      </c>
      <c r="O48" s="2"/>
    </row>
    <row r="49" spans="1:15" ht="14.5" customHeight="1" x14ac:dyDescent="0.35">
      <c r="A49" s="34">
        <v>47</v>
      </c>
      <c r="B49" s="34" t="s">
        <v>74</v>
      </c>
      <c r="C49" s="34" t="s">
        <v>2066</v>
      </c>
      <c r="D49" s="34" t="s">
        <v>31</v>
      </c>
      <c r="E49" s="34" t="s">
        <v>347</v>
      </c>
      <c r="F49" s="421" t="s">
        <v>421</v>
      </c>
      <c r="G49" s="421"/>
      <c r="H49" s="2"/>
      <c r="I49" s="529">
        <v>45717</v>
      </c>
      <c r="J49" s="529"/>
      <c r="K49" s="529"/>
      <c r="L49" s="34" t="s">
        <v>429</v>
      </c>
      <c r="M49" s="272" t="s">
        <v>423</v>
      </c>
      <c r="N49" s="36"/>
      <c r="O49" s="2"/>
    </row>
    <row r="50" spans="1:15" ht="14.5" customHeight="1" x14ac:dyDescent="0.35">
      <c r="A50" s="34">
        <v>48</v>
      </c>
      <c r="B50" s="34" t="s">
        <v>111</v>
      </c>
      <c r="C50" s="34" t="s">
        <v>2066</v>
      </c>
      <c r="D50" s="34" t="s">
        <v>31</v>
      </c>
      <c r="E50" s="34" t="s">
        <v>347</v>
      </c>
      <c r="F50" s="421" t="s">
        <v>421</v>
      </c>
      <c r="G50" s="421"/>
      <c r="H50" s="2"/>
      <c r="I50" s="529">
        <v>45717</v>
      </c>
      <c r="J50" s="529"/>
      <c r="K50" s="529"/>
      <c r="L50" s="34" t="s">
        <v>426</v>
      </c>
      <c r="M50" s="272" t="s">
        <v>423</v>
      </c>
      <c r="N50" s="35" t="s">
        <v>424</v>
      </c>
      <c r="O50" s="2"/>
    </row>
    <row r="51" spans="1:15" ht="14.5" customHeight="1" x14ac:dyDescent="0.35">
      <c r="A51" s="34">
        <v>49</v>
      </c>
      <c r="B51" s="34" t="s">
        <v>110</v>
      </c>
      <c r="C51" s="34" t="s">
        <v>2066</v>
      </c>
      <c r="D51" s="34" t="s">
        <v>16</v>
      </c>
      <c r="E51" s="34" t="s">
        <v>349</v>
      </c>
      <c r="F51" s="421" t="s">
        <v>421</v>
      </c>
      <c r="G51" s="421"/>
      <c r="H51" s="2"/>
      <c r="I51" s="529">
        <v>45717</v>
      </c>
      <c r="J51" s="529"/>
      <c r="K51" s="529"/>
      <c r="L51" s="34" t="s">
        <v>426</v>
      </c>
      <c r="M51" s="272" t="s">
        <v>423</v>
      </c>
      <c r="N51" s="35" t="s">
        <v>424</v>
      </c>
      <c r="O51" s="2"/>
    </row>
    <row r="52" spans="1:15" ht="14.5" customHeight="1" x14ac:dyDescent="0.35">
      <c r="A52" s="34">
        <v>50</v>
      </c>
      <c r="B52" s="34" t="s">
        <v>136</v>
      </c>
      <c r="C52" s="34" t="s">
        <v>2066</v>
      </c>
      <c r="D52" s="34" t="s">
        <v>16</v>
      </c>
      <c r="E52" s="37" t="s">
        <v>347</v>
      </c>
      <c r="F52" s="421" t="s">
        <v>421</v>
      </c>
      <c r="G52" s="421"/>
      <c r="H52" s="2"/>
      <c r="I52" s="529">
        <v>45717</v>
      </c>
      <c r="J52" s="529"/>
      <c r="K52" s="529"/>
      <c r="L52" s="34" t="s">
        <v>426</v>
      </c>
      <c r="M52" s="272" t="s">
        <v>423</v>
      </c>
      <c r="N52" s="35" t="s">
        <v>424</v>
      </c>
      <c r="O52" s="2"/>
    </row>
    <row r="53" spans="1:15" ht="14.5" customHeight="1" x14ac:dyDescent="0.35">
      <c r="A53" s="34">
        <v>51</v>
      </c>
      <c r="B53" s="34" t="s">
        <v>134</v>
      </c>
      <c r="C53" s="34" t="s">
        <v>2066</v>
      </c>
      <c r="D53" s="34" t="s">
        <v>31</v>
      </c>
      <c r="E53" s="34" t="s">
        <v>347</v>
      </c>
      <c r="F53" s="421" t="s">
        <v>421</v>
      </c>
      <c r="G53" s="421"/>
      <c r="H53" s="2"/>
      <c r="I53" s="529">
        <v>45717</v>
      </c>
      <c r="J53" s="529"/>
      <c r="K53" s="529"/>
      <c r="L53" s="34" t="s">
        <v>426</v>
      </c>
      <c r="M53" s="272" t="s">
        <v>423</v>
      </c>
      <c r="N53" s="35" t="s">
        <v>424</v>
      </c>
      <c r="O53" s="2"/>
    </row>
    <row r="54" spans="1:15" ht="14.5" customHeight="1" x14ac:dyDescent="0.35">
      <c r="A54" s="34">
        <v>52</v>
      </c>
      <c r="B54" s="34" t="s">
        <v>211</v>
      </c>
      <c r="C54" s="34" t="s">
        <v>2067</v>
      </c>
      <c r="D54" s="34" t="s">
        <v>31</v>
      </c>
      <c r="E54" s="34" t="s">
        <v>347</v>
      </c>
      <c r="F54" s="421" t="s">
        <v>421</v>
      </c>
      <c r="G54" s="421"/>
      <c r="H54" s="2"/>
      <c r="I54" s="529">
        <v>45717</v>
      </c>
      <c r="J54" s="529"/>
      <c r="K54" s="529"/>
      <c r="L54" s="34" t="s">
        <v>429</v>
      </c>
      <c r="M54" s="272" t="s">
        <v>423</v>
      </c>
      <c r="N54" s="35" t="s">
        <v>424</v>
      </c>
      <c r="O54" s="2"/>
    </row>
    <row r="55" spans="1:15" ht="14.5" customHeight="1" x14ac:dyDescent="0.35">
      <c r="A55" s="34">
        <v>53</v>
      </c>
      <c r="B55" s="34" t="s">
        <v>214</v>
      </c>
      <c r="C55" s="34" t="s">
        <v>2067</v>
      </c>
      <c r="D55" s="34" t="s">
        <v>31</v>
      </c>
      <c r="E55" s="34" t="s">
        <v>347</v>
      </c>
      <c r="F55" s="421" t="s">
        <v>421</v>
      </c>
      <c r="G55" s="421"/>
      <c r="H55" s="2"/>
      <c r="I55" s="529">
        <v>45748</v>
      </c>
      <c r="J55" s="529"/>
      <c r="K55" s="529"/>
      <c r="L55" s="34" t="s">
        <v>425</v>
      </c>
      <c r="M55" s="272" t="s">
        <v>423</v>
      </c>
      <c r="N55" s="35" t="s">
        <v>424</v>
      </c>
      <c r="O55" s="2"/>
    </row>
    <row r="56" spans="1:15" ht="14.5" customHeight="1" x14ac:dyDescent="0.35">
      <c r="A56" s="34">
        <v>54</v>
      </c>
      <c r="B56" s="34" t="s">
        <v>139</v>
      </c>
      <c r="C56" s="34" t="s">
        <v>2066</v>
      </c>
      <c r="D56" s="34" t="s">
        <v>33</v>
      </c>
      <c r="E56" s="37" t="s">
        <v>347</v>
      </c>
      <c r="F56" s="421" t="s">
        <v>421</v>
      </c>
      <c r="G56" s="421"/>
      <c r="H56" s="2"/>
      <c r="I56" s="529">
        <v>45748</v>
      </c>
      <c r="J56" s="529"/>
      <c r="K56" s="529"/>
      <c r="L56" s="34" t="s">
        <v>426</v>
      </c>
      <c r="M56" s="272" t="s">
        <v>423</v>
      </c>
      <c r="N56" s="35" t="s">
        <v>424</v>
      </c>
      <c r="O56" s="2"/>
    </row>
    <row r="57" spans="1:15" ht="14.5" customHeight="1" x14ac:dyDescent="0.35">
      <c r="A57" s="34">
        <v>55</v>
      </c>
      <c r="B57" s="34" t="s">
        <v>135</v>
      </c>
      <c r="C57" s="34" t="s">
        <v>2066</v>
      </c>
      <c r="D57" s="34" t="s">
        <v>31</v>
      </c>
      <c r="E57" s="34" t="s">
        <v>347</v>
      </c>
      <c r="F57" s="421" t="s">
        <v>421</v>
      </c>
      <c r="G57" s="421"/>
      <c r="H57" s="2"/>
      <c r="I57" s="529">
        <v>45748</v>
      </c>
      <c r="J57" s="529"/>
      <c r="K57" s="529"/>
      <c r="L57" s="34" t="s">
        <v>426</v>
      </c>
      <c r="M57" s="272" t="s">
        <v>423</v>
      </c>
      <c r="N57" s="35" t="s">
        <v>424</v>
      </c>
      <c r="O57" s="2"/>
    </row>
    <row r="58" spans="1:15" ht="14.5" customHeight="1" x14ac:dyDescent="0.35">
      <c r="A58" s="34">
        <v>56</v>
      </c>
      <c r="B58" s="34" t="s">
        <v>209</v>
      </c>
      <c r="C58" s="34" t="s">
        <v>2067</v>
      </c>
      <c r="D58" s="34" t="s">
        <v>31</v>
      </c>
      <c r="E58" s="34" t="s">
        <v>347</v>
      </c>
      <c r="F58" s="421" t="s">
        <v>421</v>
      </c>
      <c r="G58" s="421"/>
      <c r="H58" s="2"/>
      <c r="I58" s="529">
        <v>45748</v>
      </c>
      <c r="J58" s="529"/>
      <c r="K58" s="529"/>
      <c r="L58" s="34" t="s">
        <v>429</v>
      </c>
      <c r="M58" s="272" t="s">
        <v>423</v>
      </c>
      <c r="N58" s="35" t="s">
        <v>424</v>
      </c>
      <c r="O58" s="2"/>
    </row>
    <row r="59" spans="1:15" ht="14.5" customHeight="1" x14ac:dyDescent="0.35">
      <c r="A59" s="34">
        <v>57</v>
      </c>
      <c r="B59" s="34" t="s">
        <v>210</v>
      </c>
      <c r="C59" s="34" t="s">
        <v>2067</v>
      </c>
      <c r="D59" s="34" t="s">
        <v>31</v>
      </c>
      <c r="E59" s="34" t="s">
        <v>347</v>
      </c>
      <c r="F59" s="421" t="s">
        <v>421</v>
      </c>
      <c r="G59" s="421"/>
      <c r="H59" s="2"/>
      <c r="I59" s="529">
        <v>45748</v>
      </c>
      <c r="J59" s="529"/>
      <c r="K59" s="529"/>
      <c r="L59" s="34" t="s">
        <v>429</v>
      </c>
      <c r="M59" s="272" t="s">
        <v>423</v>
      </c>
      <c r="N59" s="35" t="s">
        <v>424</v>
      </c>
      <c r="O59" s="2"/>
    </row>
    <row r="60" spans="1:15" ht="14.5" customHeight="1" x14ac:dyDescent="0.35">
      <c r="A60" s="34">
        <v>58</v>
      </c>
      <c r="B60" s="34" t="s">
        <v>212</v>
      </c>
      <c r="C60" s="34" t="s">
        <v>2067</v>
      </c>
      <c r="D60" s="34" t="s">
        <v>31</v>
      </c>
      <c r="E60" s="34" t="s">
        <v>347</v>
      </c>
      <c r="F60" s="421" t="s">
        <v>421</v>
      </c>
      <c r="G60" s="421"/>
      <c r="H60" s="2"/>
      <c r="I60" s="529">
        <v>45748</v>
      </c>
      <c r="J60" s="529"/>
      <c r="K60" s="529"/>
      <c r="L60" s="34" t="s">
        <v>425</v>
      </c>
      <c r="M60" s="272" t="s">
        <v>423</v>
      </c>
      <c r="N60" s="35" t="s">
        <v>424</v>
      </c>
      <c r="O60" s="2"/>
    </row>
    <row r="61" spans="1:15" ht="14.5" customHeight="1" x14ac:dyDescent="0.35">
      <c r="A61" s="34">
        <v>59</v>
      </c>
      <c r="B61" s="34" t="s">
        <v>142</v>
      </c>
      <c r="C61" s="34" t="s">
        <v>2066</v>
      </c>
      <c r="D61" s="34" t="s">
        <v>14</v>
      </c>
      <c r="E61" s="34" t="s">
        <v>347</v>
      </c>
      <c r="F61" s="421" t="s">
        <v>421</v>
      </c>
      <c r="G61" s="421"/>
      <c r="H61" s="2"/>
      <c r="I61" s="529">
        <v>45748</v>
      </c>
      <c r="J61" s="529"/>
      <c r="K61" s="529"/>
      <c r="L61" s="34" t="s">
        <v>426</v>
      </c>
      <c r="M61" s="272" t="s">
        <v>423</v>
      </c>
      <c r="N61" s="35" t="s">
        <v>424</v>
      </c>
      <c r="O61" s="2"/>
    </row>
    <row r="62" spans="1:15" ht="14.5" customHeight="1" x14ac:dyDescent="0.35">
      <c r="A62" s="34">
        <v>60</v>
      </c>
      <c r="B62" s="262" t="s">
        <v>140</v>
      </c>
      <c r="C62" s="34" t="s">
        <v>2066</v>
      </c>
      <c r="D62" s="34" t="s">
        <v>31</v>
      </c>
      <c r="E62" s="34" t="s">
        <v>347</v>
      </c>
      <c r="F62" s="421" t="s">
        <v>421</v>
      </c>
      <c r="G62" s="421"/>
      <c r="H62" s="2"/>
      <c r="I62" s="529">
        <v>45748</v>
      </c>
      <c r="J62" s="529"/>
      <c r="K62" s="529"/>
      <c r="L62" s="34" t="s">
        <v>426</v>
      </c>
      <c r="M62" s="272" t="s">
        <v>423</v>
      </c>
      <c r="N62" s="36"/>
      <c r="O62" s="2"/>
    </row>
    <row r="63" spans="1:15" ht="14.5" customHeight="1" x14ac:dyDescent="0.35">
      <c r="A63" s="34">
        <v>61</v>
      </c>
      <c r="B63" s="263" t="s">
        <v>124</v>
      </c>
      <c r="C63" s="34" t="s">
        <v>2066</v>
      </c>
      <c r="D63" s="34" t="s">
        <v>23</v>
      </c>
      <c r="E63" s="34" t="s">
        <v>348</v>
      </c>
      <c r="F63" s="421" t="s">
        <v>421</v>
      </c>
      <c r="G63" s="421"/>
      <c r="H63" s="2"/>
      <c r="I63" s="529">
        <v>45748</v>
      </c>
      <c r="J63" s="529"/>
      <c r="K63" s="529"/>
      <c r="L63" s="34" t="s">
        <v>430</v>
      </c>
      <c r="M63" s="272" t="s">
        <v>423</v>
      </c>
      <c r="N63" s="36"/>
      <c r="O63" s="2"/>
    </row>
    <row r="64" spans="1:15" ht="14.5" customHeight="1" x14ac:dyDescent="0.35">
      <c r="A64" s="34">
        <v>62</v>
      </c>
      <c r="B64" s="262" t="s">
        <v>141</v>
      </c>
      <c r="C64" s="34" t="s">
        <v>2066</v>
      </c>
      <c r="D64" s="34" t="s">
        <v>16</v>
      </c>
      <c r="E64" s="34" t="s">
        <v>347</v>
      </c>
      <c r="F64" s="421" t="s">
        <v>421</v>
      </c>
      <c r="G64" s="421"/>
      <c r="H64" s="2"/>
      <c r="I64" s="529">
        <v>45748</v>
      </c>
      <c r="J64" s="529"/>
      <c r="K64" s="529"/>
      <c r="L64" s="34" t="s">
        <v>426</v>
      </c>
      <c r="M64" s="272" t="s">
        <v>423</v>
      </c>
      <c r="N64" s="35" t="s">
        <v>424</v>
      </c>
      <c r="O64" s="2"/>
    </row>
    <row r="65" spans="1:15" ht="14.5" customHeight="1" x14ac:dyDescent="0.35">
      <c r="A65" s="34">
        <v>63</v>
      </c>
      <c r="B65" s="34" t="s">
        <v>208</v>
      </c>
      <c r="C65" s="34" t="s">
        <v>2067</v>
      </c>
      <c r="D65" s="34" t="s">
        <v>33</v>
      </c>
      <c r="E65" s="34" t="s">
        <v>348</v>
      </c>
      <c r="F65" s="421" t="s">
        <v>421</v>
      </c>
      <c r="G65" s="421"/>
      <c r="H65" s="2"/>
      <c r="I65" s="529">
        <v>45748</v>
      </c>
      <c r="J65" s="529"/>
      <c r="K65" s="529"/>
      <c r="L65" s="34" t="s">
        <v>429</v>
      </c>
      <c r="M65" s="272" t="s">
        <v>423</v>
      </c>
      <c r="N65" s="35" t="s">
        <v>424</v>
      </c>
      <c r="O65" s="2"/>
    </row>
    <row r="66" spans="1:15" ht="14.5" customHeight="1" x14ac:dyDescent="0.35">
      <c r="A66" s="34">
        <v>64</v>
      </c>
      <c r="B66" s="262" t="s">
        <v>143</v>
      </c>
      <c r="C66" s="34" t="s">
        <v>2066</v>
      </c>
      <c r="D66" s="34" t="s">
        <v>35</v>
      </c>
      <c r="E66" s="34" t="s">
        <v>347</v>
      </c>
      <c r="F66" s="421" t="s">
        <v>421</v>
      </c>
      <c r="G66" s="421"/>
      <c r="H66" s="2"/>
      <c r="I66" s="529">
        <v>45748</v>
      </c>
      <c r="J66" s="529"/>
      <c r="K66" s="529"/>
      <c r="L66" s="34" t="s">
        <v>426</v>
      </c>
      <c r="M66" s="272" t="s">
        <v>423</v>
      </c>
      <c r="N66" s="35" t="s">
        <v>424</v>
      </c>
      <c r="O66" s="2"/>
    </row>
    <row r="67" spans="1:15" ht="14.5" customHeight="1" x14ac:dyDescent="0.35">
      <c r="A67" s="34">
        <v>65</v>
      </c>
      <c r="B67" s="34" t="s">
        <v>220</v>
      </c>
      <c r="C67" s="34" t="s">
        <v>2067</v>
      </c>
      <c r="D67" s="34" t="s">
        <v>33</v>
      </c>
      <c r="E67" s="34" t="s">
        <v>347</v>
      </c>
      <c r="F67" s="421" t="s">
        <v>421</v>
      </c>
      <c r="G67" s="421"/>
      <c r="H67" s="2"/>
      <c r="I67" s="529">
        <v>45748</v>
      </c>
      <c r="J67" s="529"/>
      <c r="K67" s="529"/>
      <c r="L67" s="34" t="s">
        <v>425</v>
      </c>
      <c r="M67" s="272" t="s">
        <v>423</v>
      </c>
      <c r="N67" s="35" t="s">
        <v>424</v>
      </c>
      <c r="O67" s="2"/>
    </row>
    <row r="68" spans="1:15" ht="14.5" customHeight="1" x14ac:dyDescent="0.35">
      <c r="A68" s="34">
        <v>66</v>
      </c>
      <c r="B68" s="262" t="s">
        <v>144</v>
      </c>
      <c r="C68" s="34" t="s">
        <v>2066</v>
      </c>
      <c r="D68" s="34" t="s">
        <v>31</v>
      </c>
      <c r="E68" s="34" t="s">
        <v>347</v>
      </c>
      <c r="F68" s="421" t="s">
        <v>421</v>
      </c>
      <c r="G68" s="421"/>
      <c r="H68" s="2"/>
      <c r="I68" s="529">
        <v>45748</v>
      </c>
      <c r="J68" s="529"/>
      <c r="K68" s="529"/>
      <c r="L68" s="34" t="s">
        <v>426</v>
      </c>
      <c r="M68" s="272" t="s">
        <v>423</v>
      </c>
      <c r="N68" s="35" t="s">
        <v>424</v>
      </c>
      <c r="O68" s="2"/>
    </row>
    <row r="69" spans="1:15" ht="14.5" customHeight="1" x14ac:dyDescent="0.35">
      <c r="A69" s="34">
        <v>67</v>
      </c>
      <c r="B69" s="262" t="s">
        <v>138</v>
      </c>
      <c r="C69" s="34" t="s">
        <v>2066</v>
      </c>
      <c r="D69" s="34" t="s">
        <v>23</v>
      </c>
      <c r="E69" s="34" t="s">
        <v>347</v>
      </c>
      <c r="F69" s="421" t="s">
        <v>421</v>
      </c>
      <c r="G69" s="421"/>
      <c r="H69" s="2"/>
      <c r="I69" s="529">
        <v>45748</v>
      </c>
      <c r="J69" s="529"/>
      <c r="K69" s="529"/>
      <c r="L69" s="34" t="s">
        <v>426</v>
      </c>
      <c r="M69" s="272" t="s">
        <v>423</v>
      </c>
      <c r="N69" s="35" t="s">
        <v>424</v>
      </c>
      <c r="O69" s="2"/>
    </row>
    <row r="70" spans="1:15" ht="14.5" customHeight="1" x14ac:dyDescent="0.35">
      <c r="A70" s="34">
        <v>68</v>
      </c>
      <c r="B70" s="262" t="s">
        <v>125</v>
      </c>
      <c r="C70" s="34" t="s">
        <v>2066</v>
      </c>
      <c r="D70" s="34" t="s">
        <v>31</v>
      </c>
      <c r="E70" s="34" t="s">
        <v>348</v>
      </c>
      <c r="F70" s="421" t="s">
        <v>421</v>
      </c>
      <c r="G70" s="421"/>
      <c r="H70" s="2"/>
      <c r="I70" s="529">
        <v>45748</v>
      </c>
      <c r="J70" s="529"/>
      <c r="K70" s="529"/>
      <c r="L70" s="34" t="s">
        <v>430</v>
      </c>
      <c r="M70" s="272" t="s">
        <v>423</v>
      </c>
      <c r="N70" s="36"/>
      <c r="O70" s="2"/>
    </row>
    <row r="71" spans="1:15" ht="14.5" customHeight="1" x14ac:dyDescent="0.35">
      <c r="A71" s="34">
        <v>69</v>
      </c>
      <c r="B71" s="263" t="s">
        <v>224</v>
      </c>
      <c r="C71" s="34" t="s">
        <v>2067</v>
      </c>
      <c r="D71" s="34" t="s">
        <v>16</v>
      </c>
      <c r="E71" s="34" t="s">
        <v>347</v>
      </c>
      <c r="F71" s="421" t="s">
        <v>421</v>
      </c>
      <c r="G71" s="421"/>
      <c r="H71" s="2"/>
      <c r="I71" s="529">
        <v>45748</v>
      </c>
      <c r="J71" s="529"/>
      <c r="K71" s="529"/>
      <c r="L71" s="34" t="s">
        <v>429</v>
      </c>
      <c r="M71" s="272" t="s">
        <v>423</v>
      </c>
      <c r="N71" s="35" t="s">
        <v>424</v>
      </c>
      <c r="O71" s="2"/>
    </row>
    <row r="72" spans="1:15" ht="14.5" customHeight="1" x14ac:dyDescent="0.35">
      <c r="A72" s="34">
        <v>70</v>
      </c>
      <c r="B72" s="34" t="s">
        <v>137</v>
      </c>
      <c r="C72" s="34" t="s">
        <v>2066</v>
      </c>
      <c r="D72" s="34" t="s">
        <v>23</v>
      </c>
      <c r="E72" s="34" t="s">
        <v>347</v>
      </c>
      <c r="F72" s="421" t="s">
        <v>421</v>
      </c>
      <c r="G72" s="421"/>
      <c r="H72" s="2"/>
      <c r="I72" s="529">
        <v>45748</v>
      </c>
      <c r="J72" s="529"/>
      <c r="K72" s="529"/>
      <c r="L72" s="34" t="s">
        <v>426</v>
      </c>
      <c r="M72" s="272" t="s">
        <v>423</v>
      </c>
      <c r="N72" s="35" t="s">
        <v>424</v>
      </c>
      <c r="O72" s="2"/>
    </row>
    <row r="73" spans="1:15" ht="14.5" customHeight="1" x14ac:dyDescent="0.35">
      <c r="A73" s="34">
        <v>71</v>
      </c>
      <c r="B73" s="34" t="s">
        <v>239</v>
      </c>
      <c r="C73" s="34" t="s">
        <v>2067</v>
      </c>
      <c r="D73" s="34" t="s">
        <v>33</v>
      </c>
      <c r="E73" s="34" t="s">
        <v>347</v>
      </c>
      <c r="F73" s="421" t="s">
        <v>421</v>
      </c>
      <c r="G73" s="421"/>
      <c r="H73" s="2"/>
      <c r="I73" s="529">
        <v>45748</v>
      </c>
      <c r="J73" s="529"/>
      <c r="K73" s="529"/>
      <c r="L73" s="34" t="s">
        <v>428</v>
      </c>
      <c r="M73" s="272" t="s">
        <v>423</v>
      </c>
      <c r="N73" s="35" t="s">
        <v>424</v>
      </c>
      <c r="O73" s="2"/>
    </row>
    <row r="74" spans="1:15" ht="14.5" customHeight="1" x14ac:dyDescent="0.35">
      <c r="A74" s="34">
        <v>72</v>
      </c>
      <c r="B74" s="34" t="s">
        <v>221</v>
      </c>
      <c r="C74" s="34" t="s">
        <v>2067</v>
      </c>
      <c r="D74" s="34" t="s">
        <v>31</v>
      </c>
      <c r="E74" s="34" t="s">
        <v>347</v>
      </c>
      <c r="F74" s="421" t="s">
        <v>421</v>
      </c>
      <c r="G74" s="421"/>
      <c r="H74" s="2"/>
      <c r="I74" s="529">
        <v>45748</v>
      </c>
      <c r="J74" s="529"/>
      <c r="K74" s="529"/>
      <c r="L74" s="34" t="s">
        <v>425</v>
      </c>
      <c r="M74" s="272" t="s">
        <v>423</v>
      </c>
      <c r="N74" s="35" t="s">
        <v>424</v>
      </c>
      <c r="O74" s="2"/>
    </row>
    <row r="75" spans="1:15" ht="14.5" customHeight="1" x14ac:dyDescent="0.35">
      <c r="A75" s="34">
        <v>73</v>
      </c>
      <c r="B75" s="262" t="s">
        <v>149</v>
      </c>
      <c r="C75" s="34" t="s">
        <v>2066</v>
      </c>
      <c r="D75" s="34" t="s">
        <v>35</v>
      </c>
      <c r="E75" s="34" t="s">
        <v>347</v>
      </c>
      <c r="F75" s="421" t="s">
        <v>421</v>
      </c>
      <c r="G75" s="421"/>
      <c r="H75" s="2"/>
      <c r="I75" s="529">
        <v>45748</v>
      </c>
      <c r="J75" s="529"/>
      <c r="K75" s="529"/>
      <c r="L75" s="34" t="s">
        <v>426</v>
      </c>
      <c r="M75" s="272" t="s">
        <v>423</v>
      </c>
      <c r="N75" s="35" t="s">
        <v>424</v>
      </c>
      <c r="O75" s="2"/>
    </row>
    <row r="76" spans="1:15" ht="14.5" customHeight="1" x14ac:dyDescent="0.35">
      <c r="A76" s="34">
        <v>74</v>
      </c>
      <c r="B76" s="263" t="s">
        <v>58</v>
      </c>
      <c r="C76" s="34" t="s">
        <v>2066</v>
      </c>
      <c r="D76" s="34" t="s">
        <v>389</v>
      </c>
      <c r="E76" s="34" t="s">
        <v>348</v>
      </c>
      <c r="F76" s="421" t="s">
        <v>421</v>
      </c>
      <c r="G76" s="421"/>
      <c r="H76" s="2"/>
      <c r="I76" s="529">
        <v>45748</v>
      </c>
      <c r="J76" s="529"/>
      <c r="K76" s="529"/>
      <c r="L76" s="34" t="s">
        <v>422</v>
      </c>
      <c r="M76" s="272" t="s">
        <v>423</v>
      </c>
      <c r="N76" s="36"/>
      <c r="O76" s="2"/>
    </row>
    <row r="77" spans="1:15" ht="14.5" customHeight="1" x14ac:dyDescent="0.35">
      <c r="A77" s="34">
        <v>75</v>
      </c>
      <c r="B77" s="262" t="s">
        <v>150</v>
      </c>
      <c r="C77" s="34" t="s">
        <v>2066</v>
      </c>
      <c r="D77" s="34" t="s">
        <v>16</v>
      </c>
      <c r="E77" s="34" t="s">
        <v>347</v>
      </c>
      <c r="F77" s="421" t="s">
        <v>421</v>
      </c>
      <c r="G77" s="421"/>
      <c r="H77" s="2"/>
      <c r="I77" s="529">
        <v>45748</v>
      </c>
      <c r="J77" s="529"/>
      <c r="K77" s="529"/>
      <c r="L77" s="34" t="s">
        <v>426</v>
      </c>
      <c r="M77" s="272" t="s">
        <v>423</v>
      </c>
      <c r="N77" s="35" t="s">
        <v>424</v>
      </c>
      <c r="O77" s="2"/>
    </row>
    <row r="78" spans="1:15" ht="14.5" customHeight="1" x14ac:dyDescent="0.35">
      <c r="A78" s="34">
        <v>76</v>
      </c>
      <c r="B78" s="263" t="s">
        <v>240</v>
      </c>
      <c r="C78" s="34" t="s">
        <v>2067</v>
      </c>
      <c r="D78" s="34" t="s">
        <v>31</v>
      </c>
      <c r="E78" s="34" t="s">
        <v>347</v>
      </c>
      <c r="F78" s="421" t="s">
        <v>421</v>
      </c>
      <c r="G78" s="421"/>
      <c r="H78" s="2"/>
      <c r="I78" s="529">
        <v>45748</v>
      </c>
      <c r="J78" s="529"/>
      <c r="K78" s="529"/>
      <c r="L78" s="34" t="s">
        <v>428</v>
      </c>
      <c r="M78" s="272" t="s">
        <v>423</v>
      </c>
      <c r="N78" s="35" t="s">
        <v>424</v>
      </c>
      <c r="O78" s="2"/>
    </row>
    <row r="79" spans="1:15" ht="14.5" customHeight="1" x14ac:dyDescent="0.35">
      <c r="A79" s="34">
        <v>77</v>
      </c>
      <c r="B79" s="263" t="s">
        <v>225</v>
      </c>
      <c r="C79" s="34" t="s">
        <v>2067</v>
      </c>
      <c r="D79" s="34" t="s">
        <v>14</v>
      </c>
      <c r="E79" s="34" t="s">
        <v>347</v>
      </c>
      <c r="F79" s="421" t="s">
        <v>421</v>
      </c>
      <c r="G79" s="421"/>
      <c r="H79" s="2"/>
      <c r="I79" s="529">
        <v>45748</v>
      </c>
      <c r="J79" s="529"/>
      <c r="K79" s="529"/>
      <c r="L79" s="34" t="s">
        <v>429</v>
      </c>
      <c r="M79" s="272" t="s">
        <v>423</v>
      </c>
      <c r="N79" s="35" t="s">
        <v>424</v>
      </c>
      <c r="O79" s="2"/>
    </row>
    <row r="80" spans="1:15" ht="14.5" customHeight="1" x14ac:dyDescent="0.35">
      <c r="A80" s="34">
        <v>78</v>
      </c>
      <c r="B80" s="263" t="s">
        <v>222</v>
      </c>
      <c r="C80" s="34" t="s">
        <v>2067</v>
      </c>
      <c r="D80" s="34" t="s">
        <v>31</v>
      </c>
      <c r="E80" s="34" t="s">
        <v>347</v>
      </c>
      <c r="F80" s="421" t="s">
        <v>421</v>
      </c>
      <c r="G80" s="421"/>
      <c r="H80" s="2"/>
      <c r="I80" s="529">
        <v>45748</v>
      </c>
      <c r="J80" s="529"/>
      <c r="K80" s="529"/>
      <c r="L80" s="34" t="s">
        <v>425</v>
      </c>
      <c r="M80" s="272" t="s">
        <v>423</v>
      </c>
      <c r="N80" s="35" t="s">
        <v>424</v>
      </c>
      <c r="O80" s="2"/>
    </row>
    <row r="81" spans="1:15" ht="14.5" customHeight="1" x14ac:dyDescent="0.35">
      <c r="A81" s="34">
        <v>79</v>
      </c>
      <c r="B81" s="263" t="s">
        <v>126</v>
      </c>
      <c r="C81" s="34" t="s">
        <v>2066</v>
      </c>
      <c r="D81" s="34" t="s">
        <v>31</v>
      </c>
      <c r="E81" s="34" t="s">
        <v>347</v>
      </c>
      <c r="F81" s="421" t="s">
        <v>421</v>
      </c>
      <c r="G81" s="421"/>
      <c r="H81" s="2"/>
      <c r="I81" s="529">
        <v>45748</v>
      </c>
      <c r="J81" s="529"/>
      <c r="K81" s="529"/>
      <c r="L81" s="34" t="s">
        <v>430</v>
      </c>
      <c r="M81" s="272" t="s">
        <v>423</v>
      </c>
      <c r="N81" s="36"/>
      <c r="O81" s="2"/>
    </row>
    <row r="82" spans="1:15" ht="14.5" customHeight="1" x14ac:dyDescent="0.35">
      <c r="A82" s="34">
        <v>80</v>
      </c>
      <c r="B82" s="262" t="s">
        <v>62</v>
      </c>
      <c r="C82" s="34" t="s">
        <v>2066</v>
      </c>
      <c r="D82" s="34" t="s">
        <v>33</v>
      </c>
      <c r="E82" s="34" t="s">
        <v>347</v>
      </c>
      <c r="F82" s="421" t="s">
        <v>421</v>
      </c>
      <c r="G82" s="421"/>
      <c r="H82" s="2"/>
      <c r="I82" s="529">
        <v>45748</v>
      </c>
      <c r="J82" s="529"/>
      <c r="K82" s="529"/>
      <c r="L82" s="34" t="s">
        <v>431</v>
      </c>
      <c r="M82" s="272" t="s">
        <v>423</v>
      </c>
      <c r="N82" s="36"/>
      <c r="O82" s="2"/>
    </row>
    <row r="83" spans="1:15" ht="14.5" customHeight="1" x14ac:dyDescent="0.35">
      <c r="A83" s="34">
        <v>81</v>
      </c>
      <c r="B83" s="262" t="s">
        <v>151</v>
      </c>
      <c r="C83" s="34" t="s">
        <v>2066</v>
      </c>
      <c r="D83" s="34" t="s">
        <v>16</v>
      </c>
      <c r="E83" s="34" t="s">
        <v>349</v>
      </c>
      <c r="F83" s="421" t="s">
        <v>421</v>
      </c>
      <c r="G83" s="421"/>
      <c r="H83" s="2"/>
      <c r="I83" s="529">
        <v>45748</v>
      </c>
      <c r="J83" s="529"/>
      <c r="K83" s="529"/>
      <c r="L83" s="34" t="s">
        <v>426</v>
      </c>
      <c r="M83" s="272" t="s">
        <v>423</v>
      </c>
      <c r="N83" s="35" t="s">
        <v>424</v>
      </c>
      <c r="O83" s="2"/>
    </row>
    <row r="84" spans="1:15" ht="14.5" customHeight="1" x14ac:dyDescent="0.35">
      <c r="A84" s="34">
        <v>82</v>
      </c>
      <c r="B84" s="263" t="s">
        <v>152</v>
      </c>
      <c r="C84" s="34" t="s">
        <v>2066</v>
      </c>
      <c r="D84" s="34" t="s">
        <v>23</v>
      </c>
      <c r="E84" s="34" t="s">
        <v>347</v>
      </c>
      <c r="F84" s="421" t="s">
        <v>421</v>
      </c>
      <c r="G84" s="421"/>
      <c r="H84" s="2"/>
      <c r="I84" s="529">
        <v>45748</v>
      </c>
      <c r="J84" s="529"/>
      <c r="K84" s="529"/>
      <c r="L84" s="34" t="s">
        <v>426</v>
      </c>
      <c r="M84" s="272" t="s">
        <v>423</v>
      </c>
      <c r="N84" s="35" t="s">
        <v>424</v>
      </c>
      <c r="O84" s="2"/>
    </row>
    <row r="85" spans="1:15" ht="14.5" customHeight="1" x14ac:dyDescent="0.35">
      <c r="A85" s="34">
        <v>83</v>
      </c>
      <c r="B85" s="262" t="s">
        <v>157</v>
      </c>
      <c r="C85" s="34" t="s">
        <v>2066</v>
      </c>
      <c r="D85" s="34" t="s">
        <v>31</v>
      </c>
      <c r="E85" s="34" t="s">
        <v>349</v>
      </c>
      <c r="F85" s="421" t="s">
        <v>421</v>
      </c>
      <c r="G85" s="421"/>
      <c r="H85" s="2"/>
      <c r="I85" s="529">
        <v>45748</v>
      </c>
      <c r="J85" s="529"/>
      <c r="K85" s="529"/>
      <c r="L85" s="34" t="s">
        <v>426</v>
      </c>
      <c r="M85" s="272" t="s">
        <v>423</v>
      </c>
      <c r="N85" s="35" t="s">
        <v>424</v>
      </c>
      <c r="O85" s="2"/>
    </row>
    <row r="86" spans="1:15" ht="14.5" customHeight="1" x14ac:dyDescent="0.35">
      <c r="A86" s="34">
        <v>84</v>
      </c>
      <c r="B86" s="263" t="s">
        <v>160</v>
      </c>
      <c r="C86" s="34" t="s">
        <v>2066</v>
      </c>
      <c r="D86" s="34" t="s">
        <v>14</v>
      </c>
      <c r="E86" s="34" t="s">
        <v>347</v>
      </c>
      <c r="F86" s="421" t="s">
        <v>421</v>
      </c>
      <c r="G86" s="421"/>
      <c r="H86" s="2"/>
      <c r="I86" s="529">
        <v>45748</v>
      </c>
      <c r="J86" s="529"/>
      <c r="K86" s="529"/>
      <c r="L86" s="34" t="s">
        <v>426</v>
      </c>
      <c r="M86" s="272" t="s">
        <v>423</v>
      </c>
      <c r="N86" s="35" t="s">
        <v>424</v>
      </c>
      <c r="O86" s="2"/>
    </row>
    <row r="87" spans="1:15" ht="14.5" customHeight="1" x14ac:dyDescent="0.35">
      <c r="A87" s="34">
        <v>85</v>
      </c>
      <c r="B87" s="263" t="s">
        <v>59</v>
      </c>
      <c r="C87" s="263" t="s">
        <v>2066</v>
      </c>
      <c r="D87" s="34" t="s">
        <v>31</v>
      </c>
      <c r="E87" s="34" t="s">
        <v>348</v>
      </c>
      <c r="F87" s="421" t="s">
        <v>421</v>
      </c>
      <c r="G87" s="421"/>
      <c r="H87" s="2"/>
      <c r="I87" s="529">
        <v>45748</v>
      </c>
      <c r="J87" s="529"/>
      <c r="K87" s="529"/>
      <c r="L87" s="34" t="s">
        <v>422</v>
      </c>
      <c r="M87" s="272" t="s">
        <v>423</v>
      </c>
      <c r="N87" s="36"/>
      <c r="O87" s="2"/>
    </row>
    <row r="88" spans="1:15" ht="14.5" customHeight="1" x14ac:dyDescent="0.35">
      <c r="A88" s="34">
        <v>86</v>
      </c>
      <c r="B88" s="263" t="s">
        <v>228</v>
      </c>
      <c r="C88" s="34" t="s">
        <v>2067</v>
      </c>
      <c r="D88" s="34" t="s">
        <v>31</v>
      </c>
      <c r="E88" s="34" t="s">
        <v>347</v>
      </c>
      <c r="F88" s="421" t="s">
        <v>421</v>
      </c>
      <c r="G88" s="421"/>
      <c r="H88" s="2"/>
      <c r="I88" s="529">
        <v>45748</v>
      </c>
      <c r="J88" s="529"/>
      <c r="K88" s="529"/>
      <c r="L88" s="34" t="s">
        <v>429</v>
      </c>
      <c r="M88" s="272" t="s">
        <v>423</v>
      </c>
      <c r="N88" s="35" t="s">
        <v>424</v>
      </c>
      <c r="O88" s="2"/>
    </row>
    <row r="89" spans="1:15" ht="14.5" customHeight="1" x14ac:dyDescent="0.35">
      <c r="A89" s="34">
        <v>87</v>
      </c>
      <c r="B89" s="263" t="s">
        <v>215</v>
      </c>
      <c r="C89" s="34" t="s">
        <v>2067</v>
      </c>
      <c r="D89" s="34" t="s">
        <v>33</v>
      </c>
      <c r="E89" s="34" t="s">
        <v>347</v>
      </c>
      <c r="F89" s="421" t="s">
        <v>421</v>
      </c>
      <c r="G89" s="421"/>
      <c r="H89" s="2"/>
      <c r="I89" s="529">
        <v>45748</v>
      </c>
      <c r="J89" s="529"/>
      <c r="K89" s="529"/>
      <c r="L89" s="34" t="s">
        <v>425</v>
      </c>
      <c r="M89" s="272" t="s">
        <v>423</v>
      </c>
      <c r="N89" s="35" t="s">
        <v>424</v>
      </c>
      <c r="O89" s="2"/>
    </row>
    <row r="90" spans="1:15" ht="14.5" customHeight="1" x14ac:dyDescent="0.35">
      <c r="A90" s="34">
        <v>88</v>
      </c>
      <c r="B90" s="263" t="s">
        <v>195</v>
      </c>
      <c r="C90" s="34" t="s">
        <v>2066</v>
      </c>
      <c r="D90" s="34" t="s">
        <v>31</v>
      </c>
      <c r="E90" s="34" t="s">
        <v>349</v>
      </c>
      <c r="F90" s="421" t="s">
        <v>421</v>
      </c>
      <c r="G90" s="421"/>
      <c r="H90" s="2"/>
      <c r="I90" s="529">
        <v>45748</v>
      </c>
      <c r="J90" s="529"/>
      <c r="K90" s="529"/>
      <c r="L90" s="34" t="s">
        <v>428</v>
      </c>
      <c r="M90" s="272" t="s">
        <v>423</v>
      </c>
      <c r="N90" s="35" t="s">
        <v>424</v>
      </c>
      <c r="O90" s="2"/>
    </row>
    <row r="91" spans="1:15" ht="14.5" customHeight="1" x14ac:dyDescent="0.35">
      <c r="A91" s="34">
        <v>89</v>
      </c>
      <c r="B91" s="263" t="s">
        <v>159</v>
      </c>
      <c r="C91" s="34" t="s">
        <v>2066</v>
      </c>
      <c r="D91" s="34" t="s">
        <v>23</v>
      </c>
      <c r="E91" s="34" t="s">
        <v>347</v>
      </c>
      <c r="F91" s="421" t="s">
        <v>421</v>
      </c>
      <c r="G91" s="421"/>
      <c r="H91" s="2"/>
      <c r="I91" s="529">
        <v>45748</v>
      </c>
      <c r="J91" s="529"/>
      <c r="K91" s="529"/>
      <c r="L91" s="34" t="s">
        <v>426</v>
      </c>
      <c r="M91" s="272" t="s">
        <v>423</v>
      </c>
      <c r="N91" s="35" t="s">
        <v>424</v>
      </c>
      <c r="O91" s="2"/>
    </row>
    <row r="92" spans="1:15" ht="14.5" customHeight="1" x14ac:dyDescent="0.35">
      <c r="A92" s="34">
        <v>90</v>
      </c>
      <c r="B92" s="263" t="s">
        <v>127</v>
      </c>
      <c r="C92" s="34" t="s">
        <v>2066</v>
      </c>
      <c r="D92" s="34" t="s">
        <v>33</v>
      </c>
      <c r="E92" s="34" t="s">
        <v>347</v>
      </c>
      <c r="F92" s="421" t="s">
        <v>421</v>
      </c>
      <c r="G92" s="421"/>
      <c r="H92" s="2"/>
      <c r="I92" s="529">
        <v>45748</v>
      </c>
      <c r="J92" s="529"/>
      <c r="K92" s="529"/>
      <c r="L92" s="34" t="s">
        <v>430</v>
      </c>
      <c r="M92" s="272" t="s">
        <v>423</v>
      </c>
      <c r="N92" s="36"/>
      <c r="O92" s="2"/>
    </row>
    <row r="93" spans="1:15" ht="14.5" customHeight="1" x14ac:dyDescent="0.35">
      <c r="A93" s="34">
        <v>91</v>
      </c>
      <c r="B93" s="263" t="s">
        <v>194</v>
      </c>
      <c r="C93" s="34" t="s">
        <v>2066</v>
      </c>
      <c r="D93" s="34" t="s">
        <v>33</v>
      </c>
      <c r="E93" s="34" t="s">
        <v>347</v>
      </c>
      <c r="F93" s="421" t="s">
        <v>421</v>
      </c>
      <c r="G93" s="421"/>
      <c r="H93" s="2"/>
      <c r="I93" s="529">
        <v>45748</v>
      </c>
      <c r="J93" s="529"/>
      <c r="K93" s="529"/>
      <c r="L93" s="34" t="s">
        <v>428</v>
      </c>
      <c r="M93" s="272" t="s">
        <v>423</v>
      </c>
      <c r="N93" s="35" t="s">
        <v>424</v>
      </c>
      <c r="O93" s="2"/>
    </row>
    <row r="94" spans="1:15" ht="14.5" customHeight="1" x14ac:dyDescent="0.35">
      <c r="A94" s="34">
        <v>92</v>
      </c>
      <c r="B94" s="263" t="s">
        <v>231</v>
      </c>
      <c r="C94" s="34" t="s">
        <v>2067</v>
      </c>
      <c r="D94" s="34" t="s">
        <v>33</v>
      </c>
      <c r="E94" s="34" t="s">
        <v>347</v>
      </c>
      <c r="F94" s="421" t="s">
        <v>421</v>
      </c>
      <c r="G94" s="421"/>
      <c r="H94" s="2"/>
      <c r="I94" s="529">
        <v>45748</v>
      </c>
      <c r="J94" s="529"/>
      <c r="K94" s="529"/>
      <c r="L94" s="34" t="s">
        <v>432</v>
      </c>
      <c r="M94" s="272" t="s">
        <v>423</v>
      </c>
      <c r="N94" s="35" t="s">
        <v>424</v>
      </c>
      <c r="O94" s="2"/>
    </row>
    <row r="95" spans="1:15" ht="14.5" customHeight="1" x14ac:dyDescent="0.35">
      <c r="A95" s="34">
        <v>93</v>
      </c>
      <c r="B95" s="263" t="s">
        <v>30</v>
      </c>
      <c r="C95" s="263" t="s">
        <v>2066</v>
      </c>
      <c r="D95" s="34" t="s">
        <v>31</v>
      </c>
      <c r="E95" s="34" t="s">
        <v>348</v>
      </c>
      <c r="F95" s="421" t="s">
        <v>421</v>
      </c>
      <c r="G95" s="421"/>
      <c r="H95" s="2"/>
      <c r="I95" s="529">
        <v>45748</v>
      </c>
      <c r="J95" s="529"/>
      <c r="K95" s="529"/>
      <c r="L95" s="34" t="s">
        <v>431</v>
      </c>
      <c r="M95" s="272" t="s">
        <v>423</v>
      </c>
      <c r="N95" s="35" t="s">
        <v>424</v>
      </c>
      <c r="O95" s="2"/>
    </row>
    <row r="96" spans="1:15" ht="14.5" customHeight="1" x14ac:dyDescent="0.35">
      <c r="A96" s="34">
        <v>94</v>
      </c>
      <c r="B96" s="263" t="s">
        <v>165</v>
      </c>
      <c r="C96" s="34" t="s">
        <v>2066</v>
      </c>
      <c r="D96" s="34" t="s">
        <v>35</v>
      </c>
      <c r="E96" s="34" t="s">
        <v>347</v>
      </c>
      <c r="F96" s="421" t="s">
        <v>421</v>
      </c>
      <c r="G96" s="421"/>
      <c r="H96" s="2"/>
      <c r="I96" s="529">
        <v>45748</v>
      </c>
      <c r="J96" s="529"/>
      <c r="K96" s="529"/>
      <c r="L96" s="34" t="s">
        <v>426</v>
      </c>
      <c r="M96" s="272" t="s">
        <v>423</v>
      </c>
      <c r="N96" s="36"/>
      <c r="O96" s="2"/>
    </row>
    <row r="97" spans="1:15" ht="14.5" customHeight="1" x14ac:dyDescent="0.35">
      <c r="A97" s="34">
        <v>95</v>
      </c>
      <c r="B97" s="262" t="s">
        <v>129</v>
      </c>
      <c r="C97" s="34" t="s">
        <v>2066</v>
      </c>
      <c r="D97" s="34" t="s">
        <v>16</v>
      </c>
      <c r="E97" s="34" t="s">
        <v>347</v>
      </c>
      <c r="F97" s="421" t="s">
        <v>421</v>
      </c>
      <c r="G97" s="421"/>
      <c r="H97" s="2"/>
      <c r="I97" s="529">
        <v>45748</v>
      </c>
      <c r="J97" s="529"/>
      <c r="K97" s="529"/>
      <c r="L97" s="34" t="s">
        <v>430</v>
      </c>
      <c r="M97" s="272" t="s">
        <v>423</v>
      </c>
      <c r="N97" s="36"/>
      <c r="O97" s="2"/>
    </row>
    <row r="98" spans="1:15" x14ac:dyDescent="0.35">
      <c r="A98" s="34">
        <v>96</v>
      </c>
      <c r="B98" s="263" t="s">
        <v>45</v>
      </c>
      <c r="C98" s="263" t="s">
        <v>2066</v>
      </c>
      <c r="D98" s="34" t="s">
        <v>31</v>
      </c>
      <c r="E98" s="34" t="s">
        <v>347</v>
      </c>
      <c r="F98" s="421" t="s">
        <v>421</v>
      </c>
      <c r="G98" s="421"/>
      <c r="H98" s="2"/>
      <c r="I98" s="529">
        <v>45748</v>
      </c>
      <c r="J98" s="529"/>
      <c r="K98" s="529"/>
      <c r="L98" s="34" t="s">
        <v>422</v>
      </c>
      <c r="M98" s="272" t="s">
        <v>423</v>
      </c>
      <c r="N98" s="35" t="s">
        <v>424</v>
      </c>
      <c r="O98" s="2"/>
    </row>
    <row r="99" spans="1:15" x14ac:dyDescent="0.35">
      <c r="A99" s="34">
        <v>97</v>
      </c>
      <c r="B99" s="263" t="s">
        <v>189</v>
      </c>
      <c r="C99" s="34" t="s">
        <v>2066</v>
      </c>
      <c r="D99" s="34" t="s">
        <v>31</v>
      </c>
      <c r="E99" s="34" t="s">
        <v>347</v>
      </c>
      <c r="F99" s="421" t="s">
        <v>421</v>
      </c>
      <c r="G99" s="421"/>
      <c r="H99" s="2"/>
      <c r="I99" s="529">
        <v>45748</v>
      </c>
      <c r="J99" s="529"/>
      <c r="K99" s="529"/>
      <c r="L99" s="34" t="s">
        <v>425</v>
      </c>
      <c r="M99" s="272" t="s">
        <v>423</v>
      </c>
      <c r="N99" s="35" t="s">
        <v>424</v>
      </c>
      <c r="O99" s="2"/>
    </row>
    <row r="100" spans="1:15" x14ac:dyDescent="0.35">
      <c r="A100" s="34">
        <v>98</v>
      </c>
      <c r="B100" s="263" t="s">
        <v>193</v>
      </c>
      <c r="C100" s="34" t="s">
        <v>2066</v>
      </c>
      <c r="D100" s="34" t="s">
        <v>14</v>
      </c>
      <c r="E100" s="34" t="s">
        <v>347</v>
      </c>
      <c r="F100" s="421" t="s">
        <v>421</v>
      </c>
      <c r="G100" s="421"/>
      <c r="H100" s="2"/>
      <c r="I100" s="529">
        <v>45748</v>
      </c>
      <c r="J100" s="529"/>
      <c r="K100" s="529"/>
      <c r="L100" s="34" t="s">
        <v>428</v>
      </c>
      <c r="M100" s="272" t="s">
        <v>423</v>
      </c>
      <c r="N100" s="35" t="s">
        <v>424</v>
      </c>
      <c r="O100" s="2"/>
    </row>
    <row r="101" spans="1:15" x14ac:dyDescent="0.35">
      <c r="A101" s="34">
        <v>99</v>
      </c>
      <c r="B101" s="263" t="s">
        <v>184</v>
      </c>
      <c r="C101" s="34" t="s">
        <v>2066</v>
      </c>
      <c r="D101" s="34" t="s">
        <v>23</v>
      </c>
      <c r="E101" s="34" t="s">
        <v>348</v>
      </c>
      <c r="F101" s="421" t="s">
        <v>421</v>
      </c>
      <c r="G101" s="421"/>
      <c r="H101" s="2"/>
      <c r="I101" s="529">
        <v>45748</v>
      </c>
      <c r="J101" s="529"/>
      <c r="K101" s="529"/>
      <c r="L101" s="34" t="s">
        <v>432</v>
      </c>
      <c r="M101" s="272" t="s">
        <v>423</v>
      </c>
      <c r="N101" s="36"/>
      <c r="O101" s="2"/>
    </row>
    <row r="102" spans="1:15" x14ac:dyDescent="0.35">
      <c r="A102" s="34">
        <v>100</v>
      </c>
      <c r="B102" s="263" t="s">
        <v>166</v>
      </c>
      <c r="C102" s="34" t="s">
        <v>2066</v>
      </c>
      <c r="D102" s="34" t="s">
        <v>35</v>
      </c>
      <c r="E102" s="34" t="s">
        <v>347</v>
      </c>
      <c r="F102" s="421" t="s">
        <v>421</v>
      </c>
      <c r="G102" s="421"/>
      <c r="H102" s="2"/>
      <c r="I102" s="529">
        <v>45748</v>
      </c>
      <c r="J102" s="529"/>
      <c r="K102" s="529"/>
      <c r="L102" s="34" t="s">
        <v>426</v>
      </c>
      <c r="M102" s="272" t="s">
        <v>423</v>
      </c>
      <c r="N102" s="36"/>
      <c r="O102" s="2"/>
    </row>
    <row r="103" spans="1:15" x14ac:dyDescent="0.35">
      <c r="A103" s="34">
        <v>101</v>
      </c>
      <c r="B103" s="2" t="s">
        <v>190</v>
      </c>
      <c r="C103" s="34" t="s">
        <v>2066</v>
      </c>
      <c r="D103" s="2" t="s">
        <v>31</v>
      </c>
      <c r="E103" s="2" t="s">
        <v>347</v>
      </c>
      <c r="F103" s="421" t="s">
        <v>421</v>
      </c>
      <c r="G103" s="421"/>
      <c r="H103" s="2" t="s">
        <v>433</v>
      </c>
      <c r="I103" s="530" t="s">
        <v>2192</v>
      </c>
      <c r="J103" s="530"/>
      <c r="K103" s="530"/>
      <c r="L103" s="2" t="s">
        <v>434</v>
      </c>
      <c r="M103" s="272" t="s">
        <v>423</v>
      </c>
      <c r="N103" s="36"/>
      <c r="O103" s="2"/>
    </row>
    <row r="104" spans="1:15" x14ac:dyDescent="0.35">
      <c r="A104" s="34">
        <v>102</v>
      </c>
      <c r="B104" s="38" t="s">
        <v>29</v>
      </c>
      <c r="C104" s="263" t="s">
        <v>2066</v>
      </c>
      <c r="D104" s="2" t="s">
        <v>23</v>
      </c>
      <c r="E104" s="2" t="s">
        <v>347</v>
      </c>
      <c r="F104" s="421" t="s">
        <v>421</v>
      </c>
      <c r="G104" s="421"/>
      <c r="H104" s="2" t="s">
        <v>435</v>
      </c>
      <c r="I104" s="39">
        <v>45721</v>
      </c>
      <c r="J104" s="39"/>
      <c r="K104" s="39"/>
      <c r="L104" s="2" t="s">
        <v>436</v>
      </c>
      <c r="M104" s="272" t="s">
        <v>423</v>
      </c>
      <c r="N104" s="35" t="s">
        <v>424</v>
      </c>
      <c r="O104" s="2"/>
    </row>
    <row r="105" spans="1:15" x14ac:dyDescent="0.35">
      <c r="A105" s="34">
        <v>103</v>
      </c>
      <c r="B105" s="38" t="s">
        <v>158</v>
      </c>
      <c r="C105" s="34" t="s">
        <v>2066</v>
      </c>
      <c r="D105" s="2" t="s">
        <v>35</v>
      </c>
      <c r="E105" s="2" t="s">
        <v>347</v>
      </c>
      <c r="F105" s="421" t="s">
        <v>421</v>
      </c>
      <c r="G105" s="421"/>
      <c r="H105" s="2" t="s">
        <v>435</v>
      </c>
      <c r="I105" s="39">
        <v>45721</v>
      </c>
      <c r="J105" s="39"/>
      <c r="K105" s="39"/>
      <c r="L105" s="2" t="s">
        <v>437</v>
      </c>
      <c r="M105" s="272" t="s">
        <v>423</v>
      </c>
      <c r="N105" s="35" t="s">
        <v>424</v>
      </c>
      <c r="O105" s="2"/>
    </row>
    <row r="106" spans="1:15" x14ac:dyDescent="0.35">
      <c r="A106" s="34">
        <v>104</v>
      </c>
      <c r="B106" s="38" t="s">
        <v>131</v>
      </c>
      <c r="C106" s="34" t="s">
        <v>2066</v>
      </c>
      <c r="D106" s="2" t="s">
        <v>33</v>
      </c>
      <c r="E106" s="2" t="s">
        <v>347</v>
      </c>
      <c r="F106" s="421" t="s">
        <v>421</v>
      </c>
      <c r="G106" s="421"/>
      <c r="H106" s="40" t="s">
        <v>438</v>
      </c>
      <c r="I106" s="39">
        <v>45752</v>
      </c>
      <c r="J106" s="39"/>
      <c r="K106" s="39"/>
      <c r="L106" s="34" t="s">
        <v>430</v>
      </c>
      <c r="M106" s="272" t="s">
        <v>423</v>
      </c>
      <c r="N106" s="36"/>
      <c r="O106" s="2"/>
    </row>
    <row r="107" spans="1:15" x14ac:dyDescent="0.35">
      <c r="A107" s="34">
        <v>105</v>
      </c>
      <c r="B107" s="38" t="s">
        <v>168</v>
      </c>
      <c r="C107" s="34" t="s">
        <v>2066</v>
      </c>
      <c r="D107" s="2" t="s">
        <v>35</v>
      </c>
      <c r="E107" s="2" t="s">
        <v>347</v>
      </c>
      <c r="F107" s="421" t="s">
        <v>421</v>
      </c>
      <c r="G107" s="421"/>
      <c r="H107" s="40" t="s">
        <v>439</v>
      </c>
      <c r="I107" s="39">
        <v>45782</v>
      </c>
      <c r="J107" s="39"/>
      <c r="K107" s="39"/>
      <c r="L107" s="2" t="s">
        <v>437</v>
      </c>
      <c r="M107" s="272" t="s">
        <v>423</v>
      </c>
      <c r="N107" s="35" t="s">
        <v>424</v>
      </c>
      <c r="O107" s="2"/>
    </row>
    <row r="108" spans="1:15" x14ac:dyDescent="0.35">
      <c r="A108" s="34">
        <v>106</v>
      </c>
      <c r="B108" s="2" t="s">
        <v>183</v>
      </c>
      <c r="C108" s="34" t="s">
        <v>2066</v>
      </c>
      <c r="D108" s="2" t="s">
        <v>33</v>
      </c>
      <c r="E108" s="2" t="s">
        <v>349</v>
      </c>
      <c r="F108" s="421" t="s">
        <v>421</v>
      </c>
      <c r="G108" s="421"/>
      <c r="H108" s="39" t="s">
        <v>440</v>
      </c>
      <c r="I108" s="39">
        <v>45782</v>
      </c>
      <c r="J108" s="39"/>
      <c r="K108" s="39"/>
      <c r="L108" s="2" t="s">
        <v>441</v>
      </c>
      <c r="M108" s="272" t="s">
        <v>423</v>
      </c>
      <c r="N108" s="35" t="s">
        <v>424</v>
      </c>
      <c r="O108" s="2"/>
    </row>
    <row r="109" spans="1:15" x14ac:dyDescent="0.35">
      <c r="A109" s="34">
        <v>107</v>
      </c>
      <c r="B109" s="2" t="s">
        <v>191</v>
      </c>
      <c r="C109" s="34" t="s">
        <v>2066</v>
      </c>
      <c r="D109" s="2" t="s">
        <v>33</v>
      </c>
      <c r="E109" s="2" t="s">
        <v>347</v>
      </c>
      <c r="F109" s="421" t="s">
        <v>421</v>
      </c>
      <c r="G109" s="421"/>
      <c r="H109" s="2" t="s">
        <v>433</v>
      </c>
      <c r="I109" s="39">
        <v>45782</v>
      </c>
      <c r="J109" s="39"/>
      <c r="K109" s="39"/>
      <c r="L109" s="2" t="s">
        <v>434</v>
      </c>
      <c r="M109" s="272" t="s">
        <v>423</v>
      </c>
      <c r="N109" s="36"/>
      <c r="O109" s="2"/>
    </row>
    <row r="110" spans="1:15" x14ac:dyDescent="0.35">
      <c r="A110" s="34">
        <v>108</v>
      </c>
      <c r="B110" s="2" t="s">
        <v>192</v>
      </c>
      <c r="C110" s="34" t="s">
        <v>2066</v>
      </c>
      <c r="D110" s="2" t="s">
        <v>16</v>
      </c>
      <c r="E110" s="2" t="s">
        <v>348</v>
      </c>
      <c r="F110" s="421" t="s">
        <v>421</v>
      </c>
      <c r="G110" s="421"/>
      <c r="H110" s="2" t="s">
        <v>442</v>
      </c>
      <c r="I110" s="39">
        <v>45782</v>
      </c>
      <c r="J110" s="39"/>
      <c r="K110" s="39"/>
      <c r="L110" s="2" t="s">
        <v>443</v>
      </c>
      <c r="M110" s="272" t="s">
        <v>423</v>
      </c>
      <c r="N110" s="35" t="s">
        <v>424</v>
      </c>
      <c r="O110" s="2"/>
    </row>
    <row r="111" spans="1:15" x14ac:dyDescent="0.35">
      <c r="A111" s="34">
        <v>109</v>
      </c>
      <c r="B111" s="38" t="s">
        <v>36</v>
      </c>
      <c r="C111" s="263" t="s">
        <v>2066</v>
      </c>
      <c r="D111" s="2" t="s">
        <v>31</v>
      </c>
      <c r="E111" s="2" t="s">
        <v>348</v>
      </c>
      <c r="F111" s="421" t="s">
        <v>421</v>
      </c>
      <c r="G111" s="421"/>
      <c r="H111" s="2"/>
      <c r="I111" s="39">
        <v>45783</v>
      </c>
      <c r="J111" s="39"/>
      <c r="K111" s="39"/>
      <c r="L111" s="2" t="s">
        <v>436</v>
      </c>
      <c r="M111" s="272" t="s">
        <v>423</v>
      </c>
      <c r="N111" s="36"/>
      <c r="O111" s="2"/>
    </row>
    <row r="112" spans="1:15" x14ac:dyDescent="0.35">
      <c r="A112" s="34">
        <v>110</v>
      </c>
      <c r="B112" s="38" t="s">
        <v>43</v>
      </c>
      <c r="C112" s="263" t="s">
        <v>2066</v>
      </c>
      <c r="D112" s="2" t="s">
        <v>35</v>
      </c>
      <c r="E112" s="2" t="s">
        <v>347</v>
      </c>
      <c r="F112" s="421" t="s">
        <v>421</v>
      </c>
      <c r="G112" s="421"/>
      <c r="H112" s="2"/>
      <c r="I112" s="39">
        <v>45784</v>
      </c>
      <c r="J112" s="39"/>
      <c r="K112" s="39"/>
      <c r="L112" s="34" t="s">
        <v>422</v>
      </c>
      <c r="M112" s="272" t="s">
        <v>423</v>
      </c>
      <c r="N112" s="36"/>
      <c r="O112" s="2"/>
    </row>
    <row r="113" spans="1:15" x14ac:dyDescent="0.35">
      <c r="A113" s="34">
        <v>111</v>
      </c>
      <c r="B113" s="38" t="s">
        <v>121</v>
      </c>
      <c r="C113" s="34" t="s">
        <v>2066</v>
      </c>
      <c r="D113" s="2" t="s">
        <v>23</v>
      </c>
      <c r="E113" s="2" t="s">
        <v>347</v>
      </c>
      <c r="F113" s="421" t="s">
        <v>421</v>
      </c>
      <c r="G113" s="421"/>
      <c r="H113" s="2"/>
      <c r="I113" s="39">
        <v>45785</v>
      </c>
      <c r="J113" s="39"/>
      <c r="K113" s="39"/>
      <c r="L113" s="34" t="s">
        <v>430</v>
      </c>
      <c r="M113" s="272" t="s">
        <v>423</v>
      </c>
      <c r="N113" s="35" t="s">
        <v>424</v>
      </c>
      <c r="O113" s="2"/>
    </row>
    <row r="114" spans="1:15" x14ac:dyDescent="0.35">
      <c r="A114" s="34">
        <v>112</v>
      </c>
      <c r="B114" s="2" t="s">
        <v>185</v>
      </c>
      <c r="C114" s="34" t="s">
        <v>2066</v>
      </c>
      <c r="D114" s="2" t="s">
        <v>16</v>
      </c>
      <c r="E114" s="2" t="s">
        <v>349</v>
      </c>
      <c r="F114" s="421" t="s">
        <v>421</v>
      </c>
      <c r="G114" s="421"/>
      <c r="H114" s="2"/>
      <c r="I114" s="39">
        <v>45785</v>
      </c>
      <c r="J114" s="39"/>
      <c r="K114" s="39"/>
      <c r="L114" s="34" t="s">
        <v>432</v>
      </c>
      <c r="M114" s="272" t="s">
        <v>423</v>
      </c>
      <c r="N114" s="35" t="s">
        <v>424</v>
      </c>
      <c r="O114" s="2"/>
    </row>
    <row r="115" spans="1:15" x14ac:dyDescent="0.35">
      <c r="A115" s="34">
        <v>113</v>
      </c>
      <c r="B115" s="38" t="s">
        <v>175</v>
      </c>
      <c r="C115" s="34" t="s">
        <v>2066</v>
      </c>
      <c r="D115" s="2" t="s">
        <v>35</v>
      </c>
      <c r="E115" s="2" t="s">
        <v>347</v>
      </c>
      <c r="F115" s="421" t="s">
        <v>421</v>
      </c>
      <c r="G115" s="421"/>
      <c r="H115" s="2"/>
      <c r="I115" s="39">
        <v>45785</v>
      </c>
      <c r="J115" s="39"/>
      <c r="K115" s="39"/>
      <c r="L115" s="2" t="s">
        <v>437</v>
      </c>
      <c r="M115" s="272" t="s">
        <v>423</v>
      </c>
      <c r="N115" s="35" t="s">
        <v>424</v>
      </c>
      <c r="O115" s="2"/>
    </row>
    <row r="116" spans="1:15" x14ac:dyDescent="0.35">
      <c r="A116" s="34">
        <v>114</v>
      </c>
      <c r="B116" s="2" t="s">
        <v>188</v>
      </c>
      <c r="C116" s="34" t="s">
        <v>2066</v>
      </c>
      <c r="D116" s="2" t="s">
        <v>31</v>
      </c>
      <c r="E116" s="2" t="s">
        <v>347</v>
      </c>
      <c r="F116" s="421" t="s">
        <v>421</v>
      </c>
      <c r="G116" s="421"/>
      <c r="H116" s="2"/>
      <c r="I116" s="39">
        <v>45786</v>
      </c>
      <c r="J116" s="39"/>
      <c r="K116" s="39"/>
      <c r="L116" s="2" t="s">
        <v>443</v>
      </c>
      <c r="M116" s="272" t="s">
        <v>423</v>
      </c>
      <c r="N116" s="35" t="s">
        <v>424</v>
      </c>
      <c r="O116" s="2"/>
    </row>
    <row r="117" spans="1:15" x14ac:dyDescent="0.35">
      <c r="A117" s="34">
        <v>115</v>
      </c>
      <c r="B117" s="38" t="s">
        <v>32</v>
      </c>
      <c r="C117" s="263" t="s">
        <v>2066</v>
      </c>
      <c r="D117" s="2" t="s">
        <v>33</v>
      </c>
      <c r="E117" s="2" t="s">
        <v>348</v>
      </c>
      <c r="F117" s="421" t="s">
        <v>421</v>
      </c>
      <c r="G117" s="421"/>
      <c r="H117" s="2"/>
      <c r="I117" s="39">
        <v>45786</v>
      </c>
      <c r="J117" s="39"/>
      <c r="K117" s="39"/>
      <c r="L117" s="2" t="s">
        <v>436</v>
      </c>
      <c r="M117" s="272" t="s">
        <v>423</v>
      </c>
      <c r="N117" s="35" t="s">
        <v>424</v>
      </c>
      <c r="O117" s="2"/>
    </row>
    <row r="118" spans="1:15" x14ac:dyDescent="0.35">
      <c r="A118" s="34">
        <v>116</v>
      </c>
      <c r="B118" s="2" t="s">
        <v>176</v>
      </c>
      <c r="C118" s="34" t="s">
        <v>2066</v>
      </c>
      <c r="D118" s="2" t="s">
        <v>31</v>
      </c>
      <c r="E118" s="2" t="s">
        <v>347</v>
      </c>
      <c r="F118" s="421" t="s">
        <v>421</v>
      </c>
      <c r="G118" s="421"/>
      <c r="H118" s="2"/>
      <c r="I118" s="39">
        <v>45787</v>
      </c>
      <c r="J118" s="39"/>
      <c r="K118" s="39"/>
      <c r="L118" s="2" t="s">
        <v>437</v>
      </c>
      <c r="M118" s="272" t="s">
        <v>423</v>
      </c>
      <c r="N118" s="35" t="s">
        <v>424</v>
      </c>
      <c r="O118" s="2"/>
    </row>
    <row r="119" spans="1:15" x14ac:dyDescent="0.35">
      <c r="A119" s="34">
        <v>117</v>
      </c>
      <c r="B119" s="2" t="s">
        <v>202</v>
      </c>
      <c r="C119" s="34" t="s">
        <v>2066</v>
      </c>
      <c r="D119" s="2" t="s">
        <v>33</v>
      </c>
      <c r="E119" s="2" t="s">
        <v>347</v>
      </c>
      <c r="F119" s="421" t="s">
        <v>421</v>
      </c>
      <c r="G119" s="421"/>
      <c r="H119" s="2"/>
      <c r="I119" s="39">
        <v>45788</v>
      </c>
      <c r="J119" s="39"/>
      <c r="K119" s="39"/>
      <c r="L119" s="2" t="s">
        <v>434</v>
      </c>
      <c r="M119" s="272" t="s">
        <v>423</v>
      </c>
      <c r="N119" s="35" t="s">
        <v>424</v>
      </c>
      <c r="O119" s="2"/>
    </row>
    <row r="120" spans="1:15" x14ac:dyDescent="0.35">
      <c r="A120" s="34">
        <v>118</v>
      </c>
      <c r="B120" s="38" t="s">
        <v>122</v>
      </c>
      <c r="C120" s="34" t="s">
        <v>2066</v>
      </c>
      <c r="D120" s="2" t="s">
        <v>23</v>
      </c>
      <c r="E120" s="2" t="s">
        <v>347</v>
      </c>
      <c r="F120" s="421" t="s">
        <v>421</v>
      </c>
      <c r="G120" s="421"/>
      <c r="H120" s="2"/>
      <c r="I120" s="39">
        <v>45789</v>
      </c>
      <c r="J120" s="39"/>
      <c r="K120" s="39"/>
      <c r="L120" s="2" t="s">
        <v>444</v>
      </c>
      <c r="M120" s="272" t="s">
        <v>423</v>
      </c>
      <c r="N120" s="35" t="s">
        <v>424</v>
      </c>
      <c r="O120" s="2"/>
    </row>
    <row r="121" spans="1:15" x14ac:dyDescent="0.35">
      <c r="A121" s="34">
        <v>119</v>
      </c>
      <c r="B121" s="38" t="s">
        <v>34</v>
      </c>
      <c r="C121" s="263" t="s">
        <v>2066</v>
      </c>
      <c r="D121" s="2" t="s">
        <v>35</v>
      </c>
      <c r="E121" s="2" t="s">
        <v>348</v>
      </c>
      <c r="F121" s="421" t="s">
        <v>421</v>
      </c>
      <c r="G121" s="421"/>
      <c r="H121" s="2"/>
      <c r="I121" s="39">
        <v>45790</v>
      </c>
      <c r="J121" s="39"/>
      <c r="K121" s="39"/>
      <c r="L121" s="2" t="s">
        <v>436</v>
      </c>
      <c r="M121" s="272" t="s">
        <v>423</v>
      </c>
      <c r="N121" s="35" t="s">
        <v>424</v>
      </c>
      <c r="O121" s="2"/>
    </row>
    <row r="122" spans="1:15" x14ac:dyDescent="0.35">
      <c r="A122" s="34">
        <v>120</v>
      </c>
      <c r="B122" s="2" t="s">
        <v>201</v>
      </c>
      <c r="C122" s="34" t="s">
        <v>2066</v>
      </c>
      <c r="D122" s="2" t="s">
        <v>23</v>
      </c>
      <c r="E122" s="2" t="s">
        <v>347</v>
      </c>
      <c r="F122" s="421" t="s">
        <v>421</v>
      </c>
      <c r="G122" s="421"/>
      <c r="H122" s="2"/>
      <c r="I122" s="39">
        <v>45790</v>
      </c>
      <c r="J122" s="39"/>
      <c r="K122" s="39"/>
      <c r="L122" s="2" t="s">
        <v>434</v>
      </c>
      <c r="M122" s="272" t="s">
        <v>423</v>
      </c>
      <c r="N122" s="35" t="s">
        <v>424</v>
      </c>
      <c r="O122" s="2"/>
    </row>
    <row r="123" spans="1:15" x14ac:dyDescent="0.35">
      <c r="A123" s="34">
        <v>121</v>
      </c>
      <c r="B123" s="2" t="s">
        <v>177</v>
      </c>
      <c r="C123" s="34" t="s">
        <v>2066</v>
      </c>
      <c r="D123" s="2" t="s">
        <v>35</v>
      </c>
      <c r="E123" s="2" t="s">
        <v>347</v>
      </c>
      <c r="F123" s="421" t="s">
        <v>421</v>
      </c>
      <c r="G123" s="421"/>
      <c r="H123" s="2"/>
      <c r="I123" s="39">
        <v>45792</v>
      </c>
      <c r="J123" s="39"/>
      <c r="K123" s="39"/>
      <c r="L123" s="2" t="s">
        <v>437</v>
      </c>
      <c r="M123" s="272" t="s">
        <v>423</v>
      </c>
      <c r="N123" s="35" t="s">
        <v>424</v>
      </c>
      <c r="O123" s="2"/>
    </row>
    <row r="124" spans="1:15" x14ac:dyDescent="0.35">
      <c r="A124" s="34">
        <v>122</v>
      </c>
      <c r="B124" s="38" t="s">
        <v>41</v>
      </c>
      <c r="C124" s="263" t="s">
        <v>2066</v>
      </c>
      <c r="D124" s="2" t="s">
        <v>14</v>
      </c>
      <c r="E124" s="2" t="s">
        <v>347</v>
      </c>
      <c r="F124" s="421" t="s">
        <v>421</v>
      </c>
      <c r="G124" s="421"/>
      <c r="H124" s="39">
        <v>45792</v>
      </c>
      <c r="I124" s="39">
        <v>45793</v>
      </c>
      <c r="J124" s="39"/>
      <c r="K124" s="39"/>
      <c r="L124" s="34" t="s">
        <v>422</v>
      </c>
      <c r="M124" s="272" t="s">
        <v>423</v>
      </c>
      <c r="N124" s="35" t="s">
        <v>424</v>
      </c>
      <c r="O124" s="2"/>
    </row>
    <row r="125" spans="1:15" x14ac:dyDescent="0.35">
      <c r="A125" s="34">
        <v>123</v>
      </c>
      <c r="B125" s="2" t="s">
        <v>199</v>
      </c>
      <c r="C125" s="34" t="s">
        <v>2066</v>
      </c>
      <c r="D125" s="2" t="s">
        <v>23</v>
      </c>
      <c r="E125" s="2" t="s">
        <v>347</v>
      </c>
      <c r="F125" s="421" t="s">
        <v>421</v>
      </c>
      <c r="G125" s="421"/>
      <c r="H125" s="2"/>
      <c r="I125" s="39">
        <v>45794</v>
      </c>
      <c r="J125" s="39"/>
      <c r="K125" s="39"/>
      <c r="L125" s="2" t="s">
        <v>434</v>
      </c>
      <c r="M125" s="272" t="s">
        <v>423</v>
      </c>
      <c r="N125" s="35" t="s">
        <v>424</v>
      </c>
      <c r="O125" s="2"/>
    </row>
    <row r="126" spans="1:15" x14ac:dyDescent="0.35">
      <c r="A126" s="34">
        <v>124</v>
      </c>
      <c r="B126" s="2" t="s">
        <v>205</v>
      </c>
      <c r="C126" s="34" t="s">
        <v>2066</v>
      </c>
      <c r="D126" s="2" t="s">
        <v>31</v>
      </c>
      <c r="E126" s="2" t="s">
        <v>348</v>
      </c>
      <c r="F126" s="421" t="s">
        <v>421</v>
      </c>
      <c r="G126" s="421"/>
      <c r="H126" s="39">
        <v>45791</v>
      </c>
      <c r="I126" s="39">
        <v>45796</v>
      </c>
      <c r="J126" s="39"/>
      <c r="K126" s="39"/>
      <c r="L126" s="2" t="s">
        <v>443</v>
      </c>
      <c r="M126" s="272" t="s">
        <v>423</v>
      </c>
      <c r="N126" s="35" t="s">
        <v>424</v>
      </c>
      <c r="O126" s="2"/>
    </row>
    <row r="127" spans="1:15" x14ac:dyDescent="0.35">
      <c r="A127" s="34">
        <v>125</v>
      </c>
      <c r="B127" s="38" t="s">
        <v>263</v>
      </c>
      <c r="C127" s="34" t="s">
        <v>2067</v>
      </c>
      <c r="D127" s="2" t="s">
        <v>31</v>
      </c>
      <c r="E127" s="2" t="s">
        <v>347</v>
      </c>
      <c r="F127" s="421" t="s">
        <v>421</v>
      </c>
      <c r="G127" s="421"/>
      <c r="H127" s="2" t="s">
        <v>445</v>
      </c>
      <c r="I127" s="39">
        <v>45796</v>
      </c>
      <c r="J127" s="2"/>
      <c r="K127" s="2"/>
      <c r="L127" s="34" t="s">
        <v>432</v>
      </c>
      <c r="M127" s="272" t="s">
        <v>423</v>
      </c>
      <c r="N127" s="35" t="s">
        <v>424</v>
      </c>
      <c r="O127" s="2"/>
    </row>
    <row r="128" spans="1:15" x14ac:dyDescent="0.35">
      <c r="A128" s="34">
        <v>126</v>
      </c>
      <c r="B128" s="38" t="s">
        <v>278</v>
      </c>
      <c r="C128" s="38" t="s">
        <v>2068</v>
      </c>
      <c r="D128" s="2" t="s">
        <v>16</v>
      </c>
      <c r="E128" s="2" t="s">
        <v>347</v>
      </c>
      <c r="F128" s="421" t="s">
        <v>421</v>
      </c>
      <c r="G128" s="421"/>
      <c r="H128" s="39" t="s">
        <v>447</v>
      </c>
      <c r="I128" s="39">
        <v>45796</v>
      </c>
      <c r="J128" s="2"/>
      <c r="K128" s="2"/>
      <c r="L128" s="2" t="s">
        <v>436</v>
      </c>
      <c r="M128" s="272" t="s">
        <v>423</v>
      </c>
      <c r="N128" s="35" t="s">
        <v>424</v>
      </c>
      <c r="O128" s="2"/>
    </row>
    <row r="129" spans="1:15" x14ac:dyDescent="0.35">
      <c r="A129" s="34">
        <v>127</v>
      </c>
      <c r="B129" s="38" t="s">
        <v>179</v>
      </c>
      <c r="C129" s="34" t="s">
        <v>2066</v>
      </c>
      <c r="D129" s="2" t="s">
        <v>448</v>
      </c>
      <c r="E129" s="2" t="s">
        <v>347</v>
      </c>
      <c r="F129" s="421" t="s">
        <v>421</v>
      </c>
      <c r="G129" s="421"/>
      <c r="H129" s="531" t="s">
        <v>449</v>
      </c>
      <c r="I129" s="39">
        <v>45798</v>
      </c>
      <c r="J129" s="39"/>
      <c r="K129" s="39"/>
      <c r="L129" s="2" t="s">
        <v>437</v>
      </c>
      <c r="M129" s="272" t="s">
        <v>423</v>
      </c>
      <c r="N129" s="35" t="s">
        <v>424</v>
      </c>
      <c r="O129" s="2"/>
    </row>
    <row r="130" spans="1:15" x14ac:dyDescent="0.35">
      <c r="A130" s="34">
        <v>128</v>
      </c>
      <c r="B130" s="2" t="s">
        <v>178</v>
      </c>
      <c r="C130" s="34" t="s">
        <v>2066</v>
      </c>
      <c r="D130" s="2" t="s">
        <v>31</v>
      </c>
      <c r="E130" s="2" t="s">
        <v>347</v>
      </c>
      <c r="F130" s="421" t="s">
        <v>421</v>
      </c>
      <c r="G130" s="421"/>
      <c r="H130" s="2" t="s">
        <v>450</v>
      </c>
      <c r="I130" s="39">
        <v>45798</v>
      </c>
      <c r="J130" s="2"/>
      <c r="K130" s="2"/>
      <c r="L130" s="2" t="s">
        <v>437</v>
      </c>
      <c r="M130" s="272" t="s">
        <v>423</v>
      </c>
      <c r="N130" s="35" t="s">
        <v>424</v>
      </c>
      <c r="O130" s="2"/>
    </row>
    <row r="131" spans="1:15" x14ac:dyDescent="0.35">
      <c r="A131" s="34">
        <v>129</v>
      </c>
      <c r="B131" s="2" t="s">
        <v>287</v>
      </c>
      <c r="C131" s="38" t="s">
        <v>2068</v>
      </c>
      <c r="D131" s="2" t="s">
        <v>23</v>
      </c>
      <c r="E131" s="2" t="s">
        <v>347</v>
      </c>
      <c r="F131" s="421" t="s">
        <v>421</v>
      </c>
      <c r="G131" s="421"/>
      <c r="H131" s="2" t="s">
        <v>445</v>
      </c>
      <c r="I131" s="39">
        <v>45799</v>
      </c>
      <c r="J131" s="2"/>
      <c r="K131" s="2"/>
      <c r="L131" s="2" t="s">
        <v>444</v>
      </c>
      <c r="M131" s="272" t="s">
        <v>423</v>
      </c>
      <c r="N131" s="35" t="s">
        <v>424</v>
      </c>
      <c r="O131" s="2"/>
    </row>
    <row r="132" spans="1:15" x14ac:dyDescent="0.35">
      <c r="A132" s="34">
        <v>130</v>
      </c>
      <c r="B132" s="2" t="s">
        <v>266</v>
      </c>
      <c r="C132" s="38" t="s">
        <v>2068</v>
      </c>
      <c r="D132" s="2" t="s">
        <v>16</v>
      </c>
      <c r="E132" s="2" t="s">
        <v>347</v>
      </c>
      <c r="F132" s="421" t="s">
        <v>421</v>
      </c>
      <c r="G132" s="421"/>
      <c r="H132" s="2" t="s">
        <v>446</v>
      </c>
      <c r="I132" s="39">
        <v>45800</v>
      </c>
      <c r="J132" s="39"/>
      <c r="K132" s="39"/>
      <c r="L132" s="34" t="s">
        <v>432</v>
      </c>
      <c r="M132" s="272" t="s">
        <v>423</v>
      </c>
      <c r="N132" s="35" t="s">
        <v>424</v>
      </c>
      <c r="O132" s="2"/>
    </row>
    <row r="133" spans="1:15" x14ac:dyDescent="0.35">
      <c r="A133" s="34">
        <v>131</v>
      </c>
      <c r="B133" s="38" t="s">
        <v>38</v>
      </c>
      <c r="C133" s="263" t="s">
        <v>2066</v>
      </c>
      <c r="D133" s="2" t="s">
        <v>23</v>
      </c>
      <c r="E133" s="2" t="s">
        <v>348</v>
      </c>
      <c r="F133" s="421" t="s">
        <v>421</v>
      </c>
      <c r="G133" s="421"/>
      <c r="H133" s="2" t="s">
        <v>446</v>
      </c>
      <c r="I133" s="39">
        <v>45800</v>
      </c>
      <c r="J133" s="39"/>
      <c r="K133" s="39"/>
      <c r="L133" s="2" t="s">
        <v>434</v>
      </c>
      <c r="M133" s="272" t="s">
        <v>423</v>
      </c>
      <c r="N133" s="36"/>
      <c r="O133" s="2"/>
    </row>
    <row r="134" spans="1:15" x14ac:dyDescent="0.35">
      <c r="A134" s="34">
        <v>132</v>
      </c>
      <c r="B134" s="2" t="s">
        <v>204</v>
      </c>
      <c r="C134" s="34" t="s">
        <v>2066</v>
      </c>
      <c r="D134" s="2" t="s">
        <v>23</v>
      </c>
      <c r="E134" s="2" t="s">
        <v>347</v>
      </c>
      <c r="F134" s="421" t="s">
        <v>421</v>
      </c>
      <c r="G134" s="421"/>
      <c r="H134" s="2" t="s">
        <v>452</v>
      </c>
      <c r="I134" s="39">
        <v>45800</v>
      </c>
      <c r="J134" s="2"/>
      <c r="K134" s="2"/>
      <c r="L134" s="2" t="s">
        <v>443</v>
      </c>
      <c r="M134" s="272" t="s">
        <v>423</v>
      </c>
      <c r="N134" s="35" t="s">
        <v>424</v>
      </c>
      <c r="O134" s="2"/>
    </row>
    <row r="135" spans="1:15" x14ac:dyDescent="0.35">
      <c r="A135" s="34">
        <v>133</v>
      </c>
      <c r="B135" s="2" t="s">
        <v>280</v>
      </c>
      <c r="C135" s="38" t="s">
        <v>2068</v>
      </c>
      <c r="D135" s="2" t="s">
        <v>33</v>
      </c>
      <c r="E135" s="2" t="s">
        <v>348</v>
      </c>
      <c r="F135" s="421" t="s">
        <v>421</v>
      </c>
      <c r="G135" s="421"/>
      <c r="H135" s="2" t="s">
        <v>452</v>
      </c>
      <c r="I135" s="39">
        <v>45800</v>
      </c>
      <c r="J135" s="2"/>
      <c r="K135" s="2"/>
      <c r="L135" s="2" t="s">
        <v>436</v>
      </c>
      <c r="M135" s="272" t="s">
        <v>423</v>
      </c>
      <c r="N135" s="35" t="s">
        <v>424</v>
      </c>
      <c r="O135" s="2"/>
    </row>
    <row r="136" spans="1:15" x14ac:dyDescent="0.35">
      <c r="A136" s="34">
        <v>134</v>
      </c>
      <c r="B136" s="2" t="s">
        <v>286</v>
      </c>
      <c r="C136" s="38" t="s">
        <v>2068</v>
      </c>
      <c r="D136" s="2" t="s">
        <v>31</v>
      </c>
      <c r="E136" s="2" t="s">
        <v>347</v>
      </c>
      <c r="F136" s="421" t="s">
        <v>421</v>
      </c>
      <c r="G136" s="421"/>
      <c r="H136" s="2" t="s">
        <v>453</v>
      </c>
      <c r="I136" s="39">
        <v>45801</v>
      </c>
      <c r="J136" s="2"/>
      <c r="K136" s="2"/>
      <c r="L136" s="2" t="s">
        <v>444</v>
      </c>
      <c r="M136" s="272" t="s">
        <v>423</v>
      </c>
      <c r="N136" s="35" t="s">
        <v>424</v>
      </c>
      <c r="O136" s="2"/>
    </row>
    <row r="137" spans="1:15" x14ac:dyDescent="0.35">
      <c r="A137" s="34">
        <v>135</v>
      </c>
      <c r="B137" s="2" t="s">
        <v>174</v>
      </c>
      <c r="C137" s="34" t="s">
        <v>2066</v>
      </c>
      <c r="D137" s="2" t="s">
        <v>454</v>
      </c>
      <c r="E137" s="2" t="s">
        <v>347</v>
      </c>
      <c r="F137" s="421" t="s">
        <v>421</v>
      </c>
      <c r="G137" s="421"/>
      <c r="H137" s="2" t="s">
        <v>455</v>
      </c>
      <c r="I137" s="39">
        <v>45802</v>
      </c>
      <c r="J137" s="2"/>
      <c r="K137" s="2"/>
      <c r="L137" s="2" t="s">
        <v>437</v>
      </c>
      <c r="M137" s="272" t="s">
        <v>423</v>
      </c>
      <c r="N137" s="35" t="s">
        <v>424</v>
      </c>
      <c r="O137" s="2"/>
    </row>
    <row r="138" spans="1:15" x14ac:dyDescent="0.35">
      <c r="A138" s="34">
        <v>136</v>
      </c>
      <c r="B138" s="38" t="s">
        <v>37</v>
      </c>
      <c r="C138" s="263" t="s">
        <v>2066</v>
      </c>
      <c r="D138" s="2" t="s">
        <v>456</v>
      </c>
      <c r="E138" s="2" t="s">
        <v>348</v>
      </c>
      <c r="F138" s="421" t="s">
        <v>421</v>
      </c>
      <c r="G138" s="421"/>
      <c r="H138" s="2" t="s">
        <v>455</v>
      </c>
      <c r="I138" s="39">
        <v>45802</v>
      </c>
      <c r="J138" s="2"/>
      <c r="K138" s="2"/>
      <c r="L138" s="2" t="s">
        <v>434</v>
      </c>
      <c r="M138" s="272" t="s">
        <v>423</v>
      </c>
      <c r="N138" s="36"/>
      <c r="O138" s="2"/>
    </row>
    <row r="139" spans="1:15" x14ac:dyDescent="0.35">
      <c r="A139" s="34">
        <v>137</v>
      </c>
      <c r="B139" s="38" t="s">
        <v>279</v>
      </c>
      <c r="C139" s="38" t="s">
        <v>2068</v>
      </c>
      <c r="D139" s="2" t="s">
        <v>31</v>
      </c>
      <c r="E139" s="2" t="s">
        <v>347</v>
      </c>
      <c r="F139" s="421" t="s">
        <v>421</v>
      </c>
      <c r="G139" s="421"/>
      <c r="H139" s="2"/>
      <c r="I139" s="39">
        <v>45803</v>
      </c>
      <c r="J139" s="39"/>
      <c r="K139" s="39"/>
      <c r="L139" s="2" t="s">
        <v>436</v>
      </c>
      <c r="M139" s="272" t="s">
        <v>423</v>
      </c>
      <c r="N139" s="35" t="s">
        <v>424</v>
      </c>
      <c r="O139" s="2"/>
    </row>
    <row r="140" spans="1:15" x14ac:dyDescent="0.35">
      <c r="A140" s="34">
        <v>138</v>
      </c>
      <c r="B140" s="2" t="s">
        <v>259</v>
      </c>
      <c r="C140" s="34" t="s">
        <v>2067</v>
      </c>
      <c r="D140" s="2" t="s">
        <v>457</v>
      </c>
      <c r="E140" s="2" t="s">
        <v>347</v>
      </c>
      <c r="F140" s="421" t="s">
        <v>421</v>
      </c>
      <c r="G140" s="421"/>
      <c r="H140" s="2" t="s">
        <v>455</v>
      </c>
      <c r="I140" s="39">
        <v>45804</v>
      </c>
      <c r="J140" s="2"/>
      <c r="K140" s="2"/>
      <c r="L140" s="34" t="s">
        <v>432</v>
      </c>
      <c r="M140" s="272" t="s">
        <v>423</v>
      </c>
      <c r="N140" s="35" t="s">
        <v>424</v>
      </c>
      <c r="O140" s="2"/>
    </row>
    <row r="141" spans="1:15" x14ac:dyDescent="0.35">
      <c r="A141" s="34">
        <v>139</v>
      </c>
      <c r="B141" s="38" t="s">
        <v>288</v>
      </c>
      <c r="C141" s="38" t="s">
        <v>2068</v>
      </c>
      <c r="D141" s="2" t="s">
        <v>23</v>
      </c>
      <c r="E141" s="2" t="s">
        <v>347</v>
      </c>
      <c r="F141" s="421" t="s">
        <v>421</v>
      </c>
      <c r="G141" s="421"/>
      <c r="H141" s="2"/>
      <c r="I141" s="39">
        <v>45803</v>
      </c>
      <c r="J141" s="2"/>
      <c r="K141" s="2"/>
      <c r="L141" s="2" t="s">
        <v>444</v>
      </c>
      <c r="M141" s="272" t="s">
        <v>423</v>
      </c>
      <c r="N141" s="35" t="s">
        <v>424</v>
      </c>
      <c r="O141" s="2"/>
    </row>
    <row r="142" spans="1:15" x14ac:dyDescent="0.35">
      <c r="A142" s="34">
        <v>140</v>
      </c>
      <c r="B142" s="38" t="s">
        <v>78</v>
      </c>
      <c r="C142" s="34" t="s">
        <v>2066</v>
      </c>
      <c r="D142" s="2" t="s">
        <v>61</v>
      </c>
      <c r="E142" s="2" t="s">
        <v>347</v>
      </c>
      <c r="F142" s="421" t="s">
        <v>421</v>
      </c>
      <c r="G142" s="421"/>
      <c r="H142" s="2"/>
      <c r="I142" s="39">
        <v>45807</v>
      </c>
      <c r="J142" s="2"/>
      <c r="K142" s="2"/>
      <c r="L142" s="2" t="s">
        <v>434</v>
      </c>
      <c r="M142" s="272" t="s">
        <v>423</v>
      </c>
      <c r="N142" s="35" t="s">
        <v>424</v>
      </c>
      <c r="O142" s="2"/>
    </row>
    <row r="143" spans="1:15" x14ac:dyDescent="0.35">
      <c r="A143" s="34">
        <v>141</v>
      </c>
      <c r="B143" s="38" t="s">
        <v>206</v>
      </c>
      <c r="C143" s="34" t="s">
        <v>2066</v>
      </c>
      <c r="D143" s="2" t="s">
        <v>16</v>
      </c>
      <c r="E143" s="2" t="s">
        <v>348</v>
      </c>
      <c r="F143" s="421" t="s">
        <v>421</v>
      </c>
      <c r="G143" s="421"/>
      <c r="H143" s="2"/>
      <c r="I143" s="39">
        <v>45806</v>
      </c>
      <c r="J143" s="39"/>
      <c r="K143" s="39"/>
      <c r="L143" s="2" t="s">
        <v>443</v>
      </c>
      <c r="M143" s="272" t="s">
        <v>423</v>
      </c>
      <c r="N143" s="35" t="s">
        <v>424</v>
      </c>
      <c r="O143" s="2"/>
    </row>
    <row r="144" spans="1:15" x14ac:dyDescent="0.35">
      <c r="A144" s="34">
        <v>142</v>
      </c>
      <c r="B144" s="2" t="s">
        <v>269</v>
      </c>
      <c r="C144" s="38" t="s">
        <v>2068</v>
      </c>
      <c r="D144" s="2" t="s">
        <v>14</v>
      </c>
      <c r="E144" s="2" t="s">
        <v>350</v>
      </c>
      <c r="F144" s="421" t="s">
        <v>421</v>
      </c>
      <c r="G144" s="421"/>
      <c r="H144" s="2"/>
      <c r="I144" s="39">
        <v>45806</v>
      </c>
      <c r="J144" s="39"/>
      <c r="K144" s="39"/>
      <c r="L144" s="34" t="s">
        <v>432</v>
      </c>
      <c r="M144" s="272" t="s">
        <v>423</v>
      </c>
      <c r="N144" s="35" t="s">
        <v>424</v>
      </c>
      <c r="O144" s="2"/>
    </row>
    <row r="145" spans="1:15" x14ac:dyDescent="0.35">
      <c r="A145" s="34">
        <v>143</v>
      </c>
      <c r="B145" s="2" t="s">
        <v>344</v>
      </c>
      <c r="C145" s="38" t="s">
        <v>2068</v>
      </c>
      <c r="D145" s="2" t="s">
        <v>23</v>
      </c>
      <c r="E145" s="2" t="s">
        <v>348</v>
      </c>
      <c r="F145" s="421" t="s">
        <v>421</v>
      </c>
      <c r="G145" s="421"/>
      <c r="H145" s="2" t="s">
        <v>458</v>
      </c>
      <c r="I145" s="39">
        <v>45808</v>
      </c>
      <c r="J145" s="2"/>
      <c r="K145" s="2"/>
      <c r="L145" s="2" t="s">
        <v>459</v>
      </c>
      <c r="M145" s="272" t="s">
        <v>423</v>
      </c>
      <c r="N145" s="36"/>
      <c r="O145" s="2"/>
    </row>
    <row r="146" spans="1:15" x14ac:dyDescent="0.35">
      <c r="A146" s="34">
        <v>144</v>
      </c>
      <c r="B146" s="34" t="s">
        <v>273</v>
      </c>
      <c r="C146" s="38" t="s">
        <v>2068</v>
      </c>
      <c r="D146" s="34" t="s">
        <v>33</v>
      </c>
      <c r="E146" s="34" t="s">
        <v>347</v>
      </c>
      <c r="F146" s="421" t="s">
        <v>421</v>
      </c>
      <c r="G146" s="421"/>
      <c r="H146" s="2" t="s">
        <v>460</v>
      </c>
      <c r="I146" s="39">
        <v>45809</v>
      </c>
      <c r="J146" s="2"/>
      <c r="K146" s="2"/>
      <c r="L146" s="2" t="s">
        <v>462</v>
      </c>
      <c r="M146" s="272" t="s">
        <v>463</v>
      </c>
      <c r="N146" s="35" t="s">
        <v>424</v>
      </c>
      <c r="O146" s="2"/>
    </row>
    <row r="147" spans="1:15" x14ac:dyDescent="0.35">
      <c r="A147" s="34">
        <v>145</v>
      </c>
      <c r="B147" s="34" t="s">
        <v>281</v>
      </c>
      <c r="C147" s="38" t="s">
        <v>2068</v>
      </c>
      <c r="D147" s="34" t="s">
        <v>31</v>
      </c>
      <c r="E147" s="34" t="s">
        <v>348</v>
      </c>
      <c r="F147" s="421" t="s">
        <v>421</v>
      </c>
      <c r="G147" s="421"/>
      <c r="H147" s="2" t="s">
        <v>464</v>
      </c>
      <c r="I147" s="39">
        <v>45809</v>
      </c>
      <c r="J147" s="2"/>
      <c r="K147" s="2"/>
      <c r="L147" s="2" t="s">
        <v>444</v>
      </c>
      <c r="M147" s="272" t="s">
        <v>463</v>
      </c>
      <c r="N147" s="2"/>
      <c r="O147" s="2"/>
    </row>
    <row r="148" spans="1:15" x14ac:dyDescent="0.35">
      <c r="A148" s="34">
        <v>146</v>
      </c>
      <c r="B148" s="262" t="s">
        <v>200</v>
      </c>
      <c r="C148" s="34" t="s">
        <v>2066</v>
      </c>
      <c r="D148" s="34" t="s">
        <v>31</v>
      </c>
      <c r="E148" s="34" t="s">
        <v>347</v>
      </c>
      <c r="F148" s="421" t="s">
        <v>421</v>
      </c>
      <c r="G148" s="421"/>
      <c r="H148" s="2" t="s">
        <v>464</v>
      </c>
      <c r="I148" s="39">
        <v>45810</v>
      </c>
      <c r="J148" s="2"/>
      <c r="K148" s="2"/>
      <c r="L148" s="2" t="s">
        <v>443</v>
      </c>
      <c r="M148" s="272" t="s">
        <v>463</v>
      </c>
      <c r="N148" s="35" t="s">
        <v>424</v>
      </c>
      <c r="O148" s="2"/>
    </row>
    <row r="149" spans="1:15" x14ac:dyDescent="0.35">
      <c r="A149" s="34">
        <v>147</v>
      </c>
      <c r="B149" s="38" t="s">
        <v>261</v>
      </c>
      <c r="C149" s="34" t="s">
        <v>2067</v>
      </c>
      <c r="D149" s="34" t="s">
        <v>33</v>
      </c>
      <c r="E149" s="34" t="s">
        <v>347</v>
      </c>
      <c r="F149" s="421" t="s">
        <v>421</v>
      </c>
      <c r="G149" s="421"/>
      <c r="H149" s="2" t="s">
        <v>461</v>
      </c>
      <c r="I149" s="39">
        <v>45812</v>
      </c>
      <c r="J149" s="39"/>
      <c r="K149" s="39"/>
      <c r="L149" s="34" t="s">
        <v>432</v>
      </c>
      <c r="M149" s="272" t="s">
        <v>463</v>
      </c>
      <c r="N149" s="35" t="s">
        <v>424</v>
      </c>
      <c r="O149" s="2"/>
    </row>
    <row r="150" spans="1:15" x14ac:dyDescent="0.35">
      <c r="A150" s="34">
        <v>148</v>
      </c>
      <c r="B150" s="2" t="s">
        <v>275</v>
      </c>
      <c r="C150" s="38" t="s">
        <v>2068</v>
      </c>
      <c r="D150" s="2" t="s">
        <v>31</v>
      </c>
      <c r="E150" s="34" t="s">
        <v>347</v>
      </c>
      <c r="F150" s="421" t="s">
        <v>421</v>
      </c>
      <c r="G150" s="421"/>
      <c r="H150" s="2" t="s">
        <v>461</v>
      </c>
      <c r="I150" s="39">
        <v>45813</v>
      </c>
      <c r="J150" s="39"/>
      <c r="K150" s="39"/>
      <c r="L150" s="2" t="s">
        <v>467</v>
      </c>
      <c r="M150" s="272" t="s">
        <v>463</v>
      </c>
      <c r="N150" s="2"/>
      <c r="O150" s="2"/>
    </row>
    <row r="151" spans="1:15" x14ac:dyDescent="0.35">
      <c r="A151" s="34">
        <v>149</v>
      </c>
      <c r="B151" s="2" t="s">
        <v>282</v>
      </c>
      <c r="C151" s="38" t="s">
        <v>2068</v>
      </c>
      <c r="D151" s="2" t="s">
        <v>31</v>
      </c>
      <c r="E151" s="2" t="s">
        <v>348</v>
      </c>
      <c r="F151" s="421" t="s">
        <v>421</v>
      </c>
      <c r="G151" s="421"/>
      <c r="H151" s="2" t="s">
        <v>465</v>
      </c>
      <c r="I151" s="39">
        <v>45814</v>
      </c>
      <c r="J151" s="39"/>
      <c r="K151" s="39"/>
      <c r="L151" s="2" t="s">
        <v>444</v>
      </c>
      <c r="M151" s="272" t="s">
        <v>463</v>
      </c>
      <c r="N151" s="2"/>
      <c r="O151" s="2"/>
    </row>
    <row r="152" spans="1:15" x14ac:dyDescent="0.35">
      <c r="A152" s="34">
        <v>150</v>
      </c>
      <c r="B152" s="2" t="s">
        <v>343</v>
      </c>
      <c r="C152" s="38" t="s">
        <v>2068</v>
      </c>
      <c r="D152" s="2" t="s">
        <v>23</v>
      </c>
      <c r="E152" s="2" t="s">
        <v>347</v>
      </c>
      <c r="F152" s="421" t="s">
        <v>421</v>
      </c>
      <c r="G152" s="421"/>
      <c r="H152" s="2" t="s">
        <v>465</v>
      </c>
      <c r="I152" s="39">
        <v>45844</v>
      </c>
      <c r="J152" s="39"/>
      <c r="K152" s="39"/>
      <c r="L152" s="2" t="s">
        <v>459</v>
      </c>
      <c r="M152" s="272" t="s">
        <v>463</v>
      </c>
      <c r="N152" s="2"/>
      <c r="O152" s="2"/>
    </row>
    <row r="153" spans="1:15" x14ac:dyDescent="0.35">
      <c r="A153" s="34">
        <v>151</v>
      </c>
      <c r="B153" s="2" t="s">
        <v>227</v>
      </c>
      <c r="C153" s="34" t="s">
        <v>2067</v>
      </c>
      <c r="D153" s="2" t="s">
        <v>33</v>
      </c>
      <c r="E153" s="2" t="s">
        <v>347</v>
      </c>
      <c r="F153" s="421" t="s">
        <v>421</v>
      </c>
      <c r="G153" s="421"/>
      <c r="H153" s="2" t="s">
        <v>465</v>
      </c>
      <c r="I153" s="39">
        <v>45875</v>
      </c>
      <c r="J153" s="39"/>
      <c r="K153" s="39"/>
      <c r="L153" s="34" t="s">
        <v>432</v>
      </c>
      <c r="M153" s="272" t="s">
        <v>463</v>
      </c>
      <c r="N153" s="35" t="s">
        <v>424</v>
      </c>
      <c r="O153" s="2"/>
    </row>
    <row r="154" spans="1:15" x14ac:dyDescent="0.35">
      <c r="A154" s="34">
        <v>152</v>
      </c>
      <c r="B154" s="2" t="s">
        <v>276</v>
      </c>
      <c r="C154" s="38" t="s">
        <v>2068</v>
      </c>
      <c r="D154" s="2" t="s">
        <v>33</v>
      </c>
      <c r="E154" s="2" t="s">
        <v>348</v>
      </c>
      <c r="F154" s="421" t="s">
        <v>421</v>
      </c>
      <c r="G154" s="421"/>
      <c r="H154" s="2" t="s">
        <v>466</v>
      </c>
      <c r="I154" s="39">
        <v>45818</v>
      </c>
      <c r="J154" s="39"/>
      <c r="K154" s="39"/>
      <c r="L154" s="2" t="s">
        <v>436</v>
      </c>
      <c r="M154" s="272" t="s">
        <v>463</v>
      </c>
      <c r="N154" s="2"/>
      <c r="O154" s="2"/>
    </row>
    <row r="155" spans="1:15" x14ac:dyDescent="0.35">
      <c r="A155" s="34">
        <v>153</v>
      </c>
      <c r="B155" s="2" t="s">
        <v>262</v>
      </c>
      <c r="C155" s="34" t="s">
        <v>2067</v>
      </c>
      <c r="D155" s="2" t="s">
        <v>31</v>
      </c>
      <c r="E155" s="2" t="s">
        <v>350</v>
      </c>
      <c r="F155" s="421" t="s">
        <v>421</v>
      </c>
      <c r="G155" s="421"/>
      <c r="H155" s="2" t="s">
        <v>468</v>
      </c>
      <c r="I155" s="39">
        <v>45967</v>
      </c>
      <c r="J155" s="39"/>
      <c r="K155" s="39" t="s">
        <v>2084</v>
      </c>
      <c r="L155" s="34" t="s">
        <v>432</v>
      </c>
      <c r="M155" s="272" t="s">
        <v>463</v>
      </c>
      <c r="N155" s="35" t="s">
        <v>424</v>
      </c>
      <c r="O155" s="2"/>
    </row>
    <row r="156" spans="1:15" x14ac:dyDescent="0.35">
      <c r="A156" s="34">
        <v>154</v>
      </c>
      <c r="B156" s="2" t="s">
        <v>341</v>
      </c>
      <c r="C156" s="38" t="s">
        <v>2068</v>
      </c>
      <c r="D156" s="2" t="s">
        <v>23</v>
      </c>
      <c r="E156" s="2" t="s">
        <v>347</v>
      </c>
      <c r="F156" s="421" t="s">
        <v>421</v>
      </c>
      <c r="G156" s="421"/>
      <c r="H156" s="2" t="s">
        <v>461</v>
      </c>
      <c r="I156" s="39">
        <v>45967</v>
      </c>
      <c r="J156" s="39"/>
      <c r="K156" s="39" t="s">
        <v>2084</v>
      </c>
      <c r="L156" s="2" t="s">
        <v>459</v>
      </c>
      <c r="M156" s="272" t="s">
        <v>463</v>
      </c>
      <c r="N156" s="35" t="s">
        <v>424</v>
      </c>
      <c r="O156" s="2"/>
    </row>
    <row r="157" spans="1:15" x14ac:dyDescent="0.35">
      <c r="A157" s="34">
        <v>155</v>
      </c>
      <c r="B157" s="2" t="s">
        <v>283</v>
      </c>
      <c r="C157" s="38" t="s">
        <v>2068</v>
      </c>
      <c r="D157" s="2" t="s">
        <v>469</v>
      </c>
      <c r="E157" s="2" t="s">
        <v>347</v>
      </c>
      <c r="F157" s="421" t="s">
        <v>421</v>
      </c>
      <c r="G157" s="421"/>
      <c r="H157" s="2" t="s">
        <v>470</v>
      </c>
      <c r="I157" s="39">
        <v>45822</v>
      </c>
      <c r="J157" s="39"/>
      <c r="K157" s="39"/>
      <c r="L157" s="2" t="s">
        <v>444</v>
      </c>
      <c r="M157" s="272" t="s">
        <v>463</v>
      </c>
      <c r="N157" s="35" t="s">
        <v>424</v>
      </c>
      <c r="O157" s="2"/>
    </row>
    <row r="158" spans="1:15" x14ac:dyDescent="0.35">
      <c r="A158" s="34">
        <v>156</v>
      </c>
      <c r="B158" s="2" t="s">
        <v>277</v>
      </c>
      <c r="C158" s="38" t="s">
        <v>2068</v>
      </c>
      <c r="D158" s="2" t="s">
        <v>28</v>
      </c>
      <c r="E158" s="2" t="s">
        <v>347</v>
      </c>
      <c r="F158" s="421" t="s">
        <v>421</v>
      </c>
      <c r="G158" s="421"/>
      <c r="H158" s="39">
        <v>45936</v>
      </c>
      <c r="I158" s="39">
        <v>45824</v>
      </c>
      <c r="J158" s="39"/>
      <c r="K158" s="39"/>
      <c r="L158" s="2" t="s">
        <v>467</v>
      </c>
      <c r="M158" s="272" t="s">
        <v>463</v>
      </c>
      <c r="N158" s="2"/>
      <c r="O158" s="2"/>
    </row>
    <row r="159" spans="1:15" x14ac:dyDescent="0.35">
      <c r="A159" s="34">
        <v>157</v>
      </c>
      <c r="B159" s="2" t="s">
        <v>338</v>
      </c>
      <c r="C159" s="38" t="s">
        <v>2068</v>
      </c>
      <c r="D159" s="2" t="s">
        <v>33</v>
      </c>
      <c r="E159" s="2" t="s">
        <v>347</v>
      </c>
      <c r="F159" s="421" t="s">
        <v>421</v>
      </c>
      <c r="G159" s="421"/>
      <c r="H159" s="2"/>
      <c r="I159" s="39">
        <v>45825</v>
      </c>
      <c r="J159" s="2"/>
      <c r="K159" s="2"/>
      <c r="L159" s="2" t="s">
        <v>459</v>
      </c>
      <c r="M159" s="272"/>
      <c r="N159" s="2"/>
      <c r="O159" s="2"/>
    </row>
    <row r="160" spans="1:15" x14ac:dyDescent="0.35">
      <c r="A160" s="34">
        <v>158</v>
      </c>
      <c r="B160" s="2" t="s">
        <v>322</v>
      </c>
      <c r="C160" s="38" t="s">
        <v>2068</v>
      </c>
      <c r="D160" s="2" t="s">
        <v>14</v>
      </c>
      <c r="E160" s="38" t="s">
        <v>347</v>
      </c>
      <c r="F160" s="421" t="s">
        <v>421</v>
      </c>
      <c r="G160" s="421"/>
      <c r="H160" s="2" t="s">
        <v>472</v>
      </c>
      <c r="I160" s="39">
        <v>45826</v>
      </c>
      <c r="J160" s="39"/>
      <c r="K160" s="39"/>
      <c r="L160" s="2" t="s">
        <v>443</v>
      </c>
      <c r="M160" s="272" t="s">
        <v>463</v>
      </c>
      <c r="N160" s="2"/>
      <c r="O160" s="2"/>
    </row>
    <row r="161" spans="1:15" x14ac:dyDescent="0.35">
      <c r="A161" s="34">
        <v>159</v>
      </c>
      <c r="B161" s="38" t="s">
        <v>223</v>
      </c>
      <c r="C161" s="34" t="s">
        <v>2067</v>
      </c>
      <c r="D161" s="2" t="s">
        <v>115</v>
      </c>
      <c r="E161" s="2" t="s">
        <v>347</v>
      </c>
      <c r="F161" s="421" t="s">
        <v>421</v>
      </c>
      <c r="G161" s="421"/>
      <c r="H161" s="2" t="s">
        <v>473</v>
      </c>
      <c r="I161" s="39">
        <v>45829</v>
      </c>
      <c r="J161" s="39"/>
      <c r="K161" s="39"/>
      <c r="L161" s="34" t="s">
        <v>432</v>
      </c>
      <c r="M161" s="272" t="s">
        <v>463</v>
      </c>
      <c r="N161" s="2"/>
      <c r="O161" s="2"/>
    </row>
    <row r="162" spans="1:15" x14ac:dyDescent="0.35">
      <c r="A162" s="34">
        <v>160</v>
      </c>
      <c r="B162" s="2" t="s">
        <v>323</v>
      </c>
      <c r="C162" s="38" t="s">
        <v>2068</v>
      </c>
      <c r="D162" s="2" t="s">
        <v>31</v>
      </c>
      <c r="E162" s="2" t="s">
        <v>347</v>
      </c>
      <c r="F162" s="421" t="s">
        <v>421</v>
      </c>
      <c r="G162" s="421"/>
      <c r="H162" s="39" t="s">
        <v>474</v>
      </c>
      <c r="I162" s="39">
        <v>45831</v>
      </c>
      <c r="J162" s="39"/>
      <c r="K162" s="39"/>
      <c r="L162" s="2" t="s">
        <v>443</v>
      </c>
      <c r="M162" s="272" t="s">
        <v>475</v>
      </c>
      <c r="N162" s="2"/>
      <c r="O162" s="2"/>
    </row>
    <row r="163" spans="1:15" x14ac:dyDescent="0.35">
      <c r="A163" s="34">
        <v>161</v>
      </c>
      <c r="B163" s="2" t="s">
        <v>340</v>
      </c>
      <c r="C163" s="38" t="s">
        <v>2068</v>
      </c>
      <c r="D163" s="2" t="s">
        <v>16</v>
      </c>
      <c r="E163" s="2" t="s">
        <v>347</v>
      </c>
      <c r="F163" s="421" t="s">
        <v>421</v>
      </c>
      <c r="G163" s="421"/>
      <c r="H163" s="2" t="s">
        <v>472</v>
      </c>
      <c r="I163" s="39">
        <v>45835</v>
      </c>
      <c r="J163" s="39"/>
      <c r="K163" s="39"/>
      <c r="L163" s="2" t="s">
        <v>459</v>
      </c>
      <c r="M163" s="272" t="s">
        <v>475</v>
      </c>
      <c r="N163" s="2"/>
      <c r="O163" s="2"/>
    </row>
    <row r="164" spans="1:15" x14ac:dyDescent="0.35">
      <c r="A164" s="34">
        <v>162</v>
      </c>
      <c r="B164" s="2" t="s">
        <v>324</v>
      </c>
      <c r="C164" s="38" t="s">
        <v>2068</v>
      </c>
      <c r="D164" s="2" t="s">
        <v>31</v>
      </c>
      <c r="E164" s="2" t="s">
        <v>347</v>
      </c>
      <c r="F164" s="421" t="s">
        <v>421</v>
      </c>
      <c r="G164" s="421"/>
      <c r="H164" s="39" t="s">
        <v>471</v>
      </c>
      <c r="I164" s="39">
        <v>45838</v>
      </c>
      <c r="J164" s="2"/>
      <c r="K164" s="2"/>
      <c r="L164" s="2" t="s">
        <v>443</v>
      </c>
      <c r="M164" s="272" t="s">
        <v>475</v>
      </c>
      <c r="N164" s="2"/>
      <c r="O164" s="2"/>
    </row>
    <row r="165" spans="1:15" x14ac:dyDescent="0.35">
      <c r="A165" s="34">
        <v>163</v>
      </c>
      <c r="B165" s="2" t="s">
        <v>330</v>
      </c>
      <c r="C165" s="38" t="s">
        <v>2068</v>
      </c>
      <c r="D165" s="2" t="s">
        <v>23</v>
      </c>
      <c r="E165" s="2" t="s">
        <v>347</v>
      </c>
      <c r="F165" s="421" t="s">
        <v>421</v>
      </c>
      <c r="G165" s="421"/>
      <c r="H165" s="2"/>
      <c r="I165" s="39">
        <v>45845</v>
      </c>
      <c r="J165" s="39"/>
      <c r="K165" s="39"/>
      <c r="L165" s="2" t="s">
        <v>459</v>
      </c>
      <c r="M165" s="272"/>
      <c r="N165" s="2"/>
      <c r="O165" s="2"/>
    </row>
    <row r="166" spans="1:15" ht="18" customHeight="1" x14ac:dyDescent="0.35">
      <c r="A166" s="34">
        <v>164</v>
      </c>
      <c r="B166" s="2" t="s">
        <v>328</v>
      </c>
      <c r="C166" s="38" t="s">
        <v>2068</v>
      </c>
      <c r="D166" s="2" t="s">
        <v>23</v>
      </c>
      <c r="E166" s="2" t="s">
        <v>347</v>
      </c>
      <c r="F166" s="421" t="s">
        <v>421</v>
      </c>
      <c r="G166" s="421"/>
      <c r="H166" s="2"/>
      <c r="I166" s="39">
        <v>45852</v>
      </c>
      <c r="J166" s="2"/>
      <c r="K166" s="2"/>
      <c r="L166" s="2" t="s">
        <v>459</v>
      </c>
      <c r="M166" s="272"/>
      <c r="N166" s="2"/>
      <c r="O166" s="2"/>
    </row>
    <row r="167" spans="1:15" x14ac:dyDescent="0.35">
      <c r="A167" s="34">
        <v>165</v>
      </c>
      <c r="B167" s="2" t="s">
        <v>316</v>
      </c>
      <c r="C167" s="38" t="s">
        <v>2068</v>
      </c>
      <c r="D167" s="2" t="s">
        <v>23</v>
      </c>
      <c r="E167" s="2" t="s">
        <v>350</v>
      </c>
      <c r="F167" s="421" t="s">
        <v>476</v>
      </c>
      <c r="G167" s="421"/>
      <c r="H167" s="2" t="s">
        <v>477</v>
      </c>
      <c r="I167" s="39">
        <v>45849</v>
      </c>
      <c r="J167" s="2"/>
      <c r="K167" s="2"/>
      <c r="L167" s="36" t="s">
        <v>443</v>
      </c>
      <c r="M167" s="272"/>
      <c r="N167" s="2"/>
      <c r="O167" s="2"/>
    </row>
    <row r="168" spans="1:15" x14ac:dyDescent="0.35">
      <c r="A168" s="34">
        <v>166</v>
      </c>
      <c r="B168" s="2" t="s">
        <v>317</v>
      </c>
      <c r="C168" s="38" t="s">
        <v>2068</v>
      </c>
      <c r="D168" s="2" t="s">
        <v>23</v>
      </c>
      <c r="E168" s="2" t="s">
        <v>350</v>
      </c>
      <c r="F168" s="421" t="s">
        <v>476</v>
      </c>
      <c r="G168" s="421"/>
      <c r="H168" s="39" t="s">
        <v>478</v>
      </c>
      <c r="I168" s="39">
        <v>45854</v>
      </c>
      <c r="J168" s="2"/>
      <c r="K168" s="2"/>
      <c r="L168" s="36" t="s">
        <v>443</v>
      </c>
      <c r="M168" s="272"/>
      <c r="N168" s="2"/>
      <c r="O168" s="2"/>
    </row>
    <row r="169" spans="1:15" x14ac:dyDescent="0.35">
      <c r="A169" s="34">
        <v>167</v>
      </c>
      <c r="B169" s="2" t="s">
        <v>332</v>
      </c>
      <c r="C169" s="38" t="s">
        <v>2068</v>
      </c>
      <c r="D169" s="2" t="s">
        <v>16</v>
      </c>
      <c r="E169" s="2" t="s">
        <v>350</v>
      </c>
      <c r="F169" s="421" t="s">
        <v>476</v>
      </c>
      <c r="G169" s="421"/>
      <c r="H169" s="2"/>
      <c r="I169" s="39">
        <v>45860</v>
      </c>
      <c r="J169" s="2"/>
      <c r="K169" s="2"/>
      <c r="L169" s="2" t="s">
        <v>459</v>
      </c>
      <c r="M169" s="272"/>
      <c r="N169" s="2"/>
      <c r="O169" s="2"/>
    </row>
    <row r="170" spans="1:15" x14ac:dyDescent="0.35">
      <c r="A170" s="34">
        <v>168</v>
      </c>
      <c r="B170" s="38" t="s">
        <v>44</v>
      </c>
      <c r="C170" s="263" t="s">
        <v>2066</v>
      </c>
      <c r="D170" s="2" t="s">
        <v>480</v>
      </c>
      <c r="E170" s="2" t="s">
        <v>348</v>
      </c>
      <c r="F170" s="421" t="s">
        <v>476</v>
      </c>
      <c r="G170" s="421"/>
      <c r="H170" s="2" t="s">
        <v>479</v>
      </c>
      <c r="I170" s="39">
        <v>45888</v>
      </c>
      <c r="J170" s="2"/>
      <c r="K170" s="2"/>
      <c r="L170" s="2" t="s">
        <v>443</v>
      </c>
      <c r="M170" s="272"/>
      <c r="N170" s="2"/>
      <c r="O170" s="2"/>
    </row>
    <row r="171" spans="1:15" x14ac:dyDescent="0.35">
      <c r="A171" s="34">
        <v>169</v>
      </c>
      <c r="B171" s="38" t="s">
        <v>123</v>
      </c>
      <c r="C171" s="34" t="s">
        <v>2066</v>
      </c>
      <c r="D171" s="2" t="s">
        <v>480</v>
      </c>
      <c r="E171" s="2" t="s">
        <v>349</v>
      </c>
      <c r="F171" s="421" t="s">
        <v>476</v>
      </c>
      <c r="G171" s="421"/>
      <c r="H171" s="2" t="s">
        <v>481</v>
      </c>
      <c r="I171" s="39">
        <v>45881</v>
      </c>
      <c r="J171" s="2"/>
      <c r="K171" s="2"/>
      <c r="L171" s="2" t="s">
        <v>616</v>
      </c>
      <c r="M171" s="272"/>
      <c r="N171" s="2"/>
      <c r="O171" s="2"/>
    </row>
    <row r="172" spans="1:15" ht="15.75" customHeight="1" x14ac:dyDescent="0.35">
      <c r="A172" s="34">
        <v>170</v>
      </c>
      <c r="B172" s="2" t="s">
        <v>248</v>
      </c>
      <c r="C172" s="34" t="s">
        <v>2067</v>
      </c>
      <c r="D172" s="2" t="s">
        <v>115</v>
      </c>
      <c r="E172" s="2" t="s">
        <v>347</v>
      </c>
      <c r="F172" s="421" t="s">
        <v>476</v>
      </c>
      <c r="G172" s="421"/>
      <c r="H172" s="2" t="s">
        <v>484</v>
      </c>
      <c r="I172" s="39">
        <v>45881</v>
      </c>
      <c r="J172" s="2"/>
      <c r="K172" s="2"/>
      <c r="L172" s="2" t="s">
        <v>459</v>
      </c>
      <c r="M172" s="272"/>
      <c r="N172" s="2"/>
      <c r="O172" s="2"/>
    </row>
    <row r="173" spans="1:15" x14ac:dyDescent="0.35">
      <c r="A173" s="34">
        <v>171</v>
      </c>
      <c r="B173" s="38" t="s">
        <v>242</v>
      </c>
      <c r="C173" s="34" t="s">
        <v>2067</v>
      </c>
      <c r="D173" s="2" t="s">
        <v>31</v>
      </c>
      <c r="E173" s="2" t="s">
        <v>350</v>
      </c>
      <c r="F173" s="421" t="s">
        <v>476</v>
      </c>
      <c r="G173" s="421"/>
      <c r="H173" s="2" t="s">
        <v>485</v>
      </c>
      <c r="I173" s="39">
        <v>45888</v>
      </c>
      <c r="J173" s="2"/>
      <c r="K173" s="2"/>
      <c r="L173" s="2" t="s">
        <v>486</v>
      </c>
      <c r="M173" s="272"/>
      <c r="N173" s="2"/>
      <c r="O173" s="2"/>
    </row>
    <row r="174" spans="1:15" x14ac:dyDescent="0.35">
      <c r="A174" s="34">
        <v>172</v>
      </c>
      <c r="B174" s="38" t="s">
        <v>90</v>
      </c>
      <c r="C174" s="34" t="s">
        <v>2066</v>
      </c>
      <c r="D174" s="2" t="s">
        <v>61</v>
      </c>
      <c r="E174" s="2" t="s">
        <v>349</v>
      </c>
      <c r="F174" s="421" t="s">
        <v>476</v>
      </c>
      <c r="G174" s="421"/>
      <c r="H174" s="2" t="s">
        <v>487</v>
      </c>
      <c r="I174" s="39">
        <v>45887</v>
      </c>
      <c r="J174" s="2"/>
      <c r="K174" s="2"/>
      <c r="L174" s="2" t="s">
        <v>483</v>
      </c>
      <c r="M174" s="272"/>
      <c r="N174" s="2"/>
      <c r="O174" s="2"/>
    </row>
    <row r="175" spans="1:15" x14ac:dyDescent="0.35">
      <c r="A175" s="34">
        <v>173</v>
      </c>
      <c r="B175" s="2" t="s">
        <v>251</v>
      </c>
      <c r="C175" s="34" t="s">
        <v>2067</v>
      </c>
      <c r="D175" s="2" t="s">
        <v>488</v>
      </c>
      <c r="E175" s="2" t="s">
        <v>613</v>
      </c>
      <c r="F175" s="421" t="s">
        <v>476</v>
      </c>
      <c r="G175" s="421"/>
      <c r="H175" s="2" t="s">
        <v>482</v>
      </c>
      <c r="I175" s="39">
        <v>45914</v>
      </c>
      <c r="J175" s="2"/>
      <c r="K175" s="2"/>
      <c r="L175" s="2" t="s">
        <v>459</v>
      </c>
      <c r="M175" s="272"/>
      <c r="N175" s="2"/>
      <c r="O175" s="2"/>
    </row>
    <row r="176" spans="1:15" x14ac:dyDescent="0.35">
      <c r="A176" s="34">
        <v>174</v>
      </c>
      <c r="B176" s="2" t="s">
        <v>244</v>
      </c>
      <c r="C176" s="34" t="s">
        <v>2067</v>
      </c>
      <c r="D176" s="2" t="s">
        <v>31</v>
      </c>
      <c r="E176" s="2" t="s">
        <v>347</v>
      </c>
      <c r="F176" s="421" t="s">
        <v>476</v>
      </c>
      <c r="G176" s="421"/>
      <c r="H176" s="2" t="s">
        <v>615</v>
      </c>
      <c r="I176" s="39">
        <v>45916</v>
      </c>
      <c r="J176" s="2"/>
      <c r="K176" s="2"/>
      <c r="L176" s="2" t="s">
        <v>486</v>
      </c>
      <c r="M176" s="272"/>
      <c r="N176" s="2"/>
      <c r="O176" s="2"/>
    </row>
    <row r="177" spans="1:15" x14ac:dyDescent="0.35">
      <c r="A177" s="34">
        <v>175</v>
      </c>
      <c r="B177" s="2" t="s">
        <v>180</v>
      </c>
      <c r="C177" s="34" t="s">
        <v>2066</v>
      </c>
      <c r="D177" s="2" t="s">
        <v>115</v>
      </c>
      <c r="E177" s="2" t="s">
        <v>349</v>
      </c>
      <c r="F177" s="421" t="s">
        <v>476</v>
      </c>
      <c r="G177" s="421"/>
      <c r="H177" s="2" t="s">
        <v>614</v>
      </c>
      <c r="I177" s="39">
        <v>45922</v>
      </c>
      <c r="J177" s="2"/>
      <c r="K177" s="2"/>
      <c r="L177" s="2" t="s">
        <v>483</v>
      </c>
      <c r="M177" s="272"/>
      <c r="N177" s="2"/>
      <c r="O177" s="2"/>
    </row>
    <row r="178" spans="1:15" x14ac:dyDescent="0.35">
      <c r="A178" s="34">
        <v>176</v>
      </c>
      <c r="B178" s="264" t="s">
        <v>65</v>
      </c>
      <c r="C178" s="34" t="s">
        <v>2066</v>
      </c>
      <c r="D178" s="2" t="s">
        <v>28</v>
      </c>
      <c r="E178" s="2" t="s">
        <v>349</v>
      </c>
      <c r="F178" s="421" t="s">
        <v>476</v>
      </c>
      <c r="G178" s="421"/>
      <c r="H178" s="2" t="s">
        <v>614</v>
      </c>
      <c r="I178" s="39">
        <v>45943</v>
      </c>
      <c r="J178" s="2"/>
      <c r="K178" s="2"/>
      <c r="L178" s="2" t="s">
        <v>443</v>
      </c>
      <c r="M178" s="272"/>
      <c r="N178" s="2"/>
      <c r="O178" s="2"/>
    </row>
    <row r="179" spans="1:15" x14ac:dyDescent="0.35">
      <c r="A179" s="34">
        <v>177</v>
      </c>
      <c r="B179" s="2" t="s">
        <v>181</v>
      </c>
      <c r="C179" s="34" t="s">
        <v>2066</v>
      </c>
      <c r="D179" s="2" t="s">
        <v>182</v>
      </c>
      <c r="E179" s="1" t="s">
        <v>349</v>
      </c>
      <c r="F179" s="421" t="s">
        <v>476</v>
      </c>
      <c r="G179" s="421"/>
      <c r="H179" s="2" t="s">
        <v>623</v>
      </c>
      <c r="I179" s="39">
        <v>45914</v>
      </c>
      <c r="J179" s="2"/>
      <c r="K179" s="2"/>
      <c r="L179" s="2" t="s">
        <v>616</v>
      </c>
      <c r="M179" s="272"/>
      <c r="N179" s="2"/>
      <c r="O179" s="2"/>
    </row>
    <row r="180" spans="1:15" x14ac:dyDescent="0.35">
      <c r="A180" s="34">
        <v>178</v>
      </c>
      <c r="B180" s="38" t="s">
        <v>245</v>
      </c>
      <c r="C180" s="34" t="s">
        <v>2067</v>
      </c>
      <c r="D180" s="2" t="s">
        <v>35</v>
      </c>
      <c r="E180" s="1" t="s">
        <v>349</v>
      </c>
      <c r="F180" s="421" t="s">
        <v>476</v>
      </c>
      <c r="G180" s="421"/>
      <c r="H180" s="2" t="s">
        <v>740</v>
      </c>
      <c r="I180" s="39">
        <v>45930</v>
      </c>
      <c r="J180" s="2"/>
      <c r="K180" s="2"/>
      <c r="L180" s="2" t="s">
        <v>486</v>
      </c>
      <c r="M180" s="272"/>
      <c r="N180" s="2"/>
      <c r="O180" s="2"/>
    </row>
    <row r="181" spans="1:15" x14ac:dyDescent="0.35">
      <c r="A181" s="34">
        <v>179</v>
      </c>
      <c r="B181" s="38" t="s">
        <v>250</v>
      </c>
      <c r="C181" s="34" t="s">
        <v>2067</v>
      </c>
      <c r="D181" s="2" t="s">
        <v>33</v>
      </c>
      <c r="E181" s="2" t="s">
        <v>349</v>
      </c>
      <c r="F181" s="421" t="s">
        <v>476</v>
      </c>
      <c r="G181" s="421"/>
      <c r="H181" s="2" t="s">
        <v>738</v>
      </c>
      <c r="I181" s="39">
        <v>45943</v>
      </c>
      <c r="J181" s="2"/>
      <c r="K181" s="2"/>
      <c r="L181" s="2" t="s">
        <v>1958</v>
      </c>
      <c r="M181" s="272"/>
      <c r="N181" s="2"/>
      <c r="O181" s="2"/>
    </row>
    <row r="182" spans="1:15" x14ac:dyDescent="0.35">
      <c r="A182" s="34">
        <v>180</v>
      </c>
      <c r="B182" s="2" t="s">
        <v>252</v>
      </c>
      <c r="C182" s="34" t="s">
        <v>2067</v>
      </c>
      <c r="D182" s="2" t="s">
        <v>33</v>
      </c>
      <c r="E182" s="2" t="s">
        <v>347</v>
      </c>
      <c r="F182" s="421" t="s">
        <v>476</v>
      </c>
      <c r="G182" s="421"/>
      <c r="H182" s="2" t="s">
        <v>740</v>
      </c>
      <c r="I182" s="39">
        <v>45941</v>
      </c>
      <c r="J182" s="2"/>
      <c r="K182" s="2"/>
      <c r="L182" s="2" t="s">
        <v>736</v>
      </c>
      <c r="M182" s="272"/>
      <c r="N182" s="2"/>
      <c r="O182" s="2"/>
    </row>
    <row r="183" spans="1:15" x14ac:dyDescent="0.35">
      <c r="A183" s="34">
        <v>181</v>
      </c>
      <c r="B183" s="38" t="s">
        <v>77</v>
      </c>
      <c r="C183" s="34" t="s">
        <v>2066</v>
      </c>
      <c r="D183" s="2" t="s">
        <v>31</v>
      </c>
      <c r="E183" s="2" t="s">
        <v>349</v>
      </c>
      <c r="F183" s="421" t="s">
        <v>476</v>
      </c>
      <c r="G183" s="421"/>
      <c r="H183" s="2" t="s">
        <v>740</v>
      </c>
      <c r="I183" s="39">
        <v>45929</v>
      </c>
      <c r="J183" s="2"/>
      <c r="K183" s="2"/>
      <c r="L183" s="2" t="s">
        <v>616</v>
      </c>
      <c r="M183" s="272"/>
      <c r="N183" s="2"/>
      <c r="O183" s="2"/>
    </row>
    <row r="184" spans="1:15" x14ac:dyDescent="0.35">
      <c r="A184" s="34">
        <v>182</v>
      </c>
      <c r="B184" s="38" t="s">
        <v>68</v>
      </c>
      <c r="C184" s="34" t="s">
        <v>2066</v>
      </c>
      <c r="D184" s="2" t="s">
        <v>33</v>
      </c>
      <c r="E184" s="2" t="s">
        <v>349</v>
      </c>
      <c r="F184" s="421" t="s">
        <v>476</v>
      </c>
      <c r="G184" s="421"/>
      <c r="H184" s="2" t="s">
        <v>744</v>
      </c>
      <c r="I184" s="39">
        <v>45931</v>
      </c>
      <c r="J184" s="2"/>
      <c r="K184" s="2"/>
      <c r="L184" s="2" t="s">
        <v>616</v>
      </c>
      <c r="M184" s="272"/>
      <c r="N184" s="2"/>
      <c r="O184" s="2"/>
    </row>
    <row r="185" spans="1:15" x14ac:dyDescent="0.35">
      <c r="A185" s="34">
        <v>183</v>
      </c>
      <c r="B185" s="38" t="s">
        <v>89</v>
      </c>
      <c r="C185" s="34" t="s">
        <v>2066</v>
      </c>
      <c r="D185" s="2" t="s">
        <v>31</v>
      </c>
      <c r="E185" s="2" t="s">
        <v>349</v>
      </c>
      <c r="F185" s="421" t="s">
        <v>476</v>
      </c>
      <c r="G185" s="421"/>
      <c r="H185" s="2" t="s">
        <v>745</v>
      </c>
      <c r="I185" s="39">
        <v>45936</v>
      </c>
      <c r="J185" s="2"/>
      <c r="K185" s="2"/>
      <c r="L185" s="2" t="s">
        <v>756</v>
      </c>
      <c r="M185" s="272"/>
      <c r="N185" s="2"/>
      <c r="O185" s="2"/>
    </row>
    <row r="186" spans="1:15" x14ac:dyDescent="0.35">
      <c r="A186" s="34">
        <v>184</v>
      </c>
      <c r="B186" s="38" t="s">
        <v>49</v>
      </c>
      <c r="C186" s="263" t="s">
        <v>2066</v>
      </c>
      <c r="D186" s="38" t="s">
        <v>28</v>
      </c>
      <c r="E186" s="2" t="s">
        <v>349</v>
      </c>
      <c r="F186" s="421" t="s">
        <v>476</v>
      </c>
      <c r="G186" s="421"/>
      <c r="H186" s="2" t="s">
        <v>752</v>
      </c>
      <c r="I186" s="39">
        <v>45945</v>
      </c>
      <c r="J186" s="2"/>
      <c r="K186" s="2"/>
      <c r="L186" s="2" t="s">
        <v>756</v>
      </c>
      <c r="M186" s="272"/>
      <c r="N186" s="2"/>
      <c r="O186" s="2"/>
    </row>
    <row r="187" spans="1:15" x14ac:dyDescent="0.35">
      <c r="A187" s="34">
        <v>185</v>
      </c>
      <c r="B187" s="38" t="s">
        <v>60</v>
      </c>
      <c r="C187" s="263" t="s">
        <v>2066</v>
      </c>
      <c r="D187" s="2" t="s">
        <v>61</v>
      </c>
      <c r="E187" s="2" t="s">
        <v>347</v>
      </c>
      <c r="F187" s="421" t="s">
        <v>476</v>
      </c>
      <c r="G187" s="421"/>
      <c r="H187" s="2" t="s">
        <v>754</v>
      </c>
      <c r="I187" s="39">
        <v>45953</v>
      </c>
      <c r="J187" s="2"/>
      <c r="K187" s="2"/>
      <c r="L187" s="2" t="s">
        <v>756</v>
      </c>
      <c r="M187" s="272"/>
      <c r="N187" s="2"/>
      <c r="O187" s="2"/>
    </row>
    <row r="188" spans="1:15" x14ac:dyDescent="0.35">
      <c r="A188" s="34">
        <v>186</v>
      </c>
      <c r="B188" s="38" t="s">
        <v>246</v>
      </c>
      <c r="C188" s="34" t="s">
        <v>2067</v>
      </c>
      <c r="D188" s="2" t="s">
        <v>480</v>
      </c>
      <c r="E188" s="2" t="s">
        <v>347</v>
      </c>
      <c r="F188" s="421" t="s">
        <v>476</v>
      </c>
      <c r="G188" s="421"/>
      <c r="H188" s="2" t="s">
        <v>751</v>
      </c>
      <c r="I188" s="39">
        <v>45968</v>
      </c>
      <c r="J188" s="2"/>
      <c r="K188" s="2"/>
      <c r="L188" s="2" t="s">
        <v>486</v>
      </c>
      <c r="M188" s="272"/>
      <c r="N188" s="2"/>
      <c r="O188" s="2"/>
    </row>
    <row r="189" spans="1:15" x14ac:dyDescent="0.35">
      <c r="A189" s="34">
        <v>187</v>
      </c>
      <c r="B189" s="2" t="s">
        <v>253</v>
      </c>
      <c r="C189" s="34" t="s">
        <v>2067</v>
      </c>
      <c r="D189" s="38" t="s">
        <v>23</v>
      </c>
      <c r="E189" s="2" t="s">
        <v>349</v>
      </c>
      <c r="F189" s="421" t="s">
        <v>476</v>
      </c>
      <c r="G189" s="421"/>
      <c r="H189" s="2" t="s">
        <v>746</v>
      </c>
      <c r="I189" s="39">
        <v>45967</v>
      </c>
      <c r="J189" s="2"/>
      <c r="K189" s="2"/>
      <c r="L189" s="2" t="s">
        <v>736</v>
      </c>
      <c r="M189" s="272"/>
      <c r="N189" s="2"/>
      <c r="O189" s="2"/>
    </row>
    <row r="190" spans="1:15" x14ac:dyDescent="0.35">
      <c r="A190" s="34">
        <v>188</v>
      </c>
      <c r="B190" s="38" t="s">
        <v>333</v>
      </c>
      <c r="C190" s="38" t="s">
        <v>2068</v>
      </c>
      <c r="D190" s="38" t="s">
        <v>28</v>
      </c>
      <c r="E190" s="2" t="s">
        <v>348</v>
      </c>
      <c r="F190" s="421" t="s">
        <v>476</v>
      </c>
      <c r="G190" s="421"/>
      <c r="H190" s="2" t="s">
        <v>746</v>
      </c>
      <c r="I190" s="39">
        <v>45964</v>
      </c>
      <c r="J190" s="2"/>
      <c r="K190" s="2"/>
      <c r="L190" s="2" t="s">
        <v>749</v>
      </c>
      <c r="M190" s="272"/>
      <c r="N190" s="2"/>
      <c r="O190" s="2"/>
    </row>
    <row r="191" spans="1:15" x14ac:dyDescent="0.35">
      <c r="A191" s="34">
        <v>189</v>
      </c>
      <c r="B191" s="2" t="s">
        <v>254</v>
      </c>
      <c r="C191" s="34" t="s">
        <v>2067</v>
      </c>
      <c r="D191" s="38" t="s">
        <v>23</v>
      </c>
      <c r="E191" s="2" t="s">
        <v>349</v>
      </c>
      <c r="F191" s="421" t="s">
        <v>476</v>
      </c>
      <c r="G191" s="421"/>
      <c r="H191" s="2" t="s">
        <v>750</v>
      </c>
      <c r="I191" s="39">
        <v>45956</v>
      </c>
      <c r="J191" s="2"/>
      <c r="K191" s="2"/>
      <c r="L191" s="2" t="s">
        <v>1958</v>
      </c>
      <c r="M191" s="272"/>
      <c r="N191" s="2"/>
      <c r="O191" s="2"/>
    </row>
    <row r="192" spans="1:15" x14ac:dyDescent="0.35">
      <c r="A192" s="34">
        <v>190</v>
      </c>
      <c r="B192" s="38" t="s">
        <v>256</v>
      </c>
      <c r="C192" s="34" t="s">
        <v>2067</v>
      </c>
      <c r="D192" s="2" t="s">
        <v>31</v>
      </c>
      <c r="E192" s="2" t="s">
        <v>349</v>
      </c>
      <c r="F192" s="421" t="s">
        <v>476</v>
      </c>
      <c r="G192" s="421"/>
      <c r="H192" s="2" t="s">
        <v>754</v>
      </c>
      <c r="I192" s="39">
        <v>45969</v>
      </c>
      <c r="J192" s="2"/>
      <c r="K192" s="2"/>
      <c r="L192" s="2" t="s">
        <v>1958</v>
      </c>
      <c r="M192" s="272"/>
      <c r="N192" s="2"/>
      <c r="O192" s="2"/>
    </row>
    <row r="193" spans="1:15" x14ac:dyDescent="0.35">
      <c r="A193" s="34">
        <v>191</v>
      </c>
      <c r="B193" s="38" t="s">
        <v>257</v>
      </c>
      <c r="C193" s="34" t="s">
        <v>2067</v>
      </c>
      <c r="D193" s="2" t="s">
        <v>16</v>
      </c>
      <c r="E193" s="2" t="s">
        <v>349</v>
      </c>
      <c r="F193" s="421" t="s">
        <v>476</v>
      </c>
      <c r="G193" s="421"/>
      <c r="H193" s="2" t="s">
        <v>754</v>
      </c>
      <c r="I193" s="39">
        <v>45966</v>
      </c>
      <c r="J193" s="2"/>
      <c r="K193" s="2"/>
      <c r="L193" s="2" t="s">
        <v>736</v>
      </c>
      <c r="M193" s="272"/>
      <c r="N193" s="2"/>
      <c r="O193" s="2"/>
    </row>
    <row r="194" spans="1:15" x14ac:dyDescent="0.35">
      <c r="A194" s="34">
        <v>192</v>
      </c>
      <c r="B194" s="38" t="s">
        <v>335</v>
      </c>
      <c r="C194" s="38" t="s">
        <v>2068</v>
      </c>
      <c r="D194" s="2" t="s">
        <v>31</v>
      </c>
      <c r="E194" s="2" t="s">
        <v>349</v>
      </c>
      <c r="F194" s="421" t="s">
        <v>476</v>
      </c>
      <c r="G194" s="421"/>
      <c r="H194" s="2" t="s">
        <v>754</v>
      </c>
      <c r="I194" s="39">
        <v>45966</v>
      </c>
      <c r="J194" s="2"/>
      <c r="K194" s="2"/>
      <c r="L194" s="2" t="s">
        <v>855</v>
      </c>
      <c r="M194" s="272"/>
      <c r="N194" s="2"/>
      <c r="O194" s="2"/>
    </row>
    <row r="195" spans="1:15" x14ac:dyDescent="0.35">
      <c r="A195" s="34">
        <v>193</v>
      </c>
      <c r="B195" s="38" t="s">
        <v>258</v>
      </c>
      <c r="C195" s="34" t="s">
        <v>2067</v>
      </c>
      <c r="D195" s="2" t="s">
        <v>31</v>
      </c>
      <c r="E195" s="2" t="s">
        <v>349</v>
      </c>
      <c r="F195" s="421" t="s">
        <v>476</v>
      </c>
      <c r="G195" s="421"/>
      <c r="H195" s="2" t="s">
        <v>755</v>
      </c>
      <c r="I195" s="39">
        <v>45974</v>
      </c>
      <c r="J195" s="2"/>
      <c r="K195" s="2"/>
      <c r="L195" s="2" t="s">
        <v>486</v>
      </c>
      <c r="M195" s="272"/>
      <c r="N195" s="2"/>
      <c r="O195" s="2"/>
    </row>
    <row r="196" spans="1:15" x14ac:dyDescent="0.35">
      <c r="A196" s="34">
        <v>194</v>
      </c>
      <c r="B196" s="38" t="s">
        <v>100</v>
      </c>
      <c r="C196" s="34" t="s">
        <v>2066</v>
      </c>
      <c r="D196" s="2" t="s">
        <v>28</v>
      </c>
      <c r="E196" s="2" t="s">
        <v>347</v>
      </c>
      <c r="F196" s="421" t="s">
        <v>476</v>
      </c>
      <c r="G196" s="421"/>
      <c r="H196" s="2" t="s">
        <v>760</v>
      </c>
      <c r="I196" s="39">
        <v>45955</v>
      </c>
      <c r="J196" s="2"/>
      <c r="K196" s="2"/>
      <c r="L196" s="2" t="s">
        <v>756</v>
      </c>
      <c r="M196" s="272"/>
      <c r="N196" s="2"/>
      <c r="O196" s="2"/>
    </row>
    <row r="197" spans="1:15" x14ac:dyDescent="0.35">
      <c r="A197" s="34">
        <v>195</v>
      </c>
      <c r="B197" s="38" t="s">
        <v>116</v>
      </c>
      <c r="C197" s="34" t="s">
        <v>2066</v>
      </c>
      <c r="D197" s="2" t="s">
        <v>16</v>
      </c>
      <c r="E197" s="2" t="s">
        <v>766</v>
      </c>
      <c r="F197" s="421" t="s">
        <v>476</v>
      </c>
      <c r="G197" s="421"/>
      <c r="H197" s="2" t="s">
        <v>771</v>
      </c>
      <c r="I197" s="39">
        <v>45966</v>
      </c>
      <c r="J197" s="2"/>
      <c r="K197" s="2"/>
      <c r="L197" s="2" t="s">
        <v>756</v>
      </c>
      <c r="M197" s="272"/>
      <c r="N197" s="2"/>
      <c r="O197" s="2"/>
    </row>
    <row r="198" spans="1:15" x14ac:dyDescent="0.35">
      <c r="A198" s="34">
        <v>196</v>
      </c>
      <c r="B198" s="38" t="s">
        <v>329</v>
      </c>
      <c r="C198" s="38" t="s">
        <v>2068</v>
      </c>
      <c r="D198" s="2" t="s">
        <v>35</v>
      </c>
      <c r="E198" s="2" t="s">
        <v>347</v>
      </c>
      <c r="F198" s="421" t="s">
        <v>476</v>
      </c>
      <c r="G198" s="421"/>
      <c r="H198" s="2" t="s">
        <v>773</v>
      </c>
      <c r="I198" s="39">
        <v>45974</v>
      </c>
      <c r="J198" s="2"/>
      <c r="K198" s="2"/>
      <c r="L198" s="2" t="s">
        <v>443</v>
      </c>
      <c r="M198" s="272"/>
      <c r="N198" s="2"/>
      <c r="O198" s="2"/>
    </row>
    <row r="199" spans="1:15" x14ac:dyDescent="0.35">
      <c r="A199" s="34">
        <v>197</v>
      </c>
      <c r="B199" s="38" t="s">
        <v>339</v>
      </c>
      <c r="C199" s="38" t="s">
        <v>2068</v>
      </c>
      <c r="D199" s="38" t="s">
        <v>14</v>
      </c>
      <c r="E199" s="2" t="s">
        <v>349</v>
      </c>
      <c r="F199" s="421" t="s">
        <v>476</v>
      </c>
      <c r="G199" s="421"/>
      <c r="H199" s="2" t="s">
        <v>770</v>
      </c>
      <c r="I199" s="39">
        <v>45981</v>
      </c>
      <c r="J199" s="2"/>
      <c r="K199" s="2"/>
      <c r="L199" s="2" t="s">
        <v>1957</v>
      </c>
      <c r="M199" s="272"/>
      <c r="N199" s="2"/>
      <c r="O199" s="2"/>
    </row>
    <row r="200" spans="1:15" x14ac:dyDescent="0.35">
      <c r="A200" s="34">
        <v>198</v>
      </c>
      <c r="B200" s="38" t="s">
        <v>312</v>
      </c>
      <c r="C200" s="38" t="s">
        <v>2068</v>
      </c>
      <c r="D200" s="38" t="s">
        <v>16</v>
      </c>
      <c r="E200" s="2"/>
      <c r="F200" s="430" t="s">
        <v>850</v>
      </c>
      <c r="G200" s="430"/>
      <c r="H200" s="2" t="s">
        <v>772</v>
      </c>
      <c r="I200" s="2"/>
      <c r="J200" s="2"/>
      <c r="K200" s="2"/>
      <c r="L200" s="2" t="s">
        <v>1958</v>
      </c>
      <c r="M200" s="272"/>
      <c r="N200" s="2"/>
      <c r="O200" s="2"/>
    </row>
    <row r="201" spans="1:15" x14ac:dyDescent="0.35">
      <c r="A201" s="34">
        <v>199</v>
      </c>
      <c r="B201" s="38" t="s">
        <v>319</v>
      </c>
      <c r="C201" s="38" t="s">
        <v>2068</v>
      </c>
      <c r="D201" s="38" t="s">
        <v>115</v>
      </c>
      <c r="E201" s="2" t="s">
        <v>347</v>
      </c>
      <c r="F201" s="421" t="s">
        <v>476</v>
      </c>
      <c r="G201" s="421"/>
      <c r="H201" s="2" t="s">
        <v>762</v>
      </c>
      <c r="I201" s="39">
        <v>45959</v>
      </c>
      <c r="J201" s="2"/>
      <c r="K201" s="2"/>
      <c r="L201" s="2" t="s">
        <v>443</v>
      </c>
      <c r="M201" s="272"/>
      <c r="N201" s="2"/>
      <c r="O201" s="2"/>
    </row>
    <row r="202" spans="1:15" x14ac:dyDescent="0.35">
      <c r="A202" s="34">
        <v>200</v>
      </c>
      <c r="B202" s="38" t="s">
        <v>320</v>
      </c>
      <c r="C202" s="38" t="s">
        <v>2068</v>
      </c>
      <c r="D202" s="2" t="s">
        <v>16</v>
      </c>
      <c r="E202" s="2" t="s">
        <v>349</v>
      </c>
      <c r="F202" s="421" t="s">
        <v>476</v>
      </c>
      <c r="G202" s="421"/>
      <c r="H202" s="2" t="s">
        <v>761</v>
      </c>
      <c r="I202" s="39">
        <v>45960</v>
      </c>
      <c r="J202" s="2"/>
      <c r="K202" s="2"/>
      <c r="L202" s="2" t="s">
        <v>443</v>
      </c>
      <c r="M202" s="272"/>
      <c r="N202" s="2"/>
      <c r="O202" s="2"/>
    </row>
    <row r="203" spans="1:15" x14ac:dyDescent="0.35">
      <c r="A203" s="34">
        <v>201</v>
      </c>
      <c r="B203" s="2" t="s">
        <v>112</v>
      </c>
      <c r="C203" s="34" t="s">
        <v>2066</v>
      </c>
      <c r="D203" s="2" t="s">
        <v>113</v>
      </c>
      <c r="E203" s="2" t="s">
        <v>347</v>
      </c>
      <c r="F203" s="421" t="s">
        <v>476</v>
      </c>
      <c r="G203" s="421"/>
      <c r="H203" s="2" t="s">
        <v>759</v>
      </c>
      <c r="I203" s="39">
        <v>45964</v>
      </c>
      <c r="J203" s="2"/>
      <c r="K203" s="2"/>
      <c r="L203" s="2" t="s">
        <v>756</v>
      </c>
      <c r="M203" s="272"/>
      <c r="N203" s="2"/>
      <c r="O203" s="2"/>
    </row>
    <row r="204" spans="1:15" x14ac:dyDescent="0.35">
      <c r="A204" s="34">
        <v>202</v>
      </c>
      <c r="B204" s="38" t="s">
        <v>318</v>
      </c>
      <c r="C204" s="38" t="s">
        <v>2068</v>
      </c>
      <c r="D204" s="2" t="s">
        <v>23</v>
      </c>
      <c r="E204" s="2" t="s">
        <v>347</v>
      </c>
      <c r="F204" s="421" t="s">
        <v>476</v>
      </c>
      <c r="G204" s="421"/>
      <c r="H204" s="2" t="s">
        <v>759</v>
      </c>
      <c r="I204" s="39">
        <v>45969</v>
      </c>
      <c r="J204" s="2"/>
      <c r="K204" s="2"/>
      <c r="L204" s="2" t="s">
        <v>443</v>
      </c>
      <c r="M204" s="272"/>
      <c r="N204" s="2"/>
      <c r="O204" s="2"/>
    </row>
    <row r="205" spans="1:15" x14ac:dyDescent="0.35">
      <c r="A205" s="34">
        <v>203</v>
      </c>
      <c r="B205" s="38" t="s">
        <v>114</v>
      </c>
      <c r="C205" s="34" t="s">
        <v>2066</v>
      </c>
      <c r="D205" s="2" t="s">
        <v>16</v>
      </c>
      <c r="E205" s="2" t="s">
        <v>349</v>
      </c>
      <c r="F205" s="421" t="s">
        <v>476</v>
      </c>
      <c r="G205" s="421"/>
      <c r="H205" s="2" t="s">
        <v>770</v>
      </c>
      <c r="I205" s="39">
        <v>45976</v>
      </c>
      <c r="J205" s="2"/>
      <c r="K205" s="2"/>
      <c r="L205" s="2" t="s">
        <v>756</v>
      </c>
      <c r="M205" s="272"/>
      <c r="N205" s="2"/>
      <c r="O205" s="2"/>
    </row>
    <row r="206" spans="1:15" x14ac:dyDescent="0.35">
      <c r="A206" s="34">
        <v>204</v>
      </c>
      <c r="B206" s="38" t="s">
        <v>326</v>
      </c>
      <c r="C206" s="38" t="s">
        <v>2068</v>
      </c>
      <c r="D206" s="2" t="s">
        <v>23</v>
      </c>
      <c r="E206" s="2" t="s">
        <v>347</v>
      </c>
      <c r="F206" s="421" t="s">
        <v>476</v>
      </c>
      <c r="G206" s="421"/>
      <c r="H206" s="2" t="s">
        <v>771</v>
      </c>
      <c r="I206" s="39">
        <v>45980</v>
      </c>
      <c r="J206" s="2"/>
      <c r="K206" s="2"/>
      <c r="L206" s="2" t="s">
        <v>774</v>
      </c>
      <c r="M206" s="272"/>
      <c r="N206" s="2"/>
      <c r="O206" s="2"/>
    </row>
    <row r="207" spans="1:15" x14ac:dyDescent="0.35">
      <c r="A207" s="34">
        <v>205</v>
      </c>
      <c r="B207" s="2" t="s">
        <v>336</v>
      </c>
      <c r="C207" s="38" t="s">
        <v>2068</v>
      </c>
      <c r="D207" s="2" t="s">
        <v>16</v>
      </c>
      <c r="E207" s="2" t="s">
        <v>349</v>
      </c>
      <c r="F207" s="421" t="s">
        <v>476</v>
      </c>
      <c r="G207" s="421"/>
      <c r="H207" s="2" t="s">
        <v>776</v>
      </c>
      <c r="I207" s="39">
        <v>45979</v>
      </c>
      <c r="J207" s="2"/>
      <c r="K207" s="2"/>
      <c r="L207" s="2" t="s">
        <v>855</v>
      </c>
      <c r="M207" s="272"/>
      <c r="N207" s="2"/>
      <c r="O207" s="2"/>
    </row>
    <row r="208" spans="1:15" x14ac:dyDescent="0.35">
      <c r="A208" s="34">
        <v>206</v>
      </c>
      <c r="B208" s="2" t="s">
        <v>337</v>
      </c>
      <c r="C208" s="38" t="s">
        <v>2068</v>
      </c>
      <c r="D208" s="2" t="s">
        <v>23</v>
      </c>
      <c r="E208" s="2" t="s">
        <v>349</v>
      </c>
      <c r="F208" s="421" t="s">
        <v>476</v>
      </c>
      <c r="G208" s="421"/>
      <c r="H208" s="2" t="s">
        <v>777</v>
      </c>
      <c r="I208" s="39">
        <v>45984</v>
      </c>
      <c r="J208" s="2"/>
      <c r="K208" s="2"/>
      <c r="L208" s="2" t="s">
        <v>749</v>
      </c>
      <c r="M208" s="272"/>
      <c r="N208" s="2"/>
      <c r="O208" s="2"/>
    </row>
    <row r="209" spans="1:15" x14ac:dyDescent="0.35">
      <c r="A209" s="34">
        <v>207</v>
      </c>
      <c r="B209" s="2" t="s">
        <v>321</v>
      </c>
      <c r="C209" s="38" t="s">
        <v>2068</v>
      </c>
      <c r="D209" s="2" t="s">
        <v>480</v>
      </c>
      <c r="E209" s="2" t="s">
        <v>347</v>
      </c>
      <c r="F209" s="421" t="s">
        <v>476</v>
      </c>
      <c r="G209" s="421"/>
      <c r="H209" s="2" t="s">
        <v>781</v>
      </c>
      <c r="I209" s="39">
        <v>45993</v>
      </c>
      <c r="J209" s="2" t="s">
        <v>2084</v>
      </c>
      <c r="K209" s="2" t="s">
        <v>2081</v>
      </c>
      <c r="L209" s="2" t="s">
        <v>443</v>
      </c>
      <c r="M209" s="272"/>
      <c r="N209" s="2"/>
      <c r="O209" s="2"/>
    </row>
    <row r="210" spans="1:15" x14ac:dyDescent="0.35">
      <c r="A210" s="34">
        <v>208</v>
      </c>
      <c r="B210" s="2" t="s">
        <v>241</v>
      </c>
      <c r="C210" s="34" t="s">
        <v>2067</v>
      </c>
      <c r="D210" s="2" t="s">
        <v>488</v>
      </c>
      <c r="E210" s="2" t="s">
        <v>347</v>
      </c>
      <c r="F210" s="421" t="s">
        <v>476</v>
      </c>
      <c r="G210" s="421"/>
      <c r="H210" s="2" t="s">
        <v>782</v>
      </c>
      <c r="I210" s="39">
        <v>45982</v>
      </c>
      <c r="J210" s="2"/>
      <c r="K210" s="2"/>
      <c r="L210" s="2" t="s">
        <v>736</v>
      </c>
      <c r="M210" s="272"/>
      <c r="N210" s="2"/>
      <c r="O210" s="2"/>
    </row>
    <row r="211" spans="1:15" x14ac:dyDescent="0.35">
      <c r="A211" s="34">
        <v>209</v>
      </c>
      <c r="B211" s="2" t="s">
        <v>342</v>
      </c>
      <c r="C211" s="38" t="s">
        <v>2068</v>
      </c>
      <c r="D211" s="2" t="s">
        <v>236</v>
      </c>
      <c r="E211" s="2" t="s">
        <v>347</v>
      </c>
      <c r="F211" s="421" t="s">
        <v>476</v>
      </c>
      <c r="G211" s="421"/>
      <c r="H211" s="2" t="s">
        <v>781</v>
      </c>
      <c r="I211" s="39">
        <v>45995</v>
      </c>
      <c r="J211" s="2" t="s">
        <v>2084</v>
      </c>
      <c r="K211" s="2" t="s">
        <v>2081</v>
      </c>
      <c r="L211" s="2" t="s">
        <v>1958</v>
      </c>
      <c r="M211" s="272"/>
      <c r="N211" s="2"/>
      <c r="O211" s="2"/>
    </row>
    <row r="212" spans="1:15" x14ac:dyDescent="0.35">
      <c r="A212" s="34">
        <v>210</v>
      </c>
      <c r="B212" s="2" t="s">
        <v>219</v>
      </c>
      <c r="C212" s="34" t="s">
        <v>2067</v>
      </c>
      <c r="D212" s="2" t="s">
        <v>488</v>
      </c>
      <c r="E212" s="2" t="s">
        <v>766</v>
      </c>
      <c r="F212" s="421" t="s">
        <v>476</v>
      </c>
      <c r="G212" s="421"/>
      <c r="H212" s="2" t="s">
        <v>783</v>
      </c>
      <c r="I212" s="39">
        <v>45998</v>
      </c>
      <c r="J212" s="2" t="s">
        <v>2084</v>
      </c>
      <c r="K212" s="2" t="s">
        <v>2081</v>
      </c>
      <c r="L212" s="2" t="s">
        <v>486</v>
      </c>
      <c r="M212" s="272"/>
      <c r="N212" s="2"/>
      <c r="O212" s="2"/>
    </row>
    <row r="213" spans="1:15" x14ac:dyDescent="0.35">
      <c r="A213" s="34">
        <v>211</v>
      </c>
      <c r="B213" s="38" t="s">
        <v>39</v>
      </c>
      <c r="C213" s="263" t="s">
        <v>2066</v>
      </c>
      <c r="D213" s="2" t="s">
        <v>480</v>
      </c>
      <c r="E213" s="2" t="s">
        <v>766</v>
      </c>
      <c r="F213" s="421" t="s">
        <v>476</v>
      </c>
      <c r="G213" s="421"/>
      <c r="H213" s="2" t="s">
        <v>781</v>
      </c>
      <c r="I213" s="39">
        <v>45982</v>
      </c>
      <c r="J213" s="2"/>
      <c r="K213" s="2"/>
      <c r="L213" s="2" t="s">
        <v>756</v>
      </c>
      <c r="M213" s="272"/>
      <c r="N213" s="2"/>
      <c r="O213" s="2"/>
    </row>
    <row r="214" spans="1:15" x14ac:dyDescent="0.35">
      <c r="A214" s="34">
        <v>212</v>
      </c>
      <c r="B214" s="2" t="s">
        <v>130</v>
      </c>
      <c r="C214" s="34" t="s">
        <v>2066</v>
      </c>
      <c r="D214" s="2" t="s">
        <v>12</v>
      </c>
      <c r="E214" s="2" t="s">
        <v>347</v>
      </c>
      <c r="F214" s="421" t="s">
        <v>476</v>
      </c>
      <c r="G214" s="421"/>
      <c r="H214" s="2" t="s">
        <v>784</v>
      </c>
      <c r="I214" s="39">
        <v>45990</v>
      </c>
      <c r="J214" s="2"/>
      <c r="K214" s="2"/>
      <c r="L214" s="2" t="s">
        <v>756</v>
      </c>
      <c r="M214" s="272"/>
      <c r="N214" s="2"/>
      <c r="O214" s="2"/>
    </row>
    <row r="215" spans="1:15" x14ac:dyDescent="0.35">
      <c r="A215" s="34">
        <v>213</v>
      </c>
      <c r="B215" s="2" t="s">
        <v>296</v>
      </c>
      <c r="C215" s="38" t="s">
        <v>2068</v>
      </c>
      <c r="D215" s="2" t="s">
        <v>33</v>
      </c>
      <c r="E215" s="2" t="s">
        <v>347</v>
      </c>
      <c r="F215" s="421" t="s">
        <v>476</v>
      </c>
      <c r="G215" s="421"/>
      <c r="H215" s="2" t="s">
        <v>786</v>
      </c>
      <c r="I215" s="39">
        <v>45984</v>
      </c>
      <c r="J215" s="2"/>
      <c r="K215" s="2"/>
      <c r="L215" s="2" t="s">
        <v>785</v>
      </c>
      <c r="M215" s="272"/>
      <c r="N215" s="2"/>
      <c r="O215" s="2"/>
    </row>
    <row r="216" spans="1:15" x14ac:dyDescent="0.35">
      <c r="A216" s="34">
        <v>214</v>
      </c>
      <c r="B216" s="38" t="s">
        <v>42</v>
      </c>
      <c r="C216" s="263" t="s">
        <v>2066</v>
      </c>
      <c r="D216" s="2" t="s">
        <v>35</v>
      </c>
      <c r="E216" s="2" t="s">
        <v>349</v>
      </c>
      <c r="F216" s="421" t="s">
        <v>476</v>
      </c>
      <c r="G216" s="421"/>
      <c r="H216" s="2" t="s">
        <v>787</v>
      </c>
      <c r="I216" s="39">
        <v>45985</v>
      </c>
      <c r="J216" s="2"/>
      <c r="K216" s="2"/>
      <c r="L216" s="2" t="s">
        <v>756</v>
      </c>
      <c r="M216" s="272"/>
      <c r="N216" s="2"/>
      <c r="O216" s="2"/>
    </row>
    <row r="217" spans="1:15" x14ac:dyDescent="0.35">
      <c r="A217" s="34">
        <v>215</v>
      </c>
      <c r="B217" s="38" t="s">
        <v>295</v>
      </c>
      <c r="C217" s="38" t="s">
        <v>2068</v>
      </c>
      <c r="D217" s="2" t="s">
        <v>16</v>
      </c>
      <c r="E217" s="2" t="s">
        <v>349</v>
      </c>
      <c r="F217" s="421" t="s">
        <v>476</v>
      </c>
      <c r="G217" s="421"/>
      <c r="H217" s="2" t="s">
        <v>849</v>
      </c>
      <c r="I217" s="39">
        <v>46007</v>
      </c>
      <c r="J217" s="2" t="s">
        <v>2081</v>
      </c>
      <c r="K217" s="2" t="s">
        <v>2081</v>
      </c>
      <c r="L217" s="2" t="s">
        <v>785</v>
      </c>
      <c r="M217" s="272"/>
      <c r="N217" s="2"/>
      <c r="O217" s="2"/>
    </row>
    <row r="218" spans="1:15" x14ac:dyDescent="0.35">
      <c r="A218" s="34">
        <v>216</v>
      </c>
      <c r="B218" s="38" t="s">
        <v>84</v>
      </c>
      <c r="C218" s="34" t="s">
        <v>2066</v>
      </c>
      <c r="D218" s="2" t="s">
        <v>18</v>
      </c>
      <c r="E218" s="2" t="s">
        <v>347</v>
      </c>
      <c r="F218" s="421" t="s">
        <v>476</v>
      </c>
      <c r="G218" s="421"/>
      <c r="H218" s="2" t="s">
        <v>842</v>
      </c>
      <c r="I218" s="39">
        <v>45992</v>
      </c>
      <c r="J218" s="2" t="s">
        <v>2084</v>
      </c>
      <c r="K218" s="2" t="s">
        <v>2081</v>
      </c>
      <c r="L218" s="2" t="s">
        <v>756</v>
      </c>
      <c r="M218" s="272"/>
      <c r="N218" s="2"/>
      <c r="O218" s="2"/>
    </row>
    <row r="219" spans="1:15" x14ac:dyDescent="0.35">
      <c r="A219" s="34">
        <v>217</v>
      </c>
      <c r="B219" s="2" t="s">
        <v>290</v>
      </c>
      <c r="C219" s="38" t="s">
        <v>2068</v>
      </c>
      <c r="D219" s="2" t="s">
        <v>35</v>
      </c>
      <c r="E219" s="2" t="s">
        <v>347</v>
      </c>
      <c r="F219" s="421" t="s">
        <v>476</v>
      </c>
      <c r="G219" s="421"/>
      <c r="H219" s="2" t="s">
        <v>839</v>
      </c>
      <c r="I219" s="39">
        <v>45994</v>
      </c>
      <c r="J219" s="2" t="s">
        <v>2084</v>
      </c>
      <c r="K219" s="2" t="s">
        <v>2081</v>
      </c>
      <c r="L219" s="2" t="s">
        <v>785</v>
      </c>
      <c r="M219" s="272"/>
      <c r="N219" s="2"/>
      <c r="O219" s="2"/>
    </row>
    <row r="220" spans="1:15" x14ac:dyDescent="0.35">
      <c r="A220" s="34">
        <v>218</v>
      </c>
      <c r="B220" s="38" t="s">
        <v>291</v>
      </c>
      <c r="C220" s="38" t="s">
        <v>2068</v>
      </c>
      <c r="D220" s="2" t="s">
        <v>113</v>
      </c>
      <c r="E220" s="2" t="s">
        <v>347</v>
      </c>
      <c r="F220" s="421" t="s">
        <v>476</v>
      </c>
      <c r="G220" s="421"/>
      <c r="H220" s="2" t="s">
        <v>845</v>
      </c>
      <c r="I220" s="39">
        <v>46004</v>
      </c>
      <c r="J220" s="2" t="s">
        <v>2084</v>
      </c>
      <c r="K220" s="2" t="s">
        <v>2081</v>
      </c>
      <c r="L220" s="2" t="s">
        <v>443</v>
      </c>
      <c r="M220" s="272"/>
      <c r="N220" s="2"/>
      <c r="O220" s="2"/>
    </row>
    <row r="221" spans="1:15" x14ac:dyDescent="0.35">
      <c r="A221" s="34">
        <v>219</v>
      </c>
      <c r="B221" s="38" t="s">
        <v>346</v>
      </c>
      <c r="C221" s="38" t="s">
        <v>2068</v>
      </c>
      <c r="D221" s="2" t="s">
        <v>236</v>
      </c>
      <c r="E221" s="2" t="s">
        <v>348</v>
      </c>
      <c r="F221" s="421" t="s">
        <v>476</v>
      </c>
      <c r="G221" s="421"/>
      <c r="H221" s="2" t="s">
        <v>845</v>
      </c>
      <c r="I221" s="39">
        <v>46018</v>
      </c>
      <c r="J221" s="2" t="s">
        <v>2084</v>
      </c>
      <c r="K221" s="2" t="s">
        <v>2081</v>
      </c>
      <c r="L221" s="2" t="s">
        <v>736</v>
      </c>
      <c r="M221" s="272"/>
      <c r="N221" s="2"/>
      <c r="O221" s="2"/>
    </row>
    <row r="222" spans="1:15" x14ac:dyDescent="0.35">
      <c r="A222" s="34">
        <v>220</v>
      </c>
      <c r="B222" s="38" t="s">
        <v>173</v>
      </c>
      <c r="C222" s="34" t="s">
        <v>2066</v>
      </c>
      <c r="D222" s="2" t="s">
        <v>156</v>
      </c>
      <c r="E222" s="2" t="s">
        <v>349</v>
      </c>
      <c r="F222" s="421" t="s">
        <v>476</v>
      </c>
      <c r="G222" s="421"/>
      <c r="H222" s="2" t="s">
        <v>847</v>
      </c>
      <c r="I222" s="39">
        <v>45998</v>
      </c>
      <c r="J222" s="2" t="s">
        <v>2084</v>
      </c>
      <c r="K222" s="2" t="s">
        <v>2081</v>
      </c>
      <c r="L222" s="2" t="s">
        <v>756</v>
      </c>
      <c r="M222" s="272"/>
      <c r="N222" s="2"/>
      <c r="O222" s="2"/>
    </row>
    <row r="223" spans="1:15" x14ac:dyDescent="0.35">
      <c r="A223" s="34">
        <v>221</v>
      </c>
      <c r="B223" s="38" t="s">
        <v>271</v>
      </c>
      <c r="C223" s="38" t="s">
        <v>2068</v>
      </c>
      <c r="D223" s="2" t="s">
        <v>14</v>
      </c>
      <c r="E223" s="2" t="s">
        <v>347</v>
      </c>
      <c r="F223" s="421" t="s">
        <v>476</v>
      </c>
      <c r="G223" s="421"/>
      <c r="H223" s="2" t="s">
        <v>847</v>
      </c>
      <c r="I223" s="39">
        <v>46000</v>
      </c>
      <c r="J223" s="2" t="s">
        <v>2084</v>
      </c>
      <c r="K223" s="2" t="s">
        <v>2081</v>
      </c>
      <c r="L223" s="2" t="s">
        <v>736</v>
      </c>
      <c r="M223" s="272"/>
      <c r="N223" s="2"/>
      <c r="O223" s="2"/>
    </row>
    <row r="224" spans="1:15" x14ac:dyDescent="0.35">
      <c r="A224" s="34">
        <v>222</v>
      </c>
      <c r="B224" s="38" t="s">
        <v>69</v>
      </c>
      <c r="C224" s="34" t="s">
        <v>2066</v>
      </c>
      <c r="D224" s="2" t="s">
        <v>70</v>
      </c>
      <c r="E224" s="2" t="s">
        <v>349</v>
      </c>
      <c r="F224" s="421" t="s">
        <v>476</v>
      </c>
      <c r="G224" s="421"/>
      <c r="H224" s="2" t="s">
        <v>848</v>
      </c>
      <c r="I224" s="39">
        <v>46000</v>
      </c>
      <c r="J224" s="2" t="s">
        <v>2081</v>
      </c>
      <c r="K224" s="2" t="s">
        <v>2081</v>
      </c>
      <c r="L224" s="2" t="s">
        <v>853</v>
      </c>
      <c r="M224" s="272"/>
      <c r="N224" s="2"/>
      <c r="O224" s="2"/>
    </row>
    <row r="225" spans="1:15" x14ac:dyDescent="0.35">
      <c r="A225" s="34">
        <v>223</v>
      </c>
      <c r="B225" s="2" t="s">
        <v>300</v>
      </c>
      <c r="C225" s="38" t="s">
        <v>2068</v>
      </c>
      <c r="D225" s="2" t="s">
        <v>390</v>
      </c>
      <c r="E225" s="2" t="s">
        <v>349</v>
      </c>
      <c r="F225" s="421" t="s">
        <v>476</v>
      </c>
      <c r="G225" s="421"/>
      <c r="H225" s="2" t="s">
        <v>852</v>
      </c>
      <c r="I225" s="39">
        <v>46010</v>
      </c>
      <c r="J225" s="2" t="s">
        <v>2081</v>
      </c>
      <c r="K225" s="2" t="s">
        <v>2081</v>
      </c>
      <c r="L225" s="2" t="s">
        <v>1958</v>
      </c>
      <c r="M225" s="272"/>
      <c r="N225" s="2"/>
      <c r="O225" s="2"/>
    </row>
    <row r="226" spans="1:15" x14ac:dyDescent="0.35">
      <c r="A226" s="34">
        <v>224</v>
      </c>
      <c r="B226" s="2" t="s">
        <v>207</v>
      </c>
      <c r="C226" s="34" t="s">
        <v>2066</v>
      </c>
      <c r="D226" s="2" t="s">
        <v>18</v>
      </c>
      <c r="E226" s="2" t="s">
        <v>348</v>
      </c>
      <c r="F226" s="421" t="s">
        <v>476</v>
      </c>
      <c r="G226" s="421"/>
      <c r="H226" s="2" t="s">
        <v>854</v>
      </c>
      <c r="I226" s="39">
        <v>46011</v>
      </c>
      <c r="J226" s="2" t="s">
        <v>2081</v>
      </c>
      <c r="K226" s="2" t="s">
        <v>2081</v>
      </c>
      <c r="L226" s="2" t="s">
        <v>855</v>
      </c>
      <c r="M226" s="272"/>
      <c r="N226" s="2"/>
      <c r="O226" s="2"/>
    </row>
    <row r="227" spans="1:15" x14ac:dyDescent="0.35">
      <c r="A227" s="34">
        <v>225</v>
      </c>
      <c r="B227" s="2" t="s">
        <v>392</v>
      </c>
      <c r="C227" s="38" t="s">
        <v>2068</v>
      </c>
      <c r="D227" s="2" t="s">
        <v>33</v>
      </c>
      <c r="E227" s="2" t="s">
        <v>347</v>
      </c>
      <c r="F227" s="421" t="s">
        <v>476</v>
      </c>
      <c r="G227" s="421"/>
      <c r="H227" s="2" t="s">
        <v>857</v>
      </c>
      <c r="I227" s="39">
        <v>46012</v>
      </c>
      <c r="J227" s="2" t="s">
        <v>2081</v>
      </c>
      <c r="K227" s="2" t="s">
        <v>2081</v>
      </c>
      <c r="L227" s="2" t="s">
        <v>866</v>
      </c>
      <c r="M227" s="272"/>
      <c r="N227" s="2"/>
      <c r="O227" s="2"/>
    </row>
    <row r="228" spans="1:15" x14ac:dyDescent="0.35">
      <c r="A228" s="34">
        <v>226</v>
      </c>
      <c r="B228" s="2" t="s">
        <v>289</v>
      </c>
      <c r="C228" s="38" t="s">
        <v>2068</v>
      </c>
      <c r="D228" s="2" t="s">
        <v>40</v>
      </c>
      <c r="E228" s="2" t="s">
        <v>347</v>
      </c>
      <c r="F228" s="421" t="s">
        <v>476</v>
      </c>
      <c r="G228" s="421"/>
      <c r="H228" s="2" t="s">
        <v>863</v>
      </c>
      <c r="I228" s="39">
        <v>46031</v>
      </c>
      <c r="J228" s="2" t="s">
        <v>2081</v>
      </c>
      <c r="K228" s="2" t="s">
        <v>2080</v>
      </c>
      <c r="L228" s="2" t="s">
        <v>443</v>
      </c>
      <c r="M228" s="272"/>
      <c r="N228" s="2"/>
      <c r="O228" s="2"/>
    </row>
    <row r="229" spans="1:15" x14ac:dyDescent="0.35">
      <c r="A229" s="34">
        <v>227</v>
      </c>
      <c r="B229" s="38" t="s">
        <v>163</v>
      </c>
      <c r="C229" s="34" t="s">
        <v>2066</v>
      </c>
      <c r="D229" s="2" t="s">
        <v>164</v>
      </c>
      <c r="E229" s="2" t="s">
        <v>347</v>
      </c>
      <c r="F229" s="421" t="s">
        <v>476</v>
      </c>
      <c r="G229" s="421"/>
      <c r="H229" s="2" t="s">
        <v>857</v>
      </c>
      <c r="I229" s="39">
        <v>46007</v>
      </c>
      <c r="J229" s="2" t="s">
        <v>2081</v>
      </c>
      <c r="K229" s="2" t="s">
        <v>2081</v>
      </c>
      <c r="L229" s="2" t="s">
        <v>859</v>
      </c>
      <c r="M229" s="272"/>
      <c r="N229" s="2"/>
      <c r="O229" s="2"/>
    </row>
    <row r="230" spans="1:15" x14ac:dyDescent="0.35">
      <c r="A230" s="34">
        <v>228</v>
      </c>
      <c r="B230" s="38" t="s">
        <v>145</v>
      </c>
      <c r="C230" s="34" t="s">
        <v>2066</v>
      </c>
      <c r="D230" s="2" t="s">
        <v>146</v>
      </c>
      <c r="E230" s="2" t="s">
        <v>349</v>
      </c>
      <c r="F230" s="421" t="s">
        <v>476</v>
      </c>
      <c r="G230" s="421"/>
      <c r="H230" s="2" t="s">
        <v>857</v>
      </c>
      <c r="I230" s="39">
        <v>46013</v>
      </c>
      <c r="J230" s="2" t="s">
        <v>2081</v>
      </c>
      <c r="K230" s="2" t="s">
        <v>2081</v>
      </c>
      <c r="L230" s="2" t="s">
        <v>853</v>
      </c>
      <c r="M230" s="272"/>
      <c r="N230" s="2"/>
      <c r="O230" s="2"/>
    </row>
    <row r="231" spans="1:15" x14ac:dyDescent="0.35">
      <c r="A231" s="34">
        <v>229</v>
      </c>
      <c r="B231" s="2" t="s">
        <v>198</v>
      </c>
      <c r="C231" s="34" t="s">
        <v>2066</v>
      </c>
      <c r="D231" s="2" t="s">
        <v>118</v>
      </c>
      <c r="E231" s="2" t="s">
        <v>347</v>
      </c>
      <c r="F231" s="421" t="s">
        <v>476</v>
      </c>
      <c r="G231" s="421"/>
      <c r="H231" s="2" t="s">
        <v>865</v>
      </c>
      <c r="I231" s="39">
        <v>45664</v>
      </c>
      <c r="J231" s="2" t="s">
        <v>2081</v>
      </c>
      <c r="K231" s="2" t="s">
        <v>2081</v>
      </c>
      <c r="L231" s="2" t="s">
        <v>1958</v>
      </c>
      <c r="M231" s="272"/>
      <c r="N231" s="2"/>
      <c r="O231" s="2"/>
    </row>
    <row r="232" spans="1:15" x14ac:dyDescent="0.35">
      <c r="A232" s="34">
        <v>230</v>
      </c>
      <c r="B232" s="38" t="s">
        <v>153</v>
      </c>
      <c r="C232" s="34" t="s">
        <v>2066</v>
      </c>
      <c r="D232" s="2" t="s">
        <v>154</v>
      </c>
      <c r="E232" s="2" t="s">
        <v>349</v>
      </c>
      <c r="F232" s="421" t="s">
        <v>476</v>
      </c>
      <c r="G232" s="421"/>
      <c r="H232" s="2" t="s">
        <v>867</v>
      </c>
      <c r="I232" s="39">
        <v>46017</v>
      </c>
      <c r="J232" s="2" t="s">
        <v>2081</v>
      </c>
      <c r="K232" s="2" t="s">
        <v>2081</v>
      </c>
      <c r="L232" s="2" t="s">
        <v>859</v>
      </c>
      <c r="M232" s="272"/>
      <c r="N232" s="2"/>
      <c r="O232" s="2"/>
    </row>
    <row r="233" spans="1:15" x14ac:dyDescent="0.35">
      <c r="A233" s="34">
        <v>231</v>
      </c>
      <c r="B233" s="38" t="s">
        <v>169</v>
      </c>
      <c r="C233" s="34" t="s">
        <v>2066</v>
      </c>
      <c r="D233" s="2" t="s">
        <v>31</v>
      </c>
      <c r="E233" s="2" t="s">
        <v>349</v>
      </c>
      <c r="F233" s="421" t="s">
        <v>476</v>
      </c>
      <c r="G233" s="421"/>
      <c r="H233" s="2" t="s">
        <v>872</v>
      </c>
      <c r="I233" s="39">
        <v>46021</v>
      </c>
      <c r="J233" s="2" t="s">
        <v>2081</v>
      </c>
      <c r="K233" s="2" t="s">
        <v>2081</v>
      </c>
      <c r="L233" s="2" t="s">
        <v>859</v>
      </c>
      <c r="M233" s="272"/>
      <c r="N233" s="2"/>
      <c r="O233" s="2"/>
    </row>
    <row r="234" spans="1:15" x14ac:dyDescent="0.35">
      <c r="A234" s="34">
        <v>232</v>
      </c>
      <c r="B234" s="38" t="s">
        <v>187</v>
      </c>
      <c r="C234" s="34" t="s">
        <v>2066</v>
      </c>
      <c r="D234" s="2" t="s">
        <v>40</v>
      </c>
      <c r="E234" s="2" t="s">
        <v>348</v>
      </c>
      <c r="F234" s="421" t="s">
        <v>476</v>
      </c>
      <c r="G234" s="421"/>
      <c r="H234" s="2" t="s">
        <v>881</v>
      </c>
      <c r="I234" s="39">
        <v>46043</v>
      </c>
      <c r="J234" s="2" t="s">
        <v>2080</v>
      </c>
      <c r="K234" s="2" t="s">
        <v>2080</v>
      </c>
      <c r="L234" s="2" t="s">
        <v>859</v>
      </c>
      <c r="M234" s="272"/>
      <c r="N234" s="2"/>
      <c r="O234" s="2"/>
    </row>
    <row r="235" spans="1:15" x14ac:dyDescent="0.35">
      <c r="A235" s="34">
        <v>233</v>
      </c>
      <c r="B235" s="38" t="s">
        <v>270</v>
      </c>
      <c r="C235" s="38" t="s">
        <v>2068</v>
      </c>
      <c r="D235" s="2" t="s">
        <v>33</v>
      </c>
      <c r="E235" s="2" t="s">
        <v>348</v>
      </c>
      <c r="F235" s="421" t="s">
        <v>476</v>
      </c>
      <c r="G235" s="421"/>
      <c r="H235" s="2" t="s">
        <v>874</v>
      </c>
      <c r="I235" s="39">
        <v>46026</v>
      </c>
      <c r="J235" s="2" t="s">
        <v>2081</v>
      </c>
      <c r="K235" s="2" t="s">
        <v>2080</v>
      </c>
      <c r="L235" s="2" t="s">
        <v>855</v>
      </c>
      <c r="M235" s="272"/>
      <c r="N235" s="2"/>
      <c r="O235" s="2"/>
    </row>
    <row r="236" spans="1:15" x14ac:dyDescent="0.35">
      <c r="A236" s="34">
        <v>234</v>
      </c>
      <c r="B236" s="38" t="s">
        <v>167</v>
      </c>
      <c r="C236" s="34" t="s">
        <v>2066</v>
      </c>
      <c r="D236" s="2" t="s">
        <v>18</v>
      </c>
      <c r="E236" s="2" t="s">
        <v>347</v>
      </c>
      <c r="F236" s="421" t="s">
        <v>476</v>
      </c>
      <c r="G236" s="421"/>
      <c r="H236" s="2" t="s">
        <v>897</v>
      </c>
      <c r="I236" s="39">
        <v>46051</v>
      </c>
      <c r="J236" s="2" t="s">
        <v>2080</v>
      </c>
      <c r="K236" s="2" t="s">
        <v>2080</v>
      </c>
      <c r="L236" s="2" t="s">
        <v>859</v>
      </c>
      <c r="M236" s="272"/>
      <c r="N236" s="2"/>
      <c r="O236" s="2"/>
    </row>
    <row r="237" spans="1:15" x14ac:dyDescent="0.35">
      <c r="A237" s="34">
        <v>235</v>
      </c>
      <c r="B237" s="38" t="s">
        <v>268</v>
      </c>
      <c r="C237" s="38" t="s">
        <v>2068</v>
      </c>
      <c r="D237" s="2" t="s">
        <v>31</v>
      </c>
      <c r="E237" s="2" t="s">
        <v>347</v>
      </c>
      <c r="F237" s="421" t="s">
        <v>476</v>
      </c>
      <c r="G237" s="421"/>
      <c r="H237" s="2" t="s">
        <v>885</v>
      </c>
      <c r="I237" s="39">
        <v>46046</v>
      </c>
      <c r="J237" s="2" t="s">
        <v>2080</v>
      </c>
      <c r="K237" s="2" t="s">
        <v>2080</v>
      </c>
      <c r="L237" s="2" t="s">
        <v>855</v>
      </c>
      <c r="M237" s="272"/>
      <c r="N237" s="2"/>
      <c r="O237" s="2"/>
    </row>
    <row r="238" spans="1:15" x14ac:dyDescent="0.35">
      <c r="A238" s="34">
        <v>236</v>
      </c>
      <c r="B238" s="38" t="s">
        <v>272</v>
      </c>
      <c r="C238" s="38" t="s">
        <v>2068</v>
      </c>
      <c r="D238" s="2" t="s">
        <v>31</v>
      </c>
      <c r="E238" s="2" t="s">
        <v>347</v>
      </c>
      <c r="F238" s="421" t="s">
        <v>476</v>
      </c>
      <c r="G238" s="421"/>
      <c r="H238" s="2" t="s">
        <v>893</v>
      </c>
      <c r="I238" s="39">
        <v>46054</v>
      </c>
      <c r="J238" s="2" t="s">
        <v>2080</v>
      </c>
      <c r="K238" s="2" t="s">
        <v>2079</v>
      </c>
      <c r="L238" s="2" t="s">
        <v>855</v>
      </c>
      <c r="M238" s="272"/>
      <c r="N238" s="2"/>
      <c r="O238" s="2"/>
    </row>
    <row r="239" spans="1:15" x14ac:dyDescent="0.35">
      <c r="A239" s="34">
        <v>237</v>
      </c>
      <c r="B239" s="2" t="s">
        <v>147</v>
      </c>
      <c r="C239" s="34" t="s">
        <v>2066</v>
      </c>
      <c r="D239" s="2" t="s">
        <v>148</v>
      </c>
      <c r="E239" s="2" t="s">
        <v>347</v>
      </c>
      <c r="F239" s="421" t="s">
        <v>476</v>
      </c>
      <c r="G239" s="421"/>
      <c r="H239" s="2" t="s">
        <v>896</v>
      </c>
      <c r="I239" s="39">
        <v>46059</v>
      </c>
      <c r="J239" s="2" t="s">
        <v>2080</v>
      </c>
      <c r="K239" s="2" t="s">
        <v>2079</v>
      </c>
      <c r="L239" s="2" t="s">
        <v>859</v>
      </c>
      <c r="M239" s="272"/>
      <c r="N239" s="2"/>
      <c r="O239" s="2"/>
    </row>
    <row r="240" spans="1:15" x14ac:dyDescent="0.35">
      <c r="A240" s="34">
        <v>238</v>
      </c>
      <c r="B240" s="38" t="s">
        <v>155</v>
      </c>
      <c r="C240" s="34" t="s">
        <v>2066</v>
      </c>
      <c r="D240" s="2" t="s">
        <v>156</v>
      </c>
      <c r="E240" s="2" t="s">
        <v>349</v>
      </c>
      <c r="F240" s="421" t="s">
        <v>476</v>
      </c>
      <c r="G240" s="421"/>
      <c r="H240" s="2" t="s">
        <v>900</v>
      </c>
      <c r="I240" s="39">
        <v>46065</v>
      </c>
      <c r="J240" s="2" t="s">
        <v>2079</v>
      </c>
      <c r="K240" s="2" t="s">
        <v>2079</v>
      </c>
      <c r="L240" s="2" t="s">
        <v>859</v>
      </c>
      <c r="M240" s="272"/>
      <c r="N240" s="2"/>
      <c r="O240" s="2"/>
    </row>
    <row r="241" spans="1:15" x14ac:dyDescent="0.35">
      <c r="A241" s="34">
        <v>239</v>
      </c>
      <c r="B241" s="38" t="s">
        <v>196</v>
      </c>
      <c r="C241" s="34" t="s">
        <v>2066</v>
      </c>
      <c r="D241" s="2" t="s">
        <v>197</v>
      </c>
      <c r="E241" s="2" t="s">
        <v>347</v>
      </c>
      <c r="F241" s="421" t="s">
        <v>476</v>
      </c>
      <c r="G241" s="421"/>
      <c r="H241" s="2" t="s">
        <v>901</v>
      </c>
      <c r="I241" s="39">
        <v>46078</v>
      </c>
      <c r="J241" s="2" t="s">
        <v>2079</v>
      </c>
      <c r="K241" s="2" t="s">
        <v>2079</v>
      </c>
      <c r="L241" s="2" t="s">
        <v>903</v>
      </c>
      <c r="M241" s="272"/>
      <c r="N241" s="2"/>
      <c r="O241" s="2"/>
    </row>
    <row r="242" spans="1:15" x14ac:dyDescent="0.35">
      <c r="A242" s="34">
        <v>240</v>
      </c>
      <c r="B242" s="38" t="s">
        <v>170</v>
      </c>
      <c r="C242" s="34" t="s">
        <v>2066</v>
      </c>
      <c r="D242" s="2" t="s">
        <v>9</v>
      </c>
      <c r="E242" s="2" t="s">
        <v>349</v>
      </c>
      <c r="F242" s="421" t="s">
        <v>476</v>
      </c>
      <c r="G242" s="421"/>
      <c r="H242" s="2" t="s">
        <v>902</v>
      </c>
      <c r="I242" s="39">
        <v>46076</v>
      </c>
      <c r="J242" s="2" t="s">
        <v>2079</v>
      </c>
      <c r="K242" s="2" t="s">
        <v>2079</v>
      </c>
      <c r="L242" s="2" t="s">
        <v>859</v>
      </c>
      <c r="M242" s="272"/>
      <c r="N242" s="2"/>
      <c r="O242" s="2"/>
    </row>
    <row r="243" spans="1:15" x14ac:dyDescent="0.35">
      <c r="A243" s="34">
        <v>241</v>
      </c>
      <c r="B243" s="38" t="s">
        <v>171</v>
      </c>
      <c r="C243" s="34" t="s">
        <v>2066</v>
      </c>
      <c r="D243" s="2" t="s">
        <v>40</v>
      </c>
      <c r="E243" s="2" t="s">
        <v>347</v>
      </c>
      <c r="F243" s="421" t="s">
        <v>476</v>
      </c>
      <c r="G243" s="421"/>
      <c r="H243" s="2" t="s">
        <v>904</v>
      </c>
      <c r="I243" s="39">
        <v>46081</v>
      </c>
      <c r="J243" s="2" t="s">
        <v>2079</v>
      </c>
      <c r="K243" s="2" t="s">
        <v>2079</v>
      </c>
      <c r="L243" s="2" t="s">
        <v>859</v>
      </c>
      <c r="M243" s="272"/>
      <c r="N243" s="2"/>
      <c r="O243" s="2"/>
    </row>
    <row r="244" spans="1:15" x14ac:dyDescent="0.35">
      <c r="A244" s="34">
        <v>242</v>
      </c>
      <c r="B244" s="38" t="s">
        <v>292</v>
      </c>
      <c r="C244" s="38" t="s">
        <v>2068</v>
      </c>
      <c r="D244" s="2" t="s">
        <v>767</v>
      </c>
      <c r="E244" s="2" t="s">
        <v>347</v>
      </c>
      <c r="F244" s="421" t="s">
        <v>476</v>
      </c>
      <c r="G244" s="421"/>
      <c r="H244" s="2" t="s">
        <v>927</v>
      </c>
      <c r="I244" s="39">
        <v>46095</v>
      </c>
      <c r="J244" s="2" t="s">
        <v>2079</v>
      </c>
      <c r="K244" s="2" t="s">
        <v>2078</v>
      </c>
      <c r="L244" s="2" t="s">
        <v>903</v>
      </c>
      <c r="M244" s="272"/>
      <c r="N244" s="2"/>
      <c r="O244" s="2"/>
    </row>
    <row r="245" spans="1:15" x14ac:dyDescent="0.35">
      <c r="A245" s="34">
        <v>243</v>
      </c>
      <c r="B245" s="38" t="s">
        <v>213</v>
      </c>
      <c r="C245" s="34" t="s">
        <v>2067</v>
      </c>
      <c r="D245" s="2" t="s">
        <v>40</v>
      </c>
      <c r="E245" s="2" t="s">
        <v>347</v>
      </c>
      <c r="F245" s="421" t="s">
        <v>476</v>
      </c>
      <c r="G245" s="421"/>
      <c r="H245" s="2" t="s">
        <v>906</v>
      </c>
      <c r="I245" s="39">
        <v>46102</v>
      </c>
      <c r="J245" s="2" t="s">
        <v>2079</v>
      </c>
      <c r="K245" s="2" t="s">
        <v>2078</v>
      </c>
      <c r="L245" s="2" t="s">
        <v>443</v>
      </c>
      <c r="M245" s="272"/>
      <c r="N245" s="2"/>
      <c r="O245" s="2"/>
    </row>
    <row r="246" spans="1:15" ht="14.25" customHeight="1" x14ac:dyDescent="0.35">
      <c r="A246" s="34">
        <v>244</v>
      </c>
      <c r="B246" s="2" t="s">
        <v>230</v>
      </c>
      <c r="C246" s="34" t="s">
        <v>2067</v>
      </c>
      <c r="D246" s="2" t="s">
        <v>16</v>
      </c>
      <c r="E246" s="2" t="s">
        <v>347</v>
      </c>
      <c r="F246" s="421" t="s">
        <v>476</v>
      </c>
      <c r="G246" s="421"/>
      <c r="H246" s="2" t="s">
        <v>1921</v>
      </c>
      <c r="I246" s="39">
        <v>46107</v>
      </c>
      <c r="J246" s="2" t="s">
        <v>2078</v>
      </c>
      <c r="K246" s="2" t="s">
        <v>2078</v>
      </c>
      <c r="L246" s="2" t="s">
        <v>930</v>
      </c>
      <c r="M246" s="272"/>
      <c r="N246" s="2"/>
      <c r="O246" s="2"/>
    </row>
    <row r="247" spans="1:15" x14ac:dyDescent="0.35">
      <c r="A247" s="34">
        <v>245</v>
      </c>
      <c r="B247" s="2" t="s">
        <v>391</v>
      </c>
      <c r="C247" s="38" t="s">
        <v>2068</v>
      </c>
      <c r="D247" s="285" t="s">
        <v>768</v>
      </c>
      <c r="E247" s="2" t="s">
        <v>347</v>
      </c>
      <c r="F247" s="421" t="s">
        <v>476</v>
      </c>
      <c r="G247" s="421"/>
      <c r="H247" s="2" t="s">
        <v>1924</v>
      </c>
      <c r="I247" s="39">
        <v>46111</v>
      </c>
      <c r="J247" s="2" t="s">
        <v>2078</v>
      </c>
      <c r="K247" s="2" t="s">
        <v>2078</v>
      </c>
      <c r="L247" s="2" t="s">
        <v>903</v>
      </c>
      <c r="M247" s="272"/>
      <c r="N247" s="2"/>
      <c r="O247" s="2"/>
    </row>
    <row r="248" spans="1:15" ht="15.75" customHeight="1" x14ac:dyDescent="0.35">
      <c r="A248" s="34">
        <v>246</v>
      </c>
      <c r="B248" s="2" t="s">
        <v>267</v>
      </c>
      <c r="C248" s="38" t="s">
        <v>2068</v>
      </c>
      <c r="D248" s="286" t="s">
        <v>28</v>
      </c>
      <c r="E248" s="2" t="s">
        <v>766</v>
      </c>
      <c r="F248" s="421" t="s">
        <v>476</v>
      </c>
      <c r="G248" s="421"/>
      <c r="H248" s="2" t="s">
        <v>1923</v>
      </c>
      <c r="I248" s="39">
        <v>46117</v>
      </c>
      <c r="J248" s="2" t="s">
        <v>2078</v>
      </c>
      <c r="K248" s="2" t="s">
        <v>2073</v>
      </c>
      <c r="L248" s="2" t="s">
        <v>855</v>
      </c>
      <c r="M248" s="272"/>
      <c r="N248" s="2"/>
      <c r="O248" s="2"/>
    </row>
    <row r="249" spans="1:15" x14ac:dyDescent="0.35">
      <c r="A249" s="34">
        <v>247</v>
      </c>
      <c r="B249" s="2" t="s">
        <v>226</v>
      </c>
      <c r="C249" s="34" t="s">
        <v>2067</v>
      </c>
      <c r="D249" s="287" t="s">
        <v>35</v>
      </c>
      <c r="E249" s="2" t="s">
        <v>348</v>
      </c>
      <c r="F249" s="421" t="s">
        <v>476</v>
      </c>
      <c r="G249" s="421"/>
      <c r="H249" s="2" t="s">
        <v>1925</v>
      </c>
      <c r="I249" s="39">
        <v>46122</v>
      </c>
      <c r="J249" s="2" t="s">
        <v>2078</v>
      </c>
      <c r="K249" s="2" t="s">
        <v>2073</v>
      </c>
      <c r="L249" s="2" t="s">
        <v>930</v>
      </c>
      <c r="M249" s="272"/>
      <c r="N249" s="2"/>
      <c r="O249" s="2"/>
    </row>
    <row r="250" spans="1:15" x14ac:dyDescent="0.35">
      <c r="A250" s="34">
        <v>248</v>
      </c>
      <c r="B250" s="2" t="s">
        <v>325</v>
      </c>
      <c r="C250" s="38" t="s">
        <v>2068</v>
      </c>
      <c r="D250" s="286" t="s">
        <v>14</v>
      </c>
      <c r="E250" s="2" t="s">
        <v>347</v>
      </c>
      <c r="F250" s="421" t="s">
        <v>476</v>
      </c>
      <c r="G250" s="421"/>
      <c r="H250" s="2" t="s">
        <v>1925</v>
      </c>
      <c r="I250" s="39">
        <v>46117</v>
      </c>
      <c r="J250" s="2" t="s">
        <v>2078</v>
      </c>
      <c r="K250" s="2" t="s">
        <v>2073</v>
      </c>
      <c r="L250" s="2" t="s">
        <v>1958</v>
      </c>
      <c r="M250" s="272"/>
      <c r="N250" s="2"/>
      <c r="O250" s="2"/>
    </row>
    <row r="251" spans="1:15" x14ac:dyDescent="0.35">
      <c r="A251" s="34">
        <v>249</v>
      </c>
      <c r="B251" s="2" t="s">
        <v>217</v>
      </c>
      <c r="C251" s="34" t="s">
        <v>2067</v>
      </c>
      <c r="D251" s="287" t="s">
        <v>31</v>
      </c>
      <c r="E251" s="2" t="s">
        <v>347</v>
      </c>
      <c r="F251" s="421" t="s">
        <v>476</v>
      </c>
      <c r="G251" s="421"/>
      <c r="H251" s="2" t="s">
        <v>1926</v>
      </c>
      <c r="I251" s="39">
        <v>46112</v>
      </c>
      <c r="J251" s="2" t="s">
        <v>2078</v>
      </c>
      <c r="K251" s="2" t="s">
        <v>2078</v>
      </c>
      <c r="L251" s="2" t="s">
        <v>443</v>
      </c>
      <c r="M251" s="272"/>
      <c r="N251" s="2"/>
      <c r="O251" s="2"/>
    </row>
    <row r="252" spans="1:15" x14ac:dyDescent="0.35">
      <c r="A252" s="34">
        <v>250</v>
      </c>
      <c r="B252" s="2" t="s">
        <v>218</v>
      </c>
      <c r="C252" s="34" t="s">
        <v>2067</v>
      </c>
      <c r="D252" s="287" t="s">
        <v>33</v>
      </c>
      <c r="E252" s="2" t="s">
        <v>348</v>
      </c>
      <c r="F252" s="421" t="s">
        <v>476</v>
      </c>
      <c r="G252" s="421"/>
      <c r="H252" s="2" t="s">
        <v>1955</v>
      </c>
      <c r="I252" s="39">
        <v>46120</v>
      </c>
      <c r="J252" s="2" t="s">
        <v>2078</v>
      </c>
      <c r="K252" s="2" t="s">
        <v>2073</v>
      </c>
      <c r="L252" s="2" t="s">
        <v>443</v>
      </c>
      <c r="M252" s="272"/>
      <c r="N252" s="2"/>
      <c r="O252" s="2"/>
    </row>
    <row r="253" spans="1:15" x14ac:dyDescent="0.35">
      <c r="A253" s="34">
        <v>251</v>
      </c>
      <c r="B253" s="38" t="s">
        <v>161</v>
      </c>
      <c r="C253" s="34" t="s">
        <v>2066</v>
      </c>
      <c r="D253" s="286" t="s">
        <v>162</v>
      </c>
      <c r="E253" s="2" t="s">
        <v>347</v>
      </c>
      <c r="F253" s="421" t="s">
        <v>476</v>
      </c>
      <c r="G253" s="421"/>
      <c r="H253" s="2" t="s">
        <v>1956</v>
      </c>
      <c r="I253" s="39">
        <v>46116</v>
      </c>
      <c r="J253" s="2" t="s">
        <v>2078</v>
      </c>
      <c r="K253" s="2" t="s">
        <v>2073</v>
      </c>
      <c r="L253" s="2" t="s">
        <v>859</v>
      </c>
      <c r="M253" s="272"/>
      <c r="N253" s="2"/>
      <c r="O253" s="2"/>
    </row>
    <row r="254" spans="1:15" x14ac:dyDescent="0.35">
      <c r="A254" s="34">
        <v>252</v>
      </c>
      <c r="B254" s="2" t="s">
        <v>293</v>
      </c>
      <c r="C254" s="38" t="s">
        <v>2068</v>
      </c>
      <c r="D254" s="294" t="s">
        <v>146</v>
      </c>
      <c r="E254" s="2" t="s">
        <v>347</v>
      </c>
      <c r="F254" s="421" t="s">
        <v>476</v>
      </c>
      <c r="G254" s="421"/>
      <c r="H254" s="2" t="s">
        <v>1960</v>
      </c>
      <c r="I254" s="39">
        <v>46130</v>
      </c>
      <c r="J254" s="2" t="s">
        <v>2073</v>
      </c>
      <c r="K254" s="2" t="s">
        <v>2073</v>
      </c>
      <c r="L254" s="2" t="s">
        <v>903</v>
      </c>
      <c r="M254" s="272"/>
      <c r="N254" s="2"/>
      <c r="O254" s="2"/>
    </row>
    <row r="255" spans="1:15" x14ac:dyDescent="0.35">
      <c r="A255" s="34">
        <v>253</v>
      </c>
      <c r="B255" s="2" t="s">
        <v>186</v>
      </c>
      <c r="C255" s="34" t="s">
        <v>2066</v>
      </c>
      <c r="D255" s="294" t="s">
        <v>113</v>
      </c>
      <c r="E255" s="2" t="s">
        <v>766</v>
      </c>
      <c r="F255" s="421" t="s">
        <v>476</v>
      </c>
      <c r="G255" s="421"/>
      <c r="H255" s="532" t="s">
        <v>1961</v>
      </c>
      <c r="I255" s="39">
        <v>46121</v>
      </c>
      <c r="J255" s="2" t="s">
        <v>2073</v>
      </c>
      <c r="K255" s="2" t="s">
        <v>2073</v>
      </c>
      <c r="L255" s="2" t="s">
        <v>859</v>
      </c>
      <c r="M255" s="272"/>
      <c r="N255" s="2"/>
      <c r="O255" s="2"/>
    </row>
    <row r="256" spans="1:15" x14ac:dyDescent="0.35">
      <c r="A256" s="34">
        <v>254</v>
      </c>
      <c r="B256" s="2" t="s">
        <v>265</v>
      </c>
      <c r="C256" s="38" t="s">
        <v>2067</v>
      </c>
      <c r="D256" s="286" t="s">
        <v>33</v>
      </c>
      <c r="E256" s="2" t="s">
        <v>348</v>
      </c>
      <c r="F256" s="421" t="s">
        <v>476</v>
      </c>
      <c r="G256" s="421"/>
      <c r="H256" s="643">
        <v>46127</v>
      </c>
      <c r="I256" s="39">
        <v>46164</v>
      </c>
      <c r="J256" s="2" t="s">
        <v>2073</v>
      </c>
      <c r="K256" s="2" t="s">
        <v>2091</v>
      </c>
      <c r="L256" s="2" t="s">
        <v>903</v>
      </c>
      <c r="M256" s="272"/>
      <c r="N256" s="2"/>
      <c r="O256" s="2"/>
    </row>
    <row r="257" spans="1:15" x14ac:dyDescent="0.35">
      <c r="A257" s="34">
        <v>255</v>
      </c>
      <c r="B257" s="2" t="s">
        <v>27</v>
      </c>
      <c r="C257" s="263" t="s">
        <v>2066</v>
      </c>
      <c r="D257" s="286" t="s">
        <v>28</v>
      </c>
      <c r="E257" s="2" t="s">
        <v>348</v>
      </c>
      <c r="F257" s="421" t="s">
        <v>476</v>
      </c>
      <c r="G257" s="421"/>
      <c r="H257" s="642">
        <v>46121</v>
      </c>
      <c r="I257" s="642">
        <v>46125</v>
      </c>
      <c r="J257" s="2" t="s">
        <v>2073</v>
      </c>
      <c r="K257" s="2" t="s">
        <v>2073</v>
      </c>
      <c r="L257" s="2" t="s">
        <v>859</v>
      </c>
      <c r="M257" s="272"/>
      <c r="N257" s="2"/>
      <c r="O257" s="2"/>
    </row>
    <row r="258" spans="1:15" x14ac:dyDescent="0.35">
      <c r="A258" s="34">
        <v>256</v>
      </c>
      <c r="B258" s="2" t="s">
        <v>284</v>
      </c>
      <c r="C258" s="38" t="s">
        <v>2068</v>
      </c>
      <c r="D258" s="286" t="s">
        <v>146</v>
      </c>
      <c r="E258" s="2" t="s">
        <v>347</v>
      </c>
      <c r="F258" s="421" t="s">
        <v>476</v>
      </c>
      <c r="G258" s="421"/>
      <c r="H258" s="642">
        <v>46123</v>
      </c>
      <c r="I258" s="39">
        <v>46147</v>
      </c>
      <c r="J258" s="2" t="s">
        <v>2073</v>
      </c>
      <c r="K258" s="2" t="s">
        <v>2091</v>
      </c>
      <c r="L258" s="2" t="s">
        <v>2193</v>
      </c>
      <c r="M258" s="272"/>
      <c r="N258" s="2"/>
      <c r="O258" s="2"/>
    </row>
    <row r="259" spans="1:15" x14ac:dyDescent="0.35">
      <c r="A259" s="34">
        <v>257</v>
      </c>
      <c r="B259" s="2" t="s">
        <v>216</v>
      </c>
      <c r="C259" s="2" t="s">
        <v>2067</v>
      </c>
      <c r="D259" s="286" t="s">
        <v>33</v>
      </c>
      <c r="E259" s="2" t="s">
        <v>347</v>
      </c>
      <c r="F259" s="421" t="s">
        <v>476</v>
      </c>
      <c r="G259" s="421"/>
      <c r="H259" s="642">
        <v>46123</v>
      </c>
      <c r="I259" s="39">
        <v>46137</v>
      </c>
      <c r="J259" s="2" t="s">
        <v>2073</v>
      </c>
      <c r="K259" s="2" t="s">
        <v>2073</v>
      </c>
      <c r="L259" s="2" t="s">
        <v>443</v>
      </c>
      <c r="M259" s="272"/>
      <c r="N259" s="2"/>
      <c r="O259" s="2"/>
    </row>
    <row r="260" spans="1:15" x14ac:dyDescent="0.35">
      <c r="A260" s="34">
        <v>258</v>
      </c>
      <c r="B260" s="2" t="s">
        <v>243</v>
      </c>
      <c r="C260" s="38" t="s">
        <v>2067</v>
      </c>
      <c r="D260" s="286" t="s">
        <v>31</v>
      </c>
      <c r="E260" s="2" t="s">
        <v>347</v>
      </c>
      <c r="F260" s="421" t="s">
        <v>476</v>
      </c>
      <c r="G260" s="421"/>
      <c r="H260" s="643">
        <v>46127</v>
      </c>
      <c r="I260" s="39">
        <v>46146</v>
      </c>
      <c r="J260" s="2" t="s">
        <v>2073</v>
      </c>
      <c r="K260" s="2" t="s">
        <v>2091</v>
      </c>
      <c r="L260" s="2" t="s">
        <v>443</v>
      </c>
      <c r="M260" s="272"/>
      <c r="N260" s="2"/>
      <c r="O260" s="2"/>
    </row>
    <row r="261" spans="1:15" x14ac:dyDescent="0.35">
      <c r="A261" s="34">
        <v>259</v>
      </c>
      <c r="B261" s="40" t="s">
        <v>26</v>
      </c>
      <c r="C261" s="263" t="s">
        <v>2066</v>
      </c>
      <c r="D261" s="286" t="s">
        <v>16</v>
      </c>
      <c r="E261" s="2" t="s">
        <v>347</v>
      </c>
      <c r="F261" s="421" t="s">
        <v>476</v>
      </c>
      <c r="G261" s="421"/>
      <c r="H261" s="642">
        <v>46125</v>
      </c>
      <c r="I261" s="39">
        <v>46128</v>
      </c>
      <c r="J261" s="2" t="s">
        <v>2073</v>
      </c>
      <c r="K261" s="2" t="s">
        <v>2073</v>
      </c>
      <c r="L261" s="2" t="s">
        <v>859</v>
      </c>
      <c r="M261" s="272"/>
      <c r="N261" s="2"/>
      <c r="O261" s="2"/>
    </row>
    <row r="262" spans="1:15" x14ac:dyDescent="0.35">
      <c r="A262" s="34">
        <v>260</v>
      </c>
      <c r="B262" s="2" t="s">
        <v>264</v>
      </c>
      <c r="C262" s="38" t="s">
        <v>2067</v>
      </c>
      <c r="D262" s="286" t="s">
        <v>31</v>
      </c>
      <c r="E262" s="2" t="s">
        <v>348</v>
      </c>
      <c r="F262" s="421" t="s">
        <v>476</v>
      </c>
      <c r="G262" s="421"/>
      <c r="H262" s="642">
        <v>46114</v>
      </c>
      <c r="I262" s="39">
        <v>46156</v>
      </c>
      <c r="J262" s="2" t="s">
        <v>2091</v>
      </c>
      <c r="K262" s="2" t="s">
        <v>2091</v>
      </c>
      <c r="L262" s="2" t="s">
        <v>443</v>
      </c>
      <c r="M262" s="272"/>
      <c r="N262" s="2"/>
      <c r="O262" s="2"/>
    </row>
    <row r="263" spans="1:15" x14ac:dyDescent="0.35">
      <c r="A263" s="2">
        <v>261</v>
      </c>
      <c r="B263" s="40" t="s">
        <v>22</v>
      </c>
      <c r="C263" s="263" t="s">
        <v>2066</v>
      </c>
      <c r="D263" s="2" t="s">
        <v>23</v>
      </c>
      <c r="E263" s="2" t="s">
        <v>347</v>
      </c>
      <c r="F263" s="421" t="s">
        <v>476</v>
      </c>
      <c r="G263" s="421"/>
      <c r="H263" s="642">
        <v>46129</v>
      </c>
      <c r="I263" s="39">
        <v>46132</v>
      </c>
      <c r="J263" s="2" t="s">
        <v>2073</v>
      </c>
      <c r="K263" s="2" t="s">
        <v>2073</v>
      </c>
      <c r="L263" s="2" t="s">
        <v>859</v>
      </c>
      <c r="M263" s="272"/>
      <c r="N263" s="2"/>
      <c r="O263" s="2"/>
    </row>
    <row r="264" spans="1:15" x14ac:dyDescent="0.35">
      <c r="A264" s="2">
        <v>262</v>
      </c>
      <c r="B264" s="40" t="s">
        <v>24</v>
      </c>
      <c r="C264" s="263" t="s">
        <v>2066</v>
      </c>
      <c r="D264" s="2" t="s">
        <v>16</v>
      </c>
      <c r="E264" s="2" t="s">
        <v>347</v>
      </c>
      <c r="F264" s="421" t="s">
        <v>476</v>
      </c>
      <c r="G264" s="421"/>
      <c r="H264" s="642">
        <v>46126</v>
      </c>
      <c r="I264" s="39">
        <v>46130</v>
      </c>
      <c r="J264" s="2" t="s">
        <v>2073</v>
      </c>
      <c r="K264" s="2" t="s">
        <v>2073</v>
      </c>
      <c r="L264" s="2" t="s">
        <v>859</v>
      </c>
      <c r="M264" s="272"/>
      <c r="N264" s="2"/>
      <c r="O264" s="2"/>
    </row>
    <row r="265" spans="1:15" x14ac:dyDescent="0.35">
      <c r="A265" s="2">
        <v>263</v>
      </c>
      <c r="B265" s="40" t="s">
        <v>13</v>
      </c>
      <c r="C265" s="263" t="s">
        <v>2066</v>
      </c>
      <c r="D265" s="2" t="s">
        <v>14</v>
      </c>
      <c r="E265" s="2" t="s">
        <v>350</v>
      </c>
      <c r="F265" s="421" t="s">
        <v>476</v>
      </c>
      <c r="G265" s="421"/>
      <c r="H265" s="642">
        <v>46134</v>
      </c>
      <c r="I265" s="642">
        <v>46141</v>
      </c>
      <c r="J265" s="2" t="s">
        <v>2073</v>
      </c>
      <c r="K265" s="2" t="s">
        <v>2073</v>
      </c>
      <c r="L265" s="2" t="s">
        <v>859</v>
      </c>
      <c r="M265" s="272"/>
      <c r="N265" s="2"/>
      <c r="O265" s="2"/>
    </row>
    <row r="266" spans="1:15" x14ac:dyDescent="0.35">
      <c r="A266" s="2">
        <v>264</v>
      </c>
      <c r="B266" s="264" t="s">
        <v>17</v>
      </c>
      <c r="C266" s="263" t="s">
        <v>2066</v>
      </c>
      <c r="D266" s="2" t="s">
        <v>18</v>
      </c>
      <c r="E266" s="2" t="s">
        <v>350</v>
      </c>
      <c r="F266" s="421" t="s">
        <v>476</v>
      </c>
      <c r="G266" s="421"/>
      <c r="H266" s="642">
        <v>46141</v>
      </c>
      <c r="I266" s="39">
        <v>46148</v>
      </c>
      <c r="J266" s="2" t="s">
        <v>2091</v>
      </c>
      <c r="K266" s="2" t="s">
        <v>2091</v>
      </c>
      <c r="L266" s="2" t="s">
        <v>859</v>
      </c>
    </row>
    <row r="267" spans="1:15" x14ac:dyDescent="0.35">
      <c r="A267" s="2">
        <v>265</v>
      </c>
      <c r="B267" s="40" t="s">
        <v>25</v>
      </c>
      <c r="C267" s="263" t="s">
        <v>2066</v>
      </c>
      <c r="D267" s="2" t="s">
        <v>23</v>
      </c>
      <c r="E267" s="2" t="s">
        <v>350</v>
      </c>
      <c r="F267" s="421" t="s">
        <v>476</v>
      </c>
      <c r="G267" s="421"/>
      <c r="H267" s="642">
        <v>46139</v>
      </c>
      <c r="I267" s="39">
        <v>46144</v>
      </c>
      <c r="J267" s="2" t="s">
        <v>2073</v>
      </c>
      <c r="K267" s="2" t="s">
        <v>2091</v>
      </c>
      <c r="L267" s="2" t="s">
        <v>859</v>
      </c>
    </row>
    <row r="268" spans="1:15" ht="58" x14ac:dyDescent="0.35">
      <c r="A268" s="2">
        <v>266</v>
      </c>
      <c r="B268" s="41" t="s">
        <v>285</v>
      </c>
      <c r="C268" s="38" t="s">
        <v>2068</v>
      </c>
      <c r="D268" s="2" t="s">
        <v>118</v>
      </c>
      <c r="E268" s="2" t="s">
        <v>347</v>
      </c>
      <c r="F268" s="637" t="s">
        <v>2199</v>
      </c>
      <c r="G268" s="412"/>
      <c r="H268" s="39">
        <v>46150</v>
      </c>
      <c r="I268" s="2"/>
      <c r="J268" s="2" t="s">
        <v>2091</v>
      </c>
      <c r="K268" s="2"/>
      <c r="L268" s="2" t="s">
        <v>2193</v>
      </c>
    </row>
    <row r="269" spans="1:15" x14ac:dyDescent="0.35">
      <c r="A269" s="2">
        <v>267</v>
      </c>
      <c r="B269" s="264" t="s">
        <v>11</v>
      </c>
      <c r="C269" s="263" t="s">
        <v>2066</v>
      </c>
      <c r="D269" s="2" t="s">
        <v>12</v>
      </c>
      <c r="E269" s="2" t="s">
        <v>347</v>
      </c>
      <c r="F269" s="421" t="s">
        <v>476</v>
      </c>
      <c r="G269" s="421"/>
      <c r="H269" s="642">
        <v>46147</v>
      </c>
      <c r="I269" s="39">
        <v>46154</v>
      </c>
      <c r="J269" s="2" t="s">
        <v>2091</v>
      </c>
      <c r="K269" s="2" t="s">
        <v>2091</v>
      </c>
      <c r="L269" s="2" t="s">
        <v>756</v>
      </c>
    </row>
    <row r="270" spans="1:15" ht="84.65" customHeight="1" x14ac:dyDescent="0.35">
      <c r="A270" s="2">
        <v>268</v>
      </c>
      <c r="B270" s="38" t="s">
        <v>10</v>
      </c>
      <c r="C270" s="263" t="s">
        <v>2066</v>
      </c>
      <c r="D270" s="2" t="s">
        <v>9</v>
      </c>
      <c r="E270" s="2" t="s">
        <v>347</v>
      </c>
      <c r="F270" s="421" t="s">
        <v>476</v>
      </c>
      <c r="G270" s="421"/>
      <c r="H270" s="39">
        <v>46154</v>
      </c>
      <c r="I270" s="39">
        <v>46161</v>
      </c>
      <c r="J270" s="2" t="s">
        <v>2091</v>
      </c>
      <c r="K270" s="2" t="s">
        <v>2091</v>
      </c>
      <c r="L270" s="2" t="s">
        <v>756</v>
      </c>
    </row>
    <row r="271" spans="1:15" x14ac:dyDescent="0.35">
      <c r="A271" s="2">
        <v>269</v>
      </c>
      <c r="B271" s="41" t="s">
        <v>315</v>
      </c>
      <c r="C271" s="38" t="s">
        <v>2068</v>
      </c>
      <c r="D271" s="286" t="s">
        <v>148</v>
      </c>
      <c r="E271" s="2" t="s">
        <v>347</v>
      </c>
      <c r="F271" s="412" t="s">
        <v>2189</v>
      </c>
      <c r="G271" s="412"/>
      <c r="H271" s="642">
        <v>46146</v>
      </c>
      <c r="I271" s="2"/>
      <c r="J271" s="2" t="s">
        <v>2091</v>
      </c>
      <c r="K271" s="2"/>
      <c r="L271" s="2" t="s">
        <v>903</v>
      </c>
    </row>
    <row r="272" spans="1:15" ht="43.5" x14ac:dyDescent="0.35">
      <c r="A272" s="2">
        <v>270</v>
      </c>
      <c r="B272" s="41" t="s">
        <v>255</v>
      </c>
      <c r="C272" s="38" t="s">
        <v>2067</v>
      </c>
      <c r="D272" s="286" t="s">
        <v>182</v>
      </c>
      <c r="E272" s="2" t="s">
        <v>347</v>
      </c>
      <c r="F272" s="637" t="s">
        <v>2198</v>
      </c>
      <c r="G272" s="412"/>
      <c r="H272" s="39">
        <v>46158</v>
      </c>
      <c r="I272" s="2"/>
      <c r="J272" s="2" t="s">
        <v>2091</v>
      </c>
      <c r="K272" s="2"/>
      <c r="L272" s="2" t="s">
        <v>2188</v>
      </c>
    </row>
    <row r="273" spans="1:12" x14ac:dyDescent="0.35">
      <c r="A273" s="2">
        <v>271</v>
      </c>
      <c r="B273" s="38" t="s">
        <v>15</v>
      </c>
      <c r="C273" s="263" t="s">
        <v>2066</v>
      </c>
      <c r="D273" s="286" t="s">
        <v>16</v>
      </c>
      <c r="E273" s="2" t="s">
        <v>347</v>
      </c>
      <c r="F273" s="421" t="s">
        <v>476</v>
      </c>
      <c r="G273" s="421"/>
      <c r="H273" s="39">
        <v>46158</v>
      </c>
      <c r="I273" s="39">
        <v>46162</v>
      </c>
      <c r="J273" s="2" t="s">
        <v>2091</v>
      </c>
      <c r="K273" s="2" t="s">
        <v>2091</v>
      </c>
      <c r="L273" s="2" t="s">
        <v>756</v>
      </c>
    </row>
    <row r="274" spans="1:12" x14ac:dyDescent="0.35">
      <c r="A274" s="2">
        <v>272</v>
      </c>
      <c r="B274" s="41" t="s">
        <v>260</v>
      </c>
      <c r="C274" s="38" t="s">
        <v>2067</v>
      </c>
      <c r="D274" s="286" t="s">
        <v>33</v>
      </c>
      <c r="E274" s="2"/>
      <c r="F274" s="412" t="s">
        <v>2187</v>
      </c>
      <c r="G274" s="412"/>
      <c r="H274" s="2"/>
      <c r="I274" s="2"/>
      <c r="J274" s="2"/>
      <c r="K274" s="2"/>
      <c r="L274" s="2"/>
    </row>
    <row r="275" spans="1:12" x14ac:dyDescent="0.35">
      <c r="A275" s="2"/>
      <c r="B275" s="2"/>
      <c r="C275" s="2"/>
      <c r="D275" s="2"/>
      <c r="E275" s="2"/>
      <c r="F275" s="468"/>
      <c r="G275" s="468"/>
      <c r="H275" s="2"/>
      <c r="I275" s="2"/>
      <c r="J275" s="2"/>
      <c r="K275" s="2"/>
      <c r="L275" s="2"/>
    </row>
    <row r="276" spans="1:12" x14ac:dyDescent="0.35">
      <c r="A276" s="2"/>
      <c r="B276" s="2"/>
      <c r="C276" s="2"/>
      <c r="D276" s="2"/>
      <c r="E276" s="2"/>
      <c r="F276" s="468"/>
      <c r="G276" s="468"/>
      <c r="H276" s="2"/>
      <c r="I276" s="2"/>
      <c r="J276" s="2"/>
      <c r="K276" s="2"/>
      <c r="L276" s="2"/>
    </row>
  </sheetData>
  <autoFilter ref="A2:O274" xr:uid="{00000000-0009-0000-0000-000002000000}"/>
  <phoneticPr fontId="3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45"/>
  <sheetViews>
    <sheetView zoomScale="85" workbookViewId="0">
      <pane xSplit="2" ySplit="2" topLeftCell="C233" activePane="bottomRight" state="frozen"/>
      <selection pane="topRight" activeCell="C1" sqref="C1"/>
      <selection pane="bottomLeft" activeCell="A3" sqref="A3"/>
      <selection pane="bottomRight" activeCell="B3" sqref="B3:B245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1796875" style="10" hidden="1" customWidth="1"/>
    <col min="8" max="8" width="22.81640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890" t="s">
        <v>419</v>
      </c>
      <c r="B1" s="891"/>
      <c r="C1" s="891"/>
      <c r="D1" s="891"/>
      <c r="E1" s="891"/>
      <c r="F1" s="891"/>
      <c r="G1" s="891"/>
      <c r="H1" s="891"/>
      <c r="I1" s="891"/>
    </row>
    <row r="2" spans="1:14" x14ac:dyDescent="0.35">
      <c r="A2" s="43" t="s">
        <v>411</v>
      </c>
      <c r="B2" s="43" t="s">
        <v>489</v>
      </c>
      <c r="C2" s="43" t="s">
        <v>490</v>
      </c>
      <c r="D2" s="43" t="s">
        <v>491</v>
      </c>
      <c r="E2" s="43" t="s">
        <v>492</v>
      </c>
      <c r="F2" s="43" t="s">
        <v>493</v>
      </c>
      <c r="G2" s="43" t="s">
        <v>494</v>
      </c>
      <c r="H2" s="43" t="s">
        <v>495</v>
      </c>
      <c r="I2" s="645" t="s">
        <v>496</v>
      </c>
    </row>
    <row r="3" spans="1:14" x14ac:dyDescent="0.35">
      <c r="A3" s="1">
        <v>1</v>
      </c>
      <c r="B3" s="44" t="s">
        <v>50</v>
      </c>
      <c r="C3" s="2" t="s">
        <v>31</v>
      </c>
      <c r="D3" s="889" t="s">
        <v>421</v>
      </c>
      <c r="E3" s="889"/>
      <c r="F3" s="889"/>
      <c r="G3" s="270" t="s">
        <v>497</v>
      </c>
      <c r="H3" s="44" t="s">
        <v>497</v>
      </c>
      <c r="I3" s="646" t="s">
        <v>498</v>
      </c>
      <c r="K3" s="649"/>
    </row>
    <row r="4" spans="1:14" x14ac:dyDescent="0.35">
      <c r="A4" s="1">
        <v>2</v>
      </c>
      <c r="B4" s="44" t="s">
        <v>51</v>
      </c>
      <c r="C4" s="2" t="s">
        <v>33</v>
      </c>
      <c r="D4" s="889" t="s">
        <v>421</v>
      </c>
      <c r="E4" s="889"/>
      <c r="F4" s="889"/>
      <c r="G4" s="270" t="s">
        <v>497</v>
      </c>
      <c r="H4" s="44" t="s">
        <v>497</v>
      </c>
      <c r="I4" s="646" t="s">
        <v>498</v>
      </c>
      <c r="K4" s="650"/>
    </row>
    <row r="5" spans="1:14" x14ac:dyDescent="0.35">
      <c r="A5" s="1">
        <v>3</v>
      </c>
      <c r="B5" s="44" t="s">
        <v>52</v>
      </c>
      <c r="C5" s="2" t="s">
        <v>33</v>
      </c>
      <c r="D5" s="889" t="s">
        <v>421</v>
      </c>
      <c r="E5" s="889"/>
      <c r="F5" s="889"/>
      <c r="G5" s="270" t="s">
        <v>497</v>
      </c>
      <c r="H5" s="44" t="s">
        <v>497</v>
      </c>
      <c r="I5" s="646" t="s">
        <v>498</v>
      </c>
      <c r="K5" s="649"/>
    </row>
    <row r="6" spans="1:14" x14ac:dyDescent="0.35">
      <c r="A6" s="1">
        <v>4</v>
      </c>
      <c r="B6" s="45" t="s">
        <v>121</v>
      </c>
      <c r="C6" s="2" t="s">
        <v>23</v>
      </c>
      <c r="D6" s="889" t="s">
        <v>421</v>
      </c>
      <c r="E6" s="889"/>
      <c r="F6" s="889"/>
      <c r="G6" s="270" t="s">
        <v>497</v>
      </c>
      <c r="H6" s="44" t="s">
        <v>497</v>
      </c>
      <c r="I6" s="646" t="s">
        <v>499</v>
      </c>
      <c r="K6" s="649"/>
    </row>
    <row r="7" spans="1:14" x14ac:dyDescent="0.35">
      <c r="A7" s="1">
        <v>5</v>
      </c>
      <c r="B7" s="44" t="s">
        <v>122</v>
      </c>
      <c r="C7" s="2" t="s">
        <v>23</v>
      </c>
      <c r="D7" s="889" t="s">
        <v>421</v>
      </c>
      <c r="E7" s="889"/>
      <c r="F7" s="889"/>
      <c r="G7" s="270" t="s">
        <v>497</v>
      </c>
      <c r="H7" s="44" t="s">
        <v>497</v>
      </c>
      <c r="I7" s="646" t="s">
        <v>499</v>
      </c>
      <c r="K7" s="649"/>
    </row>
    <row r="8" spans="1:14" x14ac:dyDescent="0.35">
      <c r="A8" s="1">
        <v>6</v>
      </c>
      <c r="B8" s="44" t="s">
        <v>32</v>
      </c>
      <c r="C8" s="2" t="s">
        <v>33</v>
      </c>
      <c r="D8" s="889" t="s">
        <v>421</v>
      </c>
      <c r="E8" s="889"/>
      <c r="F8" s="889"/>
      <c r="G8" s="271" t="s">
        <v>445</v>
      </c>
      <c r="H8" s="1" t="s">
        <v>445</v>
      </c>
      <c r="I8" s="647" t="s">
        <v>500</v>
      </c>
      <c r="K8" s="651"/>
      <c r="M8" s="651"/>
      <c r="N8" s="651"/>
    </row>
    <row r="9" spans="1:14" x14ac:dyDescent="0.35">
      <c r="A9" s="1">
        <v>7</v>
      </c>
      <c r="B9" s="44" t="s">
        <v>34</v>
      </c>
      <c r="C9" s="2" t="s">
        <v>454</v>
      </c>
      <c r="D9" s="889" t="s">
        <v>421</v>
      </c>
      <c r="E9" s="889"/>
      <c r="F9" s="889"/>
      <c r="G9" s="271" t="s">
        <v>445</v>
      </c>
      <c r="H9" s="1" t="s">
        <v>445</v>
      </c>
      <c r="I9" s="648" t="s">
        <v>500</v>
      </c>
      <c r="K9" s="651"/>
      <c r="M9" s="651"/>
      <c r="N9" s="651"/>
    </row>
    <row r="10" spans="1:14" x14ac:dyDescent="0.35">
      <c r="A10" s="1">
        <v>8</v>
      </c>
      <c r="B10" s="44" t="s">
        <v>41</v>
      </c>
      <c r="C10" s="2" t="s">
        <v>448</v>
      </c>
      <c r="D10" s="889" t="s">
        <v>421</v>
      </c>
      <c r="E10" s="889"/>
      <c r="F10" s="889"/>
      <c r="G10" s="271" t="s">
        <v>501</v>
      </c>
      <c r="H10" s="1" t="s">
        <v>501</v>
      </c>
      <c r="I10" s="647"/>
      <c r="K10" s="649"/>
      <c r="M10" s="652"/>
      <c r="N10" s="652"/>
    </row>
    <row r="11" spans="1:14" x14ac:dyDescent="0.35">
      <c r="A11" s="1">
        <v>9</v>
      </c>
      <c r="B11" s="1" t="s">
        <v>199</v>
      </c>
      <c r="C11" s="2" t="s">
        <v>23</v>
      </c>
      <c r="D11" s="889" t="s">
        <v>421</v>
      </c>
      <c r="E11" s="889"/>
      <c r="F11" s="889"/>
      <c r="G11" s="272" t="s">
        <v>453</v>
      </c>
      <c r="H11" s="2" t="s">
        <v>453</v>
      </c>
      <c r="I11" s="647"/>
      <c r="K11" s="649"/>
      <c r="M11" s="653"/>
      <c r="N11" s="653"/>
    </row>
    <row r="12" spans="1:14" x14ac:dyDescent="0.35">
      <c r="A12" s="1">
        <v>10</v>
      </c>
      <c r="B12" s="1" t="s">
        <v>201</v>
      </c>
      <c r="C12" s="2" t="s">
        <v>23</v>
      </c>
      <c r="D12" s="889" t="s">
        <v>421</v>
      </c>
      <c r="E12" s="889"/>
      <c r="F12" s="889"/>
      <c r="G12" s="272" t="s">
        <v>453</v>
      </c>
      <c r="H12" s="2" t="s">
        <v>453</v>
      </c>
      <c r="I12" s="647"/>
      <c r="K12" s="649"/>
      <c r="M12" s="654"/>
      <c r="N12" s="654"/>
    </row>
    <row r="13" spans="1:14" x14ac:dyDescent="0.35">
      <c r="A13" s="1">
        <v>11</v>
      </c>
      <c r="B13" s="44" t="s">
        <v>103</v>
      </c>
      <c r="C13" s="1" t="s">
        <v>20</v>
      </c>
      <c r="D13" s="889" t="s">
        <v>421</v>
      </c>
      <c r="E13" s="889"/>
      <c r="F13" s="889"/>
      <c r="G13" s="272" t="s">
        <v>502</v>
      </c>
      <c r="H13" s="2" t="s">
        <v>502</v>
      </c>
      <c r="I13" s="648"/>
      <c r="K13" s="653"/>
      <c r="M13" s="654"/>
      <c r="N13" s="654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889" t="s">
        <v>421</v>
      </c>
      <c r="E14" s="889"/>
      <c r="F14" s="889"/>
      <c r="G14" s="271" t="s">
        <v>502</v>
      </c>
      <c r="H14" s="1" t="s">
        <v>502</v>
      </c>
      <c r="I14" s="647"/>
      <c r="K14" s="649"/>
      <c r="M14" s="654"/>
      <c r="N14" s="654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889" t="s">
        <v>421</v>
      </c>
      <c r="E15" s="889"/>
      <c r="F15" s="889"/>
      <c r="G15" s="271" t="s">
        <v>502</v>
      </c>
      <c r="H15" s="1" t="s">
        <v>502</v>
      </c>
      <c r="I15" s="647"/>
      <c r="K15" s="652"/>
      <c r="M15" s="655"/>
      <c r="N15" s="655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889" t="s">
        <v>421</v>
      </c>
      <c r="E16" s="889"/>
      <c r="F16" s="889"/>
      <c r="G16" s="271" t="s">
        <v>502</v>
      </c>
      <c r="H16" s="1" t="s">
        <v>502</v>
      </c>
      <c r="I16" s="647"/>
      <c r="K16" s="652"/>
      <c r="M16" s="655"/>
      <c r="N16" s="655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889" t="s">
        <v>421</v>
      </c>
      <c r="E17" s="889"/>
      <c r="F17" s="889"/>
      <c r="G17" s="271" t="s">
        <v>502</v>
      </c>
      <c r="H17" s="1" t="s">
        <v>502</v>
      </c>
      <c r="I17" s="647"/>
      <c r="K17" s="652"/>
      <c r="M17" s="654"/>
      <c r="N17" s="654"/>
    </row>
    <row r="18" spans="1:14" x14ac:dyDescent="0.35">
      <c r="A18" s="1">
        <v>16</v>
      </c>
      <c r="B18" s="46" t="s">
        <v>341</v>
      </c>
      <c r="C18" s="2" t="s">
        <v>23</v>
      </c>
      <c r="D18" s="889" t="s">
        <v>421</v>
      </c>
      <c r="E18" s="889"/>
      <c r="F18" s="889"/>
      <c r="G18" s="271" t="s">
        <v>503</v>
      </c>
      <c r="H18" s="1" t="s">
        <v>503</v>
      </c>
      <c r="I18" s="647"/>
      <c r="K18" s="652"/>
      <c r="M18" s="656"/>
      <c r="N18" s="656"/>
    </row>
    <row r="19" spans="1:14" x14ac:dyDescent="0.35">
      <c r="A19" s="1">
        <v>17</v>
      </c>
      <c r="B19" s="46" t="s">
        <v>283</v>
      </c>
      <c r="C19" s="1" t="s">
        <v>16</v>
      </c>
      <c r="D19" s="889" t="s">
        <v>421</v>
      </c>
      <c r="E19" s="889"/>
      <c r="F19" s="889"/>
      <c r="G19" s="271" t="s">
        <v>504</v>
      </c>
      <c r="H19" s="1" t="s">
        <v>504</v>
      </c>
      <c r="I19" s="647" t="s">
        <v>499</v>
      </c>
      <c r="K19" s="652"/>
      <c r="M19" s="657"/>
      <c r="N19" s="657"/>
    </row>
    <row r="20" spans="1:14" x14ac:dyDescent="0.35">
      <c r="A20" s="1">
        <v>18</v>
      </c>
      <c r="B20" s="46" t="s">
        <v>277</v>
      </c>
      <c r="C20" s="1" t="s">
        <v>28</v>
      </c>
      <c r="D20" s="889" t="s">
        <v>421</v>
      </c>
      <c r="E20" s="889"/>
      <c r="F20" s="889"/>
      <c r="G20" s="271" t="s">
        <v>504</v>
      </c>
      <c r="H20" s="1" t="s">
        <v>504</v>
      </c>
      <c r="I20" s="647" t="s">
        <v>500</v>
      </c>
      <c r="K20" s="652"/>
      <c r="M20" s="657"/>
      <c r="N20" s="657"/>
    </row>
    <row r="21" spans="1:14" x14ac:dyDescent="0.35">
      <c r="A21" s="1">
        <v>19</v>
      </c>
      <c r="B21" s="46" t="s">
        <v>338</v>
      </c>
      <c r="C21" s="1" t="s">
        <v>33</v>
      </c>
      <c r="D21" s="889" t="s">
        <v>421</v>
      </c>
      <c r="E21" s="889"/>
      <c r="F21" s="889"/>
      <c r="G21" s="273">
        <v>45827</v>
      </c>
      <c r="H21" s="47">
        <v>45827</v>
      </c>
      <c r="I21" s="647" t="s">
        <v>505</v>
      </c>
      <c r="K21" s="652"/>
      <c r="M21" s="653"/>
      <c r="N21" s="653"/>
    </row>
    <row r="22" spans="1:14" x14ac:dyDescent="0.35">
      <c r="A22" s="1">
        <v>20</v>
      </c>
      <c r="B22" s="46" t="s">
        <v>322</v>
      </c>
      <c r="C22" s="2" t="s">
        <v>448</v>
      </c>
      <c r="D22" s="889" t="s">
        <v>421</v>
      </c>
      <c r="E22" s="889"/>
      <c r="F22" s="889"/>
      <c r="G22" s="271" t="s">
        <v>506</v>
      </c>
      <c r="H22" s="1" t="s">
        <v>506</v>
      </c>
      <c r="I22" s="647"/>
      <c r="K22" s="652"/>
      <c r="M22" s="653"/>
      <c r="N22" s="653"/>
    </row>
    <row r="23" spans="1:14" x14ac:dyDescent="0.35">
      <c r="A23" s="1">
        <v>21</v>
      </c>
      <c r="B23" s="46" t="s">
        <v>323</v>
      </c>
      <c r="C23" s="2" t="s">
        <v>31</v>
      </c>
      <c r="D23" s="889" t="s">
        <v>421</v>
      </c>
      <c r="E23" s="889"/>
      <c r="F23" s="889"/>
      <c r="G23" s="271" t="s">
        <v>477</v>
      </c>
      <c r="H23" s="1" t="s">
        <v>477</v>
      </c>
      <c r="I23" s="647"/>
      <c r="K23" s="652"/>
      <c r="M23" s="658"/>
      <c r="N23" s="658"/>
    </row>
    <row r="24" spans="1:14" x14ac:dyDescent="0.35">
      <c r="A24" s="1">
        <v>22</v>
      </c>
      <c r="B24" s="46" t="s">
        <v>330</v>
      </c>
      <c r="C24" s="2" t="s">
        <v>23</v>
      </c>
      <c r="D24" s="889" t="s">
        <v>421</v>
      </c>
      <c r="E24" s="889"/>
      <c r="F24" s="889"/>
      <c r="G24" s="271" t="s">
        <v>507</v>
      </c>
      <c r="H24" s="1" t="s">
        <v>507</v>
      </c>
      <c r="I24" s="647"/>
      <c r="K24" s="652"/>
      <c r="M24" s="656"/>
      <c r="N24" s="656"/>
    </row>
    <row r="25" spans="1:14" x14ac:dyDescent="0.35">
      <c r="A25" s="1">
        <v>23</v>
      </c>
      <c r="B25" s="46" t="s">
        <v>316</v>
      </c>
      <c r="C25" s="2" t="s">
        <v>23</v>
      </c>
      <c r="D25" s="889" t="s">
        <v>421</v>
      </c>
      <c r="E25" s="889"/>
      <c r="F25" s="889"/>
      <c r="G25" s="271" t="s">
        <v>508</v>
      </c>
      <c r="H25" s="1" t="s">
        <v>508</v>
      </c>
      <c r="I25" s="647"/>
      <c r="K25" s="652"/>
      <c r="M25" s="653"/>
      <c r="N25" s="653"/>
    </row>
    <row r="26" spans="1:14" x14ac:dyDescent="0.35">
      <c r="A26" s="1">
        <v>24</v>
      </c>
      <c r="B26" s="46" t="s">
        <v>328</v>
      </c>
      <c r="C26" s="2" t="s">
        <v>23</v>
      </c>
      <c r="D26" s="889" t="s">
        <v>421</v>
      </c>
      <c r="E26" s="889"/>
      <c r="F26" s="889"/>
      <c r="G26" s="271" t="s">
        <v>509</v>
      </c>
      <c r="H26" s="1" t="s">
        <v>509</v>
      </c>
      <c r="I26" s="647"/>
      <c r="K26" s="652"/>
      <c r="M26" s="653"/>
      <c r="N26" s="653"/>
    </row>
    <row r="27" spans="1:14" x14ac:dyDescent="0.35">
      <c r="A27" s="1">
        <v>25</v>
      </c>
      <c r="B27" s="1" t="s">
        <v>123</v>
      </c>
      <c r="C27" s="1" t="s">
        <v>40</v>
      </c>
      <c r="D27" s="889" t="s">
        <v>421</v>
      </c>
      <c r="E27" s="889"/>
      <c r="F27" s="889"/>
      <c r="G27" s="271" t="s">
        <v>510</v>
      </c>
      <c r="H27" s="1" t="s">
        <v>510</v>
      </c>
      <c r="I27" s="648" t="s">
        <v>511</v>
      </c>
      <c r="K27" s="652"/>
      <c r="M27" s="653"/>
      <c r="N27" s="653"/>
    </row>
    <row r="28" spans="1:14" x14ac:dyDescent="0.35">
      <c r="A28" s="1">
        <v>26</v>
      </c>
      <c r="B28" s="36" t="s">
        <v>248</v>
      </c>
      <c r="C28" s="2" t="s">
        <v>115</v>
      </c>
      <c r="D28" s="889" t="s">
        <v>421</v>
      </c>
      <c r="E28" s="889"/>
      <c r="F28" s="889"/>
      <c r="G28" s="271" t="s">
        <v>512</v>
      </c>
      <c r="H28" s="1" t="s">
        <v>512</v>
      </c>
      <c r="I28" s="647"/>
      <c r="K28" s="652"/>
      <c r="M28" s="659"/>
      <c r="N28" s="659"/>
    </row>
    <row r="29" spans="1:14" x14ac:dyDescent="0.35">
      <c r="A29" s="1">
        <v>27</v>
      </c>
      <c r="B29" s="1" t="s">
        <v>90</v>
      </c>
      <c r="C29" s="1" t="s">
        <v>61</v>
      </c>
      <c r="D29" s="889" t="s">
        <v>421</v>
      </c>
      <c r="E29" s="889"/>
      <c r="F29" s="889"/>
      <c r="G29" s="271" t="s">
        <v>615</v>
      </c>
      <c r="H29" s="1" t="s">
        <v>615</v>
      </c>
      <c r="I29" s="647"/>
      <c r="K29" s="652"/>
      <c r="M29" s="659"/>
      <c r="N29" s="659"/>
    </row>
    <row r="30" spans="1:14" x14ac:dyDescent="0.35">
      <c r="A30" s="1">
        <v>28</v>
      </c>
      <c r="B30" s="205" t="s">
        <v>29</v>
      </c>
      <c r="C30" s="2" t="s">
        <v>23</v>
      </c>
      <c r="D30" s="889" t="s">
        <v>421</v>
      </c>
      <c r="E30" s="889"/>
      <c r="F30" s="889"/>
      <c r="G30" s="271"/>
      <c r="H30" s="1"/>
      <c r="I30" s="647"/>
      <c r="K30" s="653"/>
      <c r="M30" s="653"/>
      <c r="N30" s="653"/>
    </row>
    <row r="31" spans="1:14" x14ac:dyDescent="0.35">
      <c r="A31" s="1">
        <v>29</v>
      </c>
      <c r="B31" s="44" t="s">
        <v>30</v>
      </c>
      <c r="C31" s="2" t="s">
        <v>31</v>
      </c>
      <c r="D31" s="889" t="s">
        <v>421</v>
      </c>
      <c r="E31" s="889"/>
      <c r="F31" s="889"/>
      <c r="G31" s="271"/>
      <c r="H31" s="1"/>
      <c r="I31" s="647"/>
      <c r="K31" s="651"/>
    </row>
    <row r="32" spans="1:14" x14ac:dyDescent="0.35">
      <c r="A32" s="1">
        <v>30</v>
      </c>
      <c r="B32" s="42" t="s">
        <v>45</v>
      </c>
      <c r="C32" s="2" t="s">
        <v>31</v>
      </c>
      <c r="D32" s="889" t="s">
        <v>421</v>
      </c>
      <c r="E32" s="889"/>
      <c r="F32" s="889"/>
      <c r="G32" s="271"/>
      <c r="H32" s="1"/>
      <c r="I32" s="647"/>
      <c r="K32" s="651"/>
    </row>
    <row r="33" spans="1:11" x14ac:dyDescent="0.35">
      <c r="A33" s="1">
        <v>31</v>
      </c>
      <c r="B33" s="44" t="s">
        <v>46</v>
      </c>
      <c r="C33" s="2" t="s">
        <v>31</v>
      </c>
      <c r="D33" s="889" t="s">
        <v>421</v>
      </c>
      <c r="E33" s="889"/>
      <c r="F33" s="889"/>
      <c r="G33" s="271"/>
      <c r="H33" s="1"/>
      <c r="I33" s="647"/>
      <c r="K33" s="651"/>
    </row>
    <row r="34" spans="1:11" x14ac:dyDescent="0.35">
      <c r="A34" s="1">
        <v>32</v>
      </c>
      <c r="B34" s="44" t="s">
        <v>47</v>
      </c>
      <c r="C34" s="2" t="s">
        <v>31</v>
      </c>
      <c r="D34" s="889" t="s">
        <v>421</v>
      </c>
      <c r="E34" s="889"/>
      <c r="F34" s="889"/>
      <c r="G34" s="271"/>
      <c r="H34" s="1"/>
      <c r="I34" s="647"/>
      <c r="K34" s="651"/>
    </row>
    <row r="35" spans="1:11" x14ac:dyDescent="0.35">
      <c r="A35" s="1">
        <v>33</v>
      </c>
      <c r="B35" s="44" t="s">
        <v>48</v>
      </c>
      <c r="C35" s="2" t="s">
        <v>31</v>
      </c>
      <c r="D35" s="889" t="s">
        <v>421</v>
      </c>
      <c r="E35" s="889"/>
      <c r="F35" s="889"/>
      <c r="G35" s="271"/>
      <c r="H35" s="1"/>
      <c r="I35" s="647"/>
      <c r="K35" s="651"/>
    </row>
    <row r="36" spans="1:11" x14ac:dyDescent="0.35">
      <c r="A36" s="1">
        <v>34</v>
      </c>
      <c r="B36" s="44" t="s">
        <v>53</v>
      </c>
      <c r="C36" s="1" t="s">
        <v>33</v>
      </c>
      <c r="D36" s="889" t="s">
        <v>421</v>
      </c>
      <c r="E36" s="889"/>
      <c r="F36" s="889"/>
      <c r="G36" s="271"/>
      <c r="H36" s="1"/>
      <c r="I36" s="647"/>
      <c r="K36" s="651"/>
    </row>
    <row r="37" spans="1:11" x14ac:dyDescent="0.35">
      <c r="A37" s="1">
        <v>35</v>
      </c>
      <c r="B37" s="44" t="s">
        <v>54</v>
      </c>
      <c r="C37" s="2" t="s">
        <v>31</v>
      </c>
      <c r="D37" s="889" t="s">
        <v>421</v>
      </c>
      <c r="E37" s="889"/>
      <c r="F37" s="889"/>
      <c r="G37" s="271"/>
      <c r="H37" s="1"/>
      <c r="I37" s="647"/>
      <c r="K37" s="651"/>
    </row>
    <row r="38" spans="1:11" x14ac:dyDescent="0.35">
      <c r="A38" s="1">
        <v>36</v>
      </c>
      <c r="B38" s="44" t="s">
        <v>55</v>
      </c>
      <c r="C38" s="2" t="s">
        <v>31</v>
      </c>
      <c r="D38" s="889" t="s">
        <v>421</v>
      </c>
      <c r="E38" s="889"/>
      <c r="F38" s="889"/>
      <c r="G38" s="271"/>
      <c r="H38" s="1"/>
      <c r="I38" s="647"/>
      <c r="K38" s="653"/>
    </row>
    <row r="39" spans="1:11" x14ac:dyDescent="0.35">
      <c r="A39" s="1">
        <v>37</v>
      </c>
      <c r="B39" s="44" t="s">
        <v>56</v>
      </c>
      <c r="C39" s="2" t="s">
        <v>31</v>
      </c>
      <c r="D39" s="889" t="s">
        <v>421</v>
      </c>
      <c r="E39" s="889"/>
      <c r="F39" s="889"/>
      <c r="G39" s="271"/>
      <c r="H39" s="1"/>
      <c r="I39" s="647"/>
      <c r="K39" s="653"/>
    </row>
    <row r="40" spans="1:11" x14ac:dyDescent="0.35">
      <c r="A40" s="1">
        <v>38</v>
      </c>
      <c r="B40" s="44" t="s">
        <v>57</v>
      </c>
      <c r="C40" s="1" t="s">
        <v>33</v>
      </c>
      <c r="D40" s="889" t="s">
        <v>421</v>
      </c>
      <c r="E40" s="889"/>
      <c r="F40" s="889"/>
      <c r="G40" s="271"/>
      <c r="H40" s="1"/>
      <c r="I40" s="647"/>
      <c r="K40" s="660"/>
    </row>
    <row r="41" spans="1:11" x14ac:dyDescent="0.35">
      <c r="A41" s="1">
        <v>39</v>
      </c>
      <c r="B41" s="44" t="s">
        <v>63</v>
      </c>
      <c r="C41" s="2" t="s">
        <v>31</v>
      </c>
      <c r="D41" s="889" t="s">
        <v>421</v>
      </c>
      <c r="E41" s="889"/>
      <c r="F41" s="889"/>
      <c r="G41" s="271"/>
      <c r="H41" s="1"/>
      <c r="I41" s="647"/>
      <c r="K41" s="660"/>
    </row>
    <row r="42" spans="1:11" x14ac:dyDescent="0.35">
      <c r="A42" s="1">
        <v>40</v>
      </c>
      <c r="B42" s="44" t="s">
        <v>71</v>
      </c>
      <c r="C42" s="1" t="s">
        <v>33</v>
      </c>
      <c r="D42" s="889" t="s">
        <v>421</v>
      </c>
      <c r="E42" s="889"/>
      <c r="F42" s="889"/>
      <c r="G42" s="271"/>
      <c r="H42" s="1"/>
      <c r="I42" s="647"/>
      <c r="K42" s="660"/>
    </row>
    <row r="43" spans="1:11" x14ac:dyDescent="0.35">
      <c r="A43" s="1">
        <v>41</v>
      </c>
      <c r="B43" s="44" t="s">
        <v>72</v>
      </c>
      <c r="C43" s="2" t="s">
        <v>23</v>
      </c>
      <c r="D43" s="889" t="s">
        <v>421</v>
      </c>
      <c r="E43" s="889"/>
      <c r="F43" s="889"/>
      <c r="G43" s="271"/>
      <c r="H43" s="1"/>
      <c r="I43" s="647"/>
      <c r="K43" s="654"/>
    </row>
    <row r="44" spans="1:11" x14ac:dyDescent="0.35">
      <c r="A44" s="1">
        <v>42</v>
      </c>
      <c r="B44" s="44" t="s">
        <v>73</v>
      </c>
      <c r="C44" s="2" t="s">
        <v>23</v>
      </c>
      <c r="D44" s="889" t="s">
        <v>421</v>
      </c>
      <c r="E44" s="889"/>
      <c r="F44" s="889"/>
      <c r="G44" s="271"/>
      <c r="H44" s="1"/>
      <c r="I44" s="647"/>
      <c r="K44" s="654"/>
    </row>
    <row r="45" spans="1:11" x14ac:dyDescent="0.35">
      <c r="A45" s="1">
        <v>43</v>
      </c>
      <c r="B45" s="44" t="s">
        <v>78</v>
      </c>
      <c r="C45" s="1" t="s">
        <v>61</v>
      </c>
      <c r="D45" s="889" t="s">
        <v>421</v>
      </c>
      <c r="E45" s="889"/>
      <c r="F45" s="889"/>
      <c r="G45" s="271"/>
      <c r="H45" s="1"/>
      <c r="I45" s="647"/>
      <c r="K45" s="654"/>
    </row>
    <row r="46" spans="1:11" x14ac:dyDescent="0.35">
      <c r="A46" s="1">
        <v>44</v>
      </c>
      <c r="B46" s="44" t="s">
        <v>79</v>
      </c>
      <c r="C46" s="2" t="s">
        <v>448</v>
      </c>
      <c r="D46" s="889" t="s">
        <v>421</v>
      </c>
      <c r="E46" s="889"/>
      <c r="F46" s="889"/>
      <c r="G46" s="271"/>
      <c r="H46" s="1"/>
      <c r="I46" s="647"/>
      <c r="K46" s="651"/>
    </row>
    <row r="47" spans="1:11" x14ac:dyDescent="0.35">
      <c r="A47" s="1">
        <v>45</v>
      </c>
      <c r="B47" s="44" t="s">
        <v>80</v>
      </c>
      <c r="C47" s="2" t="s">
        <v>31</v>
      </c>
      <c r="D47" s="889" t="s">
        <v>421</v>
      </c>
      <c r="E47" s="889"/>
      <c r="F47" s="889"/>
      <c r="G47" s="271"/>
      <c r="H47" s="1"/>
      <c r="I47" s="647"/>
      <c r="K47" s="660"/>
    </row>
    <row r="48" spans="1:11" x14ac:dyDescent="0.35">
      <c r="A48" s="1">
        <v>46</v>
      </c>
      <c r="B48" s="44" t="s">
        <v>92</v>
      </c>
      <c r="C48" s="1" t="s">
        <v>33</v>
      </c>
      <c r="D48" s="889" t="s">
        <v>421</v>
      </c>
      <c r="E48" s="889"/>
      <c r="F48" s="889"/>
      <c r="G48" s="271"/>
      <c r="H48" s="1"/>
      <c r="I48" s="647"/>
      <c r="K48" s="660"/>
    </row>
    <row r="49" spans="1:15" x14ac:dyDescent="0.35">
      <c r="A49" s="1">
        <v>47</v>
      </c>
      <c r="B49" s="44" t="s">
        <v>93</v>
      </c>
      <c r="C49" s="2" t="s">
        <v>31</v>
      </c>
      <c r="D49" s="889" t="s">
        <v>421</v>
      </c>
      <c r="E49" s="889"/>
      <c r="F49" s="889"/>
      <c r="G49" s="271"/>
      <c r="H49" s="1"/>
      <c r="I49" s="647"/>
      <c r="K49" s="660"/>
    </row>
    <row r="50" spans="1:15" x14ac:dyDescent="0.35">
      <c r="A50" s="1">
        <v>48</v>
      </c>
      <c r="B50" s="44" t="s">
        <v>94</v>
      </c>
      <c r="C50" s="1" t="s">
        <v>16</v>
      </c>
      <c r="D50" s="889" t="s">
        <v>421</v>
      </c>
      <c r="E50" s="889"/>
      <c r="F50" s="889"/>
      <c r="G50" s="271"/>
      <c r="H50" s="1"/>
      <c r="I50" s="647"/>
      <c r="K50" s="654"/>
    </row>
    <row r="51" spans="1:15" x14ac:dyDescent="0.35">
      <c r="A51" s="1">
        <v>49</v>
      </c>
      <c r="B51" s="44" t="s">
        <v>95</v>
      </c>
      <c r="C51" s="2" t="s">
        <v>23</v>
      </c>
      <c r="D51" s="889" t="s">
        <v>421</v>
      </c>
      <c r="E51" s="889"/>
      <c r="F51" s="889"/>
      <c r="G51" s="271"/>
      <c r="H51" s="1"/>
      <c r="I51" s="647"/>
      <c r="K51" s="654"/>
    </row>
    <row r="52" spans="1:15" x14ac:dyDescent="0.35">
      <c r="A52" s="1">
        <v>50</v>
      </c>
      <c r="B52" s="44" t="s">
        <v>97</v>
      </c>
      <c r="C52" s="2" t="s">
        <v>31</v>
      </c>
      <c r="D52" s="889" t="s">
        <v>421</v>
      </c>
      <c r="E52" s="889"/>
      <c r="F52" s="889"/>
      <c r="G52" s="271"/>
      <c r="H52" s="1"/>
      <c r="I52" s="647"/>
      <c r="K52" s="654"/>
    </row>
    <row r="53" spans="1:15" x14ac:dyDescent="0.35">
      <c r="A53" s="1">
        <v>51</v>
      </c>
      <c r="B53" s="44" t="s">
        <v>98</v>
      </c>
      <c r="C53" s="2" t="s">
        <v>31</v>
      </c>
      <c r="D53" s="889" t="s">
        <v>421</v>
      </c>
      <c r="E53" s="889"/>
      <c r="F53" s="889"/>
      <c r="G53" s="271"/>
      <c r="H53" s="1"/>
      <c r="I53" s="647"/>
      <c r="K53" s="660"/>
    </row>
    <row r="54" spans="1:15" x14ac:dyDescent="0.35">
      <c r="A54" s="1">
        <v>52</v>
      </c>
      <c r="B54" s="44" t="s">
        <v>99</v>
      </c>
      <c r="C54" s="1" t="s">
        <v>33</v>
      </c>
      <c r="D54" s="889" t="s">
        <v>421</v>
      </c>
      <c r="E54" s="889"/>
      <c r="F54" s="889"/>
      <c r="G54" s="271"/>
      <c r="H54" s="1"/>
      <c r="I54" s="647"/>
      <c r="K54" s="655"/>
    </row>
    <row r="55" spans="1:15" x14ac:dyDescent="0.35">
      <c r="A55" s="1">
        <v>53</v>
      </c>
      <c r="B55" s="44" t="s">
        <v>101</v>
      </c>
      <c r="C55" s="2" t="s">
        <v>31</v>
      </c>
      <c r="D55" s="889" t="s">
        <v>421</v>
      </c>
      <c r="E55" s="889"/>
      <c r="F55" s="889"/>
      <c r="G55" s="271"/>
      <c r="H55" s="1"/>
      <c r="I55" s="647"/>
      <c r="K55" s="655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889" t="s">
        <v>421</v>
      </c>
      <c r="E56" s="889"/>
      <c r="F56" s="889"/>
      <c r="G56" s="271"/>
      <c r="H56" s="1"/>
      <c r="I56" s="647"/>
      <c r="K56" s="655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889" t="s">
        <v>421</v>
      </c>
      <c r="E57" s="889"/>
      <c r="F57" s="889"/>
      <c r="G57" s="271"/>
      <c r="H57" s="1"/>
      <c r="I57" s="647"/>
      <c r="K57" s="655"/>
    </row>
    <row r="58" spans="1:15" x14ac:dyDescent="0.35">
      <c r="A58" s="1">
        <v>56</v>
      </c>
      <c r="B58" s="44" t="s">
        <v>110</v>
      </c>
      <c r="C58" s="1" t="s">
        <v>16</v>
      </c>
      <c r="D58" s="889" t="s">
        <v>421</v>
      </c>
      <c r="E58" s="889"/>
      <c r="F58" s="889"/>
      <c r="G58" s="271"/>
      <c r="H58" s="1"/>
      <c r="I58" s="647"/>
      <c r="K58" s="651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889" t="s">
        <v>421</v>
      </c>
      <c r="E59" s="889"/>
      <c r="F59" s="889"/>
      <c r="G59" s="271"/>
      <c r="H59" s="1"/>
      <c r="I59" s="647"/>
      <c r="K59" s="651"/>
    </row>
    <row r="60" spans="1:15" x14ac:dyDescent="0.35">
      <c r="A60" s="1">
        <v>58</v>
      </c>
      <c r="B60" s="44" t="s">
        <v>134</v>
      </c>
      <c r="C60" s="2" t="s">
        <v>31</v>
      </c>
      <c r="D60" s="889" t="s">
        <v>421</v>
      </c>
      <c r="E60" s="889"/>
      <c r="F60" s="889"/>
      <c r="G60" s="271"/>
      <c r="H60" s="1"/>
      <c r="I60" s="647"/>
      <c r="K60" s="655"/>
    </row>
    <row r="61" spans="1:15" x14ac:dyDescent="0.35">
      <c r="A61" s="1">
        <v>59</v>
      </c>
      <c r="B61" s="44" t="s">
        <v>135</v>
      </c>
      <c r="C61" s="2" t="s">
        <v>31</v>
      </c>
      <c r="D61" s="889" t="s">
        <v>421</v>
      </c>
      <c r="E61" s="889"/>
      <c r="F61" s="889"/>
      <c r="G61" s="271"/>
      <c r="H61" s="1"/>
      <c r="I61" s="647"/>
      <c r="K61" s="660"/>
    </row>
    <row r="62" spans="1:15" x14ac:dyDescent="0.35">
      <c r="A62" s="1">
        <v>60</v>
      </c>
      <c r="B62" s="44" t="s">
        <v>136</v>
      </c>
      <c r="C62" s="1" t="s">
        <v>16</v>
      </c>
      <c r="D62" s="889" t="s">
        <v>421</v>
      </c>
      <c r="E62" s="889"/>
      <c r="F62" s="889"/>
      <c r="G62" s="271"/>
      <c r="H62" s="1"/>
      <c r="I62" s="647"/>
      <c r="K62" s="660"/>
    </row>
    <row r="63" spans="1:15" x14ac:dyDescent="0.35">
      <c r="A63" s="1">
        <v>61</v>
      </c>
      <c r="B63" s="44" t="s">
        <v>137</v>
      </c>
      <c r="C63" s="2" t="s">
        <v>23</v>
      </c>
      <c r="D63" s="889" t="s">
        <v>421</v>
      </c>
      <c r="E63" s="889"/>
      <c r="F63" s="889"/>
      <c r="G63" s="271"/>
      <c r="H63" s="1"/>
      <c r="I63" s="647"/>
      <c r="K63" s="660"/>
    </row>
    <row r="64" spans="1:15" x14ac:dyDescent="0.35">
      <c r="A64" s="1">
        <v>62</v>
      </c>
      <c r="B64" s="44" t="s">
        <v>138</v>
      </c>
      <c r="C64" s="2" t="s">
        <v>23</v>
      </c>
      <c r="D64" s="889" t="s">
        <v>421</v>
      </c>
      <c r="E64" s="889"/>
      <c r="F64" s="889"/>
      <c r="G64" s="271"/>
      <c r="H64" s="1"/>
      <c r="I64" s="647"/>
      <c r="K64" s="660"/>
    </row>
    <row r="65" spans="1:11" x14ac:dyDescent="0.35">
      <c r="A65" s="1">
        <v>63</v>
      </c>
      <c r="B65" s="44" t="s">
        <v>139</v>
      </c>
      <c r="C65" s="1" t="s">
        <v>33</v>
      </c>
      <c r="D65" s="889" t="s">
        <v>421</v>
      </c>
      <c r="E65" s="889"/>
      <c r="F65" s="889"/>
      <c r="G65" s="271"/>
      <c r="H65" s="1"/>
      <c r="I65" s="647"/>
      <c r="K65" s="654"/>
    </row>
    <row r="66" spans="1:11" x14ac:dyDescent="0.35">
      <c r="A66" s="1">
        <v>64</v>
      </c>
      <c r="B66" s="44" t="s">
        <v>141</v>
      </c>
      <c r="C66" s="1" t="s">
        <v>16</v>
      </c>
      <c r="D66" s="889" t="s">
        <v>421</v>
      </c>
      <c r="E66" s="889"/>
      <c r="F66" s="889"/>
      <c r="G66" s="271"/>
      <c r="H66" s="1"/>
      <c r="I66" s="647"/>
      <c r="K66" s="660"/>
    </row>
    <row r="67" spans="1:11" x14ac:dyDescent="0.35">
      <c r="A67" s="1">
        <v>65</v>
      </c>
      <c r="B67" s="44" t="s">
        <v>142</v>
      </c>
      <c r="C67" s="2" t="s">
        <v>448</v>
      </c>
      <c r="D67" s="889" t="s">
        <v>421</v>
      </c>
      <c r="E67" s="889"/>
      <c r="F67" s="889"/>
      <c r="G67" s="271"/>
      <c r="H67" s="1"/>
      <c r="I67" s="647"/>
      <c r="K67" s="660"/>
    </row>
    <row r="68" spans="1:11" x14ac:dyDescent="0.35">
      <c r="A68" s="1">
        <v>66</v>
      </c>
      <c r="B68" s="44" t="s">
        <v>143</v>
      </c>
      <c r="C68" s="2" t="s">
        <v>454</v>
      </c>
      <c r="D68" s="889" t="s">
        <v>421</v>
      </c>
      <c r="E68" s="889"/>
      <c r="F68" s="889"/>
      <c r="G68" s="271"/>
      <c r="H68" s="1"/>
      <c r="I68" s="647"/>
      <c r="K68" s="660"/>
    </row>
    <row r="69" spans="1:11" x14ac:dyDescent="0.35">
      <c r="A69" s="1">
        <v>67</v>
      </c>
      <c r="B69" s="44" t="s">
        <v>144</v>
      </c>
      <c r="C69" s="2" t="s">
        <v>31</v>
      </c>
      <c r="D69" s="889" t="s">
        <v>421</v>
      </c>
      <c r="E69" s="889"/>
      <c r="F69" s="889"/>
      <c r="G69" s="271"/>
      <c r="H69" s="1"/>
      <c r="I69" s="647"/>
      <c r="K69" s="660"/>
    </row>
    <row r="70" spans="1:11" x14ac:dyDescent="0.35">
      <c r="A70" s="1">
        <v>68</v>
      </c>
      <c r="B70" s="44" t="s">
        <v>149</v>
      </c>
      <c r="C70" s="2" t="s">
        <v>454</v>
      </c>
      <c r="D70" s="889" t="s">
        <v>421</v>
      </c>
      <c r="E70" s="889"/>
      <c r="F70" s="889"/>
      <c r="G70" s="271"/>
      <c r="H70" s="1"/>
      <c r="I70" s="647"/>
      <c r="K70" s="652"/>
    </row>
    <row r="71" spans="1:11" x14ac:dyDescent="0.35">
      <c r="A71" s="1">
        <v>69</v>
      </c>
      <c r="B71" s="44" t="s">
        <v>150</v>
      </c>
      <c r="C71" s="1" t="s">
        <v>16</v>
      </c>
      <c r="D71" s="889" t="s">
        <v>421</v>
      </c>
      <c r="E71" s="889"/>
      <c r="F71" s="889"/>
      <c r="G71" s="271"/>
      <c r="H71" s="1"/>
      <c r="I71" s="647"/>
      <c r="K71" s="656"/>
    </row>
    <row r="72" spans="1:11" x14ac:dyDescent="0.35">
      <c r="A72" s="1">
        <v>70</v>
      </c>
      <c r="B72" s="44" t="s">
        <v>151</v>
      </c>
      <c r="C72" s="1" t="s">
        <v>16</v>
      </c>
      <c r="D72" s="889" t="s">
        <v>421</v>
      </c>
      <c r="E72" s="889"/>
      <c r="F72" s="889"/>
      <c r="G72" s="271"/>
      <c r="H72" s="1"/>
      <c r="I72" s="647"/>
      <c r="K72" s="656"/>
    </row>
    <row r="73" spans="1:11" x14ac:dyDescent="0.35">
      <c r="A73" s="1">
        <v>71</v>
      </c>
      <c r="B73" s="44" t="s">
        <v>152</v>
      </c>
      <c r="C73" s="2" t="s">
        <v>23</v>
      </c>
      <c r="D73" s="889" t="s">
        <v>421</v>
      </c>
      <c r="E73" s="889"/>
      <c r="F73" s="889"/>
      <c r="G73" s="271"/>
      <c r="H73" s="1"/>
      <c r="I73" s="647"/>
      <c r="K73" s="651"/>
    </row>
    <row r="74" spans="1:11" x14ac:dyDescent="0.35">
      <c r="A74" s="1">
        <v>72</v>
      </c>
      <c r="B74" s="44" t="s">
        <v>157</v>
      </c>
      <c r="C74" s="2" t="s">
        <v>31</v>
      </c>
      <c r="D74" s="889" t="s">
        <v>421</v>
      </c>
      <c r="E74" s="889"/>
      <c r="F74" s="889"/>
      <c r="G74" s="271"/>
      <c r="H74" s="1"/>
      <c r="I74" s="647"/>
      <c r="K74" s="656"/>
    </row>
    <row r="75" spans="1:11" x14ac:dyDescent="0.35">
      <c r="A75" s="1">
        <v>73</v>
      </c>
      <c r="B75" s="44" t="s">
        <v>158</v>
      </c>
      <c r="C75" s="2" t="s">
        <v>454</v>
      </c>
      <c r="D75" s="889" t="s">
        <v>421</v>
      </c>
      <c r="E75" s="889"/>
      <c r="F75" s="889"/>
      <c r="G75" s="271"/>
      <c r="H75" s="1"/>
      <c r="I75" s="647"/>
      <c r="K75" s="656"/>
    </row>
    <row r="76" spans="1:11" x14ac:dyDescent="0.35">
      <c r="A76" s="1">
        <v>74</v>
      </c>
      <c r="B76" s="44" t="s">
        <v>159</v>
      </c>
      <c r="C76" s="2" t="s">
        <v>23</v>
      </c>
      <c r="D76" s="889" t="s">
        <v>421</v>
      </c>
      <c r="E76" s="889"/>
      <c r="F76" s="889"/>
      <c r="G76" s="271"/>
      <c r="H76" s="1"/>
      <c r="I76" s="647"/>
      <c r="K76" s="652"/>
    </row>
    <row r="77" spans="1:11" x14ac:dyDescent="0.35">
      <c r="A77" s="1">
        <v>75</v>
      </c>
      <c r="B77" s="44" t="s">
        <v>160</v>
      </c>
      <c r="C77" s="2" t="s">
        <v>448</v>
      </c>
      <c r="D77" s="889" t="s">
        <v>421</v>
      </c>
      <c r="E77" s="889"/>
      <c r="F77" s="889"/>
      <c r="G77" s="271"/>
      <c r="H77" s="1"/>
      <c r="I77" s="647"/>
      <c r="K77" s="652"/>
    </row>
    <row r="78" spans="1:11" x14ac:dyDescent="0.35">
      <c r="A78" s="1">
        <v>76</v>
      </c>
      <c r="B78" s="44" t="s">
        <v>166</v>
      </c>
      <c r="C78" s="2" t="s">
        <v>454</v>
      </c>
      <c r="D78" s="889" t="s">
        <v>421</v>
      </c>
      <c r="E78" s="889"/>
      <c r="F78" s="889"/>
      <c r="G78" s="271"/>
      <c r="H78" s="1"/>
      <c r="I78" s="647"/>
      <c r="K78" s="652"/>
    </row>
    <row r="79" spans="1:11" x14ac:dyDescent="0.35">
      <c r="A79" s="1">
        <v>77</v>
      </c>
      <c r="B79" s="44" t="s">
        <v>168</v>
      </c>
      <c r="C79" s="2" t="s">
        <v>454</v>
      </c>
      <c r="D79" s="889" t="s">
        <v>421</v>
      </c>
      <c r="E79" s="889"/>
      <c r="F79" s="889"/>
      <c r="G79" s="271"/>
      <c r="H79" s="1"/>
      <c r="I79" s="647"/>
      <c r="K79" s="656"/>
    </row>
    <row r="80" spans="1:11" x14ac:dyDescent="0.35">
      <c r="A80" s="1">
        <v>78</v>
      </c>
      <c r="B80" s="44" t="s">
        <v>174</v>
      </c>
      <c r="C80" s="2" t="s">
        <v>454</v>
      </c>
      <c r="D80" s="889" t="s">
        <v>421</v>
      </c>
      <c r="E80" s="889"/>
      <c r="F80" s="889"/>
      <c r="G80" s="271"/>
      <c r="H80" s="1"/>
      <c r="I80" s="647"/>
      <c r="K80" s="656"/>
    </row>
    <row r="81" spans="1:25" x14ac:dyDescent="0.35">
      <c r="A81" s="1">
        <v>79</v>
      </c>
      <c r="B81" s="44" t="s">
        <v>175</v>
      </c>
      <c r="C81" s="2" t="s">
        <v>454</v>
      </c>
      <c r="D81" s="889" t="s">
        <v>421</v>
      </c>
      <c r="E81" s="889"/>
      <c r="F81" s="889"/>
      <c r="G81" s="271"/>
      <c r="H81" s="1"/>
      <c r="I81" s="647"/>
      <c r="K81" s="657"/>
    </row>
    <row r="82" spans="1:25" x14ac:dyDescent="0.35">
      <c r="A82" s="1">
        <v>80</v>
      </c>
      <c r="B82" s="44" t="s">
        <v>176</v>
      </c>
      <c r="C82" s="2" t="s">
        <v>31</v>
      </c>
      <c r="D82" s="889" t="s">
        <v>421</v>
      </c>
      <c r="E82" s="889"/>
      <c r="F82" s="889"/>
      <c r="G82" s="271"/>
      <c r="H82" s="1"/>
      <c r="I82" s="647"/>
      <c r="K82" s="657"/>
    </row>
    <row r="83" spans="1:25" x14ac:dyDescent="0.35">
      <c r="A83" s="1">
        <v>81</v>
      </c>
      <c r="B83" s="44" t="s">
        <v>177</v>
      </c>
      <c r="C83" s="2" t="s">
        <v>454</v>
      </c>
      <c r="D83" s="889" t="s">
        <v>421</v>
      </c>
      <c r="E83" s="889"/>
      <c r="F83" s="889"/>
      <c r="G83" s="271"/>
      <c r="H83" s="1"/>
      <c r="I83" s="647"/>
      <c r="K83" s="656"/>
    </row>
    <row r="84" spans="1:25" x14ac:dyDescent="0.35">
      <c r="A84" s="1">
        <v>82</v>
      </c>
      <c r="B84" s="44" t="s">
        <v>178</v>
      </c>
      <c r="C84" s="2" t="s">
        <v>31</v>
      </c>
      <c r="D84" s="889" t="s">
        <v>421</v>
      </c>
      <c r="E84" s="889"/>
      <c r="F84" s="889"/>
      <c r="G84" s="271"/>
      <c r="H84" s="1"/>
      <c r="I84" s="647"/>
      <c r="K84" s="657"/>
    </row>
    <row r="85" spans="1:25" x14ac:dyDescent="0.35">
      <c r="A85" s="1">
        <v>83</v>
      </c>
      <c r="B85" s="44" t="s">
        <v>179</v>
      </c>
      <c r="C85" s="2" t="s">
        <v>448</v>
      </c>
      <c r="D85" s="889" t="s">
        <v>421</v>
      </c>
      <c r="E85" s="889"/>
      <c r="F85" s="889"/>
      <c r="G85" s="271"/>
      <c r="H85" s="1"/>
      <c r="I85" s="647"/>
      <c r="K85" s="657"/>
    </row>
    <row r="86" spans="1:25" x14ac:dyDescent="0.35">
      <c r="A86" s="1">
        <v>84</v>
      </c>
      <c r="B86" s="44" t="s">
        <v>183</v>
      </c>
      <c r="C86" s="1" t="s">
        <v>33</v>
      </c>
      <c r="D86" s="889" t="s">
        <v>421</v>
      </c>
      <c r="E86" s="889"/>
      <c r="F86" s="889"/>
      <c r="G86" s="271"/>
      <c r="H86" s="1"/>
      <c r="I86" s="647"/>
      <c r="K86" s="661"/>
    </row>
    <row r="87" spans="1:25" x14ac:dyDescent="0.35">
      <c r="A87" s="1">
        <v>85</v>
      </c>
      <c r="B87" s="44" t="s">
        <v>185</v>
      </c>
      <c r="C87" s="1" t="s">
        <v>16</v>
      </c>
      <c r="D87" s="889" t="s">
        <v>421</v>
      </c>
      <c r="E87" s="889"/>
      <c r="F87" s="889"/>
      <c r="G87" s="271"/>
      <c r="H87" s="1"/>
      <c r="I87" s="647"/>
      <c r="K87" s="661"/>
    </row>
    <row r="88" spans="1:25" x14ac:dyDescent="0.35">
      <c r="A88" s="1">
        <v>86</v>
      </c>
      <c r="B88" s="44" t="s">
        <v>188</v>
      </c>
      <c r="C88" s="2" t="s">
        <v>31</v>
      </c>
      <c r="D88" s="889" t="s">
        <v>421</v>
      </c>
      <c r="E88" s="889"/>
      <c r="F88" s="889"/>
      <c r="G88" s="271"/>
      <c r="H88" s="1"/>
      <c r="I88" s="647"/>
      <c r="K88" s="653"/>
    </row>
    <row r="89" spans="1:25" x14ac:dyDescent="0.35">
      <c r="A89" s="1">
        <v>87</v>
      </c>
      <c r="B89" s="44" t="s">
        <v>189</v>
      </c>
      <c r="C89" s="2" t="s">
        <v>31</v>
      </c>
      <c r="D89" s="889" t="s">
        <v>421</v>
      </c>
      <c r="E89" s="889"/>
      <c r="F89" s="889"/>
      <c r="G89" s="271"/>
      <c r="H89" s="1"/>
      <c r="I89" s="647"/>
      <c r="K89" s="653"/>
    </row>
    <row r="90" spans="1:25" x14ac:dyDescent="0.35">
      <c r="A90" s="1">
        <v>88</v>
      </c>
      <c r="B90" s="44" t="s">
        <v>192</v>
      </c>
      <c r="C90" s="1" t="s">
        <v>16</v>
      </c>
      <c r="D90" s="889" t="s">
        <v>421</v>
      </c>
      <c r="E90" s="889"/>
      <c r="F90" s="889"/>
      <c r="G90" s="271"/>
      <c r="H90" s="1"/>
      <c r="I90" s="647"/>
      <c r="K90" s="653"/>
    </row>
    <row r="91" spans="1:25" x14ac:dyDescent="0.35">
      <c r="A91" s="1">
        <v>89</v>
      </c>
      <c r="B91" s="44" t="s">
        <v>193</v>
      </c>
      <c r="C91" s="2" t="s">
        <v>448</v>
      </c>
      <c r="D91" s="889" t="s">
        <v>421</v>
      </c>
      <c r="E91" s="889"/>
      <c r="F91" s="889"/>
      <c r="G91" s="271"/>
      <c r="H91" s="1"/>
      <c r="I91" s="647"/>
      <c r="K91" s="658"/>
    </row>
    <row r="92" spans="1:25" x14ac:dyDescent="0.35">
      <c r="A92" s="1">
        <v>90</v>
      </c>
      <c r="B92" s="44" t="s">
        <v>194</v>
      </c>
      <c r="C92" s="1" t="s">
        <v>33</v>
      </c>
      <c r="D92" s="889" t="s">
        <v>421</v>
      </c>
      <c r="E92" s="889"/>
      <c r="F92" s="889"/>
      <c r="G92" s="271"/>
      <c r="H92" s="1"/>
      <c r="I92" s="647"/>
      <c r="K92" s="658"/>
    </row>
    <row r="93" spans="1:25" x14ac:dyDescent="0.35">
      <c r="A93" s="1">
        <v>91</v>
      </c>
      <c r="B93" s="44" t="s">
        <v>195</v>
      </c>
      <c r="C93" s="2" t="s">
        <v>31</v>
      </c>
      <c r="D93" s="889" t="s">
        <v>421</v>
      </c>
      <c r="E93" s="889"/>
      <c r="F93" s="889"/>
      <c r="G93" s="271"/>
      <c r="H93" s="1"/>
      <c r="I93" s="647"/>
      <c r="K93" s="658"/>
      <c r="L93" s="410"/>
      <c r="M93" s="410"/>
      <c r="N93" s="410"/>
      <c r="O93" s="410"/>
      <c r="P93" s="410"/>
      <c r="Q93" s="410"/>
      <c r="R93" s="410"/>
      <c r="S93" s="410"/>
      <c r="T93" s="410"/>
      <c r="U93" s="410"/>
      <c r="V93" s="410"/>
      <c r="W93" s="410"/>
      <c r="X93" s="410"/>
      <c r="Y93" s="410"/>
    </row>
    <row r="94" spans="1:25" x14ac:dyDescent="0.35">
      <c r="A94" s="1">
        <v>92</v>
      </c>
      <c r="B94" s="44" t="s">
        <v>200</v>
      </c>
      <c r="C94" s="2" t="s">
        <v>31</v>
      </c>
      <c r="D94" s="889" t="s">
        <v>421</v>
      </c>
      <c r="E94" s="889"/>
      <c r="F94" s="889"/>
      <c r="G94" s="271"/>
      <c r="H94" s="1"/>
      <c r="I94" s="647"/>
      <c r="K94" s="656"/>
      <c r="L94" s="410"/>
      <c r="M94" s="410"/>
      <c r="N94" s="410"/>
      <c r="O94" s="410"/>
      <c r="P94" s="410"/>
      <c r="Q94" s="410"/>
      <c r="R94" s="410"/>
      <c r="S94" s="410"/>
      <c r="T94" s="410"/>
      <c r="U94" s="410"/>
      <c r="V94" s="410"/>
      <c r="W94" s="410"/>
      <c r="X94" s="410"/>
      <c r="Y94" s="410"/>
    </row>
    <row r="95" spans="1:25" x14ac:dyDescent="0.35">
      <c r="A95" s="1">
        <v>93</v>
      </c>
      <c r="B95" s="44" t="s">
        <v>202</v>
      </c>
      <c r="C95" s="2" t="s">
        <v>31</v>
      </c>
      <c r="D95" s="889" t="s">
        <v>421</v>
      </c>
      <c r="E95" s="889"/>
      <c r="F95" s="889"/>
      <c r="G95" s="271"/>
      <c r="H95" s="1"/>
      <c r="I95" s="647"/>
      <c r="K95" s="658"/>
      <c r="L95" s="410"/>
      <c r="M95" s="410"/>
      <c r="N95" s="410"/>
      <c r="O95" s="410"/>
      <c r="P95" s="410"/>
      <c r="Q95" s="410"/>
      <c r="R95" s="410"/>
      <c r="S95" s="410"/>
      <c r="T95" s="410"/>
      <c r="U95" s="410"/>
      <c r="V95" s="410"/>
      <c r="W95" s="410"/>
      <c r="X95" s="410"/>
      <c r="Y95" s="410"/>
    </row>
    <row r="96" spans="1:25" x14ac:dyDescent="0.35">
      <c r="A96" s="1">
        <v>94</v>
      </c>
      <c r="B96" s="44" t="s">
        <v>204</v>
      </c>
      <c r="C96" s="2" t="s">
        <v>23</v>
      </c>
      <c r="D96" s="889" t="s">
        <v>421</v>
      </c>
      <c r="E96" s="889"/>
      <c r="F96" s="889"/>
      <c r="G96" s="271"/>
      <c r="H96" s="1"/>
      <c r="I96" s="647"/>
      <c r="K96" s="653"/>
      <c r="L96" s="410"/>
      <c r="M96" s="410"/>
      <c r="N96" s="410"/>
      <c r="O96" s="410"/>
      <c r="P96" s="410"/>
      <c r="Q96" s="410"/>
      <c r="R96" s="410"/>
      <c r="S96" s="410"/>
      <c r="T96" s="410"/>
      <c r="U96" s="410"/>
      <c r="V96" s="410"/>
      <c r="W96" s="410"/>
      <c r="X96" s="410"/>
      <c r="Y96" s="410"/>
    </row>
    <row r="97" spans="1:25" x14ac:dyDescent="0.35">
      <c r="A97" s="1">
        <v>95</v>
      </c>
      <c r="B97" s="44" t="s">
        <v>205</v>
      </c>
      <c r="C97" s="2" t="s">
        <v>31</v>
      </c>
      <c r="D97" s="889" t="s">
        <v>421</v>
      </c>
      <c r="E97" s="889"/>
      <c r="F97" s="889"/>
      <c r="G97" s="271"/>
      <c r="H97" s="1"/>
      <c r="I97" s="647"/>
      <c r="K97" s="653"/>
      <c r="L97" s="410"/>
      <c r="M97" s="410"/>
      <c r="N97" s="410"/>
      <c r="O97" s="410"/>
      <c r="P97" s="410"/>
      <c r="Q97" s="410"/>
      <c r="R97" s="410"/>
      <c r="S97" s="410"/>
      <c r="T97" s="410"/>
      <c r="U97" s="410"/>
      <c r="V97" s="410"/>
      <c r="W97" s="410"/>
      <c r="X97" s="410"/>
      <c r="Y97" s="410"/>
    </row>
    <row r="98" spans="1:25" x14ac:dyDescent="0.35">
      <c r="A98" s="1">
        <v>96</v>
      </c>
      <c r="B98" s="44" t="s">
        <v>206</v>
      </c>
      <c r="C98" s="1" t="s">
        <v>16</v>
      </c>
      <c r="D98" s="889" t="s">
        <v>421</v>
      </c>
      <c r="E98" s="889"/>
      <c r="F98" s="889"/>
      <c r="G98" s="271"/>
      <c r="H98" s="1"/>
      <c r="I98" s="647"/>
      <c r="K98" s="656"/>
      <c r="L98" s="410"/>
      <c r="M98" s="410"/>
      <c r="N98" s="410"/>
      <c r="O98" s="410"/>
      <c r="P98" s="410"/>
      <c r="Q98" s="410"/>
      <c r="R98" s="410"/>
      <c r="S98" s="410"/>
      <c r="T98" s="410"/>
      <c r="U98" s="410"/>
      <c r="V98" s="410"/>
      <c r="W98" s="410"/>
      <c r="X98" s="410"/>
      <c r="Y98" s="410"/>
    </row>
    <row r="99" spans="1:25" x14ac:dyDescent="0.35">
      <c r="A99" s="1">
        <v>97</v>
      </c>
      <c r="B99" s="44" t="s">
        <v>208</v>
      </c>
      <c r="C99" s="1" t="s">
        <v>33</v>
      </c>
      <c r="D99" s="889" t="s">
        <v>421</v>
      </c>
      <c r="E99" s="889"/>
      <c r="F99" s="889"/>
      <c r="G99" s="271"/>
      <c r="H99" s="1"/>
      <c r="I99" s="647"/>
      <c r="K99" s="651"/>
      <c r="L99" s="410"/>
      <c r="M99" s="410"/>
      <c r="N99" s="410"/>
      <c r="O99" s="410"/>
      <c r="P99" s="410"/>
      <c r="Q99" s="410"/>
      <c r="R99" s="410"/>
      <c r="S99" s="410"/>
      <c r="T99" s="410"/>
      <c r="U99" s="410"/>
      <c r="V99" s="410"/>
      <c r="W99" s="410"/>
      <c r="X99" s="410"/>
      <c r="Y99" s="410"/>
    </row>
    <row r="100" spans="1:25" x14ac:dyDescent="0.35">
      <c r="A100" s="1">
        <v>98</v>
      </c>
      <c r="B100" s="44" t="s">
        <v>210</v>
      </c>
      <c r="C100" s="2" t="s">
        <v>31</v>
      </c>
      <c r="D100" s="889" t="s">
        <v>421</v>
      </c>
      <c r="E100" s="889"/>
      <c r="F100" s="889"/>
      <c r="G100" s="271"/>
      <c r="H100" s="1"/>
      <c r="I100" s="647"/>
      <c r="K100" s="651"/>
      <c r="L100" s="410"/>
      <c r="M100" s="410"/>
      <c r="N100" s="410"/>
      <c r="O100" s="410"/>
      <c r="P100" s="410"/>
      <c r="Q100" s="410"/>
      <c r="R100" s="410"/>
      <c r="S100" s="410"/>
      <c r="T100" s="410"/>
      <c r="U100" s="410"/>
      <c r="V100" s="410"/>
      <c r="W100" s="410"/>
      <c r="X100" s="410"/>
      <c r="Y100" s="410"/>
    </row>
    <row r="101" spans="1:25" x14ac:dyDescent="0.35">
      <c r="A101" s="1">
        <v>99</v>
      </c>
      <c r="B101" s="44" t="s">
        <v>211</v>
      </c>
      <c r="C101" s="2" t="s">
        <v>31</v>
      </c>
      <c r="D101" s="889" t="s">
        <v>421</v>
      </c>
      <c r="E101" s="889"/>
      <c r="F101" s="889"/>
      <c r="G101" s="271"/>
      <c r="H101" s="1"/>
      <c r="I101" s="647"/>
      <c r="K101" s="651"/>
      <c r="L101" s="410"/>
      <c r="M101" s="410"/>
      <c r="N101" s="410"/>
      <c r="O101" s="410"/>
      <c r="P101" s="410"/>
      <c r="Q101" s="410"/>
      <c r="R101" s="410"/>
      <c r="S101" s="410"/>
      <c r="T101" s="410"/>
      <c r="U101" s="410"/>
      <c r="V101" s="410"/>
      <c r="W101" s="410"/>
      <c r="X101" s="410"/>
      <c r="Y101" s="410"/>
    </row>
    <row r="102" spans="1:25" x14ac:dyDescent="0.35">
      <c r="A102" s="1">
        <v>100</v>
      </c>
      <c r="B102" s="44" t="s">
        <v>212</v>
      </c>
      <c r="C102" s="2" t="s">
        <v>31</v>
      </c>
      <c r="D102" s="889" t="s">
        <v>421</v>
      </c>
      <c r="E102" s="889"/>
      <c r="F102" s="889"/>
      <c r="G102" s="271"/>
      <c r="H102" s="1"/>
      <c r="I102" s="647"/>
      <c r="K102" s="653"/>
      <c r="L102" s="410"/>
      <c r="M102" s="410"/>
      <c r="N102" s="410"/>
      <c r="O102" s="410"/>
      <c r="P102" s="410"/>
      <c r="Q102" s="410"/>
      <c r="R102" s="410"/>
      <c r="S102" s="410"/>
      <c r="T102" s="410"/>
      <c r="U102" s="410"/>
      <c r="V102" s="410"/>
      <c r="W102" s="410"/>
      <c r="X102" s="410"/>
      <c r="Y102" s="410"/>
    </row>
    <row r="103" spans="1:25" x14ac:dyDescent="0.35">
      <c r="A103" s="1">
        <v>101</v>
      </c>
      <c r="B103" s="44" t="s">
        <v>214</v>
      </c>
      <c r="C103" s="2" t="s">
        <v>31</v>
      </c>
      <c r="D103" s="889" t="s">
        <v>421</v>
      </c>
      <c r="E103" s="889"/>
      <c r="F103" s="889"/>
      <c r="G103" s="271"/>
      <c r="H103" s="1"/>
      <c r="I103" s="647"/>
      <c r="K103" s="653"/>
      <c r="L103" s="410"/>
      <c r="M103" s="410"/>
      <c r="N103" s="410"/>
      <c r="O103" s="410"/>
      <c r="P103" s="410"/>
      <c r="Q103" s="410"/>
      <c r="R103" s="410"/>
      <c r="S103" s="410"/>
      <c r="T103" s="410"/>
      <c r="U103" s="410"/>
      <c r="V103" s="410"/>
      <c r="W103" s="410"/>
      <c r="X103" s="410"/>
      <c r="Y103" s="410"/>
    </row>
    <row r="104" spans="1:25" x14ac:dyDescent="0.35">
      <c r="A104" s="1">
        <v>102</v>
      </c>
      <c r="B104" s="44" t="s">
        <v>215</v>
      </c>
      <c r="C104" s="1" t="s">
        <v>33</v>
      </c>
      <c r="D104" s="889" t="s">
        <v>421</v>
      </c>
      <c r="E104" s="889"/>
      <c r="F104" s="889"/>
      <c r="G104" s="271"/>
      <c r="H104" s="1"/>
      <c r="I104" s="647"/>
      <c r="K104" s="653"/>
      <c r="L104" s="410"/>
      <c r="M104" s="410"/>
      <c r="N104" s="410"/>
      <c r="O104" s="410"/>
      <c r="P104" s="410"/>
      <c r="Q104" s="410"/>
      <c r="R104" s="410"/>
      <c r="S104" s="410"/>
      <c r="T104" s="410"/>
      <c r="U104" s="410"/>
      <c r="V104" s="410"/>
      <c r="W104" s="410"/>
      <c r="X104" s="410"/>
      <c r="Y104" s="410"/>
    </row>
    <row r="105" spans="1:25" x14ac:dyDescent="0.35">
      <c r="A105" s="1">
        <v>103</v>
      </c>
      <c r="B105" s="44" t="s">
        <v>220</v>
      </c>
      <c r="C105" s="1" t="s">
        <v>33</v>
      </c>
      <c r="D105" s="889" t="s">
        <v>421</v>
      </c>
      <c r="E105" s="889"/>
      <c r="F105" s="889"/>
      <c r="G105" s="271"/>
      <c r="H105" s="1"/>
      <c r="I105" s="647"/>
      <c r="K105" s="653"/>
      <c r="L105" s="410"/>
      <c r="M105" s="410"/>
      <c r="N105" s="410"/>
      <c r="O105" s="410"/>
      <c r="P105" s="410"/>
      <c r="Q105" s="410"/>
      <c r="R105" s="410"/>
      <c r="S105" s="410"/>
      <c r="T105" s="410"/>
      <c r="U105" s="410"/>
      <c r="V105" s="410"/>
      <c r="W105" s="410"/>
      <c r="X105" s="410"/>
      <c r="Y105" s="410"/>
    </row>
    <row r="106" spans="1:25" x14ac:dyDescent="0.35">
      <c r="A106" s="1">
        <v>104</v>
      </c>
      <c r="B106" s="44" t="s">
        <v>221</v>
      </c>
      <c r="C106" s="2" t="s">
        <v>31</v>
      </c>
      <c r="D106" s="889" t="s">
        <v>421</v>
      </c>
      <c r="E106" s="889"/>
      <c r="F106" s="889"/>
      <c r="G106" s="271"/>
      <c r="H106" s="1"/>
      <c r="I106" s="647"/>
      <c r="K106" s="653"/>
      <c r="L106" s="410"/>
      <c r="M106" s="410"/>
      <c r="N106" s="410"/>
      <c r="O106" s="410"/>
      <c r="P106" s="410"/>
      <c r="Q106" s="410"/>
      <c r="R106" s="410"/>
      <c r="S106" s="410"/>
      <c r="T106" s="410"/>
      <c r="U106" s="410"/>
      <c r="V106" s="410"/>
      <c r="W106" s="410"/>
      <c r="X106" s="410"/>
      <c r="Y106" s="410"/>
    </row>
    <row r="107" spans="1:25" x14ac:dyDescent="0.35">
      <c r="A107" s="1">
        <v>105</v>
      </c>
      <c r="B107" s="44" t="s">
        <v>222</v>
      </c>
      <c r="C107" s="2" t="s">
        <v>31</v>
      </c>
      <c r="D107" s="889" t="s">
        <v>421</v>
      </c>
      <c r="E107" s="889"/>
      <c r="F107" s="889"/>
      <c r="G107" s="271"/>
      <c r="H107" s="1"/>
      <c r="I107" s="647"/>
      <c r="K107" s="653"/>
      <c r="L107" s="410"/>
      <c r="M107" s="410"/>
      <c r="N107" s="410"/>
      <c r="O107" s="410"/>
      <c r="P107" s="410"/>
      <c r="Q107" s="410"/>
      <c r="R107" s="410"/>
      <c r="S107" s="410"/>
      <c r="T107" s="410"/>
      <c r="U107" s="410"/>
      <c r="V107" s="410"/>
      <c r="W107" s="410"/>
      <c r="X107" s="410"/>
      <c r="Y107" s="410"/>
    </row>
    <row r="108" spans="1:25" x14ac:dyDescent="0.35">
      <c r="A108" s="1">
        <v>106</v>
      </c>
      <c r="B108" s="44" t="s">
        <v>224</v>
      </c>
      <c r="C108" s="1" t="s">
        <v>16</v>
      </c>
      <c r="D108" s="889" t="s">
        <v>421</v>
      </c>
      <c r="E108" s="889"/>
      <c r="F108" s="889"/>
      <c r="G108" s="271"/>
      <c r="H108" s="1"/>
      <c r="I108" s="647"/>
      <c r="K108" s="653"/>
      <c r="L108" s="410"/>
      <c r="M108" s="410"/>
      <c r="N108" s="410"/>
      <c r="O108" s="410"/>
      <c r="P108" s="410"/>
      <c r="Q108" s="410"/>
      <c r="R108" s="410"/>
      <c r="S108" s="410"/>
      <c r="T108" s="410"/>
      <c r="U108" s="410"/>
      <c r="V108" s="410"/>
      <c r="W108" s="410"/>
      <c r="X108" s="410"/>
      <c r="Y108" s="410"/>
    </row>
    <row r="109" spans="1:25" x14ac:dyDescent="0.35">
      <c r="A109" s="1">
        <v>107</v>
      </c>
      <c r="B109" s="44" t="s">
        <v>227</v>
      </c>
      <c r="C109" s="1" t="s">
        <v>33</v>
      </c>
      <c r="D109" s="889" t="s">
        <v>421</v>
      </c>
      <c r="E109" s="889"/>
      <c r="F109" s="889"/>
      <c r="G109" s="271"/>
      <c r="H109" s="1"/>
      <c r="I109" s="647"/>
      <c r="K109" s="653"/>
      <c r="L109" s="410"/>
      <c r="M109" s="410"/>
      <c r="N109" s="410"/>
      <c r="O109" s="410"/>
      <c r="P109" s="410"/>
      <c r="Q109" s="410"/>
      <c r="R109" s="410"/>
      <c r="S109" s="410"/>
      <c r="T109" s="410"/>
      <c r="U109" s="410"/>
      <c r="V109" s="410"/>
      <c r="W109" s="410"/>
      <c r="X109" s="410"/>
      <c r="Y109" s="410"/>
    </row>
    <row r="110" spans="1:25" x14ac:dyDescent="0.35">
      <c r="A110" s="1">
        <v>108</v>
      </c>
      <c r="B110" s="44" t="s">
        <v>225</v>
      </c>
      <c r="C110" s="2" t="s">
        <v>448</v>
      </c>
      <c r="D110" s="889" t="s">
        <v>421</v>
      </c>
      <c r="E110" s="889"/>
      <c r="F110" s="889"/>
      <c r="G110" s="271"/>
      <c r="H110" s="1"/>
      <c r="I110" s="647"/>
      <c r="K110" s="659"/>
      <c r="L110" s="410"/>
      <c r="M110" s="410"/>
      <c r="N110" s="410"/>
      <c r="O110" s="410"/>
      <c r="P110" s="410"/>
      <c r="Q110" s="410"/>
      <c r="R110" s="410"/>
      <c r="S110" s="410"/>
      <c r="T110" s="410"/>
      <c r="U110" s="410"/>
      <c r="V110" s="410"/>
      <c r="W110" s="410"/>
      <c r="X110" s="410"/>
      <c r="Y110" s="410"/>
    </row>
    <row r="111" spans="1:25" x14ac:dyDescent="0.35">
      <c r="A111" s="1">
        <v>109</v>
      </c>
      <c r="B111" s="44" t="s">
        <v>228</v>
      </c>
      <c r="C111" s="2" t="s">
        <v>31</v>
      </c>
      <c r="D111" s="889" t="s">
        <v>421</v>
      </c>
      <c r="E111" s="889"/>
      <c r="F111" s="889"/>
      <c r="G111" s="271"/>
      <c r="H111" s="1"/>
      <c r="I111" s="647"/>
      <c r="K111" s="653"/>
      <c r="L111" s="410"/>
      <c r="M111" s="410"/>
      <c r="N111" s="410"/>
      <c r="O111" s="410"/>
      <c r="P111" s="410"/>
      <c r="Q111" s="410"/>
      <c r="R111" s="410"/>
      <c r="S111" s="410"/>
      <c r="T111" s="410"/>
      <c r="U111" s="410"/>
      <c r="V111" s="410"/>
      <c r="W111" s="410"/>
      <c r="X111" s="410"/>
      <c r="Y111" s="410"/>
    </row>
    <row r="112" spans="1:25" x14ac:dyDescent="0.35">
      <c r="A112" s="1">
        <v>110</v>
      </c>
      <c r="B112" s="44" t="s">
        <v>231</v>
      </c>
      <c r="C112" s="1" t="s">
        <v>33</v>
      </c>
      <c r="D112" s="889" t="s">
        <v>421</v>
      </c>
      <c r="E112" s="889"/>
      <c r="F112" s="889"/>
      <c r="G112" s="271"/>
      <c r="H112" s="1"/>
      <c r="I112" s="647"/>
      <c r="K112" s="653"/>
      <c r="L112" s="410"/>
      <c r="M112" s="410"/>
      <c r="N112" s="410"/>
      <c r="O112" s="410"/>
      <c r="P112" s="410"/>
      <c r="Q112" s="410"/>
      <c r="R112" s="410"/>
      <c r="S112" s="410"/>
      <c r="T112" s="410"/>
      <c r="U112" s="410"/>
      <c r="V112" s="410"/>
      <c r="W112" s="410"/>
      <c r="X112" s="410"/>
      <c r="Y112" s="410"/>
    </row>
    <row r="113" spans="1:25" x14ac:dyDescent="0.35">
      <c r="A113" s="1">
        <v>111</v>
      </c>
      <c r="B113" s="44" t="s">
        <v>239</v>
      </c>
      <c r="C113" s="1" t="s">
        <v>33</v>
      </c>
      <c r="D113" s="889" t="s">
        <v>421</v>
      </c>
      <c r="E113" s="889"/>
      <c r="F113" s="889"/>
      <c r="G113" s="271"/>
      <c r="H113" s="1"/>
      <c r="I113" s="647"/>
      <c r="K113" s="653"/>
      <c r="L113" s="410"/>
      <c r="M113" s="410"/>
      <c r="N113" s="410"/>
      <c r="O113" s="410"/>
      <c r="P113" s="410"/>
      <c r="Q113" s="410"/>
      <c r="R113" s="410"/>
      <c r="S113" s="410"/>
      <c r="T113" s="410"/>
      <c r="U113" s="410"/>
      <c r="V113" s="410"/>
      <c r="W113" s="410"/>
      <c r="X113" s="410"/>
      <c r="Y113" s="410"/>
    </row>
    <row r="114" spans="1:25" x14ac:dyDescent="0.35">
      <c r="A114" s="1">
        <v>112</v>
      </c>
      <c r="B114" s="44" t="s">
        <v>240</v>
      </c>
      <c r="C114" s="2" t="s">
        <v>31</v>
      </c>
      <c r="D114" s="889" t="s">
        <v>421</v>
      </c>
      <c r="E114" s="889"/>
      <c r="F114" s="889"/>
      <c r="G114" s="271"/>
      <c r="H114" s="1"/>
      <c r="I114" s="647"/>
      <c r="K114" s="653"/>
      <c r="L114" s="410"/>
      <c r="M114" s="410"/>
      <c r="N114" s="410"/>
      <c r="O114" s="410"/>
      <c r="P114" s="410"/>
      <c r="Q114" s="410"/>
      <c r="R114" s="410"/>
      <c r="S114" s="410"/>
      <c r="T114" s="410"/>
      <c r="U114" s="410"/>
      <c r="V114" s="410"/>
      <c r="W114" s="410"/>
      <c r="X114" s="410"/>
      <c r="Y114" s="410"/>
    </row>
    <row r="115" spans="1:25" x14ac:dyDescent="0.35">
      <c r="A115" s="1">
        <v>113</v>
      </c>
      <c r="B115" s="44" t="s">
        <v>261</v>
      </c>
      <c r="C115" s="1" t="s">
        <v>33</v>
      </c>
      <c r="D115" s="889" t="s">
        <v>421</v>
      </c>
      <c r="E115" s="889"/>
      <c r="F115" s="889"/>
      <c r="G115" s="271"/>
      <c r="H115" s="1"/>
      <c r="I115" s="647"/>
      <c r="K115" s="659"/>
      <c r="L115" s="410"/>
      <c r="M115" s="410"/>
      <c r="N115" s="410"/>
      <c r="O115" s="410"/>
      <c r="P115" s="410"/>
      <c r="Q115" s="410"/>
      <c r="R115" s="410"/>
      <c r="S115" s="410"/>
      <c r="T115" s="410"/>
      <c r="U115" s="410"/>
      <c r="V115" s="410"/>
      <c r="W115" s="410"/>
      <c r="X115" s="410"/>
      <c r="Y115" s="410"/>
    </row>
    <row r="116" spans="1:25" x14ac:dyDescent="0.35">
      <c r="A116" s="1">
        <v>114</v>
      </c>
      <c r="B116" s="44" t="s">
        <v>259</v>
      </c>
      <c r="C116" s="1" t="s">
        <v>33</v>
      </c>
      <c r="D116" s="889" t="s">
        <v>421</v>
      </c>
      <c r="E116" s="889"/>
      <c r="F116" s="889"/>
      <c r="G116" s="271"/>
      <c r="H116" s="1"/>
      <c r="I116" s="647"/>
      <c r="K116" s="659"/>
      <c r="L116" s="410"/>
      <c r="M116" s="410"/>
      <c r="N116" s="410"/>
      <c r="O116" s="410"/>
      <c r="P116" s="410"/>
      <c r="Q116" s="410"/>
      <c r="R116" s="410"/>
      <c r="S116" s="410"/>
      <c r="T116" s="410"/>
      <c r="U116" s="410"/>
      <c r="V116" s="410"/>
      <c r="W116" s="410"/>
      <c r="X116" s="410"/>
      <c r="Y116" s="410"/>
    </row>
    <row r="117" spans="1:25" x14ac:dyDescent="0.35">
      <c r="A117" s="1">
        <v>115</v>
      </c>
      <c r="B117" s="44" t="s">
        <v>262</v>
      </c>
      <c r="C117" s="2" t="s">
        <v>31</v>
      </c>
      <c r="D117" s="889" t="s">
        <v>421</v>
      </c>
      <c r="E117" s="889"/>
      <c r="F117" s="889"/>
      <c r="G117" s="271"/>
      <c r="H117" s="1"/>
      <c r="I117" s="647"/>
      <c r="K117" s="653"/>
    </row>
    <row r="118" spans="1:25" x14ac:dyDescent="0.35">
      <c r="A118" s="1">
        <v>116</v>
      </c>
      <c r="B118" s="44" t="s">
        <v>263</v>
      </c>
      <c r="C118" s="2" t="s">
        <v>31</v>
      </c>
      <c r="D118" s="889" t="s">
        <v>421</v>
      </c>
      <c r="E118" s="889"/>
      <c r="F118" s="889"/>
      <c r="G118" s="271"/>
      <c r="H118" s="1"/>
      <c r="I118" s="647"/>
      <c r="K118" s="653"/>
    </row>
    <row r="119" spans="1:25" x14ac:dyDescent="0.35">
      <c r="A119" s="1">
        <v>117</v>
      </c>
      <c r="B119" s="44" t="s">
        <v>266</v>
      </c>
      <c r="C119" s="1" t="s">
        <v>16</v>
      </c>
      <c r="D119" s="889" t="s">
        <v>421</v>
      </c>
      <c r="E119" s="889"/>
      <c r="F119" s="889"/>
      <c r="G119" s="271"/>
      <c r="H119" s="1"/>
      <c r="I119" s="647"/>
      <c r="K119" s="653"/>
    </row>
    <row r="120" spans="1:25" x14ac:dyDescent="0.35">
      <c r="A120" s="1">
        <v>118</v>
      </c>
      <c r="B120" s="44" t="s">
        <v>269</v>
      </c>
      <c r="C120" s="2" t="s">
        <v>448</v>
      </c>
      <c r="D120" s="889" t="s">
        <v>421</v>
      </c>
      <c r="E120" s="889"/>
      <c r="F120" s="889"/>
      <c r="G120" s="271"/>
      <c r="H120" s="1"/>
      <c r="I120" s="647"/>
      <c r="K120" s="653"/>
    </row>
    <row r="121" spans="1:25" x14ac:dyDescent="0.35">
      <c r="A121" s="1">
        <v>119</v>
      </c>
      <c r="B121" s="44" t="s">
        <v>273</v>
      </c>
      <c r="C121" s="1" t="s">
        <v>33</v>
      </c>
      <c r="D121" s="889" t="s">
        <v>421</v>
      </c>
      <c r="E121" s="889"/>
      <c r="F121" s="889"/>
      <c r="G121" s="271"/>
      <c r="H121" s="1"/>
      <c r="I121" s="647"/>
      <c r="K121" s="653"/>
    </row>
    <row r="122" spans="1:25" x14ac:dyDescent="0.35">
      <c r="A122" s="1">
        <v>120</v>
      </c>
      <c r="B122" s="44" t="s">
        <v>275</v>
      </c>
      <c r="C122" s="2" t="s">
        <v>31</v>
      </c>
      <c r="D122" s="889" t="s">
        <v>421</v>
      </c>
      <c r="E122" s="889"/>
      <c r="F122" s="889"/>
      <c r="G122" s="271"/>
      <c r="H122" s="1"/>
      <c r="I122" s="647"/>
      <c r="K122" s="653"/>
    </row>
    <row r="123" spans="1:25" x14ac:dyDescent="0.35">
      <c r="A123" s="1">
        <v>121</v>
      </c>
      <c r="B123" s="44" t="s">
        <v>276</v>
      </c>
      <c r="C123" s="1" t="s">
        <v>33</v>
      </c>
      <c r="D123" s="889" t="s">
        <v>421</v>
      </c>
      <c r="E123" s="889"/>
      <c r="F123" s="889"/>
      <c r="G123" s="271"/>
      <c r="H123" s="1"/>
      <c r="I123" s="647"/>
      <c r="K123" s="653"/>
    </row>
    <row r="124" spans="1:25" x14ac:dyDescent="0.35">
      <c r="A124" s="1">
        <v>122</v>
      </c>
      <c r="B124" s="44" t="s">
        <v>278</v>
      </c>
      <c r="C124" s="1" t="s">
        <v>16</v>
      </c>
      <c r="D124" s="889" t="s">
        <v>421</v>
      </c>
      <c r="E124" s="889"/>
      <c r="F124" s="889"/>
      <c r="G124" s="271"/>
      <c r="H124" s="1"/>
      <c r="I124" s="647"/>
      <c r="K124" s="653"/>
    </row>
    <row r="125" spans="1:25" x14ac:dyDescent="0.35">
      <c r="A125" s="1">
        <v>123</v>
      </c>
      <c r="B125" s="44" t="s">
        <v>279</v>
      </c>
      <c r="C125" s="2" t="s">
        <v>31</v>
      </c>
      <c r="D125" s="889" t="s">
        <v>421</v>
      </c>
      <c r="E125" s="889"/>
      <c r="F125" s="889"/>
      <c r="G125" s="271"/>
      <c r="H125" s="1"/>
      <c r="I125" s="647"/>
      <c r="K125" s="653"/>
    </row>
    <row r="126" spans="1:25" x14ac:dyDescent="0.35">
      <c r="A126" s="1">
        <v>124</v>
      </c>
      <c r="B126" s="44" t="s">
        <v>280</v>
      </c>
      <c r="C126" s="1" t="s">
        <v>33</v>
      </c>
      <c r="D126" s="889" t="s">
        <v>421</v>
      </c>
      <c r="E126" s="889"/>
      <c r="F126" s="889"/>
      <c r="G126" s="271"/>
      <c r="H126" s="1"/>
      <c r="I126" s="647"/>
      <c r="K126" s="651"/>
    </row>
    <row r="127" spans="1:25" x14ac:dyDescent="0.35">
      <c r="A127" s="1">
        <v>125</v>
      </c>
      <c r="B127" s="44" t="s">
        <v>286</v>
      </c>
      <c r="C127" s="2" t="s">
        <v>31</v>
      </c>
      <c r="D127" s="889" t="s">
        <v>421</v>
      </c>
      <c r="E127" s="889"/>
      <c r="F127" s="889"/>
      <c r="G127" s="271"/>
      <c r="H127" s="1"/>
      <c r="I127" s="647"/>
      <c r="K127" s="653"/>
    </row>
    <row r="128" spans="1:25" x14ac:dyDescent="0.35">
      <c r="A128" s="1">
        <v>126</v>
      </c>
      <c r="B128" s="44" t="s">
        <v>287</v>
      </c>
      <c r="C128" s="2" t="s">
        <v>23</v>
      </c>
      <c r="D128" s="889" t="s">
        <v>421</v>
      </c>
      <c r="E128" s="889"/>
      <c r="F128" s="889"/>
      <c r="G128" s="271"/>
      <c r="H128" s="1"/>
      <c r="I128" s="647"/>
      <c r="K128" s="662"/>
    </row>
    <row r="129" spans="1:11" x14ac:dyDescent="0.35">
      <c r="A129" s="1">
        <v>127</v>
      </c>
      <c r="B129" s="44" t="s">
        <v>288</v>
      </c>
      <c r="C129" s="2" t="s">
        <v>23</v>
      </c>
      <c r="D129" s="889" t="s">
        <v>421</v>
      </c>
      <c r="E129" s="889"/>
      <c r="F129" s="889"/>
      <c r="G129" s="271"/>
      <c r="H129" s="1"/>
      <c r="I129" s="647"/>
      <c r="K129" s="662"/>
    </row>
    <row r="130" spans="1:11" x14ac:dyDescent="0.35">
      <c r="A130" s="1">
        <v>128</v>
      </c>
      <c r="B130" s="44" t="s">
        <v>317</v>
      </c>
      <c r="C130" s="2" t="s">
        <v>23</v>
      </c>
      <c r="D130" s="889" t="s">
        <v>421</v>
      </c>
      <c r="E130" s="889"/>
      <c r="F130" s="889"/>
      <c r="G130" s="271"/>
      <c r="H130" s="1"/>
      <c r="I130" s="647"/>
      <c r="K130" s="653"/>
    </row>
    <row r="131" spans="1:11" x14ac:dyDescent="0.35">
      <c r="A131" s="1">
        <v>129</v>
      </c>
      <c r="B131" s="44" t="s">
        <v>324</v>
      </c>
      <c r="C131" s="1" t="s">
        <v>16</v>
      </c>
      <c r="D131" s="889" t="s">
        <v>421</v>
      </c>
      <c r="E131" s="889"/>
      <c r="F131" s="889"/>
      <c r="G131" s="271"/>
      <c r="H131" s="1"/>
      <c r="I131" s="647"/>
      <c r="K131" s="653"/>
    </row>
    <row r="132" spans="1:11" x14ac:dyDescent="0.35">
      <c r="A132" s="1">
        <v>130</v>
      </c>
      <c r="B132" s="44" t="s">
        <v>332</v>
      </c>
      <c r="C132" s="1" t="s">
        <v>16</v>
      </c>
      <c r="D132" s="889" t="s">
        <v>421</v>
      </c>
      <c r="E132" s="889"/>
      <c r="F132" s="889"/>
      <c r="G132" s="271"/>
      <c r="H132" s="1"/>
      <c r="I132" s="647"/>
      <c r="K132" s="660"/>
    </row>
    <row r="133" spans="1:11" x14ac:dyDescent="0.35">
      <c r="A133" s="1">
        <v>131</v>
      </c>
      <c r="B133" s="44" t="s">
        <v>343</v>
      </c>
      <c r="C133" s="2" t="s">
        <v>23</v>
      </c>
      <c r="D133" s="889" t="s">
        <v>421</v>
      </c>
      <c r="E133" s="889"/>
      <c r="F133" s="889"/>
      <c r="G133" s="271"/>
      <c r="H133" s="1"/>
      <c r="I133" s="647"/>
      <c r="K133" s="660"/>
    </row>
    <row r="134" spans="1:11" x14ac:dyDescent="0.35">
      <c r="A134" s="1">
        <v>132</v>
      </c>
      <c r="B134" s="44" t="s">
        <v>242</v>
      </c>
      <c r="C134" s="2" t="s">
        <v>23</v>
      </c>
      <c r="D134" s="889" t="s">
        <v>421</v>
      </c>
      <c r="E134" s="889"/>
      <c r="F134" s="889"/>
      <c r="G134" s="271"/>
      <c r="H134" s="1"/>
      <c r="I134" s="647"/>
      <c r="K134" s="660"/>
    </row>
    <row r="135" spans="1:11" x14ac:dyDescent="0.35">
      <c r="A135" s="1">
        <v>133</v>
      </c>
      <c r="B135" s="44" t="s">
        <v>244</v>
      </c>
      <c r="C135" s="2" t="s">
        <v>31</v>
      </c>
      <c r="D135" s="889" t="s">
        <v>421</v>
      </c>
      <c r="E135" s="889"/>
      <c r="F135" s="889"/>
      <c r="G135" s="271"/>
      <c r="H135" s="1"/>
      <c r="I135" s="647"/>
      <c r="K135" s="653"/>
    </row>
    <row r="136" spans="1:11" x14ac:dyDescent="0.35">
      <c r="A136" s="1">
        <v>134</v>
      </c>
      <c r="B136" s="44" t="s">
        <v>180</v>
      </c>
      <c r="C136" s="44" t="s">
        <v>118</v>
      </c>
      <c r="D136" s="889" t="s">
        <v>421</v>
      </c>
      <c r="E136" s="889"/>
      <c r="F136" s="889"/>
      <c r="K136" s="660"/>
    </row>
    <row r="137" spans="1:11" x14ac:dyDescent="0.35">
      <c r="A137" s="1">
        <v>135</v>
      </c>
      <c r="B137" s="45" t="s">
        <v>77</v>
      </c>
      <c r="C137" s="1" t="s">
        <v>31</v>
      </c>
      <c r="D137" s="889" t="s">
        <v>421</v>
      </c>
      <c r="E137" s="889"/>
      <c r="F137" s="889"/>
      <c r="K137" s="663"/>
    </row>
    <row r="138" spans="1:11" x14ac:dyDescent="0.35">
      <c r="A138" s="1">
        <v>136</v>
      </c>
      <c r="B138" s="44" t="s">
        <v>68</v>
      </c>
      <c r="C138" s="1" t="s">
        <v>33</v>
      </c>
      <c r="D138" s="889" t="s">
        <v>421</v>
      </c>
      <c r="E138" s="889"/>
      <c r="F138" s="889"/>
      <c r="K138" s="663"/>
    </row>
    <row r="139" spans="1:11" x14ac:dyDescent="0.35">
      <c r="A139" s="1">
        <v>137</v>
      </c>
      <c r="B139" s="1" t="s">
        <v>181</v>
      </c>
      <c r="C139" s="1" t="s">
        <v>182</v>
      </c>
      <c r="D139" s="889" t="s">
        <v>421</v>
      </c>
      <c r="E139" s="889"/>
      <c r="F139" s="889"/>
    </row>
    <row r="140" spans="1:11" x14ac:dyDescent="0.35">
      <c r="A140" s="1">
        <v>138</v>
      </c>
      <c r="B140" s="44" t="s">
        <v>44</v>
      </c>
      <c r="C140" s="1" t="s">
        <v>40</v>
      </c>
      <c r="D140" s="889" t="s">
        <v>421</v>
      </c>
      <c r="E140" s="889"/>
      <c r="F140" s="889"/>
    </row>
    <row r="141" spans="1:11" x14ac:dyDescent="0.35">
      <c r="A141" s="1">
        <v>139</v>
      </c>
      <c r="B141" s="44" t="s">
        <v>58</v>
      </c>
      <c r="C141" s="1" t="s">
        <v>23</v>
      </c>
      <c r="D141" s="889" t="s">
        <v>421</v>
      </c>
      <c r="E141" s="889"/>
      <c r="F141" s="889"/>
    </row>
    <row r="142" spans="1:11" x14ac:dyDescent="0.35">
      <c r="A142" s="1">
        <v>140</v>
      </c>
      <c r="B142" s="44" t="s">
        <v>250</v>
      </c>
      <c r="C142" s="1" t="s">
        <v>23</v>
      </c>
      <c r="D142" s="889" t="s">
        <v>421</v>
      </c>
      <c r="E142" s="889"/>
      <c r="F142" s="889"/>
    </row>
    <row r="143" spans="1:11" x14ac:dyDescent="0.35">
      <c r="A143" s="1">
        <v>141</v>
      </c>
      <c r="B143" s="44" t="s">
        <v>49</v>
      </c>
      <c r="C143" s="1" t="s">
        <v>28</v>
      </c>
      <c r="D143" s="889" t="s">
        <v>421</v>
      </c>
      <c r="E143" s="889"/>
      <c r="F143" s="889"/>
    </row>
    <row r="144" spans="1:11" x14ac:dyDescent="0.35">
      <c r="A144" s="1">
        <v>142</v>
      </c>
      <c r="B144" s="44" t="s">
        <v>89</v>
      </c>
      <c r="C144" s="1" t="s">
        <v>31</v>
      </c>
      <c r="D144" s="889" t="s">
        <v>421</v>
      </c>
      <c r="E144" s="889"/>
      <c r="F144" s="889"/>
    </row>
    <row r="145" spans="1:6" x14ac:dyDescent="0.35">
      <c r="A145" s="1">
        <v>143</v>
      </c>
      <c r="B145" s="1" t="s">
        <v>252</v>
      </c>
      <c r="C145" s="1" t="s">
        <v>33</v>
      </c>
      <c r="D145" s="889" t="s">
        <v>421</v>
      </c>
      <c r="E145" s="889"/>
      <c r="F145" s="889"/>
    </row>
    <row r="146" spans="1:6" x14ac:dyDescent="0.35">
      <c r="A146" s="1">
        <v>144</v>
      </c>
      <c r="B146" s="44" t="s">
        <v>65</v>
      </c>
      <c r="C146" s="1" t="s">
        <v>28</v>
      </c>
      <c r="D146" s="889" t="s">
        <v>421</v>
      </c>
      <c r="E146" s="889"/>
      <c r="F146" s="889"/>
    </row>
    <row r="147" spans="1:6" x14ac:dyDescent="0.35">
      <c r="A147" s="1">
        <v>145</v>
      </c>
      <c r="B147" s="1" t="s">
        <v>251</v>
      </c>
      <c r="C147" s="1" t="s">
        <v>18</v>
      </c>
      <c r="D147" s="889" t="s">
        <v>421</v>
      </c>
      <c r="E147" s="889"/>
      <c r="F147" s="889"/>
    </row>
    <row r="148" spans="1:6" x14ac:dyDescent="0.35">
      <c r="A148" s="1">
        <v>146</v>
      </c>
      <c r="B148" s="1" t="s">
        <v>319</v>
      </c>
      <c r="C148" s="1" t="s">
        <v>115</v>
      </c>
      <c r="D148" s="889" t="s">
        <v>421</v>
      </c>
      <c r="E148" s="889"/>
      <c r="F148" s="889"/>
    </row>
    <row r="149" spans="1:6" x14ac:dyDescent="0.35">
      <c r="A149" s="1">
        <v>147</v>
      </c>
      <c r="B149" s="45" t="s">
        <v>126</v>
      </c>
      <c r="C149" s="1" t="s">
        <v>764</v>
      </c>
      <c r="D149" s="889" t="s">
        <v>421</v>
      </c>
      <c r="E149" s="889"/>
      <c r="F149" s="889"/>
    </row>
    <row r="150" spans="1:6" x14ac:dyDescent="0.35">
      <c r="A150" s="1">
        <v>148</v>
      </c>
      <c r="B150" s="44" t="s">
        <v>127</v>
      </c>
      <c r="C150" s="1" t="s">
        <v>763</v>
      </c>
      <c r="D150" s="889" t="s">
        <v>421</v>
      </c>
      <c r="E150" s="889"/>
      <c r="F150" s="889"/>
    </row>
    <row r="151" spans="1:6" x14ac:dyDescent="0.35">
      <c r="A151" s="1">
        <v>149</v>
      </c>
      <c r="B151" s="44" t="s">
        <v>60</v>
      </c>
      <c r="C151" s="1" t="s">
        <v>765</v>
      </c>
      <c r="D151" s="889" t="s">
        <v>421</v>
      </c>
      <c r="E151" s="889"/>
      <c r="F151" s="889"/>
    </row>
    <row r="152" spans="1:6" x14ac:dyDescent="0.35">
      <c r="A152" s="1">
        <v>150</v>
      </c>
      <c r="B152" s="44" t="s">
        <v>62</v>
      </c>
      <c r="C152" s="1" t="s">
        <v>763</v>
      </c>
      <c r="D152" s="889" t="s">
        <v>421</v>
      </c>
      <c r="E152" s="889"/>
      <c r="F152" s="889"/>
    </row>
    <row r="153" spans="1:6" x14ac:dyDescent="0.35">
      <c r="A153" s="1">
        <v>151</v>
      </c>
      <c r="B153" s="44" t="s">
        <v>66</v>
      </c>
      <c r="C153" s="1" t="s">
        <v>764</v>
      </c>
      <c r="D153" s="889" t="s">
        <v>421</v>
      </c>
      <c r="E153" s="889"/>
      <c r="F153" s="889"/>
    </row>
    <row r="154" spans="1:6" x14ac:dyDescent="0.35">
      <c r="A154" s="1">
        <v>152</v>
      </c>
      <c r="B154" s="44" t="s">
        <v>67</v>
      </c>
      <c r="C154" s="1" t="s">
        <v>23</v>
      </c>
      <c r="D154" s="889" t="s">
        <v>421</v>
      </c>
      <c r="E154" s="889"/>
      <c r="F154" s="889"/>
    </row>
    <row r="155" spans="1:6" x14ac:dyDescent="0.35">
      <c r="A155" s="1">
        <v>153</v>
      </c>
      <c r="B155" s="1" t="s">
        <v>245</v>
      </c>
      <c r="C155" s="1" t="s">
        <v>35</v>
      </c>
      <c r="D155" s="889" t="s">
        <v>421</v>
      </c>
      <c r="E155" s="889"/>
      <c r="F155" s="889"/>
    </row>
    <row r="156" spans="1:6" x14ac:dyDescent="0.35">
      <c r="A156" s="1">
        <v>154</v>
      </c>
      <c r="B156" s="1" t="s">
        <v>254</v>
      </c>
      <c r="C156" s="1" t="s">
        <v>23</v>
      </c>
      <c r="D156" s="889" t="s">
        <v>421</v>
      </c>
      <c r="E156" s="889"/>
      <c r="F156" s="889"/>
    </row>
    <row r="157" spans="1:6" x14ac:dyDescent="0.35">
      <c r="A157" s="1">
        <v>155</v>
      </c>
      <c r="B157" s="1" t="s">
        <v>112</v>
      </c>
      <c r="C157" s="1" t="s">
        <v>113</v>
      </c>
      <c r="D157" s="889" t="s">
        <v>421</v>
      </c>
      <c r="E157" s="889"/>
      <c r="F157" s="889"/>
    </row>
    <row r="158" spans="1:6" x14ac:dyDescent="0.35">
      <c r="A158" s="1">
        <v>156</v>
      </c>
      <c r="B158" s="45" t="s">
        <v>64</v>
      </c>
      <c r="C158" s="1" t="s">
        <v>16</v>
      </c>
      <c r="D158" s="889" t="s">
        <v>421</v>
      </c>
      <c r="E158" s="889"/>
      <c r="F158" s="889"/>
    </row>
    <row r="159" spans="1:6" x14ac:dyDescent="0.35">
      <c r="A159" s="1">
        <v>157</v>
      </c>
      <c r="B159" s="44" t="s">
        <v>104</v>
      </c>
      <c r="C159" s="1" t="s">
        <v>31</v>
      </c>
      <c r="D159" s="889" t="s">
        <v>421</v>
      </c>
      <c r="E159" s="889"/>
      <c r="F159" s="889"/>
    </row>
    <row r="160" spans="1:6" x14ac:dyDescent="0.35">
      <c r="A160" s="1">
        <v>158</v>
      </c>
      <c r="B160" s="44" t="s">
        <v>253</v>
      </c>
      <c r="C160" s="1" t="s">
        <v>31</v>
      </c>
      <c r="D160" s="889" t="s">
        <v>421</v>
      </c>
      <c r="E160" s="889"/>
      <c r="F160" s="889"/>
    </row>
    <row r="161" spans="1:6" x14ac:dyDescent="0.35">
      <c r="A161" s="1">
        <v>159</v>
      </c>
      <c r="B161" s="44" t="s">
        <v>333</v>
      </c>
      <c r="C161" s="1" t="s">
        <v>28</v>
      </c>
      <c r="D161" s="889" t="s">
        <v>421</v>
      </c>
      <c r="E161" s="889"/>
      <c r="F161" s="889"/>
    </row>
    <row r="162" spans="1:6" x14ac:dyDescent="0.35">
      <c r="A162" s="1">
        <v>160</v>
      </c>
      <c r="B162" s="44" t="s">
        <v>100</v>
      </c>
      <c r="C162" s="1" t="s">
        <v>28</v>
      </c>
      <c r="D162" s="889" t="s">
        <v>421</v>
      </c>
      <c r="E162" s="889"/>
      <c r="F162" s="889"/>
    </row>
    <row r="163" spans="1:6" x14ac:dyDescent="0.35">
      <c r="A163" s="1">
        <v>161</v>
      </c>
      <c r="B163" s="1" t="s">
        <v>318</v>
      </c>
      <c r="C163" s="1" t="s">
        <v>23</v>
      </c>
      <c r="D163" s="889" t="s">
        <v>421</v>
      </c>
      <c r="E163" s="889"/>
      <c r="F163" s="889"/>
    </row>
    <row r="164" spans="1:6" x14ac:dyDescent="0.35">
      <c r="A164" s="1">
        <v>162</v>
      </c>
      <c r="B164" s="1" t="s">
        <v>320</v>
      </c>
      <c r="C164" s="1" t="s">
        <v>16</v>
      </c>
      <c r="D164" s="889" t="s">
        <v>421</v>
      </c>
      <c r="E164" s="889"/>
      <c r="F164" s="889"/>
    </row>
    <row r="165" spans="1:6" x14ac:dyDescent="0.35">
      <c r="A165" s="1">
        <v>163</v>
      </c>
      <c r="B165" s="44" t="s">
        <v>256</v>
      </c>
      <c r="C165" s="1" t="s">
        <v>31</v>
      </c>
      <c r="D165" s="889" t="s">
        <v>421</v>
      </c>
      <c r="E165" s="889"/>
      <c r="F165" s="889"/>
    </row>
    <row r="166" spans="1:6" x14ac:dyDescent="0.35">
      <c r="A166" s="1">
        <v>164</v>
      </c>
      <c r="B166" s="44" t="s">
        <v>258</v>
      </c>
      <c r="C166" s="1" t="s">
        <v>31</v>
      </c>
      <c r="D166" s="889" t="s">
        <v>421</v>
      </c>
      <c r="E166" s="889"/>
      <c r="F166" s="889"/>
    </row>
    <row r="167" spans="1:6" x14ac:dyDescent="0.35">
      <c r="A167" s="1">
        <v>165</v>
      </c>
      <c r="B167" s="44" t="s">
        <v>329</v>
      </c>
      <c r="C167" s="1" t="s">
        <v>35</v>
      </c>
      <c r="D167" s="889" t="s">
        <v>421</v>
      </c>
      <c r="E167" s="889"/>
      <c r="F167" s="889"/>
    </row>
    <row r="168" spans="1:6" x14ac:dyDescent="0.35">
      <c r="A168" s="1">
        <v>166</v>
      </c>
      <c r="B168" s="44" t="s">
        <v>114</v>
      </c>
      <c r="C168" s="1" t="s">
        <v>115</v>
      </c>
      <c r="D168" s="889" t="s">
        <v>421</v>
      </c>
      <c r="E168" s="889"/>
      <c r="F168" s="889"/>
    </row>
    <row r="169" spans="1:6" x14ac:dyDescent="0.35">
      <c r="A169" s="1">
        <v>167</v>
      </c>
      <c r="B169" s="44" t="s">
        <v>336</v>
      </c>
      <c r="C169" s="1" t="s">
        <v>16</v>
      </c>
      <c r="D169" s="889" t="s">
        <v>421</v>
      </c>
      <c r="E169" s="889"/>
      <c r="F169" s="889"/>
    </row>
    <row r="170" spans="1:6" x14ac:dyDescent="0.35">
      <c r="A170" s="1">
        <v>168</v>
      </c>
      <c r="B170" s="44" t="s">
        <v>241</v>
      </c>
      <c r="C170" s="1" t="s">
        <v>18</v>
      </c>
      <c r="D170" s="889" t="s">
        <v>421</v>
      </c>
      <c r="E170" s="889"/>
      <c r="F170" s="889"/>
    </row>
    <row r="171" spans="1:6" x14ac:dyDescent="0.35">
      <c r="A171" s="1">
        <v>169</v>
      </c>
      <c r="B171" s="44" t="s">
        <v>326</v>
      </c>
      <c r="C171" s="1" t="s">
        <v>23</v>
      </c>
      <c r="D171" s="889" t="s">
        <v>421</v>
      </c>
      <c r="E171" s="889"/>
      <c r="F171" s="889"/>
    </row>
    <row r="172" spans="1:6" x14ac:dyDescent="0.35">
      <c r="A172" s="1">
        <v>170</v>
      </c>
      <c r="B172" s="44" t="s">
        <v>337</v>
      </c>
      <c r="C172" s="1" t="s">
        <v>23</v>
      </c>
      <c r="D172" s="889" t="s">
        <v>421</v>
      </c>
      <c r="E172" s="889"/>
      <c r="F172" s="889"/>
    </row>
    <row r="173" spans="1:6" x14ac:dyDescent="0.35">
      <c r="A173" s="1">
        <v>171</v>
      </c>
      <c r="B173" s="44" t="s">
        <v>39</v>
      </c>
      <c r="C173" s="1" t="s">
        <v>40</v>
      </c>
      <c r="D173" s="889" t="s">
        <v>421</v>
      </c>
      <c r="E173" s="889"/>
      <c r="F173" s="889"/>
    </row>
    <row r="174" spans="1:6" x14ac:dyDescent="0.35">
      <c r="A174" s="1">
        <v>172</v>
      </c>
      <c r="B174" s="44" t="s">
        <v>130</v>
      </c>
      <c r="C174" s="1" t="s">
        <v>12</v>
      </c>
      <c r="D174" s="889" t="s">
        <v>421</v>
      </c>
      <c r="E174" s="889"/>
      <c r="F174" s="889"/>
    </row>
    <row r="175" spans="1:6" x14ac:dyDescent="0.35">
      <c r="A175" s="1">
        <v>173</v>
      </c>
      <c r="B175" s="44" t="s">
        <v>321</v>
      </c>
      <c r="C175" s="1" t="s">
        <v>40</v>
      </c>
      <c r="D175" s="889" t="s">
        <v>421</v>
      </c>
      <c r="E175" s="889"/>
      <c r="F175" s="889"/>
    </row>
    <row r="176" spans="1:6" x14ac:dyDescent="0.35">
      <c r="A176" s="1">
        <v>174</v>
      </c>
      <c r="B176" s="1" t="s">
        <v>290</v>
      </c>
      <c r="C176" s="1" t="s">
        <v>35</v>
      </c>
      <c r="D176" s="889" t="s">
        <v>421</v>
      </c>
      <c r="E176" s="889"/>
      <c r="F176" s="889"/>
    </row>
    <row r="177" spans="1:6" x14ac:dyDescent="0.35">
      <c r="A177" s="1">
        <v>175</v>
      </c>
      <c r="B177" s="1" t="s">
        <v>342</v>
      </c>
      <c r="C177" s="1" t="s">
        <v>236</v>
      </c>
      <c r="D177" s="889" t="s">
        <v>421</v>
      </c>
      <c r="E177" s="889"/>
      <c r="F177" s="889"/>
    </row>
    <row r="178" spans="1:6" x14ac:dyDescent="0.35">
      <c r="A178" s="1">
        <v>176</v>
      </c>
      <c r="B178" s="1" t="s">
        <v>219</v>
      </c>
      <c r="C178" s="1" t="s">
        <v>18</v>
      </c>
      <c r="D178" s="889" t="s">
        <v>421</v>
      </c>
      <c r="E178" s="889"/>
      <c r="F178" s="889"/>
    </row>
    <row r="179" spans="1:6" x14ac:dyDescent="0.35">
      <c r="A179" s="1">
        <v>177</v>
      </c>
      <c r="B179" s="44" t="s">
        <v>291</v>
      </c>
      <c r="C179" s="1" t="s">
        <v>113</v>
      </c>
      <c r="D179" s="889" t="s">
        <v>421</v>
      </c>
      <c r="E179" s="889"/>
      <c r="F179" s="889"/>
    </row>
    <row r="180" spans="1:6" x14ac:dyDescent="0.35">
      <c r="A180" s="1">
        <v>178</v>
      </c>
      <c r="B180" s="44" t="s">
        <v>295</v>
      </c>
      <c r="C180" s="1" t="s">
        <v>16</v>
      </c>
      <c r="D180" s="889" t="s">
        <v>421</v>
      </c>
      <c r="E180" s="889"/>
      <c r="F180" s="889"/>
    </row>
    <row r="181" spans="1:6" x14ac:dyDescent="0.35">
      <c r="A181" s="1">
        <v>179</v>
      </c>
      <c r="B181" s="44" t="s">
        <v>300</v>
      </c>
      <c r="C181" s="1" t="s">
        <v>390</v>
      </c>
      <c r="D181" s="889" t="s">
        <v>421</v>
      </c>
      <c r="E181" s="889"/>
      <c r="F181" s="889"/>
    </row>
    <row r="182" spans="1:6" x14ac:dyDescent="0.35">
      <c r="A182" s="1">
        <v>180</v>
      </c>
      <c r="B182" s="1" t="s">
        <v>145</v>
      </c>
      <c r="C182" s="1" t="s">
        <v>146</v>
      </c>
      <c r="D182" s="889" t="s">
        <v>421</v>
      </c>
      <c r="E182" s="889"/>
      <c r="F182" s="889"/>
    </row>
    <row r="183" spans="1:6" x14ac:dyDescent="0.35">
      <c r="A183" s="1">
        <v>181</v>
      </c>
      <c r="B183" s="1" t="s">
        <v>153</v>
      </c>
      <c r="C183" s="1" t="s">
        <v>154</v>
      </c>
      <c r="D183" s="889" t="s">
        <v>421</v>
      </c>
      <c r="E183" s="889"/>
      <c r="F183" s="889"/>
    </row>
    <row r="184" spans="1:6" x14ac:dyDescent="0.35">
      <c r="A184" s="1">
        <v>182</v>
      </c>
      <c r="B184" s="1" t="s">
        <v>84</v>
      </c>
      <c r="C184" s="1" t="s">
        <v>18</v>
      </c>
      <c r="D184" s="889" t="s">
        <v>421</v>
      </c>
      <c r="E184" s="889"/>
      <c r="F184" s="889"/>
    </row>
    <row r="185" spans="1:6" x14ac:dyDescent="0.35">
      <c r="A185" s="1">
        <v>183</v>
      </c>
      <c r="B185" s="1" t="s">
        <v>173</v>
      </c>
      <c r="C185" s="1" t="s">
        <v>156</v>
      </c>
      <c r="D185" s="889" t="s">
        <v>421</v>
      </c>
      <c r="E185" s="889"/>
      <c r="F185" s="889"/>
    </row>
    <row r="186" spans="1:6" x14ac:dyDescent="0.35">
      <c r="A186" s="1">
        <v>184</v>
      </c>
      <c r="B186" s="1" t="s">
        <v>69</v>
      </c>
      <c r="C186" s="1" t="s">
        <v>70</v>
      </c>
      <c r="D186" s="889" t="s">
        <v>421</v>
      </c>
      <c r="E186" s="889"/>
      <c r="F186" s="889"/>
    </row>
    <row r="187" spans="1:6" x14ac:dyDescent="0.35">
      <c r="A187" s="1">
        <v>185</v>
      </c>
      <c r="B187" s="1" t="s">
        <v>163</v>
      </c>
      <c r="C187" s="1" t="s">
        <v>164</v>
      </c>
      <c r="D187" s="889" t="s">
        <v>421</v>
      </c>
      <c r="E187" s="889"/>
      <c r="F187" s="889"/>
    </row>
    <row r="188" spans="1:6" x14ac:dyDescent="0.35">
      <c r="A188" s="1">
        <v>186</v>
      </c>
      <c r="B188" s="1" t="s">
        <v>271</v>
      </c>
      <c r="C188" s="1" t="s">
        <v>14</v>
      </c>
      <c r="D188" s="889" t="s">
        <v>421</v>
      </c>
      <c r="E188" s="889"/>
      <c r="F188" s="889"/>
    </row>
    <row r="189" spans="1:6" x14ac:dyDescent="0.35">
      <c r="A189" s="1">
        <v>187</v>
      </c>
      <c r="B189" s="1" t="s">
        <v>207</v>
      </c>
      <c r="C189" s="1" t="s">
        <v>18</v>
      </c>
      <c r="D189" s="889" t="s">
        <v>421</v>
      </c>
      <c r="E189" s="889"/>
      <c r="F189" s="889"/>
    </row>
    <row r="190" spans="1:6" x14ac:dyDescent="0.35">
      <c r="A190" s="1">
        <v>188</v>
      </c>
      <c r="B190" s="1" t="s">
        <v>392</v>
      </c>
      <c r="C190" s="1" t="s">
        <v>33</v>
      </c>
      <c r="D190" s="889" t="s">
        <v>421</v>
      </c>
      <c r="E190" s="889"/>
      <c r="F190" s="889"/>
    </row>
    <row r="191" spans="1:6" x14ac:dyDescent="0.35">
      <c r="A191" s="1">
        <v>189</v>
      </c>
      <c r="B191" s="44" t="s">
        <v>169</v>
      </c>
      <c r="C191" s="1" t="s">
        <v>31</v>
      </c>
      <c r="D191" s="889" t="s">
        <v>421</v>
      </c>
      <c r="E191" s="889"/>
      <c r="F191" s="889"/>
    </row>
    <row r="192" spans="1:6" x14ac:dyDescent="0.35">
      <c r="A192" s="1">
        <v>190</v>
      </c>
      <c r="B192" s="44" t="s">
        <v>270</v>
      </c>
      <c r="C192" s="1" t="s">
        <v>33</v>
      </c>
      <c r="D192" s="889" t="s">
        <v>421</v>
      </c>
      <c r="E192" s="889"/>
      <c r="F192" s="889"/>
    </row>
    <row r="193" spans="1:6" x14ac:dyDescent="0.35">
      <c r="A193" s="1">
        <v>191</v>
      </c>
      <c r="B193" s="44" t="s">
        <v>198</v>
      </c>
      <c r="C193" s="1" t="s">
        <v>118</v>
      </c>
      <c r="D193" s="889" t="s">
        <v>421</v>
      </c>
      <c r="E193" s="889"/>
      <c r="F193" s="889"/>
    </row>
    <row r="194" spans="1:6" x14ac:dyDescent="0.35">
      <c r="A194" s="1">
        <v>192</v>
      </c>
      <c r="B194" s="44" t="s">
        <v>43</v>
      </c>
      <c r="C194" s="1" t="s">
        <v>35</v>
      </c>
      <c r="D194" s="889" t="s">
        <v>421</v>
      </c>
      <c r="E194" s="889"/>
      <c r="F194" s="889"/>
    </row>
    <row r="195" spans="1:6" x14ac:dyDescent="0.35">
      <c r="A195" s="1">
        <v>193</v>
      </c>
      <c r="B195" s="44" t="s">
        <v>42</v>
      </c>
      <c r="C195" s="1" t="s">
        <v>35</v>
      </c>
      <c r="D195" s="889" t="s">
        <v>421</v>
      </c>
      <c r="E195" s="889"/>
      <c r="F195" s="889"/>
    </row>
    <row r="196" spans="1:6" x14ac:dyDescent="0.35">
      <c r="A196" s="1">
        <v>194</v>
      </c>
      <c r="B196" s="44" t="s">
        <v>116</v>
      </c>
      <c r="C196" s="1" t="s">
        <v>16</v>
      </c>
      <c r="D196" s="889" t="s">
        <v>421</v>
      </c>
      <c r="E196" s="889"/>
      <c r="F196" s="889"/>
    </row>
    <row r="197" spans="1:6" x14ac:dyDescent="0.35">
      <c r="A197" s="1">
        <v>195</v>
      </c>
      <c r="B197" s="1" t="s">
        <v>187</v>
      </c>
      <c r="C197" s="1" t="s">
        <v>40</v>
      </c>
      <c r="D197" s="889" t="s">
        <v>421</v>
      </c>
      <c r="E197" s="889"/>
      <c r="F197" s="889"/>
    </row>
    <row r="198" spans="1:6" x14ac:dyDescent="0.35">
      <c r="A198" s="1">
        <v>196</v>
      </c>
      <c r="B198" s="1" t="s">
        <v>167</v>
      </c>
      <c r="C198" s="1" t="s">
        <v>18</v>
      </c>
      <c r="D198" s="889" t="s">
        <v>421</v>
      </c>
      <c r="E198" s="889"/>
      <c r="F198" s="889"/>
    </row>
    <row r="199" spans="1:6" x14ac:dyDescent="0.35">
      <c r="A199" s="1">
        <v>197</v>
      </c>
      <c r="B199" s="1" t="s">
        <v>289</v>
      </c>
      <c r="C199" s="1" t="s">
        <v>40</v>
      </c>
      <c r="D199" s="889" t="s">
        <v>421</v>
      </c>
      <c r="E199" s="889"/>
      <c r="F199" s="889"/>
    </row>
    <row r="200" spans="1:6" x14ac:dyDescent="0.35">
      <c r="A200" s="1">
        <v>198</v>
      </c>
      <c r="B200" s="1" t="s">
        <v>268</v>
      </c>
      <c r="C200" s="1" t="s">
        <v>925</v>
      </c>
      <c r="D200" s="889" t="s">
        <v>421</v>
      </c>
      <c r="E200" s="889"/>
      <c r="F200" s="889"/>
    </row>
    <row r="201" spans="1:6" x14ac:dyDescent="0.35">
      <c r="A201" s="1">
        <v>199</v>
      </c>
      <c r="B201" s="1" t="s">
        <v>272</v>
      </c>
      <c r="C201" s="1" t="s">
        <v>31</v>
      </c>
      <c r="D201" s="889" t="s">
        <v>421</v>
      </c>
      <c r="E201" s="889"/>
      <c r="F201" s="889"/>
    </row>
    <row r="202" spans="1:6" x14ac:dyDescent="0.35">
      <c r="A202" s="1">
        <v>200</v>
      </c>
      <c r="B202" s="1" t="s">
        <v>196</v>
      </c>
      <c r="C202" s="1" t="s">
        <v>197</v>
      </c>
      <c r="D202" s="889" t="s">
        <v>421</v>
      </c>
      <c r="E202" s="889"/>
      <c r="F202" s="889"/>
    </row>
    <row r="203" spans="1:6" x14ac:dyDescent="0.35">
      <c r="A203" s="1">
        <v>201</v>
      </c>
      <c r="B203" s="1" t="s">
        <v>170</v>
      </c>
      <c r="C203" s="1" t="s">
        <v>9</v>
      </c>
      <c r="D203" s="889" t="s">
        <v>421</v>
      </c>
      <c r="E203" s="889"/>
      <c r="F203" s="889"/>
    </row>
    <row r="204" spans="1:6" x14ac:dyDescent="0.35">
      <c r="A204" s="1">
        <v>202</v>
      </c>
      <c r="B204" s="1" t="s">
        <v>171</v>
      </c>
      <c r="C204" s="1" t="s">
        <v>40</v>
      </c>
      <c r="D204" s="889" t="s">
        <v>421</v>
      </c>
      <c r="E204" s="889"/>
      <c r="F204" s="889"/>
    </row>
    <row r="205" spans="1:6" x14ac:dyDescent="0.35">
      <c r="A205" s="1">
        <v>203</v>
      </c>
      <c r="B205" s="1" t="s">
        <v>292</v>
      </c>
      <c r="C205" s="1" t="s">
        <v>767</v>
      </c>
      <c r="D205" s="889" t="s">
        <v>421</v>
      </c>
      <c r="E205" s="889"/>
      <c r="F205" s="889"/>
    </row>
    <row r="206" spans="1:6" x14ac:dyDescent="0.35">
      <c r="A206" s="1">
        <v>204</v>
      </c>
      <c r="B206" s="1" t="s">
        <v>213</v>
      </c>
      <c r="C206" s="1" t="s">
        <v>40</v>
      </c>
      <c r="D206" s="889" t="s">
        <v>421</v>
      </c>
      <c r="E206" s="889"/>
      <c r="F206" s="889"/>
    </row>
    <row r="207" spans="1:6" x14ac:dyDescent="0.35">
      <c r="A207" s="1">
        <v>205</v>
      </c>
      <c r="B207" s="45" t="s">
        <v>36</v>
      </c>
      <c r="C207" s="1" t="s">
        <v>31</v>
      </c>
      <c r="D207" s="889" t="s">
        <v>421</v>
      </c>
      <c r="E207" s="889"/>
      <c r="F207" s="889"/>
    </row>
    <row r="208" spans="1:6" x14ac:dyDescent="0.35">
      <c r="A208" s="1">
        <v>206</v>
      </c>
      <c r="B208" s="1" t="s">
        <v>230</v>
      </c>
      <c r="C208" s="1" t="s">
        <v>16</v>
      </c>
      <c r="D208" s="889" t="s">
        <v>421</v>
      </c>
      <c r="E208" s="889"/>
      <c r="F208" s="889"/>
    </row>
    <row r="209" spans="1:6" x14ac:dyDescent="0.35">
      <c r="A209" s="1">
        <v>207</v>
      </c>
      <c r="B209" s="44" t="s">
        <v>161</v>
      </c>
      <c r="C209" s="1" t="s">
        <v>162</v>
      </c>
      <c r="D209" s="889" t="s">
        <v>421</v>
      </c>
      <c r="E209" s="889"/>
      <c r="F209" s="889"/>
    </row>
    <row r="210" spans="1:6" x14ac:dyDescent="0.35">
      <c r="A210" s="1">
        <v>208</v>
      </c>
      <c r="B210" s="1" t="s">
        <v>267</v>
      </c>
      <c r="C210" s="1" t="s">
        <v>28</v>
      </c>
      <c r="D210" s="889" t="s">
        <v>421</v>
      </c>
      <c r="E210" s="889"/>
      <c r="F210" s="889"/>
    </row>
    <row r="211" spans="1:6" x14ac:dyDescent="0.35">
      <c r="A211" s="1">
        <v>209</v>
      </c>
      <c r="B211" s="45" t="s">
        <v>85</v>
      </c>
      <c r="C211" s="1" t="s">
        <v>31</v>
      </c>
      <c r="D211" s="889" t="s">
        <v>421</v>
      </c>
      <c r="E211" s="889"/>
      <c r="F211" s="889"/>
    </row>
    <row r="212" spans="1:6" x14ac:dyDescent="0.35">
      <c r="A212" s="1">
        <v>210</v>
      </c>
      <c r="B212" s="44" t="s">
        <v>82</v>
      </c>
      <c r="C212" s="1" t="s">
        <v>23</v>
      </c>
      <c r="D212" s="889" t="s">
        <v>421</v>
      </c>
      <c r="E212" s="889"/>
      <c r="F212" s="889"/>
    </row>
    <row r="213" spans="1:6" x14ac:dyDescent="0.35">
      <c r="A213" s="1">
        <v>211</v>
      </c>
      <c r="B213" s="44" t="s">
        <v>86</v>
      </c>
      <c r="C213" s="1" t="s">
        <v>31</v>
      </c>
      <c r="D213" s="889" t="s">
        <v>421</v>
      </c>
      <c r="E213" s="889"/>
      <c r="F213" s="889"/>
    </row>
    <row r="214" spans="1:6" x14ac:dyDescent="0.35">
      <c r="A214" s="1">
        <v>212</v>
      </c>
      <c r="B214" s="44" t="s">
        <v>87</v>
      </c>
      <c r="C214" s="1" t="s">
        <v>23</v>
      </c>
      <c r="D214" s="889" t="s">
        <v>421</v>
      </c>
      <c r="E214" s="889"/>
      <c r="F214" s="889"/>
    </row>
    <row r="215" spans="1:6" x14ac:dyDescent="0.35">
      <c r="A215" s="1">
        <v>213</v>
      </c>
      <c r="B215" s="1" t="s">
        <v>186</v>
      </c>
      <c r="C215" s="1" t="s">
        <v>113</v>
      </c>
      <c r="D215" s="889" t="s">
        <v>421</v>
      </c>
      <c r="E215" s="889"/>
      <c r="F215" s="889"/>
    </row>
    <row r="216" spans="1:6" x14ac:dyDescent="0.35">
      <c r="A216" s="1">
        <v>214</v>
      </c>
      <c r="B216" s="44" t="s">
        <v>81</v>
      </c>
      <c r="C216" s="1" t="s">
        <v>31</v>
      </c>
      <c r="D216" s="889" t="s">
        <v>421</v>
      </c>
      <c r="E216" s="889"/>
      <c r="F216" s="889"/>
    </row>
    <row r="217" spans="1:6" x14ac:dyDescent="0.35">
      <c r="A217" s="1">
        <v>215</v>
      </c>
      <c r="B217" s="44" t="s">
        <v>83</v>
      </c>
      <c r="C217" s="1" t="s">
        <v>31</v>
      </c>
      <c r="D217" s="889" t="s">
        <v>421</v>
      </c>
      <c r="E217" s="889"/>
      <c r="F217" s="889"/>
    </row>
    <row r="218" spans="1:6" x14ac:dyDescent="0.35">
      <c r="A218" s="1">
        <v>216</v>
      </c>
      <c r="B218" s="1" t="s">
        <v>226</v>
      </c>
      <c r="C218" s="1" t="s">
        <v>35</v>
      </c>
      <c r="D218" s="892" t="s">
        <v>421</v>
      </c>
      <c r="E218" s="893"/>
      <c r="F218" s="894"/>
    </row>
    <row r="219" spans="1:6" x14ac:dyDescent="0.35">
      <c r="A219" s="1">
        <v>217</v>
      </c>
      <c r="B219" s="639" t="s">
        <v>59</v>
      </c>
      <c r="C219" s="407" t="s">
        <v>31</v>
      </c>
      <c r="D219" s="892" t="s">
        <v>421</v>
      </c>
      <c r="E219" s="893"/>
      <c r="F219" s="894"/>
    </row>
    <row r="220" spans="1:6" x14ac:dyDescent="0.35">
      <c r="A220" s="1">
        <v>218</v>
      </c>
      <c r="B220" s="640" t="s">
        <v>74</v>
      </c>
      <c r="C220" s="408" t="s">
        <v>31</v>
      </c>
      <c r="D220" s="892" t="s">
        <v>421</v>
      </c>
      <c r="E220" s="893"/>
      <c r="F220" s="894"/>
    </row>
    <row r="221" spans="1:6" x14ac:dyDescent="0.35">
      <c r="A221" s="1">
        <v>219</v>
      </c>
      <c r="B221" s="640" t="s">
        <v>75</v>
      </c>
      <c r="C221" s="408" t="s">
        <v>35</v>
      </c>
      <c r="D221" s="892" t="s">
        <v>421</v>
      </c>
      <c r="E221" s="893"/>
      <c r="F221" s="894"/>
    </row>
    <row r="222" spans="1:6" x14ac:dyDescent="0.35">
      <c r="A222" s="1">
        <v>220</v>
      </c>
      <c r="B222" s="640" t="s">
        <v>76</v>
      </c>
      <c r="C222" s="408" t="s">
        <v>31</v>
      </c>
      <c r="D222" s="892" t="s">
        <v>421</v>
      </c>
      <c r="E222" s="893"/>
      <c r="F222" s="894"/>
    </row>
    <row r="223" spans="1:6" x14ac:dyDescent="0.35">
      <c r="A223" s="1">
        <v>221</v>
      </c>
      <c r="B223" s="641" t="s">
        <v>140</v>
      </c>
      <c r="C223" s="407" t="s">
        <v>31</v>
      </c>
      <c r="D223" s="892" t="s">
        <v>421</v>
      </c>
      <c r="E223" s="893"/>
      <c r="F223" s="894"/>
    </row>
    <row r="224" spans="1:6" x14ac:dyDescent="0.35">
      <c r="A224" s="1">
        <v>222</v>
      </c>
      <c r="B224" s="409" t="s">
        <v>147</v>
      </c>
      <c r="C224" s="409" t="s">
        <v>148</v>
      </c>
      <c r="D224" s="892" t="s">
        <v>421</v>
      </c>
      <c r="E224" s="893"/>
      <c r="F224" s="894"/>
    </row>
    <row r="225" spans="1:8" x14ac:dyDescent="0.35">
      <c r="A225" s="1">
        <v>223</v>
      </c>
      <c r="B225" s="409" t="s">
        <v>155</v>
      </c>
      <c r="C225" s="409" t="s">
        <v>156</v>
      </c>
      <c r="D225" s="889" t="s">
        <v>421</v>
      </c>
      <c r="E225" s="889"/>
      <c r="F225" s="889"/>
    </row>
    <row r="226" spans="1:8" x14ac:dyDescent="0.35">
      <c r="A226" s="1">
        <v>224</v>
      </c>
      <c r="B226" s="641" t="s">
        <v>165</v>
      </c>
      <c r="C226" s="407" t="s">
        <v>35</v>
      </c>
      <c r="D226" s="889" t="s">
        <v>421</v>
      </c>
      <c r="E226" s="889"/>
      <c r="F226" s="889"/>
    </row>
    <row r="227" spans="1:8" x14ac:dyDescent="0.35">
      <c r="A227" s="1">
        <v>225</v>
      </c>
      <c r="B227" s="45" t="s">
        <v>24</v>
      </c>
      <c r="C227" s="1" t="s">
        <v>16</v>
      </c>
      <c r="D227" s="889" t="s">
        <v>421</v>
      </c>
      <c r="E227" s="889"/>
      <c r="F227" s="889"/>
    </row>
    <row r="228" spans="1:8" x14ac:dyDescent="0.35">
      <c r="A228" s="1">
        <v>226</v>
      </c>
      <c r="B228" s="1" t="s">
        <v>216</v>
      </c>
      <c r="C228" s="1" t="s">
        <v>33</v>
      </c>
      <c r="D228" s="889" t="s">
        <v>421</v>
      </c>
      <c r="E228" s="889"/>
      <c r="F228" s="889"/>
    </row>
    <row r="229" spans="1:8" x14ac:dyDescent="0.35">
      <c r="A229" s="1">
        <v>227</v>
      </c>
      <c r="B229" s="45" t="s">
        <v>13</v>
      </c>
      <c r="C229" s="1" t="s">
        <v>14</v>
      </c>
      <c r="D229" s="889" t="s">
        <v>421</v>
      </c>
      <c r="E229" s="889"/>
      <c r="F229" s="889"/>
    </row>
    <row r="230" spans="1:8" x14ac:dyDescent="0.35">
      <c r="A230" s="1">
        <v>228</v>
      </c>
      <c r="B230" s="45" t="s">
        <v>22</v>
      </c>
      <c r="C230" s="1" t="s">
        <v>23</v>
      </c>
      <c r="D230" s="889" t="s">
        <v>421</v>
      </c>
      <c r="E230" s="889"/>
      <c r="F230" s="889"/>
    </row>
    <row r="231" spans="1:8" x14ac:dyDescent="0.35">
      <c r="A231" s="1">
        <v>229</v>
      </c>
      <c r="B231" s="1" t="s">
        <v>243</v>
      </c>
      <c r="C231" s="1" t="s">
        <v>31</v>
      </c>
      <c r="D231" s="889" t="s">
        <v>421</v>
      </c>
      <c r="E231" s="889"/>
      <c r="F231" s="889"/>
      <c r="H231" s="528">
        <v>46147</v>
      </c>
    </row>
    <row r="232" spans="1:8" x14ac:dyDescent="0.35">
      <c r="A232" s="1">
        <v>230</v>
      </c>
      <c r="B232" s="1" t="s">
        <v>284</v>
      </c>
      <c r="C232" s="1" t="s">
        <v>146</v>
      </c>
      <c r="D232" s="889" t="s">
        <v>421</v>
      </c>
      <c r="E232" s="889"/>
      <c r="F232" s="889"/>
    </row>
    <row r="233" spans="1:8" x14ac:dyDescent="0.35">
      <c r="A233" s="1">
        <v>231</v>
      </c>
      <c r="B233" s="636" t="s">
        <v>17</v>
      </c>
      <c r="C233" s="1" t="s">
        <v>18</v>
      </c>
      <c r="D233" s="889" t="s">
        <v>421</v>
      </c>
      <c r="E233" s="889"/>
      <c r="F233" s="889"/>
    </row>
    <row r="234" spans="1:8" x14ac:dyDescent="0.35">
      <c r="A234" s="1">
        <v>232</v>
      </c>
      <c r="B234" s="1" t="s">
        <v>265</v>
      </c>
      <c r="C234" s="1" t="s">
        <v>33</v>
      </c>
      <c r="D234" s="889" t="s">
        <v>421</v>
      </c>
      <c r="E234" s="889"/>
      <c r="F234" s="889"/>
    </row>
    <row r="235" spans="1:8" x14ac:dyDescent="0.35">
      <c r="A235" s="1">
        <v>233</v>
      </c>
      <c r="B235" s="45" t="s">
        <v>25</v>
      </c>
      <c r="C235" s="1" t="s">
        <v>23</v>
      </c>
      <c r="D235" s="889" t="s">
        <v>421</v>
      </c>
      <c r="E235" s="889"/>
      <c r="F235" s="889"/>
    </row>
    <row r="236" spans="1:8" x14ac:dyDescent="0.35">
      <c r="A236" s="1">
        <v>234</v>
      </c>
      <c r="B236" s="44" t="s">
        <v>88</v>
      </c>
      <c r="C236" s="1" t="s">
        <v>33</v>
      </c>
      <c r="D236" s="889" t="s">
        <v>421</v>
      </c>
      <c r="E236" s="889"/>
      <c r="F236" s="889"/>
    </row>
    <row r="237" spans="1:8" x14ac:dyDescent="0.35">
      <c r="A237" s="1">
        <v>235</v>
      </c>
      <c r="B237" s="44" t="s">
        <v>10</v>
      </c>
      <c r="C237" s="1" t="s">
        <v>9</v>
      </c>
      <c r="D237" s="889" t="s">
        <v>421</v>
      </c>
      <c r="E237" s="889"/>
      <c r="F237" s="889"/>
    </row>
    <row r="238" spans="1:8" x14ac:dyDescent="0.35">
      <c r="A238" s="1">
        <v>236</v>
      </c>
      <c r="B238" s="44" t="s">
        <v>11</v>
      </c>
      <c r="C238" s="1" t="s">
        <v>12</v>
      </c>
      <c r="D238" s="889" t="s">
        <v>421</v>
      </c>
      <c r="E238" s="889"/>
      <c r="F238" s="889"/>
    </row>
    <row r="239" spans="1:8" x14ac:dyDescent="0.35">
      <c r="A239" s="1">
        <v>237</v>
      </c>
      <c r="B239" s="44" t="s">
        <v>15</v>
      </c>
      <c r="C239" s="1" t="s">
        <v>16</v>
      </c>
      <c r="D239" s="889" t="s">
        <v>421</v>
      </c>
      <c r="E239" s="889"/>
      <c r="F239" s="889"/>
    </row>
    <row r="240" spans="1:8" x14ac:dyDescent="0.35">
      <c r="A240" s="1">
        <v>238</v>
      </c>
      <c r="B240" s="44" t="s">
        <v>37</v>
      </c>
      <c r="C240" s="1" t="s">
        <v>31</v>
      </c>
      <c r="D240" s="889" t="s">
        <v>421</v>
      </c>
      <c r="E240" s="889"/>
      <c r="F240" s="889"/>
    </row>
    <row r="241" spans="1:6" x14ac:dyDescent="0.35">
      <c r="A241" s="1">
        <v>239</v>
      </c>
      <c r="B241" s="44" t="s">
        <v>38</v>
      </c>
      <c r="C241" s="1" t="s">
        <v>23</v>
      </c>
      <c r="D241" s="889" t="s">
        <v>421</v>
      </c>
      <c r="E241" s="889"/>
      <c r="F241" s="889"/>
    </row>
    <row r="242" spans="1:6" x14ac:dyDescent="0.35">
      <c r="A242" s="1">
        <v>240</v>
      </c>
      <c r="B242" s="45" t="s">
        <v>124</v>
      </c>
      <c r="C242" s="1" t="s">
        <v>23</v>
      </c>
      <c r="D242" s="889" t="s">
        <v>421</v>
      </c>
      <c r="E242" s="889"/>
      <c r="F242" s="889"/>
    </row>
    <row r="243" spans="1:6" x14ac:dyDescent="0.35">
      <c r="A243" s="1">
        <v>241</v>
      </c>
      <c r="B243" s="45" t="s">
        <v>125</v>
      </c>
      <c r="C243" s="1" t="s">
        <v>31</v>
      </c>
      <c r="D243" s="889" t="s">
        <v>421</v>
      </c>
      <c r="E243" s="889"/>
      <c r="F243" s="889"/>
    </row>
    <row r="244" spans="1:6" x14ac:dyDescent="0.35">
      <c r="A244" s="1">
        <v>242</v>
      </c>
      <c r="B244" s="44" t="s">
        <v>129</v>
      </c>
      <c r="C244" s="1" t="s">
        <v>16</v>
      </c>
      <c r="D244" s="889" t="s">
        <v>421</v>
      </c>
      <c r="E244" s="889"/>
      <c r="F244" s="889"/>
    </row>
    <row r="245" spans="1:6" x14ac:dyDescent="0.35">
      <c r="A245" s="1">
        <v>243</v>
      </c>
      <c r="B245" s="44" t="s">
        <v>131</v>
      </c>
      <c r="C245" s="1" t="s">
        <v>33</v>
      </c>
      <c r="D245" s="889" t="s">
        <v>421</v>
      </c>
      <c r="E245" s="889"/>
      <c r="F245" s="889"/>
    </row>
  </sheetData>
  <autoFilter ref="A2:F226" xr:uid="{00000000-0009-0000-0000-000004000000}"/>
  <mergeCells count="244">
    <mergeCell ref="D235:F235"/>
    <mergeCell ref="D236:F236"/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  <mergeCell ref="D234:F234"/>
    <mergeCell ref="D233:F233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  <mergeCell ref="D154:F154"/>
    <mergeCell ref="D184:F184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</mergeCells>
  <conditionalFormatting sqref="B1:B1048576">
    <cfRule type="duplicateValues" dxfId="4" priority="1"/>
    <cfRule type="duplicateValues" dxfId="3" priority="2"/>
    <cfRule type="duplicateValues" dxfId="2" priority="3"/>
    <cfRule type="duplicateValues" dxfId="1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4"/>
  <sheetViews>
    <sheetView zoomScale="76" workbookViewId="0">
      <selection activeCell="G7" sqref="G7"/>
    </sheetView>
  </sheetViews>
  <sheetFormatPr defaultRowHeight="14.5" x14ac:dyDescent="0.35"/>
  <cols>
    <col min="2" max="2" width="10.81640625" customWidth="1"/>
    <col min="3" max="3" width="13.81640625" customWidth="1"/>
    <col min="4" max="4" width="13.179687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2" ht="15" thickBot="1" x14ac:dyDescent="0.4"/>
    <row r="2" spans="2:12" ht="31.5" customHeight="1" x14ac:dyDescent="0.35">
      <c r="B2" s="178" t="s">
        <v>632</v>
      </c>
      <c r="C2" s="901" t="s">
        <v>633</v>
      </c>
      <c r="D2" s="902"/>
      <c r="E2" s="902"/>
      <c r="F2" s="902"/>
      <c r="G2" s="902"/>
      <c r="H2" s="902"/>
      <c r="I2" s="902"/>
      <c r="J2" s="903"/>
      <c r="K2" s="181"/>
      <c r="L2" s="159"/>
    </row>
    <row r="3" spans="2:12" ht="15.5" x14ac:dyDescent="0.35">
      <c r="B3" s="179" t="s">
        <v>634</v>
      </c>
      <c r="C3" s="904" t="s">
        <v>635</v>
      </c>
      <c r="D3" s="905"/>
      <c r="E3" s="905"/>
      <c r="F3" s="905"/>
      <c r="G3" s="905"/>
      <c r="H3" s="905"/>
      <c r="I3" s="905"/>
      <c r="J3" s="906"/>
      <c r="K3" s="181"/>
      <c r="L3" s="159"/>
    </row>
    <row r="4" spans="2:12" ht="15.75" customHeight="1" x14ac:dyDescent="0.35">
      <c r="B4" s="179" t="s">
        <v>636</v>
      </c>
      <c r="C4" s="904" t="s">
        <v>637</v>
      </c>
      <c r="D4" s="905"/>
      <c r="E4" s="905"/>
      <c r="F4" s="905"/>
      <c r="G4" s="905"/>
      <c r="H4" s="905"/>
      <c r="I4" s="905"/>
      <c r="J4" s="906"/>
      <c r="K4" s="181"/>
      <c r="L4" s="159"/>
    </row>
    <row r="5" spans="2:12" ht="31.5" thickBot="1" x14ac:dyDescent="0.4">
      <c r="B5" s="180" t="s">
        <v>638</v>
      </c>
      <c r="C5" s="898">
        <v>46166</v>
      </c>
      <c r="D5" s="899"/>
      <c r="E5" s="899"/>
      <c r="F5" s="899"/>
      <c r="G5" s="899"/>
      <c r="H5" s="899"/>
      <c r="I5" s="899"/>
      <c r="J5" s="900"/>
      <c r="K5" s="182"/>
      <c r="L5" s="159"/>
    </row>
    <row r="6" spans="2:12" ht="19" thickBot="1" x14ac:dyDescent="0.4">
      <c r="B6" s="895" t="s">
        <v>639</v>
      </c>
      <c r="C6" s="896"/>
      <c r="D6" s="896"/>
      <c r="E6" s="896"/>
      <c r="F6" s="896"/>
      <c r="G6" s="896"/>
      <c r="H6" s="896"/>
      <c r="I6" s="896"/>
      <c r="J6" s="897"/>
      <c r="K6" s="161"/>
      <c r="L6" s="159"/>
    </row>
    <row r="7" spans="2:12" ht="78" thickBot="1" x14ac:dyDescent="0.4">
      <c r="B7" s="259" t="s">
        <v>640</v>
      </c>
      <c r="C7" s="260" t="s">
        <v>641</v>
      </c>
      <c r="D7" s="260" t="s">
        <v>642</v>
      </c>
      <c r="E7" s="260" t="s">
        <v>643</v>
      </c>
      <c r="F7" s="260" t="s">
        <v>878</v>
      </c>
      <c r="G7" s="260" t="s">
        <v>644</v>
      </c>
      <c r="H7" s="260" t="s">
        <v>645</v>
      </c>
      <c r="I7" s="260" t="s">
        <v>646</v>
      </c>
      <c r="J7" s="261" t="s">
        <v>371</v>
      </c>
      <c r="K7" s="159"/>
      <c r="L7" s="159"/>
    </row>
    <row r="8" spans="2:12" ht="15.5" x14ac:dyDescent="0.35">
      <c r="B8" s="254">
        <v>1</v>
      </c>
      <c r="C8" s="255" t="s">
        <v>647</v>
      </c>
      <c r="D8" s="256" t="s">
        <v>648</v>
      </c>
      <c r="E8" s="256">
        <v>309</v>
      </c>
      <c r="F8" s="257">
        <v>306</v>
      </c>
      <c r="G8" s="257">
        <f>272+9</f>
        <v>281</v>
      </c>
      <c r="H8" s="257"/>
      <c r="I8" s="257">
        <f t="shared" ref="I8:I13" si="0">E8-G8</f>
        <v>28</v>
      </c>
      <c r="J8" s="258"/>
      <c r="K8" s="162"/>
      <c r="L8" s="162"/>
    </row>
    <row r="9" spans="2:12" ht="15.5" x14ac:dyDescent="0.35">
      <c r="B9" s="172">
        <v>2</v>
      </c>
      <c r="C9" s="163" t="s">
        <v>649</v>
      </c>
      <c r="D9" s="160" t="s">
        <v>648</v>
      </c>
      <c r="E9" s="164">
        <v>309</v>
      </c>
      <c r="F9" s="164">
        <v>230</v>
      </c>
      <c r="G9" s="164">
        <v>271</v>
      </c>
      <c r="H9" s="164"/>
      <c r="I9" s="164">
        <f t="shared" si="0"/>
        <v>38</v>
      </c>
      <c r="J9" s="246"/>
      <c r="K9" s="162"/>
      <c r="L9" s="162"/>
    </row>
    <row r="10" spans="2:12" ht="31" x14ac:dyDescent="0.35">
      <c r="B10" s="172">
        <v>3</v>
      </c>
      <c r="C10" s="163" t="s">
        <v>650</v>
      </c>
      <c r="D10" s="160" t="s">
        <v>666</v>
      </c>
      <c r="E10" s="164">
        <v>4343</v>
      </c>
      <c r="F10" s="160">
        <v>3900</v>
      </c>
      <c r="G10" s="164">
        <v>4300.4179999999997</v>
      </c>
      <c r="H10" s="431"/>
      <c r="I10" s="164">
        <f t="shared" si="0"/>
        <v>42.582000000000335</v>
      </c>
      <c r="J10" s="247" t="s">
        <v>651</v>
      </c>
      <c r="K10" s="162"/>
      <c r="L10" s="162"/>
    </row>
    <row r="11" spans="2:12" ht="31.5" thickBot="1" x14ac:dyDescent="0.4">
      <c r="B11" s="172">
        <v>4</v>
      </c>
      <c r="C11" s="163" t="s">
        <v>652</v>
      </c>
      <c r="D11" s="167" t="s">
        <v>653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 t="shared" si="0"/>
        <v>243.19999999999982</v>
      </c>
      <c r="J11" s="247" t="s">
        <v>654</v>
      </c>
      <c r="K11" s="162"/>
      <c r="L11" s="162"/>
    </row>
    <row r="12" spans="2:12" ht="31.5" thickBot="1" x14ac:dyDescent="0.4">
      <c r="B12" s="172">
        <v>5</v>
      </c>
      <c r="C12" s="163" t="s">
        <v>655</v>
      </c>
      <c r="D12" s="160" t="s">
        <v>665</v>
      </c>
      <c r="E12" s="160">
        <v>13552</v>
      </c>
      <c r="F12" s="160">
        <v>11388</v>
      </c>
      <c r="G12" s="413">
        <v>12832</v>
      </c>
      <c r="H12" s="160"/>
      <c r="I12" s="164">
        <f t="shared" si="0"/>
        <v>720</v>
      </c>
      <c r="J12" s="247" t="s">
        <v>656</v>
      </c>
      <c r="K12" s="252" t="s">
        <v>1935</v>
      </c>
      <c r="L12" s="253" t="s">
        <v>2062</v>
      </c>
    </row>
    <row r="13" spans="2:12" ht="31" x14ac:dyDescent="0.35">
      <c r="B13" s="172">
        <v>6</v>
      </c>
      <c r="C13" s="163" t="s">
        <v>657</v>
      </c>
      <c r="D13" s="160" t="s">
        <v>658</v>
      </c>
      <c r="E13" s="160">
        <v>121</v>
      </c>
      <c r="F13" s="168">
        <v>0.85</v>
      </c>
      <c r="G13" s="164">
        <v>84</v>
      </c>
      <c r="H13" s="160"/>
      <c r="I13" s="164">
        <f t="shared" si="0"/>
        <v>37</v>
      </c>
      <c r="J13" s="247" t="s">
        <v>659</v>
      </c>
      <c r="K13" s="166"/>
      <c r="L13" s="162"/>
    </row>
    <row r="14" spans="2:12" ht="31.5" thickBot="1" x14ac:dyDescent="0.4">
      <c r="B14" s="174">
        <v>7</v>
      </c>
      <c r="C14" s="248" t="s">
        <v>386</v>
      </c>
      <c r="D14" s="249" t="s">
        <v>2064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660</v>
      </c>
      <c r="K14" s="162"/>
      <c r="L14" s="162"/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topLeftCell="A199" zoomScale="55" zoomScaleNormal="55" workbookViewId="0">
      <selection activeCell="D222" sqref="D222"/>
    </sheetView>
  </sheetViews>
  <sheetFormatPr defaultRowHeight="12.5" x14ac:dyDescent="0.35"/>
  <cols>
    <col min="1" max="1" width="7.81640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81640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81640625" style="288" customWidth="1"/>
    <col min="13" max="13" width="7.81640625" style="288" customWidth="1"/>
    <col min="14" max="15" width="8.81640625" style="288" customWidth="1"/>
    <col min="16" max="16" width="7.81640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81640625" style="288" customWidth="1"/>
    <col min="22" max="22" width="17.1796875" style="288" customWidth="1"/>
    <col min="23" max="23" width="40.81640625" style="288" customWidth="1"/>
    <col min="24" max="24" width="24.1796875" style="288" bestFit="1" customWidth="1"/>
    <col min="25" max="25" width="12.81640625" style="288" customWidth="1"/>
    <col min="26" max="26" width="9.1796875" style="288" bestFit="1" customWidth="1"/>
    <col min="27" max="27" width="4.81640625" style="288" bestFit="1" customWidth="1"/>
    <col min="28" max="28" width="4.1796875" style="288" customWidth="1"/>
    <col min="29" max="30" width="4.81640625" style="288" bestFit="1" customWidth="1"/>
    <col min="31" max="256" width="9.1796875" style="288"/>
    <col min="257" max="257" width="7.81640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81640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81640625" style="288" customWidth="1"/>
    <col min="269" max="269" width="7.81640625" style="288" customWidth="1"/>
    <col min="270" max="271" width="8.81640625" style="288" customWidth="1"/>
    <col min="272" max="272" width="7.81640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81640625" style="288" customWidth="1"/>
    <col min="278" max="278" width="17.1796875" style="288" customWidth="1"/>
    <col min="279" max="279" width="40.81640625" style="288" customWidth="1"/>
    <col min="280" max="280" width="24.1796875" style="288" bestFit="1" customWidth="1"/>
    <col min="281" max="281" width="12.81640625" style="288" customWidth="1"/>
    <col min="282" max="282" width="9.1796875" style="288" bestFit="1" customWidth="1"/>
    <col min="283" max="283" width="4.81640625" style="288" bestFit="1" customWidth="1"/>
    <col min="284" max="284" width="4.1796875" style="288" customWidth="1"/>
    <col min="285" max="286" width="4.81640625" style="288" bestFit="1" customWidth="1"/>
    <col min="287" max="512" width="9.1796875" style="288"/>
    <col min="513" max="513" width="7.81640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81640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81640625" style="288" customWidth="1"/>
    <col min="525" max="525" width="7.81640625" style="288" customWidth="1"/>
    <col min="526" max="527" width="8.81640625" style="288" customWidth="1"/>
    <col min="528" max="528" width="7.81640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81640625" style="288" customWidth="1"/>
    <col min="534" max="534" width="17.1796875" style="288" customWidth="1"/>
    <col min="535" max="535" width="40.81640625" style="288" customWidth="1"/>
    <col min="536" max="536" width="24.1796875" style="288" bestFit="1" customWidth="1"/>
    <col min="537" max="537" width="12.81640625" style="288" customWidth="1"/>
    <col min="538" max="538" width="9.1796875" style="288" bestFit="1" customWidth="1"/>
    <col min="539" max="539" width="4.81640625" style="288" bestFit="1" customWidth="1"/>
    <col min="540" max="540" width="4.1796875" style="288" customWidth="1"/>
    <col min="541" max="542" width="4.81640625" style="288" bestFit="1" customWidth="1"/>
    <col min="543" max="768" width="9.1796875" style="288"/>
    <col min="769" max="769" width="7.81640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81640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81640625" style="288" customWidth="1"/>
    <col min="781" max="781" width="7.81640625" style="288" customWidth="1"/>
    <col min="782" max="783" width="8.81640625" style="288" customWidth="1"/>
    <col min="784" max="784" width="7.81640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81640625" style="288" customWidth="1"/>
    <col min="790" max="790" width="17.1796875" style="288" customWidth="1"/>
    <col min="791" max="791" width="40.81640625" style="288" customWidth="1"/>
    <col min="792" max="792" width="24.1796875" style="288" bestFit="1" customWidth="1"/>
    <col min="793" max="793" width="12.81640625" style="288" customWidth="1"/>
    <col min="794" max="794" width="9.1796875" style="288" bestFit="1" customWidth="1"/>
    <col min="795" max="795" width="4.81640625" style="288" bestFit="1" customWidth="1"/>
    <col min="796" max="796" width="4.1796875" style="288" customWidth="1"/>
    <col min="797" max="798" width="4.81640625" style="288" bestFit="1" customWidth="1"/>
    <col min="799" max="1024" width="9.1796875" style="288"/>
    <col min="1025" max="1025" width="7.81640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81640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81640625" style="288" customWidth="1"/>
    <col min="1037" max="1037" width="7.81640625" style="288" customWidth="1"/>
    <col min="1038" max="1039" width="8.81640625" style="288" customWidth="1"/>
    <col min="1040" max="1040" width="7.81640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81640625" style="288" customWidth="1"/>
    <col min="1046" max="1046" width="17.1796875" style="288" customWidth="1"/>
    <col min="1047" max="1047" width="40.81640625" style="288" customWidth="1"/>
    <col min="1048" max="1048" width="24.1796875" style="288" bestFit="1" customWidth="1"/>
    <col min="1049" max="1049" width="12.81640625" style="288" customWidth="1"/>
    <col min="1050" max="1050" width="9.1796875" style="288" bestFit="1" customWidth="1"/>
    <col min="1051" max="1051" width="4.81640625" style="288" bestFit="1" customWidth="1"/>
    <col min="1052" max="1052" width="4.1796875" style="288" customWidth="1"/>
    <col min="1053" max="1054" width="4.81640625" style="288" bestFit="1" customWidth="1"/>
    <col min="1055" max="1280" width="9.1796875" style="288"/>
    <col min="1281" max="1281" width="7.81640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81640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81640625" style="288" customWidth="1"/>
    <col min="1293" max="1293" width="7.81640625" style="288" customWidth="1"/>
    <col min="1294" max="1295" width="8.81640625" style="288" customWidth="1"/>
    <col min="1296" max="1296" width="7.81640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81640625" style="288" customWidth="1"/>
    <col min="1302" max="1302" width="17.1796875" style="288" customWidth="1"/>
    <col min="1303" max="1303" width="40.81640625" style="288" customWidth="1"/>
    <col min="1304" max="1304" width="24.1796875" style="288" bestFit="1" customWidth="1"/>
    <col min="1305" max="1305" width="12.81640625" style="288" customWidth="1"/>
    <col min="1306" max="1306" width="9.1796875" style="288" bestFit="1" customWidth="1"/>
    <col min="1307" max="1307" width="4.81640625" style="288" bestFit="1" customWidth="1"/>
    <col min="1308" max="1308" width="4.1796875" style="288" customWidth="1"/>
    <col min="1309" max="1310" width="4.81640625" style="288" bestFit="1" customWidth="1"/>
    <col min="1311" max="1536" width="9.1796875" style="288"/>
    <col min="1537" max="1537" width="7.81640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81640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81640625" style="288" customWidth="1"/>
    <col min="1549" max="1549" width="7.81640625" style="288" customWidth="1"/>
    <col min="1550" max="1551" width="8.81640625" style="288" customWidth="1"/>
    <col min="1552" max="1552" width="7.81640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81640625" style="288" customWidth="1"/>
    <col min="1558" max="1558" width="17.1796875" style="288" customWidth="1"/>
    <col min="1559" max="1559" width="40.81640625" style="288" customWidth="1"/>
    <col min="1560" max="1560" width="24.1796875" style="288" bestFit="1" customWidth="1"/>
    <col min="1561" max="1561" width="12.81640625" style="288" customWidth="1"/>
    <col min="1562" max="1562" width="9.1796875" style="288" bestFit="1" customWidth="1"/>
    <col min="1563" max="1563" width="4.81640625" style="288" bestFit="1" customWidth="1"/>
    <col min="1564" max="1564" width="4.1796875" style="288" customWidth="1"/>
    <col min="1565" max="1566" width="4.81640625" style="288" bestFit="1" customWidth="1"/>
    <col min="1567" max="1792" width="9.1796875" style="288"/>
    <col min="1793" max="1793" width="7.81640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81640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81640625" style="288" customWidth="1"/>
    <col min="1805" max="1805" width="7.81640625" style="288" customWidth="1"/>
    <col min="1806" max="1807" width="8.81640625" style="288" customWidth="1"/>
    <col min="1808" max="1808" width="7.81640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81640625" style="288" customWidth="1"/>
    <col min="1814" max="1814" width="17.1796875" style="288" customWidth="1"/>
    <col min="1815" max="1815" width="40.81640625" style="288" customWidth="1"/>
    <col min="1816" max="1816" width="24.1796875" style="288" bestFit="1" customWidth="1"/>
    <col min="1817" max="1817" width="12.81640625" style="288" customWidth="1"/>
    <col min="1818" max="1818" width="9.1796875" style="288" bestFit="1" customWidth="1"/>
    <col min="1819" max="1819" width="4.81640625" style="288" bestFit="1" customWidth="1"/>
    <col min="1820" max="1820" width="4.1796875" style="288" customWidth="1"/>
    <col min="1821" max="1822" width="4.81640625" style="288" bestFit="1" customWidth="1"/>
    <col min="1823" max="2048" width="9.1796875" style="288"/>
    <col min="2049" max="2049" width="7.81640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81640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81640625" style="288" customWidth="1"/>
    <col min="2061" max="2061" width="7.81640625" style="288" customWidth="1"/>
    <col min="2062" max="2063" width="8.81640625" style="288" customWidth="1"/>
    <col min="2064" max="2064" width="7.81640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81640625" style="288" customWidth="1"/>
    <col min="2070" max="2070" width="17.1796875" style="288" customWidth="1"/>
    <col min="2071" max="2071" width="40.81640625" style="288" customWidth="1"/>
    <col min="2072" max="2072" width="24.1796875" style="288" bestFit="1" customWidth="1"/>
    <col min="2073" max="2073" width="12.81640625" style="288" customWidth="1"/>
    <col min="2074" max="2074" width="9.1796875" style="288" bestFit="1" customWidth="1"/>
    <col min="2075" max="2075" width="4.81640625" style="288" bestFit="1" customWidth="1"/>
    <col min="2076" max="2076" width="4.1796875" style="288" customWidth="1"/>
    <col min="2077" max="2078" width="4.81640625" style="288" bestFit="1" customWidth="1"/>
    <col min="2079" max="2304" width="9.1796875" style="288"/>
    <col min="2305" max="2305" width="7.81640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81640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81640625" style="288" customWidth="1"/>
    <col min="2317" max="2317" width="7.81640625" style="288" customWidth="1"/>
    <col min="2318" max="2319" width="8.81640625" style="288" customWidth="1"/>
    <col min="2320" max="2320" width="7.81640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81640625" style="288" customWidth="1"/>
    <col min="2326" max="2326" width="17.1796875" style="288" customWidth="1"/>
    <col min="2327" max="2327" width="40.81640625" style="288" customWidth="1"/>
    <col min="2328" max="2328" width="24.1796875" style="288" bestFit="1" customWidth="1"/>
    <col min="2329" max="2329" width="12.81640625" style="288" customWidth="1"/>
    <col min="2330" max="2330" width="9.1796875" style="288" bestFit="1" customWidth="1"/>
    <col min="2331" max="2331" width="4.81640625" style="288" bestFit="1" customWidth="1"/>
    <col min="2332" max="2332" width="4.1796875" style="288" customWidth="1"/>
    <col min="2333" max="2334" width="4.81640625" style="288" bestFit="1" customWidth="1"/>
    <col min="2335" max="2560" width="9.1796875" style="288"/>
    <col min="2561" max="2561" width="7.81640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81640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81640625" style="288" customWidth="1"/>
    <col min="2573" max="2573" width="7.81640625" style="288" customWidth="1"/>
    <col min="2574" max="2575" width="8.81640625" style="288" customWidth="1"/>
    <col min="2576" max="2576" width="7.81640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81640625" style="288" customWidth="1"/>
    <col min="2582" max="2582" width="17.1796875" style="288" customWidth="1"/>
    <col min="2583" max="2583" width="40.81640625" style="288" customWidth="1"/>
    <col min="2584" max="2584" width="24.1796875" style="288" bestFit="1" customWidth="1"/>
    <col min="2585" max="2585" width="12.81640625" style="288" customWidth="1"/>
    <col min="2586" max="2586" width="9.1796875" style="288" bestFit="1" customWidth="1"/>
    <col min="2587" max="2587" width="4.81640625" style="288" bestFit="1" customWidth="1"/>
    <col min="2588" max="2588" width="4.1796875" style="288" customWidth="1"/>
    <col min="2589" max="2590" width="4.81640625" style="288" bestFit="1" customWidth="1"/>
    <col min="2591" max="2816" width="9.1796875" style="288"/>
    <col min="2817" max="2817" width="7.81640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81640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81640625" style="288" customWidth="1"/>
    <col min="2829" max="2829" width="7.81640625" style="288" customWidth="1"/>
    <col min="2830" max="2831" width="8.81640625" style="288" customWidth="1"/>
    <col min="2832" max="2832" width="7.81640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81640625" style="288" customWidth="1"/>
    <col min="2838" max="2838" width="17.1796875" style="288" customWidth="1"/>
    <col min="2839" max="2839" width="40.81640625" style="288" customWidth="1"/>
    <col min="2840" max="2840" width="24.1796875" style="288" bestFit="1" customWidth="1"/>
    <col min="2841" max="2841" width="12.81640625" style="288" customWidth="1"/>
    <col min="2842" max="2842" width="9.1796875" style="288" bestFit="1" customWidth="1"/>
    <col min="2843" max="2843" width="4.81640625" style="288" bestFit="1" customWidth="1"/>
    <col min="2844" max="2844" width="4.1796875" style="288" customWidth="1"/>
    <col min="2845" max="2846" width="4.81640625" style="288" bestFit="1" customWidth="1"/>
    <col min="2847" max="3072" width="9.1796875" style="288"/>
    <col min="3073" max="3073" width="7.81640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81640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81640625" style="288" customWidth="1"/>
    <col min="3085" max="3085" width="7.81640625" style="288" customWidth="1"/>
    <col min="3086" max="3087" width="8.81640625" style="288" customWidth="1"/>
    <col min="3088" max="3088" width="7.81640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81640625" style="288" customWidth="1"/>
    <col min="3094" max="3094" width="17.1796875" style="288" customWidth="1"/>
    <col min="3095" max="3095" width="40.81640625" style="288" customWidth="1"/>
    <col min="3096" max="3096" width="24.1796875" style="288" bestFit="1" customWidth="1"/>
    <col min="3097" max="3097" width="12.81640625" style="288" customWidth="1"/>
    <col min="3098" max="3098" width="9.1796875" style="288" bestFit="1" customWidth="1"/>
    <col min="3099" max="3099" width="4.81640625" style="288" bestFit="1" customWidth="1"/>
    <col min="3100" max="3100" width="4.1796875" style="288" customWidth="1"/>
    <col min="3101" max="3102" width="4.81640625" style="288" bestFit="1" customWidth="1"/>
    <col min="3103" max="3328" width="9.1796875" style="288"/>
    <col min="3329" max="3329" width="7.81640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81640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81640625" style="288" customWidth="1"/>
    <col min="3341" max="3341" width="7.81640625" style="288" customWidth="1"/>
    <col min="3342" max="3343" width="8.81640625" style="288" customWidth="1"/>
    <col min="3344" max="3344" width="7.81640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81640625" style="288" customWidth="1"/>
    <col min="3350" max="3350" width="17.1796875" style="288" customWidth="1"/>
    <col min="3351" max="3351" width="40.81640625" style="288" customWidth="1"/>
    <col min="3352" max="3352" width="24.1796875" style="288" bestFit="1" customWidth="1"/>
    <col min="3353" max="3353" width="12.81640625" style="288" customWidth="1"/>
    <col min="3354" max="3354" width="9.1796875" style="288" bestFit="1" customWidth="1"/>
    <col min="3355" max="3355" width="4.81640625" style="288" bestFit="1" customWidth="1"/>
    <col min="3356" max="3356" width="4.1796875" style="288" customWidth="1"/>
    <col min="3357" max="3358" width="4.81640625" style="288" bestFit="1" customWidth="1"/>
    <col min="3359" max="3584" width="9.1796875" style="288"/>
    <col min="3585" max="3585" width="7.81640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81640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81640625" style="288" customWidth="1"/>
    <col min="3597" max="3597" width="7.81640625" style="288" customWidth="1"/>
    <col min="3598" max="3599" width="8.81640625" style="288" customWidth="1"/>
    <col min="3600" max="3600" width="7.81640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81640625" style="288" customWidth="1"/>
    <col min="3606" max="3606" width="17.1796875" style="288" customWidth="1"/>
    <col min="3607" max="3607" width="40.81640625" style="288" customWidth="1"/>
    <col min="3608" max="3608" width="24.1796875" style="288" bestFit="1" customWidth="1"/>
    <col min="3609" max="3609" width="12.81640625" style="288" customWidth="1"/>
    <col min="3610" max="3610" width="9.1796875" style="288" bestFit="1" customWidth="1"/>
    <col min="3611" max="3611" width="4.81640625" style="288" bestFit="1" customWidth="1"/>
    <col min="3612" max="3612" width="4.1796875" style="288" customWidth="1"/>
    <col min="3613" max="3614" width="4.81640625" style="288" bestFit="1" customWidth="1"/>
    <col min="3615" max="3840" width="9.1796875" style="288"/>
    <col min="3841" max="3841" width="7.81640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81640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81640625" style="288" customWidth="1"/>
    <col min="3853" max="3853" width="7.81640625" style="288" customWidth="1"/>
    <col min="3854" max="3855" width="8.81640625" style="288" customWidth="1"/>
    <col min="3856" max="3856" width="7.81640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81640625" style="288" customWidth="1"/>
    <col min="3862" max="3862" width="17.1796875" style="288" customWidth="1"/>
    <col min="3863" max="3863" width="40.81640625" style="288" customWidth="1"/>
    <col min="3864" max="3864" width="24.1796875" style="288" bestFit="1" customWidth="1"/>
    <col min="3865" max="3865" width="12.81640625" style="288" customWidth="1"/>
    <col min="3866" max="3866" width="9.1796875" style="288" bestFit="1" customWidth="1"/>
    <col min="3867" max="3867" width="4.81640625" style="288" bestFit="1" customWidth="1"/>
    <col min="3868" max="3868" width="4.1796875" style="288" customWidth="1"/>
    <col min="3869" max="3870" width="4.81640625" style="288" bestFit="1" customWidth="1"/>
    <col min="3871" max="4096" width="9.1796875" style="288"/>
    <col min="4097" max="4097" width="7.81640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81640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81640625" style="288" customWidth="1"/>
    <col min="4109" max="4109" width="7.81640625" style="288" customWidth="1"/>
    <col min="4110" max="4111" width="8.81640625" style="288" customWidth="1"/>
    <col min="4112" max="4112" width="7.81640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81640625" style="288" customWidth="1"/>
    <col min="4118" max="4118" width="17.1796875" style="288" customWidth="1"/>
    <col min="4119" max="4119" width="40.81640625" style="288" customWidth="1"/>
    <col min="4120" max="4120" width="24.1796875" style="288" bestFit="1" customWidth="1"/>
    <col min="4121" max="4121" width="12.81640625" style="288" customWidth="1"/>
    <col min="4122" max="4122" width="9.1796875" style="288" bestFit="1" customWidth="1"/>
    <col min="4123" max="4123" width="4.81640625" style="288" bestFit="1" customWidth="1"/>
    <col min="4124" max="4124" width="4.1796875" style="288" customWidth="1"/>
    <col min="4125" max="4126" width="4.81640625" style="288" bestFit="1" customWidth="1"/>
    <col min="4127" max="4352" width="9.1796875" style="288"/>
    <col min="4353" max="4353" width="7.81640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81640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81640625" style="288" customWidth="1"/>
    <col min="4365" max="4365" width="7.81640625" style="288" customWidth="1"/>
    <col min="4366" max="4367" width="8.81640625" style="288" customWidth="1"/>
    <col min="4368" max="4368" width="7.81640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81640625" style="288" customWidth="1"/>
    <col min="4374" max="4374" width="17.1796875" style="288" customWidth="1"/>
    <col min="4375" max="4375" width="40.81640625" style="288" customWidth="1"/>
    <col min="4376" max="4376" width="24.1796875" style="288" bestFit="1" customWidth="1"/>
    <col min="4377" max="4377" width="12.81640625" style="288" customWidth="1"/>
    <col min="4378" max="4378" width="9.1796875" style="288" bestFit="1" customWidth="1"/>
    <col min="4379" max="4379" width="4.81640625" style="288" bestFit="1" customWidth="1"/>
    <col min="4380" max="4380" width="4.1796875" style="288" customWidth="1"/>
    <col min="4381" max="4382" width="4.81640625" style="288" bestFit="1" customWidth="1"/>
    <col min="4383" max="4608" width="9.1796875" style="288"/>
    <col min="4609" max="4609" width="7.81640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81640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81640625" style="288" customWidth="1"/>
    <col min="4621" max="4621" width="7.81640625" style="288" customWidth="1"/>
    <col min="4622" max="4623" width="8.81640625" style="288" customWidth="1"/>
    <col min="4624" max="4624" width="7.81640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81640625" style="288" customWidth="1"/>
    <col min="4630" max="4630" width="17.1796875" style="288" customWidth="1"/>
    <col min="4631" max="4631" width="40.81640625" style="288" customWidth="1"/>
    <col min="4632" max="4632" width="24.1796875" style="288" bestFit="1" customWidth="1"/>
    <col min="4633" max="4633" width="12.81640625" style="288" customWidth="1"/>
    <col min="4634" max="4634" width="9.1796875" style="288" bestFit="1" customWidth="1"/>
    <col min="4635" max="4635" width="4.81640625" style="288" bestFit="1" customWidth="1"/>
    <col min="4636" max="4636" width="4.1796875" style="288" customWidth="1"/>
    <col min="4637" max="4638" width="4.81640625" style="288" bestFit="1" customWidth="1"/>
    <col min="4639" max="4864" width="9.1796875" style="288"/>
    <col min="4865" max="4865" width="7.81640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81640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81640625" style="288" customWidth="1"/>
    <col min="4877" max="4877" width="7.81640625" style="288" customWidth="1"/>
    <col min="4878" max="4879" width="8.81640625" style="288" customWidth="1"/>
    <col min="4880" max="4880" width="7.81640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81640625" style="288" customWidth="1"/>
    <col min="4886" max="4886" width="17.1796875" style="288" customWidth="1"/>
    <col min="4887" max="4887" width="40.81640625" style="288" customWidth="1"/>
    <col min="4888" max="4888" width="24.1796875" style="288" bestFit="1" customWidth="1"/>
    <col min="4889" max="4889" width="12.81640625" style="288" customWidth="1"/>
    <col min="4890" max="4890" width="9.1796875" style="288" bestFit="1" customWidth="1"/>
    <col min="4891" max="4891" width="4.81640625" style="288" bestFit="1" customWidth="1"/>
    <col min="4892" max="4892" width="4.1796875" style="288" customWidth="1"/>
    <col min="4893" max="4894" width="4.81640625" style="288" bestFit="1" customWidth="1"/>
    <col min="4895" max="5120" width="9.1796875" style="288"/>
    <col min="5121" max="5121" width="7.81640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81640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81640625" style="288" customWidth="1"/>
    <col min="5133" max="5133" width="7.81640625" style="288" customWidth="1"/>
    <col min="5134" max="5135" width="8.81640625" style="288" customWidth="1"/>
    <col min="5136" max="5136" width="7.81640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81640625" style="288" customWidth="1"/>
    <col min="5142" max="5142" width="17.1796875" style="288" customWidth="1"/>
    <col min="5143" max="5143" width="40.81640625" style="288" customWidth="1"/>
    <col min="5144" max="5144" width="24.1796875" style="288" bestFit="1" customWidth="1"/>
    <col min="5145" max="5145" width="12.81640625" style="288" customWidth="1"/>
    <col min="5146" max="5146" width="9.1796875" style="288" bestFit="1" customWidth="1"/>
    <col min="5147" max="5147" width="4.81640625" style="288" bestFit="1" customWidth="1"/>
    <col min="5148" max="5148" width="4.1796875" style="288" customWidth="1"/>
    <col min="5149" max="5150" width="4.81640625" style="288" bestFit="1" customWidth="1"/>
    <col min="5151" max="5376" width="9.1796875" style="288"/>
    <col min="5377" max="5377" width="7.81640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81640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81640625" style="288" customWidth="1"/>
    <col min="5389" max="5389" width="7.81640625" style="288" customWidth="1"/>
    <col min="5390" max="5391" width="8.81640625" style="288" customWidth="1"/>
    <col min="5392" max="5392" width="7.81640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81640625" style="288" customWidth="1"/>
    <col min="5398" max="5398" width="17.1796875" style="288" customWidth="1"/>
    <col min="5399" max="5399" width="40.81640625" style="288" customWidth="1"/>
    <col min="5400" max="5400" width="24.1796875" style="288" bestFit="1" customWidth="1"/>
    <col min="5401" max="5401" width="12.81640625" style="288" customWidth="1"/>
    <col min="5402" max="5402" width="9.1796875" style="288" bestFit="1" customWidth="1"/>
    <col min="5403" max="5403" width="4.81640625" style="288" bestFit="1" customWidth="1"/>
    <col min="5404" max="5404" width="4.1796875" style="288" customWidth="1"/>
    <col min="5405" max="5406" width="4.81640625" style="288" bestFit="1" customWidth="1"/>
    <col min="5407" max="5632" width="9.1796875" style="288"/>
    <col min="5633" max="5633" width="7.81640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81640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81640625" style="288" customWidth="1"/>
    <col min="5645" max="5645" width="7.81640625" style="288" customWidth="1"/>
    <col min="5646" max="5647" width="8.81640625" style="288" customWidth="1"/>
    <col min="5648" max="5648" width="7.81640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81640625" style="288" customWidth="1"/>
    <col min="5654" max="5654" width="17.1796875" style="288" customWidth="1"/>
    <col min="5655" max="5655" width="40.81640625" style="288" customWidth="1"/>
    <col min="5656" max="5656" width="24.1796875" style="288" bestFit="1" customWidth="1"/>
    <col min="5657" max="5657" width="12.81640625" style="288" customWidth="1"/>
    <col min="5658" max="5658" width="9.1796875" style="288" bestFit="1" customWidth="1"/>
    <col min="5659" max="5659" width="4.81640625" style="288" bestFit="1" customWidth="1"/>
    <col min="5660" max="5660" width="4.1796875" style="288" customWidth="1"/>
    <col min="5661" max="5662" width="4.81640625" style="288" bestFit="1" customWidth="1"/>
    <col min="5663" max="5888" width="9.1796875" style="288"/>
    <col min="5889" max="5889" width="7.81640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81640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81640625" style="288" customWidth="1"/>
    <col min="5901" max="5901" width="7.81640625" style="288" customWidth="1"/>
    <col min="5902" max="5903" width="8.81640625" style="288" customWidth="1"/>
    <col min="5904" max="5904" width="7.81640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81640625" style="288" customWidth="1"/>
    <col min="5910" max="5910" width="17.1796875" style="288" customWidth="1"/>
    <col min="5911" max="5911" width="40.81640625" style="288" customWidth="1"/>
    <col min="5912" max="5912" width="24.1796875" style="288" bestFit="1" customWidth="1"/>
    <col min="5913" max="5913" width="12.81640625" style="288" customWidth="1"/>
    <col min="5914" max="5914" width="9.1796875" style="288" bestFit="1" customWidth="1"/>
    <col min="5915" max="5915" width="4.81640625" style="288" bestFit="1" customWidth="1"/>
    <col min="5916" max="5916" width="4.1796875" style="288" customWidth="1"/>
    <col min="5917" max="5918" width="4.81640625" style="288" bestFit="1" customWidth="1"/>
    <col min="5919" max="6144" width="9.1796875" style="288"/>
    <col min="6145" max="6145" width="7.81640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81640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81640625" style="288" customWidth="1"/>
    <col min="6157" max="6157" width="7.81640625" style="288" customWidth="1"/>
    <col min="6158" max="6159" width="8.81640625" style="288" customWidth="1"/>
    <col min="6160" max="6160" width="7.81640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81640625" style="288" customWidth="1"/>
    <col min="6166" max="6166" width="17.1796875" style="288" customWidth="1"/>
    <col min="6167" max="6167" width="40.81640625" style="288" customWidth="1"/>
    <col min="6168" max="6168" width="24.1796875" style="288" bestFit="1" customWidth="1"/>
    <col min="6169" max="6169" width="12.81640625" style="288" customWidth="1"/>
    <col min="6170" max="6170" width="9.1796875" style="288" bestFit="1" customWidth="1"/>
    <col min="6171" max="6171" width="4.81640625" style="288" bestFit="1" customWidth="1"/>
    <col min="6172" max="6172" width="4.1796875" style="288" customWidth="1"/>
    <col min="6173" max="6174" width="4.81640625" style="288" bestFit="1" customWidth="1"/>
    <col min="6175" max="6400" width="9.1796875" style="288"/>
    <col min="6401" max="6401" width="7.81640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81640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81640625" style="288" customWidth="1"/>
    <col min="6413" max="6413" width="7.81640625" style="288" customWidth="1"/>
    <col min="6414" max="6415" width="8.81640625" style="288" customWidth="1"/>
    <col min="6416" max="6416" width="7.81640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81640625" style="288" customWidth="1"/>
    <col min="6422" max="6422" width="17.1796875" style="288" customWidth="1"/>
    <col min="6423" max="6423" width="40.81640625" style="288" customWidth="1"/>
    <col min="6424" max="6424" width="24.1796875" style="288" bestFit="1" customWidth="1"/>
    <col min="6425" max="6425" width="12.81640625" style="288" customWidth="1"/>
    <col min="6426" max="6426" width="9.1796875" style="288" bestFit="1" customWidth="1"/>
    <col min="6427" max="6427" width="4.81640625" style="288" bestFit="1" customWidth="1"/>
    <col min="6428" max="6428" width="4.1796875" style="288" customWidth="1"/>
    <col min="6429" max="6430" width="4.81640625" style="288" bestFit="1" customWidth="1"/>
    <col min="6431" max="6656" width="9.1796875" style="288"/>
    <col min="6657" max="6657" width="7.81640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81640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81640625" style="288" customWidth="1"/>
    <col min="6669" max="6669" width="7.81640625" style="288" customWidth="1"/>
    <col min="6670" max="6671" width="8.81640625" style="288" customWidth="1"/>
    <col min="6672" max="6672" width="7.81640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81640625" style="288" customWidth="1"/>
    <col min="6678" max="6678" width="17.1796875" style="288" customWidth="1"/>
    <col min="6679" max="6679" width="40.81640625" style="288" customWidth="1"/>
    <col min="6680" max="6680" width="24.1796875" style="288" bestFit="1" customWidth="1"/>
    <col min="6681" max="6681" width="12.81640625" style="288" customWidth="1"/>
    <col min="6682" max="6682" width="9.1796875" style="288" bestFit="1" customWidth="1"/>
    <col min="6683" max="6683" width="4.81640625" style="288" bestFit="1" customWidth="1"/>
    <col min="6684" max="6684" width="4.1796875" style="288" customWidth="1"/>
    <col min="6685" max="6686" width="4.81640625" style="288" bestFit="1" customWidth="1"/>
    <col min="6687" max="6912" width="9.1796875" style="288"/>
    <col min="6913" max="6913" width="7.81640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81640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81640625" style="288" customWidth="1"/>
    <col min="6925" max="6925" width="7.81640625" style="288" customWidth="1"/>
    <col min="6926" max="6927" width="8.81640625" style="288" customWidth="1"/>
    <col min="6928" max="6928" width="7.81640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81640625" style="288" customWidth="1"/>
    <col min="6934" max="6934" width="17.1796875" style="288" customWidth="1"/>
    <col min="6935" max="6935" width="40.81640625" style="288" customWidth="1"/>
    <col min="6936" max="6936" width="24.1796875" style="288" bestFit="1" customWidth="1"/>
    <col min="6937" max="6937" width="12.81640625" style="288" customWidth="1"/>
    <col min="6938" max="6938" width="9.1796875" style="288" bestFit="1" customWidth="1"/>
    <col min="6939" max="6939" width="4.81640625" style="288" bestFit="1" customWidth="1"/>
    <col min="6940" max="6940" width="4.1796875" style="288" customWidth="1"/>
    <col min="6941" max="6942" width="4.81640625" style="288" bestFit="1" customWidth="1"/>
    <col min="6943" max="7168" width="9.1796875" style="288"/>
    <col min="7169" max="7169" width="7.81640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81640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81640625" style="288" customWidth="1"/>
    <col min="7181" max="7181" width="7.81640625" style="288" customWidth="1"/>
    <col min="7182" max="7183" width="8.81640625" style="288" customWidth="1"/>
    <col min="7184" max="7184" width="7.81640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81640625" style="288" customWidth="1"/>
    <col min="7190" max="7190" width="17.1796875" style="288" customWidth="1"/>
    <col min="7191" max="7191" width="40.81640625" style="288" customWidth="1"/>
    <col min="7192" max="7192" width="24.1796875" style="288" bestFit="1" customWidth="1"/>
    <col min="7193" max="7193" width="12.81640625" style="288" customWidth="1"/>
    <col min="7194" max="7194" width="9.1796875" style="288" bestFit="1" customWidth="1"/>
    <col min="7195" max="7195" width="4.81640625" style="288" bestFit="1" customWidth="1"/>
    <col min="7196" max="7196" width="4.1796875" style="288" customWidth="1"/>
    <col min="7197" max="7198" width="4.81640625" style="288" bestFit="1" customWidth="1"/>
    <col min="7199" max="7424" width="9.1796875" style="288"/>
    <col min="7425" max="7425" width="7.81640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81640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81640625" style="288" customWidth="1"/>
    <col min="7437" max="7437" width="7.81640625" style="288" customWidth="1"/>
    <col min="7438" max="7439" width="8.81640625" style="288" customWidth="1"/>
    <col min="7440" max="7440" width="7.81640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81640625" style="288" customWidth="1"/>
    <col min="7446" max="7446" width="17.1796875" style="288" customWidth="1"/>
    <col min="7447" max="7447" width="40.81640625" style="288" customWidth="1"/>
    <col min="7448" max="7448" width="24.1796875" style="288" bestFit="1" customWidth="1"/>
    <col min="7449" max="7449" width="12.81640625" style="288" customWidth="1"/>
    <col min="7450" max="7450" width="9.1796875" style="288" bestFit="1" customWidth="1"/>
    <col min="7451" max="7451" width="4.81640625" style="288" bestFit="1" customWidth="1"/>
    <col min="7452" max="7452" width="4.1796875" style="288" customWidth="1"/>
    <col min="7453" max="7454" width="4.81640625" style="288" bestFit="1" customWidth="1"/>
    <col min="7455" max="7680" width="9.1796875" style="288"/>
    <col min="7681" max="7681" width="7.81640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81640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81640625" style="288" customWidth="1"/>
    <col min="7693" max="7693" width="7.81640625" style="288" customWidth="1"/>
    <col min="7694" max="7695" width="8.81640625" style="288" customWidth="1"/>
    <col min="7696" max="7696" width="7.81640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81640625" style="288" customWidth="1"/>
    <col min="7702" max="7702" width="17.1796875" style="288" customWidth="1"/>
    <col min="7703" max="7703" width="40.81640625" style="288" customWidth="1"/>
    <col min="7704" max="7704" width="24.1796875" style="288" bestFit="1" customWidth="1"/>
    <col min="7705" max="7705" width="12.81640625" style="288" customWidth="1"/>
    <col min="7706" max="7706" width="9.1796875" style="288" bestFit="1" customWidth="1"/>
    <col min="7707" max="7707" width="4.81640625" style="288" bestFit="1" customWidth="1"/>
    <col min="7708" max="7708" width="4.1796875" style="288" customWidth="1"/>
    <col min="7709" max="7710" width="4.81640625" style="288" bestFit="1" customWidth="1"/>
    <col min="7711" max="7936" width="9.1796875" style="288"/>
    <col min="7937" max="7937" width="7.81640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81640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81640625" style="288" customWidth="1"/>
    <col min="7949" max="7949" width="7.81640625" style="288" customWidth="1"/>
    <col min="7950" max="7951" width="8.81640625" style="288" customWidth="1"/>
    <col min="7952" max="7952" width="7.81640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81640625" style="288" customWidth="1"/>
    <col min="7958" max="7958" width="17.1796875" style="288" customWidth="1"/>
    <col min="7959" max="7959" width="40.81640625" style="288" customWidth="1"/>
    <col min="7960" max="7960" width="24.1796875" style="288" bestFit="1" customWidth="1"/>
    <col min="7961" max="7961" width="12.81640625" style="288" customWidth="1"/>
    <col min="7962" max="7962" width="9.1796875" style="288" bestFit="1" customWidth="1"/>
    <col min="7963" max="7963" width="4.81640625" style="288" bestFit="1" customWidth="1"/>
    <col min="7964" max="7964" width="4.1796875" style="288" customWidth="1"/>
    <col min="7965" max="7966" width="4.81640625" style="288" bestFit="1" customWidth="1"/>
    <col min="7967" max="8192" width="9.1796875" style="288"/>
    <col min="8193" max="8193" width="7.81640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81640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81640625" style="288" customWidth="1"/>
    <col min="8205" max="8205" width="7.81640625" style="288" customWidth="1"/>
    <col min="8206" max="8207" width="8.81640625" style="288" customWidth="1"/>
    <col min="8208" max="8208" width="7.81640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81640625" style="288" customWidth="1"/>
    <col min="8214" max="8214" width="17.1796875" style="288" customWidth="1"/>
    <col min="8215" max="8215" width="40.81640625" style="288" customWidth="1"/>
    <col min="8216" max="8216" width="24.1796875" style="288" bestFit="1" customWidth="1"/>
    <col min="8217" max="8217" width="12.81640625" style="288" customWidth="1"/>
    <col min="8218" max="8218" width="9.1796875" style="288" bestFit="1" customWidth="1"/>
    <col min="8219" max="8219" width="4.81640625" style="288" bestFit="1" customWidth="1"/>
    <col min="8220" max="8220" width="4.1796875" style="288" customWidth="1"/>
    <col min="8221" max="8222" width="4.81640625" style="288" bestFit="1" customWidth="1"/>
    <col min="8223" max="8448" width="9.1796875" style="288"/>
    <col min="8449" max="8449" width="7.81640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81640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81640625" style="288" customWidth="1"/>
    <col min="8461" max="8461" width="7.81640625" style="288" customWidth="1"/>
    <col min="8462" max="8463" width="8.81640625" style="288" customWidth="1"/>
    <col min="8464" max="8464" width="7.81640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81640625" style="288" customWidth="1"/>
    <col min="8470" max="8470" width="17.1796875" style="288" customWidth="1"/>
    <col min="8471" max="8471" width="40.81640625" style="288" customWidth="1"/>
    <col min="8472" max="8472" width="24.1796875" style="288" bestFit="1" customWidth="1"/>
    <col min="8473" max="8473" width="12.81640625" style="288" customWidth="1"/>
    <col min="8474" max="8474" width="9.1796875" style="288" bestFit="1" customWidth="1"/>
    <col min="8475" max="8475" width="4.81640625" style="288" bestFit="1" customWidth="1"/>
    <col min="8476" max="8476" width="4.1796875" style="288" customWidth="1"/>
    <col min="8477" max="8478" width="4.81640625" style="288" bestFit="1" customWidth="1"/>
    <col min="8479" max="8704" width="9.1796875" style="288"/>
    <col min="8705" max="8705" width="7.81640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81640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81640625" style="288" customWidth="1"/>
    <col min="8717" max="8717" width="7.81640625" style="288" customWidth="1"/>
    <col min="8718" max="8719" width="8.81640625" style="288" customWidth="1"/>
    <col min="8720" max="8720" width="7.81640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81640625" style="288" customWidth="1"/>
    <col min="8726" max="8726" width="17.1796875" style="288" customWidth="1"/>
    <col min="8727" max="8727" width="40.81640625" style="288" customWidth="1"/>
    <col min="8728" max="8728" width="24.1796875" style="288" bestFit="1" customWidth="1"/>
    <col min="8729" max="8729" width="12.81640625" style="288" customWidth="1"/>
    <col min="8730" max="8730" width="9.1796875" style="288" bestFit="1" customWidth="1"/>
    <col min="8731" max="8731" width="4.81640625" style="288" bestFit="1" customWidth="1"/>
    <col min="8732" max="8732" width="4.1796875" style="288" customWidth="1"/>
    <col min="8733" max="8734" width="4.81640625" style="288" bestFit="1" customWidth="1"/>
    <col min="8735" max="8960" width="9.1796875" style="288"/>
    <col min="8961" max="8961" width="7.81640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81640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81640625" style="288" customWidth="1"/>
    <col min="8973" max="8973" width="7.81640625" style="288" customWidth="1"/>
    <col min="8974" max="8975" width="8.81640625" style="288" customWidth="1"/>
    <col min="8976" max="8976" width="7.81640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81640625" style="288" customWidth="1"/>
    <col min="8982" max="8982" width="17.1796875" style="288" customWidth="1"/>
    <col min="8983" max="8983" width="40.81640625" style="288" customWidth="1"/>
    <col min="8984" max="8984" width="24.1796875" style="288" bestFit="1" customWidth="1"/>
    <col min="8985" max="8985" width="12.81640625" style="288" customWidth="1"/>
    <col min="8986" max="8986" width="9.1796875" style="288" bestFit="1" customWidth="1"/>
    <col min="8987" max="8987" width="4.81640625" style="288" bestFit="1" customWidth="1"/>
    <col min="8988" max="8988" width="4.1796875" style="288" customWidth="1"/>
    <col min="8989" max="8990" width="4.81640625" style="288" bestFit="1" customWidth="1"/>
    <col min="8991" max="9216" width="9.1796875" style="288"/>
    <col min="9217" max="9217" width="7.81640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81640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81640625" style="288" customWidth="1"/>
    <col min="9229" max="9229" width="7.81640625" style="288" customWidth="1"/>
    <col min="9230" max="9231" width="8.81640625" style="288" customWidth="1"/>
    <col min="9232" max="9232" width="7.81640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81640625" style="288" customWidth="1"/>
    <col min="9238" max="9238" width="17.1796875" style="288" customWidth="1"/>
    <col min="9239" max="9239" width="40.81640625" style="288" customWidth="1"/>
    <col min="9240" max="9240" width="24.1796875" style="288" bestFit="1" customWidth="1"/>
    <col min="9241" max="9241" width="12.81640625" style="288" customWidth="1"/>
    <col min="9242" max="9242" width="9.1796875" style="288" bestFit="1" customWidth="1"/>
    <col min="9243" max="9243" width="4.81640625" style="288" bestFit="1" customWidth="1"/>
    <col min="9244" max="9244" width="4.1796875" style="288" customWidth="1"/>
    <col min="9245" max="9246" width="4.81640625" style="288" bestFit="1" customWidth="1"/>
    <col min="9247" max="9472" width="9.1796875" style="288"/>
    <col min="9473" max="9473" width="7.81640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81640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81640625" style="288" customWidth="1"/>
    <col min="9485" max="9485" width="7.81640625" style="288" customWidth="1"/>
    <col min="9486" max="9487" width="8.81640625" style="288" customWidth="1"/>
    <col min="9488" max="9488" width="7.81640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81640625" style="288" customWidth="1"/>
    <col min="9494" max="9494" width="17.1796875" style="288" customWidth="1"/>
    <col min="9495" max="9495" width="40.81640625" style="288" customWidth="1"/>
    <col min="9496" max="9496" width="24.1796875" style="288" bestFit="1" customWidth="1"/>
    <col min="9497" max="9497" width="12.81640625" style="288" customWidth="1"/>
    <col min="9498" max="9498" width="9.1796875" style="288" bestFit="1" customWidth="1"/>
    <col min="9499" max="9499" width="4.81640625" style="288" bestFit="1" customWidth="1"/>
    <col min="9500" max="9500" width="4.1796875" style="288" customWidth="1"/>
    <col min="9501" max="9502" width="4.81640625" style="288" bestFit="1" customWidth="1"/>
    <col min="9503" max="9728" width="9.1796875" style="288"/>
    <col min="9729" max="9729" width="7.81640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81640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81640625" style="288" customWidth="1"/>
    <col min="9741" max="9741" width="7.81640625" style="288" customWidth="1"/>
    <col min="9742" max="9743" width="8.81640625" style="288" customWidth="1"/>
    <col min="9744" max="9744" width="7.81640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81640625" style="288" customWidth="1"/>
    <col min="9750" max="9750" width="17.1796875" style="288" customWidth="1"/>
    <col min="9751" max="9751" width="40.81640625" style="288" customWidth="1"/>
    <col min="9752" max="9752" width="24.1796875" style="288" bestFit="1" customWidth="1"/>
    <col min="9753" max="9753" width="12.81640625" style="288" customWidth="1"/>
    <col min="9754" max="9754" width="9.1796875" style="288" bestFit="1" customWidth="1"/>
    <col min="9755" max="9755" width="4.81640625" style="288" bestFit="1" customWidth="1"/>
    <col min="9756" max="9756" width="4.1796875" style="288" customWidth="1"/>
    <col min="9757" max="9758" width="4.81640625" style="288" bestFit="1" customWidth="1"/>
    <col min="9759" max="9984" width="9.1796875" style="288"/>
    <col min="9985" max="9985" width="7.81640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81640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81640625" style="288" customWidth="1"/>
    <col min="9997" max="9997" width="7.81640625" style="288" customWidth="1"/>
    <col min="9998" max="9999" width="8.81640625" style="288" customWidth="1"/>
    <col min="10000" max="10000" width="7.81640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81640625" style="288" customWidth="1"/>
    <col min="10006" max="10006" width="17.1796875" style="288" customWidth="1"/>
    <col min="10007" max="10007" width="40.81640625" style="288" customWidth="1"/>
    <col min="10008" max="10008" width="24.1796875" style="288" bestFit="1" customWidth="1"/>
    <col min="10009" max="10009" width="12.81640625" style="288" customWidth="1"/>
    <col min="10010" max="10010" width="9.1796875" style="288" bestFit="1" customWidth="1"/>
    <col min="10011" max="10011" width="4.81640625" style="288" bestFit="1" customWidth="1"/>
    <col min="10012" max="10012" width="4.1796875" style="288" customWidth="1"/>
    <col min="10013" max="10014" width="4.81640625" style="288" bestFit="1" customWidth="1"/>
    <col min="10015" max="10240" width="9.1796875" style="288"/>
    <col min="10241" max="10241" width="7.81640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81640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81640625" style="288" customWidth="1"/>
    <col min="10253" max="10253" width="7.81640625" style="288" customWidth="1"/>
    <col min="10254" max="10255" width="8.81640625" style="288" customWidth="1"/>
    <col min="10256" max="10256" width="7.81640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81640625" style="288" customWidth="1"/>
    <col min="10262" max="10262" width="17.1796875" style="288" customWidth="1"/>
    <col min="10263" max="10263" width="40.81640625" style="288" customWidth="1"/>
    <col min="10264" max="10264" width="24.1796875" style="288" bestFit="1" customWidth="1"/>
    <col min="10265" max="10265" width="12.81640625" style="288" customWidth="1"/>
    <col min="10266" max="10266" width="9.1796875" style="288" bestFit="1" customWidth="1"/>
    <col min="10267" max="10267" width="4.81640625" style="288" bestFit="1" customWidth="1"/>
    <col min="10268" max="10268" width="4.1796875" style="288" customWidth="1"/>
    <col min="10269" max="10270" width="4.81640625" style="288" bestFit="1" customWidth="1"/>
    <col min="10271" max="10496" width="9.1796875" style="288"/>
    <col min="10497" max="10497" width="7.81640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81640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81640625" style="288" customWidth="1"/>
    <col min="10509" max="10509" width="7.81640625" style="288" customWidth="1"/>
    <col min="10510" max="10511" width="8.81640625" style="288" customWidth="1"/>
    <col min="10512" max="10512" width="7.81640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81640625" style="288" customWidth="1"/>
    <col min="10518" max="10518" width="17.1796875" style="288" customWidth="1"/>
    <col min="10519" max="10519" width="40.81640625" style="288" customWidth="1"/>
    <col min="10520" max="10520" width="24.1796875" style="288" bestFit="1" customWidth="1"/>
    <col min="10521" max="10521" width="12.81640625" style="288" customWidth="1"/>
    <col min="10522" max="10522" width="9.1796875" style="288" bestFit="1" customWidth="1"/>
    <col min="10523" max="10523" width="4.81640625" style="288" bestFit="1" customWidth="1"/>
    <col min="10524" max="10524" width="4.1796875" style="288" customWidth="1"/>
    <col min="10525" max="10526" width="4.81640625" style="288" bestFit="1" customWidth="1"/>
    <col min="10527" max="10752" width="9.1796875" style="288"/>
    <col min="10753" max="10753" width="7.81640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81640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81640625" style="288" customWidth="1"/>
    <col min="10765" max="10765" width="7.81640625" style="288" customWidth="1"/>
    <col min="10766" max="10767" width="8.81640625" style="288" customWidth="1"/>
    <col min="10768" max="10768" width="7.81640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81640625" style="288" customWidth="1"/>
    <col min="10774" max="10774" width="17.1796875" style="288" customWidth="1"/>
    <col min="10775" max="10775" width="40.81640625" style="288" customWidth="1"/>
    <col min="10776" max="10776" width="24.1796875" style="288" bestFit="1" customWidth="1"/>
    <col min="10777" max="10777" width="12.81640625" style="288" customWidth="1"/>
    <col min="10778" max="10778" width="9.1796875" style="288" bestFit="1" customWidth="1"/>
    <col min="10779" max="10779" width="4.81640625" style="288" bestFit="1" customWidth="1"/>
    <col min="10780" max="10780" width="4.1796875" style="288" customWidth="1"/>
    <col min="10781" max="10782" width="4.81640625" style="288" bestFit="1" customWidth="1"/>
    <col min="10783" max="11008" width="9.1796875" style="288"/>
    <col min="11009" max="11009" width="7.81640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81640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81640625" style="288" customWidth="1"/>
    <col min="11021" max="11021" width="7.81640625" style="288" customWidth="1"/>
    <col min="11022" max="11023" width="8.81640625" style="288" customWidth="1"/>
    <col min="11024" max="11024" width="7.81640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81640625" style="288" customWidth="1"/>
    <col min="11030" max="11030" width="17.1796875" style="288" customWidth="1"/>
    <col min="11031" max="11031" width="40.81640625" style="288" customWidth="1"/>
    <col min="11032" max="11032" width="24.1796875" style="288" bestFit="1" customWidth="1"/>
    <col min="11033" max="11033" width="12.81640625" style="288" customWidth="1"/>
    <col min="11034" max="11034" width="9.1796875" style="288" bestFit="1" customWidth="1"/>
    <col min="11035" max="11035" width="4.81640625" style="288" bestFit="1" customWidth="1"/>
    <col min="11036" max="11036" width="4.1796875" style="288" customWidth="1"/>
    <col min="11037" max="11038" width="4.81640625" style="288" bestFit="1" customWidth="1"/>
    <col min="11039" max="11264" width="9.1796875" style="288"/>
    <col min="11265" max="11265" width="7.81640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81640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81640625" style="288" customWidth="1"/>
    <col min="11277" max="11277" width="7.81640625" style="288" customWidth="1"/>
    <col min="11278" max="11279" width="8.81640625" style="288" customWidth="1"/>
    <col min="11280" max="11280" width="7.81640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81640625" style="288" customWidth="1"/>
    <col min="11286" max="11286" width="17.1796875" style="288" customWidth="1"/>
    <col min="11287" max="11287" width="40.81640625" style="288" customWidth="1"/>
    <col min="11288" max="11288" width="24.1796875" style="288" bestFit="1" customWidth="1"/>
    <col min="11289" max="11289" width="12.81640625" style="288" customWidth="1"/>
    <col min="11290" max="11290" width="9.1796875" style="288" bestFit="1" customWidth="1"/>
    <col min="11291" max="11291" width="4.81640625" style="288" bestFit="1" customWidth="1"/>
    <col min="11292" max="11292" width="4.1796875" style="288" customWidth="1"/>
    <col min="11293" max="11294" width="4.81640625" style="288" bestFit="1" customWidth="1"/>
    <col min="11295" max="11520" width="9.1796875" style="288"/>
    <col min="11521" max="11521" width="7.81640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81640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81640625" style="288" customWidth="1"/>
    <col min="11533" max="11533" width="7.81640625" style="288" customWidth="1"/>
    <col min="11534" max="11535" width="8.81640625" style="288" customWidth="1"/>
    <col min="11536" max="11536" width="7.81640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81640625" style="288" customWidth="1"/>
    <col min="11542" max="11542" width="17.1796875" style="288" customWidth="1"/>
    <col min="11543" max="11543" width="40.81640625" style="288" customWidth="1"/>
    <col min="11544" max="11544" width="24.1796875" style="288" bestFit="1" customWidth="1"/>
    <col min="11545" max="11545" width="12.81640625" style="288" customWidth="1"/>
    <col min="11546" max="11546" width="9.1796875" style="288" bestFit="1" customWidth="1"/>
    <col min="11547" max="11547" width="4.81640625" style="288" bestFit="1" customWidth="1"/>
    <col min="11548" max="11548" width="4.1796875" style="288" customWidth="1"/>
    <col min="11549" max="11550" width="4.81640625" style="288" bestFit="1" customWidth="1"/>
    <col min="11551" max="11776" width="9.1796875" style="288"/>
    <col min="11777" max="11777" width="7.81640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81640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81640625" style="288" customWidth="1"/>
    <col min="11789" max="11789" width="7.81640625" style="288" customWidth="1"/>
    <col min="11790" max="11791" width="8.81640625" style="288" customWidth="1"/>
    <col min="11792" max="11792" width="7.81640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81640625" style="288" customWidth="1"/>
    <col min="11798" max="11798" width="17.1796875" style="288" customWidth="1"/>
    <col min="11799" max="11799" width="40.81640625" style="288" customWidth="1"/>
    <col min="11800" max="11800" width="24.1796875" style="288" bestFit="1" customWidth="1"/>
    <col min="11801" max="11801" width="12.81640625" style="288" customWidth="1"/>
    <col min="11802" max="11802" width="9.1796875" style="288" bestFit="1" customWidth="1"/>
    <col min="11803" max="11803" width="4.81640625" style="288" bestFit="1" customWidth="1"/>
    <col min="11804" max="11804" width="4.1796875" style="288" customWidth="1"/>
    <col min="11805" max="11806" width="4.81640625" style="288" bestFit="1" customWidth="1"/>
    <col min="11807" max="12032" width="9.1796875" style="288"/>
    <col min="12033" max="12033" width="7.81640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81640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81640625" style="288" customWidth="1"/>
    <col min="12045" max="12045" width="7.81640625" style="288" customWidth="1"/>
    <col min="12046" max="12047" width="8.81640625" style="288" customWidth="1"/>
    <col min="12048" max="12048" width="7.81640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81640625" style="288" customWidth="1"/>
    <col min="12054" max="12054" width="17.1796875" style="288" customWidth="1"/>
    <col min="12055" max="12055" width="40.81640625" style="288" customWidth="1"/>
    <col min="12056" max="12056" width="24.1796875" style="288" bestFit="1" customWidth="1"/>
    <col min="12057" max="12057" width="12.81640625" style="288" customWidth="1"/>
    <col min="12058" max="12058" width="9.1796875" style="288" bestFit="1" customWidth="1"/>
    <col min="12059" max="12059" width="4.81640625" style="288" bestFit="1" customWidth="1"/>
    <col min="12060" max="12060" width="4.1796875" style="288" customWidth="1"/>
    <col min="12061" max="12062" width="4.81640625" style="288" bestFit="1" customWidth="1"/>
    <col min="12063" max="12288" width="9.1796875" style="288"/>
    <col min="12289" max="12289" width="7.81640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81640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81640625" style="288" customWidth="1"/>
    <col min="12301" max="12301" width="7.81640625" style="288" customWidth="1"/>
    <col min="12302" max="12303" width="8.81640625" style="288" customWidth="1"/>
    <col min="12304" max="12304" width="7.81640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81640625" style="288" customWidth="1"/>
    <col min="12310" max="12310" width="17.1796875" style="288" customWidth="1"/>
    <col min="12311" max="12311" width="40.81640625" style="288" customWidth="1"/>
    <col min="12312" max="12312" width="24.1796875" style="288" bestFit="1" customWidth="1"/>
    <col min="12313" max="12313" width="12.81640625" style="288" customWidth="1"/>
    <col min="12314" max="12314" width="9.1796875" style="288" bestFit="1" customWidth="1"/>
    <col min="12315" max="12315" width="4.81640625" style="288" bestFit="1" customWidth="1"/>
    <col min="12316" max="12316" width="4.1796875" style="288" customWidth="1"/>
    <col min="12317" max="12318" width="4.81640625" style="288" bestFit="1" customWidth="1"/>
    <col min="12319" max="12544" width="9.1796875" style="288"/>
    <col min="12545" max="12545" width="7.81640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81640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81640625" style="288" customWidth="1"/>
    <col min="12557" max="12557" width="7.81640625" style="288" customWidth="1"/>
    <col min="12558" max="12559" width="8.81640625" style="288" customWidth="1"/>
    <col min="12560" max="12560" width="7.81640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81640625" style="288" customWidth="1"/>
    <col min="12566" max="12566" width="17.1796875" style="288" customWidth="1"/>
    <col min="12567" max="12567" width="40.81640625" style="288" customWidth="1"/>
    <col min="12568" max="12568" width="24.1796875" style="288" bestFit="1" customWidth="1"/>
    <col min="12569" max="12569" width="12.81640625" style="288" customWidth="1"/>
    <col min="12570" max="12570" width="9.1796875" style="288" bestFit="1" customWidth="1"/>
    <col min="12571" max="12571" width="4.81640625" style="288" bestFit="1" customWidth="1"/>
    <col min="12572" max="12572" width="4.1796875" style="288" customWidth="1"/>
    <col min="12573" max="12574" width="4.81640625" style="288" bestFit="1" customWidth="1"/>
    <col min="12575" max="12800" width="9.1796875" style="288"/>
    <col min="12801" max="12801" width="7.81640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81640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81640625" style="288" customWidth="1"/>
    <col min="12813" max="12813" width="7.81640625" style="288" customWidth="1"/>
    <col min="12814" max="12815" width="8.81640625" style="288" customWidth="1"/>
    <col min="12816" max="12816" width="7.81640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81640625" style="288" customWidth="1"/>
    <col min="12822" max="12822" width="17.1796875" style="288" customWidth="1"/>
    <col min="12823" max="12823" width="40.81640625" style="288" customWidth="1"/>
    <col min="12824" max="12824" width="24.1796875" style="288" bestFit="1" customWidth="1"/>
    <col min="12825" max="12825" width="12.81640625" style="288" customWidth="1"/>
    <col min="12826" max="12826" width="9.1796875" style="288" bestFit="1" customWidth="1"/>
    <col min="12827" max="12827" width="4.81640625" style="288" bestFit="1" customWidth="1"/>
    <col min="12828" max="12828" width="4.1796875" style="288" customWidth="1"/>
    <col min="12829" max="12830" width="4.81640625" style="288" bestFit="1" customWidth="1"/>
    <col min="12831" max="13056" width="9.1796875" style="288"/>
    <col min="13057" max="13057" width="7.81640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81640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81640625" style="288" customWidth="1"/>
    <col min="13069" max="13069" width="7.81640625" style="288" customWidth="1"/>
    <col min="13070" max="13071" width="8.81640625" style="288" customWidth="1"/>
    <col min="13072" max="13072" width="7.81640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81640625" style="288" customWidth="1"/>
    <col min="13078" max="13078" width="17.1796875" style="288" customWidth="1"/>
    <col min="13079" max="13079" width="40.81640625" style="288" customWidth="1"/>
    <col min="13080" max="13080" width="24.1796875" style="288" bestFit="1" customWidth="1"/>
    <col min="13081" max="13081" width="12.81640625" style="288" customWidth="1"/>
    <col min="13082" max="13082" width="9.1796875" style="288" bestFit="1" customWidth="1"/>
    <col min="13083" max="13083" width="4.81640625" style="288" bestFit="1" customWidth="1"/>
    <col min="13084" max="13084" width="4.1796875" style="288" customWidth="1"/>
    <col min="13085" max="13086" width="4.81640625" style="288" bestFit="1" customWidth="1"/>
    <col min="13087" max="13312" width="9.1796875" style="288"/>
    <col min="13313" max="13313" width="7.81640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81640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81640625" style="288" customWidth="1"/>
    <col min="13325" max="13325" width="7.81640625" style="288" customWidth="1"/>
    <col min="13326" max="13327" width="8.81640625" style="288" customWidth="1"/>
    <col min="13328" max="13328" width="7.81640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81640625" style="288" customWidth="1"/>
    <col min="13334" max="13334" width="17.1796875" style="288" customWidth="1"/>
    <col min="13335" max="13335" width="40.81640625" style="288" customWidth="1"/>
    <col min="13336" max="13336" width="24.1796875" style="288" bestFit="1" customWidth="1"/>
    <col min="13337" max="13337" width="12.81640625" style="288" customWidth="1"/>
    <col min="13338" max="13338" width="9.1796875" style="288" bestFit="1" customWidth="1"/>
    <col min="13339" max="13339" width="4.81640625" style="288" bestFit="1" customWidth="1"/>
    <col min="13340" max="13340" width="4.1796875" style="288" customWidth="1"/>
    <col min="13341" max="13342" width="4.81640625" style="288" bestFit="1" customWidth="1"/>
    <col min="13343" max="13568" width="9.1796875" style="288"/>
    <col min="13569" max="13569" width="7.81640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81640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81640625" style="288" customWidth="1"/>
    <col min="13581" max="13581" width="7.81640625" style="288" customWidth="1"/>
    <col min="13582" max="13583" width="8.81640625" style="288" customWidth="1"/>
    <col min="13584" max="13584" width="7.81640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81640625" style="288" customWidth="1"/>
    <col min="13590" max="13590" width="17.1796875" style="288" customWidth="1"/>
    <col min="13591" max="13591" width="40.81640625" style="288" customWidth="1"/>
    <col min="13592" max="13592" width="24.1796875" style="288" bestFit="1" customWidth="1"/>
    <col min="13593" max="13593" width="12.81640625" style="288" customWidth="1"/>
    <col min="13594" max="13594" width="9.1796875" style="288" bestFit="1" customWidth="1"/>
    <col min="13595" max="13595" width="4.81640625" style="288" bestFit="1" customWidth="1"/>
    <col min="13596" max="13596" width="4.1796875" style="288" customWidth="1"/>
    <col min="13597" max="13598" width="4.81640625" style="288" bestFit="1" customWidth="1"/>
    <col min="13599" max="13824" width="9.1796875" style="288"/>
    <col min="13825" max="13825" width="7.81640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81640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81640625" style="288" customWidth="1"/>
    <col min="13837" max="13837" width="7.81640625" style="288" customWidth="1"/>
    <col min="13838" max="13839" width="8.81640625" style="288" customWidth="1"/>
    <col min="13840" max="13840" width="7.81640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81640625" style="288" customWidth="1"/>
    <col min="13846" max="13846" width="17.1796875" style="288" customWidth="1"/>
    <col min="13847" max="13847" width="40.81640625" style="288" customWidth="1"/>
    <col min="13848" max="13848" width="24.1796875" style="288" bestFit="1" customWidth="1"/>
    <col min="13849" max="13849" width="12.81640625" style="288" customWidth="1"/>
    <col min="13850" max="13850" width="9.1796875" style="288" bestFit="1" customWidth="1"/>
    <col min="13851" max="13851" width="4.81640625" style="288" bestFit="1" customWidth="1"/>
    <col min="13852" max="13852" width="4.1796875" style="288" customWidth="1"/>
    <col min="13853" max="13854" width="4.81640625" style="288" bestFit="1" customWidth="1"/>
    <col min="13855" max="14080" width="9.1796875" style="288"/>
    <col min="14081" max="14081" width="7.81640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81640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81640625" style="288" customWidth="1"/>
    <col min="14093" max="14093" width="7.81640625" style="288" customWidth="1"/>
    <col min="14094" max="14095" width="8.81640625" style="288" customWidth="1"/>
    <col min="14096" max="14096" width="7.81640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81640625" style="288" customWidth="1"/>
    <col min="14102" max="14102" width="17.1796875" style="288" customWidth="1"/>
    <col min="14103" max="14103" width="40.81640625" style="288" customWidth="1"/>
    <col min="14104" max="14104" width="24.1796875" style="288" bestFit="1" customWidth="1"/>
    <col min="14105" max="14105" width="12.81640625" style="288" customWidth="1"/>
    <col min="14106" max="14106" width="9.1796875" style="288" bestFit="1" customWidth="1"/>
    <col min="14107" max="14107" width="4.81640625" style="288" bestFit="1" customWidth="1"/>
    <col min="14108" max="14108" width="4.1796875" style="288" customWidth="1"/>
    <col min="14109" max="14110" width="4.81640625" style="288" bestFit="1" customWidth="1"/>
    <col min="14111" max="14336" width="9.1796875" style="288"/>
    <col min="14337" max="14337" width="7.81640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81640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81640625" style="288" customWidth="1"/>
    <col min="14349" max="14349" width="7.81640625" style="288" customWidth="1"/>
    <col min="14350" max="14351" width="8.81640625" style="288" customWidth="1"/>
    <col min="14352" max="14352" width="7.81640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81640625" style="288" customWidth="1"/>
    <col min="14358" max="14358" width="17.1796875" style="288" customWidth="1"/>
    <col min="14359" max="14359" width="40.81640625" style="288" customWidth="1"/>
    <col min="14360" max="14360" width="24.1796875" style="288" bestFit="1" customWidth="1"/>
    <col min="14361" max="14361" width="12.81640625" style="288" customWidth="1"/>
    <col min="14362" max="14362" width="9.1796875" style="288" bestFit="1" customWidth="1"/>
    <col min="14363" max="14363" width="4.81640625" style="288" bestFit="1" customWidth="1"/>
    <col min="14364" max="14364" width="4.1796875" style="288" customWidth="1"/>
    <col min="14365" max="14366" width="4.81640625" style="288" bestFit="1" customWidth="1"/>
    <col min="14367" max="14592" width="9.1796875" style="288"/>
    <col min="14593" max="14593" width="7.81640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81640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81640625" style="288" customWidth="1"/>
    <col min="14605" max="14605" width="7.81640625" style="288" customWidth="1"/>
    <col min="14606" max="14607" width="8.81640625" style="288" customWidth="1"/>
    <col min="14608" max="14608" width="7.81640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81640625" style="288" customWidth="1"/>
    <col min="14614" max="14614" width="17.1796875" style="288" customWidth="1"/>
    <col min="14615" max="14615" width="40.81640625" style="288" customWidth="1"/>
    <col min="14616" max="14616" width="24.1796875" style="288" bestFit="1" customWidth="1"/>
    <col min="14617" max="14617" width="12.81640625" style="288" customWidth="1"/>
    <col min="14618" max="14618" width="9.1796875" style="288" bestFit="1" customWidth="1"/>
    <col min="14619" max="14619" width="4.81640625" style="288" bestFit="1" customWidth="1"/>
    <col min="14620" max="14620" width="4.1796875" style="288" customWidth="1"/>
    <col min="14621" max="14622" width="4.81640625" style="288" bestFit="1" customWidth="1"/>
    <col min="14623" max="14848" width="9.1796875" style="288"/>
    <col min="14849" max="14849" width="7.81640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81640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81640625" style="288" customWidth="1"/>
    <col min="14861" max="14861" width="7.81640625" style="288" customWidth="1"/>
    <col min="14862" max="14863" width="8.81640625" style="288" customWidth="1"/>
    <col min="14864" max="14864" width="7.81640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81640625" style="288" customWidth="1"/>
    <col min="14870" max="14870" width="17.1796875" style="288" customWidth="1"/>
    <col min="14871" max="14871" width="40.81640625" style="288" customWidth="1"/>
    <col min="14872" max="14872" width="24.1796875" style="288" bestFit="1" customWidth="1"/>
    <col min="14873" max="14873" width="12.81640625" style="288" customWidth="1"/>
    <col min="14874" max="14874" width="9.1796875" style="288" bestFit="1" customWidth="1"/>
    <col min="14875" max="14875" width="4.81640625" style="288" bestFit="1" customWidth="1"/>
    <col min="14876" max="14876" width="4.1796875" style="288" customWidth="1"/>
    <col min="14877" max="14878" width="4.81640625" style="288" bestFit="1" customWidth="1"/>
    <col min="14879" max="15104" width="9.1796875" style="288"/>
    <col min="15105" max="15105" width="7.81640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81640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81640625" style="288" customWidth="1"/>
    <col min="15117" max="15117" width="7.81640625" style="288" customWidth="1"/>
    <col min="15118" max="15119" width="8.81640625" style="288" customWidth="1"/>
    <col min="15120" max="15120" width="7.81640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81640625" style="288" customWidth="1"/>
    <col min="15126" max="15126" width="17.1796875" style="288" customWidth="1"/>
    <col min="15127" max="15127" width="40.81640625" style="288" customWidth="1"/>
    <col min="15128" max="15128" width="24.1796875" style="288" bestFit="1" customWidth="1"/>
    <col min="15129" max="15129" width="12.81640625" style="288" customWidth="1"/>
    <col min="15130" max="15130" width="9.1796875" style="288" bestFit="1" customWidth="1"/>
    <col min="15131" max="15131" width="4.81640625" style="288" bestFit="1" customWidth="1"/>
    <col min="15132" max="15132" width="4.1796875" style="288" customWidth="1"/>
    <col min="15133" max="15134" width="4.81640625" style="288" bestFit="1" customWidth="1"/>
    <col min="15135" max="15360" width="9.1796875" style="288"/>
    <col min="15361" max="15361" width="7.81640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81640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81640625" style="288" customWidth="1"/>
    <col min="15373" max="15373" width="7.81640625" style="288" customWidth="1"/>
    <col min="15374" max="15375" width="8.81640625" style="288" customWidth="1"/>
    <col min="15376" max="15376" width="7.81640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81640625" style="288" customWidth="1"/>
    <col min="15382" max="15382" width="17.1796875" style="288" customWidth="1"/>
    <col min="15383" max="15383" width="40.81640625" style="288" customWidth="1"/>
    <col min="15384" max="15384" width="24.1796875" style="288" bestFit="1" customWidth="1"/>
    <col min="15385" max="15385" width="12.81640625" style="288" customWidth="1"/>
    <col min="15386" max="15386" width="9.1796875" style="288" bestFit="1" customWidth="1"/>
    <col min="15387" max="15387" width="4.81640625" style="288" bestFit="1" customWidth="1"/>
    <col min="15388" max="15388" width="4.1796875" style="288" customWidth="1"/>
    <col min="15389" max="15390" width="4.81640625" style="288" bestFit="1" customWidth="1"/>
    <col min="15391" max="15616" width="9.1796875" style="288"/>
    <col min="15617" max="15617" width="7.81640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81640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81640625" style="288" customWidth="1"/>
    <col min="15629" max="15629" width="7.81640625" style="288" customWidth="1"/>
    <col min="15630" max="15631" width="8.81640625" style="288" customWidth="1"/>
    <col min="15632" max="15632" width="7.81640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81640625" style="288" customWidth="1"/>
    <col min="15638" max="15638" width="17.1796875" style="288" customWidth="1"/>
    <col min="15639" max="15639" width="40.81640625" style="288" customWidth="1"/>
    <col min="15640" max="15640" width="24.1796875" style="288" bestFit="1" customWidth="1"/>
    <col min="15641" max="15641" width="12.81640625" style="288" customWidth="1"/>
    <col min="15642" max="15642" width="9.1796875" style="288" bestFit="1" customWidth="1"/>
    <col min="15643" max="15643" width="4.81640625" style="288" bestFit="1" customWidth="1"/>
    <col min="15644" max="15644" width="4.1796875" style="288" customWidth="1"/>
    <col min="15645" max="15646" width="4.81640625" style="288" bestFit="1" customWidth="1"/>
    <col min="15647" max="15872" width="9.1796875" style="288"/>
    <col min="15873" max="15873" width="7.81640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81640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81640625" style="288" customWidth="1"/>
    <col min="15885" max="15885" width="7.81640625" style="288" customWidth="1"/>
    <col min="15886" max="15887" width="8.81640625" style="288" customWidth="1"/>
    <col min="15888" max="15888" width="7.81640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81640625" style="288" customWidth="1"/>
    <col min="15894" max="15894" width="17.1796875" style="288" customWidth="1"/>
    <col min="15895" max="15895" width="40.81640625" style="288" customWidth="1"/>
    <col min="15896" max="15896" width="24.1796875" style="288" bestFit="1" customWidth="1"/>
    <col min="15897" max="15897" width="12.81640625" style="288" customWidth="1"/>
    <col min="15898" max="15898" width="9.1796875" style="288" bestFit="1" customWidth="1"/>
    <col min="15899" max="15899" width="4.81640625" style="288" bestFit="1" customWidth="1"/>
    <col min="15900" max="15900" width="4.1796875" style="288" customWidth="1"/>
    <col min="15901" max="15902" width="4.81640625" style="288" bestFit="1" customWidth="1"/>
    <col min="15903" max="16128" width="9.1796875" style="288"/>
    <col min="16129" max="16129" width="7.81640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81640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81640625" style="288" customWidth="1"/>
    <col min="16141" max="16141" width="7.81640625" style="288" customWidth="1"/>
    <col min="16142" max="16143" width="8.81640625" style="288" customWidth="1"/>
    <col min="16144" max="16144" width="7.81640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81640625" style="288" customWidth="1"/>
    <col min="16150" max="16150" width="17.1796875" style="288" customWidth="1"/>
    <col min="16151" max="16151" width="40.81640625" style="288" customWidth="1"/>
    <col min="16152" max="16152" width="24.1796875" style="288" bestFit="1" customWidth="1"/>
    <col min="16153" max="16153" width="12.81640625" style="288" customWidth="1"/>
    <col min="16154" max="16154" width="9.1796875" style="288" bestFit="1" customWidth="1"/>
    <col min="16155" max="16155" width="4.81640625" style="288" bestFit="1" customWidth="1"/>
    <col min="16156" max="16156" width="4.1796875" style="288" customWidth="1"/>
    <col min="16157" max="16158" width="4.81640625" style="288" bestFit="1" customWidth="1"/>
    <col min="16159" max="16384" width="9.1796875" style="288"/>
  </cols>
  <sheetData>
    <row r="1" spans="1:30" s="299" customFormat="1" ht="15" x14ac:dyDescent="0.35">
      <c r="A1" s="453" t="s">
        <v>931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  <c r="AC1" s="454"/>
      <c r="AD1" s="455"/>
    </row>
    <row r="2" spans="1:30" s="299" customFormat="1" ht="15" customHeight="1" x14ac:dyDescent="0.35">
      <c r="A2" s="456" t="s">
        <v>932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8"/>
    </row>
    <row r="3" spans="1:30" s="299" customFormat="1" ht="15" customHeight="1" x14ac:dyDescent="0.35">
      <c r="A3" s="456" t="s">
        <v>933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8"/>
    </row>
    <row r="4" spans="1:30" s="299" customFormat="1" ht="14.25" customHeight="1" x14ac:dyDescent="0.35">
      <c r="A4" s="456" t="s">
        <v>1966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8"/>
    </row>
    <row r="5" spans="1:30" s="299" customFormat="1" ht="15.5" thickBot="1" x14ac:dyDescent="0.4">
      <c r="A5" s="459" t="s">
        <v>1967</v>
      </c>
      <c r="B5" s="460"/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  <c r="AB5" s="460"/>
      <c r="AC5" s="460"/>
      <c r="AD5" s="461"/>
    </row>
    <row r="6" spans="1:30" s="299" customFormat="1" ht="36.75" customHeight="1" x14ac:dyDescent="0.35">
      <c r="A6" s="462" t="s">
        <v>934</v>
      </c>
      <c r="B6" s="432" t="s">
        <v>935</v>
      </c>
      <c r="C6" s="432" t="s">
        <v>936</v>
      </c>
      <c r="D6" s="432" t="s">
        <v>490</v>
      </c>
      <c r="E6" s="432" t="s">
        <v>937</v>
      </c>
      <c r="F6" s="432" t="s">
        <v>938</v>
      </c>
      <c r="G6" s="432" t="s">
        <v>939</v>
      </c>
      <c r="H6" s="432" t="s">
        <v>940</v>
      </c>
      <c r="I6" s="432" t="s">
        <v>941</v>
      </c>
      <c r="J6" s="437" t="s">
        <v>942</v>
      </c>
      <c r="K6" s="450" t="s">
        <v>943</v>
      </c>
      <c r="L6" s="432" t="s">
        <v>944</v>
      </c>
      <c r="M6" s="432" t="s">
        <v>945</v>
      </c>
      <c r="N6" s="432"/>
      <c r="O6" s="432"/>
      <c r="P6" s="432" t="s">
        <v>946</v>
      </c>
      <c r="Q6" s="432"/>
      <c r="R6" s="432"/>
      <c r="S6" s="449" t="s">
        <v>947</v>
      </c>
      <c r="T6" s="449"/>
      <c r="U6" s="432" t="s">
        <v>948</v>
      </c>
      <c r="V6" s="432"/>
      <c r="W6" s="442" t="s">
        <v>949</v>
      </c>
      <c r="X6" s="432" t="s">
        <v>950</v>
      </c>
      <c r="Y6" s="432" t="s">
        <v>951</v>
      </c>
      <c r="Z6" s="434" t="s">
        <v>952</v>
      </c>
      <c r="AA6" s="436" t="s">
        <v>953</v>
      </c>
      <c r="AB6" s="437"/>
      <c r="AC6" s="437"/>
      <c r="AD6" s="438"/>
    </row>
    <row r="7" spans="1:30" s="301" customFormat="1" ht="36.75" customHeight="1" thickBot="1" x14ac:dyDescent="0.4">
      <c r="A7" s="463"/>
      <c r="B7" s="433"/>
      <c r="C7" s="433"/>
      <c r="D7" s="433"/>
      <c r="E7" s="433"/>
      <c r="F7" s="433"/>
      <c r="G7" s="433"/>
      <c r="H7" s="433"/>
      <c r="I7" s="433"/>
      <c r="J7" s="452"/>
      <c r="K7" s="451"/>
      <c r="L7" s="433"/>
      <c r="M7" s="295" t="s">
        <v>954</v>
      </c>
      <c r="N7" s="295" t="s">
        <v>955</v>
      </c>
      <c r="O7" s="295" t="s">
        <v>7</v>
      </c>
      <c r="P7" s="295" t="s">
        <v>954</v>
      </c>
      <c r="Q7" s="295" t="s">
        <v>955</v>
      </c>
      <c r="R7" s="295" t="s">
        <v>7</v>
      </c>
      <c r="S7" s="300" t="s">
        <v>956</v>
      </c>
      <c r="T7" s="300" t="s">
        <v>957</v>
      </c>
      <c r="U7" s="295" t="s">
        <v>958</v>
      </c>
      <c r="V7" s="295" t="s">
        <v>959</v>
      </c>
      <c r="W7" s="443"/>
      <c r="X7" s="433"/>
      <c r="Y7" s="433"/>
      <c r="Z7" s="435"/>
      <c r="AA7" s="277" t="s">
        <v>960</v>
      </c>
      <c r="AB7" s="296" t="s">
        <v>961</v>
      </c>
      <c r="AC7" s="296" t="s">
        <v>962</v>
      </c>
      <c r="AD7" s="278" t="s">
        <v>963</v>
      </c>
    </row>
    <row r="8" spans="1:30" s="313" customFormat="1" ht="24.75" customHeight="1" x14ac:dyDescent="0.35">
      <c r="A8" s="302">
        <v>0</v>
      </c>
      <c r="B8" s="303" t="s">
        <v>964</v>
      </c>
      <c r="C8" s="304" t="s">
        <v>965</v>
      </c>
      <c r="D8" s="303" t="s">
        <v>966</v>
      </c>
      <c r="E8" s="303" t="s">
        <v>964</v>
      </c>
      <c r="F8" s="303"/>
      <c r="G8" s="303" t="s">
        <v>964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1968</v>
      </c>
      <c r="T8" s="303" t="s">
        <v>1969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1936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967</v>
      </c>
      <c r="C10" s="315" t="s">
        <v>8</v>
      </c>
      <c r="D10" s="315" t="s">
        <v>9</v>
      </c>
      <c r="E10" s="315" t="s">
        <v>968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1970</v>
      </c>
      <c r="T10" s="315" t="s">
        <v>1971</v>
      </c>
      <c r="U10" s="318">
        <v>517540.723</v>
      </c>
      <c r="V10" s="319">
        <v>2676852.389</v>
      </c>
      <c r="W10" s="320" t="s">
        <v>1937</v>
      </c>
      <c r="X10" s="323" t="s">
        <v>969</v>
      </c>
      <c r="Y10" s="323" t="s">
        <v>970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971</v>
      </c>
      <c r="C12" s="315" t="s">
        <v>10</v>
      </c>
      <c r="D12" s="315" t="s">
        <v>9</v>
      </c>
      <c r="E12" s="315" t="s">
        <v>1938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1972</v>
      </c>
      <c r="T12" s="315" t="s">
        <v>1973</v>
      </c>
      <c r="U12" s="318">
        <v>517437.804</v>
      </c>
      <c r="V12" s="319">
        <v>2676745.3679999998</v>
      </c>
      <c r="W12" s="320"/>
      <c r="X12" s="323" t="s">
        <v>969</v>
      </c>
      <c r="Y12" s="323" t="s">
        <v>970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1939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972</v>
      </c>
      <c r="C14" s="315" t="s">
        <v>11</v>
      </c>
      <c r="D14" s="315" t="s">
        <v>12</v>
      </c>
      <c r="E14" s="315" t="s">
        <v>1940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1974</v>
      </c>
      <c r="T14" s="315" t="s">
        <v>1975</v>
      </c>
      <c r="U14" s="318">
        <v>517542.14299999998</v>
      </c>
      <c r="V14" s="319">
        <v>2676350.074</v>
      </c>
      <c r="W14" s="320"/>
      <c r="X14" s="323" t="s">
        <v>969</v>
      </c>
      <c r="Y14" s="323" t="s">
        <v>970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1941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964</v>
      </c>
      <c r="C16" s="315" t="s">
        <v>13</v>
      </c>
      <c r="D16" s="315" t="s">
        <v>14</v>
      </c>
      <c r="E16" s="315" t="s">
        <v>964</v>
      </c>
      <c r="F16" s="316"/>
      <c r="G16" s="315" t="s">
        <v>964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1976</v>
      </c>
      <c r="T16" s="315" t="s">
        <v>1977</v>
      </c>
      <c r="U16" s="318">
        <v>517862.804</v>
      </c>
      <c r="V16" s="319">
        <v>2676146.17</v>
      </c>
      <c r="W16" s="320"/>
      <c r="X16" s="323" t="s">
        <v>969</v>
      </c>
      <c r="Y16" s="323" t="s">
        <v>970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1942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964</v>
      </c>
      <c r="C18" s="315" t="s">
        <v>15</v>
      </c>
      <c r="D18" s="315" t="s">
        <v>16</v>
      </c>
      <c r="E18" s="315" t="s">
        <v>964</v>
      </c>
      <c r="F18" s="316"/>
      <c r="G18" s="315" t="s">
        <v>964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1978</v>
      </c>
      <c r="T18" s="315" t="s">
        <v>1979</v>
      </c>
      <c r="U18" s="318">
        <v>518218.90600000002</v>
      </c>
      <c r="V18" s="319">
        <v>2675919.73</v>
      </c>
      <c r="W18" s="320"/>
      <c r="X18" s="323" t="s">
        <v>969</v>
      </c>
      <c r="Y18" s="323" t="s">
        <v>970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1943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973</v>
      </c>
      <c r="C20" s="315" t="s">
        <v>17</v>
      </c>
      <c r="D20" s="315" t="s">
        <v>18</v>
      </c>
      <c r="E20" s="315" t="s">
        <v>1944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1980</v>
      </c>
      <c r="T20" s="315" t="s">
        <v>1981</v>
      </c>
      <c r="U20" s="318">
        <v>518563.49099999998</v>
      </c>
      <c r="V20" s="319">
        <v>2675700.6129999999</v>
      </c>
      <c r="W20" s="320"/>
      <c r="X20" s="323" t="s">
        <v>974</v>
      </c>
      <c r="Y20" s="323" t="s">
        <v>970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975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964</v>
      </c>
      <c r="C22" s="315" t="s">
        <v>19</v>
      </c>
      <c r="D22" s="315" t="s">
        <v>20</v>
      </c>
      <c r="E22" s="315" t="s">
        <v>964</v>
      </c>
      <c r="F22" s="316"/>
      <c r="G22" s="315" t="s">
        <v>964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1982</v>
      </c>
      <c r="T22" s="315" t="s">
        <v>1983</v>
      </c>
      <c r="U22" s="318">
        <v>518971.67</v>
      </c>
      <c r="V22" s="319">
        <v>2675604.017</v>
      </c>
      <c r="W22" s="327" t="s">
        <v>1749</v>
      </c>
      <c r="X22" s="323" t="s">
        <v>974</v>
      </c>
      <c r="Y22" s="323" t="s">
        <v>970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976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964</v>
      </c>
      <c r="C24" s="315" t="s">
        <v>21</v>
      </c>
      <c r="D24" s="315" t="s">
        <v>20</v>
      </c>
      <c r="E24" s="315" t="s">
        <v>964</v>
      </c>
      <c r="F24" s="316"/>
      <c r="G24" s="315" t="s">
        <v>964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1984</v>
      </c>
      <c r="T24" s="315" t="s">
        <v>1985</v>
      </c>
      <c r="U24" s="318">
        <v>519342.43</v>
      </c>
      <c r="V24" s="319">
        <v>2675516.2749999999</v>
      </c>
      <c r="W24" s="327" t="s">
        <v>1749</v>
      </c>
      <c r="X24" s="323" t="s">
        <v>974</v>
      </c>
      <c r="Y24" s="323" t="s">
        <v>970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964</v>
      </c>
      <c r="C26" s="315" t="s">
        <v>22</v>
      </c>
      <c r="D26" s="315" t="s">
        <v>23</v>
      </c>
      <c r="E26" s="315" t="s">
        <v>964</v>
      </c>
      <c r="F26" s="316"/>
      <c r="G26" s="315" t="s">
        <v>964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1986</v>
      </c>
      <c r="T26" s="315" t="s">
        <v>1987</v>
      </c>
      <c r="U26" s="318">
        <v>519748.223</v>
      </c>
      <c r="V26" s="319">
        <v>2675420.2429999998</v>
      </c>
      <c r="W26" s="320"/>
      <c r="X26" s="323" t="s">
        <v>977</v>
      </c>
      <c r="Y26" s="323" t="s">
        <v>970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978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964</v>
      </c>
      <c r="C28" s="315" t="s">
        <v>24</v>
      </c>
      <c r="D28" s="315" t="s">
        <v>16</v>
      </c>
      <c r="E28" s="315" t="s">
        <v>964</v>
      </c>
      <c r="F28" s="316"/>
      <c r="G28" s="315" t="s">
        <v>964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1988</v>
      </c>
      <c r="T28" s="315" t="s">
        <v>1989</v>
      </c>
      <c r="U28" s="318">
        <v>520154.016</v>
      </c>
      <c r="V28" s="319">
        <v>2675324.2110000001</v>
      </c>
      <c r="W28" s="320"/>
      <c r="X28" s="323" t="s">
        <v>977</v>
      </c>
      <c r="Y28" s="323" t="s">
        <v>970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979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964</v>
      </c>
      <c r="C30" s="315" t="s">
        <v>25</v>
      </c>
      <c r="D30" s="315" t="s">
        <v>23</v>
      </c>
      <c r="E30" s="315" t="s">
        <v>964</v>
      </c>
      <c r="F30" s="316"/>
      <c r="G30" s="315" t="s">
        <v>964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1990</v>
      </c>
      <c r="T30" s="315" t="s">
        <v>1991</v>
      </c>
      <c r="U30" s="318">
        <v>520559.81</v>
      </c>
      <c r="V30" s="319">
        <v>2675228.179</v>
      </c>
      <c r="W30" s="320"/>
      <c r="X30" s="323" t="s">
        <v>977</v>
      </c>
      <c r="Y30" s="323" t="s">
        <v>970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976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964</v>
      </c>
      <c r="C32" s="315" t="s">
        <v>26</v>
      </c>
      <c r="D32" s="315" t="s">
        <v>16</v>
      </c>
      <c r="E32" s="315" t="s">
        <v>964</v>
      </c>
      <c r="F32" s="316"/>
      <c r="G32" s="315" t="s">
        <v>964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1992</v>
      </c>
      <c r="T32" s="315" t="s">
        <v>1993</v>
      </c>
      <c r="U32" s="318">
        <v>520937.38299999997</v>
      </c>
      <c r="V32" s="319">
        <v>2675138.8259999999</v>
      </c>
      <c r="W32" s="320"/>
      <c r="X32" s="323" t="s">
        <v>977</v>
      </c>
      <c r="Y32" s="323" t="s">
        <v>970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1945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980</v>
      </c>
      <c r="C34" s="315" t="s">
        <v>27</v>
      </c>
      <c r="D34" s="315" t="s">
        <v>28</v>
      </c>
      <c r="E34" s="315" t="s">
        <v>1994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1995</v>
      </c>
      <c r="T34" s="315" t="s">
        <v>1996</v>
      </c>
      <c r="U34" s="318">
        <v>521377.56800000003</v>
      </c>
      <c r="V34" s="319">
        <v>2675034.6549999998</v>
      </c>
      <c r="W34" s="320"/>
      <c r="X34" s="329" t="s">
        <v>981</v>
      </c>
      <c r="Y34" s="329" t="s">
        <v>982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983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964</v>
      </c>
      <c r="C36" s="331" t="s">
        <v>29</v>
      </c>
      <c r="D36" s="331" t="s">
        <v>23</v>
      </c>
      <c r="E36" s="331" t="s">
        <v>964</v>
      </c>
      <c r="F36" s="331"/>
      <c r="G36" s="331" t="s">
        <v>964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1997</v>
      </c>
      <c r="T36" s="332" t="s">
        <v>1998</v>
      </c>
      <c r="U36" s="333">
        <v>521769.25699999998</v>
      </c>
      <c r="V36" s="333">
        <v>2674948.7439999999</v>
      </c>
      <c r="W36" s="334"/>
      <c r="X36" s="315" t="s">
        <v>981</v>
      </c>
      <c r="Y36" s="315" t="s">
        <v>982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984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964</v>
      </c>
      <c r="C38" s="331" t="s">
        <v>30</v>
      </c>
      <c r="D38" s="331" t="s">
        <v>31</v>
      </c>
      <c r="E38" s="331" t="s">
        <v>964</v>
      </c>
      <c r="F38" s="331"/>
      <c r="G38" s="331" t="s">
        <v>964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985</v>
      </c>
      <c r="T38" s="332" t="s">
        <v>986</v>
      </c>
      <c r="U38" s="333">
        <v>522091.59499999997</v>
      </c>
      <c r="V38" s="333">
        <v>2674878.0449999999</v>
      </c>
      <c r="W38" s="334"/>
      <c r="X38" s="315" t="s">
        <v>987</v>
      </c>
      <c r="Y38" s="315" t="s">
        <v>982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988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964</v>
      </c>
      <c r="C40" s="331" t="s">
        <v>32</v>
      </c>
      <c r="D40" s="331" t="s">
        <v>33</v>
      </c>
      <c r="E40" s="331" t="s">
        <v>964</v>
      </c>
      <c r="F40" s="331"/>
      <c r="G40" s="331" t="s">
        <v>964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989</v>
      </c>
      <c r="T40" s="332" t="s">
        <v>990</v>
      </c>
      <c r="U40" s="333">
        <v>522495.005</v>
      </c>
      <c r="V40" s="333">
        <v>2674789.5630000001</v>
      </c>
      <c r="W40" s="334"/>
      <c r="X40" s="315" t="s">
        <v>987</v>
      </c>
      <c r="Y40" s="315" t="s">
        <v>982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991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964</v>
      </c>
      <c r="C42" s="331" t="s">
        <v>34</v>
      </c>
      <c r="D42" s="331" t="s">
        <v>35</v>
      </c>
      <c r="E42" s="331" t="s">
        <v>964</v>
      </c>
      <c r="F42" s="331"/>
      <c r="G42" s="331" t="s">
        <v>964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992</v>
      </c>
      <c r="T42" s="332" t="s">
        <v>993</v>
      </c>
      <c r="U42" s="333">
        <v>522907.20699999999</v>
      </c>
      <c r="V42" s="333">
        <v>2674699.1529999999</v>
      </c>
      <c r="W42" s="334"/>
      <c r="X42" s="315" t="s">
        <v>987</v>
      </c>
      <c r="Y42" s="315" t="s">
        <v>982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994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964</v>
      </c>
      <c r="C44" s="331" t="s">
        <v>36</v>
      </c>
      <c r="D44" s="331" t="s">
        <v>31</v>
      </c>
      <c r="E44" s="331" t="s">
        <v>964</v>
      </c>
      <c r="F44" s="331"/>
      <c r="G44" s="331" t="s">
        <v>964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995</v>
      </c>
      <c r="T44" s="332" t="s">
        <v>996</v>
      </c>
      <c r="U44" s="333">
        <v>523294.01</v>
      </c>
      <c r="V44" s="333">
        <v>2674614.31</v>
      </c>
      <c r="W44" s="334"/>
      <c r="X44" s="315" t="s">
        <v>987</v>
      </c>
      <c r="Y44" s="315" t="s">
        <v>982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997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964</v>
      </c>
      <c r="C46" s="331" t="s">
        <v>37</v>
      </c>
      <c r="D46" s="331" t="s">
        <v>31</v>
      </c>
      <c r="E46" s="331" t="s">
        <v>964</v>
      </c>
      <c r="F46" s="331"/>
      <c r="G46" s="331" t="s">
        <v>964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998</v>
      </c>
      <c r="T46" s="332" t="s">
        <v>999</v>
      </c>
      <c r="U46" s="333">
        <v>523670.07299999997</v>
      </c>
      <c r="V46" s="333">
        <v>2674531.8309999998</v>
      </c>
      <c r="W46" s="334"/>
      <c r="X46" s="315" t="s">
        <v>987</v>
      </c>
      <c r="Y46" s="315" t="s">
        <v>982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1000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964</v>
      </c>
      <c r="C48" s="331" t="s">
        <v>38</v>
      </c>
      <c r="D48" s="331" t="s">
        <v>23</v>
      </c>
      <c r="E48" s="331" t="s">
        <v>964</v>
      </c>
      <c r="F48" s="331"/>
      <c r="G48" s="331" t="s">
        <v>964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1001</v>
      </c>
      <c r="T48" s="332" t="s">
        <v>1002</v>
      </c>
      <c r="U48" s="333">
        <v>524000.22399999999</v>
      </c>
      <c r="V48" s="333">
        <v>2674459.4180000001</v>
      </c>
      <c r="W48" s="334"/>
      <c r="X48" s="315" t="s">
        <v>987</v>
      </c>
      <c r="Y48" s="315" t="s">
        <v>982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1003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1004</v>
      </c>
      <c r="C50" s="331" t="s">
        <v>39</v>
      </c>
      <c r="D50" s="331" t="s">
        <v>40</v>
      </c>
      <c r="E50" s="331" t="s">
        <v>1005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1006</v>
      </c>
      <c r="T50" s="332" t="s">
        <v>1007</v>
      </c>
      <c r="U50" s="333">
        <v>524316.57999999996</v>
      </c>
      <c r="V50" s="333">
        <v>2674390.0299999998</v>
      </c>
      <c r="W50" s="334"/>
      <c r="X50" s="315" t="s">
        <v>987</v>
      </c>
      <c r="Y50" s="315" t="s">
        <v>982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1008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964</v>
      </c>
      <c r="C52" s="331" t="s">
        <v>41</v>
      </c>
      <c r="D52" s="331" t="s">
        <v>14</v>
      </c>
      <c r="E52" s="331" t="s">
        <v>964</v>
      </c>
      <c r="F52" s="331"/>
      <c r="G52" s="331" t="s">
        <v>964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1009</v>
      </c>
      <c r="T52" s="332" t="s">
        <v>1010</v>
      </c>
      <c r="U52" s="333">
        <v>524602.22400000005</v>
      </c>
      <c r="V52" s="333">
        <v>2674139.4160000002</v>
      </c>
      <c r="W52" s="334"/>
      <c r="X52" s="315" t="s">
        <v>987</v>
      </c>
      <c r="Y52" s="315" t="s">
        <v>982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1011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964</v>
      </c>
      <c r="C54" s="331" t="s">
        <v>42</v>
      </c>
      <c r="D54" s="331" t="s">
        <v>35</v>
      </c>
      <c r="E54" s="331" t="s">
        <v>964</v>
      </c>
      <c r="F54" s="331"/>
      <c r="G54" s="331" t="s">
        <v>964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1012</v>
      </c>
      <c r="T54" s="332" t="s">
        <v>1013</v>
      </c>
      <c r="U54" s="333">
        <v>524883.36</v>
      </c>
      <c r="V54" s="333">
        <v>2673892.7599999998</v>
      </c>
      <c r="W54" s="334"/>
      <c r="X54" s="315" t="s">
        <v>987</v>
      </c>
      <c r="Y54" s="315" t="s">
        <v>982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1014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964</v>
      </c>
      <c r="C56" s="331" t="s">
        <v>43</v>
      </c>
      <c r="D56" s="331" t="s">
        <v>35</v>
      </c>
      <c r="E56" s="331" t="s">
        <v>964</v>
      </c>
      <c r="F56" s="331"/>
      <c r="G56" s="331" t="s">
        <v>964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1015</v>
      </c>
      <c r="T56" s="332" t="s">
        <v>1016</v>
      </c>
      <c r="U56" s="333">
        <v>525195.31299999997</v>
      </c>
      <c r="V56" s="333">
        <v>2673619.0630000001</v>
      </c>
      <c r="W56" s="334"/>
      <c r="X56" s="315" t="s">
        <v>987</v>
      </c>
      <c r="Y56" s="315" t="s">
        <v>982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1017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1018</v>
      </c>
      <c r="C58" s="331" t="s">
        <v>44</v>
      </c>
      <c r="D58" s="331" t="s">
        <v>40</v>
      </c>
      <c r="E58" s="331" t="s">
        <v>1019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1020</v>
      </c>
      <c r="T58" s="332" t="s">
        <v>1021</v>
      </c>
      <c r="U58" s="333">
        <v>525485.46200000006</v>
      </c>
      <c r="V58" s="333">
        <v>2673364.497</v>
      </c>
      <c r="W58" s="334"/>
      <c r="X58" s="315" t="s">
        <v>1022</v>
      </c>
      <c r="Y58" s="315" t="s">
        <v>982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1023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964</v>
      </c>
      <c r="C60" s="331" t="s">
        <v>45</v>
      </c>
      <c r="D60" s="331" t="s">
        <v>31</v>
      </c>
      <c r="E60" s="331" t="s">
        <v>964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1024</v>
      </c>
      <c r="T60" s="331" t="s">
        <v>1025</v>
      </c>
      <c r="U60" s="331">
        <v>525817.81000000006</v>
      </c>
      <c r="V60" s="331">
        <v>2673248.52</v>
      </c>
      <c r="W60" s="331"/>
      <c r="X60" s="315" t="s">
        <v>1022</v>
      </c>
      <c r="Y60" s="315" t="s">
        <v>982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1026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964</v>
      </c>
      <c r="C62" s="331" t="s">
        <v>46</v>
      </c>
      <c r="D62" s="331" t="s">
        <v>31</v>
      </c>
      <c r="E62" s="331" t="s">
        <v>964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1027</v>
      </c>
      <c r="T62" s="331" t="s">
        <v>1028</v>
      </c>
      <c r="U62" s="331">
        <v>526187.92000000004</v>
      </c>
      <c r="V62" s="331">
        <v>2673119.37</v>
      </c>
      <c r="W62" s="331"/>
      <c r="X62" s="315" t="s">
        <v>1022</v>
      </c>
      <c r="Y62" s="315" t="s">
        <v>982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1029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964</v>
      </c>
      <c r="C64" s="331" t="s">
        <v>47</v>
      </c>
      <c r="D64" s="331" t="s">
        <v>31</v>
      </c>
      <c r="E64" s="331" t="s">
        <v>964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1030</v>
      </c>
      <c r="T64" s="331" t="s">
        <v>1031</v>
      </c>
      <c r="U64" s="331">
        <v>526547.65</v>
      </c>
      <c r="V64" s="331">
        <v>2672993.84</v>
      </c>
      <c r="W64" s="331"/>
      <c r="X64" s="315" t="s">
        <v>1022</v>
      </c>
      <c r="Y64" s="315" t="s">
        <v>982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1032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964</v>
      </c>
      <c r="C66" s="331" t="s">
        <v>48</v>
      </c>
      <c r="D66" s="331" t="s">
        <v>31</v>
      </c>
      <c r="E66" s="331" t="s">
        <v>964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1033</v>
      </c>
      <c r="T66" s="331" t="s">
        <v>1034</v>
      </c>
      <c r="U66" s="331">
        <v>526915.87</v>
      </c>
      <c r="V66" s="331">
        <v>2672865.34</v>
      </c>
      <c r="W66" s="331"/>
      <c r="X66" s="315" t="s">
        <v>1022</v>
      </c>
      <c r="Y66" s="315" t="s">
        <v>982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1035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1036</v>
      </c>
      <c r="C68" s="331" t="s">
        <v>49</v>
      </c>
      <c r="D68" s="331" t="s">
        <v>28</v>
      </c>
      <c r="E68" s="331" t="s">
        <v>1037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1038</v>
      </c>
      <c r="T68" s="331" t="s">
        <v>1039</v>
      </c>
      <c r="U68" s="331">
        <v>527284.93999999994</v>
      </c>
      <c r="V68" s="331">
        <v>2672736.5499999998</v>
      </c>
      <c r="W68" s="331"/>
      <c r="X68" s="315" t="s">
        <v>1022</v>
      </c>
      <c r="Y68" s="315" t="s">
        <v>982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1040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964</v>
      </c>
      <c r="C70" s="331" t="s">
        <v>50</v>
      </c>
      <c r="D70" s="331" t="s">
        <v>31</v>
      </c>
      <c r="E70" s="331" t="s">
        <v>964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1041</v>
      </c>
      <c r="T70" s="331" t="s">
        <v>1042</v>
      </c>
      <c r="U70" s="331">
        <v>527593.43999999994</v>
      </c>
      <c r="V70" s="331">
        <v>2672616.6</v>
      </c>
      <c r="W70" s="331"/>
      <c r="X70" s="315" t="s">
        <v>1022</v>
      </c>
      <c r="Y70" s="315" t="s">
        <v>982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1023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964</v>
      </c>
      <c r="C72" s="331" t="s">
        <v>51</v>
      </c>
      <c r="D72" s="331" t="s">
        <v>33</v>
      </c>
      <c r="E72" s="331" t="s">
        <v>964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1043</v>
      </c>
      <c r="T72" s="331" t="s">
        <v>1044</v>
      </c>
      <c r="U72" s="331">
        <v>527969.98</v>
      </c>
      <c r="V72" s="331">
        <v>2672470.2000000002</v>
      </c>
      <c r="W72" s="331"/>
      <c r="X72" s="315" t="s">
        <v>1022</v>
      </c>
      <c r="Y72" s="315" t="s">
        <v>982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1035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964</v>
      </c>
      <c r="C74" s="331" t="s">
        <v>52</v>
      </c>
      <c r="D74" s="331" t="s">
        <v>33</v>
      </c>
      <c r="E74" s="331" t="s">
        <v>964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1045</v>
      </c>
      <c r="T74" s="331" t="s">
        <v>1046</v>
      </c>
      <c r="U74" s="331">
        <v>528352.12</v>
      </c>
      <c r="V74" s="331">
        <v>2672321.62</v>
      </c>
      <c r="W74" s="331"/>
      <c r="X74" s="315" t="s">
        <v>1022</v>
      </c>
      <c r="Y74" s="315" t="s">
        <v>982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1023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964</v>
      </c>
      <c r="C76" s="331" t="s">
        <v>53</v>
      </c>
      <c r="D76" s="331" t="s">
        <v>33</v>
      </c>
      <c r="E76" s="331" t="s">
        <v>964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1047</v>
      </c>
      <c r="T76" s="331" t="s">
        <v>1048</v>
      </c>
      <c r="U76" s="331">
        <v>528723.06000000006</v>
      </c>
      <c r="V76" s="331">
        <v>2672177.4</v>
      </c>
      <c r="W76" s="331"/>
      <c r="X76" s="315" t="s">
        <v>1022</v>
      </c>
      <c r="Y76" s="315" t="s">
        <v>982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1049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964</v>
      </c>
      <c r="C78" s="331" t="s">
        <v>54</v>
      </c>
      <c r="D78" s="331" t="s">
        <v>31</v>
      </c>
      <c r="E78" s="331" t="s">
        <v>964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1050</v>
      </c>
      <c r="T78" s="331" t="s">
        <v>1051</v>
      </c>
      <c r="U78" s="331">
        <v>529125.69999999995</v>
      </c>
      <c r="V78" s="331">
        <v>2672020.85</v>
      </c>
      <c r="W78" s="331"/>
      <c r="X78" s="315" t="s">
        <v>1052</v>
      </c>
      <c r="Y78" s="315" t="s">
        <v>982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1029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964</v>
      </c>
      <c r="C80" s="331" t="s">
        <v>55</v>
      </c>
      <c r="D80" s="331" t="s">
        <v>31</v>
      </c>
      <c r="E80" s="331" t="s">
        <v>964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1053</v>
      </c>
      <c r="T80" s="331" t="s">
        <v>1054</v>
      </c>
      <c r="U80" s="331">
        <v>529457.5</v>
      </c>
      <c r="V80" s="331">
        <v>2671891.84</v>
      </c>
      <c r="W80" s="331"/>
      <c r="X80" s="332" t="s">
        <v>1055</v>
      </c>
      <c r="Y80" s="315" t="s">
        <v>982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1026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964</v>
      </c>
      <c r="C82" s="331" t="s">
        <v>56</v>
      </c>
      <c r="D82" s="331" t="s">
        <v>31</v>
      </c>
      <c r="E82" s="331" t="s">
        <v>964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1056</v>
      </c>
      <c r="T82" s="331" t="s">
        <v>1057</v>
      </c>
      <c r="U82" s="331">
        <v>529837.77</v>
      </c>
      <c r="V82" s="331">
        <v>2671743.9900000002</v>
      </c>
      <c r="W82" s="331"/>
      <c r="X82" s="332" t="s">
        <v>1055</v>
      </c>
      <c r="Y82" s="315" t="s">
        <v>982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1058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964</v>
      </c>
      <c r="C84" s="331" t="s">
        <v>57</v>
      </c>
      <c r="D84" s="331" t="s">
        <v>33</v>
      </c>
      <c r="E84" s="331" t="s">
        <v>964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1059</v>
      </c>
      <c r="T84" s="331" t="s">
        <v>1060</v>
      </c>
      <c r="U84" s="331">
        <v>530224.56999999995</v>
      </c>
      <c r="V84" s="331">
        <v>2671593.6</v>
      </c>
      <c r="W84" s="331"/>
      <c r="X84" s="332" t="s">
        <v>1055</v>
      </c>
      <c r="Y84" s="315" t="s">
        <v>982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1061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964</v>
      </c>
      <c r="C86" s="331" t="s">
        <v>58</v>
      </c>
      <c r="D86" s="331" t="s">
        <v>23</v>
      </c>
      <c r="E86" s="331" t="s">
        <v>964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1062</v>
      </c>
      <c r="T86" s="331" t="s">
        <v>1063</v>
      </c>
      <c r="U86" s="331">
        <v>530570.35</v>
      </c>
      <c r="V86" s="331">
        <v>2671459.16</v>
      </c>
      <c r="W86" s="331"/>
      <c r="X86" s="332" t="s">
        <v>1055</v>
      </c>
      <c r="Y86" s="315" t="s">
        <v>982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1026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964</v>
      </c>
      <c r="C88" s="331" t="s">
        <v>59</v>
      </c>
      <c r="D88" s="331" t="s">
        <v>31</v>
      </c>
      <c r="E88" s="331" t="s">
        <v>964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1064</v>
      </c>
      <c r="T88" s="331" t="s">
        <v>1065</v>
      </c>
      <c r="U88" s="331">
        <v>530909.61</v>
      </c>
      <c r="V88" s="331">
        <v>2671327.25</v>
      </c>
      <c r="W88" s="331"/>
      <c r="X88" s="332" t="s">
        <v>1055</v>
      </c>
      <c r="Y88" s="315" t="s">
        <v>982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1066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1067</v>
      </c>
      <c r="C90" s="331" t="s">
        <v>60</v>
      </c>
      <c r="D90" s="331" t="s">
        <v>61</v>
      </c>
      <c r="E90" s="331" t="s">
        <v>1068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1069</v>
      </c>
      <c r="T90" s="331" t="s">
        <v>1070</v>
      </c>
      <c r="U90" s="331">
        <v>531296.31000000006</v>
      </c>
      <c r="V90" s="331">
        <v>2671176.9</v>
      </c>
      <c r="W90" s="331"/>
      <c r="X90" s="315" t="s">
        <v>1071</v>
      </c>
      <c r="Y90" s="315" t="s">
        <v>982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1072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964</v>
      </c>
      <c r="C92" s="331" t="s">
        <v>62</v>
      </c>
      <c r="D92" s="331" t="s">
        <v>33</v>
      </c>
      <c r="E92" s="331" t="s">
        <v>964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1073</v>
      </c>
      <c r="T92" s="331" t="s">
        <v>1074</v>
      </c>
      <c r="U92" s="331">
        <v>531677.04</v>
      </c>
      <c r="V92" s="331">
        <v>2671097.15</v>
      </c>
      <c r="W92" s="331"/>
      <c r="X92" s="315" t="s">
        <v>1071</v>
      </c>
      <c r="Y92" s="315" t="s">
        <v>982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1061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964</v>
      </c>
      <c r="C94" s="331" t="s">
        <v>63</v>
      </c>
      <c r="D94" s="331" t="s">
        <v>31</v>
      </c>
      <c r="E94" s="331" t="s">
        <v>964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1075</v>
      </c>
      <c r="T94" s="331" t="s">
        <v>1076</v>
      </c>
      <c r="U94" s="331">
        <v>532064.63</v>
      </c>
      <c r="V94" s="331">
        <v>2671015.96</v>
      </c>
      <c r="W94" s="331"/>
      <c r="X94" s="315" t="s">
        <v>1071</v>
      </c>
      <c r="Y94" s="315" t="s">
        <v>982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1077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964</v>
      </c>
      <c r="C96" s="331" t="s">
        <v>64</v>
      </c>
      <c r="D96" s="331" t="s">
        <v>16</v>
      </c>
      <c r="E96" s="331" t="s">
        <v>964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1078</v>
      </c>
      <c r="T96" s="331" t="s">
        <v>1079</v>
      </c>
      <c r="U96" s="331">
        <v>532494.30000000005</v>
      </c>
      <c r="V96" s="331">
        <v>2670925.96</v>
      </c>
      <c r="W96" s="331"/>
      <c r="X96" s="315" t="s">
        <v>1080</v>
      </c>
      <c r="Y96" s="315" t="s">
        <v>982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1077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1081</v>
      </c>
      <c r="C98" s="331" t="s">
        <v>65</v>
      </c>
      <c r="D98" s="331" t="s">
        <v>28</v>
      </c>
      <c r="E98" s="331" t="s">
        <v>1082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1083</v>
      </c>
      <c r="T98" s="331" t="s">
        <v>1084</v>
      </c>
      <c r="U98" s="331">
        <v>532867.52399999998</v>
      </c>
      <c r="V98" s="331">
        <v>2670847.7790000001</v>
      </c>
      <c r="W98" s="331"/>
      <c r="X98" s="315" t="s">
        <v>1080</v>
      </c>
      <c r="Y98" s="315" t="s">
        <v>982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1085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964</v>
      </c>
      <c r="C100" s="331" t="s">
        <v>66</v>
      </c>
      <c r="D100" s="331" t="s">
        <v>31</v>
      </c>
      <c r="E100" s="331" t="s">
        <v>964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1086</v>
      </c>
      <c r="T100" s="331" t="s">
        <v>1087</v>
      </c>
      <c r="U100" s="331">
        <v>533237.91599999997</v>
      </c>
      <c r="V100" s="331">
        <v>2670739.1230000001</v>
      </c>
      <c r="W100" s="331"/>
      <c r="X100" s="315" t="s">
        <v>1080</v>
      </c>
      <c r="Y100" s="315" t="s">
        <v>982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1088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964</v>
      </c>
      <c r="C102" s="331" t="s">
        <v>67</v>
      </c>
      <c r="D102" s="331" t="s">
        <v>23</v>
      </c>
      <c r="E102" s="331" t="s">
        <v>964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1089</v>
      </c>
      <c r="T102" s="331" t="s">
        <v>1090</v>
      </c>
      <c r="U102" s="331">
        <v>533579.52000000002</v>
      </c>
      <c r="V102" s="331">
        <v>2670638.912</v>
      </c>
      <c r="W102" s="331"/>
      <c r="X102" s="315" t="s">
        <v>1080</v>
      </c>
      <c r="Y102" s="315" t="s">
        <v>982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1091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964</v>
      </c>
      <c r="C104" s="331" t="s">
        <v>68</v>
      </c>
      <c r="D104" s="331" t="s">
        <v>33</v>
      </c>
      <c r="E104" s="331" t="s">
        <v>964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1092</v>
      </c>
      <c r="T104" s="331" t="s">
        <v>1093</v>
      </c>
      <c r="U104" s="331">
        <v>533929.76100000006</v>
      </c>
      <c r="V104" s="331">
        <v>2670536.1669999999</v>
      </c>
      <c r="W104" s="331"/>
      <c r="X104" s="315" t="s">
        <v>1094</v>
      </c>
      <c r="Y104" s="315" t="s">
        <v>982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1095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1096</v>
      </c>
      <c r="C106" s="331" t="s">
        <v>69</v>
      </c>
      <c r="D106" s="331" t="s">
        <v>70</v>
      </c>
      <c r="E106" s="331" t="s">
        <v>1097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1098</v>
      </c>
      <c r="T106" s="331" t="s">
        <v>1099</v>
      </c>
      <c r="U106" s="331">
        <v>534385.65099999995</v>
      </c>
      <c r="V106" s="331">
        <v>2670402.4300000002</v>
      </c>
      <c r="W106" s="331"/>
      <c r="X106" s="315" t="s">
        <v>1094</v>
      </c>
      <c r="Y106" s="315" t="s">
        <v>982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1100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1101</v>
      </c>
      <c r="C108" s="331" t="s">
        <v>388</v>
      </c>
      <c r="D108" s="331" t="s">
        <v>70</v>
      </c>
      <c r="E108" s="331" t="s">
        <v>1102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1103</v>
      </c>
      <c r="T108" s="331" t="s">
        <v>1104</v>
      </c>
      <c r="U108" s="331">
        <v>534579.16299999994</v>
      </c>
      <c r="V108" s="331">
        <v>2670433.5060000001</v>
      </c>
      <c r="W108" s="339" t="s">
        <v>1105</v>
      </c>
      <c r="X108" s="315" t="s">
        <v>1094</v>
      </c>
      <c r="Y108" s="315" t="s">
        <v>982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1091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964</v>
      </c>
      <c r="C110" s="331" t="s">
        <v>71</v>
      </c>
      <c r="D110" s="331" t="s">
        <v>33</v>
      </c>
      <c r="E110" s="331" t="s">
        <v>964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1106</v>
      </c>
      <c r="T110" s="331" t="s">
        <v>1107</v>
      </c>
      <c r="U110" s="331">
        <v>535032.75800000003</v>
      </c>
      <c r="V110" s="331">
        <v>2670285.9219999998</v>
      </c>
      <c r="W110" s="331"/>
      <c r="X110" s="315" t="s">
        <v>1094</v>
      </c>
      <c r="Y110" s="315" t="s">
        <v>982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1058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964</v>
      </c>
      <c r="C112" s="331" t="s">
        <v>72</v>
      </c>
      <c r="D112" s="331" t="s">
        <v>23</v>
      </c>
      <c r="E112" s="331" t="s">
        <v>964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1108</v>
      </c>
      <c r="T112" s="331" t="s">
        <v>1109</v>
      </c>
      <c r="U112" s="331">
        <v>535377.946</v>
      </c>
      <c r="V112" s="331">
        <v>2670173.61</v>
      </c>
      <c r="W112" s="331"/>
      <c r="X112" s="315" t="s">
        <v>1094</v>
      </c>
      <c r="Y112" s="315" t="s">
        <v>982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964</v>
      </c>
      <c r="C114" s="331" t="s">
        <v>73</v>
      </c>
      <c r="D114" s="331" t="s">
        <v>23</v>
      </c>
      <c r="E114" s="331" t="s">
        <v>964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1110</v>
      </c>
      <c r="T114" s="331" t="s">
        <v>1111</v>
      </c>
      <c r="U114" s="331">
        <v>535689.85100000002</v>
      </c>
      <c r="V114" s="331">
        <v>2670072.1260000002</v>
      </c>
      <c r="W114" s="331"/>
      <c r="X114" s="315" t="s">
        <v>1094</v>
      </c>
      <c r="Y114" s="315" t="s">
        <v>982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1040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964</v>
      </c>
      <c r="C116" s="331" t="s">
        <v>74</v>
      </c>
      <c r="D116" s="331" t="s">
        <v>31</v>
      </c>
      <c r="E116" s="331" t="s">
        <v>964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1112</v>
      </c>
      <c r="T116" s="331" t="s">
        <v>1113</v>
      </c>
      <c r="U116" s="331">
        <v>536047.402</v>
      </c>
      <c r="V116" s="331">
        <v>2669955.7919999999</v>
      </c>
      <c r="W116" s="331"/>
      <c r="X116" s="315" t="s">
        <v>1094</v>
      </c>
      <c r="Y116" s="315" t="s">
        <v>982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1026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964</v>
      </c>
      <c r="C118" s="331" t="s">
        <v>75</v>
      </c>
      <c r="D118" s="331" t="s">
        <v>35</v>
      </c>
      <c r="E118" s="331" t="s">
        <v>964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1114</v>
      </c>
      <c r="T118" s="331" t="s">
        <v>1115</v>
      </c>
      <c r="U118" s="331">
        <v>536421.11800000002</v>
      </c>
      <c r="V118" s="331">
        <v>2669834.1970000002</v>
      </c>
      <c r="W118" s="331"/>
      <c r="X118" s="315" t="s">
        <v>1116</v>
      </c>
      <c r="Y118" s="315" t="s">
        <v>982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1072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964</v>
      </c>
      <c r="C120" s="331" t="s">
        <v>76</v>
      </c>
      <c r="D120" s="331" t="s">
        <v>31</v>
      </c>
      <c r="E120" s="331" t="s">
        <v>964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1117</v>
      </c>
      <c r="T120" s="331" t="s">
        <v>1118</v>
      </c>
      <c r="U120" s="331">
        <v>536798.63800000004</v>
      </c>
      <c r="V120" s="331">
        <v>2669711.3650000002</v>
      </c>
      <c r="W120" s="331"/>
      <c r="X120" s="315" t="s">
        <v>1116</v>
      </c>
      <c r="Y120" s="315" t="s">
        <v>982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1119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964</v>
      </c>
      <c r="C122" s="331" t="s">
        <v>77</v>
      </c>
      <c r="D122" s="331" t="s">
        <v>31</v>
      </c>
      <c r="E122" s="331" t="s">
        <v>964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1120</v>
      </c>
      <c r="T122" s="331" t="s">
        <v>1121</v>
      </c>
      <c r="U122" s="331">
        <v>537173.30500000005</v>
      </c>
      <c r="V122" s="331">
        <v>2669589.4619999998</v>
      </c>
      <c r="W122" s="331"/>
      <c r="X122" s="315" t="s">
        <v>1116</v>
      </c>
      <c r="Y122" s="315" t="s">
        <v>982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1026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1122</v>
      </c>
      <c r="C124" s="331" t="s">
        <v>78</v>
      </c>
      <c r="D124" s="331" t="s">
        <v>61</v>
      </c>
      <c r="E124" s="331" t="s">
        <v>1123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1124</v>
      </c>
      <c r="T124" s="331" t="s">
        <v>1125</v>
      </c>
      <c r="U124" s="331">
        <v>537527.99100000004</v>
      </c>
      <c r="V124" s="331">
        <v>2669474.0589999999</v>
      </c>
      <c r="W124" s="331"/>
      <c r="X124" s="315" t="s">
        <v>1116</v>
      </c>
      <c r="Y124" s="315" t="s">
        <v>982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1126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964</v>
      </c>
      <c r="C126" s="331" t="s">
        <v>79</v>
      </c>
      <c r="D126" s="331" t="s">
        <v>14</v>
      </c>
      <c r="E126" s="331" t="s">
        <v>964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1127</v>
      </c>
      <c r="T126" s="331" t="s">
        <v>1128</v>
      </c>
      <c r="U126" s="331">
        <v>537844.80299999996</v>
      </c>
      <c r="V126" s="331">
        <v>2669309.4989999998</v>
      </c>
      <c r="W126" s="331"/>
      <c r="X126" s="315" t="s">
        <v>1116</v>
      </c>
      <c r="Y126" s="315" t="s">
        <v>982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1129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964</v>
      </c>
      <c r="C128" s="331" t="s">
        <v>80</v>
      </c>
      <c r="D128" s="331" t="s">
        <v>31</v>
      </c>
      <c r="E128" s="331" t="s">
        <v>964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1130</v>
      </c>
      <c r="T128" s="331" t="s">
        <v>1131</v>
      </c>
      <c r="U128" s="331">
        <v>538176.69999999995</v>
      </c>
      <c r="V128" s="331">
        <v>2669137.1039999998</v>
      </c>
      <c r="W128" s="331"/>
      <c r="X128" s="315" t="s">
        <v>1132</v>
      </c>
      <c r="Y128" s="315" t="s">
        <v>982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1133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964</v>
      </c>
      <c r="C130" s="331" t="s">
        <v>81</v>
      </c>
      <c r="D130" s="331" t="s">
        <v>31</v>
      </c>
      <c r="E130" s="331" t="s">
        <v>964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1134</v>
      </c>
      <c r="T130" s="331" t="s">
        <v>1135</v>
      </c>
      <c r="U130" s="331">
        <v>538513.92200000002</v>
      </c>
      <c r="V130" s="331">
        <v>2668961.943</v>
      </c>
      <c r="W130" s="331"/>
      <c r="X130" s="315" t="s">
        <v>1132</v>
      </c>
      <c r="Y130" s="315" t="s">
        <v>982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1040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964</v>
      </c>
      <c r="C132" s="331" t="s">
        <v>82</v>
      </c>
      <c r="D132" s="331" t="s">
        <v>23</v>
      </c>
      <c r="E132" s="331" t="s">
        <v>964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1136</v>
      </c>
      <c r="T132" s="331" t="s">
        <v>1137</v>
      </c>
      <c r="U132" s="331">
        <v>538819.19700000004</v>
      </c>
      <c r="V132" s="331">
        <v>2668803.3760000002</v>
      </c>
      <c r="W132" s="331"/>
      <c r="X132" s="315" t="s">
        <v>1132</v>
      </c>
      <c r="Y132" s="315" t="s">
        <v>982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1026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964</v>
      </c>
      <c r="C134" s="331" t="s">
        <v>83</v>
      </c>
      <c r="D134" s="331" t="s">
        <v>31</v>
      </c>
      <c r="E134" s="331" t="s">
        <v>964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1138</v>
      </c>
      <c r="T134" s="331" t="s">
        <v>1139</v>
      </c>
      <c r="U134" s="331">
        <v>539112.04700000002</v>
      </c>
      <c r="V134" s="331">
        <v>2668651.2620000001</v>
      </c>
      <c r="W134" s="331"/>
      <c r="X134" s="315" t="s">
        <v>1132</v>
      </c>
      <c r="Y134" s="315" t="s">
        <v>982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1029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1140</v>
      </c>
      <c r="C136" s="331" t="s">
        <v>84</v>
      </c>
      <c r="D136" s="331" t="s">
        <v>18</v>
      </c>
      <c r="E136" s="331" t="s">
        <v>1141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1142</v>
      </c>
      <c r="T136" s="331" t="s">
        <v>1143</v>
      </c>
      <c r="U136" s="331">
        <v>539437.951</v>
      </c>
      <c r="V136" s="331">
        <v>2668481.98</v>
      </c>
      <c r="W136" s="331"/>
      <c r="X136" s="315" t="s">
        <v>1132</v>
      </c>
      <c r="Y136" s="315" t="s">
        <v>982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1144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964</v>
      </c>
      <c r="C138" s="331" t="s">
        <v>85</v>
      </c>
      <c r="D138" s="331" t="s">
        <v>31</v>
      </c>
      <c r="E138" s="331" t="s">
        <v>964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1145</v>
      </c>
      <c r="T138" s="331" t="s">
        <v>1146</v>
      </c>
      <c r="U138" s="331">
        <v>539818.51899999997</v>
      </c>
      <c r="V138" s="331">
        <v>2668423.73</v>
      </c>
      <c r="W138" s="331"/>
      <c r="X138" s="315" t="s">
        <v>1132</v>
      </c>
      <c r="Y138" s="315" t="s">
        <v>982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1029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964</v>
      </c>
      <c r="C140" s="331" t="s">
        <v>86</v>
      </c>
      <c r="D140" s="331" t="s">
        <v>31</v>
      </c>
      <c r="E140" s="331" t="s">
        <v>964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1147</v>
      </c>
      <c r="T140" s="331" t="s">
        <v>1148</v>
      </c>
      <c r="U140" s="331">
        <v>540169.43200000003</v>
      </c>
      <c r="V140" s="331">
        <v>2668370.02</v>
      </c>
      <c r="W140" s="331"/>
      <c r="X140" s="315" t="s">
        <v>1132</v>
      </c>
      <c r="Y140" s="315" t="s">
        <v>982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1149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964</v>
      </c>
      <c r="C142" s="331" t="s">
        <v>87</v>
      </c>
      <c r="D142" s="331" t="s">
        <v>23</v>
      </c>
      <c r="E142" s="331" t="s">
        <v>964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1150</v>
      </c>
      <c r="T142" s="331" t="s">
        <v>1151</v>
      </c>
      <c r="U142" s="331">
        <v>540522.32299999997</v>
      </c>
      <c r="V142" s="331">
        <v>2668316.0060000001</v>
      </c>
      <c r="W142" s="331"/>
      <c r="X142" s="315" t="s">
        <v>1152</v>
      </c>
      <c r="Y142" s="315" t="s">
        <v>982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1026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964</v>
      </c>
      <c r="C144" s="331" t="s">
        <v>88</v>
      </c>
      <c r="D144" s="331" t="s">
        <v>33</v>
      </c>
      <c r="E144" s="331" t="s">
        <v>964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1153</v>
      </c>
      <c r="T144" s="331" t="s">
        <v>1154</v>
      </c>
      <c r="U144" s="331">
        <v>540910.79799999995</v>
      </c>
      <c r="V144" s="331">
        <v>2668256.5460000001</v>
      </c>
      <c r="W144" s="331"/>
      <c r="X144" s="315" t="s">
        <v>1152</v>
      </c>
      <c r="Y144" s="315" t="s">
        <v>982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1023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964</v>
      </c>
      <c r="C146" s="331" t="s">
        <v>89</v>
      </c>
      <c r="D146" s="331" t="s">
        <v>31</v>
      </c>
      <c r="E146" s="331" t="s">
        <v>964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1155</v>
      </c>
      <c r="T146" s="331" t="s">
        <v>1156</v>
      </c>
      <c r="U146" s="331">
        <v>541289.38899999997</v>
      </c>
      <c r="V146" s="331">
        <v>2668198.5989999999</v>
      </c>
      <c r="W146" s="331"/>
      <c r="X146" s="315" t="s">
        <v>1152</v>
      </c>
      <c r="Y146" s="315" t="s">
        <v>982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1157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1158</v>
      </c>
      <c r="C148" s="331" t="s">
        <v>90</v>
      </c>
      <c r="D148" s="331" t="s">
        <v>61</v>
      </c>
      <c r="E148" s="331" t="s">
        <v>1159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1160</v>
      </c>
      <c r="T148" s="331" t="s">
        <v>1161</v>
      </c>
      <c r="U148" s="331">
        <v>541673.01</v>
      </c>
      <c r="V148" s="331">
        <v>2668139.8820000002</v>
      </c>
      <c r="W148" s="331"/>
      <c r="X148" s="315" t="s">
        <v>1152</v>
      </c>
      <c r="Y148" s="315" t="s">
        <v>982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1061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964</v>
      </c>
      <c r="C150" s="331" t="s">
        <v>91</v>
      </c>
      <c r="D150" s="331" t="s">
        <v>31</v>
      </c>
      <c r="E150" s="331" t="s">
        <v>964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1162</v>
      </c>
      <c r="T150" s="331" t="s">
        <v>1163</v>
      </c>
      <c r="U150" s="331">
        <v>542016.86499999999</v>
      </c>
      <c r="V150" s="331">
        <v>2668008.781</v>
      </c>
      <c r="W150" s="331"/>
      <c r="X150" s="315" t="s">
        <v>1152</v>
      </c>
      <c r="Y150" s="315" t="s">
        <v>982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1091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964</v>
      </c>
      <c r="C152" s="331" t="s">
        <v>92</v>
      </c>
      <c r="D152" s="331" t="s">
        <v>33</v>
      </c>
      <c r="E152" s="331" t="s">
        <v>964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1164</v>
      </c>
      <c r="T152" s="331" t="s">
        <v>1165</v>
      </c>
      <c r="U152" s="331">
        <v>542401.83400000003</v>
      </c>
      <c r="V152" s="331">
        <v>2667862.0049999999</v>
      </c>
      <c r="W152" s="331"/>
      <c r="X152" s="315" t="s">
        <v>1152</v>
      </c>
      <c r="Y152" s="315" t="s">
        <v>982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964</v>
      </c>
      <c r="C154" s="331" t="s">
        <v>93</v>
      </c>
      <c r="D154" s="331" t="s">
        <v>31</v>
      </c>
      <c r="E154" s="331" t="s">
        <v>964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1166</v>
      </c>
      <c r="T154" s="331" t="s">
        <v>1167</v>
      </c>
      <c r="U154" s="331">
        <v>542790.54</v>
      </c>
      <c r="V154" s="331">
        <v>2667713.804</v>
      </c>
      <c r="W154" s="331"/>
      <c r="X154" s="315" t="s">
        <v>1152</v>
      </c>
      <c r="Y154" s="315" t="s">
        <v>982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1029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964</v>
      </c>
      <c r="C156" s="331" t="s">
        <v>94</v>
      </c>
      <c r="D156" s="331" t="s">
        <v>16</v>
      </c>
      <c r="E156" s="331" t="s">
        <v>964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1168</v>
      </c>
      <c r="T156" s="331" t="s">
        <v>1169</v>
      </c>
      <c r="U156" s="331">
        <v>543170.83700000006</v>
      </c>
      <c r="V156" s="331">
        <v>2667568.81</v>
      </c>
      <c r="W156" s="331"/>
      <c r="X156" s="315" t="s">
        <v>1152</v>
      </c>
      <c r="Y156" s="315" t="s">
        <v>982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1061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964</v>
      </c>
      <c r="C158" s="331" t="s">
        <v>95</v>
      </c>
      <c r="D158" s="331" t="s">
        <v>23</v>
      </c>
      <c r="E158" s="331" t="s">
        <v>964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1170</v>
      </c>
      <c r="T158" s="331" t="s">
        <v>1171</v>
      </c>
      <c r="U158" s="331">
        <v>543567.95299999998</v>
      </c>
      <c r="V158" s="331">
        <v>2667417.4029999999</v>
      </c>
      <c r="W158" s="331"/>
      <c r="X158" s="315" t="s">
        <v>1172</v>
      </c>
      <c r="Y158" s="315" t="s">
        <v>982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1091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964</v>
      </c>
      <c r="C160" s="334" t="s">
        <v>96</v>
      </c>
      <c r="D160" s="331" t="s">
        <v>31</v>
      </c>
      <c r="E160" s="331" t="s">
        <v>964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1173</v>
      </c>
      <c r="T160" s="331" t="s">
        <v>1174</v>
      </c>
      <c r="U160" s="331">
        <v>543928.62699999998</v>
      </c>
      <c r="V160" s="331">
        <v>2667279.889</v>
      </c>
      <c r="W160" s="341" t="s">
        <v>1175</v>
      </c>
      <c r="X160" s="315" t="s">
        <v>1172</v>
      </c>
      <c r="Y160" s="315" t="s">
        <v>982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1029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964</v>
      </c>
      <c r="C162" s="331" t="s">
        <v>97</v>
      </c>
      <c r="D162" s="331" t="s">
        <v>31</v>
      </c>
      <c r="E162" s="331" t="s">
        <v>964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1176</v>
      </c>
      <c r="T162" s="331" t="s">
        <v>1177</v>
      </c>
      <c r="U162" s="331">
        <v>544264.07299999997</v>
      </c>
      <c r="V162" s="331">
        <v>2667151.9950000001</v>
      </c>
      <c r="W162" s="331"/>
      <c r="X162" s="315" t="s">
        <v>1172</v>
      </c>
      <c r="Y162" s="315" t="s">
        <v>982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1029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964</v>
      </c>
      <c r="C164" s="331" t="s">
        <v>98</v>
      </c>
      <c r="D164" s="331" t="s">
        <v>31</v>
      </c>
      <c r="E164" s="331" t="s">
        <v>964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1178</v>
      </c>
      <c r="T164" s="331" t="s">
        <v>1179</v>
      </c>
      <c r="U164" s="331">
        <v>544607.929</v>
      </c>
      <c r="V164" s="331">
        <v>2667020.8939999999</v>
      </c>
      <c r="W164" s="331"/>
      <c r="X164" s="315" t="s">
        <v>1172</v>
      </c>
      <c r="Y164" s="315" t="s">
        <v>982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1029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964</v>
      </c>
      <c r="C166" s="331" t="s">
        <v>99</v>
      </c>
      <c r="D166" s="331" t="s">
        <v>33</v>
      </c>
      <c r="E166" s="331" t="s">
        <v>964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1180</v>
      </c>
      <c r="T166" s="331" t="s">
        <v>1181</v>
      </c>
      <c r="U166" s="331">
        <v>544972.34100000001</v>
      </c>
      <c r="V166" s="331">
        <v>2666881.9559999998</v>
      </c>
      <c r="W166" s="331"/>
      <c r="X166" s="315" t="s">
        <v>1182</v>
      </c>
      <c r="Y166" s="315" t="s">
        <v>982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1029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1183</v>
      </c>
      <c r="C168" s="331" t="s">
        <v>100</v>
      </c>
      <c r="D168" s="331" t="s">
        <v>28</v>
      </c>
      <c r="E168" s="331" t="s">
        <v>1184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1185</v>
      </c>
      <c r="T168" s="331" t="s">
        <v>1186</v>
      </c>
      <c r="U168" s="331">
        <v>545355.05000000005</v>
      </c>
      <c r="V168" s="331">
        <v>2666736.04</v>
      </c>
      <c r="W168" s="331"/>
      <c r="X168" s="315" t="s">
        <v>1182</v>
      </c>
      <c r="Y168" s="315" t="s">
        <v>982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1187</v>
      </c>
      <c r="T170" s="331" t="s">
        <v>1188</v>
      </c>
      <c r="U170" s="331">
        <v>545711</v>
      </c>
      <c r="V170" s="331">
        <v>2666603</v>
      </c>
      <c r="W170" s="331"/>
      <c r="X170" s="315" t="s">
        <v>1182</v>
      </c>
      <c r="Y170" s="315" t="s">
        <v>982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1189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1190</v>
      </c>
      <c r="T172" s="331" t="s">
        <v>1191</v>
      </c>
      <c r="U172" s="331">
        <v>546054.77</v>
      </c>
      <c r="V172" s="331">
        <v>2666474.5099999998</v>
      </c>
      <c r="W172" s="331"/>
      <c r="X172" s="315" t="s">
        <v>1182</v>
      </c>
      <c r="Y172" s="315" t="s">
        <v>982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1192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1193</v>
      </c>
      <c r="T174" s="331" t="s">
        <v>1194</v>
      </c>
      <c r="U174" s="331">
        <v>546460.37</v>
      </c>
      <c r="V174" s="331">
        <v>2666322.91</v>
      </c>
      <c r="W174" s="331"/>
      <c r="X174" s="315" t="s">
        <v>1182</v>
      </c>
      <c r="Y174" s="315" t="s">
        <v>982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1195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1196</v>
      </c>
      <c r="T176" s="331" t="s">
        <v>1197</v>
      </c>
      <c r="U176" s="331">
        <v>546835.05000000005</v>
      </c>
      <c r="V176" s="331">
        <v>2666182.87</v>
      </c>
      <c r="W176" s="331"/>
      <c r="X176" s="315" t="s">
        <v>1182</v>
      </c>
      <c r="Y176" s="315" t="s">
        <v>982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1198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1199</v>
      </c>
      <c r="T178" s="331" t="s">
        <v>1200</v>
      </c>
      <c r="U178" s="331">
        <v>547205.99</v>
      </c>
      <c r="V178" s="331">
        <v>2666044.23</v>
      </c>
      <c r="W178" s="331"/>
      <c r="X178" s="315" t="s">
        <v>1182</v>
      </c>
      <c r="Y178" s="315" t="s">
        <v>982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1201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1202</v>
      </c>
      <c r="T180" s="331" t="s">
        <v>1203</v>
      </c>
      <c r="U180" s="331">
        <v>547599.4</v>
      </c>
      <c r="V180" s="331">
        <v>2665897.1800000002</v>
      </c>
      <c r="W180" s="331"/>
      <c r="X180" s="315" t="s">
        <v>1204</v>
      </c>
      <c r="Y180" s="315" t="s">
        <v>982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1205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1206</v>
      </c>
      <c r="T182" s="331" t="s">
        <v>1207</v>
      </c>
      <c r="U182" s="331">
        <v>547931</v>
      </c>
      <c r="V182" s="331">
        <v>2665773.25</v>
      </c>
      <c r="W182" s="331"/>
      <c r="X182" s="315" t="s">
        <v>1204</v>
      </c>
      <c r="Y182" s="315" t="s">
        <v>982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1208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1209</v>
      </c>
      <c r="T184" s="331" t="s">
        <v>1210</v>
      </c>
      <c r="U184" s="331">
        <v>548256.97</v>
      </c>
      <c r="V184" s="331">
        <v>2665651.41</v>
      </c>
      <c r="W184" s="331"/>
      <c r="X184" s="315" t="s">
        <v>1204</v>
      </c>
      <c r="Y184" s="315" t="s">
        <v>982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1205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1211</v>
      </c>
      <c r="T186" s="331" t="s">
        <v>1212</v>
      </c>
      <c r="U186" s="331">
        <v>548555.78</v>
      </c>
      <c r="V186" s="331">
        <v>2665539.7200000002</v>
      </c>
      <c r="W186" s="331"/>
      <c r="X186" s="315" t="s">
        <v>1204</v>
      </c>
      <c r="Y186" s="315" t="s">
        <v>982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1213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1214</v>
      </c>
      <c r="T188" s="331" t="s">
        <v>1215</v>
      </c>
      <c r="U188" s="331">
        <v>548910.80000000005</v>
      </c>
      <c r="V188" s="331">
        <v>2665407.0299999998</v>
      </c>
      <c r="W188" s="331"/>
      <c r="X188" s="315" t="s">
        <v>1204</v>
      </c>
      <c r="Y188" s="315" t="s">
        <v>982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1216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1217</v>
      </c>
      <c r="T190" s="331" t="s">
        <v>1218</v>
      </c>
      <c r="U190" s="331">
        <v>549311.71</v>
      </c>
      <c r="V190" s="331">
        <v>2665257.19</v>
      </c>
      <c r="W190" s="331"/>
      <c r="X190" s="315" t="s">
        <v>1204</v>
      </c>
      <c r="Y190" s="315" t="s">
        <v>982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1219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1220</v>
      </c>
      <c r="C192" s="331" t="s">
        <v>112</v>
      </c>
      <c r="D192" s="331" t="s">
        <v>113</v>
      </c>
      <c r="E192" s="331" t="s">
        <v>1221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1222</v>
      </c>
      <c r="T192" s="331" t="s">
        <v>1223</v>
      </c>
      <c r="U192" s="331">
        <v>549683.4</v>
      </c>
      <c r="V192" s="331">
        <v>2665118.2599999998</v>
      </c>
      <c r="W192" s="331"/>
      <c r="X192" s="315" t="s">
        <v>1224</v>
      </c>
      <c r="Y192" s="315" t="s">
        <v>982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1999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1225</v>
      </c>
      <c r="C194" s="331" t="s">
        <v>114</v>
      </c>
      <c r="D194" s="331" t="s">
        <v>115</v>
      </c>
      <c r="E194" s="331" t="s">
        <v>1226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1227</v>
      </c>
      <c r="T194" s="331" t="s">
        <v>1228</v>
      </c>
      <c r="U194" s="331">
        <v>549890.06999999995</v>
      </c>
      <c r="V194" s="331">
        <v>2664983.1120000002</v>
      </c>
      <c r="W194" s="331"/>
      <c r="X194" s="315" t="s">
        <v>1224</v>
      </c>
      <c r="Y194" s="315" t="s">
        <v>982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964</v>
      </c>
      <c r="C196" s="331" t="s">
        <v>116</v>
      </c>
      <c r="D196" s="331" t="s">
        <v>16</v>
      </c>
      <c r="E196" s="331" t="s">
        <v>964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1229</v>
      </c>
      <c r="T196" s="331" t="s">
        <v>1230</v>
      </c>
      <c r="U196" s="331">
        <v>550312.69499999995</v>
      </c>
      <c r="V196" s="331">
        <v>2665000.909</v>
      </c>
      <c r="W196" s="331"/>
      <c r="X196" s="315" t="s">
        <v>1224</v>
      </c>
      <c r="Y196" s="315" t="s">
        <v>982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1231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1232</v>
      </c>
      <c r="C198" s="331" t="s">
        <v>117</v>
      </c>
      <c r="D198" s="331" t="s">
        <v>118</v>
      </c>
      <c r="E198" s="331" t="s">
        <v>1233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1234</v>
      </c>
      <c r="T198" s="331" t="s">
        <v>1235</v>
      </c>
      <c r="U198" s="331">
        <v>550707.29299999995</v>
      </c>
      <c r="V198" s="331">
        <v>2665017.5249999999</v>
      </c>
      <c r="W198" s="331" t="s">
        <v>2000</v>
      </c>
      <c r="X198" s="315" t="s">
        <v>1224</v>
      </c>
      <c r="Y198" s="315" t="s">
        <v>982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2001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1236</v>
      </c>
      <c r="C200" s="331" t="s">
        <v>119</v>
      </c>
      <c r="D200" s="331" t="s">
        <v>120</v>
      </c>
      <c r="E200" s="331" t="s">
        <v>1237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1238</v>
      </c>
      <c r="T200" s="331" t="s">
        <v>1239</v>
      </c>
      <c r="U200" s="331">
        <v>551091.52</v>
      </c>
      <c r="V200" s="331">
        <v>2665336.02</v>
      </c>
      <c r="W200" s="341" t="s">
        <v>1175</v>
      </c>
      <c r="X200" s="315" t="s">
        <v>1240</v>
      </c>
      <c r="Y200" s="315" t="s">
        <v>1241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1242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964</v>
      </c>
      <c r="C202" s="331" t="s">
        <v>121</v>
      </c>
      <c r="D202" s="331" t="s">
        <v>23</v>
      </c>
      <c r="E202" s="331" t="s">
        <v>964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1243</v>
      </c>
      <c r="T202" s="331" t="s">
        <v>1244</v>
      </c>
      <c r="U202" s="331">
        <v>551459.57999999996</v>
      </c>
      <c r="V202" s="331">
        <v>2665254.4300000002</v>
      </c>
      <c r="W202" s="331"/>
      <c r="X202" s="315" t="s">
        <v>1240</v>
      </c>
      <c r="Y202" s="315" t="s">
        <v>1241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1245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964</v>
      </c>
      <c r="C204" s="331" t="s">
        <v>122</v>
      </c>
      <c r="D204" s="331" t="s">
        <v>23</v>
      </c>
      <c r="E204" s="331" t="s">
        <v>964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1246</v>
      </c>
      <c r="T204" s="331" t="s">
        <v>1247</v>
      </c>
      <c r="U204" s="331">
        <v>551892.07999999996</v>
      </c>
      <c r="V204" s="331">
        <v>2665158.56</v>
      </c>
      <c r="W204" s="331"/>
      <c r="X204" s="315" t="s">
        <v>1240</v>
      </c>
      <c r="Y204" s="315" t="s">
        <v>1241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1248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1249</v>
      </c>
      <c r="C206" s="331" t="s">
        <v>123</v>
      </c>
      <c r="D206" s="331" t="s">
        <v>40</v>
      </c>
      <c r="E206" s="331" t="s">
        <v>1250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1251</v>
      </c>
      <c r="T206" s="331" t="s">
        <v>1252</v>
      </c>
      <c r="U206" s="331">
        <v>552227.86399999994</v>
      </c>
      <c r="V206" s="331">
        <v>2665084.1209999998</v>
      </c>
      <c r="W206" s="331"/>
      <c r="X206" s="315" t="s">
        <v>1240</v>
      </c>
      <c r="Y206" s="315" t="s">
        <v>1241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1253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964</v>
      </c>
      <c r="C208" s="331" t="s">
        <v>124</v>
      </c>
      <c r="D208" s="331" t="s">
        <v>23</v>
      </c>
      <c r="E208" s="331" t="s">
        <v>964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1254</v>
      </c>
      <c r="T208" s="331" t="s">
        <v>1255</v>
      </c>
      <c r="U208" s="331">
        <v>552537.73</v>
      </c>
      <c r="V208" s="331">
        <v>2664847.3020000001</v>
      </c>
      <c r="W208" s="331"/>
      <c r="X208" s="315" t="s">
        <v>1256</v>
      </c>
      <c r="Y208" s="315" t="s">
        <v>1241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976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964</v>
      </c>
      <c r="C210" s="331" t="s">
        <v>125</v>
      </c>
      <c r="D210" s="331" t="s">
        <v>31</v>
      </c>
      <c r="E210" s="331" t="s">
        <v>964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1257</v>
      </c>
      <c r="T210" s="331" t="s">
        <v>1258</v>
      </c>
      <c r="U210" s="331">
        <v>552817.40399999998</v>
      </c>
      <c r="V210" s="331">
        <v>2664633.5580000002</v>
      </c>
      <c r="W210" s="331"/>
      <c r="X210" s="315" t="s">
        <v>1256</v>
      </c>
      <c r="Y210" s="315" t="s">
        <v>1241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1205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964</v>
      </c>
      <c r="C212" s="323" t="s">
        <v>126</v>
      </c>
      <c r="D212" s="323" t="s">
        <v>31</v>
      </c>
      <c r="E212" s="323" t="s">
        <v>964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1259</v>
      </c>
      <c r="T212" s="323" t="s">
        <v>1260</v>
      </c>
      <c r="U212" s="323">
        <v>553155.87300000002</v>
      </c>
      <c r="V212" s="323">
        <v>2664374.8790000002</v>
      </c>
      <c r="W212" s="323"/>
      <c r="X212" s="315" t="s">
        <v>1256</v>
      </c>
      <c r="Y212" s="315" t="s">
        <v>1241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976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964</v>
      </c>
      <c r="C214" s="323" t="s">
        <v>127</v>
      </c>
      <c r="D214" s="323" t="s">
        <v>33</v>
      </c>
      <c r="E214" s="323" t="s">
        <v>964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1261</v>
      </c>
      <c r="T214" s="323" t="s">
        <v>1262</v>
      </c>
      <c r="U214" s="323">
        <v>553468.91700000002</v>
      </c>
      <c r="V214" s="323">
        <v>2664135.6320000002</v>
      </c>
      <c r="W214" s="323"/>
      <c r="X214" s="315" t="s">
        <v>1256</v>
      </c>
      <c r="Y214" s="315" t="s">
        <v>1241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976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1263</v>
      </c>
      <c r="C216" s="323" t="s">
        <v>128</v>
      </c>
      <c r="D216" s="323" t="s">
        <v>115</v>
      </c>
      <c r="E216" s="323" t="s">
        <v>1264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1265</v>
      </c>
      <c r="T216" s="323" t="s">
        <v>1266</v>
      </c>
      <c r="U216" s="323">
        <v>553792.88300000003</v>
      </c>
      <c r="V216" s="323">
        <v>2663888.037</v>
      </c>
      <c r="W216" s="353" t="s">
        <v>1175</v>
      </c>
      <c r="X216" s="315" t="s">
        <v>1256</v>
      </c>
      <c r="Y216" s="315" t="s">
        <v>1241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1216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964</v>
      </c>
      <c r="C218" s="323" t="s">
        <v>129</v>
      </c>
      <c r="D218" s="323" t="s">
        <v>16</v>
      </c>
      <c r="E218" s="323" t="s">
        <v>964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1267</v>
      </c>
      <c r="T218" s="323" t="s">
        <v>1268</v>
      </c>
      <c r="U218" s="323">
        <v>554165.63399999996</v>
      </c>
      <c r="V218" s="323">
        <v>2663874.4070000001</v>
      </c>
      <c r="W218" s="323"/>
      <c r="X218" s="315" t="s">
        <v>1256</v>
      </c>
      <c r="Y218" s="315" t="s">
        <v>1241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1269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1270</v>
      </c>
      <c r="C220" s="323" t="s">
        <v>130</v>
      </c>
      <c r="D220" s="323" t="s">
        <v>12</v>
      </c>
      <c r="E220" s="323" t="s">
        <v>1271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1272</v>
      </c>
      <c r="T220" s="323" t="s">
        <v>1273</v>
      </c>
      <c r="U220" s="323">
        <v>554573.39300000004</v>
      </c>
      <c r="V220" s="323">
        <v>2663859.497</v>
      </c>
      <c r="W220" s="323"/>
      <c r="X220" s="315" t="s">
        <v>1256</v>
      </c>
      <c r="Y220" s="315" t="s">
        <v>1241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1274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964</v>
      </c>
      <c r="C222" s="331" t="s">
        <v>131</v>
      </c>
      <c r="D222" s="331" t="s">
        <v>33</v>
      </c>
      <c r="E222" s="331" t="s">
        <v>964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1275</v>
      </c>
      <c r="T222" s="331" t="s">
        <v>1276</v>
      </c>
      <c r="U222" s="331">
        <v>554855.75</v>
      </c>
      <c r="V222" s="331">
        <v>2663606.682</v>
      </c>
      <c r="W222" s="331"/>
      <c r="X222" s="315" t="s">
        <v>1256</v>
      </c>
      <c r="Y222" s="315" t="s">
        <v>1241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1277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1278</v>
      </c>
      <c r="C224" s="331" t="s">
        <v>132</v>
      </c>
      <c r="D224" s="331" t="s">
        <v>133</v>
      </c>
      <c r="E224" s="331" t="s">
        <v>1279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1280</v>
      </c>
      <c r="T224" s="331" t="s">
        <v>1281</v>
      </c>
      <c r="U224" s="331">
        <v>555157.95799999998</v>
      </c>
      <c r="V224" s="331">
        <v>2663336.0920000002</v>
      </c>
      <c r="W224" s="341" t="s">
        <v>1175</v>
      </c>
      <c r="X224" s="315" t="s">
        <v>1256</v>
      </c>
      <c r="Y224" s="315" t="s">
        <v>1241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1282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964</v>
      </c>
      <c r="C226" s="331" t="s">
        <v>134</v>
      </c>
      <c r="D226" s="331" t="s">
        <v>31</v>
      </c>
      <c r="E226" s="331" t="s">
        <v>964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1283</v>
      </c>
      <c r="T226" s="331" t="s">
        <v>1284</v>
      </c>
      <c r="U226" s="331">
        <v>555522.41099999996</v>
      </c>
      <c r="V226" s="331">
        <v>2663211.9980000001</v>
      </c>
      <c r="W226" s="331"/>
      <c r="X226" s="315" t="s">
        <v>1256</v>
      </c>
      <c r="Y226" s="315" t="s">
        <v>1241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1285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964</v>
      </c>
      <c r="C228" s="331" t="s">
        <v>135</v>
      </c>
      <c r="D228" s="331" t="s">
        <v>31</v>
      </c>
      <c r="E228" s="331" t="s">
        <v>964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1286</v>
      </c>
      <c r="T228" s="331" t="s">
        <v>1287</v>
      </c>
      <c r="U228" s="331">
        <v>555901.06299999997</v>
      </c>
      <c r="V228" s="331">
        <v>2663083.0690000001</v>
      </c>
      <c r="W228" s="331"/>
      <c r="X228" s="315" t="s">
        <v>1256</v>
      </c>
      <c r="Y228" s="315" t="s">
        <v>1241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1288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964</v>
      </c>
      <c r="C230" s="331" t="s">
        <v>136</v>
      </c>
      <c r="D230" s="331" t="s">
        <v>16</v>
      </c>
      <c r="E230" s="331" t="s">
        <v>964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1289</v>
      </c>
      <c r="T230" s="331" t="s">
        <v>1290</v>
      </c>
      <c r="U230" s="331">
        <v>556316.63300000003</v>
      </c>
      <c r="V230" s="331">
        <v>2662941.5690000001</v>
      </c>
      <c r="W230" s="331"/>
      <c r="X230" s="315" t="s">
        <v>1256</v>
      </c>
      <c r="Y230" s="315" t="s">
        <v>1241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1291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964</v>
      </c>
      <c r="C232" s="331" t="s">
        <v>137</v>
      </c>
      <c r="D232" s="331" t="s">
        <v>23</v>
      </c>
      <c r="E232" s="331" t="s">
        <v>964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1292</v>
      </c>
      <c r="T232" s="331" t="s">
        <v>1293</v>
      </c>
      <c r="U232" s="331">
        <v>556695.28500000003</v>
      </c>
      <c r="V232" s="331">
        <v>2662812.64</v>
      </c>
      <c r="W232" s="331"/>
      <c r="X232" s="315" t="s">
        <v>1256</v>
      </c>
      <c r="Y232" s="315" t="s">
        <v>1241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2002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964</v>
      </c>
      <c r="C234" s="331" t="s">
        <v>138</v>
      </c>
      <c r="D234" s="331" t="s">
        <v>23</v>
      </c>
      <c r="E234" s="331" t="s">
        <v>964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1294</v>
      </c>
      <c r="T234" s="331" t="s">
        <v>1295</v>
      </c>
      <c r="U234" s="331">
        <v>556970.75399999996</v>
      </c>
      <c r="V234" s="331">
        <v>2662718.844</v>
      </c>
      <c r="W234" s="331"/>
      <c r="X234" s="315" t="s">
        <v>1256</v>
      </c>
      <c r="Y234" s="315" t="s">
        <v>1241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1296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964</v>
      </c>
      <c r="C236" s="331" t="s">
        <v>139</v>
      </c>
      <c r="D236" s="331" t="s">
        <v>33</v>
      </c>
      <c r="E236" s="331" t="s">
        <v>964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1297</v>
      </c>
      <c r="T236" s="331" t="s">
        <v>1298</v>
      </c>
      <c r="U236" s="331">
        <v>557339.93999999994</v>
      </c>
      <c r="V236" s="331">
        <v>2662593.1379999998</v>
      </c>
      <c r="W236" s="331"/>
      <c r="X236" s="315" t="s">
        <v>1256</v>
      </c>
      <c r="Y236" s="315" t="s">
        <v>1241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1299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964</v>
      </c>
      <c r="C238" s="331" t="s">
        <v>140</v>
      </c>
      <c r="D238" s="331" t="s">
        <v>31</v>
      </c>
      <c r="E238" s="331" t="s">
        <v>964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1300</v>
      </c>
      <c r="T238" s="331" t="s">
        <v>1301</v>
      </c>
      <c r="U238" s="331">
        <v>557721.43200000003</v>
      </c>
      <c r="V238" s="331">
        <v>2662463.2420000001</v>
      </c>
      <c r="W238" s="331"/>
      <c r="X238" s="315" t="s">
        <v>1256</v>
      </c>
      <c r="Y238" s="315" t="s">
        <v>1241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1302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964</v>
      </c>
      <c r="C240" s="331" t="s">
        <v>141</v>
      </c>
      <c r="D240" s="331" t="s">
        <v>16</v>
      </c>
      <c r="E240" s="331" t="s">
        <v>964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1303</v>
      </c>
      <c r="T240" s="331" t="s">
        <v>1304</v>
      </c>
      <c r="U240" s="331">
        <v>558120.91</v>
      </c>
      <c r="V240" s="331">
        <v>2662327.2220000001</v>
      </c>
      <c r="W240" s="331"/>
      <c r="X240" s="315" t="s">
        <v>1305</v>
      </c>
      <c r="Y240" s="315" t="s">
        <v>1241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1306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964</v>
      </c>
      <c r="C242" s="331" t="s">
        <v>142</v>
      </c>
      <c r="D242" s="331" t="s">
        <v>14</v>
      </c>
      <c r="E242" s="331" t="s">
        <v>964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1307</v>
      </c>
      <c r="T242" s="331" t="s">
        <v>1308</v>
      </c>
      <c r="U242" s="331">
        <v>558489.14899999998</v>
      </c>
      <c r="V242" s="331">
        <v>2662201.8390000002</v>
      </c>
      <c r="W242" s="331"/>
      <c r="X242" s="315" t="s">
        <v>1305</v>
      </c>
      <c r="Y242" s="315" t="s">
        <v>1241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1309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964</v>
      </c>
      <c r="C244" s="331" t="s">
        <v>143</v>
      </c>
      <c r="D244" s="331" t="s">
        <v>35</v>
      </c>
      <c r="E244" s="331" t="s">
        <v>964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1310</v>
      </c>
      <c r="T244" s="331" t="s">
        <v>1311</v>
      </c>
      <c r="U244" s="331">
        <v>558901.87899999996</v>
      </c>
      <c r="V244" s="331">
        <v>2662061.3059999999</v>
      </c>
      <c r="W244" s="331"/>
      <c r="X244" s="315" t="s">
        <v>1305</v>
      </c>
      <c r="Y244" s="315" t="s">
        <v>1241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1312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964</v>
      </c>
      <c r="C246" s="331" t="s">
        <v>144</v>
      </c>
      <c r="D246" s="331" t="s">
        <v>31</v>
      </c>
      <c r="E246" s="331" t="s">
        <v>964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1313</v>
      </c>
      <c r="T246" s="331" t="s">
        <v>1314</v>
      </c>
      <c r="U246" s="331">
        <v>559261.59900000005</v>
      </c>
      <c r="V246" s="331">
        <v>2661938.8229999999</v>
      </c>
      <c r="W246" s="331"/>
      <c r="X246" s="315" t="s">
        <v>1305</v>
      </c>
      <c r="Y246" s="315" t="s">
        <v>1241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1315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1316</v>
      </c>
      <c r="C248" s="331" t="s">
        <v>145</v>
      </c>
      <c r="D248" s="331" t="s">
        <v>146</v>
      </c>
      <c r="E248" s="331" t="s">
        <v>1317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1318</v>
      </c>
      <c r="T248" s="331" t="s">
        <v>1319</v>
      </c>
      <c r="U248" s="331">
        <v>559683.14800000004</v>
      </c>
      <c r="V248" s="331">
        <v>2661795.2880000002</v>
      </c>
      <c r="W248" s="331"/>
      <c r="X248" s="315" t="s">
        <v>1305</v>
      </c>
      <c r="Y248" s="315" t="s">
        <v>1241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1320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1321</v>
      </c>
      <c r="C250" s="331" t="s">
        <v>147</v>
      </c>
      <c r="D250" s="331" t="s">
        <v>148</v>
      </c>
      <c r="E250" s="331" t="s">
        <v>1322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1323</v>
      </c>
      <c r="T250" s="331" t="s">
        <v>1324</v>
      </c>
      <c r="U250" s="331">
        <v>559871.04500000004</v>
      </c>
      <c r="V250" s="331">
        <v>2661681.2519999999</v>
      </c>
      <c r="W250" s="331"/>
      <c r="X250" s="315" t="s">
        <v>1305</v>
      </c>
      <c r="Y250" s="315" t="s">
        <v>1241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1325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964</v>
      </c>
      <c r="C252" s="331" t="s">
        <v>149</v>
      </c>
      <c r="D252" s="331" t="s">
        <v>35</v>
      </c>
      <c r="E252" s="331" t="s">
        <v>964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1326</v>
      </c>
      <c r="T252" s="331" t="s">
        <v>1327</v>
      </c>
      <c r="U252" s="331">
        <v>560297.29799999995</v>
      </c>
      <c r="V252" s="331">
        <v>2661594.4559999998</v>
      </c>
      <c r="W252" s="331"/>
      <c r="X252" s="315" t="s">
        <v>1328</v>
      </c>
      <c r="Y252" s="315" t="s">
        <v>1241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1329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964</v>
      </c>
      <c r="C254" s="331" t="s">
        <v>150</v>
      </c>
      <c r="D254" s="331" t="s">
        <v>16</v>
      </c>
      <c r="E254" s="331" t="s">
        <v>964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1330</v>
      </c>
      <c r="T254" s="331" t="s">
        <v>1331</v>
      </c>
      <c r="U254" s="331">
        <v>560694.15399999998</v>
      </c>
      <c r="V254" s="331">
        <v>2661513.645</v>
      </c>
      <c r="W254" s="331"/>
      <c r="X254" s="315" t="s">
        <v>1328</v>
      </c>
      <c r="Y254" s="315" t="s">
        <v>1241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1332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964</v>
      </c>
      <c r="C256" s="331" t="s">
        <v>151</v>
      </c>
      <c r="D256" s="331" t="s">
        <v>16</v>
      </c>
      <c r="E256" s="331" t="s">
        <v>964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1333</v>
      </c>
      <c r="T256" s="331" t="s">
        <v>1334</v>
      </c>
      <c r="U256" s="331">
        <v>561119.42700000003</v>
      </c>
      <c r="V256" s="331">
        <v>2661427.0490000001</v>
      </c>
      <c r="W256" s="331"/>
      <c r="X256" s="315" t="s">
        <v>1328</v>
      </c>
      <c r="Y256" s="315" t="s">
        <v>1241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1335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964</v>
      </c>
      <c r="C258" s="331" t="s">
        <v>152</v>
      </c>
      <c r="D258" s="331" t="s">
        <v>23</v>
      </c>
      <c r="E258" s="331" t="s">
        <v>964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1336</v>
      </c>
      <c r="T258" s="331" t="s">
        <v>1337</v>
      </c>
      <c r="U258" s="331">
        <v>561491.78500000003</v>
      </c>
      <c r="V258" s="331">
        <v>2661351.227</v>
      </c>
      <c r="W258" s="331"/>
      <c r="X258" s="315" t="s">
        <v>1328</v>
      </c>
      <c r="Y258" s="315" t="s">
        <v>1241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1338</v>
      </c>
      <c r="C260" s="331" t="s">
        <v>153</v>
      </c>
      <c r="D260" s="331" t="s">
        <v>154</v>
      </c>
      <c r="E260" s="331" t="s">
        <v>1339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1340</v>
      </c>
      <c r="T260" s="331" t="s">
        <v>1341</v>
      </c>
      <c r="U260" s="331">
        <v>561863.01699999999</v>
      </c>
      <c r="V260" s="331">
        <v>2661275.6340000001</v>
      </c>
      <c r="W260" s="331"/>
      <c r="X260" s="315" t="s">
        <v>1342</v>
      </c>
      <c r="Y260" s="315" t="s">
        <v>1241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1343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964</v>
      </c>
      <c r="C262" s="331" t="s">
        <v>155</v>
      </c>
      <c r="D262" s="331" t="s">
        <v>156</v>
      </c>
      <c r="E262" s="331" t="s">
        <v>964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2003</v>
      </c>
      <c r="T262" s="331" t="s">
        <v>2004</v>
      </c>
      <c r="U262" s="331">
        <v>562296.78399999999</v>
      </c>
      <c r="V262" s="331">
        <v>2661074.8130000001</v>
      </c>
      <c r="W262" s="331"/>
      <c r="X262" s="315" t="s">
        <v>1342</v>
      </c>
      <c r="Y262" s="315" t="s">
        <v>1241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1344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964</v>
      </c>
      <c r="C264" s="331" t="s">
        <v>157</v>
      </c>
      <c r="D264" s="331" t="s">
        <v>31</v>
      </c>
      <c r="E264" s="331" t="s">
        <v>964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1345</v>
      </c>
      <c r="T264" s="331" t="s">
        <v>1346</v>
      </c>
      <c r="U264" s="331">
        <v>562717.84900000005</v>
      </c>
      <c r="V264" s="331">
        <v>2660879.8739999998</v>
      </c>
      <c r="W264" s="331"/>
      <c r="X264" s="315" t="s">
        <v>1342</v>
      </c>
      <c r="Y264" s="315" t="s">
        <v>1241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1347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964</v>
      </c>
      <c r="C266" s="331" t="s">
        <v>158</v>
      </c>
      <c r="D266" s="331" t="s">
        <v>35</v>
      </c>
      <c r="E266" s="331" t="s">
        <v>964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1348</v>
      </c>
      <c r="T266" s="331" t="s">
        <v>1349</v>
      </c>
      <c r="U266" s="331">
        <v>563059.05599999998</v>
      </c>
      <c r="V266" s="331">
        <v>2660721.906</v>
      </c>
      <c r="W266" s="331"/>
      <c r="X266" s="315" t="s">
        <v>1342</v>
      </c>
      <c r="Y266" s="315" t="s">
        <v>1241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1350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964</v>
      </c>
      <c r="C268" s="331" t="s">
        <v>159</v>
      </c>
      <c r="D268" s="331" t="s">
        <v>23</v>
      </c>
      <c r="E268" s="331" t="s">
        <v>964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1351</v>
      </c>
      <c r="T268" s="331" t="s">
        <v>1352</v>
      </c>
      <c r="U268" s="331">
        <v>563403.89300000004</v>
      </c>
      <c r="V268" s="331">
        <v>2660562.2570000002</v>
      </c>
      <c r="W268" s="331"/>
      <c r="X268" s="315" t="s">
        <v>1342</v>
      </c>
      <c r="Y268" s="315" t="s">
        <v>1241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1353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964</v>
      </c>
      <c r="C270" s="331" t="s">
        <v>160</v>
      </c>
      <c r="D270" s="331" t="s">
        <v>14</v>
      </c>
      <c r="E270" s="331" t="s">
        <v>964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1354</v>
      </c>
      <c r="T270" s="331" t="s">
        <v>1355</v>
      </c>
      <c r="U270" s="331">
        <v>563723.31999999995</v>
      </c>
      <c r="V270" s="331">
        <v>2660414.37</v>
      </c>
      <c r="W270" s="331"/>
      <c r="X270" s="315" t="s">
        <v>1342</v>
      </c>
      <c r="Y270" s="315" t="s">
        <v>1241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1356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1357</v>
      </c>
      <c r="C272" s="332" t="s">
        <v>161</v>
      </c>
      <c r="D272" s="332" t="s">
        <v>162</v>
      </c>
      <c r="E272" s="332" t="s">
        <v>1358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1359</v>
      </c>
      <c r="T272" s="332" t="s">
        <v>1360</v>
      </c>
      <c r="U272" s="358">
        <v>564050.78099999996</v>
      </c>
      <c r="V272" s="358">
        <v>2660262.7680000002</v>
      </c>
      <c r="W272" s="361"/>
      <c r="X272" s="315" t="s">
        <v>1342</v>
      </c>
      <c r="Y272" s="315" t="s">
        <v>1241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1361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1362</v>
      </c>
      <c r="C274" s="332" t="s">
        <v>163</v>
      </c>
      <c r="D274" s="332" t="s">
        <v>164</v>
      </c>
      <c r="E274" s="332" t="s">
        <v>1363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1364</v>
      </c>
      <c r="T274" s="332" t="s">
        <v>1365</v>
      </c>
      <c r="U274" s="358">
        <v>564150.63199999998</v>
      </c>
      <c r="V274" s="358">
        <v>2660031.4900000002</v>
      </c>
      <c r="W274" s="361"/>
      <c r="X274" s="315" t="s">
        <v>1342</v>
      </c>
      <c r="Y274" s="315" t="s">
        <v>1241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1366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964</v>
      </c>
      <c r="C276" s="332" t="s">
        <v>165</v>
      </c>
      <c r="D276" s="332" t="s">
        <v>35</v>
      </c>
      <c r="E276" s="332" t="s">
        <v>964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1367</v>
      </c>
      <c r="T276" s="332" t="s">
        <v>1368</v>
      </c>
      <c r="U276" s="358">
        <v>564484.75600000005</v>
      </c>
      <c r="V276" s="358">
        <v>2659822.69</v>
      </c>
      <c r="W276" s="361"/>
      <c r="X276" s="315" t="s">
        <v>1342</v>
      </c>
      <c r="Y276" s="315" t="s">
        <v>1241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1369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964</v>
      </c>
      <c r="C278" s="332" t="s">
        <v>166</v>
      </c>
      <c r="D278" s="332" t="s">
        <v>35</v>
      </c>
      <c r="E278" s="332" t="s">
        <v>964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1370</v>
      </c>
      <c r="T278" s="332" t="s">
        <v>1371</v>
      </c>
      <c r="U278" s="358">
        <v>564814.63899999997</v>
      </c>
      <c r="V278" s="358">
        <v>2659616.54</v>
      </c>
      <c r="W278" s="361"/>
      <c r="X278" s="315" t="s">
        <v>1372</v>
      </c>
      <c r="Y278" s="315" t="s">
        <v>1241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1373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1374</v>
      </c>
      <c r="C280" s="332" t="s">
        <v>167</v>
      </c>
      <c r="D280" s="332" t="s">
        <v>18</v>
      </c>
      <c r="E280" s="332" t="s">
        <v>1375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1376</v>
      </c>
      <c r="T280" s="332" t="s">
        <v>1377</v>
      </c>
      <c r="U280" s="358">
        <v>565152.81299999997</v>
      </c>
      <c r="V280" s="358">
        <v>2659405.21</v>
      </c>
      <c r="W280" s="361"/>
      <c r="X280" s="315" t="s">
        <v>1372</v>
      </c>
      <c r="Y280" s="315" t="s">
        <v>1241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1378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964</v>
      </c>
      <c r="C282" s="332" t="s">
        <v>168</v>
      </c>
      <c r="D282" s="332" t="s">
        <v>35</v>
      </c>
      <c r="E282" s="332" t="s">
        <v>964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1379</v>
      </c>
      <c r="T282" s="332" t="s">
        <v>1380</v>
      </c>
      <c r="U282" s="358">
        <v>565418.73899999994</v>
      </c>
      <c r="V282" s="358">
        <v>2659117.2050000001</v>
      </c>
      <c r="W282" s="361"/>
      <c r="X282" s="315" t="s">
        <v>1372</v>
      </c>
      <c r="Y282" s="315" t="s">
        <v>1241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1381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964</v>
      </c>
      <c r="C284" s="332" t="s">
        <v>169</v>
      </c>
      <c r="D284" s="332" t="s">
        <v>31</v>
      </c>
      <c r="E284" s="315" t="s">
        <v>964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2005</v>
      </c>
      <c r="T284" s="332" t="s">
        <v>2006</v>
      </c>
      <c r="U284" s="332">
        <v>565664.99399999995</v>
      </c>
      <c r="V284" s="332">
        <v>2658850.5040000002</v>
      </c>
      <c r="W284" s="361"/>
      <c r="X284" s="315" t="s">
        <v>1372</v>
      </c>
      <c r="Y284" s="315" t="s">
        <v>1241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1382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1383</v>
      </c>
      <c r="C286" s="332" t="s">
        <v>170</v>
      </c>
      <c r="D286" s="332" t="s">
        <v>9</v>
      </c>
      <c r="E286" s="332" t="s">
        <v>1384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1385</v>
      </c>
      <c r="T286" s="332" t="s">
        <v>1386</v>
      </c>
      <c r="U286" s="358">
        <v>565921.93500000006</v>
      </c>
      <c r="V286" s="358">
        <v>2658572.2310000001</v>
      </c>
      <c r="W286" s="361"/>
      <c r="X286" s="315" t="s">
        <v>1372</v>
      </c>
      <c r="Y286" s="315" t="s">
        <v>1241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1387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1388</v>
      </c>
      <c r="C288" s="332" t="s">
        <v>171</v>
      </c>
      <c r="D288" s="332" t="s">
        <v>172</v>
      </c>
      <c r="E288" s="332" t="s">
        <v>1389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1390</v>
      </c>
      <c r="T288" s="332" t="s">
        <v>1391</v>
      </c>
      <c r="U288" s="358">
        <v>566147.57999999996</v>
      </c>
      <c r="V288" s="358">
        <v>2658558.659</v>
      </c>
      <c r="W288" s="361"/>
      <c r="X288" s="315" t="s">
        <v>1372</v>
      </c>
      <c r="Y288" s="315" t="s">
        <v>1241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1392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964</v>
      </c>
      <c r="C290" s="332" t="s">
        <v>173</v>
      </c>
      <c r="D290" s="332" t="s">
        <v>156</v>
      </c>
      <c r="E290" s="332" t="s">
        <v>964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1393</v>
      </c>
      <c r="T290" s="332" t="s">
        <v>1394</v>
      </c>
      <c r="U290" s="358">
        <v>566596.71</v>
      </c>
      <c r="V290" s="358">
        <v>2658341.213</v>
      </c>
      <c r="W290" s="361"/>
      <c r="X290" s="315" t="s">
        <v>1395</v>
      </c>
      <c r="Y290" s="315" t="s">
        <v>1241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1396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964</v>
      </c>
      <c r="C292" s="332" t="s">
        <v>174</v>
      </c>
      <c r="D292" s="332" t="s">
        <v>35</v>
      </c>
      <c r="E292" s="332" t="s">
        <v>964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1397</v>
      </c>
      <c r="T292" s="332" t="s">
        <v>1398</v>
      </c>
      <c r="U292" s="358">
        <v>566998.13800000004</v>
      </c>
      <c r="V292" s="358">
        <v>2658146.8629999999</v>
      </c>
      <c r="W292" s="361"/>
      <c r="X292" s="315" t="s">
        <v>1395</v>
      </c>
      <c r="Y292" s="315" t="s">
        <v>1241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1399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964</v>
      </c>
      <c r="C294" s="332" t="s">
        <v>175</v>
      </c>
      <c r="D294" s="332" t="s">
        <v>35</v>
      </c>
      <c r="E294" s="332" t="s">
        <v>964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1400</v>
      </c>
      <c r="T294" s="332" t="s">
        <v>1401</v>
      </c>
      <c r="U294" s="358">
        <v>567352.76199999999</v>
      </c>
      <c r="V294" s="358">
        <v>2657975.1719999998</v>
      </c>
      <c r="W294" s="361"/>
      <c r="X294" s="315" t="s">
        <v>1402</v>
      </c>
      <c r="Y294" s="315" t="s">
        <v>1241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1403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964</v>
      </c>
      <c r="C296" s="332" t="s">
        <v>176</v>
      </c>
      <c r="D296" s="332" t="s">
        <v>31</v>
      </c>
      <c r="E296" s="332" t="s">
        <v>964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1404</v>
      </c>
      <c r="T296" s="332" t="s">
        <v>1405</v>
      </c>
      <c r="U296" s="358">
        <v>567704.68599999999</v>
      </c>
      <c r="V296" s="358">
        <v>2657804.7889999999</v>
      </c>
      <c r="W296" s="361"/>
      <c r="X296" s="315" t="s">
        <v>1402</v>
      </c>
      <c r="Y296" s="315" t="s">
        <v>1241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1406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964</v>
      </c>
      <c r="C298" s="332" t="s">
        <v>177</v>
      </c>
      <c r="D298" s="332" t="s">
        <v>35</v>
      </c>
      <c r="E298" s="332" t="s">
        <v>964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1407</v>
      </c>
      <c r="T298" s="332" t="s">
        <v>1408</v>
      </c>
      <c r="U298" s="358">
        <v>568072.81099999999</v>
      </c>
      <c r="V298" s="358">
        <v>2657626.5619999999</v>
      </c>
      <c r="W298" s="361"/>
      <c r="X298" s="315" t="s">
        <v>1402</v>
      </c>
      <c r="Y298" s="315" t="s">
        <v>1241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1409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964</v>
      </c>
      <c r="C300" s="332" t="s">
        <v>178</v>
      </c>
      <c r="D300" s="332" t="s">
        <v>31</v>
      </c>
      <c r="E300" s="332" t="s">
        <v>964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1410</v>
      </c>
      <c r="T300" s="332" t="s">
        <v>1411</v>
      </c>
      <c r="U300" s="358">
        <v>568413.93400000001</v>
      </c>
      <c r="V300" s="358">
        <v>2657461.4070000001</v>
      </c>
      <c r="W300" s="361"/>
      <c r="X300" s="315" t="s">
        <v>1402</v>
      </c>
      <c r="Y300" s="315" t="s">
        <v>1241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1412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964</v>
      </c>
      <c r="C302" s="332" t="s">
        <v>179</v>
      </c>
      <c r="D302" s="332" t="s">
        <v>14</v>
      </c>
      <c r="E302" s="332" t="s">
        <v>964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1413</v>
      </c>
      <c r="T302" s="332" t="s">
        <v>1414</v>
      </c>
      <c r="U302" s="358">
        <v>568741.55700000003</v>
      </c>
      <c r="V302" s="358">
        <v>2657302.79</v>
      </c>
      <c r="W302" s="361"/>
      <c r="X302" s="315" t="s">
        <v>1402</v>
      </c>
      <c r="Y302" s="315" t="s">
        <v>1241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1415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1416</v>
      </c>
      <c r="C304" s="332" t="s">
        <v>180</v>
      </c>
      <c r="D304" s="332" t="s">
        <v>118</v>
      </c>
      <c r="E304" s="332" t="s">
        <v>1417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1418</v>
      </c>
      <c r="T304" s="332" t="s">
        <v>1419</v>
      </c>
      <c r="U304" s="358">
        <v>569143.62300000002</v>
      </c>
      <c r="V304" s="358">
        <v>2657108.13</v>
      </c>
      <c r="W304" s="361"/>
      <c r="X304" s="315" t="s">
        <v>1420</v>
      </c>
      <c r="Y304" s="315" t="s">
        <v>1241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1421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1422</v>
      </c>
      <c r="C306" s="332" t="s">
        <v>181</v>
      </c>
      <c r="D306" s="332" t="s">
        <v>182</v>
      </c>
      <c r="E306" s="332" t="s">
        <v>1423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1424</v>
      </c>
      <c r="T306" s="332" t="s">
        <v>1425</v>
      </c>
      <c r="U306" s="358">
        <v>569399.84600000002</v>
      </c>
      <c r="V306" s="358">
        <v>2657128.6910000001</v>
      </c>
      <c r="W306" s="361"/>
      <c r="X306" s="315" t="s">
        <v>1420</v>
      </c>
      <c r="Y306" s="315" t="s">
        <v>1241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1426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964</v>
      </c>
      <c r="C308" s="332" t="s">
        <v>183</v>
      </c>
      <c r="D308" s="332" t="s">
        <v>33</v>
      </c>
      <c r="E308" s="332" t="s">
        <v>964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1427</v>
      </c>
      <c r="T308" s="332" t="s">
        <v>1428</v>
      </c>
      <c r="U308" s="358">
        <v>569625.23499999999</v>
      </c>
      <c r="V308" s="358">
        <v>2657073.702</v>
      </c>
      <c r="W308" s="361"/>
      <c r="X308" s="315" t="s">
        <v>1420</v>
      </c>
      <c r="Y308" s="315" t="s">
        <v>1241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1429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964</v>
      </c>
      <c r="C310" s="332" t="s">
        <v>184</v>
      </c>
      <c r="D310" s="332" t="s">
        <v>23</v>
      </c>
      <c r="E310" s="332" t="s">
        <v>964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1430</v>
      </c>
      <c r="T310" s="332" t="s">
        <v>1431</v>
      </c>
      <c r="U310" s="358">
        <v>569979.83499999996</v>
      </c>
      <c r="V310" s="358">
        <v>2656987.1889999998</v>
      </c>
      <c r="W310" s="361"/>
      <c r="X310" s="315" t="s">
        <v>1420</v>
      </c>
      <c r="Y310" s="315" t="s">
        <v>1241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1432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964</v>
      </c>
      <c r="C312" s="332" t="s">
        <v>185</v>
      </c>
      <c r="D312" s="332" t="s">
        <v>16</v>
      </c>
      <c r="E312" s="332" t="s">
        <v>964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1433</v>
      </c>
      <c r="T312" s="332" t="s">
        <v>1434</v>
      </c>
      <c r="U312" s="358">
        <v>570348.03500000003</v>
      </c>
      <c r="V312" s="358">
        <v>2656897.3569999998</v>
      </c>
      <c r="W312" s="361"/>
      <c r="X312" s="315" t="s">
        <v>1420</v>
      </c>
      <c r="Y312" s="315" t="s">
        <v>1241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1435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1436</v>
      </c>
      <c r="C314" s="332" t="s">
        <v>186</v>
      </c>
      <c r="D314" s="332" t="s">
        <v>113</v>
      </c>
      <c r="E314" s="332" t="s">
        <v>1437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1438</v>
      </c>
      <c r="T314" s="332" t="s">
        <v>1439</v>
      </c>
      <c r="U314" s="358">
        <v>570775.33100000001</v>
      </c>
      <c r="V314" s="358">
        <v>2656793.108</v>
      </c>
      <c r="W314" s="361"/>
      <c r="X314" s="315" t="s">
        <v>1440</v>
      </c>
      <c r="Y314" s="315" t="s">
        <v>1241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1441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1442</v>
      </c>
      <c r="C316" s="332" t="s">
        <v>187</v>
      </c>
      <c r="D316" s="332" t="s">
        <v>40</v>
      </c>
      <c r="E316" s="332" t="s">
        <v>1443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1444</v>
      </c>
      <c r="T316" s="332" t="s">
        <v>1445</v>
      </c>
      <c r="U316" s="333">
        <v>570996.14</v>
      </c>
      <c r="V316" s="333">
        <v>2656783.42</v>
      </c>
      <c r="W316" s="334"/>
      <c r="X316" s="315" t="s">
        <v>1440</v>
      </c>
      <c r="Y316" s="315" t="s">
        <v>1241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1446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964</v>
      </c>
      <c r="C318" s="332" t="s">
        <v>188</v>
      </c>
      <c r="D318" s="332" t="s">
        <v>31</v>
      </c>
      <c r="E318" s="332" t="s">
        <v>964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1447</v>
      </c>
      <c r="T318" s="332" t="s">
        <v>1448</v>
      </c>
      <c r="U318" s="333">
        <v>571354.28700000001</v>
      </c>
      <c r="V318" s="333">
        <v>2656616.8080000002</v>
      </c>
      <c r="W318" s="334"/>
      <c r="X318" s="315" t="s">
        <v>1440</v>
      </c>
      <c r="Y318" s="315" t="s">
        <v>1241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1008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964</v>
      </c>
      <c r="C320" s="332" t="s">
        <v>189</v>
      </c>
      <c r="D320" s="332" t="s">
        <v>31</v>
      </c>
      <c r="E320" s="332" t="s">
        <v>964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1449</v>
      </c>
      <c r="T320" s="332" t="s">
        <v>1450</v>
      </c>
      <c r="U320" s="333">
        <v>571677.06900000002</v>
      </c>
      <c r="V320" s="333">
        <v>2656466.6490000002</v>
      </c>
      <c r="W320" s="334"/>
      <c r="X320" s="315" t="s">
        <v>1451</v>
      </c>
      <c r="Y320" s="315" t="s">
        <v>1241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1452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964</v>
      </c>
      <c r="C322" s="332" t="s">
        <v>190</v>
      </c>
      <c r="D322" s="332" t="s">
        <v>31</v>
      </c>
      <c r="E322" s="332" t="s">
        <v>964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1453</v>
      </c>
      <c r="T322" s="332" t="s">
        <v>1454</v>
      </c>
      <c r="U322" s="333">
        <v>572043.37300000002</v>
      </c>
      <c r="V322" s="333">
        <v>2656296.2450000001</v>
      </c>
      <c r="W322" s="334"/>
      <c r="X322" s="315" t="s">
        <v>1451</v>
      </c>
      <c r="Y322" s="315" t="s">
        <v>1241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1455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964</v>
      </c>
      <c r="C324" s="332" t="s">
        <v>191</v>
      </c>
      <c r="D324" s="332" t="s">
        <v>33</v>
      </c>
      <c r="E324" s="332" t="s">
        <v>964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1456</v>
      </c>
      <c r="T324" s="332" t="s">
        <v>1457</v>
      </c>
      <c r="U324" s="333">
        <v>572387.91599999997</v>
      </c>
      <c r="V324" s="333">
        <v>2656135.9640000002</v>
      </c>
      <c r="W324" s="334"/>
      <c r="X324" s="315" t="s">
        <v>1451</v>
      </c>
      <c r="Y324" s="315" t="s">
        <v>1241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1458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964</v>
      </c>
      <c r="C326" s="332" t="s">
        <v>192</v>
      </c>
      <c r="D326" s="332" t="s">
        <v>16</v>
      </c>
      <c r="E326" s="332" t="s">
        <v>964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1459</v>
      </c>
      <c r="T326" s="332" t="s">
        <v>1460</v>
      </c>
      <c r="U326" s="333">
        <v>572804.995</v>
      </c>
      <c r="V326" s="333">
        <v>2655941.9389999998</v>
      </c>
      <c r="W326" s="334"/>
      <c r="X326" s="315" t="s">
        <v>1451</v>
      </c>
      <c r="Y326" s="315" t="s">
        <v>1241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1216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964</v>
      </c>
      <c r="C328" s="332" t="s">
        <v>193</v>
      </c>
      <c r="D328" s="332" t="s">
        <v>14</v>
      </c>
      <c r="E328" s="332" t="s">
        <v>964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1461</v>
      </c>
      <c r="T328" s="332" t="s">
        <v>1462</v>
      </c>
      <c r="U328" s="333">
        <v>573149.53799999994</v>
      </c>
      <c r="V328" s="333">
        <v>2655781.6579999998</v>
      </c>
      <c r="W328" s="334"/>
      <c r="X328" s="315" t="s">
        <v>1451</v>
      </c>
      <c r="Y328" s="315" t="s">
        <v>1241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1463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964</v>
      </c>
      <c r="C330" s="332" t="s">
        <v>194</v>
      </c>
      <c r="D330" s="332" t="s">
        <v>33</v>
      </c>
      <c r="E330" s="332" t="s">
        <v>964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1464</v>
      </c>
      <c r="T330" s="332" t="s">
        <v>1465</v>
      </c>
      <c r="U330" s="333">
        <v>573524.00199999998</v>
      </c>
      <c r="V330" s="333">
        <v>2655607.4580000001</v>
      </c>
      <c r="W330" s="334"/>
      <c r="X330" s="315" t="s">
        <v>1451</v>
      </c>
      <c r="Y330" s="315" t="s">
        <v>1241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1216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964</v>
      </c>
      <c r="C332" s="332" t="s">
        <v>195</v>
      </c>
      <c r="D332" s="332" t="s">
        <v>31</v>
      </c>
      <c r="E332" s="332" t="s">
        <v>964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1466</v>
      </c>
      <c r="T332" s="332" t="s">
        <v>1467</v>
      </c>
      <c r="U332" s="333">
        <v>573898.46600000001</v>
      </c>
      <c r="V332" s="333">
        <v>2655433.2570000002</v>
      </c>
      <c r="W332" s="334"/>
      <c r="X332" s="315" t="s">
        <v>1468</v>
      </c>
      <c r="Y332" s="315" t="s">
        <v>1241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1469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1470</v>
      </c>
      <c r="C334" s="332" t="s">
        <v>196</v>
      </c>
      <c r="D334" s="332" t="s">
        <v>197</v>
      </c>
      <c r="E334" s="332" t="s">
        <v>1471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1472</v>
      </c>
      <c r="T334" s="332" t="s">
        <v>1473</v>
      </c>
      <c r="U334" s="333">
        <v>574285.62300000002</v>
      </c>
      <c r="V334" s="333">
        <v>2655253.1519999998</v>
      </c>
      <c r="W334" s="334"/>
      <c r="X334" s="315" t="s">
        <v>1468</v>
      </c>
      <c r="Y334" s="315" t="s">
        <v>1241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1474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1475</v>
      </c>
      <c r="C336" s="332" t="s">
        <v>198</v>
      </c>
      <c r="D336" s="332" t="s">
        <v>118</v>
      </c>
      <c r="E336" s="332" t="s">
        <v>1476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1477</v>
      </c>
      <c r="T336" s="332" t="s">
        <v>1478</v>
      </c>
      <c r="U336" s="333">
        <v>574496.58499999996</v>
      </c>
      <c r="V336" s="333">
        <v>2655315.5630000001</v>
      </c>
      <c r="W336" s="334"/>
      <c r="X336" s="315" t="s">
        <v>1468</v>
      </c>
      <c r="Y336" s="315" t="s">
        <v>1241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1479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964</v>
      </c>
      <c r="C338" s="332" t="s">
        <v>199</v>
      </c>
      <c r="D338" s="332" t="s">
        <v>23</v>
      </c>
      <c r="E338" s="332" t="s">
        <v>964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1480</v>
      </c>
      <c r="T338" s="332" t="s">
        <v>1481</v>
      </c>
      <c r="U338" s="333">
        <v>574897.53500000003</v>
      </c>
      <c r="V338" s="333">
        <v>2655160.1940000001</v>
      </c>
      <c r="W338" s="334"/>
      <c r="X338" s="315" t="s">
        <v>1468</v>
      </c>
      <c r="Y338" s="315" t="s">
        <v>1241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1008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964</v>
      </c>
      <c r="C340" s="332" t="s">
        <v>200</v>
      </c>
      <c r="D340" s="332" t="s">
        <v>31</v>
      </c>
      <c r="E340" s="332" t="s">
        <v>964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1482</v>
      </c>
      <c r="T340" s="332" t="s">
        <v>1483</v>
      </c>
      <c r="U340" s="333">
        <v>575218.29399999999</v>
      </c>
      <c r="V340" s="333">
        <v>2655035.8990000002</v>
      </c>
      <c r="W340" s="334"/>
      <c r="X340" s="315" t="s">
        <v>1484</v>
      </c>
      <c r="Y340" s="315" t="s">
        <v>1241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1485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964</v>
      </c>
      <c r="C342" s="332" t="s">
        <v>201</v>
      </c>
      <c r="D342" s="332" t="s">
        <v>23</v>
      </c>
      <c r="E342" s="332" t="s">
        <v>964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1486</v>
      </c>
      <c r="T342" s="332" t="s">
        <v>1487</v>
      </c>
      <c r="U342" s="333">
        <v>575566.09499999997</v>
      </c>
      <c r="V342" s="333">
        <v>2654901.1260000002</v>
      </c>
      <c r="W342" s="334"/>
      <c r="X342" s="315" t="s">
        <v>1484</v>
      </c>
      <c r="Y342" s="315" t="s">
        <v>1241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1488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964</v>
      </c>
      <c r="C344" s="332" t="s">
        <v>202</v>
      </c>
      <c r="D344" s="332" t="s">
        <v>33</v>
      </c>
      <c r="E344" s="332" t="s">
        <v>964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1489</v>
      </c>
      <c r="T344" s="332" t="s">
        <v>1490</v>
      </c>
      <c r="U344" s="333">
        <v>575928.81400000001</v>
      </c>
      <c r="V344" s="333">
        <v>2654760.571</v>
      </c>
      <c r="W344" s="334"/>
      <c r="X344" s="315" t="s">
        <v>1484</v>
      </c>
      <c r="Y344" s="315" t="s">
        <v>1241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1491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964</v>
      </c>
      <c r="C346" s="332" t="s">
        <v>203</v>
      </c>
      <c r="D346" s="332" t="s">
        <v>16</v>
      </c>
      <c r="E346" s="332" t="s">
        <v>964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1492</v>
      </c>
      <c r="T346" s="332" t="s">
        <v>1493</v>
      </c>
      <c r="U346" s="333">
        <v>576342.81799999997</v>
      </c>
      <c r="V346" s="333">
        <v>2654600.1439999999</v>
      </c>
      <c r="W346" s="341" t="s">
        <v>1175</v>
      </c>
      <c r="X346" s="315" t="s">
        <v>1484</v>
      </c>
      <c r="Y346" s="315" t="s">
        <v>1241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1494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964</v>
      </c>
      <c r="C348" s="332" t="s">
        <v>204</v>
      </c>
      <c r="D348" s="332" t="s">
        <v>23</v>
      </c>
      <c r="E348" s="332" t="s">
        <v>964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1495</v>
      </c>
      <c r="T348" s="332" t="s">
        <v>1496</v>
      </c>
      <c r="U348" s="333">
        <v>576630.00899999996</v>
      </c>
      <c r="V348" s="333">
        <v>2654488.8560000001</v>
      </c>
      <c r="W348" s="334"/>
      <c r="X348" s="315" t="s">
        <v>1484</v>
      </c>
      <c r="Y348" s="315" t="s">
        <v>1241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1497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964</v>
      </c>
      <c r="C350" s="332" t="s">
        <v>205</v>
      </c>
      <c r="D350" s="332" t="s">
        <v>31</v>
      </c>
      <c r="E350" s="332" t="s">
        <v>964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1498</v>
      </c>
      <c r="T350" s="332" t="s">
        <v>1499</v>
      </c>
      <c r="U350" s="333">
        <v>576951.701</v>
      </c>
      <c r="V350" s="333">
        <v>2654364.2000000002</v>
      </c>
      <c r="W350" s="334"/>
      <c r="X350" s="315" t="s">
        <v>1484</v>
      </c>
      <c r="Y350" s="315" t="s">
        <v>1241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1500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964</v>
      </c>
      <c r="C352" s="332" t="s">
        <v>206</v>
      </c>
      <c r="D352" s="332" t="s">
        <v>16</v>
      </c>
      <c r="E352" s="332" t="s">
        <v>964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1501</v>
      </c>
      <c r="T352" s="332" t="s">
        <v>1502</v>
      </c>
      <c r="U352" s="333">
        <v>577347.98899999994</v>
      </c>
      <c r="V352" s="333">
        <v>2654210.6379999998</v>
      </c>
      <c r="W352" s="334"/>
      <c r="X352" s="315" t="s">
        <v>1484</v>
      </c>
      <c r="Y352" s="315" t="s">
        <v>1241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1503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1504</v>
      </c>
      <c r="C354" s="332" t="s">
        <v>207</v>
      </c>
      <c r="D354" s="332" t="s">
        <v>18</v>
      </c>
      <c r="E354" s="332" t="s">
        <v>1505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1506</v>
      </c>
      <c r="T354" s="332" t="s">
        <v>1507</v>
      </c>
      <c r="U354" s="333">
        <v>577732.02399999998</v>
      </c>
      <c r="V354" s="333">
        <v>2654061.8229999999</v>
      </c>
      <c r="W354" s="334"/>
      <c r="X354" s="315" t="s">
        <v>1484</v>
      </c>
      <c r="Y354" s="315" t="s">
        <v>1241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1508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964</v>
      </c>
      <c r="C356" s="331" t="s">
        <v>208</v>
      </c>
      <c r="D356" s="332" t="s">
        <v>33</v>
      </c>
      <c r="E356" s="331" t="s">
        <v>964</v>
      </c>
      <c r="F356" s="331"/>
      <c r="G356" s="331" t="s">
        <v>964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1509</v>
      </c>
      <c r="T356" s="331" t="s">
        <v>1510</v>
      </c>
      <c r="U356" s="331">
        <v>578043.28899999999</v>
      </c>
      <c r="V356" s="331">
        <v>2653812.193</v>
      </c>
      <c r="W356" s="331"/>
      <c r="X356" s="315" t="s">
        <v>1511</v>
      </c>
      <c r="Y356" s="315" t="s">
        <v>1512</v>
      </c>
      <c r="Z356" s="335" t="s">
        <v>1513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1514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964</v>
      </c>
      <c r="C358" s="331" t="s">
        <v>209</v>
      </c>
      <c r="D358" s="332" t="s">
        <v>31</v>
      </c>
      <c r="E358" s="331" t="s">
        <v>964</v>
      </c>
      <c r="F358" s="331"/>
      <c r="G358" s="331" t="s">
        <v>964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1515</v>
      </c>
      <c r="T358" s="331" t="s">
        <v>1516</v>
      </c>
      <c r="U358" s="331">
        <v>578370.93599999999</v>
      </c>
      <c r="V358" s="331">
        <v>2653549.4240000001</v>
      </c>
      <c r="W358" s="331"/>
      <c r="X358" s="315" t="s">
        <v>1511</v>
      </c>
      <c r="Y358" s="315" t="s">
        <v>1512</v>
      </c>
      <c r="Z358" s="335" t="s">
        <v>1513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1061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964</v>
      </c>
      <c r="C360" s="331" t="s">
        <v>210</v>
      </c>
      <c r="D360" s="332" t="s">
        <v>31</v>
      </c>
      <c r="E360" s="331" t="s">
        <v>964</v>
      </c>
      <c r="F360" s="331"/>
      <c r="G360" s="331" t="s">
        <v>964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1517</v>
      </c>
      <c r="T360" s="331" t="s">
        <v>1518</v>
      </c>
      <c r="U360" s="331">
        <v>578657.23699999996</v>
      </c>
      <c r="V360" s="331">
        <v>2653319.8139999998</v>
      </c>
      <c r="W360" s="331"/>
      <c r="X360" s="315" t="s">
        <v>1511</v>
      </c>
      <c r="Y360" s="315" t="s">
        <v>1512</v>
      </c>
      <c r="Z360" s="335" t="s">
        <v>1513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1029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964</v>
      </c>
      <c r="C362" s="331" t="s">
        <v>211</v>
      </c>
      <c r="D362" s="332" t="s">
        <v>31</v>
      </c>
      <c r="E362" s="331" t="s">
        <v>964</v>
      </c>
      <c r="F362" s="331"/>
      <c r="G362" s="331" t="s">
        <v>964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1519</v>
      </c>
      <c r="T362" s="331" t="s">
        <v>1520</v>
      </c>
      <c r="U362" s="331">
        <v>578933.39599999995</v>
      </c>
      <c r="V362" s="331">
        <v>2653098.3369999998</v>
      </c>
      <c r="W362" s="331"/>
      <c r="X362" s="315" t="s">
        <v>1511</v>
      </c>
      <c r="Y362" s="315" t="s">
        <v>1512</v>
      </c>
      <c r="Z362" s="335" t="s">
        <v>1513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1029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964</v>
      </c>
      <c r="C364" s="331" t="s">
        <v>212</v>
      </c>
      <c r="D364" s="332" t="s">
        <v>31</v>
      </c>
      <c r="E364" s="331" t="s">
        <v>964</v>
      </c>
      <c r="F364" s="331"/>
      <c r="G364" s="331" t="s">
        <v>964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1521</v>
      </c>
      <c r="T364" s="331" t="s">
        <v>1522</v>
      </c>
      <c r="U364" s="331">
        <v>579244.66099999996</v>
      </c>
      <c r="V364" s="331">
        <v>2652848.7069999999</v>
      </c>
      <c r="W364" s="331"/>
      <c r="X364" s="315" t="s">
        <v>1511</v>
      </c>
      <c r="Y364" s="315" t="s">
        <v>1512</v>
      </c>
      <c r="Z364" s="335" t="s">
        <v>1513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1072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964</v>
      </c>
      <c r="C366" s="323" t="s">
        <v>213</v>
      </c>
      <c r="D366" s="315" t="s">
        <v>40</v>
      </c>
      <c r="E366" s="323" t="s">
        <v>1523</v>
      </c>
      <c r="F366" s="331"/>
      <c r="G366" s="331" t="s">
        <v>964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1524</v>
      </c>
      <c r="T366" s="331" t="s">
        <v>1525</v>
      </c>
      <c r="U366" s="331">
        <v>579537.20299999998</v>
      </c>
      <c r="V366" s="331">
        <v>2652614.0920000002</v>
      </c>
      <c r="W366" s="331"/>
      <c r="X366" s="315" t="s">
        <v>1511</v>
      </c>
      <c r="Y366" s="315" t="s">
        <v>1512</v>
      </c>
      <c r="Z366" s="335" t="s">
        <v>1513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1077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964</v>
      </c>
      <c r="C368" s="331" t="s">
        <v>214</v>
      </c>
      <c r="D368" s="332" t="s">
        <v>31</v>
      </c>
      <c r="E368" s="331" t="s">
        <v>964</v>
      </c>
      <c r="F368" s="331"/>
      <c r="G368" s="331" t="s">
        <v>964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1526</v>
      </c>
      <c r="T368" s="331" t="s">
        <v>1527</v>
      </c>
      <c r="U368" s="331">
        <v>579833.64500000002</v>
      </c>
      <c r="V368" s="331">
        <v>2652376.3489999999</v>
      </c>
      <c r="W368" s="331"/>
      <c r="X368" s="315" t="s">
        <v>1528</v>
      </c>
      <c r="Y368" s="315" t="s">
        <v>1512</v>
      </c>
      <c r="Z368" s="335" t="s">
        <v>1513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1077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964</v>
      </c>
      <c r="C370" s="331" t="s">
        <v>215</v>
      </c>
      <c r="D370" s="332" t="s">
        <v>33</v>
      </c>
      <c r="E370" s="331" t="s">
        <v>964</v>
      </c>
      <c r="F370" s="331"/>
      <c r="G370" s="331" t="s">
        <v>964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1529</v>
      </c>
      <c r="T370" s="331" t="s">
        <v>1530</v>
      </c>
      <c r="U370" s="331">
        <v>580149.59100000001</v>
      </c>
      <c r="V370" s="331">
        <v>2652122.9649999999</v>
      </c>
      <c r="W370" s="331"/>
      <c r="X370" s="315" t="s">
        <v>1531</v>
      </c>
      <c r="Y370" s="315" t="s">
        <v>1512</v>
      </c>
      <c r="Z370" s="335" t="s">
        <v>1513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964</v>
      </c>
      <c r="C372" s="331" t="s">
        <v>216</v>
      </c>
      <c r="D372" s="332" t="s">
        <v>33</v>
      </c>
      <c r="E372" s="331" t="s">
        <v>964</v>
      </c>
      <c r="F372" s="331"/>
      <c r="G372" s="331" t="s">
        <v>964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1532</v>
      </c>
      <c r="T372" s="331" t="s">
        <v>1533</v>
      </c>
      <c r="U372" s="331">
        <v>580477.23800000001</v>
      </c>
      <c r="V372" s="331">
        <v>2651860.196</v>
      </c>
      <c r="W372" s="331"/>
      <c r="X372" s="315" t="s">
        <v>1531</v>
      </c>
      <c r="Y372" s="315" t="s">
        <v>1512</v>
      </c>
      <c r="Z372" s="335" t="s">
        <v>1513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1077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964</v>
      </c>
      <c r="C374" s="331" t="s">
        <v>217</v>
      </c>
      <c r="D374" s="332" t="s">
        <v>31</v>
      </c>
      <c r="E374" s="331" t="s">
        <v>964</v>
      </c>
      <c r="F374" s="331"/>
      <c r="G374" s="331" t="s">
        <v>964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1534</v>
      </c>
      <c r="T374" s="331" t="s">
        <v>1535</v>
      </c>
      <c r="U374" s="331">
        <v>580788.50199999998</v>
      </c>
      <c r="V374" s="331">
        <v>2651610.5649999999</v>
      </c>
      <c r="W374" s="331"/>
      <c r="X374" s="315" t="s">
        <v>1531</v>
      </c>
      <c r="Y374" s="315" t="s">
        <v>1512</v>
      </c>
      <c r="Z374" s="335" t="s">
        <v>1513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1035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964</v>
      </c>
      <c r="C376" s="331" t="s">
        <v>218</v>
      </c>
      <c r="D376" s="332" t="s">
        <v>33</v>
      </c>
      <c r="E376" s="331" t="s">
        <v>964</v>
      </c>
      <c r="F376" s="331"/>
      <c r="G376" s="331" t="s">
        <v>964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1536</v>
      </c>
      <c r="T376" s="331" t="s">
        <v>1537</v>
      </c>
      <c r="U376" s="331">
        <v>581084.94499999995</v>
      </c>
      <c r="V376" s="331">
        <v>2651372.8220000002</v>
      </c>
      <c r="W376" s="331"/>
      <c r="X376" s="315" t="s">
        <v>1531</v>
      </c>
      <c r="Y376" s="315" t="s">
        <v>1512</v>
      </c>
      <c r="Z376" s="335" t="s">
        <v>1513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1514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1538</v>
      </c>
      <c r="C378" s="331" t="s">
        <v>219</v>
      </c>
      <c r="D378" s="332" t="s">
        <v>18</v>
      </c>
      <c r="E378" s="331" t="s">
        <v>1539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1540</v>
      </c>
      <c r="T378" s="331" t="s">
        <v>1541</v>
      </c>
      <c r="U378" s="331">
        <v>581408.91299999994</v>
      </c>
      <c r="V378" s="331">
        <v>2651113.0040000002</v>
      </c>
      <c r="W378" s="331"/>
      <c r="X378" s="315" t="s">
        <v>1531</v>
      </c>
      <c r="Y378" s="315" t="s">
        <v>1512</v>
      </c>
      <c r="Z378" s="335" t="s">
        <v>1513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1542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964</v>
      </c>
      <c r="C380" s="331" t="s">
        <v>220</v>
      </c>
      <c r="D380" s="332" t="s">
        <v>33</v>
      </c>
      <c r="E380" s="331" t="s">
        <v>964</v>
      </c>
      <c r="F380" s="331"/>
      <c r="G380" s="331" t="s">
        <v>964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1543</v>
      </c>
      <c r="T380" s="331" t="s">
        <v>1544</v>
      </c>
      <c r="U380" s="331">
        <v>581636.16</v>
      </c>
      <c r="V380" s="331">
        <v>2650783.8250000002</v>
      </c>
      <c r="W380" s="331"/>
      <c r="X380" s="315" t="s">
        <v>1531</v>
      </c>
      <c r="Y380" s="315" t="s">
        <v>1512</v>
      </c>
      <c r="Z380" s="335" t="s">
        <v>1513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1072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964</v>
      </c>
      <c r="C382" s="331" t="s">
        <v>221</v>
      </c>
      <c r="D382" s="332" t="s">
        <v>31</v>
      </c>
      <c r="E382" s="331" t="s">
        <v>964</v>
      </c>
      <c r="F382" s="331"/>
      <c r="G382" s="331" t="s">
        <v>964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1545</v>
      </c>
      <c r="T382" s="331" t="s">
        <v>1546</v>
      </c>
      <c r="U382" s="331">
        <v>581858.86199999996</v>
      </c>
      <c r="V382" s="331">
        <v>2650461.2289999998</v>
      </c>
      <c r="W382" s="331"/>
      <c r="X382" s="315" t="s">
        <v>1531</v>
      </c>
      <c r="Y382" s="315" t="s">
        <v>1512</v>
      </c>
      <c r="Z382" s="335" t="s">
        <v>1513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1547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964</v>
      </c>
      <c r="C384" s="331" t="s">
        <v>222</v>
      </c>
      <c r="D384" s="332" t="s">
        <v>31</v>
      </c>
      <c r="E384" s="331" t="s">
        <v>964</v>
      </c>
      <c r="F384" s="331"/>
      <c r="G384" s="331" t="s">
        <v>964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1548</v>
      </c>
      <c r="T384" s="331" t="s">
        <v>1549</v>
      </c>
      <c r="U384" s="331">
        <v>582078.723</v>
      </c>
      <c r="V384" s="331">
        <v>2650142.7480000001</v>
      </c>
      <c r="W384" s="331"/>
      <c r="X384" s="315" t="s">
        <v>1550</v>
      </c>
      <c r="Y384" s="315" t="s">
        <v>1512</v>
      </c>
      <c r="Z384" s="335" t="s">
        <v>1513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1551</v>
      </c>
      <c r="C386" s="331" t="s">
        <v>223</v>
      </c>
      <c r="D386" s="332" t="s">
        <v>115</v>
      </c>
      <c r="E386" s="331" t="s">
        <v>1552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1553</v>
      </c>
      <c r="T386" s="331" t="s">
        <v>1554</v>
      </c>
      <c r="U386" s="331">
        <v>582275.36199999996</v>
      </c>
      <c r="V386" s="331">
        <v>2649857.906</v>
      </c>
      <c r="W386" s="331"/>
      <c r="X386" s="315" t="s">
        <v>1550</v>
      </c>
      <c r="Y386" s="315" t="s">
        <v>1512</v>
      </c>
      <c r="Z386" s="335" t="s">
        <v>1513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1555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964</v>
      </c>
      <c r="C388" s="331" t="s">
        <v>224</v>
      </c>
      <c r="D388" s="332" t="s">
        <v>16</v>
      </c>
      <c r="E388" s="331" t="s">
        <v>964</v>
      </c>
      <c r="F388" s="331"/>
      <c r="G388" s="331" t="s">
        <v>964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1556</v>
      </c>
      <c r="T388" s="331" t="s">
        <v>1557</v>
      </c>
      <c r="U388" s="331">
        <v>582664.16399999999</v>
      </c>
      <c r="V388" s="331">
        <v>2649763.92</v>
      </c>
      <c r="W388" s="331"/>
      <c r="X388" s="315" t="s">
        <v>1550</v>
      </c>
      <c r="Y388" s="315" t="s">
        <v>1512</v>
      </c>
      <c r="Z388" s="335" t="s">
        <v>1513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1558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964</v>
      </c>
      <c r="C390" s="331" t="s">
        <v>225</v>
      </c>
      <c r="D390" s="332" t="s">
        <v>14</v>
      </c>
      <c r="E390" s="331" t="s">
        <v>964</v>
      </c>
      <c r="F390" s="331"/>
      <c r="G390" s="331" t="s">
        <v>964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1559</v>
      </c>
      <c r="T390" s="331" t="s">
        <v>1560</v>
      </c>
      <c r="U390" s="331">
        <v>583070.46100000001</v>
      </c>
      <c r="V390" s="331">
        <v>2649665.7050000001</v>
      </c>
      <c r="W390" s="331"/>
      <c r="X390" s="315" t="s">
        <v>1550</v>
      </c>
      <c r="Y390" s="315" t="s">
        <v>1512</v>
      </c>
      <c r="Z390" s="335" t="s">
        <v>1513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1561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964</v>
      </c>
      <c r="C392" s="331" t="s">
        <v>226</v>
      </c>
      <c r="D392" s="332" t="s">
        <v>35</v>
      </c>
      <c r="E392" s="331"/>
      <c r="F392" s="331"/>
      <c r="G392" s="331" t="s">
        <v>964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1562</v>
      </c>
      <c r="T392" s="331" t="s">
        <v>1563</v>
      </c>
      <c r="U392" s="331">
        <v>583411.63500000001</v>
      </c>
      <c r="V392" s="331">
        <v>2649583.233</v>
      </c>
      <c r="W392" s="331"/>
      <c r="X392" s="315" t="s">
        <v>1550</v>
      </c>
      <c r="Y392" s="315" t="s">
        <v>1512</v>
      </c>
      <c r="Z392" s="335" t="s">
        <v>1513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1564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964</v>
      </c>
      <c r="C394" s="331" t="s">
        <v>227</v>
      </c>
      <c r="D394" s="332" t="s">
        <v>33</v>
      </c>
      <c r="E394" s="331" t="s">
        <v>964</v>
      </c>
      <c r="F394" s="331"/>
      <c r="G394" s="331" t="s">
        <v>964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1565</v>
      </c>
      <c r="T394" s="331" t="s">
        <v>1566</v>
      </c>
      <c r="U394" s="331">
        <v>583828.62399999995</v>
      </c>
      <c r="V394" s="331">
        <v>2649482.4330000002</v>
      </c>
      <c r="W394" s="331"/>
      <c r="X394" s="315" t="s">
        <v>1567</v>
      </c>
      <c r="Y394" s="315" t="s">
        <v>1512</v>
      </c>
      <c r="Z394" s="335" t="s">
        <v>1513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1568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964</v>
      </c>
      <c r="C396" s="331" t="s">
        <v>228</v>
      </c>
      <c r="D396" s="332" t="s">
        <v>31</v>
      </c>
      <c r="E396" s="331" t="s">
        <v>964</v>
      </c>
      <c r="F396" s="331"/>
      <c r="G396" s="331" t="s">
        <v>964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1569</v>
      </c>
      <c r="T396" s="331" t="s">
        <v>1570</v>
      </c>
      <c r="U396" s="331">
        <v>584228.11800000002</v>
      </c>
      <c r="V396" s="331">
        <v>2649385.8629999999</v>
      </c>
      <c r="W396" s="331"/>
      <c r="X396" s="315" t="s">
        <v>1567</v>
      </c>
      <c r="Y396" s="315" t="s">
        <v>1512</v>
      </c>
      <c r="Z396" s="335" t="s">
        <v>1513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1571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964</v>
      </c>
      <c r="C398" s="331" t="s">
        <v>229</v>
      </c>
      <c r="D398" s="332" t="s">
        <v>16</v>
      </c>
      <c r="E398" s="331" t="s">
        <v>964</v>
      </c>
      <c r="F398" s="331"/>
      <c r="G398" s="331" t="s">
        <v>964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1572</v>
      </c>
      <c r="T398" s="331" t="s">
        <v>1573</v>
      </c>
      <c r="U398" s="331">
        <v>584598.45200000005</v>
      </c>
      <c r="V398" s="331">
        <v>2649296.341</v>
      </c>
      <c r="W398" s="331"/>
      <c r="X398" s="315" t="s">
        <v>1567</v>
      </c>
      <c r="Y398" s="315" t="s">
        <v>1512</v>
      </c>
      <c r="Z398" s="335" t="s">
        <v>1513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1574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964</v>
      </c>
      <c r="C400" s="331" t="s">
        <v>230</v>
      </c>
      <c r="D400" s="332" t="s">
        <v>16</v>
      </c>
      <c r="E400" s="331" t="s">
        <v>964</v>
      </c>
      <c r="F400" s="331"/>
      <c r="G400" s="331" t="s">
        <v>964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1575</v>
      </c>
      <c r="T400" s="331" t="s">
        <v>1576</v>
      </c>
      <c r="U400" s="331">
        <v>585044.60100000002</v>
      </c>
      <c r="V400" s="331">
        <v>2649188.4929999998</v>
      </c>
      <c r="W400" s="331"/>
      <c r="X400" s="315" t="s">
        <v>1512</v>
      </c>
      <c r="Y400" s="315" t="s">
        <v>1512</v>
      </c>
      <c r="Z400" s="335" t="s">
        <v>1513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1026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964</v>
      </c>
      <c r="C402" s="331" t="s">
        <v>231</v>
      </c>
      <c r="D402" s="332" t="s">
        <v>33</v>
      </c>
      <c r="E402" s="331" t="s">
        <v>964</v>
      </c>
      <c r="F402" s="331"/>
      <c r="G402" s="331" t="s">
        <v>964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1577</v>
      </c>
      <c r="T402" s="331" t="s">
        <v>1578</v>
      </c>
      <c r="U402" s="331">
        <v>585404.24300000002</v>
      </c>
      <c r="V402" s="331">
        <v>2649101.5559999999</v>
      </c>
      <c r="W402" s="331"/>
      <c r="X402" s="315" t="s">
        <v>1512</v>
      </c>
      <c r="Y402" s="315" t="s">
        <v>1512</v>
      </c>
      <c r="Z402" s="335" t="s">
        <v>1513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1579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1580</v>
      </c>
      <c r="C404" s="323" t="s">
        <v>232</v>
      </c>
      <c r="D404" s="315" t="s">
        <v>182</v>
      </c>
      <c r="E404" s="323" t="s">
        <v>1581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1582</v>
      </c>
      <c r="T404" s="323" t="s">
        <v>1583</v>
      </c>
      <c r="U404" s="323">
        <v>585817.67599999998</v>
      </c>
      <c r="V404" s="323">
        <v>2649001.6159999999</v>
      </c>
      <c r="W404" s="323"/>
      <c r="X404" s="315" t="s">
        <v>1512</v>
      </c>
      <c r="Y404" s="315" t="s">
        <v>1512</v>
      </c>
      <c r="Z404" s="322" t="s">
        <v>1513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2007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1584</v>
      </c>
      <c r="C406" s="323" t="s">
        <v>233</v>
      </c>
      <c r="D406" s="315" t="s">
        <v>234</v>
      </c>
      <c r="E406" s="323" t="s">
        <v>1585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1586</v>
      </c>
      <c r="T406" s="323" t="s">
        <v>1587</v>
      </c>
      <c r="U406" s="323">
        <v>586026.87</v>
      </c>
      <c r="V406" s="323">
        <v>2648854.1179999998</v>
      </c>
      <c r="W406" s="323"/>
      <c r="X406" s="315" t="s">
        <v>1512</v>
      </c>
      <c r="Y406" s="315" t="s">
        <v>1512</v>
      </c>
      <c r="Z406" s="322" t="s">
        <v>1513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1588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1589</v>
      </c>
      <c r="C408" s="323" t="s">
        <v>235</v>
      </c>
      <c r="D408" s="315" t="s">
        <v>236</v>
      </c>
      <c r="E408" s="323" t="s">
        <v>1590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1591</v>
      </c>
      <c r="T408" s="323" t="s">
        <v>1592</v>
      </c>
      <c r="U408" s="323">
        <v>586457.28300000005</v>
      </c>
      <c r="V408" s="323">
        <v>2648749.003</v>
      </c>
      <c r="W408" s="323"/>
      <c r="X408" s="315" t="s">
        <v>1512</v>
      </c>
      <c r="Y408" s="315" t="s">
        <v>1512</v>
      </c>
      <c r="Z408" s="322" t="s">
        <v>1513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1514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964</v>
      </c>
      <c r="C410" s="323" t="s">
        <v>237</v>
      </c>
      <c r="D410" s="315" t="s">
        <v>238</v>
      </c>
      <c r="E410" s="323" t="s">
        <v>964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1593</v>
      </c>
      <c r="T410" s="323" t="s">
        <v>1594</v>
      </c>
      <c r="U410" s="323">
        <v>586865.07400000002</v>
      </c>
      <c r="V410" s="323">
        <v>2648556.3689999999</v>
      </c>
      <c r="W410" s="323"/>
      <c r="X410" s="315" t="s">
        <v>1512</v>
      </c>
      <c r="Y410" s="315" t="s">
        <v>1512</v>
      </c>
      <c r="Z410" s="322" t="s">
        <v>1513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1514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964</v>
      </c>
      <c r="C412" s="323" t="s">
        <v>239</v>
      </c>
      <c r="D412" s="315" t="s">
        <v>33</v>
      </c>
      <c r="E412" s="323" t="s">
        <v>964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1595</v>
      </c>
      <c r="T412" s="323" t="s">
        <v>1596</v>
      </c>
      <c r="U412" s="323">
        <v>587244.83499999996</v>
      </c>
      <c r="V412" s="323">
        <v>2648376.977</v>
      </c>
      <c r="W412" s="323"/>
      <c r="X412" s="315" t="s">
        <v>1512</v>
      </c>
      <c r="Y412" s="315" t="s">
        <v>1512</v>
      </c>
      <c r="Z412" s="322" t="s">
        <v>1513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1029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964</v>
      </c>
      <c r="C414" s="331" t="s">
        <v>240</v>
      </c>
      <c r="D414" s="332" t="s">
        <v>31</v>
      </c>
      <c r="E414" s="331" t="s">
        <v>964</v>
      </c>
      <c r="F414" s="331"/>
      <c r="G414" s="331" t="s">
        <v>964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1597</v>
      </c>
      <c r="T414" s="331" t="s">
        <v>1598</v>
      </c>
      <c r="U414" s="331">
        <v>587622.78700000001</v>
      </c>
      <c r="V414" s="331">
        <v>2648198.4380000001</v>
      </c>
      <c r="W414" s="331"/>
      <c r="X414" s="315" t="s">
        <v>1512</v>
      </c>
      <c r="Y414" s="315" t="s">
        <v>1512</v>
      </c>
      <c r="Z414" s="335" t="s">
        <v>1513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1026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1599</v>
      </c>
      <c r="C416" s="315" t="s">
        <v>241</v>
      </c>
      <c r="D416" s="315" t="s">
        <v>18</v>
      </c>
      <c r="E416" s="315" t="s">
        <v>1600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2008</v>
      </c>
      <c r="T416" s="315" t="s">
        <v>2009</v>
      </c>
      <c r="U416" s="318">
        <v>587938.36399999994</v>
      </c>
      <c r="V416" s="318">
        <v>2648049.3650000002</v>
      </c>
      <c r="W416" s="320"/>
      <c r="X416" s="315" t="s">
        <v>1512</v>
      </c>
      <c r="Y416" s="315" t="s">
        <v>1512</v>
      </c>
      <c r="Z416" s="335" t="s">
        <v>1513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1601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964</v>
      </c>
      <c r="C418" s="315" t="s">
        <v>242</v>
      </c>
      <c r="D418" s="315" t="s">
        <v>23</v>
      </c>
      <c r="E418" s="315" t="s">
        <v>964</v>
      </c>
      <c r="F418" s="363"/>
      <c r="G418" s="315" t="s">
        <v>964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2010</v>
      </c>
      <c r="T418" s="315" t="s">
        <v>2011</v>
      </c>
      <c r="U418" s="318">
        <v>588215.74399999995</v>
      </c>
      <c r="V418" s="318">
        <v>2647751.5240000002</v>
      </c>
      <c r="W418" s="320"/>
      <c r="X418" s="315" t="s">
        <v>1602</v>
      </c>
      <c r="Y418" s="315" t="s">
        <v>1512</v>
      </c>
      <c r="Z418" s="335" t="s">
        <v>1513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964</v>
      </c>
      <c r="C420" s="315" t="s">
        <v>243</v>
      </c>
      <c r="D420" s="315" t="s">
        <v>31</v>
      </c>
      <c r="E420" s="315" t="s">
        <v>964</v>
      </c>
      <c r="F420" s="363"/>
      <c r="G420" s="315" t="s">
        <v>964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2012</v>
      </c>
      <c r="T420" s="315" t="s">
        <v>2013</v>
      </c>
      <c r="U420" s="318">
        <v>588435.87600000005</v>
      </c>
      <c r="V420" s="318">
        <v>2647515.1529999999</v>
      </c>
      <c r="W420" s="320"/>
      <c r="X420" s="315" t="s">
        <v>1602</v>
      </c>
      <c r="Y420" s="315" t="s">
        <v>1512</v>
      </c>
      <c r="Z420" s="335" t="s">
        <v>1513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1603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964</v>
      </c>
      <c r="C422" s="315" t="s">
        <v>244</v>
      </c>
      <c r="D422" s="315" t="s">
        <v>31</v>
      </c>
      <c r="E422" s="315" t="s">
        <v>964</v>
      </c>
      <c r="F422" s="363"/>
      <c r="G422" s="315" t="s">
        <v>964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2014</v>
      </c>
      <c r="T422" s="315" t="s">
        <v>2015</v>
      </c>
      <c r="U422" s="318">
        <v>588721.43400000001</v>
      </c>
      <c r="V422" s="318">
        <v>2647208.531</v>
      </c>
      <c r="W422" s="320"/>
      <c r="X422" s="315" t="s">
        <v>1602</v>
      </c>
      <c r="Y422" s="315" t="s">
        <v>1512</v>
      </c>
      <c r="Z422" s="335" t="s">
        <v>1513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1604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964</v>
      </c>
      <c r="C424" s="315" t="s">
        <v>245</v>
      </c>
      <c r="D424" s="315" t="s">
        <v>35</v>
      </c>
      <c r="E424" s="315" t="s">
        <v>964</v>
      </c>
      <c r="F424" s="316"/>
      <c r="G424" s="315" t="s">
        <v>964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2016</v>
      </c>
      <c r="T424" s="315" t="s">
        <v>2017</v>
      </c>
      <c r="U424" s="318">
        <v>588995.40599999996</v>
      </c>
      <c r="V424" s="318">
        <v>2646914.3480000002</v>
      </c>
      <c r="W424" s="320"/>
      <c r="X424" s="315" t="s">
        <v>1605</v>
      </c>
      <c r="Y424" s="315" t="s">
        <v>1512</v>
      </c>
      <c r="Z424" s="335" t="s">
        <v>1513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1606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1607</v>
      </c>
      <c r="C426" s="315" t="s">
        <v>246</v>
      </c>
      <c r="D426" s="315" t="s">
        <v>40</v>
      </c>
      <c r="E426" s="315" t="s">
        <v>1608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2018</v>
      </c>
      <c r="T426" s="315" t="s">
        <v>2019</v>
      </c>
      <c r="U426" s="318">
        <v>589269.58700000006</v>
      </c>
      <c r="V426" s="318">
        <v>2646619.9419999998</v>
      </c>
      <c r="W426" s="320"/>
      <c r="X426" s="315" t="s">
        <v>1609</v>
      </c>
      <c r="Y426" s="315" t="s">
        <v>1512</v>
      </c>
      <c r="Z426" s="335" t="s">
        <v>1513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1610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964</v>
      </c>
      <c r="C428" s="315" t="s">
        <v>247</v>
      </c>
      <c r="D428" s="315" t="s">
        <v>35</v>
      </c>
      <c r="E428" s="315" t="s">
        <v>964</v>
      </c>
      <c r="F428" s="363"/>
      <c r="G428" s="315" t="s">
        <v>964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2020</v>
      </c>
      <c r="T428" s="315" t="s">
        <v>2021</v>
      </c>
      <c r="U428" s="318">
        <v>589652.54</v>
      </c>
      <c r="V428" s="318">
        <v>2646457.4509999999</v>
      </c>
      <c r="W428" s="366" t="s">
        <v>1611</v>
      </c>
      <c r="X428" s="315" t="s">
        <v>1609</v>
      </c>
      <c r="Y428" s="315" t="s">
        <v>1512</v>
      </c>
      <c r="Z428" s="335" t="s">
        <v>1513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1612</v>
      </c>
      <c r="C430" s="315" t="s">
        <v>248</v>
      </c>
      <c r="D430" s="315" t="s">
        <v>115</v>
      </c>
      <c r="E430" s="315" t="s">
        <v>1613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2022</v>
      </c>
      <c r="T430" s="315" t="s">
        <v>2023</v>
      </c>
      <c r="U430" s="318">
        <v>590038.02599999995</v>
      </c>
      <c r="V430" s="318">
        <v>2646293.8859999999</v>
      </c>
      <c r="W430" s="366"/>
      <c r="X430" s="315" t="s">
        <v>1512</v>
      </c>
      <c r="Y430" s="315" t="s">
        <v>1512</v>
      </c>
      <c r="Z430" s="335" t="s">
        <v>1513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964</v>
      </c>
      <c r="C432" s="315" t="s">
        <v>249</v>
      </c>
      <c r="D432" s="315" t="s">
        <v>35</v>
      </c>
      <c r="E432" s="315" t="s">
        <v>964</v>
      </c>
      <c r="F432" s="363"/>
      <c r="G432" s="315" t="s">
        <v>964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2024</v>
      </c>
      <c r="T432" s="315" t="s">
        <v>2025</v>
      </c>
      <c r="U432" s="318">
        <v>590411.35600000003</v>
      </c>
      <c r="V432" s="318">
        <v>2646346.3650000002</v>
      </c>
      <c r="W432" s="366" t="s">
        <v>1611</v>
      </c>
      <c r="X432" s="315" t="s">
        <v>1512</v>
      </c>
      <c r="Y432" s="315" t="s">
        <v>1512</v>
      </c>
      <c r="Z432" s="335" t="s">
        <v>1513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964</v>
      </c>
      <c r="C434" s="315" t="s">
        <v>250</v>
      </c>
      <c r="D434" s="315" t="s">
        <v>33</v>
      </c>
      <c r="E434" s="315" t="s">
        <v>964</v>
      </c>
      <c r="F434" s="363"/>
      <c r="G434" s="315" t="s">
        <v>964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2026</v>
      </c>
      <c r="T434" s="315" t="s">
        <v>2027</v>
      </c>
      <c r="U434" s="318">
        <v>590847.07200000004</v>
      </c>
      <c r="V434" s="318">
        <v>2646407.6129999999</v>
      </c>
      <c r="W434" s="320"/>
      <c r="X434" s="315" t="s">
        <v>1614</v>
      </c>
      <c r="Y434" s="315" t="s">
        <v>1512</v>
      </c>
      <c r="Z434" s="335" t="s">
        <v>1513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1615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1616</v>
      </c>
      <c r="C436" s="315" t="s">
        <v>251</v>
      </c>
      <c r="D436" s="315" t="s">
        <v>18</v>
      </c>
      <c r="E436" s="315" t="s">
        <v>1617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2028</v>
      </c>
      <c r="T436" s="315" t="s">
        <v>2029</v>
      </c>
      <c r="U436" s="318">
        <v>591243.45499999996</v>
      </c>
      <c r="V436" s="318">
        <v>2646463.3330000001</v>
      </c>
      <c r="W436" s="320"/>
      <c r="X436" s="315" t="s">
        <v>1614</v>
      </c>
      <c r="Y436" s="315" t="s">
        <v>1512</v>
      </c>
      <c r="Z436" s="335" t="s">
        <v>1513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964</v>
      </c>
      <c r="C438" s="315" t="s">
        <v>252</v>
      </c>
      <c r="D438" s="315" t="s">
        <v>33</v>
      </c>
      <c r="E438" s="315" t="s">
        <v>964</v>
      </c>
      <c r="F438" s="363"/>
      <c r="G438" s="315" t="s">
        <v>964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2030</v>
      </c>
      <c r="T438" s="315" t="s">
        <v>2031</v>
      </c>
      <c r="U438" s="318">
        <v>591626.31299999997</v>
      </c>
      <c r="V438" s="318">
        <v>2646414.1860000002</v>
      </c>
      <c r="W438" s="320"/>
      <c r="X438" s="315" t="s">
        <v>1614</v>
      </c>
      <c r="Y438" s="315" t="s">
        <v>1512</v>
      </c>
      <c r="Z438" s="335" t="s">
        <v>1513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1091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964</v>
      </c>
      <c r="C440" s="315" t="s">
        <v>253</v>
      </c>
      <c r="D440" s="315" t="s">
        <v>23</v>
      </c>
      <c r="E440" s="315" t="s">
        <v>964</v>
      </c>
      <c r="F440" s="363"/>
      <c r="G440" s="315" t="s">
        <v>964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2032</v>
      </c>
      <c r="T440" s="315" t="s">
        <v>2033</v>
      </c>
      <c r="U440" s="318">
        <v>592042.89500000002</v>
      </c>
      <c r="V440" s="318">
        <v>2646360.71</v>
      </c>
      <c r="W440" s="320"/>
      <c r="X440" s="315" t="s">
        <v>1614</v>
      </c>
      <c r="Y440" s="315" t="s">
        <v>1512</v>
      </c>
      <c r="Z440" s="335" t="s">
        <v>1513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1061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964</v>
      </c>
      <c r="C442" s="315" t="s">
        <v>254</v>
      </c>
      <c r="D442" s="315" t="s">
        <v>23</v>
      </c>
      <c r="E442" s="315" t="s">
        <v>964</v>
      </c>
      <c r="F442" s="363"/>
      <c r="G442" s="315" t="s">
        <v>964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2034</v>
      </c>
      <c r="T442" s="315" t="s">
        <v>2035</v>
      </c>
      <c r="U442" s="318">
        <v>592377.152</v>
      </c>
      <c r="V442" s="318">
        <v>2646317.8020000001</v>
      </c>
      <c r="W442" s="320"/>
      <c r="X442" s="315" t="s">
        <v>1614</v>
      </c>
      <c r="Y442" s="315" t="s">
        <v>1512</v>
      </c>
      <c r="Z442" s="335" t="s">
        <v>1513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1618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1619</v>
      </c>
      <c r="C444" s="315" t="s">
        <v>255</v>
      </c>
      <c r="D444" s="315" t="s">
        <v>182</v>
      </c>
      <c r="E444" s="315" t="s">
        <v>1620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2036</v>
      </c>
      <c r="T444" s="315" t="s">
        <v>2037</v>
      </c>
      <c r="U444" s="318">
        <v>592710.92599999998</v>
      </c>
      <c r="V444" s="318">
        <v>2646274.9559999998</v>
      </c>
      <c r="W444" s="320"/>
      <c r="X444" s="315" t="s">
        <v>1614</v>
      </c>
      <c r="Y444" s="315" t="s">
        <v>1512</v>
      </c>
      <c r="Z444" s="335" t="s">
        <v>1513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1061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964</v>
      </c>
      <c r="C446" s="323" t="s">
        <v>256</v>
      </c>
      <c r="D446" s="332" t="s">
        <v>31</v>
      </c>
      <c r="E446" s="331" t="s">
        <v>964</v>
      </c>
      <c r="F446" s="331"/>
      <c r="G446" s="331" t="s">
        <v>964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1621</v>
      </c>
      <c r="T446" s="331" t="s">
        <v>1622</v>
      </c>
      <c r="U446" s="331">
        <v>593091.10400000005</v>
      </c>
      <c r="V446" s="331">
        <v>2646116.1830000002</v>
      </c>
      <c r="W446" s="331"/>
      <c r="X446" s="315" t="s">
        <v>1623</v>
      </c>
      <c r="Y446" s="315" t="s">
        <v>1512</v>
      </c>
      <c r="Z446" s="335" t="s">
        <v>1513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1040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964</v>
      </c>
      <c r="C448" s="323" t="s">
        <v>257</v>
      </c>
      <c r="D448" s="332" t="s">
        <v>16</v>
      </c>
      <c r="E448" s="331" t="s">
        <v>964</v>
      </c>
      <c r="F448" s="331"/>
      <c r="G448" s="331" t="s">
        <v>964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1624</v>
      </c>
      <c r="T448" s="331" t="s">
        <v>1625</v>
      </c>
      <c r="U448" s="331">
        <v>593467.59100000001</v>
      </c>
      <c r="V448" s="331">
        <v>2645958.952</v>
      </c>
      <c r="W448" s="331"/>
      <c r="X448" s="315" t="s">
        <v>1623</v>
      </c>
      <c r="Y448" s="315" t="s">
        <v>1512</v>
      </c>
      <c r="Z448" s="335" t="s">
        <v>1513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1040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964</v>
      </c>
      <c r="C450" s="323" t="s">
        <v>258</v>
      </c>
      <c r="D450" s="332" t="s">
        <v>31</v>
      </c>
      <c r="E450" s="331" t="s">
        <v>964</v>
      </c>
      <c r="F450" s="331"/>
      <c r="G450" s="331" t="s">
        <v>964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1626</v>
      </c>
      <c r="T450" s="331" t="s">
        <v>1627</v>
      </c>
      <c r="U450" s="331">
        <v>593848.69200000004</v>
      </c>
      <c r="V450" s="331">
        <v>2645799.7940000002</v>
      </c>
      <c r="W450" s="331"/>
      <c r="X450" s="315" t="s">
        <v>1605</v>
      </c>
      <c r="Y450" s="315" t="s">
        <v>1512</v>
      </c>
      <c r="Z450" s="335" t="s">
        <v>1513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1077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964</v>
      </c>
      <c r="C452" s="323" t="s">
        <v>259</v>
      </c>
      <c r="D452" s="332" t="s">
        <v>33</v>
      </c>
      <c r="E452" s="331" t="s">
        <v>964</v>
      </c>
      <c r="F452" s="331"/>
      <c r="G452" s="331" t="s">
        <v>964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1628</v>
      </c>
      <c r="T452" s="331" t="s">
        <v>1629</v>
      </c>
      <c r="U452" s="331">
        <v>594227.02399999998</v>
      </c>
      <c r="V452" s="331">
        <v>2645641.7919999999</v>
      </c>
      <c r="W452" s="331"/>
      <c r="X452" s="315" t="s">
        <v>1605</v>
      </c>
      <c r="Y452" s="315" t="s">
        <v>1512</v>
      </c>
      <c r="Z452" s="335" t="s">
        <v>1513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1061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964</v>
      </c>
      <c r="C454" s="323" t="s">
        <v>260</v>
      </c>
      <c r="D454" s="332" t="s">
        <v>33</v>
      </c>
      <c r="E454" s="331" t="s">
        <v>964</v>
      </c>
      <c r="F454" s="331"/>
      <c r="G454" s="331" t="s">
        <v>964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1630</v>
      </c>
      <c r="T454" s="331" t="s">
        <v>1631</v>
      </c>
      <c r="U454" s="331">
        <v>594601.66500000004</v>
      </c>
      <c r="V454" s="331">
        <v>2645485.3319999999</v>
      </c>
      <c r="W454" s="331"/>
      <c r="X454" s="315" t="s">
        <v>1605</v>
      </c>
      <c r="Y454" s="315" t="s">
        <v>1512</v>
      </c>
      <c r="Z454" s="335" t="s">
        <v>1513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1077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964</v>
      </c>
      <c r="C456" s="323" t="s">
        <v>261</v>
      </c>
      <c r="D456" s="332" t="s">
        <v>33</v>
      </c>
      <c r="E456" s="331" t="s">
        <v>964</v>
      </c>
      <c r="F456" s="331"/>
      <c r="G456" s="331" t="s">
        <v>964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1632</v>
      </c>
      <c r="T456" s="331" t="s">
        <v>1633</v>
      </c>
      <c r="U456" s="331">
        <v>594980.92000000004</v>
      </c>
      <c r="V456" s="331">
        <v>2645326.9449999998</v>
      </c>
      <c r="W456" s="331"/>
      <c r="X456" s="315" t="s">
        <v>1605</v>
      </c>
      <c r="Y456" s="315" t="s">
        <v>1512</v>
      </c>
      <c r="Z456" s="335" t="s">
        <v>1513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1061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964</v>
      </c>
      <c r="C458" s="323" t="s">
        <v>262</v>
      </c>
      <c r="D458" s="332" t="s">
        <v>31</v>
      </c>
      <c r="E458" s="331" t="s">
        <v>964</v>
      </c>
      <c r="F458" s="331"/>
      <c r="G458" s="331" t="s">
        <v>964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1634</v>
      </c>
      <c r="T458" s="331" t="s">
        <v>1635</v>
      </c>
      <c r="U458" s="331">
        <v>595324.18799999997</v>
      </c>
      <c r="V458" s="331">
        <v>2645183.5869999998</v>
      </c>
      <c r="W458" s="331"/>
      <c r="X458" s="315" t="s">
        <v>1605</v>
      </c>
      <c r="Y458" s="315" t="s">
        <v>1512</v>
      </c>
      <c r="Z458" s="335" t="s">
        <v>1513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1026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964</v>
      </c>
      <c r="C460" s="323" t="s">
        <v>263</v>
      </c>
      <c r="D460" s="332" t="s">
        <v>31</v>
      </c>
      <c r="E460" s="331" t="s">
        <v>964</v>
      </c>
      <c r="F460" s="331"/>
      <c r="G460" s="331" t="s">
        <v>964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1636</v>
      </c>
      <c r="T460" s="331" t="s">
        <v>1637</v>
      </c>
      <c r="U460" s="331">
        <v>595680.37399999995</v>
      </c>
      <c r="V460" s="331">
        <v>2645034.8339999998</v>
      </c>
      <c r="W460" s="331"/>
      <c r="X460" s="315" t="s">
        <v>1605</v>
      </c>
      <c r="Y460" s="315" t="s">
        <v>1512</v>
      </c>
      <c r="Z460" s="335" t="s">
        <v>1513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1029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964</v>
      </c>
      <c r="C462" s="323" t="s">
        <v>264</v>
      </c>
      <c r="D462" s="332" t="s">
        <v>31</v>
      </c>
      <c r="E462" s="331" t="s">
        <v>964</v>
      </c>
      <c r="F462" s="331"/>
      <c r="G462" s="331" t="s">
        <v>964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1638</v>
      </c>
      <c r="T462" s="331" t="s">
        <v>1639</v>
      </c>
      <c r="U462" s="331">
        <v>596021.79599999997</v>
      </c>
      <c r="V462" s="331">
        <v>2644892.247</v>
      </c>
      <c r="W462" s="331"/>
      <c r="X462" s="315" t="s">
        <v>1605</v>
      </c>
      <c r="Y462" s="315" t="s">
        <v>1512</v>
      </c>
      <c r="Z462" s="335" t="s">
        <v>1513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1026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964</v>
      </c>
      <c r="C464" s="323" t="s">
        <v>265</v>
      </c>
      <c r="D464" s="332" t="s">
        <v>33</v>
      </c>
      <c r="E464" s="331" t="s">
        <v>964</v>
      </c>
      <c r="F464" s="331"/>
      <c r="G464" s="331" t="s">
        <v>964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1640</v>
      </c>
      <c r="T464" s="331" t="s">
        <v>1641</v>
      </c>
      <c r="U464" s="331">
        <v>596374.29099999997</v>
      </c>
      <c r="V464" s="331">
        <v>2644745.0359999998</v>
      </c>
      <c r="W464" s="331"/>
      <c r="X464" s="315" t="s">
        <v>1605</v>
      </c>
      <c r="Y464" s="315" t="s">
        <v>1512</v>
      </c>
      <c r="Z464" s="335" t="s">
        <v>1513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1061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964</v>
      </c>
      <c r="C466" s="323" t="s">
        <v>266</v>
      </c>
      <c r="D466" s="332" t="s">
        <v>16</v>
      </c>
      <c r="E466" s="331" t="s">
        <v>964</v>
      </c>
      <c r="F466" s="331"/>
      <c r="G466" s="331" t="s">
        <v>964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1642</v>
      </c>
      <c r="T466" s="331" t="s">
        <v>1643</v>
      </c>
      <c r="U466" s="331">
        <v>596728.63199999998</v>
      </c>
      <c r="V466" s="331">
        <v>2644597.0529999998</v>
      </c>
      <c r="W466" s="331"/>
      <c r="X466" s="315" t="s">
        <v>1644</v>
      </c>
      <c r="Y466" s="315" t="s">
        <v>1645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1026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1646</v>
      </c>
      <c r="C468" s="315" t="s">
        <v>267</v>
      </c>
      <c r="D468" s="332" t="s">
        <v>28</v>
      </c>
      <c r="E468" s="332" t="s">
        <v>1647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1648</v>
      </c>
      <c r="T468" s="332" t="s">
        <v>1649</v>
      </c>
      <c r="U468" s="333">
        <v>597081.15300000005</v>
      </c>
      <c r="V468" s="333">
        <v>2644449.8309999998</v>
      </c>
      <c r="W468" s="334"/>
      <c r="X468" s="315" t="s">
        <v>1644</v>
      </c>
      <c r="Y468" s="315" t="s">
        <v>1645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1650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964</v>
      </c>
      <c r="C470" s="332" t="s">
        <v>268</v>
      </c>
      <c r="D470" s="332" t="s">
        <v>31</v>
      </c>
      <c r="E470" s="332" t="s">
        <v>964</v>
      </c>
      <c r="F470" s="362"/>
      <c r="G470" s="332" t="s">
        <v>964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1651</v>
      </c>
      <c r="T470" s="332" t="s">
        <v>1652</v>
      </c>
      <c r="U470" s="333">
        <v>597422.68700000003</v>
      </c>
      <c r="V470" s="333">
        <v>2644345.89</v>
      </c>
      <c r="W470" s="334"/>
      <c r="X470" s="315" t="s">
        <v>1644</v>
      </c>
      <c r="Y470" s="315" t="s">
        <v>1645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1653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964</v>
      </c>
      <c r="C472" s="332" t="s">
        <v>269</v>
      </c>
      <c r="D472" s="332" t="s">
        <v>14</v>
      </c>
      <c r="E472" s="332" t="s">
        <v>964</v>
      </c>
      <c r="F472" s="362"/>
      <c r="G472" s="332" t="s">
        <v>964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1654</v>
      </c>
      <c r="T472" s="332" t="s">
        <v>1655</v>
      </c>
      <c r="U472" s="333">
        <v>597758.48</v>
      </c>
      <c r="V472" s="333">
        <v>2644243.696</v>
      </c>
      <c r="W472" s="334"/>
      <c r="X472" s="315" t="s">
        <v>1644</v>
      </c>
      <c r="Y472" s="315" t="s">
        <v>1645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1656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964</v>
      </c>
      <c r="C474" s="332" t="s">
        <v>270</v>
      </c>
      <c r="D474" s="332" t="s">
        <v>33</v>
      </c>
      <c r="E474" s="332" t="s">
        <v>964</v>
      </c>
      <c r="F474" s="362"/>
      <c r="G474" s="332" t="s">
        <v>964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1657</v>
      </c>
      <c r="T474" s="332" t="s">
        <v>1658</v>
      </c>
      <c r="U474" s="333">
        <v>598153.58799999999</v>
      </c>
      <c r="V474" s="333">
        <v>2644123.4509999999</v>
      </c>
      <c r="W474" s="334"/>
      <c r="X474" s="315" t="s">
        <v>1644</v>
      </c>
      <c r="Y474" s="315" t="s">
        <v>1645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1659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964</v>
      </c>
      <c r="C476" s="332" t="s">
        <v>271</v>
      </c>
      <c r="D476" s="332" t="s">
        <v>14</v>
      </c>
      <c r="E476" s="332" t="s">
        <v>964</v>
      </c>
      <c r="F476" s="362"/>
      <c r="G476" s="332" t="s">
        <v>964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1660</v>
      </c>
      <c r="T476" s="332" t="s">
        <v>1661</v>
      </c>
      <c r="U476" s="333">
        <v>598558.26199999999</v>
      </c>
      <c r="V476" s="333">
        <v>2644000.2940000002</v>
      </c>
      <c r="W476" s="334"/>
      <c r="X476" s="315" t="s">
        <v>1644</v>
      </c>
      <c r="Y476" s="315" t="s">
        <v>1645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1662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964</v>
      </c>
      <c r="C478" s="332" t="s">
        <v>272</v>
      </c>
      <c r="D478" s="332" t="s">
        <v>31</v>
      </c>
      <c r="E478" s="332" t="s">
        <v>964</v>
      </c>
      <c r="F478" s="362"/>
      <c r="G478" s="332" t="s">
        <v>964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1663</v>
      </c>
      <c r="T478" s="332" t="s">
        <v>1664</v>
      </c>
      <c r="U478" s="333">
        <v>598931.36699999997</v>
      </c>
      <c r="V478" s="333">
        <v>2643886.7450000001</v>
      </c>
      <c r="W478" s="334"/>
      <c r="X478" s="315" t="s">
        <v>1644</v>
      </c>
      <c r="Y478" s="315" t="s">
        <v>1645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964</v>
      </c>
      <c r="C480" s="332" t="s">
        <v>273</v>
      </c>
      <c r="D480" s="332" t="s">
        <v>33</v>
      </c>
      <c r="E480" s="332" t="s">
        <v>964</v>
      </c>
      <c r="F480" s="362"/>
      <c r="G480" s="332" t="s">
        <v>964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1665</v>
      </c>
      <c r="T480" s="332" t="s">
        <v>1666</v>
      </c>
      <c r="U480" s="333">
        <v>599319.777</v>
      </c>
      <c r="V480" s="333">
        <v>2643768.5380000002</v>
      </c>
      <c r="W480" s="334"/>
      <c r="X480" s="315" t="s">
        <v>1644</v>
      </c>
      <c r="Y480" s="315" t="s">
        <v>1645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1667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964</v>
      </c>
      <c r="C482" s="332" t="s">
        <v>274</v>
      </c>
      <c r="D482" s="332" t="s">
        <v>14</v>
      </c>
      <c r="E482" s="332" t="s">
        <v>964</v>
      </c>
      <c r="F482" s="362"/>
      <c r="G482" s="332" t="s">
        <v>964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1668</v>
      </c>
      <c r="T482" s="332" t="s">
        <v>1669</v>
      </c>
      <c r="U482" s="333">
        <v>599692.88199999998</v>
      </c>
      <c r="V482" s="333">
        <v>2643654.9890000001</v>
      </c>
      <c r="W482" s="341" t="s">
        <v>1175</v>
      </c>
      <c r="X482" s="315" t="s">
        <v>1670</v>
      </c>
      <c r="Y482" s="315" t="s">
        <v>1645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976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964</v>
      </c>
      <c r="C484" s="332" t="s">
        <v>275</v>
      </c>
      <c r="D484" s="332" t="s">
        <v>31</v>
      </c>
      <c r="E484" s="332" t="s">
        <v>964</v>
      </c>
      <c r="F484" s="362"/>
      <c r="G484" s="332" t="s">
        <v>964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1671</v>
      </c>
      <c r="T484" s="332" t="s">
        <v>1672</v>
      </c>
      <c r="U484" s="333">
        <v>600068.85600000003</v>
      </c>
      <c r="V484" s="333">
        <v>2643540.5669999998</v>
      </c>
      <c r="W484" s="334"/>
      <c r="X484" s="315" t="s">
        <v>1670</v>
      </c>
      <c r="Y484" s="315" t="s">
        <v>1645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1673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964</v>
      </c>
      <c r="C486" s="332" t="s">
        <v>276</v>
      </c>
      <c r="D486" s="332" t="s">
        <v>33</v>
      </c>
      <c r="E486" s="332" t="s">
        <v>964</v>
      </c>
      <c r="F486" s="362"/>
      <c r="G486" s="332" t="s">
        <v>964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1674</v>
      </c>
      <c r="T486" s="332" t="s">
        <v>1675</v>
      </c>
      <c r="U486" s="333">
        <v>600476.4</v>
      </c>
      <c r="V486" s="333">
        <v>2643416.5359999998</v>
      </c>
      <c r="W486" s="334"/>
      <c r="X486" s="315" t="s">
        <v>1676</v>
      </c>
      <c r="Y486" s="315" t="s">
        <v>1645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1677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1678</v>
      </c>
      <c r="C488" s="332" t="s">
        <v>277</v>
      </c>
      <c r="D488" s="332" t="s">
        <v>28</v>
      </c>
      <c r="E488" s="332" t="s">
        <v>1679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1680</v>
      </c>
      <c r="T488" s="332" t="s">
        <v>1681</v>
      </c>
      <c r="U488" s="333">
        <v>600865.78399999999</v>
      </c>
      <c r="V488" s="333">
        <v>2643298.0329999998</v>
      </c>
      <c r="W488" s="334"/>
      <c r="X488" s="315" t="s">
        <v>1676</v>
      </c>
      <c r="Y488" s="315" t="s">
        <v>1645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1682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964</v>
      </c>
      <c r="C490" s="332" t="s">
        <v>278</v>
      </c>
      <c r="D490" s="332" t="s">
        <v>16</v>
      </c>
      <c r="E490" s="332" t="s">
        <v>964</v>
      </c>
      <c r="F490" s="362"/>
      <c r="G490" s="362" t="s">
        <v>964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1683</v>
      </c>
      <c r="T490" s="332" t="s">
        <v>1684</v>
      </c>
      <c r="U490" s="333">
        <v>601239.1</v>
      </c>
      <c r="V490" s="333">
        <v>2643143.594</v>
      </c>
      <c r="W490" s="334"/>
      <c r="X490" s="315" t="s">
        <v>1676</v>
      </c>
      <c r="Y490" s="315" t="s">
        <v>1645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976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964</v>
      </c>
      <c r="C492" s="332" t="s">
        <v>279</v>
      </c>
      <c r="D492" s="332" t="s">
        <v>31</v>
      </c>
      <c r="E492" s="332" t="s">
        <v>964</v>
      </c>
      <c r="F492" s="362"/>
      <c r="G492" s="362" t="s">
        <v>964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1685</v>
      </c>
      <c r="T492" s="332" t="s">
        <v>1686</v>
      </c>
      <c r="U492" s="333">
        <v>601625.35199999996</v>
      </c>
      <c r="V492" s="333">
        <v>2642983.804</v>
      </c>
      <c r="W492" s="334"/>
      <c r="X492" s="315" t="s">
        <v>1676</v>
      </c>
      <c r="Y492" s="315" t="s">
        <v>1645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1687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964</v>
      </c>
      <c r="C494" s="332" t="s">
        <v>280</v>
      </c>
      <c r="D494" s="332" t="s">
        <v>33</v>
      </c>
      <c r="E494" s="332" t="s">
        <v>964</v>
      </c>
      <c r="F494" s="362"/>
      <c r="G494" s="362" t="s">
        <v>964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1688</v>
      </c>
      <c r="T494" s="332" t="s">
        <v>1689</v>
      </c>
      <c r="U494" s="333">
        <v>602006.98499999999</v>
      </c>
      <c r="V494" s="333">
        <v>2642825.9249999998</v>
      </c>
      <c r="W494" s="334"/>
      <c r="X494" s="315" t="s">
        <v>1676</v>
      </c>
      <c r="Y494" s="315" t="s">
        <v>1645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1690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964</v>
      </c>
      <c r="C496" s="332" t="s">
        <v>281</v>
      </c>
      <c r="D496" s="332" t="s">
        <v>31</v>
      </c>
      <c r="E496" s="332" t="s">
        <v>964</v>
      </c>
      <c r="F496" s="362"/>
      <c r="G496" s="362" t="s">
        <v>964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1691</v>
      </c>
      <c r="T496" s="332" t="s">
        <v>1692</v>
      </c>
      <c r="U496" s="333">
        <v>602385.84499999997</v>
      </c>
      <c r="V496" s="333">
        <v>2642669.1919999998</v>
      </c>
      <c r="W496" s="334"/>
      <c r="X496" s="315" t="s">
        <v>1676</v>
      </c>
      <c r="Y496" s="315" t="s">
        <v>1645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1216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964</v>
      </c>
      <c r="C498" s="332" t="s">
        <v>282</v>
      </c>
      <c r="D498" s="332" t="s">
        <v>31</v>
      </c>
      <c r="E498" s="332" t="s">
        <v>964</v>
      </c>
      <c r="F498" s="362"/>
      <c r="G498" s="362" t="s">
        <v>964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1693</v>
      </c>
      <c r="T498" s="332" t="s">
        <v>1694</v>
      </c>
      <c r="U498" s="333">
        <v>602779.49</v>
      </c>
      <c r="V498" s="333">
        <v>2642506.344</v>
      </c>
      <c r="W498" s="334"/>
      <c r="X498" s="315" t="s">
        <v>1695</v>
      </c>
      <c r="Y498" s="315" t="s">
        <v>1645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1696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964</v>
      </c>
      <c r="C500" s="332" t="s">
        <v>283</v>
      </c>
      <c r="D500" s="332" t="s">
        <v>16</v>
      </c>
      <c r="E500" s="332" t="s">
        <v>964</v>
      </c>
      <c r="F500" s="362"/>
      <c r="G500" s="362" t="s">
        <v>964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1697</v>
      </c>
      <c r="R500" s="332">
        <v>358</v>
      </c>
      <c r="S500" s="332" t="s">
        <v>1698</v>
      </c>
      <c r="T500" s="332" t="s">
        <v>1699</v>
      </c>
      <c r="U500" s="333">
        <v>603146.33700000006</v>
      </c>
      <c r="V500" s="333">
        <v>2642354.5809999998</v>
      </c>
      <c r="W500" s="334"/>
      <c r="X500" s="315" t="s">
        <v>1700</v>
      </c>
      <c r="Y500" s="315" t="s">
        <v>1645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1403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1701</v>
      </c>
      <c r="C502" s="332" t="s">
        <v>284</v>
      </c>
      <c r="D502" s="332" t="s">
        <v>146</v>
      </c>
      <c r="E502" s="332" t="s">
        <v>1702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1703</v>
      </c>
      <c r="T502" s="332" t="s">
        <v>1704</v>
      </c>
      <c r="U502" s="333">
        <v>603519.99399999995</v>
      </c>
      <c r="V502" s="333">
        <v>2642200.0010000002</v>
      </c>
      <c r="W502" s="334"/>
      <c r="X502" s="315" t="s">
        <v>1700</v>
      </c>
      <c r="Y502" s="315" t="s">
        <v>1645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1705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1706</v>
      </c>
      <c r="C504" s="332" t="s">
        <v>285</v>
      </c>
      <c r="D504" s="332" t="s">
        <v>118</v>
      </c>
      <c r="E504" s="332" t="s">
        <v>1707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1708</v>
      </c>
      <c r="T504" s="332" t="s">
        <v>1709</v>
      </c>
      <c r="U504" s="333">
        <v>603743.63100000005</v>
      </c>
      <c r="V504" s="333">
        <v>2642190.9309999999</v>
      </c>
      <c r="W504" s="334"/>
      <c r="X504" s="315" t="s">
        <v>1700</v>
      </c>
      <c r="Y504" s="315" t="s">
        <v>1645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1216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964</v>
      </c>
      <c r="C506" s="332" t="s">
        <v>286</v>
      </c>
      <c r="D506" s="332" t="s">
        <v>31</v>
      </c>
      <c r="E506" s="332" t="s">
        <v>964</v>
      </c>
      <c r="F506" s="362"/>
      <c r="G506" s="362" t="s">
        <v>964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1710</v>
      </c>
      <c r="T506" s="332" t="s">
        <v>1711</v>
      </c>
      <c r="U506" s="333">
        <v>604093.49899999995</v>
      </c>
      <c r="V506" s="333">
        <v>2641954.9730000002</v>
      </c>
      <c r="W506" s="334"/>
      <c r="X506" s="315" t="s">
        <v>1700</v>
      </c>
      <c r="Y506" s="315" t="s">
        <v>1645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1712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964</v>
      </c>
      <c r="C508" s="332" t="s">
        <v>287</v>
      </c>
      <c r="D508" s="332" t="s">
        <v>23</v>
      </c>
      <c r="E508" s="332" t="s">
        <v>964</v>
      </c>
      <c r="F508" s="362"/>
      <c r="G508" s="362" t="s">
        <v>964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1713</v>
      </c>
      <c r="T508" s="332" t="s">
        <v>1714</v>
      </c>
      <c r="U508" s="333">
        <v>604377.87100000004</v>
      </c>
      <c r="V508" s="333">
        <v>2641763.1869999999</v>
      </c>
      <c r="W508" s="334"/>
      <c r="X508" s="315" t="s">
        <v>1700</v>
      </c>
      <c r="Y508" s="315" t="s">
        <v>1645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1253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964</v>
      </c>
      <c r="C510" s="332" t="s">
        <v>288</v>
      </c>
      <c r="D510" s="332" t="s">
        <v>23</v>
      </c>
      <c r="E510" s="332" t="s">
        <v>964</v>
      </c>
      <c r="F510" s="363"/>
      <c r="G510" s="362" t="s">
        <v>964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2038</v>
      </c>
      <c r="T510" s="332" t="s">
        <v>2039</v>
      </c>
      <c r="U510" s="332">
        <v>604676.33400000003</v>
      </c>
      <c r="V510" s="332">
        <v>2641561.8969999999</v>
      </c>
      <c r="W510" s="334"/>
      <c r="X510" s="315" t="s">
        <v>1715</v>
      </c>
      <c r="Y510" s="315" t="s">
        <v>1645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1716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1717</v>
      </c>
      <c r="C512" s="315" t="s">
        <v>289</v>
      </c>
      <c r="D512" s="315" t="s">
        <v>40</v>
      </c>
      <c r="E512" s="315" t="s">
        <v>1718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2040</v>
      </c>
      <c r="T512" s="315" t="s">
        <v>2041</v>
      </c>
      <c r="U512" s="318">
        <v>604957.95700000005</v>
      </c>
      <c r="V512" s="318">
        <v>2641371.9649999999</v>
      </c>
      <c r="W512" s="320"/>
      <c r="X512" s="315" t="s">
        <v>1715</v>
      </c>
      <c r="Y512" s="315" t="s">
        <v>1645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1719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964</v>
      </c>
      <c r="C514" s="315" t="s">
        <v>290</v>
      </c>
      <c r="D514" s="315" t="s">
        <v>35</v>
      </c>
      <c r="E514" s="315" t="s">
        <v>964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2042</v>
      </c>
      <c r="T514" s="315" t="s">
        <v>2043</v>
      </c>
      <c r="U514" s="318">
        <v>605361.56299999997</v>
      </c>
      <c r="V514" s="318">
        <v>2641305.7590000001</v>
      </c>
      <c r="W514" s="320"/>
      <c r="X514" s="315" t="s">
        <v>1715</v>
      </c>
      <c r="Y514" s="315" t="s">
        <v>1645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1008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1720</v>
      </c>
      <c r="C516" s="315" t="s">
        <v>291</v>
      </c>
      <c r="D516" s="315" t="s">
        <v>113</v>
      </c>
      <c r="E516" s="315" t="s">
        <v>1721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2044</v>
      </c>
      <c r="T516" s="315" t="s">
        <v>2045</v>
      </c>
      <c r="U516" s="318">
        <v>605747.46799999999</v>
      </c>
      <c r="V516" s="318">
        <v>2641242.4559999998</v>
      </c>
      <c r="W516" s="320"/>
      <c r="X516" s="315" t="s">
        <v>1715</v>
      </c>
      <c r="Y516" s="315" t="s">
        <v>1645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1722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1723</v>
      </c>
      <c r="C518" s="315" t="s">
        <v>292</v>
      </c>
      <c r="D518" s="315" t="s">
        <v>767</v>
      </c>
      <c r="E518" s="315" t="s">
        <v>1724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2046</v>
      </c>
      <c r="T518" s="315" t="s">
        <v>2047</v>
      </c>
      <c r="U518" s="318">
        <v>606109</v>
      </c>
      <c r="V518" s="318">
        <v>2641107</v>
      </c>
      <c r="W518" s="320"/>
      <c r="X518" s="315" t="s">
        <v>1725</v>
      </c>
      <c r="Y518" s="315" t="s">
        <v>1645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1726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1727</v>
      </c>
      <c r="C520" s="315" t="s">
        <v>391</v>
      </c>
      <c r="D520" s="315" t="s">
        <v>768</v>
      </c>
      <c r="E520" s="315" t="s">
        <v>1728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2048</v>
      </c>
      <c r="T520" s="315" t="s">
        <v>2049</v>
      </c>
      <c r="U520" s="318">
        <v>606446.73</v>
      </c>
      <c r="V520" s="318">
        <v>2640948.9389999998</v>
      </c>
      <c r="W520" s="320"/>
      <c r="X520" s="315" t="s">
        <v>1725</v>
      </c>
      <c r="Y520" s="315" t="s">
        <v>1645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1008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964</v>
      </c>
      <c r="C522" s="315" t="s">
        <v>392</v>
      </c>
      <c r="D522" s="315" t="s">
        <v>33</v>
      </c>
      <c r="E522" s="315" t="s">
        <v>964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2050</v>
      </c>
      <c r="T522" s="315" t="s">
        <v>2051</v>
      </c>
      <c r="U522" s="318">
        <v>606704.12</v>
      </c>
      <c r="V522" s="318">
        <v>2640737.6579999998</v>
      </c>
      <c r="W522" s="320"/>
      <c r="X522" s="315" t="s">
        <v>1725</v>
      </c>
      <c r="Y522" s="315" t="s">
        <v>1645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1729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1730</v>
      </c>
      <c r="C524" s="315" t="s">
        <v>293</v>
      </c>
      <c r="D524" s="315" t="s">
        <v>146</v>
      </c>
      <c r="E524" s="315" t="s">
        <v>1731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2052</v>
      </c>
      <c r="T524" s="315" t="s">
        <v>2053</v>
      </c>
      <c r="U524" s="318">
        <v>606980.17000000004</v>
      </c>
      <c r="V524" s="318">
        <v>2640511.06</v>
      </c>
      <c r="W524" s="320"/>
      <c r="X524" s="315" t="s">
        <v>1732</v>
      </c>
      <c r="Y524" s="315" t="s">
        <v>1645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1733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1734</v>
      </c>
      <c r="C526" s="315" t="s">
        <v>294</v>
      </c>
      <c r="D526" s="315" t="s">
        <v>172</v>
      </c>
      <c r="E526" s="315" t="s">
        <v>1735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1736</v>
      </c>
      <c r="T526" s="315" t="s">
        <v>1737</v>
      </c>
      <c r="U526" s="315">
        <v>607070.10199999996</v>
      </c>
      <c r="V526" s="315">
        <v>2640294.8459999999</v>
      </c>
      <c r="W526" s="366" t="s">
        <v>1738</v>
      </c>
      <c r="X526" s="315" t="s">
        <v>1732</v>
      </c>
      <c r="Y526" s="315" t="s">
        <v>1645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1739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964</v>
      </c>
      <c r="C528" s="315" t="s">
        <v>295</v>
      </c>
      <c r="D528" s="315" t="s">
        <v>16</v>
      </c>
      <c r="E528" s="315" t="s">
        <v>964</v>
      </c>
      <c r="F528" s="315"/>
      <c r="G528" s="315" t="s">
        <v>964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1740</v>
      </c>
      <c r="T528" s="315" t="s">
        <v>1741</v>
      </c>
      <c r="U528" s="315">
        <v>607403.304</v>
      </c>
      <c r="V528" s="315">
        <v>2640181.355</v>
      </c>
      <c r="W528" s="320"/>
      <c r="X528" s="315" t="s">
        <v>1732</v>
      </c>
      <c r="Y528" s="315" t="s">
        <v>1645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964</v>
      </c>
      <c r="C530" s="315" t="s">
        <v>296</v>
      </c>
      <c r="D530" s="315" t="s">
        <v>33</v>
      </c>
      <c r="E530" s="315" t="s">
        <v>964</v>
      </c>
      <c r="F530" s="315"/>
      <c r="G530" s="315" t="s">
        <v>964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1742</v>
      </c>
      <c r="T530" s="315" t="s">
        <v>1743</v>
      </c>
      <c r="U530" s="315">
        <v>607737.45299999998</v>
      </c>
      <c r="V530" s="315">
        <v>2640067.5410000002</v>
      </c>
      <c r="W530" s="369"/>
      <c r="X530" s="315" t="s">
        <v>1732</v>
      </c>
      <c r="Y530" s="315" t="s">
        <v>1645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1744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1745</v>
      </c>
      <c r="C532" s="315" t="s">
        <v>297</v>
      </c>
      <c r="D532" s="315" t="s">
        <v>154</v>
      </c>
      <c r="E532" s="315" t="s">
        <v>1746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1747</v>
      </c>
      <c r="T532" s="315" t="s">
        <v>1748</v>
      </c>
      <c r="U532" s="315">
        <v>608071.22900000005</v>
      </c>
      <c r="V532" s="315">
        <v>2639953.855</v>
      </c>
      <c r="W532" s="366" t="s">
        <v>1749</v>
      </c>
      <c r="X532" s="315" t="s">
        <v>1750</v>
      </c>
      <c r="Y532" s="315" t="s">
        <v>1645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1751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964</v>
      </c>
      <c r="C534" s="315" t="s">
        <v>298</v>
      </c>
      <c r="D534" s="315" t="s">
        <v>299</v>
      </c>
      <c r="E534" s="315" t="s">
        <v>964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1752</v>
      </c>
      <c r="T534" s="315" t="s">
        <v>1753</v>
      </c>
      <c r="U534" s="315">
        <v>608336.17000000004</v>
      </c>
      <c r="V534" s="315">
        <v>2639913.4789999998</v>
      </c>
      <c r="W534" s="366" t="s">
        <v>1749</v>
      </c>
      <c r="X534" s="315" t="s">
        <v>1750</v>
      </c>
      <c r="Y534" s="315" t="s">
        <v>1645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1754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964</v>
      </c>
      <c r="C536" s="315" t="s">
        <v>300</v>
      </c>
      <c r="D536" s="315" t="s">
        <v>390</v>
      </c>
      <c r="E536" s="315" t="s">
        <v>964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1755</v>
      </c>
      <c r="T536" s="315" t="s">
        <v>1756</v>
      </c>
      <c r="U536" s="315">
        <v>608638.67700000003</v>
      </c>
      <c r="V536" s="315">
        <v>2639867.3769999999</v>
      </c>
      <c r="W536" s="320"/>
      <c r="X536" s="315" t="s">
        <v>1750</v>
      </c>
      <c r="Y536" s="315" t="s">
        <v>1645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1205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964</v>
      </c>
      <c r="C538" s="315" t="s">
        <v>301</v>
      </c>
      <c r="D538" s="315" t="s">
        <v>23</v>
      </c>
      <c r="E538" s="315" t="s">
        <v>964</v>
      </c>
      <c r="F538" s="315"/>
      <c r="G538" s="315" t="s">
        <v>964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1757</v>
      </c>
      <c r="T538" s="315" t="s">
        <v>1758</v>
      </c>
      <c r="U538" s="315">
        <v>608932.28700000001</v>
      </c>
      <c r="V538" s="315">
        <v>2639822.6320000002</v>
      </c>
      <c r="W538" s="366" t="s">
        <v>1749</v>
      </c>
      <c r="X538" s="315" t="s">
        <v>1750</v>
      </c>
      <c r="Y538" s="315" t="s">
        <v>1645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1759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1760</v>
      </c>
      <c r="C540" s="315" t="s">
        <v>302</v>
      </c>
      <c r="D540" s="315" t="s">
        <v>61</v>
      </c>
      <c r="E540" s="315" t="s">
        <v>1761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1762</v>
      </c>
      <c r="T540" s="315" t="s">
        <v>1763</v>
      </c>
      <c r="U540" s="315">
        <v>609341.96</v>
      </c>
      <c r="V540" s="315">
        <v>2639760.199</v>
      </c>
      <c r="W540" s="366" t="s">
        <v>1749</v>
      </c>
      <c r="X540" s="315" t="s">
        <v>1750</v>
      </c>
      <c r="Y540" s="315" t="s">
        <v>1645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1764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964</v>
      </c>
      <c r="C542" s="315" t="s">
        <v>303</v>
      </c>
      <c r="D542" s="315" t="s">
        <v>238</v>
      </c>
      <c r="E542" s="315" t="s">
        <v>964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1765</v>
      </c>
      <c r="T542" s="315" t="s">
        <v>1766</v>
      </c>
      <c r="U542" s="315">
        <v>609659.03599999996</v>
      </c>
      <c r="V542" s="315">
        <v>2639661.7779999999</v>
      </c>
      <c r="W542" s="320"/>
      <c r="X542" s="315" t="s">
        <v>1750</v>
      </c>
      <c r="Y542" s="315" t="s">
        <v>1645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1008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964</v>
      </c>
      <c r="C544" s="315" t="s">
        <v>304</v>
      </c>
      <c r="D544" s="315" t="s">
        <v>35</v>
      </c>
      <c r="E544" s="315" t="s">
        <v>964</v>
      </c>
      <c r="F544" s="315"/>
      <c r="G544" s="315" t="s">
        <v>964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1767</v>
      </c>
      <c r="T544" s="315" t="s">
        <v>1768</v>
      </c>
      <c r="U544" s="315">
        <v>610050.60600000003</v>
      </c>
      <c r="V544" s="315">
        <v>2639540.233</v>
      </c>
      <c r="W544" s="320"/>
      <c r="X544" s="315" t="s">
        <v>1750</v>
      </c>
      <c r="Y544" s="315" t="s">
        <v>1645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1769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964</v>
      </c>
      <c r="C546" s="315" t="s">
        <v>305</v>
      </c>
      <c r="D546" s="315" t="s">
        <v>33</v>
      </c>
      <c r="E546" s="315" t="s">
        <v>964</v>
      </c>
      <c r="F546" s="315"/>
      <c r="G546" s="315" t="s">
        <v>964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1770</v>
      </c>
      <c r="T546" s="315" t="s">
        <v>1771</v>
      </c>
      <c r="U546" s="315">
        <v>610445.99600000004</v>
      </c>
      <c r="V546" s="315">
        <v>2639417.503</v>
      </c>
      <c r="W546" s="320"/>
      <c r="X546" s="315" t="s">
        <v>1750</v>
      </c>
      <c r="Y546" s="315" t="s">
        <v>1645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1772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964</v>
      </c>
      <c r="C548" s="315" t="s">
        <v>306</v>
      </c>
      <c r="D548" s="315" t="s">
        <v>31</v>
      </c>
      <c r="E548" s="315" t="s">
        <v>964</v>
      </c>
      <c r="F548" s="315"/>
      <c r="G548" s="315" t="s">
        <v>964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1773</v>
      </c>
      <c r="T548" s="315" t="s">
        <v>1774</v>
      </c>
      <c r="U548" s="315">
        <v>610834.701</v>
      </c>
      <c r="V548" s="315">
        <v>2639296.8470000001</v>
      </c>
      <c r="W548" s="320"/>
      <c r="X548" s="315" t="s">
        <v>1750</v>
      </c>
      <c r="Y548" s="315" t="s">
        <v>1645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1775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1776</v>
      </c>
      <c r="C550" s="315" t="s">
        <v>307</v>
      </c>
      <c r="D550" s="315" t="s">
        <v>234</v>
      </c>
      <c r="E550" s="315" t="s">
        <v>1777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1778</v>
      </c>
      <c r="T550" s="315" t="s">
        <v>1779</v>
      </c>
      <c r="U550" s="315">
        <v>611237.62</v>
      </c>
      <c r="V550" s="315">
        <v>2639171.7799999998</v>
      </c>
      <c r="W550" s="366" t="s">
        <v>2054</v>
      </c>
      <c r="X550" s="315" t="s">
        <v>1750</v>
      </c>
      <c r="Y550" s="315" t="s">
        <v>1645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1780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1781</v>
      </c>
      <c r="C552" s="332" t="s">
        <v>308</v>
      </c>
      <c r="D552" s="315" t="s">
        <v>164</v>
      </c>
      <c r="E552" s="332" t="s">
        <v>1782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1783</v>
      </c>
      <c r="T552" s="332" t="s">
        <v>1784</v>
      </c>
      <c r="U552" s="333">
        <v>611681.46400000004</v>
      </c>
      <c r="V552" s="333">
        <v>2638878.1260000002</v>
      </c>
      <c r="W552" s="339" t="s">
        <v>1175</v>
      </c>
      <c r="X552" s="315" t="s">
        <v>1750</v>
      </c>
      <c r="Y552" s="315" t="s">
        <v>1645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1785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964</v>
      </c>
      <c r="C554" s="332" t="s">
        <v>309</v>
      </c>
      <c r="D554" s="332" t="s">
        <v>20</v>
      </c>
      <c r="E554" s="332" t="s">
        <v>964</v>
      </c>
      <c r="F554" s="362"/>
      <c r="G554" s="332" t="s">
        <v>964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1946</v>
      </c>
      <c r="T554" s="315" t="s">
        <v>1947</v>
      </c>
      <c r="U554" s="318">
        <v>612091.07400000002</v>
      </c>
      <c r="V554" s="318">
        <v>2638811.4559999998</v>
      </c>
      <c r="W554" s="331"/>
      <c r="X554" s="315" t="s">
        <v>1786</v>
      </c>
      <c r="Y554" s="315" t="s">
        <v>1787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1788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1789</v>
      </c>
      <c r="C556" s="332" t="s">
        <v>310</v>
      </c>
      <c r="D556" s="315" t="s">
        <v>1948</v>
      </c>
      <c r="E556" s="332" t="s">
        <v>1790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1949</v>
      </c>
      <c r="T556" s="315" t="s">
        <v>1950</v>
      </c>
      <c r="U556" s="318">
        <v>612436.39</v>
      </c>
      <c r="V556" s="318">
        <v>2638755.25</v>
      </c>
      <c r="W556" s="331"/>
      <c r="X556" s="315" t="s">
        <v>1786</v>
      </c>
      <c r="Y556" s="315" t="s">
        <v>1787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1791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1792</v>
      </c>
      <c r="C558" s="332" t="s">
        <v>311</v>
      </c>
      <c r="D558" s="315" t="s">
        <v>156</v>
      </c>
      <c r="E558" s="332" t="s">
        <v>1793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1951</v>
      </c>
      <c r="T558" s="315" t="s">
        <v>1952</v>
      </c>
      <c r="U558" s="318">
        <v>612639.11</v>
      </c>
      <c r="V558" s="318">
        <v>2638610.64</v>
      </c>
      <c r="W558" s="331"/>
      <c r="X558" s="315" t="s">
        <v>1786</v>
      </c>
      <c r="Y558" s="315" t="s">
        <v>1787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1794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964</v>
      </c>
      <c r="C560" s="332" t="s">
        <v>312</v>
      </c>
      <c r="D560" s="332" t="s">
        <v>16</v>
      </c>
      <c r="E560" s="332" t="s">
        <v>964</v>
      </c>
      <c r="F560" s="362"/>
      <c r="G560" s="332" t="s">
        <v>964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1953</v>
      </c>
      <c r="T560" s="315" t="s">
        <v>1954</v>
      </c>
      <c r="U560" s="318">
        <v>612934.94799999997</v>
      </c>
      <c r="V560" s="318">
        <v>2638421.7450000001</v>
      </c>
      <c r="W560" s="331"/>
      <c r="X560" s="315" t="s">
        <v>1786</v>
      </c>
      <c r="Y560" s="315" t="s">
        <v>1787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1795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1796</v>
      </c>
      <c r="C562" s="332" t="s">
        <v>313</v>
      </c>
      <c r="D562" s="332" t="s">
        <v>314</v>
      </c>
      <c r="E562" s="332" t="s">
        <v>1797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1798</v>
      </c>
      <c r="T562" s="332" t="s">
        <v>1799</v>
      </c>
      <c r="U562" s="333">
        <v>613193.92000000004</v>
      </c>
      <c r="V562" s="333">
        <v>2638256.39</v>
      </c>
      <c r="W562" s="331"/>
      <c r="X562" s="315" t="s">
        <v>1786</v>
      </c>
      <c r="Y562" s="315" t="s">
        <v>1787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1800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1801</v>
      </c>
      <c r="C564" s="332" t="s">
        <v>315</v>
      </c>
      <c r="D564" s="332" t="s">
        <v>148</v>
      </c>
      <c r="E564" s="332" t="s">
        <v>1802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1803</v>
      </c>
      <c r="T564" s="332" t="s">
        <v>1804</v>
      </c>
      <c r="U564" s="333">
        <v>613410.22</v>
      </c>
      <c r="V564" s="333">
        <v>2638129.9270000001</v>
      </c>
      <c r="W564" s="331"/>
      <c r="X564" s="315" t="s">
        <v>1786</v>
      </c>
      <c r="Y564" s="315" t="s">
        <v>1787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1061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964</v>
      </c>
      <c r="C566" s="332" t="s">
        <v>316</v>
      </c>
      <c r="D566" s="332" t="s">
        <v>23</v>
      </c>
      <c r="E566" s="332" t="s">
        <v>964</v>
      </c>
      <c r="F566" s="362"/>
      <c r="G566" s="332" t="s">
        <v>964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1805</v>
      </c>
      <c r="T566" s="332" t="s">
        <v>1806</v>
      </c>
      <c r="U566" s="333">
        <v>613831.07499999995</v>
      </c>
      <c r="V566" s="333">
        <v>2638087.3829999999</v>
      </c>
      <c r="W566" s="331"/>
      <c r="X566" s="315" t="s">
        <v>1786</v>
      </c>
      <c r="Y566" s="315" t="s">
        <v>1787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1807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964</v>
      </c>
      <c r="C568" s="332" t="s">
        <v>317</v>
      </c>
      <c r="D568" s="332" t="s">
        <v>23</v>
      </c>
      <c r="E568" s="332" t="s">
        <v>964</v>
      </c>
      <c r="F568" s="362"/>
      <c r="G568" s="332" t="s">
        <v>964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1808</v>
      </c>
      <c r="T568" s="332" t="s">
        <v>1809</v>
      </c>
      <c r="U568" s="333">
        <v>614168.35600000003</v>
      </c>
      <c r="V568" s="333">
        <v>2638053.2880000002</v>
      </c>
      <c r="W568" s="331"/>
      <c r="X568" s="315" t="s">
        <v>1786</v>
      </c>
      <c r="Y568" s="315" t="s">
        <v>1787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1810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964</v>
      </c>
      <c r="C570" s="332" t="s">
        <v>318</v>
      </c>
      <c r="D570" s="332" t="s">
        <v>23</v>
      </c>
      <c r="E570" s="332" t="s">
        <v>964</v>
      </c>
      <c r="F570" s="362"/>
      <c r="G570" s="332" t="s">
        <v>964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1811</v>
      </c>
      <c r="T570" s="332" t="s">
        <v>1812</v>
      </c>
      <c r="U570" s="333">
        <v>614506.63199999998</v>
      </c>
      <c r="V570" s="333">
        <v>2638019.0920000002</v>
      </c>
      <c r="W570" s="331"/>
      <c r="X570" s="315" t="s">
        <v>1813</v>
      </c>
      <c r="Y570" s="315" t="s">
        <v>1787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1814</v>
      </c>
      <c r="C572" s="332" t="s">
        <v>319</v>
      </c>
      <c r="D572" s="332" t="s">
        <v>115</v>
      </c>
      <c r="E572" s="332" t="s">
        <v>1815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1816</v>
      </c>
      <c r="T572" s="332" t="s">
        <v>1817</v>
      </c>
      <c r="U572" s="333">
        <v>614843.97400000005</v>
      </c>
      <c r="V572" s="333">
        <v>2637984.9909999999</v>
      </c>
      <c r="W572" s="334"/>
      <c r="X572" s="315" t="s">
        <v>1813</v>
      </c>
      <c r="Y572" s="315" t="s">
        <v>1787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1061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964</v>
      </c>
      <c r="C574" s="332" t="s">
        <v>320</v>
      </c>
      <c r="D574" s="332" t="s">
        <v>16</v>
      </c>
      <c r="E574" s="332" t="s">
        <v>964</v>
      </c>
      <c r="F574" s="362"/>
      <c r="G574" s="332" t="s">
        <v>964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1818</v>
      </c>
      <c r="T574" s="332" t="s">
        <v>1819</v>
      </c>
      <c r="U574" s="333">
        <v>615102.804</v>
      </c>
      <c r="V574" s="333">
        <v>2637702.6860000002</v>
      </c>
      <c r="W574" s="331"/>
      <c r="X574" s="315" t="s">
        <v>1813</v>
      </c>
      <c r="Y574" s="315" t="s">
        <v>1787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1820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1821</v>
      </c>
      <c r="C576" s="332" t="s">
        <v>321</v>
      </c>
      <c r="D576" s="332" t="s">
        <v>40</v>
      </c>
      <c r="E576" s="332" t="s">
        <v>1822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1823</v>
      </c>
      <c r="T576" s="332" t="s">
        <v>1824</v>
      </c>
      <c r="U576" s="333">
        <v>615372.95400000003</v>
      </c>
      <c r="V576" s="333">
        <v>2637408.0359999998</v>
      </c>
      <c r="W576" s="331"/>
      <c r="X576" s="315" t="s">
        <v>1813</v>
      </c>
      <c r="Y576" s="315" t="s">
        <v>1787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1825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964</v>
      </c>
      <c r="C578" s="332" t="s">
        <v>322</v>
      </c>
      <c r="D578" s="332" t="s">
        <v>14</v>
      </c>
      <c r="E578" s="332" t="s">
        <v>964</v>
      </c>
      <c r="F578" s="362"/>
      <c r="G578" s="332" t="s">
        <v>964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1826</v>
      </c>
      <c r="T578" s="332" t="s">
        <v>1827</v>
      </c>
      <c r="U578" s="333">
        <v>615722.85900000005</v>
      </c>
      <c r="V578" s="333">
        <v>2637245.0559999999</v>
      </c>
      <c r="W578" s="331"/>
      <c r="X578" s="315" t="s">
        <v>1813</v>
      </c>
      <c r="Y578" s="315" t="s">
        <v>1787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1061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964</v>
      </c>
      <c r="C580" s="332" t="s">
        <v>323</v>
      </c>
      <c r="D580" s="332" t="s">
        <v>31</v>
      </c>
      <c r="E580" s="332" t="s">
        <v>964</v>
      </c>
      <c r="F580" s="362"/>
      <c r="G580" s="332" t="s">
        <v>964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1828</v>
      </c>
      <c r="T580" s="332" t="s">
        <v>1829</v>
      </c>
      <c r="U580" s="333">
        <v>616079.11</v>
      </c>
      <c r="V580" s="333">
        <v>2637079.1209999998</v>
      </c>
      <c r="W580" s="331"/>
      <c r="X580" s="315" t="s">
        <v>1813</v>
      </c>
      <c r="Y580" s="315" t="s">
        <v>1787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1830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964</v>
      </c>
      <c r="C582" s="332" t="s">
        <v>324</v>
      </c>
      <c r="D582" s="332" t="s">
        <v>16</v>
      </c>
      <c r="E582" s="332" t="s">
        <v>964</v>
      </c>
      <c r="F582" s="362"/>
      <c r="G582" s="332" t="s">
        <v>964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1831</v>
      </c>
      <c r="T582" s="332" t="s">
        <v>1832</v>
      </c>
      <c r="U582" s="333">
        <v>616461.64899999998</v>
      </c>
      <c r="V582" s="333">
        <v>2636900.9410000001</v>
      </c>
      <c r="W582" s="331"/>
      <c r="X582" s="315" t="s">
        <v>1833</v>
      </c>
      <c r="Y582" s="315" t="s">
        <v>1787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964</v>
      </c>
      <c r="C584" s="332" t="s">
        <v>325</v>
      </c>
      <c r="D584" s="332" t="s">
        <v>14</v>
      </c>
      <c r="E584" s="332" t="s">
        <v>964</v>
      </c>
      <c r="F584" s="362"/>
      <c r="G584" s="332" t="s">
        <v>964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1834</v>
      </c>
      <c r="T584" s="332" t="s">
        <v>1835</v>
      </c>
      <c r="U584" s="333">
        <v>616831.49699999997</v>
      </c>
      <c r="V584" s="333">
        <v>2636728.673</v>
      </c>
      <c r="W584" s="331"/>
      <c r="X584" s="315" t="s">
        <v>1833</v>
      </c>
      <c r="Y584" s="315" t="s">
        <v>1787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1836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964</v>
      </c>
      <c r="C586" s="332" t="s">
        <v>326</v>
      </c>
      <c r="D586" s="332" t="s">
        <v>23</v>
      </c>
      <c r="E586" s="332" t="s">
        <v>964</v>
      </c>
      <c r="F586" s="362"/>
      <c r="G586" s="332" t="s">
        <v>964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1837</v>
      </c>
      <c r="T586" s="332" t="s">
        <v>1838</v>
      </c>
      <c r="U586" s="333">
        <v>617166.89800000004</v>
      </c>
      <c r="V586" s="333">
        <v>2636572.449</v>
      </c>
      <c r="W586" s="331"/>
      <c r="X586" s="315" t="s">
        <v>1833</v>
      </c>
      <c r="Y586" s="315" t="s">
        <v>1787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1061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964</v>
      </c>
      <c r="C588" s="332" t="s">
        <v>327</v>
      </c>
      <c r="D588" s="332" t="s">
        <v>31</v>
      </c>
      <c r="E588" s="332" t="s">
        <v>964</v>
      </c>
      <c r="F588" s="362"/>
      <c r="G588" s="332" t="s">
        <v>964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1839</v>
      </c>
      <c r="T588" s="332" t="s">
        <v>1840</v>
      </c>
      <c r="U588" s="333">
        <v>617479.63699999999</v>
      </c>
      <c r="V588" s="333">
        <v>2636426.7799999998</v>
      </c>
      <c r="W588" s="331"/>
      <c r="X588" s="315" t="s">
        <v>1833</v>
      </c>
      <c r="Y588" s="315" t="s">
        <v>1787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964</v>
      </c>
      <c r="C590" s="332" t="s">
        <v>328</v>
      </c>
      <c r="D590" s="332" t="s">
        <v>23</v>
      </c>
      <c r="E590" s="332" t="s">
        <v>964</v>
      </c>
      <c r="F590" s="362"/>
      <c r="G590" s="332" t="s">
        <v>964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1841</v>
      </c>
      <c r="T590" s="332" t="s">
        <v>1842</v>
      </c>
      <c r="U590" s="333">
        <v>617798.72199999995</v>
      </c>
      <c r="V590" s="333">
        <v>2636278.156</v>
      </c>
      <c r="W590" s="334"/>
      <c r="X590" s="315" t="s">
        <v>1833</v>
      </c>
      <c r="Y590" s="315" t="s">
        <v>1787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964</v>
      </c>
      <c r="C592" s="332" t="s">
        <v>329</v>
      </c>
      <c r="D592" s="332" t="s">
        <v>35</v>
      </c>
      <c r="E592" s="332" t="s">
        <v>964</v>
      </c>
      <c r="F592" s="362"/>
      <c r="G592" s="332" t="s">
        <v>964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1843</v>
      </c>
      <c r="T592" s="332" t="s">
        <v>1844</v>
      </c>
      <c r="U592" s="333">
        <v>618197.57700000005</v>
      </c>
      <c r="V592" s="333">
        <v>2636092.3760000002</v>
      </c>
      <c r="W592" s="331"/>
      <c r="X592" s="315" t="s">
        <v>1833</v>
      </c>
      <c r="Y592" s="315" t="s">
        <v>1787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1807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964</v>
      </c>
      <c r="C594" s="332" t="s">
        <v>330</v>
      </c>
      <c r="D594" s="332" t="s">
        <v>23</v>
      </c>
      <c r="E594" s="332" t="s">
        <v>964</v>
      </c>
      <c r="F594" s="362"/>
      <c r="G594" s="332" t="s">
        <v>964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1845</v>
      </c>
      <c r="T594" s="332" t="s">
        <v>1846</v>
      </c>
      <c r="U594" s="333">
        <v>618542.04299999995</v>
      </c>
      <c r="V594" s="333">
        <v>2635931.9300000002</v>
      </c>
      <c r="W594" s="331"/>
      <c r="X594" s="315" t="s">
        <v>1833</v>
      </c>
      <c r="Y594" s="315" t="s">
        <v>1787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1847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964</v>
      </c>
      <c r="C596" s="332" t="s">
        <v>331</v>
      </c>
      <c r="D596" s="332" t="s">
        <v>20</v>
      </c>
      <c r="E596" s="332" t="s">
        <v>964</v>
      </c>
      <c r="F596" s="362"/>
      <c r="G596" s="332" t="s">
        <v>964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1848</v>
      </c>
      <c r="T596" s="332" t="s">
        <v>1849</v>
      </c>
      <c r="U596" s="333">
        <v>618919.14300000004</v>
      </c>
      <c r="V596" s="333">
        <v>2635756.284</v>
      </c>
      <c r="W596" s="339" t="s">
        <v>1175</v>
      </c>
      <c r="X596" s="315" t="s">
        <v>1850</v>
      </c>
      <c r="Y596" s="315" t="s">
        <v>1787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1508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964</v>
      </c>
      <c r="C598" s="332" t="s">
        <v>332</v>
      </c>
      <c r="D598" s="332" t="s">
        <v>16</v>
      </c>
      <c r="E598" s="332" t="s">
        <v>964</v>
      </c>
      <c r="F598" s="362"/>
      <c r="G598" s="332" t="s">
        <v>964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1851</v>
      </c>
      <c r="T598" s="332" t="s">
        <v>1852</v>
      </c>
      <c r="U598" s="333">
        <v>619287.17799999996</v>
      </c>
      <c r="V598" s="333">
        <v>2635584.86</v>
      </c>
      <c r="X598" s="315" t="s">
        <v>1850</v>
      </c>
      <c r="Y598" s="315" t="s">
        <v>1787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1853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1854</v>
      </c>
      <c r="C600" s="332" t="s">
        <v>333</v>
      </c>
      <c r="D600" s="332" t="s">
        <v>28</v>
      </c>
      <c r="E600" s="332" t="s">
        <v>1855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1856</v>
      </c>
      <c r="T600" s="332" t="s">
        <v>1857</v>
      </c>
      <c r="U600" s="333">
        <v>619679.85</v>
      </c>
      <c r="V600" s="333">
        <v>2635401.96</v>
      </c>
      <c r="W600" s="334"/>
      <c r="X600" s="315" t="s">
        <v>1850</v>
      </c>
      <c r="Y600" s="315" t="s">
        <v>1787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1858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964</v>
      </c>
      <c r="C602" s="332" t="s">
        <v>334</v>
      </c>
      <c r="D602" s="332" t="s">
        <v>16</v>
      </c>
      <c r="E602" s="332" t="s">
        <v>1859</v>
      </c>
      <c r="F602" s="362"/>
      <c r="G602" s="332" t="s">
        <v>964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1860</v>
      </c>
      <c r="T602" s="332" t="s">
        <v>1861</v>
      </c>
      <c r="U602" s="333">
        <v>619995.38899999997</v>
      </c>
      <c r="V602" s="333">
        <v>2635243.1540000001</v>
      </c>
      <c r="W602" s="339" t="s">
        <v>1175</v>
      </c>
      <c r="X602" s="315" t="s">
        <v>1862</v>
      </c>
      <c r="Y602" s="315" t="s">
        <v>1787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1863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964</v>
      </c>
      <c r="C604" s="332" t="s">
        <v>335</v>
      </c>
      <c r="D604" s="332" t="s">
        <v>14</v>
      </c>
      <c r="E604" s="332" t="s">
        <v>1864</v>
      </c>
      <c r="F604" s="362"/>
      <c r="G604" s="332" t="s">
        <v>964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1865</v>
      </c>
      <c r="T604" s="332" t="s">
        <v>1866</v>
      </c>
      <c r="U604" s="333">
        <v>620356.505</v>
      </c>
      <c r="V604" s="333">
        <v>2635055.5490000001</v>
      </c>
      <c r="W604" s="331"/>
      <c r="X604" s="315" t="s">
        <v>1862</v>
      </c>
      <c r="Y604" s="315" t="s">
        <v>1787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1867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964</v>
      </c>
      <c r="C606" s="332" t="s">
        <v>336</v>
      </c>
      <c r="D606" s="332" t="s">
        <v>16</v>
      </c>
      <c r="E606" s="332" t="s">
        <v>964</v>
      </c>
      <c r="F606" s="362"/>
      <c r="G606" s="332" t="s">
        <v>964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1868</v>
      </c>
      <c r="T606" s="332" t="s">
        <v>1869</v>
      </c>
      <c r="U606" s="333">
        <v>620728.44700000004</v>
      </c>
      <c r="V606" s="333">
        <v>2634869.23</v>
      </c>
      <c r="W606" s="331"/>
      <c r="X606" s="315" t="s">
        <v>1862</v>
      </c>
      <c r="Y606" s="315" t="s">
        <v>1787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1870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964</v>
      </c>
      <c r="C608" s="332" t="s">
        <v>337</v>
      </c>
      <c r="D608" s="332" t="s">
        <v>23</v>
      </c>
      <c r="E608" s="332" t="s">
        <v>964</v>
      </c>
      <c r="F608" s="362"/>
      <c r="G608" s="332" t="s">
        <v>964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1871</v>
      </c>
      <c r="T608" s="332" t="s">
        <v>1872</v>
      </c>
      <c r="U608" s="333">
        <v>621061.94400000002</v>
      </c>
      <c r="V608" s="333">
        <v>2634702.1690000002</v>
      </c>
      <c r="W608" s="331"/>
      <c r="X608" s="315" t="s">
        <v>1862</v>
      </c>
      <c r="Y608" s="315" t="s">
        <v>1787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1863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964</v>
      </c>
      <c r="C610" s="332" t="s">
        <v>338</v>
      </c>
      <c r="D610" s="332" t="s">
        <v>33</v>
      </c>
      <c r="E610" s="332" t="s">
        <v>964</v>
      </c>
      <c r="F610" s="362"/>
      <c r="G610" s="332" t="s">
        <v>964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1873</v>
      </c>
      <c r="T610" s="332" t="s">
        <v>1874</v>
      </c>
      <c r="U610" s="333">
        <v>621409.74600000004</v>
      </c>
      <c r="V610" s="333">
        <v>2634527.943</v>
      </c>
      <c r="W610" s="331"/>
      <c r="X610" s="315" t="s">
        <v>1862</v>
      </c>
      <c r="Y610" s="315" t="s">
        <v>1787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1077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964</v>
      </c>
      <c r="C612" s="332" t="s">
        <v>339</v>
      </c>
      <c r="D612" s="332" t="s">
        <v>14</v>
      </c>
      <c r="E612" s="332" t="s">
        <v>964</v>
      </c>
      <c r="F612" s="362"/>
      <c r="G612" s="332" t="s">
        <v>964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1875</v>
      </c>
      <c r="T612" s="332" t="s">
        <v>1876</v>
      </c>
      <c r="U612" s="333">
        <v>621766.48800000001</v>
      </c>
      <c r="V612" s="333">
        <v>2634349.2379999999</v>
      </c>
      <c r="W612" s="331"/>
      <c r="X612" s="315" t="s">
        <v>1862</v>
      </c>
      <c r="Y612" s="315" t="s">
        <v>1787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1877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964</v>
      </c>
      <c r="C614" s="332" t="s">
        <v>340</v>
      </c>
      <c r="D614" s="332" t="s">
        <v>16</v>
      </c>
      <c r="E614" s="332" t="s">
        <v>964</v>
      </c>
      <c r="F614" s="362"/>
      <c r="G614" s="332" t="s">
        <v>964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1878</v>
      </c>
      <c r="T614" s="332" t="s">
        <v>1879</v>
      </c>
      <c r="U614" s="333">
        <v>622134.85400000005</v>
      </c>
      <c r="V614" s="333">
        <v>2634164.71</v>
      </c>
      <c r="W614" s="331"/>
      <c r="X614" s="315" t="s">
        <v>1862</v>
      </c>
      <c r="Y614" s="315" t="s">
        <v>1787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1880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964</v>
      </c>
      <c r="C616" s="332" t="s">
        <v>341</v>
      </c>
      <c r="D616" s="332" t="s">
        <v>23</v>
      </c>
      <c r="E616" s="332" t="s">
        <v>964</v>
      </c>
      <c r="F616" s="362"/>
      <c r="G616" s="332" t="s">
        <v>964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1881</v>
      </c>
      <c r="T616" s="332" t="s">
        <v>1882</v>
      </c>
      <c r="U616" s="333">
        <v>622508.58499999996</v>
      </c>
      <c r="V616" s="333">
        <v>2633977.4950000001</v>
      </c>
      <c r="W616" s="331"/>
      <c r="X616" s="315" t="s">
        <v>1862</v>
      </c>
      <c r="Y616" s="315" t="s">
        <v>1787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1883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1884</v>
      </c>
      <c r="C618" s="332" t="s">
        <v>342</v>
      </c>
      <c r="D618" s="332" t="s">
        <v>236</v>
      </c>
      <c r="E618" s="332" t="s">
        <v>1885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1886</v>
      </c>
      <c r="T618" s="332" t="s">
        <v>1887</v>
      </c>
      <c r="U618" s="333">
        <v>622860.95299999998</v>
      </c>
      <c r="V618" s="333">
        <v>2633800.9810000001</v>
      </c>
      <c r="W618" s="331"/>
      <c r="X618" s="315" t="s">
        <v>1862</v>
      </c>
      <c r="Y618" s="315" t="s">
        <v>1787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1880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964</v>
      </c>
      <c r="C620" s="332" t="s">
        <v>343</v>
      </c>
      <c r="D620" s="332" t="s">
        <v>23</v>
      </c>
      <c r="E620" s="332" t="s">
        <v>964</v>
      </c>
      <c r="F620" s="362"/>
      <c r="G620" s="332" t="s">
        <v>964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1888</v>
      </c>
      <c r="T620" s="332" t="s">
        <v>1889</v>
      </c>
      <c r="U620" s="333">
        <v>623185.31499999994</v>
      </c>
      <c r="V620" s="333">
        <v>2633568.6230000001</v>
      </c>
      <c r="W620" s="331"/>
      <c r="X620" s="315" t="s">
        <v>1862</v>
      </c>
      <c r="Y620" s="315" t="s">
        <v>1787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1890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964</v>
      </c>
      <c r="C622" s="332" t="s">
        <v>344</v>
      </c>
      <c r="D622" s="332" t="s">
        <v>23</v>
      </c>
      <c r="E622" s="332" t="s">
        <v>964</v>
      </c>
      <c r="F622" s="362"/>
      <c r="G622" s="332" t="s">
        <v>964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1891</v>
      </c>
      <c r="T622" s="332" t="s">
        <v>1892</v>
      </c>
      <c r="U622" s="333">
        <v>623468.21699999995</v>
      </c>
      <c r="V622" s="333">
        <v>2633365.9649999999</v>
      </c>
      <c r="W622" s="331"/>
      <c r="X622" s="315" t="s">
        <v>1893</v>
      </c>
      <c r="Y622" s="315" t="s">
        <v>1787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1894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964</v>
      </c>
      <c r="C624" s="332" t="s">
        <v>345</v>
      </c>
      <c r="D624" s="332" t="s">
        <v>20</v>
      </c>
      <c r="E624" s="332" t="s">
        <v>964</v>
      </c>
      <c r="F624" s="362"/>
      <c r="G624" s="332" t="s">
        <v>964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1895</v>
      </c>
      <c r="T624" s="332" t="s">
        <v>1896</v>
      </c>
      <c r="U624" s="333">
        <v>623759.24899999995</v>
      </c>
      <c r="V624" s="333">
        <v>2633157.483</v>
      </c>
      <c r="W624" s="339" t="s">
        <v>1175</v>
      </c>
      <c r="X624" s="315" t="s">
        <v>1893</v>
      </c>
      <c r="Y624" s="315" t="s">
        <v>1787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1897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1898</v>
      </c>
      <c r="C626" s="373" t="s">
        <v>346</v>
      </c>
      <c r="D626" s="373" t="s">
        <v>236</v>
      </c>
      <c r="E626" s="373" t="s">
        <v>1899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1900</v>
      </c>
      <c r="T626" s="373" t="s">
        <v>1901</v>
      </c>
      <c r="U626" s="377">
        <v>624148</v>
      </c>
      <c r="V626" s="377">
        <v>2632879</v>
      </c>
      <c r="W626" s="376"/>
      <c r="X626" s="378" t="s">
        <v>1893</v>
      </c>
      <c r="Y626" s="378" t="s">
        <v>1787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39" t="s">
        <v>1902</v>
      </c>
      <c r="I632" s="440"/>
      <c r="J632" s="440"/>
      <c r="K632" s="440"/>
      <c r="L632" s="440"/>
      <c r="M632" s="440"/>
      <c r="N632" s="440"/>
      <c r="O632" s="440"/>
      <c r="P632" s="440"/>
      <c r="Q632" s="440"/>
      <c r="R632" s="440"/>
      <c r="S632" s="441"/>
      <c r="AD632" s="395"/>
    </row>
    <row r="633" spans="1:30" ht="21.75" customHeight="1" x14ac:dyDescent="0.35">
      <c r="A633" s="392"/>
      <c r="H633" s="444" t="s">
        <v>490</v>
      </c>
      <c r="I633" s="446" t="s">
        <v>1903</v>
      </c>
      <c r="J633" s="447"/>
      <c r="K633" s="447"/>
      <c r="L633" s="447"/>
      <c r="M633" s="447"/>
      <c r="N633" s="447"/>
      <c r="O633" s="447"/>
      <c r="P633" s="447"/>
      <c r="Q633" s="447"/>
      <c r="R633" s="448"/>
      <c r="S633" s="444" t="s">
        <v>1904</v>
      </c>
      <c r="AD633" s="395"/>
    </row>
    <row r="634" spans="1:30" ht="22.5" customHeight="1" x14ac:dyDescent="0.35">
      <c r="A634" s="392"/>
      <c r="H634" s="445"/>
      <c r="I634" s="274">
        <v>-3</v>
      </c>
      <c r="J634" s="274">
        <v>-1.5</v>
      </c>
      <c r="K634" s="274" t="s">
        <v>1905</v>
      </c>
      <c r="L634" s="274" t="s">
        <v>1906</v>
      </c>
      <c r="M634" s="274" t="s">
        <v>1907</v>
      </c>
      <c r="N634" s="274" t="s">
        <v>1908</v>
      </c>
      <c r="O634" s="274" t="s">
        <v>1909</v>
      </c>
      <c r="P634" s="274" t="s">
        <v>1910</v>
      </c>
      <c r="Q634" s="274" t="s">
        <v>1911</v>
      </c>
      <c r="R634" s="274" t="s">
        <v>1912</v>
      </c>
      <c r="S634" s="445"/>
      <c r="AD634" s="395"/>
    </row>
    <row r="635" spans="1:30" ht="22.5" customHeight="1" x14ac:dyDescent="0.35">
      <c r="A635" s="392"/>
      <c r="H635" s="275" t="s">
        <v>1913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1914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1915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1916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1917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1918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1919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907" t="s">
        <v>626</v>
      </c>
      <c r="E3" s="907"/>
      <c r="F3" s="907"/>
      <c r="G3" s="907"/>
    </row>
    <row r="4" spans="4:7" x14ac:dyDescent="0.35">
      <c r="D4" s="907"/>
      <c r="E4" s="907"/>
      <c r="F4" s="907"/>
      <c r="G4" s="907"/>
    </row>
    <row r="5" spans="4:7" x14ac:dyDescent="0.35">
      <c r="E5" s="158" t="s">
        <v>627</v>
      </c>
    </row>
    <row r="6" spans="4:7" x14ac:dyDescent="0.35">
      <c r="E6" s="158" t="s">
        <v>628</v>
      </c>
    </row>
    <row r="7" spans="4:7" x14ac:dyDescent="0.35">
      <c r="E7" s="158" t="s">
        <v>629</v>
      </c>
    </row>
    <row r="8" spans="4:7" x14ac:dyDescent="0.35">
      <c r="E8" s="158" t="s">
        <v>630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1796875" customWidth="1"/>
    <col min="4" max="5" width="26" customWidth="1"/>
    <col min="6" max="6" width="19.453125" hidden="1" customWidth="1"/>
    <col min="7" max="7" width="21.179687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536</v>
      </c>
      <c r="B1" s="83" t="s">
        <v>537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537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538</v>
      </c>
      <c r="B3" s="83" t="s">
        <v>537</v>
      </c>
      <c r="C3" s="83">
        <v>0</v>
      </c>
      <c r="D3" s="84">
        <v>1.5580000000000001</v>
      </c>
      <c r="E3" s="36" t="s">
        <v>539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537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540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541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542</v>
      </c>
      <c r="F8" s="2"/>
      <c r="G8" s="2"/>
      <c r="H8" s="2"/>
    </row>
    <row r="9" spans="1:8" ht="21" hidden="1" customHeight="1" x14ac:dyDescent="0.35">
      <c r="A9" s="82" t="s">
        <v>543</v>
      </c>
      <c r="B9" s="83" t="s">
        <v>376</v>
      </c>
      <c r="C9" s="83">
        <v>1</v>
      </c>
      <c r="D9" s="2">
        <v>1</v>
      </c>
      <c r="E9" s="2" t="s">
        <v>542</v>
      </c>
      <c r="F9" s="2"/>
      <c r="G9" s="2"/>
      <c r="H9" s="2"/>
    </row>
    <row r="10" spans="1:8" ht="21" hidden="1" customHeight="1" x14ac:dyDescent="0.35">
      <c r="A10" s="82" t="s">
        <v>544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545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546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536</v>
      </c>
      <c r="B13" s="1" t="s">
        <v>537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537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538</v>
      </c>
      <c r="B15" s="1" t="s">
        <v>537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537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540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541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543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544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547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546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536</v>
      </c>
      <c r="B25" s="91" t="s">
        <v>537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537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538</v>
      </c>
      <c r="B27" s="91" t="s">
        <v>537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537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540</v>
      </c>
      <c r="B29" s="91"/>
      <c r="C29" s="92"/>
      <c r="D29" s="92"/>
      <c r="E29" s="92"/>
      <c r="F29" s="93"/>
      <c r="G29" s="93"/>
      <c r="H29" s="93"/>
    </row>
    <row r="30" spans="1:8" ht="265.25" hidden="1" customHeight="1" x14ac:dyDescent="0.35">
      <c r="A30" s="90" t="s">
        <v>541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5" hidden="1" customHeight="1" x14ac:dyDescent="0.35">
      <c r="A33" s="95" t="s">
        <v>543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544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547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546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536</v>
      </c>
      <c r="B37" s="1" t="s">
        <v>537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537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538</v>
      </c>
      <c r="B39" s="1" t="s">
        <v>537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537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540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541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543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544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547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546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536</v>
      </c>
      <c r="B49" s="91" t="s">
        <v>537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537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538</v>
      </c>
      <c r="B51" s="91" t="s">
        <v>537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537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540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541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543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544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547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548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536</v>
      </c>
      <c r="B61" s="1" t="s">
        <v>537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537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538</v>
      </c>
      <c r="B63" s="1" t="s">
        <v>537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537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540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541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5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543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544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547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549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550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551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536</v>
      </c>
      <c r="B75" s="1" t="s">
        <v>537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537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538</v>
      </c>
      <c r="B77" s="1" t="s">
        <v>537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537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540</v>
      </c>
      <c r="B79" s="1"/>
      <c r="C79" s="89"/>
      <c r="D79" s="89"/>
      <c r="E79" s="89"/>
      <c r="F79" s="3"/>
      <c r="G79" s="3"/>
      <c r="H79" s="3"/>
    </row>
    <row r="80" spans="1:8" ht="163.25" hidden="1" customHeight="1" x14ac:dyDescent="0.35">
      <c r="A80" s="88" t="s">
        <v>541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543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544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547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551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536</v>
      </c>
      <c r="B87" s="1" t="s">
        <v>537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537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538</v>
      </c>
      <c r="B89" s="1" t="s">
        <v>537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537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540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541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543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544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547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551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536</v>
      </c>
      <c r="B99" s="1" t="s">
        <v>537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537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538</v>
      </c>
      <c r="B101" s="1" t="s">
        <v>537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537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540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541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543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544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547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552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536</v>
      </c>
      <c r="B111" s="1" t="s">
        <v>537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537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538</v>
      </c>
      <c r="B113" s="1" t="s">
        <v>537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537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540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541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543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544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547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546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913" t="s">
        <v>553</v>
      </c>
      <c r="B123" s="914"/>
      <c r="C123" s="914"/>
      <c r="D123" s="915" t="s">
        <v>554</v>
      </c>
      <c r="E123" s="915"/>
      <c r="F123" s="915"/>
      <c r="G123" s="915"/>
      <c r="H123" s="915"/>
      <c r="I123" s="915"/>
      <c r="J123" s="916"/>
    </row>
    <row r="124" spans="1:10" ht="14.5" customHeight="1" x14ac:dyDescent="0.35">
      <c r="A124" s="917" t="s">
        <v>555</v>
      </c>
      <c r="B124" s="917" t="s">
        <v>367</v>
      </c>
      <c r="C124" s="917" t="s">
        <v>368</v>
      </c>
      <c r="D124" s="917" t="s">
        <v>556</v>
      </c>
      <c r="E124" s="917" t="s">
        <v>557</v>
      </c>
      <c r="F124" s="112"/>
      <c r="G124" s="113"/>
      <c r="H124" s="4"/>
      <c r="I124" s="919" t="s">
        <v>371</v>
      </c>
      <c r="J124" s="920"/>
    </row>
    <row r="125" spans="1:10" ht="15.65" customHeight="1" thickBot="1" x14ac:dyDescent="0.4">
      <c r="A125" s="918"/>
      <c r="B125" s="918"/>
      <c r="C125" s="918"/>
      <c r="D125" s="918"/>
      <c r="E125" s="918"/>
      <c r="F125" s="112"/>
      <c r="G125" s="114"/>
      <c r="H125" s="4"/>
      <c r="I125" s="921"/>
      <c r="J125" s="922"/>
    </row>
    <row r="126" spans="1:10" ht="15" thickBot="1" x14ac:dyDescent="0.4">
      <c r="A126" s="115" t="s">
        <v>536</v>
      </c>
      <c r="B126" s="116" t="s">
        <v>537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908"/>
      <c r="J126" s="909"/>
    </row>
    <row r="127" spans="1:10" ht="15" thickBot="1" x14ac:dyDescent="0.4">
      <c r="A127" s="115" t="s">
        <v>372</v>
      </c>
      <c r="B127" s="116" t="s">
        <v>537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908"/>
      <c r="J127" s="909"/>
    </row>
    <row r="128" spans="1:10" ht="15" thickBot="1" x14ac:dyDescent="0.4">
      <c r="A128" s="115" t="s">
        <v>538</v>
      </c>
      <c r="B128" s="116" t="s">
        <v>537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908"/>
      <c r="J128" s="909"/>
    </row>
    <row r="129" spans="1:10" ht="15" thickBot="1" x14ac:dyDescent="0.4">
      <c r="A129" s="115" t="s">
        <v>375</v>
      </c>
      <c r="B129" s="116" t="s">
        <v>537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908" t="s">
        <v>558</v>
      </c>
      <c r="J129" s="909"/>
    </row>
    <row r="130" spans="1:10" ht="19.5" customHeight="1" thickBot="1" x14ac:dyDescent="0.4">
      <c r="A130" s="115" t="s">
        <v>540</v>
      </c>
      <c r="B130" s="116"/>
      <c r="C130" s="118"/>
      <c r="D130" s="118"/>
      <c r="E130" s="118"/>
      <c r="F130" s="112"/>
      <c r="G130" s="112"/>
      <c r="H130" s="4"/>
      <c r="I130" s="908"/>
      <c r="J130" s="909"/>
    </row>
    <row r="131" spans="1:10" ht="30" customHeight="1" thickBot="1" x14ac:dyDescent="0.4">
      <c r="A131" s="115" t="s">
        <v>541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559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559</v>
      </c>
      <c r="J133" s="65"/>
    </row>
    <row r="134" spans="1:10" ht="15" thickBot="1" x14ac:dyDescent="0.4">
      <c r="A134" s="115" t="s">
        <v>543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559</v>
      </c>
      <c r="J134" s="123"/>
    </row>
    <row r="135" spans="1:10" ht="15" thickBot="1" x14ac:dyDescent="0.4">
      <c r="A135" s="115" t="s">
        <v>544</v>
      </c>
      <c r="B135" s="116" t="s">
        <v>376</v>
      </c>
      <c r="C135" s="116">
        <v>1</v>
      </c>
      <c r="D135" s="117" t="s">
        <v>560</v>
      </c>
      <c r="E135" s="117" t="s">
        <v>561</v>
      </c>
      <c r="F135" s="112"/>
      <c r="G135" s="112"/>
      <c r="I135" s="908"/>
      <c r="J135" s="909"/>
    </row>
    <row r="136" spans="1:10" ht="15" thickBot="1" x14ac:dyDescent="0.4">
      <c r="A136" s="124" t="s">
        <v>545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908"/>
      <c r="J136" s="909"/>
    </row>
    <row r="137" spans="1:10" ht="15" thickBot="1" x14ac:dyDescent="0.4">
      <c r="A137" s="910" t="s">
        <v>562</v>
      </c>
      <c r="B137" s="911"/>
      <c r="C137" s="911"/>
      <c r="D137" s="911"/>
      <c r="E137" s="911"/>
      <c r="F137" s="911"/>
      <c r="G137" s="911"/>
      <c r="H137" s="911"/>
      <c r="I137" s="911"/>
      <c r="J137" s="912"/>
    </row>
    <row r="138" spans="1:10" ht="15" thickBot="1" x14ac:dyDescent="0.4">
      <c r="A138" s="910" t="s">
        <v>563</v>
      </c>
      <c r="B138" s="911"/>
      <c r="C138" s="911"/>
      <c r="D138" s="911"/>
      <c r="E138" s="911"/>
      <c r="F138" s="911"/>
      <c r="G138" s="911"/>
      <c r="H138" s="911"/>
      <c r="I138" s="911"/>
      <c r="J138" s="912"/>
    </row>
    <row r="139" spans="1:10" ht="15" thickBot="1" x14ac:dyDescent="0.4">
      <c r="A139" s="910" t="s">
        <v>564</v>
      </c>
      <c r="B139" s="911"/>
      <c r="C139" s="911"/>
      <c r="D139" s="911"/>
      <c r="E139" s="911"/>
      <c r="F139" s="911"/>
      <c r="G139" s="911"/>
      <c r="H139" s="911"/>
      <c r="I139" s="911"/>
      <c r="J139" s="912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A123:C123"/>
    <mergeCell ref="D123:J123"/>
    <mergeCell ref="A124:A125"/>
    <mergeCell ref="B124:B125"/>
    <mergeCell ref="C124:C125"/>
    <mergeCell ref="D124:D125"/>
    <mergeCell ref="E124:E125"/>
    <mergeCell ref="I124:J125"/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1796875" style="126" hidden="1" customWidth="1"/>
    <col min="2" max="2" width="11.1796875" style="126" customWidth="1"/>
    <col min="3" max="3" width="12.453125" style="126" customWidth="1"/>
    <col min="4" max="4" width="16.1796875" style="126" customWidth="1"/>
    <col min="5" max="5" width="12.179687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179687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923" t="s">
        <v>565</v>
      </c>
      <c r="B1" s="924"/>
      <c r="C1" s="925"/>
      <c r="D1" s="925"/>
      <c r="E1" s="925"/>
      <c r="F1" s="925"/>
      <c r="G1" s="925"/>
      <c r="H1" s="925"/>
      <c r="I1" s="925"/>
      <c r="J1" s="925"/>
      <c r="K1" s="925"/>
      <c r="L1" s="925"/>
      <c r="M1" s="926"/>
    </row>
    <row r="2" spans="1:13" ht="35.5" thickBot="1" x14ac:dyDescent="0.4">
      <c r="A2" s="127" t="s">
        <v>566</v>
      </c>
      <c r="B2" s="128" t="s">
        <v>567</v>
      </c>
      <c r="C2" s="129" t="s">
        <v>568</v>
      </c>
      <c r="D2" s="129" t="s">
        <v>569</v>
      </c>
      <c r="E2" s="129" t="s">
        <v>570</v>
      </c>
      <c r="F2" s="129" t="s">
        <v>5</v>
      </c>
      <c r="G2" s="129" t="s">
        <v>571</v>
      </c>
      <c r="H2" s="129" t="s">
        <v>572</v>
      </c>
      <c r="I2" s="129" t="s">
        <v>573</v>
      </c>
      <c r="J2" s="129" t="s">
        <v>574</v>
      </c>
      <c r="K2" s="130" t="s">
        <v>575</v>
      </c>
      <c r="L2" s="131" t="s">
        <v>576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577</v>
      </c>
      <c r="G3" s="137" t="s">
        <v>578</v>
      </c>
      <c r="H3" s="138" t="s">
        <v>579</v>
      </c>
      <c r="I3" s="139" t="s">
        <v>580</v>
      </c>
      <c r="J3" s="140" t="s">
        <v>581</v>
      </c>
      <c r="K3" s="137" t="s">
        <v>582</v>
      </c>
      <c r="L3" s="137" t="s">
        <v>583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584</v>
      </c>
      <c r="E4" s="143" t="s">
        <v>147</v>
      </c>
      <c r="F4" s="145" t="s">
        <v>148</v>
      </c>
      <c r="G4" s="146" t="s">
        <v>578</v>
      </c>
      <c r="H4" s="147" t="s">
        <v>585</v>
      </c>
      <c r="I4" s="146" t="s">
        <v>586</v>
      </c>
      <c r="J4" s="145" t="s">
        <v>581</v>
      </c>
      <c r="K4" s="146" t="s">
        <v>582</v>
      </c>
      <c r="L4" s="146" t="s">
        <v>583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578</v>
      </c>
      <c r="H5" s="138" t="s">
        <v>587</v>
      </c>
      <c r="I5" s="137" t="s">
        <v>586</v>
      </c>
      <c r="J5" s="140" t="s">
        <v>581</v>
      </c>
      <c r="K5" s="137" t="s">
        <v>582</v>
      </c>
      <c r="L5" s="137" t="s">
        <v>583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578</v>
      </c>
      <c r="H6" s="147" t="s">
        <v>588</v>
      </c>
      <c r="I6" s="146" t="s">
        <v>586</v>
      </c>
      <c r="J6" s="145" t="s">
        <v>581</v>
      </c>
      <c r="K6" s="146" t="s">
        <v>582</v>
      </c>
      <c r="L6" s="146" t="s">
        <v>583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578</v>
      </c>
      <c r="H7" s="138" t="s">
        <v>589</v>
      </c>
      <c r="I7" s="137" t="s">
        <v>586</v>
      </c>
      <c r="J7" s="140" t="s">
        <v>581</v>
      </c>
      <c r="K7" s="137" t="s">
        <v>582</v>
      </c>
      <c r="L7" s="137" t="s">
        <v>583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578</v>
      </c>
      <c r="H8" s="147" t="s">
        <v>590</v>
      </c>
      <c r="I8" s="146" t="s">
        <v>591</v>
      </c>
      <c r="J8" s="145" t="s">
        <v>581</v>
      </c>
      <c r="K8" s="146" t="s">
        <v>582</v>
      </c>
      <c r="L8" s="146" t="s">
        <v>592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593</v>
      </c>
      <c r="E9" s="150" t="s">
        <v>285</v>
      </c>
      <c r="F9" s="140" t="s">
        <v>172</v>
      </c>
      <c r="G9" s="137" t="s">
        <v>578</v>
      </c>
      <c r="H9" s="138" t="s">
        <v>594</v>
      </c>
      <c r="I9" s="137" t="s">
        <v>595</v>
      </c>
      <c r="J9" s="140" t="s">
        <v>581</v>
      </c>
      <c r="K9" s="137" t="s">
        <v>582</v>
      </c>
      <c r="L9" s="137" t="s">
        <v>596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597</v>
      </c>
      <c r="G10" s="146" t="s">
        <v>578</v>
      </c>
      <c r="H10" s="147" t="s">
        <v>598</v>
      </c>
      <c r="I10" s="146" t="s">
        <v>586</v>
      </c>
      <c r="J10" s="151" t="s">
        <v>599</v>
      </c>
      <c r="K10" s="146" t="s">
        <v>600</v>
      </c>
      <c r="L10" s="146" t="s">
        <v>601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597</v>
      </c>
      <c r="G11" s="137" t="s">
        <v>578</v>
      </c>
      <c r="H11" s="138" t="s">
        <v>602</v>
      </c>
      <c r="I11" s="137" t="s">
        <v>586</v>
      </c>
      <c r="J11" s="140" t="s">
        <v>581</v>
      </c>
      <c r="K11" s="137" t="s">
        <v>582</v>
      </c>
      <c r="L11" s="137" t="s">
        <v>596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603</v>
      </c>
      <c r="H12" s="152" t="s">
        <v>604</v>
      </c>
      <c r="I12" s="146" t="s">
        <v>605</v>
      </c>
      <c r="J12" s="145" t="s">
        <v>581</v>
      </c>
      <c r="K12" s="146" t="s">
        <v>582</v>
      </c>
      <c r="L12" s="146" t="s">
        <v>596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603</v>
      </c>
      <c r="H13" s="139" t="s">
        <v>606</v>
      </c>
      <c r="I13" s="137" t="s">
        <v>605</v>
      </c>
      <c r="J13" s="140" t="s">
        <v>581</v>
      </c>
      <c r="K13" s="137" t="s">
        <v>582</v>
      </c>
      <c r="L13" s="137" t="s">
        <v>596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480</v>
      </c>
      <c r="E14" s="143" t="s">
        <v>311</v>
      </c>
      <c r="F14" s="145" t="s">
        <v>28</v>
      </c>
      <c r="G14" s="146" t="s">
        <v>603</v>
      </c>
      <c r="H14" s="139" t="s">
        <v>607</v>
      </c>
      <c r="I14" s="146" t="s">
        <v>605</v>
      </c>
      <c r="J14" s="153" t="s">
        <v>581</v>
      </c>
      <c r="K14" s="137" t="s">
        <v>582</v>
      </c>
      <c r="L14" s="146" t="s">
        <v>596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608</v>
      </c>
      <c r="G15" s="137" t="s">
        <v>609</v>
      </c>
      <c r="H15" s="139" t="s">
        <v>610</v>
      </c>
      <c r="I15" s="137" t="s">
        <v>611</v>
      </c>
      <c r="J15" s="154" t="s">
        <v>581</v>
      </c>
      <c r="K15" s="155" t="s">
        <v>582</v>
      </c>
      <c r="L15" s="137" t="s">
        <v>612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81640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81640625" style="225" customWidth="1"/>
    <col min="15" max="15" width="9" style="225" customWidth="1"/>
    <col min="16" max="16" width="10.1796875" style="225" customWidth="1"/>
    <col min="17" max="18" width="8.81640625" style="225" customWidth="1"/>
    <col min="19" max="19" width="9.453125" style="225" customWidth="1"/>
    <col min="20" max="20" width="8.81640625" style="225" customWidth="1"/>
    <col min="21" max="21" width="9.179687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179687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81640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81640625" style="225" customWidth="1"/>
    <col min="37" max="37" width="11.179687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44" t="s">
        <v>792</v>
      </c>
      <c r="B1" s="945"/>
      <c r="C1" s="945"/>
      <c r="D1" s="945"/>
      <c r="E1" s="945"/>
      <c r="F1" s="945"/>
      <c r="G1" s="945"/>
      <c r="H1" s="945"/>
      <c r="I1" s="945"/>
      <c r="J1" s="945"/>
      <c r="K1" s="945"/>
      <c r="L1" s="945"/>
      <c r="M1" s="945"/>
      <c r="N1" s="945"/>
      <c r="O1" s="945"/>
      <c r="P1" s="945"/>
      <c r="Q1" s="945"/>
      <c r="R1" s="945"/>
      <c r="S1" s="945"/>
      <c r="T1" s="945"/>
      <c r="U1" s="945"/>
      <c r="V1" s="945"/>
      <c r="W1" s="945"/>
      <c r="X1" s="945"/>
      <c r="Y1" s="945"/>
      <c r="Z1" s="945"/>
      <c r="AA1" s="945"/>
      <c r="AB1" s="945"/>
      <c r="AC1" s="945"/>
      <c r="AD1" s="945"/>
      <c r="AE1" s="945"/>
      <c r="AF1" s="945"/>
      <c r="AG1" s="945"/>
      <c r="AH1" s="945"/>
      <c r="AI1" s="945"/>
      <c r="AJ1" s="945"/>
      <c r="AK1" s="945"/>
      <c r="AL1" s="945"/>
      <c r="AM1" s="945"/>
      <c r="AN1" s="945"/>
      <c r="AO1" s="945"/>
    </row>
    <row r="2" spans="1:42" ht="15.5" x14ac:dyDescent="0.35">
      <c r="A2" s="946" t="s">
        <v>793</v>
      </c>
      <c r="B2" s="947"/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7"/>
      <c r="U2" s="947"/>
      <c r="V2" s="947"/>
      <c r="W2" s="947"/>
      <c r="X2" s="947"/>
      <c r="Y2" s="947"/>
      <c r="Z2" s="947"/>
      <c r="AA2" s="947"/>
      <c r="AB2" s="947"/>
      <c r="AC2" s="947"/>
      <c r="AD2" s="947"/>
      <c r="AE2" s="947"/>
      <c r="AF2" s="947"/>
      <c r="AG2" s="947"/>
      <c r="AH2" s="947"/>
      <c r="AI2" s="947"/>
      <c r="AJ2" s="947"/>
      <c r="AK2" s="947"/>
      <c r="AL2" s="947"/>
      <c r="AM2" s="947"/>
      <c r="AN2" s="947"/>
      <c r="AO2" s="947"/>
    </row>
    <row r="3" spans="1:42" s="227" customFormat="1" ht="14.5" customHeight="1" x14ac:dyDescent="0.35">
      <c r="A3" s="942" t="s">
        <v>794</v>
      </c>
      <c r="B3" s="942" t="s">
        <v>795</v>
      </c>
      <c r="C3" s="942" t="s">
        <v>796</v>
      </c>
      <c r="D3" s="942" t="s">
        <v>797</v>
      </c>
      <c r="E3" s="942" t="s">
        <v>798</v>
      </c>
      <c r="F3" s="942" t="s">
        <v>799</v>
      </c>
      <c r="G3" s="942" t="s">
        <v>800</v>
      </c>
      <c r="H3" s="942" t="s">
        <v>801</v>
      </c>
      <c r="I3" s="942" t="s">
        <v>802</v>
      </c>
      <c r="J3" s="942" t="s">
        <v>803</v>
      </c>
      <c r="K3" s="942" t="s">
        <v>804</v>
      </c>
      <c r="L3" s="942" t="s">
        <v>805</v>
      </c>
      <c r="M3" s="942" t="s">
        <v>806</v>
      </c>
      <c r="N3" s="942" t="s">
        <v>807</v>
      </c>
      <c r="O3" s="942" t="s">
        <v>808</v>
      </c>
      <c r="P3" s="942" t="s">
        <v>809</v>
      </c>
      <c r="Q3" s="942" t="s">
        <v>810</v>
      </c>
      <c r="R3" s="942" t="s">
        <v>811</v>
      </c>
      <c r="S3" s="942" t="s">
        <v>812</v>
      </c>
      <c r="T3" s="942" t="s">
        <v>813</v>
      </c>
      <c r="U3" s="942" t="s">
        <v>814</v>
      </c>
      <c r="V3" s="942" t="s">
        <v>815</v>
      </c>
      <c r="W3" s="942" t="s">
        <v>816</v>
      </c>
      <c r="X3" s="942" t="s">
        <v>817</v>
      </c>
      <c r="Y3" s="942" t="s">
        <v>818</v>
      </c>
      <c r="Z3" s="942" t="s">
        <v>819</v>
      </c>
      <c r="AA3" s="942" t="s">
        <v>820</v>
      </c>
      <c r="AB3" s="942" t="s">
        <v>821</v>
      </c>
      <c r="AC3" s="942" t="s">
        <v>822</v>
      </c>
      <c r="AD3" s="942" t="s">
        <v>823</v>
      </c>
      <c r="AE3" s="942" t="s">
        <v>824</v>
      </c>
      <c r="AF3" s="942" t="s">
        <v>825</v>
      </c>
      <c r="AG3" s="942" t="s">
        <v>826</v>
      </c>
      <c r="AH3" s="942" t="s">
        <v>827</v>
      </c>
      <c r="AI3" s="942" t="s">
        <v>828</v>
      </c>
      <c r="AJ3" s="942" t="s">
        <v>829</v>
      </c>
      <c r="AK3" s="942" t="s">
        <v>830</v>
      </c>
      <c r="AL3" s="942" t="s">
        <v>574</v>
      </c>
      <c r="AM3" s="927" t="s">
        <v>831</v>
      </c>
      <c r="AN3" s="928"/>
      <c r="AO3" s="929"/>
    </row>
    <row r="4" spans="1:42" s="227" customFormat="1" ht="17.149999999999999" customHeight="1" x14ac:dyDescent="0.35">
      <c r="A4" s="943"/>
      <c r="B4" s="943"/>
      <c r="C4" s="943"/>
      <c r="D4" s="943"/>
      <c r="E4" s="943"/>
      <c r="F4" s="943"/>
      <c r="G4" s="943"/>
      <c r="H4" s="943"/>
      <c r="I4" s="943"/>
      <c r="J4" s="943"/>
      <c r="K4" s="943"/>
      <c r="L4" s="943"/>
      <c r="M4" s="943"/>
      <c r="N4" s="943"/>
      <c r="O4" s="943"/>
      <c r="P4" s="943"/>
      <c r="Q4" s="943"/>
      <c r="R4" s="943"/>
      <c r="S4" s="943"/>
      <c r="T4" s="943"/>
      <c r="U4" s="943"/>
      <c r="V4" s="943"/>
      <c r="W4" s="943"/>
      <c r="X4" s="943"/>
      <c r="Y4" s="943"/>
      <c r="Z4" s="943"/>
      <c r="AA4" s="943"/>
      <c r="AB4" s="943"/>
      <c r="AC4" s="943"/>
      <c r="AD4" s="943"/>
      <c r="AE4" s="943"/>
      <c r="AF4" s="943"/>
      <c r="AG4" s="943"/>
      <c r="AH4" s="943"/>
      <c r="AI4" s="943"/>
      <c r="AJ4" s="943"/>
      <c r="AK4" s="943"/>
      <c r="AL4" s="943"/>
      <c r="AM4" s="226" t="s">
        <v>832</v>
      </c>
      <c r="AN4" s="226" t="s">
        <v>833</v>
      </c>
      <c r="AO4" s="226" t="s">
        <v>834</v>
      </c>
    </row>
    <row r="5" spans="1:42" s="236" customFormat="1" ht="15.5" x14ac:dyDescent="0.35">
      <c r="A5" s="228">
        <v>1</v>
      </c>
      <c r="B5" s="229" t="s">
        <v>835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930">
        <v>10</v>
      </c>
      <c r="AN5" s="933">
        <v>5</v>
      </c>
      <c r="AO5" s="936">
        <v>6</v>
      </c>
      <c r="AP5" s="235"/>
    </row>
    <row r="6" spans="1:42" s="236" customFormat="1" ht="15.5" x14ac:dyDescent="0.35">
      <c r="A6" s="228">
        <v>2</v>
      </c>
      <c r="B6" s="229" t="s">
        <v>835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931"/>
      <c r="AN6" s="934"/>
      <c r="AO6" s="937"/>
      <c r="AP6" s="235"/>
    </row>
    <row r="7" spans="1:42" s="236" customFormat="1" ht="15.5" x14ac:dyDescent="0.35">
      <c r="A7" s="228">
        <v>3</v>
      </c>
      <c r="B7" s="229" t="s">
        <v>835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931"/>
      <c r="AN7" s="934"/>
      <c r="AO7" s="937"/>
      <c r="AP7" s="235"/>
    </row>
    <row r="8" spans="1:42" s="236" customFormat="1" ht="15.5" x14ac:dyDescent="0.35">
      <c r="A8" s="228">
        <v>4</v>
      </c>
      <c r="B8" s="229" t="s">
        <v>835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931"/>
      <c r="AN8" s="934"/>
      <c r="AO8" s="937"/>
      <c r="AP8" s="235"/>
    </row>
    <row r="9" spans="1:42" s="236" customFormat="1" ht="15.5" x14ac:dyDescent="0.35">
      <c r="A9" s="228">
        <v>5</v>
      </c>
      <c r="B9" s="229" t="s">
        <v>835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931"/>
      <c r="AN9" s="934"/>
      <c r="AO9" s="937"/>
      <c r="AP9" s="235"/>
    </row>
    <row r="10" spans="1:42" s="236" customFormat="1" ht="15.5" x14ac:dyDescent="0.35">
      <c r="A10" s="228">
        <v>6</v>
      </c>
      <c r="B10" s="231" t="s">
        <v>836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931"/>
      <c r="AN10" s="934"/>
      <c r="AO10" s="937"/>
      <c r="AP10" s="235"/>
    </row>
    <row r="11" spans="1:42" s="236" customFormat="1" ht="15.5" x14ac:dyDescent="0.35">
      <c r="A11" s="228">
        <v>7</v>
      </c>
      <c r="B11" s="231" t="s">
        <v>837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931"/>
      <c r="AN11" s="934"/>
      <c r="AO11" s="937"/>
      <c r="AP11" s="235"/>
    </row>
    <row r="12" spans="1:42" s="236" customFormat="1" ht="15.5" x14ac:dyDescent="0.35">
      <c r="A12" s="228">
        <v>8</v>
      </c>
      <c r="B12" s="231" t="s">
        <v>838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931"/>
      <c r="AN12" s="934"/>
      <c r="AO12" s="937"/>
      <c r="AP12" s="235"/>
    </row>
    <row r="13" spans="1:42" s="236" customFormat="1" ht="15.5" x14ac:dyDescent="0.35">
      <c r="A13" s="228">
        <v>9</v>
      </c>
      <c r="B13" s="231" t="s">
        <v>840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931"/>
      <c r="AN13" s="934"/>
      <c r="AO13" s="937"/>
      <c r="AP13" s="235"/>
    </row>
    <row r="14" spans="1:42" s="236" customFormat="1" ht="15.5" x14ac:dyDescent="0.35">
      <c r="A14" s="228">
        <v>10</v>
      </c>
      <c r="B14" s="231" t="s">
        <v>780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931"/>
      <c r="AN14" s="934"/>
      <c r="AO14" s="937"/>
    </row>
    <row r="15" spans="1:42" s="236" customFormat="1" ht="15.5" x14ac:dyDescent="0.35">
      <c r="A15" s="238">
        <v>11</v>
      </c>
      <c r="B15" s="231" t="s">
        <v>779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931"/>
      <c r="AN15" s="934"/>
      <c r="AO15" s="937"/>
    </row>
    <row r="16" spans="1:42" s="236" customFormat="1" ht="15.5" x14ac:dyDescent="0.35">
      <c r="A16" s="238">
        <v>12</v>
      </c>
      <c r="B16" s="231" t="s">
        <v>747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931"/>
      <c r="AN16" s="934"/>
      <c r="AO16" s="937"/>
    </row>
    <row r="17" spans="1:41" s="236" customFormat="1" ht="15.5" x14ac:dyDescent="0.35">
      <c r="A17" s="238">
        <v>13</v>
      </c>
      <c r="B17" s="231" t="s">
        <v>840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931"/>
      <c r="AN17" s="934"/>
      <c r="AO17" s="937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931"/>
      <c r="AN18" s="934"/>
      <c r="AO18" s="937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931"/>
      <c r="AN19" s="934"/>
      <c r="AO19" s="937"/>
    </row>
    <row r="20" spans="1:41" s="236" customFormat="1" ht="15.5" x14ac:dyDescent="0.35">
      <c r="A20" s="939" t="s">
        <v>7</v>
      </c>
      <c r="B20" s="940"/>
      <c r="C20" s="940"/>
      <c r="D20" s="9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932"/>
      <c r="AN20" s="935"/>
      <c r="AO20" s="938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F3:AF4"/>
    <mergeCell ref="U3:U4"/>
    <mergeCell ref="V3:V4"/>
    <mergeCell ref="W3:W4"/>
    <mergeCell ref="X3:X4"/>
    <mergeCell ref="Y3:Y4"/>
    <mergeCell ref="Z3:Z4"/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VC-765kV MKTL</vt:lpstr>
      <vt:lpstr>DPR</vt:lpstr>
      <vt:lpstr>SUMMARY</vt:lpstr>
      <vt:lpstr>FDN pivot</vt:lpstr>
      <vt:lpstr>Erc pivot</vt:lpstr>
      <vt:lpstr>XING</vt:lpstr>
      <vt:lpstr>ERECTION</vt:lpstr>
      <vt:lpstr>FOUNDATION</vt:lpstr>
      <vt:lpstr>EARTHING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2026-05-07T07:04:50Z</cp:lastPrinted>
  <dcterms:created xsi:type="dcterms:W3CDTF">2015-06-05T18:17:20Z</dcterms:created>
  <dcterms:modified xsi:type="dcterms:W3CDTF">2026-06-01T05:43:07Z</dcterms:modified>
</cp:coreProperties>
</file>