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244" documentId="8_{B28E2191-7C54-4325-9FF5-47C842D50063}" xr6:coauthVersionLast="47" xr6:coauthVersionMax="47" xr10:uidLastSave="{72560AAF-E0D3-4E91-9452-5166DBD0CFDD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<sst xmlns="http://schemas.openxmlformats.org/spreadsheetml/2006/main" count="5514" uniqueCount="1142">
  <si>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</si>
  <si>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</si>
  <si>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</si>
  <si>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</si>
  <si>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</si>
  <si>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</si>
  <si>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</si>
  <si>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</si>
  <si>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</si>
  <si>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</si>
  <si>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</si>
  <si>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</si>
  <si>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</si>
  <si>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</si>
  <si>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</si>
  <si>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</si>
  <si>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</si>
  <si>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</si>
  <si>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</si>
  <si>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</si>
  <si>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</si>
  <si>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</si>
  <si>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</si>
  <si>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</si>
  <si>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</si>
  <si>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</si>
  <si>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</si>
  <si>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</si>
  <si>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</si>
  <si>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</si>
  <si>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</si>
  <si>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</si>
  <si>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</si>
  <si>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</si>
  <si>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</si>
  <si>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</si>
  <si>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</si>
  <si>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</si>
  <si>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</si>
  <si>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</si>
  <si>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</si>
  <si>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</si>
  <si>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</si>
  <si>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</si>
  <si>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</si>
  <si>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</si>
  <si>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</si>
  <si>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</si>
  <si>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</si>
  <si>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</si>
  <si>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</si>
  <si>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</si>
  <si>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</si>
  <si>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</si>
  <si>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</si>
  <si>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</si>
  <si>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</si>
  <si>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</si>
  <si>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</si>
  <si>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</si>
  <si>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</si>
  <si>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</si>
  <si>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</si>
  <si>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</si>
  <si>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</si>
  <si>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</si>
  <si>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</si>
  <si>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</si>
  <si>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</si>
  <si>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</si>
  <si>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</si>
  <si>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</si>
  <si>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</si>
  <si>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</si>
  <si>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</si>
  <si>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</si>
  <si>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</si>
  <si>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</si>
  <si>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</si>
  <si>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</si>
  <si>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</si>
  <si>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</si>
  <si>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</si>
  <si>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</si>
  <si>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</si>
  <si>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</si>
  <si>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</si>
  <si>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</si>
  <si>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</si>
  <si>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</si>
  <si>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</si>
  <si>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</si>
  <si>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</si>
  <si>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</si>
  <si>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</si>
  <si>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</si>
  <si>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</si>
  <si>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</si>
  <si>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</si>
  <si>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</si>
  <si>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</si>
  <si>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</si>
  <si>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</si>
  <si>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</si>
  <si>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</si>
  <si>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</si>
  <si>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</si>
  <si>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</si>
  <si>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</si>
  <si>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</si>
  <si>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</si>
  <si>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</si>
  <si>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</si>
  <si>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</si>
  <si>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</si>
  <si>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</si>
  <si>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</si>
  <si>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</si>
  <si>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</si>
  <si>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</si>
  <si>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</si>
  <si>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</si>
  <si>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</si>
  <si>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</si>
  <si>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</si>
  <si>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</si>
  <si>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</si>
  <si>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</si>
  <si>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</si>
  <si>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</si>
  <si>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</si>
  <si>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</si>
  <si>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</si>
  <si>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</si>
  <si>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</si>
  <si>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</si>
  <si>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</si>
  <si>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</si>
  <si>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</si>
  <si>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</si>
  <si>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</si>
  <si>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</si>
  <si>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</si>
  <si>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</si>
  <si>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</si>
  <si>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</si>
  <si>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</si>
  <si>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</si>
  <si>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</si>
  <si>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</si>
  <si>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</si>
  <si>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</si>
  <si>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</si>
  <si>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</si>
  <si>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</si>
  <si>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</si>
  <si>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</si>
  <si>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</si>
  <si>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</si>
  <si>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</si>
  <si>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</si>
  <si>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</si>
  <si>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</si>
  <si>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</si>
  <si>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</si>
  <si>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</si>
  <si>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</si>
  <si>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</si>
  <si>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</si>
  <si>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</si>
  <si>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</si>
  <si>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</si>
  <si>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</si>
  <si>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</si>
  <si>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</si>
  <si>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</si>
  <si>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</si>
  <si>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</si>
  <si>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</si>
  <si>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</si>
  <si>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</si>
  <si>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</si>
  <si>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</si>
  <si>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</si>
  <si>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</si>
  <si>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</si>
  <si>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</si>
  <si>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</si>
  <si>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</si>
  <si>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</si>
  <si>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</si>
  <si>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</si>
  <si>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</si>
  <si>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</si>
  <si>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</si>
  <si>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</si>
  <si>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</si>
  <si>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</si>
  <si>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</si>
  <si>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</si>
  <si>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</si>
  <si>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</si>
  <si>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</si>
  <si>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</si>
  <si>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</si>
  <si>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</si>
  <si>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</si>
  <si>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</si>
  <si>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</si>
  <si>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</si>
  <si>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</si>
  <si>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</si>
  <si>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</si>
  <si>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</si>
  <si>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</si>
  <si>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</si>
  <si>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</si>
  <si>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</si>
  <si>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</si>
  <si>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</si>
  <si>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</si>
  <si>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</si>
  <si>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</si>
  <si>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</si>
  <si>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</si>
  <si>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</si>
  <si>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</si>
  <si>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</si>
  <si>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</si>
  <si>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</si>
  <si>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</si>
  <si>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</si>
  <si>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</si>
  <si>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</si>
  <si>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</si>
  <si>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</si>
  <si>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</si>
  <si>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</si>
  <si>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</si>
  <si>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</si>
  <si>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</si>
  <si>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</si>
  <si>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</si>
  <si>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</si>
  <si>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</si>
  <si>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</si>
  <si>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</si>
  <si>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</si>
  <si>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</si>
  <si>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</si>
  <si>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</si>
  <si>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</si>
  <si>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</si>
  <si>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</si>
  <si>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</si>
  <si>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</si>
  <si>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</si>
  <si>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</si>
  <si>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</si>
  <si>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</si>
  <si>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</si>
  <si>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</si>
  <si>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</si>
  <si>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</si>
  <si>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</si>
  <si>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</si>
  <si>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</si>
  <si>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</si>
  <si>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</si>
  <si>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</si>
  <si>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</si>
  <si>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</si>
  <si>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</si>
  <si>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</si>
  <si>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</si>
  <si>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</si>
  <si>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</si>
  <si>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</si>
  <si>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</si>
  <si>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</si>
  <si>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</si>
  <si>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</si>
  <si>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</si>
  <si>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</si>
  <si>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</si>
  <si>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</si>
  <si>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</si>
  <si>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</si>
  <si>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</si>
  <si>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</si>
  <si>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</si>
  <si>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</si>
  <si>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</si>
  <si>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</si>
  <si>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</si>
  <si>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</si>
  <si>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</si>
  <si>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</si>
  <si>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</si>
  <si>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</si>
  <si>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</si>
  <si>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</si>
  <si>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</si>
  <si>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</si>
  <si>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</si>
  <si>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</si>
  <si>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</si>
  <si>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</si>
  <si>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</si>
  <si>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</si>
  <si>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</si>
  <si>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</si>
  <si>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</si>
  <si>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</si>
  <si>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</si>
  <si>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</si>
  <si>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</si>
  <si>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</si>
  <si>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</si>
  <si>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</si>
  <si>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</si>
  <si>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</si>
  <si>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</si>
  <si>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</si>
  <si>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</si>
  <si>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</si>
  <si>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</si>
  <si>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</si>
  <si>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</si>
  <si>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</si>
  <si>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</si>
  <si>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</si>
  <si>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</si>
  <si>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</si>
  <si>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</si>
  <si>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</si>
  <si>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</si>
  <si>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</si>
  <si>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</si>
  <si>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</si>
  <si>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</si>
  <si>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</si>
  <si>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</si>
  <si>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</si>
  <si>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</si>
  <si>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</si>
  <si>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</si>
  <si>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</si>
  <si>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</si>
  <si>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</si>
  <si>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</si>
  <si>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</si>
  <si>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</si>
  <si>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</si>
  <si>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</si>
  <si>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</si>
  <si>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</si>
  <si>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</si>
  <si>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</si>
  <si>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</si>
  <si>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</si>
  <si>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</si>
  <si>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</si>
  <si>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</si>
  <si>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</si>
  <si>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</si>
  <si>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</si>
  <si>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</si>
  <si>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</si>
  <si>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</si>
  <si>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</si>
  <si>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</si>
  <si>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</si>
  <si>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</si>
  <si>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</si>
  <si>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</si>
  <si>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</si>
  <si>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</si>
  <si>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</si>
  <si>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</si>
  <si>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</si>
  <si>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</si>
  <si>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</si>
  <si>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</si>
  <si>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</si>
  <si>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</si>
  <si>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</si>
  <si>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</si>
  <si>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</si>
  <si>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</si>
  <si>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</si>
  <si>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</si>
  <si>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</si>
  <si>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</si>
  <si>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</si>
  <si>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</si>
  <si>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</si>
  <si>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</si>
  <si>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</si>
  <si>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</si>
  <si>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</si>
  <si>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</si>
  <si>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</si>
  <si>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</si>
  <si>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</si>
  <si>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</si>
  <si>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</si>
  <si>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</si>
  <si>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</si>
  <si>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</si>
  <si>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</si>
  <si>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</si>
  <si>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</si>
  <si>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</si>
  <si>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</si>
  <si>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</si>
  <si>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</si>
  <si>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</si>
  <si>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</si>
  <si>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</si>
  <si>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</si>
  <si>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</si>
  <si>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</si>
  <si>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</si>
  <si>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</si>
  <si>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</si>
  <si>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</si>
  <si>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</si>
  <si>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</si>
  <si>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</si>
  <si>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</si>
  <si>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</si>
  <si>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</si>
  <si>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</si>
  <si>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</si>
  <si>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</si>
  <si>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</si>
  <si>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</si>
  <si>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</si>
  <si>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</si>
  <si>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</si>
  <si>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</si>
  <si>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</si>
  <si>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</si>
  <si>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</si>
  <si>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</si>
  <si>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</si>
  <si>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</si>
  <si>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</si>
  <si>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</si>
  <si>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</si>
  <si>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</si>
  <si>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</si>
  <si>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</si>
  <si>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</si>
  <si>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</si>
  <si>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</si>
  <si>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</si>
  <si>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</si>
  <si>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</si>
  <si>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</si>
  <si>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</si>
  <si>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</si>
  <si>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</si>
  <si>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</si>
  <si>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</si>
  <si>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</si>
  <si>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</si>
  <si>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</si>
  <si>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</si>
  <si>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</si>
  <si>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</si>
  <si>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</si>
  <si>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</si>
  <si>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</si>
  <si>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</si>
  <si>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</si>
  <si>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</si>
  <si>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</si>
  <si>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</si>
  <si>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</si>
  <si>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</si>
  <si>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</si>
  <si>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</si>
  <si>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</si>
  <si>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</si>
  <si>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</si>
  <si>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</si>
  <si>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</si>
  <si>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</si>
  <si>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</si>
  <si>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</si>
  <si>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</si>
  <si>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</si>
  <si>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</si>
  <si>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</si>
  <si>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</si>
  <si>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</si>
  <si>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</si>
  <si>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</si>
  <si>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</si>
  <si>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</si>
  <si>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</si>
  <si>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</si>
  <si>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</si>
  <si>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</si>
  <si>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</si>
  <si>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</si>
  <si>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</si>
  <si>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</si>
  <si>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</si>
  <si>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</si>
  <si>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</si>
  <si>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</si>
  <si>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</si>
  <si>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</si>
  <si>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</si>
  <si>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</si>
  <si>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</si>
  <si>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</si>
  <si>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</si>
  <si>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</si>
  <si>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</si>
  <si>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</si>
  <si>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</si>
  <si>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</si>
  <si>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</si>
  <si>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</si>
  <si>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</si>
  <si>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</si>
  <si>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</si>
  <si>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</si>
  <si>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</si>
  <si>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</si>
  <si>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</si>
  <si>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</si>
  <si>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</si>
  <si>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</si>
  <si>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</si>
  <si>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</si>
  <si>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</si>
  <si>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</si>
  <si>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</si>
  <si>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</si>
  <si>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</si>
  <si>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</si>
  <si>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</si>
  <si>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</si>
  <si>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</si>
  <si>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</si>
  <si>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</si>
  <si>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</si>
  <si>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</si>
  <si>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</si>
  <si>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</si>
  <si>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</si>
  <si>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</si>
  <si>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</si>
  <si>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</si>
  <si>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</si>
  <si>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</si>
  <si>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</si>
  <si>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</si>
  <si>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</si>
  <si>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</si>
  <si>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</si>
  <si>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</si>
  <si>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</si>
  <si>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</si>
  <si>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</si>
  <si>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</si>
  <si>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</si>
  <si>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</si>
  <si>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</si>
  <si>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</si>
  <si>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</si>
  <si>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</si>
  <si>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</si>
  <si>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</si>
  <si>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</si>
  <si>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</si>
  <si>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</si>
  <si>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</si>
  <si>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</si>
  <si>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</si>
  <si>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</si>
  <si>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</si>
  <si>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</si>
  <si>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</si>
  <si>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</si>
  <si>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</si>
  <si>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</si>
  <si>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</si>
  <si>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</si>
  <si>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</si>
  <si>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</si>
  <si>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</si>
  <si>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</si>
  <si>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</si>
  <si>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</si>
  <si>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</si>
  <si>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</si>
  <si>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</si>
  <si>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</si>
  <si>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</si>
  <si>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</si>
  <si>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</si>
  <si>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</si>
  <si>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</si>
  <si>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</si>
  <si>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</si>
  <si>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</si>
  <si>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</si>
  <si>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</si>
  <si>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</si>
  <si>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</si>
  <si>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</si>
  <si>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</si>
  <si>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</si>
  <si>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</si>
  <si>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</si>
  <si>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</si>
  <si>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</si>
  <si>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</si>
  <si>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</si>
  <si>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</si>
  <si>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</si>
  <si>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</si>
  <si>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</si>
  <si>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</si>
  <si>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</si>
  <si>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</si>
  <si>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</si>
  <si>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</si>
  <si>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</si>
  <si>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</si>
  <si>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</si>
  <si>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</si>
  <si>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</si>
  <si>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</si>
  <si>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</si>
  <si>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</si>
  <si>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</si>
  <si>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</si>
  <si>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</si>
  <si>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</si>
  <si>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</si>
  <si>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</si>
  <si>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</si>
  <si>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</si>
  <si>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</si>
  <si>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</si>
  <si>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</si>
  <si>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</si>
  <si>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</si>
  <si>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</si>
  <si>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</si>
  <si>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</si>
  <si>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</si>
  <si>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</si>
  <si>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</si>
  <si>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</si>
  <si>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</si>
  <si>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</si>
  <si>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</si>
  <si>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</si>
  <si>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</si>
  <si>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</si>
  <si>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</si>
  <si>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</si>
  <si>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</si>
  <si>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</si>
  <si>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</si>
  <si>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</si>
  <si>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</si>
  <si>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</si>
  <si>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</si>
  <si>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</si>
  <si>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</si>
  <si>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</si>
  <si>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</si>
  <si>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</si>
  <si>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</si>
  <si>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</si>
  <si>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</si>
  <si>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</si>
  <si>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</si>
  <si>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</si>
  <si>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</si>
  <si>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</si>
  <si>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</si>
  <si>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</si>
  <si>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</si>
  <si>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</si>
  <si>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</si>
  <si>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</si>
  <si>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</si>
  <si>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</si>
  <si>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</si>
  <si>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</si>
  <si>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</si>
  <si>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</si>
  <si>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</si>
  <si>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</si>
  <si>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</si>
  <si>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</si>
  <si>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</si>
  <si>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</si>
  <si>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</si>
  <si>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</si>
  <si>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</si>
  <si>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</si>
  <si>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</si>
  <si>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</si>
  <si>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</si>
  <si>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</si>
  <si>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</si>
  <si>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</si>
  <si>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</si>
  <si>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</si>
  <si>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</si>
  <si>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</si>
  <si>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</si>
  <si>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</si>
  <si>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</si>
  <si>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</si>
  <si>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</si>
  <si>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</si>
  <si>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</si>
  <si>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</si>
  <si>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</si>
  <si>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</si>
  <si>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</si>
  <si>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</si>
  <si>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</si>
  <si>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</si>
  <si>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</si>
  <si>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</si>
  <si>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</si>
  <si>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</si>
  <si>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</si>
  <si>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</si>
  <si>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</si>
  <si>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</si>
  <si>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</si>
  <si>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</si>
  <si>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</si>
  <si>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</si>
  <si>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</si>
  <si>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</si>
  <si>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</si>
  <si>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</si>
  <si>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</si>
  <si>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</si>
  <si>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</si>
  <si>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</si>
  <si>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</si>
  <si>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</si>
  <si>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</si>
  <si>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</si>
  <si>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</si>
  <si>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</si>
  <si>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</si>
  <si>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</si>
  <si>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</si>
  <si>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</si>
  <si>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</si>
  <si>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</si>
  <si>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</si>
  <si>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</si>
  <si>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</si>
  <si>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</si>
  <si>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</si>
  <si>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</si>
  <si>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</si>
  <si>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</si>
  <si>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</si>
  <si>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</si>
  <si>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</si>
  <si>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</si>
  <si>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</si>
  <si>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</si>
  <si>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</si>
  <si>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</si>
  <si>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</si>
  <si>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</si>
  <si>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</si>
  <si>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</si>
  <si>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</si>
  <si>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</si>
  <si>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</si>
  <si>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</si>
  <si>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</si>
  <si>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</si>
  <si>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</si>
  <si>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</si>
  <si>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</si>
  <si>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</si>
  <si>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</si>
  <si>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</si>
  <si>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</si>
  <si>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</si>
  <si>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</si>
  <si>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</si>
  <si>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</si>
  <si>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</si>
  <si>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</si>
  <si>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</si>
  <si>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</si>
  <si>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</si>
  <si>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</si>
  <si>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</si>
  <si>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</si>
  <si>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</si>
  <si>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</si>
  <si>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</si>
  <si>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</si>
  <si>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</si>
  <si>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</si>
  <si>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</si>
  <si>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</si>
  <si>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</si>
  <si>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</si>
  <si>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</si>
  <si>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</si>
  <si>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</si>
  <si>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</si>
  <si>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</si>
  <si>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</si>
  <si>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</si>
  <si>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</si>
  <si>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</si>
  <si>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</si>
  <si>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</si>
  <si>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</si>
  <si>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</si>
  <si>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</si>
  <si>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</si>
  <si>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</si>
  <si>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</si>
  <si>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</si>
  <si>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</si>
  <si>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</si>
  <si>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</si>
  <si>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</si>
  <si>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</si>
  <si>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</si>
  <si>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</si>
  <si>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</si>
  <si>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</si>
  <si>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</si>
  <si>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</si>
  <si>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</si>
  <si>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</si>
  <si>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</si>
  <si>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</si>
  <si>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</si>
  <si>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</si>
  <si>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</si>
  <si>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</si>
  <si>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</si>
  <si>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</si>
  <si>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</si>
  <si>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</si>
  <si>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</si>
  <si>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</si>
  <si>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</si>
  <si>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</si>
  <si>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</si>
  <si>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</si>
  <si>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</si>
  <si>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</si>
  <si>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</si>
  <si>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</si>
  <si>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</si>
  <si>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</si>
  <si>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</si>
  <si>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</si>
  <si>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</si>
  <si>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</si>
  <si>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</si>
  <si>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</si>
  <si>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</si>
  <si>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</si>
  <si>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</si>
  <si>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</si>
  <si>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</si>
  <si>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</si>
  <si>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</si>
  <si>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</si>
  <si>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</si>
  <si>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</si>
  <si>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</si>
  <si>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</si>
  <si>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</si>
  <si>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</si>
  <si>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</si>
  <si>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</si>
  <si>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</si>
  <si>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</si>
  <si>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</si>
  <si>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</si>
  <si>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</si>
  <si>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</si>
  <si>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</si>
  <si>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</si>
  <si>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</si>
  <si>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</si>
  <si>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</si>
  <si>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</si>
  <si>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</si>
  <si>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</si>
  <si>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</si>
  <si>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</si>
  <si>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</si>
  <si>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</si>
  <si>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</si>
  <si>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</si>
  <si>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</si>
  <si>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</si>
  <si>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</si>
  <si>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</si>
  <si>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</si>
  <si>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</si>
  <si>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</si>
  <si>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</si>
  <si>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</si>
  <si>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</si>
  <si>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</si>
  <si>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</si>
  <si>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</si>
  <si>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</si>
  <si>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</si>
  <si>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</si>
  <si>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</si>
  <si>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</si>
  <si>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</si>
  <si>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</si>
  <si>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</si>
  <si>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</si>
  <si>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</si>
  <si>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</si>
  <si>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</si>
  <si>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</si>
  <si>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</si>
  <si>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</si>
  <si>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</si>
  <si>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</si>
  <si>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</si>
  <si>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</si>
  <si>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</si>
  <si>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</si>
  <si>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</si>
  <si>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</si>
  <si>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</si>
  <si>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</si>
  <si>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</si>
  <si>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</si>
  <si>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</si>
  <si>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</si>
  <si>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</si>
  <si>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</si>
  <si>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</si>
  <si>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</si>
  <si>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</si>
  <si>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</si>
  <si>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</si>
  <si>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</si>
  <si>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</si>
  <si>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</si>
  <si>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</si>
  <si>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</si>
  <si>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</si>
  <si>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</si>
  <si>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</si>
  <si>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</si>
  <si>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</si>
  <si>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</si>
  <si>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</si>
  <si>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</si>
  <si>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</si>
  <si>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</si>
  <si>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</si>
  <si>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</si>
  <si>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</si>
  <si>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</si>
  <si>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</si>
  <si>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</si>
  <si>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</si>
  <si>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</si>
  <si>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</si>
  <si>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</si>
  <si>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</si>
  <si>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</si>
  <si>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</si>
  <si>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</si>
  <si>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</si>
  <si>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</si>
  <si>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</si>
  <si>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</si>
  <si>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</si>
  <si>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</si>
  <si>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</si>
  <si>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</si>
  <si>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</si>
  <si>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</si>
  <si>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</si>
  <si>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</si>
  <si>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</si>
  <si>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</si>
  <si>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</si>
  <si>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</si>
  <si>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</si>
  <si>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</si>
  <si>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</si>
  <si>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</si>
  <si>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</si>
  <si>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</si>
  <si>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</si>
  <si>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</si>
  <si>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</si>
  <si>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</si>
  <si>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</si>
  <si>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</si>
  <si>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</si>
  <si>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</si>
  <si>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</si>
  <si>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</si>
  <si>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</si>
  <si>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</si>
  <si>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</si>
  <si>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</si>
  <si>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</si>
  <si>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</si>
  <si>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</si>
  <si>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</si>
  <si>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</si>
  <si>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</si>
  <si>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</si>
  <si>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</si>
  <si>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</si>
  <si>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</si>
  <si>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</si>
  <si>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</si>
  <si>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</si>
  <si>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</si>
  <si>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</si>
  <si>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</si>
  <si>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</si>
  <si>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</si>
  <si>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</si>
  <si>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</si>
  <si>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</si>
  <si>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</si>
  <si>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</si>
  <si>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</si>
  <si>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</si>
  <si>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</si>
  <si>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</si>
  <si>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</si>
  <si>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</si>
  <si>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</si>
  <si>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</si>
  <si>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</si>
  <si>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</si>
  <si>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</si>
  <si>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</si>
  <si>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</si>
  <si>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</si>
  <si>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</si>
  <si>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</si>
  <si>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</si>
  <si>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</si>
  <si>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</si>
  <si>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</si>
  <si>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</si>
  <si>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</si>
  <si>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</si>
  <si>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</si>
  <si>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</si>
  <si>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</si>
  <si>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</si>
  <si>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</si>
  <si>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</si>
  <si>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</si>
  <si>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</si>
  <si>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</si>
  <si>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</si>
  <si>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</si>
  <si>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</si>
  <si>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</si>
  <si>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</si>
  <si>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</si>
  <si>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</si>
  <si>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</si>
  <si>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</si>
  <si>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</si>
  <si>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</si>
  <si>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</si>
  <si>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</si>
  <si>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</si>
  <si>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</si>
  <si>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</si>
  <si>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</si>
  <si>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</si>
  <si>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</si>
  <si>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</si>
  <si>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</si>
  <si>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</si>
  <si>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</si>
  <si>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</si>
  <si>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</si>
  <si>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</si>
  <si>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</si>
  <si>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ROW &amp; Fronts are not cleared for further work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</si>
  <si>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</si>
  <si>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</si>
  <si>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</si>
  <si>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</si>
  <si>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</si>
  <si>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</si>
  <si>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</si>
  <si>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</si>
  <si>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</si>
  <si>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</si>
  <si>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</si>
  <si>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</si>
  <si>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</si>
  <si>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</si>
  <si>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>wip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</si>
  <si>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</si>
  <si>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</si>
  <si>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</si>
  <si>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</si>
  <si>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</si>
  <si>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</si>
  <si>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</si>
  <si>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Work stopped due to ROW, Team is idle from last 4 days</t>
  </si>
  <si>
    <t>Trial Pit is Pending ,PP required , Work hampering due to ROW</t>
  </si>
  <si>
    <t>Twastha Infrastruture</t>
  </si>
  <si>
    <t>Pit CD Steel Binding Complete</t>
  </si>
  <si>
    <t>Pit C Pyramid Chimney casting done ,Pit D Frustum Casting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</si>
</sst>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6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vertical="center" wrapText="1"/>
    </xf>
    <xf numFmtId="0" fontId="123" fillId="63" borderId="9" xfId="0" applyFont="1" applyFill="1" applyBorder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/>
    </xf>
    <xf numFmtId="1" fontId="64" fillId="49" borderId="51" xfId="0" applyNumberFormat="1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CCFF"/>
      <color rgb="FF66FF99"/>
      <color rgb="FF00FF00"/>
      <color rgb="FF7CEE9F"/>
      <color rgb="FF66FF66"/>
      <color rgb="FFFF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172216" y="18855403"/>
          <a:ext cx="123879" cy="297940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548501" y="18855636"/>
          <a:ext cx="274320" cy="350040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695597" y="18855636"/>
          <a:ext cx="274320" cy="350040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136888" y="18855636"/>
          <a:ext cx="274320" cy="350040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283984" y="18855636"/>
          <a:ext cx="274320" cy="350040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431081" y="18855636"/>
          <a:ext cx="274320" cy="350040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578178" y="18855636"/>
          <a:ext cx="274320" cy="350040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58790" y="2789612"/>
          <a:ext cx="0" cy="28588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74274" y="9678808"/>
          <a:ext cx="238169" cy="348274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77984" y="9730044"/>
          <a:ext cx="238169" cy="348274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81694" y="9770806"/>
          <a:ext cx="238169" cy="34827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85403" y="9770806"/>
          <a:ext cx="238169" cy="34827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10484" y="9770806"/>
          <a:ext cx="238169" cy="34827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21613" y="9770806"/>
          <a:ext cx="238169" cy="34827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25323" y="9770806"/>
          <a:ext cx="238169" cy="34827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29032" y="14123629"/>
          <a:ext cx="238169" cy="34827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10885" y="17984839"/>
          <a:ext cx="238169" cy="34827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96532" y="17984839"/>
          <a:ext cx="238169" cy="34827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08441" y="19853595"/>
          <a:ext cx="238169" cy="349228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14194" y="17984839"/>
          <a:ext cx="238169" cy="34827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17903" y="17984839"/>
          <a:ext cx="238169" cy="34827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21613" y="17984839"/>
          <a:ext cx="238169" cy="34827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25323" y="17984839"/>
          <a:ext cx="238169" cy="34827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31299" y="18006611"/>
          <a:ext cx="235901" cy="33412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32742" y="17984839"/>
          <a:ext cx="238169" cy="34827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92823" y="11860161"/>
          <a:ext cx="238169" cy="34827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96532" y="11860161"/>
          <a:ext cx="238169" cy="34827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10484" y="11860161"/>
          <a:ext cx="238169" cy="34827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81694" y="11860161"/>
          <a:ext cx="238169" cy="34827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32742" y="11860161"/>
          <a:ext cx="238169" cy="34827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0565" y="11860161"/>
          <a:ext cx="238169" cy="34827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0565" y="9596694"/>
          <a:ext cx="238169" cy="348273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17903" y="11860161"/>
          <a:ext cx="238169" cy="34827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99155" y="9799857"/>
          <a:ext cx="238169" cy="34160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21621" y="14103063"/>
          <a:ext cx="238169" cy="34160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32742" y="35641937"/>
          <a:ext cx="238169" cy="34827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25323" y="11813683"/>
          <a:ext cx="238169" cy="396658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81694" y="13949516"/>
          <a:ext cx="238169" cy="34827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14194" y="9703848"/>
          <a:ext cx="238169" cy="341606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29032" y="11895878"/>
          <a:ext cx="238169" cy="34160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10484" y="13973328"/>
          <a:ext cx="238169" cy="34160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85403" y="14044764"/>
          <a:ext cx="238169" cy="34160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77984" y="31756399"/>
          <a:ext cx="238169" cy="341607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10484" y="35604565"/>
          <a:ext cx="238169" cy="341606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29032" y="35616471"/>
          <a:ext cx="238169" cy="341606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96532" y="13985234"/>
          <a:ext cx="238169" cy="34160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85403" y="11872063"/>
          <a:ext cx="238169" cy="34160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0565" y="13997140"/>
          <a:ext cx="238169" cy="34160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89113" y="14032858"/>
          <a:ext cx="238169" cy="34160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17903" y="14009046"/>
          <a:ext cx="238169" cy="34160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21613" y="35656367"/>
          <a:ext cx="238169" cy="34827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96532" y="37720257"/>
          <a:ext cx="238169" cy="34160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23725" y="14030480"/>
          <a:ext cx="238169" cy="34160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02319" y="19842653"/>
          <a:ext cx="238169" cy="341609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96491" y="19901039"/>
          <a:ext cx="222294" cy="34922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5293" y="14001740"/>
          <a:ext cx="238169" cy="34160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5808" y="14006341"/>
          <a:ext cx="243114" cy="34160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50055" y="7629015"/>
          <a:ext cx="238169" cy="32779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72343" y="9716254"/>
          <a:ext cx="243113" cy="348274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46351" y="14107663"/>
          <a:ext cx="238169" cy="34160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41938" y="14138575"/>
          <a:ext cx="238169" cy="34160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0673" y="15999262"/>
          <a:ext cx="235432" cy="34160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92666" y="16046597"/>
          <a:ext cx="238169" cy="372333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31501" y="17946704"/>
          <a:ext cx="238169" cy="34827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29918" y="35637146"/>
          <a:ext cx="238169" cy="348274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82598" y="37642245"/>
          <a:ext cx="238169" cy="34160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22508" y="35620724"/>
          <a:ext cx="238169" cy="348274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2122" y="37696112"/>
          <a:ext cx="243113" cy="34160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38919" y="9724872"/>
          <a:ext cx="238169" cy="341606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86100" y="9745301"/>
          <a:ext cx="243113" cy="341606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4381" y="37695239"/>
          <a:ext cx="271014" cy="34160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32742" y="7640484"/>
          <a:ext cx="238169" cy="325845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21613" y="7640484"/>
          <a:ext cx="238169" cy="320803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25323" y="7640484"/>
          <a:ext cx="238169" cy="320803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32742" y="9770806"/>
          <a:ext cx="238169" cy="348275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29032" y="9770806"/>
          <a:ext cx="238169" cy="348275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74274" y="11860161"/>
          <a:ext cx="238169" cy="348275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77984" y="11860161"/>
          <a:ext cx="238169" cy="348275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89113" y="11860161"/>
          <a:ext cx="238169" cy="348275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14194" y="11860161"/>
          <a:ext cx="238169" cy="348275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0565" y="17984839"/>
          <a:ext cx="238169" cy="348276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74274" y="17984839"/>
          <a:ext cx="238169" cy="348276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77984" y="17984839"/>
          <a:ext cx="238169" cy="348276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81694" y="17984839"/>
          <a:ext cx="238169" cy="348276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85403" y="17984839"/>
          <a:ext cx="238169" cy="348276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92823" y="17984839"/>
          <a:ext cx="238169" cy="348276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89113" y="16038871"/>
          <a:ext cx="238169" cy="34734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92823" y="16038871"/>
          <a:ext cx="238169" cy="34734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96532" y="16038871"/>
          <a:ext cx="238169" cy="34734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10484" y="16038871"/>
          <a:ext cx="238169" cy="34734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14194" y="16038871"/>
          <a:ext cx="238169" cy="34734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17903" y="16038871"/>
          <a:ext cx="238169" cy="34734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21613" y="16038871"/>
          <a:ext cx="238169" cy="34734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25323" y="16038871"/>
          <a:ext cx="238169" cy="34734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29032" y="16038871"/>
          <a:ext cx="238169" cy="34734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32742" y="16038871"/>
          <a:ext cx="238169" cy="34734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10484" y="19900081"/>
          <a:ext cx="238169" cy="348275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32742" y="23730565"/>
          <a:ext cx="238169" cy="348275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0565" y="25994032"/>
          <a:ext cx="238169" cy="348275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74274" y="25994032"/>
          <a:ext cx="238169" cy="348275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77984" y="25994032"/>
          <a:ext cx="238169" cy="348275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14194" y="35641935"/>
          <a:ext cx="238169" cy="34827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85403" y="37731290"/>
          <a:ext cx="238169" cy="34827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89113" y="37731290"/>
          <a:ext cx="238169" cy="34827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92823" y="37731290"/>
          <a:ext cx="238169" cy="34827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7"/>
      <c r="B1" s="69" t="s">
        <v>0</v>
      </c>
      <c r="C1" s="70" t="s">
        <v>1</v>
      </c>
      <c r="D1" s="71" t="s">
        <v>2</v>
      </c>
      <c r="E1" s="72"/>
      <c r="F1" s="73">
        <f ca="1">TODAY()-1</f>
        <v>46195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8"/>
      <c r="B2" s="80" t="s">
        <v>5</v>
      </c>
      <c r="C2" s="650" t="s">
        <v>6</v>
      </c>
      <c r="D2" s="651"/>
      <c r="E2" s="652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8"/>
      <c r="B3" s="80" t="s">
        <v>10</v>
      </c>
      <c r="C3" s="650" t="s">
        <v>11</v>
      </c>
      <c r="D3" s="651"/>
      <c r="E3" s="652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9"/>
      <c r="B4" s="80" t="s">
        <v>15</v>
      </c>
      <c r="C4" s="653">
        <v>46153</v>
      </c>
      <c r="D4" s="653"/>
      <c r="E4" s="654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5" t="s">
        <v>20</v>
      </c>
      <c r="B5" s="655"/>
      <c r="C5" s="655"/>
      <c r="D5" s="655"/>
      <c r="E5" s="655"/>
      <c r="F5" s="655"/>
      <c r="G5" s="655"/>
      <c r="H5" s="655"/>
      <c r="I5" s="655"/>
      <c r="J5" s="655"/>
      <c r="K5" s="655"/>
      <c r="L5" s="655"/>
      <c r="M5"/>
    </row>
    <row r="6" spans="1:15" ht="28.5">
      <c r="A6" s="646" t="s">
        <v>21</v>
      </c>
      <c r="B6" s="646"/>
      <c r="C6" s="646"/>
      <c r="D6" s="646"/>
      <c r="E6" s="646"/>
      <c r="F6" s="646"/>
      <c r="G6" s="646"/>
      <c r="H6" s="646"/>
      <c r="I6" s="646"/>
      <c r="J6" s="646"/>
      <c r="K6" s="646"/>
      <c r="L6" s="646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9" t="s">
        <v>39</v>
      </c>
      <c r="B12" s="659"/>
      <c r="C12" s="659"/>
      <c r="D12" s="659"/>
      <c r="E12" s="659"/>
      <c r="F12" s="659"/>
      <c r="G12" s="659"/>
      <c r="H12" s="659"/>
      <c r="I12" s="659"/>
      <c r="J12" s="659"/>
      <c r="K12" s="659"/>
      <c r="L12" s="659"/>
      <c r="M12" s="659"/>
      <c r="N12" s="659"/>
      <c r="O12" s="65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0" t="s">
        <v>33</v>
      </c>
      <c r="O13" s="66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1" t="s">
        <v>53</v>
      </c>
      <c r="O14" s="66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6"/>
      <c r="O15" s="656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56"/>
      <c r="O16" s="656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>
        <f>'AOTL - KEC'!L14</f>
        <v>1</v>
      </c>
      <c r="N17" s="656"/>
      <c r="O17" s="656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6"/>
      <c r="O18" s="656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7"/>
      <c r="O19" s="657"/>
    </row>
    <row r="20" spans="1:15" ht="24" customHeight="1">
      <c r="N20" s="658"/>
      <c r="O20" s="658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M18" sqref="M18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6"/>
      <c r="B1" s="280" t="s">
        <v>0</v>
      </c>
      <c r="C1" s="669" t="s">
        <v>59</v>
      </c>
      <c r="D1" s="669"/>
      <c r="E1" s="669"/>
      <c r="F1" s="280" t="s">
        <v>2</v>
      </c>
      <c r="G1" s="284">
        <v>46196</v>
      </c>
      <c r="H1" s="280" t="s">
        <v>3</v>
      </c>
      <c r="I1" s="285" t="s">
        <v>4</v>
      </c>
      <c r="J1" s="77"/>
      <c r="K1" s="78"/>
      <c r="L1" s="79"/>
    </row>
    <row r="2" spans="1:15" ht="21">
      <c r="A2" s="666"/>
      <c r="B2" s="280" t="s">
        <v>5</v>
      </c>
      <c r="C2" s="667" t="s">
        <v>60</v>
      </c>
      <c r="D2" s="667"/>
      <c r="E2" s="667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6"/>
      <c r="B3" s="280" t="s">
        <v>10</v>
      </c>
      <c r="C3" s="667" t="s">
        <v>61</v>
      </c>
      <c r="D3" s="667"/>
      <c r="E3" s="667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6"/>
      <c r="B4" s="280" t="s">
        <v>15</v>
      </c>
      <c r="C4" s="668"/>
      <c r="D4" s="668"/>
      <c r="E4" s="668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55"/>
      <c r="B5" s="655"/>
      <c r="C5" s="655"/>
      <c r="D5" s="655"/>
      <c r="E5" s="655"/>
      <c r="F5" s="655"/>
      <c r="G5" s="655"/>
      <c r="H5" s="655"/>
      <c r="I5" s="655"/>
      <c r="J5" s="655"/>
      <c r="K5" s="655"/>
      <c r="L5" s="655"/>
      <c r="M5"/>
    </row>
    <row r="6" spans="1:15" ht="28.5">
      <c r="A6" s="665" t="s">
        <v>65</v>
      </c>
      <c r="B6" s="665"/>
      <c r="C6" s="665"/>
      <c r="D6" s="665"/>
      <c r="E6" s="665"/>
      <c r="F6" s="665"/>
      <c r="G6" s="665"/>
      <c r="H6" s="665"/>
      <c r="I6" s="665"/>
      <c r="J6" s="665"/>
      <c r="K6" s="665"/>
      <c r="L6" s="665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2" t="s">
        <v>39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2"/>
      <c r="N12" s="662"/>
      <c r="O12" s="662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3" t="s">
        <v>33</v>
      </c>
      <c r="O13" s="663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4"/>
      <c r="O14" s="664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8</v>
      </c>
      <c r="I15" s="99">
        <v>293</v>
      </c>
      <c r="J15" s="101">
        <v>93</v>
      </c>
      <c r="K15" s="102">
        <f>B15-J15</f>
        <v>206</v>
      </c>
      <c r="L15" s="99">
        <v>3</v>
      </c>
      <c r="M15" s="99">
        <v>4</v>
      </c>
      <c r="N15" s="664" t="s">
        <v>1114</v>
      </c>
      <c r="O15" s="664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64"/>
      <c r="O16" s="664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>
        <v>1</v>
      </c>
      <c r="N17" s="664" t="s">
        <v>67</v>
      </c>
      <c r="O17" s="664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56"/>
      <c r="O18" s="656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7"/>
      <c r="O19" s="657"/>
    </row>
    <row r="20" spans="1:15" ht="40.35" customHeight="1">
      <c r="N20" s="658"/>
      <c r="O20" s="658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L14" sqref="L14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70" t="s">
        <v>86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252">
        <v>46196</v>
      </c>
    </row>
    <row r="2" spans="1:15" s="215" customFormat="1">
      <c r="A2" s="241" t="s">
        <v>87</v>
      </c>
      <c r="B2" s="242"/>
      <c r="C2" s="671" t="s">
        <v>72</v>
      </c>
      <c r="D2" s="671"/>
      <c r="E2" s="671"/>
      <c r="F2" s="671"/>
      <c r="G2" s="671"/>
      <c r="H2" s="671"/>
      <c r="I2" s="671"/>
      <c r="J2" s="671"/>
      <c r="K2" s="671"/>
      <c r="L2" s="671"/>
      <c r="M2" s="671"/>
    </row>
    <row r="3" spans="1:15" s="215" customFormat="1">
      <c r="A3" s="241" t="s">
        <v>88</v>
      </c>
      <c r="B3" s="242"/>
      <c r="C3" s="671" t="s">
        <v>89</v>
      </c>
      <c r="D3" s="671"/>
      <c r="E3" s="671"/>
      <c r="F3" s="671"/>
      <c r="G3" s="671"/>
      <c r="H3" s="671"/>
      <c r="I3" s="671"/>
      <c r="J3" s="671"/>
      <c r="K3" s="671"/>
      <c r="L3" s="671"/>
      <c r="M3" s="671"/>
    </row>
    <row r="4" spans="1:15" s="215" customFormat="1">
      <c r="A4" s="243" t="s">
        <v>90</v>
      </c>
      <c r="B4" s="243"/>
      <c r="C4" s="672" t="s">
        <v>91</v>
      </c>
      <c r="D4" s="672"/>
      <c r="E4" s="672"/>
      <c r="F4" s="672"/>
      <c r="G4" s="672"/>
      <c r="H4" s="672"/>
      <c r="I4" s="672"/>
      <c r="J4" s="672"/>
      <c r="K4" s="672"/>
      <c r="L4" s="672"/>
      <c r="M4" s="672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31.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8</v>
      </c>
      <c r="I12" s="230">
        <v>93</v>
      </c>
      <c r="J12" s="230">
        <f t="shared" si="1"/>
        <v>200</v>
      </c>
      <c r="K12" s="220">
        <v>3</v>
      </c>
      <c r="L12" s="220">
        <v>4</v>
      </c>
      <c r="M12" s="611" t="s">
        <v>1114</v>
      </c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>
        <v>1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3" zoomScaleNormal="100" zoomScaleSheetLayoutView="100" workbookViewId="0">
      <selection activeCell="C18" sqref="C1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5" t="s">
        <v>86</v>
      </c>
      <c r="C2" s="686"/>
      <c r="D2" s="686"/>
      <c r="E2" s="686"/>
      <c r="F2" s="686"/>
      <c r="G2" s="687"/>
    </row>
    <row r="3" spans="2:11" ht="16.5" thickBot="1">
      <c r="B3" s="688" t="s">
        <v>116</v>
      </c>
      <c r="C3" s="689"/>
      <c r="D3" s="689"/>
      <c r="E3" s="689"/>
      <c r="F3" s="689"/>
      <c r="G3" s="254">
        <f>+'AOTL - KEC'!M1</f>
        <v>46196</v>
      </c>
    </row>
    <row r="4" spans="2:11" ht="16.5" thickBot="1">
      <c r="B4" s="690" t="s">
        <v>117</v>
      </c>
      <c r="C4" s="691"/>
      <c r="D4" s="695" t="s">
        <v>89</v>
      </c>
      <c r="E4" s="696"/>
      <c r="F4" s="696"/>
      <c r="G4" s="697"/>
    </row>
    <row r="5" spans="2:11" ht="16.5" thickBot="1">
      <c r="B5" s="690" t="s">
        <v>118</v>
      </c>
      <c r="C5" s="691"/>
      <c r="D5" s="692" t="s">
        <v>119</v>
      </c>
      <c r="E5" s="693"/>
      <c r="F5" s="693"/>
      <c r="G5" s="69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2" t="s">
        <v>120</v>
      </c>
      <c r="C7" s="683"/>
      <c r="D7" s="683"/>
      <c r="E7" s="683"/>
      <c r="F7" s="683"/>
      <c r="G7" s="68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5" t="s">
        <v>125</v>
      </c>
      <c r="G8" s="67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3">
        <f>'AOTL - KEC'!J6</f>
        <v>0</v>
      </c>
      <c r="G9" s="674"/>
    </row>
    <row r="10" spans="2:11" ht="15.75" thickBot="1">
      <c r="B10" s="679" t="s">
        <v>126</v>
      </c>
      <c r="C10" s="680"/>
      <c r="D10" s="680"/>
      <c r="E10" s="680"/>
      <c r="F10" s="680"/>
      <c r="G10" s="68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5" t="s">
        <v>125</v>
      </c>
      <c r="G11" s="67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7">
        <f>B12-E12</f>
        <v>0</v>
      </c>
      <c r="G12" s="678"/>
    </row>
    <row r="13" spans="2:11" ht="15.75" thickBot="1">
      <c r="B13" s="679" t="s">
        <v>127</v>
      </c>
      <c r="C13" s="680"/>
      <c r="D13" s="680"/>
      <c r="E13" s="680"/>
      <c r="F13" s="680"/>
      <c r="G13" s="68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5" t="s">
        <v>125</v>
      </c>
      <c r="G14" s="676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3">
        <f>B15-E15</f>
        <v>6.5450000000000159</v>
      </c>
      <c r="G15" s="674"/>
      <c r="K15" s="6"/>
    </row>
    <row r="16" spans="2:11" ht="15.75" thickBot="1">
      <c r="B16" s="679" t="s">
        <v>128</v>
      </c>
      <c r="C16" s="680"/>
      <c r="D16" s="680"/>
      <c r="E16" s="680"/>
      <c r="F16" s="680"/>
      <c r="G16" s="68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5" t="s">
        <v>125</v>
      </c>
      <c r="G17" s="676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73">
        <f>B18-E18</f>
        <v>19.996999999999986</v>
      </c>
      <c r="G18" s="674"/>
      <c r="K18" s="13"/>
    </row>
    <row r="19" spans="2:11" ht="15.75" thickBot="1">
      <c r="B19" s="679" t="s">
        <v>129</v>
      </c>
      <c r="C19" s="680"/>
      <c r="D19" s="680"/>
      <c r="E19" s="680"/>
      <c r="F19" s="680"/>
      <c r="G19" s="68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5" t="s">
        <v>125</v>
      </c>
      <c r="G20" s="676"/>
      <c r="K20" s="14"/>
    </row>
    <row r="21" spans="2:11" ht="15.75" thickBot="1">
      <c r="B21" s="9">
        <f>'AOTL - KEC'!C12</f>
        <v>293</v>
      </c>
      <c r="C21" s="16">
        <v>85</v>
      </c>
      <c r="D21" s="16">
        <v>8</v>
      </c>
      <c r="E21" s="19">
        <v>93</v>
      </c>
      <c r="F21" s="677">
        <f>B21-E21</f>
        <v>200</v>
      </c>
      <c r="G21" s="678"/>
    </row>
    <row r="22" spans="2:11" ht="15.75" thickBot="1">
      <c r="B22" s="679" t="s">
        <v>1113</v>
      </c>
      <c r="C22" s="680"/>
      <c r="D22" s="680"/>
      <c r="E22" s="680"/>
      <c r="F22" s="680"/>
      <c r="G22" s="68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5" t="s">
        <v>125</v>
      </c>
      <c r="G23" s="676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77">
        <f>B24-E24</f>
        <v>204</v>
      </c>
      <c r="G24" s="678"/>
    </row>
    <row r="25" spans="2:11" ht="15.75" thickBot="1">
      <c r="B25" s="679" t="s">
        <v>131</v>
      </c>
      <c r="C25" s="680"/>
      <c r="D25" s="680"/>
      <c r="E25" s="680"/>
      <c r="F25" s="680"/>
      <c r="G25" s="68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5" t="s">
        <v>125</v>
      </c>
      <c r="G26" s="67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77">
        <f>B27-E27</f>
        <v>248</v>
      </c>
      <c r="G27" s="678"/>
    </row>
    <row r="28" spans="2:11" ht="15.75" thickBot="1">
      <c r="B28" s="679" t="s">
        <v>132</v>
      </c>
      <c r="C28" s="680"/>
      <c r="D28" s="680"/>
      <c r="E28" s="680"/>
      <c r="F28" s="680"/>
      <c r="G28" s="68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5" t="s">
        <v>133</v>
      </c>
      <c r="G29" s="67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3">
        <f>B30-E30</f>
        <v>114.51600000000001</v>
      </c>
      <c r="G30" s="674"/>
    </row>
    <row r="31" spans="2:11" ht="15.75" thickBot="1">
      <c r="B31" s="679" t="s">
        <v>134</v>
      </c>
      <c r="C31" s="680"/>
      <c r="D31" s="680"/>
      <c r="E31" s="680"/>
      <c r="F31" s="680"/>
      <c r="G31" s="68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5" t="s">
        <v>125</v>
      </c>
      <c r="G32" s="67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3">
        <f>B33-E33</f>
        <v>114.51600000000001</v>
      </c>
      <c r="G33" s="67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46196</v>
      </c>
    </row>
    <row r="2" spans="1:6">
      <c r="A2" s="562"/>
      <c r="E2" s="563"/>
    </row>
    <row r="3" spans="1:6" ht="15.75">
      <c r="A3" s="698" t="s">
        <v>243</v>
      </c>
      <c r="B3" s="699"/>
      <c r="C3" s="699"/>
      <c r="D3" s="699"/>
      <c r="E3" s="700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107.97099999999999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13.45199999999997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5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5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30" activePane="bottomRight" state="frozen"/>
      <selection activeCell="D6" sqref="D6"/>
      <selection pane="topRight" activeCell="D6" sqref="D6"/>
      <selection pane="bottomLeft" activeCell="D6" sqref="D6"/>
      <selection pane="bottomRight" activeCell="I44" sqref="I44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1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1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1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1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1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1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1" ht="20.100000000000001" customHeight="1">
      <c r="A23" s="406" t="s">
        <v>200</v>
      </c>
      <c r="B23" s="402" t="s">
        <v>1116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1119</v>
      </c>
      <c r="K23" s="258">
        <v>2.8450000000000002</v>
      </c>
    </row>
    <row r="24" spans="1:11" ht="20.100000000000001" customHeight="1">
      <c r="A24" s="619" t="s">
        <v>200</v>
      </c>
      <c r="B24" s="619" t="s">
        <v>1117</v>
      </c>
      <c r="C24" s="618">
        <v>5.0114799999999997</v>
      </c>
      <c r="D24" s="618">
        <f>C24</f>
        <v>5.0114799999999997</v>
      </c>
      <c r="E24" s="618">
        <f>D24</f>
        <v>5.0114799999999997</v>
      </c>
      <c r="F24" s="618"/>
      <c r="G24" s="618"/>
      <c r="H24" s="618"/>
      <c r="I24" s="618"/>
      <c r="J24" s="258" t="s">
        <v>1118</v>
      </c>
      <c r="K24" s="258">
        <v>3.4049999999999998</v>
      </c>
    </row>
    <row r="25" spans="1:11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>
        <f>E25</f>
        <v>5.3010000000000002</v>
      </c>
      <c r="G25" s="403">
        <v>5.3010000000000002</v>
      </c>
      <c r="H25" s="403">
        <v>5.3010000000000002</v>
      </c>
      <c r="I25" s="618">
        <v>4.49</v>
      </c>
    </row>
    <row r="26" spans="1:11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8"/>
    </row>
    <row r="27" spans="1:11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1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  <c r="K28" s="258">
        <v>353.55</v>
      </c>
    </row>
    <row r="29" spans="1:11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  <c r="K29" s="258">
        <v>362.84</v>
      </c>
    </row>
    <row r="30" spans="1:11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8">
        <v>4.5140000000000002</v>
      </c>
      <c r="G30" s="618"/>
      <c r="H30" s="618"/>
      <c r="I30" s="618"/>
      <c r="J30" s="405"/>
      <c r="K30" s="258">
        <v>410.43</v>
      </c>
    </row>
    <row r="31" spans="1:11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  <c r="K31" s="258">
        <v>406.38</v>
      </c>
    </row>
    <row r="32" spans="1:11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  <c r="K32" s="258">
        <v>413.88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  <c r="K33" s="258">
        <v>397.98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  <c r="K34" s="258">
        <v>444.34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  <c r="K35" s="258">
        <v>163.1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  <c r="K36" s="258">
        <v>516.34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  <c r="K37" s="258">
        <v>300.73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  <c r="K38" s="258">
        <v>491.39</v>
      </c>
    </row>
    <row r="39" spans="1:11" ht="20.100000000000001" customHeight="1">
      <c r="A39" s="704"/>
      <c r="B39" s="704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 t="shared" si="4"/>
        <v>107.97099999999999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20" t="s">
        <v>1121</v>
      </c>
      <c r="F40" s="621">
        <f>C39-F39</f>
        <v>6.4134799999999927</v>
      </c>
      <c r="I40" s="621">
        <f>F39-I39</f>
        <v>13.45199999999997</v>
      </c>
    </row>
    <row r="41" spans="1:11" ht="20.100000000000001" hidden="1" customHeight="1">
      <c r="E41" s="622" t="s">
        <v>1117</v>
      </c>
      <c r="F41" s="621">
        <f>E24</f>
        <v>5.0114799999999997</v>
      </c>
      <c r="K41" s="258" t="s">
        <v>67</v>
      </c>
    </row>
    <row r="42" spans="1:11" ht="20.100000000000001" hidden="1" customHeight="1">
      <c r="E42" s="622" t="s">
        <v>1120</v>
      </c>
      <c r="F42" s="621">
        <f>E30-F30</f>
        <v>1.4020000000000001</v>
      </c>
    </row>
    <row r="43" spans="1:11" ht="20.100000000000001" hidden="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4" activePane="bottomLeft" state="frozen"/>
      <selection pane="bottomLeft" activeCell="K96" sqref="K96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7" t="s">
        <v>336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N1" s="472">
        <v>46196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51.75" customHeight="1">
      <c r="A96" s="612">
        <v>94</v>
      </c>
      <c r="B96" s="582" t="s">
        <v>552</v>
      </c>
      <c r="C96" s="583" t="s">
        <v>373</v>
      </c>
      <c r="D96" s="576" t="s">
        <v>274</v>
      </c>
      <c r="E96" s="581">
        <v>134.785</v>
      </c>
      <c r="F96" s="577">
        <v>46185</v>
      </c>
      <c r="G96" s="578" t="s">
        <v>1141</v>
      </c>
      <c r="H96" s="575"/>
      <c r="I96" s="577"/>
      <c r="J96" s="579"/>
      <c r="K96" s="580" t="s">
        <v>1102</v>
      </c>
      <c r="L96" s="577"/>
      <c r="M96" s="584"/>
      <c r="N96" s="575"/>
    </row>
    <row r="97" spans="1:14" ht="51.75" customHeight="1">
      <c r="A97" s="612">
        <v>95</v>
      </c>
      <c r="B97" s="582" t="s">
        <v>588</v>
      </c>
      <c r="C97" s="583" t="s">
        <v>350</v>
      </c>
      <c r="D97" s="576" t="s">
        <v>351</v>
      </c>
      <c r="E97" s="581">
        <v>39.126000000000005</v>
      </c>
      <c r="F97" s="577" t="s">
        <v>1115</v>
      </c>
      <c r="G97" s="578" t="s">
        <v>1125</v>
      </c>
      <c r="H97" s="575"/>
      <c r="I97" s="577"/>
      <c r="J97" s="579"/>
      <c r="K97" s="580" t="s">
        <v>1106</v>
      </c>
      <c r="L97" s="577"/>
      <c r="M97" s="584"/>
      <c r="N97" s="575"/>
    </row>
    <row r="98" spans="1:14" ht="49.5" customHeight="1">
      <c r="A98" s="612">
        <v>96</v>
      </c>
      <c r="B98" s="582" t="s">
        <v>574</v>
      </c>
      <c r="C98" s="583" t="s">
        <v>300</v>
      </c>
      <c r="D98" s="576" t="s">
        <v>274</v>
      </c>
      <c r="E98" s="581">
        <v>89.905000000000001</v>
      </c>
      <c r="F98" s="577">
        <v>46193</v>
      </c>
      <c r="G98" s="578" t="s">
        <v>1137</v>
      </c>
      <c r="H98" s="575"/>
      <c r="I98" s="577"/>
      <c r="J98" s="579"/>
      <c r="K98" s="580" t="s">
        <v>355</v>
      </c>
      <c r="L98" s="575"/>
      <c r="M98" s="584"/>
      <c r="N98" s="575"/>
    </row>
    <row r="99" spans="1:14" ht="51.75" customHeight="1">
      <c r="A99" s="612">
        <v>97</v>
      </c>
      <c r="B99" s="582" t="s">
        <v>559</v>
      </c>
      <c r="C99" s="583" t="s">
        <v>561</v>
      </c>
      <c r="D99" s="576" t="s">
        <v>274</v>
      </c>
      <c r="E99" s="581"/>
      <c r="F99" s="577">
        <v>46194</v>
      </c>
      <c r="G99" s="578" t="s">
        <v>1140</v>
      </c>
      <c r="H99" s="575"/>
      <c r="I99" s="577"/>
      <c r="J99" s="579"/>
      <c r="K99" s="580" t="s">
        <v>433</v>
      </c>
      <c r="L99" s="577"/>
      <c r="M99" s="584"/>
      <c r="N99" s="575"/>
    </row>
    <row r="100" spans="1:14" ht="49.5" customHeight="1">
      <c r="A100" s="612">
        <v>98</v>
      </c>
      <c r="B100" s="582" t="s">
        <v>635</v>
      </c>
      <c r="C100" s="583" t="s">
        <v>300</v>
      </c>
      <c r="D100" s="576"/>
      <c r="E100" s="581"/>
      <c r="F100" s="577"/>
      <c r="G100" s="578" t="s">
        <v>1138</v>
      </c>
      <c r="H100" s="575"/>
      <c r="I100" s="577"/>
      <c r="J100" s="579"/>
      <c r="K100" s="580" t="s">
        <v>1139</v>
      </c>
      <c r="L100" s="575"/>
      <c r="M100" s="584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6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6:B101">
    <cfRule type="duplicateValues" dxfId="201" priority="717"/>
  </conditionalFormatting>
  <conditionalFormatting sqref="B273:B1048576 B2:B76 B103:B271 B96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6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4" zoomScale="55" zoomScaleNormal="55" zoomScaleSheetLayoutView="72" workbookViewId="0">
      <selection activeCell="M19" sqref="M19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10" t="s">
        <v>465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516">
        <f>FDN!N1</f>
        <v>46196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1093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1094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1094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1094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3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3">
        <v>46090</v>
      </c>
      <c r="O10" s="593">
        <v>46090</v>
      </c>
      <c r="P10" s="530" t="s">
        <v>1092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1094</v>
      </c>
      <c r="J11" s="526"/>
      <c r="K11" s="526"/>
      <c r="L11" s="526"/>
      <c r="M11" s="526" t="s">
        <v>38</v>
      </c>
      <c r="N11" s="593">
        <v>46091</v>
      </c>
      <c r="O11" s="593">
        <v>46091</v>
      </c>
      <c r="P11" s="530" t="s">
        <v>1092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1094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1094</v>
      </c>
      <c r="J15" s="528"/>
      <c r="K15" s="530"/>
      <c r="L15" s="530"/>
      <c r="M15" s="530"/>
      <c r="N15" s="530"/>
      <c r="O15" s="593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1094</v>
      </c>
      <c r="J16" s="528"/>
      <c r="K16" s="530"/>
      <c r="L16" s="530"/>
      <c r="M16" s="526" t="s">
        <v>38</v>
      </c>
      <c r="N16" s="593">
        <v>46155</v>
      </c>
      <c r="O16" s="593">
        <v>46155</v>
      </c>
      <c r="P16" s="530" t="s">
        <v>1092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1094</v>
      </c>
      <c r="J18" s="528"/>
      <c r="K18" s="530"/>
      <c r="L18" s="530"/>
      <c r="M18" s="526" t="s">
        <v>38</v>
      </c>
      <c r="N18" s="593">
        <v>46155</v>
      </c>
      <c r="O18" s="593">
        <v>46155</v>
      </c>
      <c r="P18" s="530" t="s">
        <v>1092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1094</v>
      </c>
      <c r="J19" s="528"/>
      <c r="K19" s="530"/>
      <c r="L19" s="530"/>
      <c r="M19" s="526" t="s">
        <v>38</v>
      </c>
      <c r="N19" s="593">
        <v>46157</v>
      </c>
      <c r="O19" s="593">
        <v>46157</v>
      </c>
      <c r="P19" s="530" t="s">
        <v>1092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1094</v>
      </c>
      <c r="J21" s="528"/>
      <c r="K21" s="530"/>
      <c r="L21" s="530"/>
      <c r="M21" s="526" t="s">
        <v>38</v>
      </c>
      <c r="N21" s="593">
        <v>46155</v>
      </c>
      <c r="O21" s="593">
        <v>46155</v>
      </c>
      <c r="P21" s="530" t="s">
        <v>1092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1094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1094</v>
      </c>
      <c r="J25" s="528"/>
      <c r="K25" s="530"/>
      <c r="L25" s="523"/>
      <c r="M25" s="528"/>
      <c r="N25" s="528"/>
      <c r="O25" s="530"/>
      <c r="P25" s="525"/>
      <c r="Q25" s="594"/>
      <c r="R25" s="595"/>
      <c r="S25" s="596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1094</v>
      </c>
      <c r="J27" s="528"/>
      <c r="K27" s="530"/>
      <c r="L27" s="528"/>
      <c r="M27" s="526" t="s">
        <v>38</v>
      </c>
      <c r="N27" s="593">
        <v>46161</v>
      </c>
      <c r="O27" s="593">
        <v>46161</v>
      </c>
      <c r="P27" s="530" t="s">
        <v>1092</v>
      </c>
      <c r="Q27" s="597"/>
      <c r="R27" s="113"/>
      <c r="S27" s="597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3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1094</v>
      </c>
      <c r="J29" s="528"/>
      <c r="K29" s="530"/>
      <c r="L29" s="530"/>
      <c r="M29" s="526" t="s">
        <v>38</v>
      </c>
      <c r="N29" s="593">
        <v>46158</v>
      </c>
      <c r="O29" s="593">
        <v>46158</v>
      </c>
      <c r="P29" s="530" t="s">
        <v>1092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1094</v>
      </c>
      <c r="J30" s="528"/>
      <c r="K30" s="530"/>
      <c r="L30" s="530"/>
      <c r="M30" s="526" t="s">
        <v>38</v>
      </c>
      <c r="N30" s="593">
        <v>46159</v>
      </c>
      <c r="O30" s="593">
        <v>46159</v>
      </c>
      <c r="P30" s="530" t="s">
        <v>1092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1094</v>
      </c>
      <c r="J31" s="528"/>
      <c r="K31" s="530"/>
      <c r="L31" s="530"/>
      <c r="M31" s="526" t="s">
        <v>38</v>
      </c>
      <c r="N31" s="593">
        <v>46160</v>
      </c>
      <c r="O31" s="593">
        <v>46160</v>
      </c>
      <c r="P31" s="530" t="s">
        <v>1092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1094</v>
      </c>
      <c r="J32" s="528"/>
      <c r="K32" s="530"/>
      <c r="L32" s="530"/>
      <c r="M32" s="526" t="s">
        <v>38</v>
      </c>
      <c r="N32" s="593">
        <v>46160</v>
      </c>
      <c r="O32" s="593">
        <v>46160</v>
      </c>
      <c r="P32" s="530" t="s">
        <v>1092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1094</v>
      </c>
      <c r="J33" s="528"/>
      <c r="K33" s="530"/>
      <c r="L33" s="530"/>
      <c r="M33" s="526" t="s">
        <v>38</v>
      </c>
      <c r="N33" s="593">
        <v>46163</v>
      </c>
      <c r="O33" s="593">
        <v>46163</v>
      </c>
      <c r="P33" s="530" t="s">
        <v>1092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1094</v>
      </c>
      <c r="J35" s="528"/>
      <c r="K35" s="530"/>
      <c r="L35" s="530"/>
      <c r="M35" s="526" t="s">
        <v>38</v>
      </c>
      <c r="N35" s="593">
        <v>46162</v>
      </c>
      <c r="O35" s="593">
        <v>46162</v>
      </c>
      <c r="P35" s="530" t="s">
        <v>1092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1094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1094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1095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25.15" customHeight="1">
      <c r="A49" s="543">
        <v>46</v>
      </c>
      <c r="B49" s="536"/>
      <c r="C49" s="536"/>
      <c r="D49" s="544"/>
      <c r="E49" s="547"/>
      <c r="F49" s="545"/>
      <c r="G49" s="256"/>
      <c r="H49" s="538"/>
      <c r="I49" s="538"/>
      <c r="J49" s="537"/>
      <c r="K49" s="538"/>
      <c r="L49" s="538"/>
      <c r="M49" s="538"/>
      <c r="N49" s="538"/>
      <c r="O49" s="538"/>
      <c r="P49" s="538"/>
    </row>
    <row r="50" spans="1:16" s="540" customFormat="1" ht="93.75" customHeight="1">
      <c r="A50" s="543"/>
      <c r="B50" s="536"/>
      <c r="C50" s="536"/>
      <c r="D50" s="544"/>
      <c r="E50" s="539"/>
      <c r="F50" s="545"/>
      <c r="G50" s="256"/>
      <c r="H50" s="538"/>
      <c r="I50" s="538"/>
      <c r="J50" s="537"/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8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8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9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topLeftCell="A168" zoomScale="93" zoomScaleNormal="80" workbookViewId="0">
      <selection activeCell="B180" sqref="B180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9" t="s">
        <v>480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1"/>
      <c r="AG1" s="170"/>
      <c r="AH1" s="170"/>
      <c r="AI1" s="170"/>
      <c r="AJ1" s="170"/>
      <c r="AK1" s="170"/>
      <c r="AL1" s="170"/>
      <c r="AM1" s="748"/>
      <c r="AN1" s="748"/>
      <c r="AO1" s="749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50"/>
      <c r="AH2" s="750"/>
      <c r="AI2" s="750"/>
      <c r="AJ2" s="750"/>
      <c r="AK2" s="750"/>
      <c r="AL2" s="750"/>
      <c r="AM2" s="750"/>
      <c r="AN2" s="750"/>
      <c r="AO2" s="751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52" t="s">
        <v>485</v>
      </c>
      <c r="AH3" s="753"/>
      <c r="AI3" s="753"/>
      <c r="AJ3" s="171" t="s">
        <v>486</v>
      </c>
      <c r="AK3" s="171"/>
      <c r="AL3" s="171"/>
      <c r="AM3" s="754" t="s">
        <v>487</v>
      </c>
      <c r="AN3" s="754" t="s">
        <v>488</v>
      </c>
      <c r="AO3" s="757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52" t="s">
        <v>491</v>
      </c>
      <c r="AH4" s="753" t="s">
        <v>492</v>
      </c>
      <c r="AI4" s="753" t="s">
        <v>493</v>
      </c>
      <c r="AJ4" s="753" t="s">
        <v>491</v>
      </c>
      <c r="AK4" s="753" t="s">
        <v>492</v>
      </c>
      <c r="AL4" s="753" t="s">
        <v>493</v>
      </c>
      <c r="AM4" s="755"/>
      <c r="AN4" s="755"/>
      <c r="AO4" s="758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8">
        <v>46196</v>
      </c>
      <c r="AF5" s="799"/>
      <c r="AG5" s="752"/>
      <c r="AH5" s="753"/>
      <c r="AI5" s="753"/>
      <c r="AJ5" s="753"/>
      <c r="AK5" s="753"/>
      <c r="AL5" s="753"/>
      <c r="AM5" s="756"/>
      <c r="AN5" s="756"/>
      <c r="AO5" s="759"/>
    </row>
    <row r="6" spans="1:41" s="159" customFormat="1" ht="13.35" customHeight="1">
      <c r="A6" s="786" t="s">
        <v>494</v>
      </c>
      <c r="B6" s="787"/>
      <c r="C6" s="787"/>
      <c r="D6" s="787"/>
      <c r="E6" s="787"/>
      <c r="F6" s="787"/>
      <c r="G6" s="787"/>
      <c r="H6" s="787"/>
      <c r="I6" s="787"/>
      <c r="J6" s="787"/>
      <c r="K6" s="787"/>
      <c r="L6" s="800" t="s">
        <v>495</v>
      </c>
      <c r="M6" s="801"/>
      <c r="N6" s="801"/>
      <c r="O6" s="801"/>
      <c r="P6" s="801"/>
      <c r="Q6" s="801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8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802"/>
      <c r="M7" s="803"/>
      <c r="N7" s="803"/>
      <c r="O7" s="803"/>
      <c r="P7" s="803"/>
      <c r="Q7" s="803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0" t="s">
        <v>244</v>
      </c>
      <c r="B8" s="792" t="s">
        <v>22</v>
      </c>
      <c r="C8" s="793"/>
      <c r="D8" s="794"/>
      <c r="E8" s="790" t="s">
        <v>246</v>
      </c>
      <c r="F8" s="792" t="s">
        <v>496</v>
      </c>
      <c r="G8" s="794"/>
      <c r="H8" s="792" t="s">
        <v>497</v>
      </c>
      <c r="I8" s="794"/>
      <c r="J8" s="792" t="s">
        <v>498</v>
      </c>
      <c r="K8" s="794"/>
      <c r="L8" s="811" t="s">
        <v>244</v>
      </c>
      <c r="M8" s="813" t="s">
        <v>499</v>
      </c>
      <c r="N8" s="814"/>
      <c r="O8" s="817" t="s">
        <v>500</v>
      </c>
      <c r="P8" s="811" t="s">
        <v>501</v>
      </c>
      <c r="Q8" s="782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1"/>
      <c r="B9" s="795"/>
      <c r="C9" s="796"/>
      <c r="D9" s="797"/>
      <c r="E9" s="791"/>
      <c r="F9" s="795"/>
      <c r="G9" s="797"/>
      <c r="H9" s="795"/>
      <c r="I9" s="797"/>
      <c r="J9" s="795"/>
      <c r="K9" s="797"/>
      <c r="L9" s="812"/>
      <c r="M9" s="815"/>
      <c r="N9" s="816"/>
      <c r="O9" s="818"/>
      <c r="P9" s="812"/>
      <c r="Q9" s="783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804" t="s">
        <v>37</v>
      </c>
      <c r="C10" s="805"/>
      <c r="D10" s="806"/>
      <c r="E10" s="177" t="s">
        <v>503</v>
      </c>
      <c r="F10" s="807">
        <v>114.51600000000001</v>
      </c>
      <c r="G10" s="808"/>
      <c r="H10" s="809">
        <f>'Survey Anx'!F39</f>
        <v>107.97099999999999</v>
      </c>
      <c r="I10" s="810"/>
      <c r="J10" s="807">
        <f t="shared" ref="J10:J19" si="0">F10-H10</f>
        <v>6.5450000000000159</v>
      </c>
      <c r="K10" s="808"/>
      <c r="L10" s="177">
        <v>1</v>
      </c>
      <c r="M10" s="784" t="s">
        <v>504</v>
      </c>
      <c r="N10" s="785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39"/>
      <c r="AH10" s="739"/>
      <c r="AI10" s="739"/>
      <c r="AJ10" s="739"/>
      <c r="AK10" s="739"/>
      <c r="AL10" s="739"/>
      <c r="AM10" s="740"/>
      <c r="AN10" s="740"/>
      <c r="AO10" s="742"/>
    </row>
    <row r="11" spans="1:41" s="159" customFormat="1" ht="17.25">
      <c r="A11" s="355">
        <v>2</v>
      </c>
      <c r="B11" s="768" t="s">
        <v>21</v>
      </c>
      <c r="C11" s="769"/>
      <c r="D11" s="770"/>
      <c r="E11" s="179" t="s">
        <v>503</v>
      </c>
      <c r="F11" s="771">
        <v>114.51600000000001</v>
      </c>
      <c r="G11" s="772"/>
      <c r="H11" s="773">
        <f>'Survey Anx'!I39</f>
        <v>94.51900000000002</v>
      </c>
      <c r="I11" s="774"/>
      <c r="J11" s="771">
        <f t="shared" si="0"/>
        <v>19.996999999999986</v>
      </c>
      <c r="K11" s="772"/>
      <c r="L11" s="209">
        <f t="shared" ref="L11:L18" si="1">L10+1</f>
        <v>2</v>
      </c>
      <c r="M11" s="744" t="s">
        <v>505</v>
      </c>
      <c r="N11" s="745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39"/>
      <c r="AH11" s="739"/>
      <c r="AI11" s="739"/>
      <c r="AJ11" s="739"/>
      <c r="AK11" s="739"/>
      <c r="AL11" s="739"/>
      <c r="AM11" s="740"/>
      <c r="AN11" s="740"/>
      <c r="AO11" s="742"/>
    </row>
    <row r="12" spans="1:41" s="159" customFormat="1" ht="17.45" customHeight="1">
      <c r="A12" s="355">
        <v>3</v>
      </c>
      <c r="B12" s="768" t="s">
        <v>52</v>
      </c>
      <c r="C12" s="769"/>
      <c r="D12" s="770"/>
      <c r="E12" s="179" t="s">
        <v>506</v>
      </c>
      <c r="F12" s="775">
        <v>30</v>
      </c>
      <c r="G12" s="776"/>
      <c r="H12" s="777">
        <v>30</v>
      </c>
      <c r="I12" s="778"/>
      <c r="J12" s="775">
        <f t="shared" si="0"/>
        <v>0</v>
      </c>
      <c r="K12" s="776"/>
      <c r="L12" s="209">
        <f t="shared" si="1"/>
        <v>3</v>
      </c>
      <c r="M12" s="744" t="s">
        <v>507</v>
      </c>
      <c r="N12" s="745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40"/>
      <c r="AH12" s="740"/>
      <c r="AI12" s="740"/>
      <c r="AJ12" s="740"/>
      <c r="AK12" s="740"/>
      <c r="AL12" s="740"/>
      <c r="AM12" s="740"/>
      <c r="AN12" s="740"/>
      <c r="AO12" s="742"/>
    </row>
    <row r="13" spans="1:41" s="159" customFormat="1" ht="17.45" customHeight="1">
      <c r="A13" s="355">
        <v>4</v>
      </c>
      <c r="B13" s="768" t="s">
        <v>54</v>
      </c>
      <c r="C13" s="769"/>
      <c r="D13" s="770"/>
      <c r="E13" s="179" t="s">
        <v>506</v>
      </c>
      <c r="F13" s="775">
        <v>293</v>
      </c>
      <c r="G13" s="776"/>
      <c r="H13" s="777">
        <f>BV20</f>
        <v>93</v>
      </c>
      <c r="I13" s="778"/>
      <c r="J13" s="775">
        <f t="shared" si="0"/>
        <v>200</v>
      </c>
      <c r="K13" s="776"/>
      <c r="L13" s="209">
        <f t="shared" si="1"/>
        <v>4</v>
      </c>
      <c r="M13" s="744" t="s">
        <v>508</v>
      </c>
      <c r="N13" s="745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40"/>
      <c r="AH13" s="740"/>
      <c r="AI13" s="740"/>
      <c r="AJ13" s="740"/>
      <c r="AK13" s="740"/>
      <c r="AL13" s="740"/>
      <c r="AM13" s="740"/>
      <c r="AN13" s="740"/>
      <c r="AO13" s="742"/>
    </row>
    <row r="14" spans="1:41" s="159" customFormat="1" ht="17.45" customHeight="1">
      <c r="A14" s="355">
        <v>5</v>
      </c>
      <c r="B14" s="768" t="s">
        <v>55</v>
      </c>
      <c r="C14" s="769"/>
      <c r="D14" s="770"/>
      <c r="E14" s="179" t="s">
        <v>506</v>
      </c>
      <c r="F14" s="775">
        <v>293</v>
      </c>
      <c r="G14" s="776"/>
      <c r="H14" s="777">
        <v>89</v>
      </c>
      <c r="I14" s="778"/>
      <c r="J14" s="775">
        <f t="shared" si="0"/>
        <v>204</v>
      </c>
      <c r="K14" s="776"/>
      <c r="L14" s="209">
        <f t="shared" si="1"/>
        <v>5</v>
      </c>
      <c r="M14" s="744" t="s">
        <v>509</v>
      </c>
      <c r="N14" s="745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40"/>
      <c r="AH14" s="740"/>
      <c r="AI14" s="740"/>
      <c r="AJ14" s="740"/>
      <c r="AK14" s="740"/>
      <c r="AL14" s="740"/>
      <c r="AM14" s="740"/>
      <c r="AN14" s="740"/>
      <c r="AO14" s="742"/>
    </row>
    <row r="15" spans="1:41" s="159" customFormat="1" ht="17.100000000000001" customHeight="1">
      <c r="A15" s="355">
        <v>6</v>
      </c>
      <c r="B15" s="768" t="s">
        <v>510</v>
      </c>
      <c r="C15" s="769"/>
      <c r="D15" s="770"/>
      <c r="E15" s="179" t="s">
        <v>506</v>
      </c>
      <c r="F15" s="775">
        <v>293</v>
      </c>
      <c r="G15" s="776"/>
      <c r="H15" s="777">
        <f>BW20</f>
        <v>45</v>
      </c>
      <c r="I15" s="778"/>
      <c r="J15" s="775">
        <f t="shared" si="0"/>
        <v>248</v>
      </c>
      <c r="K15" s="776"/>
      <c r="L15" s="209">
        <f t="shared" si="1"/>
        <v>6</v>
      </c>
      <c r="M15" s="744" t="s">
        <v>511</v>
      </c>
      <c r="N15" s="745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40"/>
      <c r="AH15" s="740"/>
      <c r="AI15" s="740"/>
      <c r="AJ15" s="740"/>
      <c r="AK15" s="740"/>
      <c r="AL15" s="740"/>
      <c r="AM15" s="740"/>
      <c r="AN15" s="740"/>
      <c r="AO15" s="742"/>
    </row>
    <row r="16" spans="1:41" s="159" customFormat="1" ht="17.45" customHeight="1">
      <c r="A16" s="355">
        <v>7</v>
      </c>
      <c r="B16" s="768" t="s">
        <v>512</v>
      </c>
      <c r="C16" s="769"/>
      <c r="D16" s="770"/>
      <c r="E16" s="179" t="s">
        <v>506</v>
      </c>
      <c r="F16" s="775">
        <v>293</v>
      </c>
      <c r="G16" s="776"/>
      <c r="H16" s="777">
        <v>13</v>
      </c>
      <c r="I16" s="778"/>
      <c r="J16" s="775">
        <f t="shared" si="0"/>
        <v>280</v>
      </c>
      <c r="K16" s="776"/>
      <c r="L16" s="209">
        <f t="shared" si="1"/>
        <v>7</v>
      </c>
      <c r="M16" s="744" t="s">
        <v>67</v>
      </c>
      <c r="N16" s="745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40"/>
      <c r="AH16" s="740"/>
      <c r="AI16" s="740"/>
      <c r="AJ16" s="740"/>
      <c r="AK16" s="740"/>
      <c r="AL16" s="740"/>
      <c r="AM16" s="740"/>
      <c r="AN16" s="740"/>
      <c r="AO16" s="742"/>
    </row>
    <row r="17" spans="1:75" s="159" customFormat="1" ht="17.45" customHeight="1">
      <c r="A17" s="355">
        <v>8</v>
      </c>
      <c r="B17" s="768" t="s">
        <v>513</v>
      </c>
      <c r="C17" s="769"/>
      <c r="D17" s="770"/>
      <c r="E17" s="179" t="s">
        <v>503</v>
      </c>
      <c r="F17" s="771">
        <v>114.51600000000001</v>
      </c>
      <c r="G17" s="772"/>
      <c r="H17" s="773">
        <v>0</v>
      </c>
      <c r="I17" s="774"/>
      <c r="J17" s="771">
        <f t="shared" si="0"/>
        <v>114.51600000000001</v>
      </c>
      <c r="K17" s="772"/>
      <c r="L17" s="209">
        <f t="shared" si="1"/>
        <v>8</v>
      </c>
      <c r="M17" s="744" t="s">
        <v>67</v>
      </c>
      <c r="N17" s="745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40"/>
      <c r="AH17" s="740"/>
      <c r="AI17" s="740"/>
      <c r="AJ17" s="740"/>
      <c r="AK17" s="740"/>
      <c r="AL17" s="740"/>
      <c r="AM17" s="740"/>
      <c r="AN17" s="740"/>
      <c r="AO17" s="742"/>
    </row>
    <row r="18" spans="1:75" s="159" customFormat="1" ht="17.45" customHeight="1">
      <c r="A18" s="355">
        <v>9</v>
      </c>
      <c r="B18" s="768" t="s">
        <v>514</v>
      </c>
      <c r="C18" s="769"/>
      <c r="D18" s="770"/>
      <c r="E18" s="179" t="s">
        <v>503</v>
      </c>
      <c r="F18" s="771">
        <v>114.51600000000001</v>
      </c>
      <c r="G18" s="772"/>
      <c r="H18" s="773">
        <v>0</v>
      </c>
      <c r="I18" s="774"/>
      <c r="J18" s="771">
        <f t="shared" si="0"/>
        <v>114.51600000000001</v>
      </c>
      <c r="K18" s="772"/>
      <c r="L18" s="209">
        <f t="shared" si="1"/>
        <v>9</v>
      </c>
      <c r="M18" s="744" t="s">
        <v>67</v>
      </c>
      <c r="N18" s="745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40"/>
      <c r="AH18" s="740"/>
      <c r="AI18" s="740"/>
      <c r="AJ18" s="740"/>
      <c r="AK18" s="740"/>
      <c r="AL18" s="740"/>
      <c r="AM18" s="740"/>
      <c r="AN18" s="740"/>
      <c r="AO18" s="742"/>
    </row>
    <row r="19" spans="1:75" s="159" customFormat="1" ht="18" customHeight="1" thickBot="1">
      <c r="A19" s="356">
        <v>10</v>
      </c>
      <c r="B19" s="761" t="s">
        <v>515</v>
      </c>
      <c r="C19" s="762"/>
      <c r="D19" s="763"/>
      <c r="E19" s="180" t="s">
        <v>503</v>
      </c>
      <c r="F19" s="764">
        <v>114.51600000000001</v>
      </c>
      <c r="G19" s="765"/>
      <c r="H19" s="766">
        <v>0</v>
      </c>
      <c r="I19" s="767"/>
      <c r="J19" s="764">
        <f t="shared" si="0"/>
        <v>114.51600000000001</v>
      </c>
      <c r="K19" s="765"/>
      <c r="L19" s="209">
        <f>L18+1</f>
        <v>10</v>
      </c>
      <c r="M19" s="746" t="s">
        <v>67</v>
      </c>
      <c r="N19" s="74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41"/>
      <c r="AH19" s="741"/>
      <c r="AI19" s="741"/>
      <c r="AJ19" s="741"/>
      <c r="AK19" s="741"/>
      <c r="AL19" s="741"/>
      <c r="AM19" s="741"/>
      <c r="AN19" s="741"/>
      <c r="AO19" s="743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93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42" customFormat="1" ht="12.95" customHeight="1">
      <c r="A23" s="638"/>
      <c r="B23" s="637" t="s">
        <v>518</v>
      </c>
      <c r="C23" s="639"/>
      <c r="D23" s="637" t="s">
        <v>519</v>
      </c>
      <c r="E23" s="640"/>
      <c r="F23" s="637" t="s">
        <v>520</v>
      </c>
      <c r="G23" s="640"/>
      <c r="H23" s="637" t="s">
        <v>521</v>
      </c>
      <c r="I23" s="640"/>
      <c r="J23" s="637" t="s">
        <v>522</v>
      </c>
      <c r="K23" s="640"/>
      <c r="L23" s="637" t="s">
        <v>523</v>
      </c>
      <c r="M23" s="640"/>
      <c r="N23" s="637" t="s">
        <v>524</v>
      </c>
      <c r="O23" s="640"/>
      <c r="P23" s="637" t="s">
        <v>525</v>
      </c>
      <c r="Q23" s="640"/>
      <c r="R23" s="637" t="s">
        <v>272</v>
      </c>
      <c r="S23" s="640"/>
      <c r="T23" s="637" t="s">
        <v>526</v>
      </c>
      <c r="U23" s="640"/>
      <c r="V23" s="637" t="s">
        <v>527</v>
      </c>
      <c r="W23" s="640"/>
      <c r="X23" s="637" t="s">
        <v>277</v>
      </c>
      <c r="Y23" s="640"/>
      <c r="Z23" s="637" t="s">
        <v>528</v>
      </c>
      <c r="AA23" s="640"/>
      <c r="AB23" s="637" t="s">
        <v>529</v>
      </c>
      <c r="AC23" s="640"/>
      <c r="AD23" s="637" t="s">
        <v>530</v>
      </c>
      <c r="AE23" s="640"/>
      <c r="AF23" s="641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16" t="s">
        <v>531</v>
      </c>
      <c r="O27" s="270"/>
      <c r="P27" s="716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17"/>
      <c r="O28" s="272">
        <v>164.96</v>
      </c>
      <c r="P28" s="717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18"/>
      <c r="O29" s="205"/>
      <c r="P29" s="718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1" t="s">
        <v>1090</v>
      </c>
      <c r="L31" s="205"/>
      <c r="M31" s="260"/>
      <c r="N31" s="205"/>
      <c r="O31" s="591" t="s">
        <v>1123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9" t="s">
        <v>1124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33" customFormat="1" ht="12.95" customHeight="1">
      <c r="A34" s="630"/>
      <c r="B34" s="634" t="s">
        <v>281</v>
      </c>
      <c r="C34" s="380"/>
      <c r="D34" s="634" t="s">
        <v>537</v>
      </c>
      <c r="E34" s="265"/>
      <c r="F34" s="634" t="s">
        <v>538</v>
      </c>
      <c r="G34" s="265"/>
      <c r="H34" s="634" t="s">
        <v>284</v>
      </c>
      <c r="I34" s="265"/>
      <c r="J34" s="634" t="s">
        <v>539</v>
      </c>
      <c r="K34" s="265"/>
      <c r="L34" s="634" t="s">
        <v>540</v>
      </c>
      <c r="M34" s="265"/>
      <c r="N34" s="634" t="s">
        <v>541</v>
      </c>
      <c r="O34" s="265"/>
      <c r="P34" s="634" t="s">
        <v>542</v>
      </c>
      <c r="Q34" s="265"/>
      <c r="R34" s="634" t="s">
        <v>543</v>
      </c>
      <c r="S34" s="265"/>
      <c r="T34" s="634" t="s">
        <v>544</v>
      </c>
      <c r="U34" s="265"/>
      <c r="V34" s="634" t="s">
        <v>545</v>
      </c>
      <c r="W34" s="265"/>
      <c r="X34" s="634" t="s">
        <v>442</v>
      </c>
      <c r="Y34" s="265"/>
      <c r="Z34" s="634" t="s">
        <v>448</v>
      </c>
      <c r="AA34" s="265"/>
      <c r="AB34" s="634" t="s">
        <v>378</v>
      </c>
      <c r="AC34" s="265"/>
      <c r="AD34" s="634" t="s">
        <v>372</v>
      </c>
      <c r="AE34" s="265"/>
      <c r="AF34" s="632"/>
      <c r="AG34" s="635"/>
      <c r="AH34" s="635"/>
      <c r="AI34" s="635"/>
      <c r="AJ34" s="636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7">
        <v>4</v>
      </c>
      <c r="BW38" s="587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712" t="s">
        <v>548</v>
      </c>
      <c r="I42" s="712"/>
      <c r="J42" s="712"/>
      <c r="K42" s="712"/>
      <c r="L42" s="712"/>
      <c r="R42" s="592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60">
        <v>10</v>
      </c>
      <c r="AH44" s="737">
        <v>2</v>
      </c>
      <c r="AI44" s="737">
        <f>AG44-AH44</f>
        <v>8</v>
      </c>
      <c r="AJ44" s="737">
        <f>AG44</f>
        <v>10</v>
      </c>
      <c r="AK44" s="737">
        <v>1</v>
      </c>
      <c r="AL44" s="737">
        <f>AJ44-AK44</f>
        <v>9</v>
      </c>
      <c r="AM44" s="737"/>
      <c r="AN44" s="737"/>
      <c r="AO44" s="738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29"/>
      <c r="AH45" s="725"/>
      <c r="AI45" s="725"/>
      <c r="AJ45" s="725"/>
      <c r="AK45" s="725"/>
      <c r="AL45" s="725"/>
      <c r="AM45" s="725"/>
      <c r="AN45" s="725"/>
      <c r="AO45" s="727"/>
    </row>
    <row r="46" spans="1:75" s="197" customFormat="1" ht="12.95" customHeight="1">
      <c r="A46" s="630"/>
      <c r="B46" s="631" t="s">
        <v>136</v>
      </c>
      <c r="C46" s="265"/>
      <c r="D46" s="631" t="s">
        <v>370</v>
      </c>
      <c r="E46" s="265"/>
      <c r="F46" s="631" t="s">
        <v>368</v>
      </c>
      <c r="G46" s="265"/>
      <c r="H46" s="631" t="s">
        <v>369</v>
      </c>
      <c r="I46" s="265"/>
      <c r="J46" s="631" t="s">
        <v>367</v>
      </c>
      <c r="K46" s="265"/>
      <c r="L46" s="631" t="s">
        <v>380</v>
      </c>
      <c r="M46" s="380"/>
      <c r="N46" s="631" t="s">
        <v>395</v>
      </c>
      <c r="O46" s="265"/>
      <c r="P46" s="631" t="s">
        <v>174</v>
      </c>
      <c r="Q46" s="265"/>
      <c r="R46" s="631" t="s">
        <v>137</v>
      </c>
      <c r="S46" s="265"/>
      <c r="T46" s="631" t="s">
        <v>138</v>
      </c>
      <c r="U46" s="265"/>
      <c r="V46" s="631" t="s">
        <v>139</v>
      </c>
      <c r="W46" s="265"/>
      <c r="X46" s="631" t="s">
        <v>365</v>
      </c>
      <c r="Y46" s="265"/>
      <c r="Z46" s="631" t="s">
        <v>364</v>
      </c>
      <c r="AA46" s="265"/>
      <c r="AB46" s="631" t="s">
        <v>140</v>
      </c>
      <c r="AC46" s="265"/>
      <c r="AD46" s="631" t="s">
        <v>382</v>
      </c>
      <c r="AE46" s="265"/>
      <c r="AF46" s="632"/>
      <c r="AG46" s="729"/>
      <c r="AH46" s="725"/>
      <c r="AI46" s="725"/>
      <c r="AJ46" s="725"/>
      <c r="AK46" s="725"/>
      <c r="AL46" s="725"/>
      <c r="AM46" s="725"/>
      <c r="AN46" s="725"/>
      <c r="AO46" s="727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29"/>
      <c r="AH47" s="725"/>
      <c r="AI47" s="725"/>
      <c r="AJ47" s="725"/>
      <c r="AK47" s="725"/>
      <c r="AL47" s="725"/>
      <c r="AM47" s="725"/>
      <c r="AN47" s="725"/>
      <c r="AO47" s="727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29"/>
      <c r="AH48" s="725"/>
      <c r="AI48" s="725"/>
      <c r="AJ48" s="725"/>
      <c r="AK48" s="725"/>
      <c r="AL48" s="725"/>
      <c r="AM48" s="725"/>
      <c r="AN48" s="725"/>
      <c r="AO48" s="727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29"/>
      <c r="AH49" s="725"/>
      <c r="AI49" s="725"/>
      <c r="AJ49" s="725"/>
      <c r="AK49" s="725"/>
      <c r="AL49" s="725"/>
      <c r="AM49" s="725"/>
      <c r="AN49" s="725"/>
      <c r="AO49" s="727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19"/>
      <c r="AC50" s="185"/>
      <c r="AD50" s="186"/>
      <c r="AE50" s="185"/>
      <c r="AF50" s="366"/>
      <c r="AG50" s="729"/>
      <c r="AH50" s="725"/>
      <c r="AI50" s="725"/>
      <c r="AJ50" s="725"/>
      <c r="AK50" s="725"/>
      <c r="AL50" s="725"/>
      <c r="AM50" s="725"/>
      <c r="AN50" s="725"/>
      <c r="AO50" s="727"/>
      <c r="BV50" s="588">
        <f>15</f>
        <v>15</v>
      </c>
      <c r="BW50" s="588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720"/>
      <c r="AC51" s="371">
        <v>410.99700000000001</v>
      </c>
      <c r="AD51" s="189"/>
      <c r="AE51" s="371">
        <v>413</v>
      </c>
      <c r="AF51" s="366"/>
      <c r="AG51" s="729"/>
      <c r="AH51" s="725"/>
      <c r="AI51" s="725"/>
      <c r="AJ51" s="725"/>
      <c r="AK51" s="725"/>
      <c r="AL51" s="725"/>
      <c r="AM51" s="725"/>
      <c r="AN51" s="725"/>
      <c r="AO51" s="727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21"/>
      <c r="AD52" s="191"/>
      <c r="AF52" s="366"/>
      <c r="AG52" s="729"/>
      <c r="AH52" s="725"/>
      <c r="AI52" s="725"/>
      <c r="AJ52" s="725"/>
      <c r="AK52" s="725"/>
      <c r="AL52" s="725"/>
      <c r="AM52" s="725"/>
      <c r="AN52" s="725"/>
      <c r="AO52" s="727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29"/>
      <c r="AH53" s="725"/>
      <c r="AI53" s="725"/>
      <c r="AJ53" s="725"/>
      <c r="AK53" s="725"/>
      <c r="AL53" s="725"/>
      <c r="AM53" s="725"/>
      <c r="AN53" s="725"/>
      <c r="AO53" s="727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30"/>
      <c r="AH54" s="726"/>
      <c r="AI54" s="726"/>
      <c r="AJ54" s="726"/>
      <c r="AK54" s="726"/>
      <c r="AL54" s="726"/>
      <c r="AM54" s="726"/>
      <c r="AN54" s="726"/>
      <c r="AO54" s="728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34">
        <v>10</v>
      </c>
      <c r="AH55" s="735">
        <v>10</v>
      </c>
      <c r="AI55" s="735">
        <f>AG55-AH55</f>
        <v>0</v>
      </c>
      <c r="AJ55" s="735">
        <f>AG55</f>
        <v>10</v>
      </c>
      <c r="AK55" s="735">
        <v>10</v>
      </c>
      <c r="AL55" s="735">
        <f>AJ55-AK55</f>
        <v>0</v>
      </c>
      <c r="AM55" s="735">
        <v>1.2729999999999999</v>
      </c>
      <c r="AN55" s="735">
        <v>1.2729999999999999</v>
      </c>
      <c r="AO55" s="736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29"/>
      <c r="AH56" s="725"/>
      <c r="AI56" s="725"/>
      <c r="AJ56" s="725"/>
      <c r="AK56" s="725"/>
      <c r="AL56" s="725"/>
      <c r="AM56" s="725"/>
      <c r="AN56" s="725"/>
      <c r="AO56" s="727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29"/>
      <c r="AH57" s="725"/>
      <c r="AI57" s="725"/>
      <c r="AJ57" s="725"/>
      <c r="AK57" s="725"/>
      <c r="AL57" s="725"/>
      <c r="AM57" s="725"/>
      <c r="AN57" s="725"/>
      <c r="AO57" s="727"/>
    </row>
    <row r="58" spans="1:75" s="197" customFormat="1" ht="14.1" customHeight="1">
      <c r="A58" s="630"/>
      <c r="B58" s="631" t="s">
        <v>390</v>
      </c>
      <c r="C58" s="380"/>
      <c r="D58" s="631" t="s">
        <v>168</v>
      </c>
      <c r="E58" s="265"/>
      <c r="F58" s="631" t="s">
        <v>176</v>
      </c>
      <c r="G58" s="265"/>
      <c r="H58" s="631" t="s">
        <v>177</v>
      </c>
      <c r="I58" s="265"/>
      <c r="J58" s="631" t="s">
        <v>418</v>
      </c>
      <c r="K58" s="265"/>
      <c r="L58" s="631" t="s">
        <v>400</v>
      </c>
      <c r="M58" s="265"/>
      <c r="N58" s="631" t="s">
        <v>376</v>
      </c>
      <c r="O58" s="265"/>
      <c r="P58" s="631" t="s">
        <v>377</v>
      </c>
      <c r="Q58" s="265"/>
      <c r="R58" s="631" t="s">
        <v>374</v>
      </c>
      <c r="S58" s="265"/>
      <c r="T58" s="631" t="s">
        <v>388</v>
      </c>
      <c r="U58" s="265"/>
      <c r="V58" s="631" t="s">
        <v>392</v>
      </c>
      <c r="W58" s="265"/>
      <c r="X58" s="631" t="s">
        <v>549</v>
      </c>
      <c r="Y58" s="265"/>
      <c r="Z58" s="631" t="s">
        <v>404</v>
      </c>
      <c r="AA58" s="265"/>
      <c r="AB58" s="631" t="s">
        <v>407</v>
      </c>
      <c r="AC58" s="265"/>
      <c r="AD58" s="631" t="s">
        <v>178</v>
      </c>
      <c r="AE58" s="265"/>
      <c r="AF58" s="632"/>
      <c r="AG58" s="729"/>
      <c r="AH58" s="725"/>
      <c r="AI58" s="725"/>
      <c r="AJ58" s="725"/>
      <c r="AK58" s="725"/>
      <c r="AL58" s="725"/>
      <c r="AM58" s="725"/>
      <c r="AN58" s="725"/>
      <c r="AO58" s="727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29"/>
      <c r="AH59" s="725"/>
      <c r="AI59" s="725"/>
      <c r="AJ59" s="725"/>
      <c r="AK59" s="725"/>
      <c r="AL59" s="725"/>
      <c r="AM59" s="725"/>
      <c r="AN59" s="725"/>
      <c r="AO59" s="727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29"/>
      <c r="AH60" s="725"/>
      <c r="AI60" s="725"/>
      <c r="AJ60" s="725"/>
      <c r="AK60" s="725"/>
      <c r="AL60" s="725"/>
      <c r="AM60" s="725"/>
      <c r="AN60" s="725"/>
      <c r="AO60" s="727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29"/>
      <c r="AH61" s="725"/>
      <c r="AI61" s="725"/>
      <c r="AJ61" s="725"/>
      <c r="AK61" s="725"/>
      <c r="AL61" s="725"/>
      <c r="AM61" s="725"/>
      <c r="AN61" s="725"/>
      <c r="AO61" s="727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19"/>
      <c r="W62" s="185"/>
      <c r="X62" s="722" t="s">
        <v>550</v>
      </c>
      <c r="Y62" s="185"/>
      <c r="Z62" s="719"/>
      <c r="AA62" s="185"/>
      <c r="AB62" s="719"/>
      <c r="AC62" s="185"/>
      <c r="AD62" s="719"/>
      <c r="AE62" s="185"/>
      <c r="AF62" s="366"/>
      <c r="AG62" s="729"/>
      <c r="AH62" s="725"/>
      <c r="AI62" s="725"/>
      <c r="AJ62" s="725"/>
      <c r="AK62" s="725"/>
      <c r="AL62" s="725"/>
      <c r="AM62" s="725"/>
      <c r="AN62" s="725"/>
      <c r="AO62" s="727"/>
      <c r="BV62" s="588">
        <f>14</f>
        <v>14</v>
      </c>
      <c r="BW62" s="588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720"/>
      <c r="W63" s="371">
        <v>448</v>
      </c>
      <c r="X63" s="723"/>
      <c r="Y63" s="371">
        <v>394</v>
      </c>
      <c r="Z63" s="720"/>
      <c r="AA63" s="371">
        <v>383</v>
      </c>
      <c r="AB63" s="720"/>
      <c r="AC63" s="371">
        <v>379</v>
      </c>
      <c r="AD63" s="720"/>
      <c r="AE63" s="371">
        <v>380.83699999999999</v>
      </c>
      <c r="AF63" s="366"/>
      <c r="AG63" s="729"/>
      <c r="AH63" s="725"/>
      <c r="AI63" s="725"/>
      <c r="AJ63" s="725"/>
      <c r="AK63" s="725"/>
      <c r="AL63" s="725"/>
      <c r="AM63" s="725"/>
      <c r="AN63" s="725"/>
      <c r="AO63" s="727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21"/>
      <c r="X64" s="724"/>
      <c r="Z64" s="721"/>
      <c r="AB64" s="721"/>
      <c r="AD64" s="721"/>
      <c r="AF64" s="366"/>
      <c r="AG64" s="729"/>
      <c r="AH64" s="725"/>
      <c r="AI64" s="725"/>
      <c r="AJ64" s="725"/>
      <c r="AK64" s="725"/>
      <c r="AL64" s="725"/>
      <c r="AM64" s="725"/>
      <c r="AN64" s="725"/>
      <c r="AO64" s="727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29"/>
      <c r="AH65" s="725"/>
      <c r="AI65" s="725"/>
      <c r="AJ65" s="725"/>
      <c r="AK65" s="725"/>
      <c r="AL65" s="725"/>
      <c r="AM65" s="725"/>
      <c r="AN65" s="725"/>
      <c r="AO65" s="727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30"/>
      <c r="AH66" s="726"/>
      <c r="AI66" s="726"/>
      <c r="AJ66" s="726"/>
      <c r="AK66" s="726"/>
      <c r="AL66" s="726"/>
      <c r="AM66" s="726"/>
      <c r="AN66" s="726"/>
      <c r="AO66" s="728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1" t="s">
        <v>1126</v>
      </c>
      <c r="T67" s="205"/>
      <c r="U67" s="205"/>
      <c r="V67" s="205"/>
      <c r="W67" s="591" t="s">
        <v>1127</v>
      </c>
      <c r="X67" s="205"/>
      <c r="Y67" s="205"/>
      <c r="Z67" s="205"/>
      <c r="AA67" s="591" t="s">
        <v>1126</v>
      </c>
      <c r="AB67" s="205"/>
      <c r="AC67" s="205"/>
      <c r="AD67" s="205"/>
      <c r="AE67" s="205"/>
      <c r="AF67" s="366"/>
      <c r="AG67" s="734">
        <v>10</v>
      </c>
      <c r="AH67" s="735">
        <v>9</v>
      </c>
      <c r="AI67" s="735">
        <f>AG67-AH67</f>
        <v>1</v>
      </c>
      <c r="AJ67" s="735">
        <f>COUNTA($D$58:$V$58)</f>
        <v>10</v>
      </c>
      <c r="AK67" s="735">
        <v>7</v>
      </c>
      <c r="AL67" s="735">
        <f>AJ67-AK67</f>
        <v>3</v>
      </c>
      <c r="AM67" s="735">
        <v>0.91500000000000004</v>
      </c>
      <c r="AN67" s="735">
        <f>0.672+0.243</f>
        <v>0.91500000000000004</v>
      </c>
      <c r="AO67" s="736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30"/>
      <c r="AH68" s="726"/>
      <c r="AI68" s="726"/>
      <c r="AJ68" s="726"/>
      <c r="AK68" s="726"/>
      <c r="AL68" s="726"/>
      <c r="AM68" s="726"/>
      <c r="AN68" s="726"/>
      <c r="AO68" s="728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34">
        <v>10</v>
      </c>
      <c r="AH69" s="735">
        <v>10</v>
      </c>
      <c r="AI69" s="735">
        <f>AG69-AH69</f>
        <v>0</v>
      </c>
      <c r="AJ69" s="735">
        <f>COUNTA($B$71:$L$71)</f>
        <v>6</v>
      </c>
      <c r="AK69" s="735">
        <v>9</v>
      </c>
      <c r="AL69" s="735">
        <f>AJ69-AK69</f>
        <v>-3</v>
      </c>
      <c r="AM69" s="735"/>
      <c r="AN69" s="735"/>
      <c r="AO69" s="736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29"/>
      <c r="AH70" s="725"/>
      <c r="AI70" s="725"/>
      <c r="AJ70" s="725"/>
      <c r="AK70" s="725"/>
      <c r="AL70" s="725"/>
      <c r="AM70" s="725"/>
      <c r="AN70" s="725"/>
      <c r="AO70" s="727"/>
    </row>
    <row r="71" spans="1:75" s="197" customFormat="1" ht="13.5" customHeight="1">
      <c r="A71" s="630"/>
      <c r="B71" s="631" t="s">
        <v>419</v>
      </c>
      <c r="C71" s="265"/>
      <c r="D71" s="631" t="s">
        <v>405</v>
      </c>
      <c r="E71" s="265"/>
      <c r="F71" s="631" t="s">
        <v>430</v>
      </c>
      <c r="G71" s="265"/>
      <c r="H71" s="631" t="s">
        <v>406</v>
      </c>
      <c r="I71" s="265"/>
      <c r="J71" s="631" t="s">
        <v>411</v>
      </c>
      <c r="K71" s="265"/>
      <c r="L71" s="631" t="s">
        <v>422</v>
      </c>
      <c r="M71" s="265"/>
      <c r="N71" s="631" t="s">
        <v>551</v>
      </c>
      <c r="O71" s="265"/>
      <c r="P71" s="631" t="s">
        <v>417</v>
      </c>
      <c r="Q71" s="265"/>
      <c r="R71" s="631" t="s">
        <v>410</v>
      </c>
      <c r="S71" s="265"/>
      <c r="T71" s="631" t="s">
        <v>425</v>
      </c>
      <c r="U71" s="265"/>
      <c r="V71" s="631" t="s">
        <v>423</v>
      </c>
      <c r="W71" s="265"/>
      <c r="X71" s="631" t="s">
        <v>385</v>
      </c>
      <c r="Y71" s="265"/>
      <c r="Z71" s="631" t="s">
        <v>180</v>
      </c>
      <c r="AA71" s="265"/>
      <c r="AB71" s="631" t="s">
        <v>371</v>
      </c>
      <c r="AC71" s="265"/>
      <c r="AD71" s="631" t="s">
        <v>383</v>
      </c>
      <c r="AE71" s="265"/>
      <c r="AF71" s="632"/>
      <c r="AG71" s="729"/>
      <c r="AH71" s="725"/>
      <c r="AI71" s="725"/>
      <c r="AJ71" s="725"/>
      <c r="AK71" s="725"/>
      <c r="AL71" s="725"/>
      <c r="AM71" s="725"/>
      <c r="AN71" s="725"/>
      <c r="AO71" s="727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29"/>
      <c r="AH72" s="725"/>
      <c r="AI72" s="725"/>
      <c r="AJ72" s="725"/>
      <c r="AK72" s="725"/>
      <c r="AL72" s="725"/>
      <c r="AM72" s="725"/>
      <c r="AN72" s="725"/>
      <c r="AO72" s="727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29"/>
      <c r="AH73" s="725"/>
      <c r="AI73" s="725"/>
      <c r="AJ73" s="725"/>
      <c r="AK73" s="725"/>
      <c r="AL73" s="725"/>
      <c r="AM73" s="725"/>
      <c r="AN73" s="725"/>
      <c r="AO73" s="727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29"/>
      <c r="AH74" s="725"/>
      <c r="AI74" s="725"/>
      <c r="AJ74" s="725"/>
      <c r="AK74" s="725"/>
      <c r="AL74" s="725"/>
      <c r="AM74" s="725"/>
      <c r="AN74" s="725"/>
      <c r="AO74" s="727"/>
      <c r="BV74" s="588">
        <v>14</v>
      </c>
      <c r="BW74" s="588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19"/>
      <c r="S75" s="185"/>
      <c r="T75" s="719"/>
      <c r="U75" s="185"/>
      <c r="V75" s="719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29"/>
      <c r="AH75" s="725"/>
      <c r="AI75" s="725"/>
      <c r="AJ75" s="725"/>
      <c r="AK75" s="725"/>
      <c r="AL75" s="725"/>
      <c r="AM75" s="725"/>
      <c r="AN75" s="725"/>
      <c r="AO75" s="727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720"/>
      <c r="S76" s="371">
        <v>350.38099999999997</v>
      </c>
      <c r="T76" s="720"/>
      <c r="U76" s="371">
        <v>333.99700000000001</v>
      </c>
      <c r="V76" s="720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29"/>
      <c r="AH76" s="725"/>
      <c r="AI76" s="725"/>
      <c r="AJ76" s="725"/>
      <c r="AK76" s="725"/>
      <c r="AL76" s="725"/>
      <c r="AM76" s="725"/>
      <c r="AN76" s="725"/>
      <c r="AO76" s="727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721"/>
      <c r="T77" s="721"/>
      <c r="V77" s="721"/>
      <c r="X77" s="191"/>
      <c r="Z77" s="191"/>
      <c r="AB77" s="191"/>
      <c r="AD77" s="191"/>
      <c r="AF77" s="366"/>
      <c r="AG77" s="729"/>
      <c r="AH77" s="725"/>
      <c r="AI77" s="725"/>
      <c r="AJ77" s="725"/>
      <c r="AK77" s="725"/>
      <c r="AL77" s="725"/>
      <c r="AM77" s="725"/>
      <c r="AN77" s="725"/>
      <c r="AO77" s="727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29"/>
      <c r="AH78" s="725"/>
      <c r="AI78" s="725"/>
      <c r="AJ78" s="725"/>
      <c r="AK78" s="725"/>
      <c r="AL78" s="725"/>
      <c r="AM78" s="725"/>
      <c r="AN78" s="725"/>
      <c r="AO78" s="727"/>
    </row>
    <row r="79" spans="1:75" s="205" customFormat="1" ht="14.1" customHeight="1" thickBot="1">
      <c r="A79" s="365"/>
      <c r="C79" s="373"/>
      <c r="G79" s="261"/>
      <c r="I79" s="379"/>
      <c r="O79" s="643" t="s">
        <v>1128</v>
      </c>
      <c r="Q79" s="374"/>
      <c r="W79" s="260"/>
      <c r="AA79" s="260"/>
      <c r="AC79" s="260"/>
      <c r="AE79" s="260"/>
      <c r="AF79" s="366"/>
      <c r="AG79" s="731"/>
      <c r="AH79" s="732"/>
      <c r="AI79" s="732"/>
      <c r="AJ79" s="732"/>
      <c r="AK79" s="732"/>
      <c r="AL79" s="732"/>
      <c r="AM79" s="732"/>
      <c r="AN79" s="732"/>
      <c r="AO79" s="733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29"/>
      <c r="AH80" s="725"/>
      <c r="AI80" s="725"/>
      <c r="AJ80" s="725"/>
      <c r="AK80" s="725"/>
      <c r="AL80" s="725"/>
      <c r="AM80" s="725"/>
      <c r="AN80" s="725"/>
      <c r="AO80" s="727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29"/>
      <c r="AH81" s="725"/>
      <c r="AI81" s="725"/>
      <c r="AJ81" s="725"/>
      <c r="AK81" s="725"/>
      <c r="AL81" s="725"/>
      <c r="AM81" s="725"/>
      <c r="AN81" s="725"/>
      <c r="AO81" s="727"/>
    </row>
    <row r="82" spans="1:75" s="197" customFormat="1" ht="13.5" customHeight="1">
      <c r="A82" s="630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32"/>
      <c r="AG82" s="729"/>
      <c r="AH82" s="725"/>
      <c r="AI82" s="725"/>
      <c r="AJ82" s="725"/>
      <c r="AK82" s="725"/>
      <c r="AL82" s="725"/>
      <c r="AM82" s="725"/>
      <c r="AN82" s="725"/>
      <c r="AO82" s="727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29"/>
      <c r="AH83" s="725"/>
      <c r="AI83" s="725"/>
      <c r="AJ83" s="725"/>
      <c r="AK83" s="725"/>
      <c r="AL83" s="725"/>
      <c r="AM83" s="725"/>
      <c r="AN83" s="725"/>
      <c r="AO83" s="727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29"/>
      <c r="AH84" s="725"/>
      <c r="AI84" s="725"/>
      <c r="AJ84" s="725"/>
      <c r="AK84" s="725"/>
      <c r="AL84" s="725"/>
      <c r="AM84" s="725"/>
      <c r="AN84" s="725"/>
      <c r="AO84" s="727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29"/>
      <c r="AH85" s="725"/>
      <c r="AI85" s="725"/>
      <c r="AJ85" s="725"/>
      <c r="AK85" s="725"/>
      <c r="AL85" s="725"/>
      <c r="AM85" s="725"/>
      <c r="AN85" s="725"/>
      <c r="AO85" s="727"/>
    </row>
    <row r="86" spans="1:75" s="166" customFormat="1" ht="14.1" customHeight="1">
      <c r="A86" s="372"/>
      <c r="B86" s="186"/>
      <c r="C86" s="185"/>
      <c r="D86" s="186"/>
      <c r="E86" s="185"/>
      <c r="F86" s="574"/>
      <c r="G86" s="185"/>
      <c r="H86" s="184"/>
      <c r="I86" s="185"/>
      <c r="J86" s="184"/>
      <c r="K86" s="185"/>
      <c r="L86" s="184"/>
      <c r="M86" s="185"/>
      <c r="N86" s="713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574"/>
      <c r="AC86" s="185"/>
      <c r="AD86" s="186"/>
      <c r="AE86" s="185"/>
      <c r="AF86" s="366"/>
      <c r="AG86" s="729"/>
      <c r="AH86" s="725"/>
      <c r="AI86" s="725"/>
      <c r="AJ86" s="725"/>
      <c r="AK86" s="725"/>
      <c r="AL86" s="725"/>
      <c r="AM86" s="725"/>
      <c r="AN86" s="725"/>
      <c r="AO86" s="727"/>
      <c r="BV86" s="588">
        <v>7</v>
      </c>
      <c r="BW86" s="588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206" t="s">
        <v>1129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714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206" t="s">
        <v>97</v>
      </c>
      <c r="AC87" s="371">
        <v>422</v>
      </c>
      <c r="AD87" s="189"/>
      <c r="AE87" s="371">
        <v>242.87700000000001</v>
      </c>
      <c r="AF87" s="366"/>
      <c r="AG87" s="730"/>
      <c r="AH87" s="726"/>
      <c r="AI87" s="726"/>
      <c r="AJ87" s="726"/>
      <c r="AK87" s="726"/>
      <c r="AL87" s="726"/>
      <c r="AM87" s="726"/>
      <c r="AN87" s="726"/>
      <c r="AO87" s="728"/>
    </row>
    <row r="88" spans="1:75" s="166" customFormat="1" ht="13.5" customHeight="1" thickBot="1">
      <c r="A88" s="372"/>
      <c r="B88" s="191"/>
      <c r="D88" s="191"/>
      <c r="F88" s="196"/>
      <c r="H88" s="190"/>
      <c r="J88" s="190"/>
      <c r="L88" s="190"/>
      <c r="N88" s="715"/>
      <c r="P88" s="191"/>
      <c r="R88" s="191"/>
      <c r="T88" s="191"/>
      <c r="V88" s="190"/>
      <c r="X88" s="264"/>
      <c r="Z88" s="190"/>
      <c r="AB88" s="196"/>
      <c r="AD88" s="191"/>
      <c r="AF88" s="366"/>
      <c r="AG88" s="734">
        <v>10</v>
      </c>
      <c r="AH88" s="735">
        <v>7</v>
      </c>
      <c r="AI88" s="735">
        <f>AG88-AH88</f>
        <v>3</v>
      </c>
      <c r="AJ88" s="735">
        <f>COUNTA($DF$98:$DX$98)</f>
        <v>10</v>
      </c>
      <c r="AK88" s="735">
        <v>5</v>
      </c>
      <c r="AL88" s="735">
        <v>5</v>
      </c>
      <c r="AM88" s="735"/>
      <c r="AN88" s="735"/>
      <c r="AO88" s="736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29"/>
      <c r="AH89" s="725"/>
      <c r="AI89" s="725"/>
      <c r="AJ89" s="725"/>
      <c r="AK89" s="725"/>
      <c r="AL89" s="725"/>
      <c r="AM89" s="725"/>
      <c r="AN89" s="725"/>
      <c r="AO89" s="727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1" t="s">
        <v>1130</v>
      </c>
      <c r="H90" s="205"/>
      <c r="I90" s="260"/>
      <c r="J90" s="205"/>
      <c r="K90" s="644" t="s">
        <v>1132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1" t="s">
        <v>1133</v>
      </c>
      <c r="Z90" s="205"/>
      <c r="AA90" s="205"/>
      <c r="AB90" s="205"/>
      <c r="AC90" s="261"/>
      <c r="AD90" s="205"/>
      <c r="AE90" s="205"/>
      <c r="AF90" s="366"/>
      <c r="AG90" s="729"/>
      <c r="AH90" s="725"/>
      <c r="AI90" s="725"/>
      <c r="AJ90" s="725"/>
      <c r="AK90" s="725"/>
      <c r="AL90" s="725"/>
      <c r="AM90" s="725"/>
      <c r="AN90" s="725"/>
      <c r="AO90" s="727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1" t="s">
        <v>1131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29"/>
      <c r="AH91" s="725"/>
      <c r="AI91" s="725"/>
      <c r="AJ91" s="725"/>
      <c r="AK91" s="725"/>
      <c r="AL91" s="725"/>
      <c r="AM91" s="725"/>
      <c r="AN91" s="725"/>
      <c r="AO91" s="727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29"/>
      <c r="AH92" s="725"/>
      <c r="AI92" s="725"/>
      <c r="AJ92" s="725"/>
      <c r="AK92" s="725"/>
      <c r="AL92" s="725"/>
      <c r="AM92" s="725"/>
      <c r="AN92" s="725"/>
      <c r="AO92" s="727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29"/>
      <c r="AH93" s="725"/>
      <c r="AI93" s="725"/>
      <c r="AJ93" s="725"/>
      <c r="AK93" s="725"/>
      <c r="AL93" s="725"/>
      <c r="AM93" s="725"/>
      <c r="AN93" s="725"/>
      <c r="AO93" s="727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29"/>
      <c r="AH94" s="725"/>
      <c r="AI94" s="725"/>
      <c r="AJ94" s="725"/>
      <c r="AK94" s="725"/>
      <c r="AL94" s="725"/>
      <c r="AM94" s="725"/>
      <c r="AN94" s="725"/>
      <c r="AO94" s="727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29"/>
      <c r="AH95" s="725"/>
      <c r="AI95" s="725"/>
      <c r="AJ95" s="725"/>
      <c r="AK95" s="725"/>
      <c r="AL95" s="725"/>
      <c r="AM95" s="725"/>
      <c r="AN95" s="725"/>
      <c r="AO95" s="727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29"/>
      <c r="AH96" s="725"/>
      <c r="AI96" s="725"/>
      <c r="AJ96" s="725"/>
      <c r="AK96" s="725"/>
      <c r="AL96" s="725"/>
      <c r="AM96" s="725"/>
      <c r="AN96" s="725"/>
      <c r="AO96" s="727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29"/>
      <c r="AH97" s="725"/>
      <c r="AI97" s="725"/>
      <c r="AJ97" s="725"/>
      <c r="AK97" s="725"/>
      <c r="AL97" s="725"/>
      <c r="AM97" s="725"/>
      <c r="AN97" s="725"/>
      <c r="AO97" s="727"/>
      <c r="BV97" s="588">
        <v>15</v>
      </c>
      <c r="BW97" s="588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29"/>
      <c r="AH98" s="725"/>
      <c r="AI98" s="725"/>
      <c r="AJ98" s="725"/>
      <c r="AK98" s="725"/>
      <c r="AL98" s="725"/>
      <c r="AM98" s="725"/>
      <c r="AN98" s="725"/>
      <c r="AO98" s="727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29"/>
      <c r="AH99" s="725"/>
      <c r="AI99" s="725"/>
      <c r="AJ99" s="725"/>
      <c r="AK99" s="725"/>
      <c r="AL99" s="725"/>
      <c r="AM99" s="725"/>
      <c r="AN99" s="725"/>
      <c r="AO99" s="727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29"/>
      <c r="AH100" s="725"/>
      <c r="AI100" s="725"/>
      <c r="AJ100" s="725"/>
      <c r="AK100" s="725"/>
      <c r="AL100" s="725"/>
      <c r="AM100" s="725"/>
      <c r="AN100" s="725"/>
      <c r="AO100" s="72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5" t="s">
        <v>1020</v>
      </c>
      <c r="D101" s="205"/>
      <c r="E101" s="645" t="s">
        <v>1134</v>
      </c>
      <c r="F101" s="205" t="s">
        <v>572</v>
      </c>
      <c r="G101" s="260"/>
      <c r="H101" s="205"/>
      <c r="I101" s="592" t="s">
        <v>1136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30"/>
      <c r="AH101" s="726"/>
      <c r="AI101" s="726"/>
      <c r="AJ101" s="726"/>
      <c r="AK101" s="726"/>
      <c r="AL101" s="726"/>
      <c r="AM101" s="726"/>
      <c r="AN101" s="726"/>
      <c r="AO101" s="728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5" t="s">
        <v>1135</v>
      </c>
      <c r="D102" s="205"/>
      <c r="E102" s="645" t="s">
        <v>1135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29"/>
      <c r="AH102" s="725"/>
      <c r="AI102" s="725"/>
      <c r="AJ102" s="725"/>
      <c r="AK102" s="725"/>
      <c r="AL102" s="725"/>
      <c r="AM102" s="725"/>
      <c r="AN102" s="725"/>
      <c r="AO102" s="727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29"/>
      <c r="AH103" s="725"/>
      <c r="AI103" s="725"/>
      <c r="AJ103" s="725"/>
      <c r="AK103" s="725"/>
      <c r="AL103" s="725"/>
      <c r="AM103" s="725"/>
      <c r="AN103" s="725"/>
      <c r="AO103" s="72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29"/>
      <c r="AH104" s="725"/>
      <c r="AI104" s="725"/>
      <c r="AJ104" s="725"/>
      <c r="AK104" s="725"/>
      <c r="AL104" s="725"/>
      <c r="AM104" s="725"/>
      <c r="AN104" s="725"/>
      <c r="AO104" s="727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29"/>
      <c r="AH105" s="725"/>
      <c r="AI105" s="725"/>
      <c r="AJ105" s="725"/>
      <c r="AK105" s="725"/>
      <c r="AL105" s="725"/>
      <c r="AM105" s="725"/>
      <c r="AN105" s="725"/>
      <c r="AO105" s="727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29"/>
      <c r="AH106" s="725"/>
      <c r="AI106" s="725"/>
      <c r="AJ106" s="725"/>
      <c r="AK106" s="725"/>
      <c r="AL106" s="725"/>
      <c r="AM106" s="725"/>
      <c r="AN106" s="725"/>
      <c r="AO106" s="727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29"/>
      <c r="AH107" s="725"/>
      <c r="AI107" s="725"/>
      <c r="AJ107" s="725"/>
      <c r="AK107" s="725"/>
      <c r="AL107" s="725"/>
      <c r="AM107" s="725"/>
      <c r="AN107" s="725"/>
      <c r="AO107" s="727"/>
    </row>
    <row r="108" spans="1:129" s="166" customFormat="1" ht="13.5" customHeight="1">
      <c r="A108" s="372"/>
      <c r="B108" s="199"/>
      <c r="C108" s="185"/>
      <c r="D108" s="615"/>
      <c r="E108" s="185"/>
      <c r="F108" s="199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29"/>
      <c r="AH108" s="725"/>
      <c r="AI108" s="725"/>
      <c r="AJ108" s="725"/>
      <c r="AK108" s="725"/>
      <c r="AL108" s="725"/>
      <c r="AM108" s="725"/>
      <c r="AN108" s="725"/>
      <c r="AO108" s="727"/>
      <c r="BV108" s="588">
        <f>4</f>
        <v>4</v>
      </c>
      <c r="BW108" s="588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7" t="s">
        <v>550</v>
      </c>
      <c r="E109" s="371">
        <v>348.62799999999999</v>
      </c>
      <c r="F109" s="200" t="s">
        <v>550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29"/>
      <c r="AH109" s="725"/>
      <c r="AI109" s="725"/>
      <c r="AJ109" s="725"/>
      <c r="AK109" s="725"/>
      <c r="AL109" s="725"/>
      <c r="AM109" s="725"/>
      <c r="AN109" s="725"/>
      <c r="AO109" s="727"/>
    </row>
    <row r="110" spans="1:129" s="166" customFormat="1" ht="13.5" customHeight="1" thickBot="1">
      <c r="A110" s="372"/>
      <c r="B110" s="201"/>
      <c r="D110" s="616"/>
      <c r="F110" s="201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29"/>
      <c r="AH110" s="725"/>
      <c r="AI110" s="725"/>
      <c r="AJ110" s="725"/>
      <c r="AK110" s="725"/>
      <c r="AL110" s="725"/>
      <c r="AM110" s="725"/>
      <c r="AN110" s="725"/>
      <c r="AO110" s="727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29"/>
      <c r="AH111" s="725"/>
      <c r="AI111" s="725"/>
      <c r="AJ111" s="725"/>
      <c r="AK111" s="725"/>
      <c r="AL111" s="725"/>
      <c r="AM111" s="725"/>
      <c r="AN111" s="725"/>
      <c r="AO111" s="727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30"/>
      <c r="AH112" s="726"/>
      <c r="AI112" s="726"/>
      <c r="AJ112" s="726"/>
      <c r="AK112" s="726"/>
      <c r="AL112" s="726"/>
      <c r="AM112" s="726"/>
      <c r="AN112" s="726"/>
      <c r="AO112" s="728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29"/>
      <c r="AH113" s="725"/>
      <c r="AI113" s="725"/>
      <c r="AJ113" s="725"/>
      <c r="AK113" s="725"/>
      <c r="AL113" s="725"/>
      <c r="AM113" s="725"/>
      <c r="AN113" s="725"/>
      <c r="AO113" s="727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29"/>
      <c r="AH114" s="725"/>
      <c r="AI114" s="725"/>
      <c r="AJ114" s="725"/>
      <c r="AK114" s="725"/>
      <c r="AL114" s="725"/>
      <c r="AM114" s="725"/>
      <c r="AN114" s="725"/>
      <c r="AO114" s="727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29"/>
      <c r="AH115" s="725"/>
      <c r="AI115" s="725"/>
      <c r="AJ115" s="725"/>
      <c r="AK115" s="725"/>
      <c r="AL115" s="725"/>
      <c r="AM115" s="725"/>
      <c r="AN115" s="725"/>
      <c r="AO115" s="727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29"/>
      <c r="AH116" s="725"/>
      <c r="AI116" s="725"/>
      <c r="AJ116" s="725"/>
      <c r="AK116" s="725"/>
      <c r="AL116" s="725"/>
      <c r="AM116" s="725"/>
      <c r="AN116" s="725"/>
      <c r="AO116" s="727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29"/>
      <c r="AH117" s="725"/>
      <c r="AI117" s="725"/>
      <c r="AJ117" s="725"/>
      <c r="AK117" s="725"/>
      <c r="AL117" s="725"/>
      <c r="AM117" s="725"/>
      <c r="AN117" s="725"/>
      <c r="AO117" s="727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29"/>
      <c r="AH118" s="725"/>
      <c r="AI118" s="725"/>
      <c r="AJ118" s="725"/>
      <c r="AK118" s="725"/>
      <c r="AL118" s="725"/>
      <c r="AM118" s="725"/>
      <c r="AN118" s="725"/>
      <c r="AO118" s="727"/>
    </row>
    <row r="119" spans="1:75" s="166" customFormat="1" ht="13.5" customHeight="1">
      <c r="A119" s="365"/>
      <c r="B119" s="269"/>
      <c r="C119" s="270"/>
      <c r="D119" s="269"/>
      <c r="E119" s="270"/>
      <c r="F119" s="613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29"/>
      <c r="AH119" s="725"/>
      <c r="AI119" s="725"/>
      <c r="AJ119" s="725"/>
      <c r="AK119" s="725"/>
      <c r="AL119" s="725"/>
      <c r="AM119" s="725"/>
      <c r="AN119" s="725"/>
      <c r="AO119" s="727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6" t="s">
        <v>97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29"/>
      <c r="AH120" s="725"/>
      <c r="AI120" s="725"/>
      <c r="AJ120" s="725"/>
      <c r="AK120" s="725"/>
      <c r="AL120" s="725"/>
      <c r="AM120" s="725"/>
      <c r="AN120" s="725"/>
      <c r="AO120" s="727"/>
    </row>
    <row r="121" spans="1:75" s="166" customFormat="1" ht="13.5" customHeight="1" thickBot="1">
      <c r="A121" s="365"/>
      <c r="B121" s="274"/>
      <c r="C121" s="205"/>
      <c r="D121" s="274"/>
      <c r="E121" s="205"/>
      <c r="F121" s="614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29"/>
      <c r="AH121" s="725"/>
      <c r="AI121" s="725"/>
      <c r="AJ121" s="725"/>
      <c r="AK121" s="725"/>
      <c r="AL121" s="725"/>
      <c r="AM121" s="725"/>
      <c r="AN121" s="725"/>
      <c r="AO121" s="727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29"/>
      <c r="AH122" s="725"/>
      <c r="AI122" s="725"/>
      <c r="AJ122" s="725"/>
      <c r="AK122" s="725"/>
      <c r="AL122" s="725"/>
      <c r="AM122" s="725"/>
      <c r="AN122" s="725"/>
      <c r="AO122" s="727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731"/>
      <c r="AH123" s="732"/>
      <c r="AI123" s="732"/>
      <c r="AJ123" s="732"/>
      <c r="AK123" s="732"/>
      <c r="AL123" s="732"/>
      <c r="AM123" s="732"/>
      <c r="AN123" s="732"/>
      <c r="AO123" s="733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29"/>
      <c r="AH124" s="725"/>
      <c r="AI124" s="725"/>
      <c r="AJ124" s="725"/>
      <c r="AK124" s="725"/>
      <c r="AL124" s="725"/>
      <c r="AM124" s="725"/>
      <c r="AN124" s="725"/>
      <c r="AO124" s="727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29"/>
      <c r="AH125" s="725"/>
      <c r="AI125" s="725"/>
      <c r="AJ125" s="725"/>
      <c r="AK125" s="725"/>
      <c r="AL125" s="725"/>
      <c r="AM125" s="725"/>
      <c r="AN125" s="725"/>
      <c r="AO125" s="727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29"/>
      <c r="AH126" s="725"/>
      <c r="AI126" s="725"/>
      <c r="AJ126" s="725"/>
      <c r="AK126" s="725"/>
      <c r="AL126" s="725"/>
      <c r="AM126" s="725"/>
      <c r="AN126" s="725"/>
      <c r="AO126" s="727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29"/>
      <c r="AH127" s="725"/>
      <c r="AI127" s="725"/>
      <c r="AJ127" s="725"/>
      <c r="AK127" s="725"/>
      <c r="AL127" s="725"/>
      <c r="AM127" s="725"/>
      <c r="AN127" s="725"/>
      <c r="AO127" s="727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29"/>
      <c r="AH128" s="725"/>
      <c r="AI128" s="725"/>
      <c r="AJ128" s="725"/>
      <c r="AK128" s="725"/>
      <c r="AL128" s="725"/>
      <c r="AM128" s="725"/>
      <c r="AN128" s="725"/>
      <c r="AO128" s="727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29"/>
      <c r="AH129" s="725"/>
      <c r="AI129" s="725"/>
      <c r="AJ129" s="725"/>
      <c r="AK129" s="725"/>
      <c r="AL129" s="725"/>
      <c r="AM129" s="725"/>
      <c r="AN129" s="725"/>
      <c r="AO129" s="727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29"/>
      <c r="AH130" s="725"/>
      <c r="AI130" s="725"/>
      <c r="AJ130" s="725"/>
      <c r="AK130" s="725"/>
      <c r="AL130" s="725"/>
      <c r="AM130" s="725"/>
      <c r="AN130" s="725"/>
      <c r="AO130" s="727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29"/>
      <c r="AH131" s="725"/>
      <c r="AI131" s="725"/>
      <c r="AJ131" s="725"/>
      <c r="AK131" s="725"/>
      <c r="AL131" s="725"/>
      <c r="AM131" s="725"/>
      <c r="AN131" s="725"/>
      <c r="AO131" s="727"/>
      <c r="BV131" s="588">
        <v>1</v>
      </c>
      <c r="BW131" s="588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29"/>
      <c r="AH132" s="725"/>
      <c r="AI132" s="725"/>
      <c r="AJ132" s="725"/>
      <c r="AK132" s="725"/>
      <c r="AL132" s="725"/>
      <c r="AM132" s="725"/>
      <c r="AN132" s="725"/>
      <c r="AO132" s="727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29"/>
      <c r="AH133" s="725"/>
      <c r="AI133" s="725"/>
      <c r="AJ133" s="725"/>
      <c r="AK133" s="725"/>
      <c r="AL133" s="725"/>
      <c r="AM133" s="725"/>
      <c r="AN133" s="725"/>
      <c r="AO133" s="727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30"/>
      <c r="AH134" s="726"/>
      <c r="AI134" s="726"/>
      <c r="AJ134" s="726"/>
      <c r="AK134" s="726"/>
      <c r="AL134" s="726"/>
      <c r="AM134" s="726"/>
      <c r="AN134" s="726"/>
      <c r="AO134" s="728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8">
        <v>3</v>
      </c>
      <c r="BW143" s="588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550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9">
        <f>1</f>
        <v>1</v>
      </c>
      <c r="BW178" s="590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90">
        <v>0</v>
      </c>
      <c r="BW188" s="590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19"/>
      <c r="S199" s="185"/>
      <c r="T199" s="186"/>
      <c r="U199" s="185"/>
      <c r="V199" s="186"/>
      <c r="W199" s="185"/>
      <c r="X199" s="719"/>
      <c r="Y199" s="185"/>
      <c r="Z199" s="719"/>
      <c r="AA199" s="185"/>
      <c r="AB199" s="719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720"/>
      <c r="S200" s="371">
        <v>382</v>
      </c>
      <c r="T200" s="189"/>
      <c r="U200" s="371">
        <v>384</v>
      </c>
      <c r="V200" s="189"/>
      <c r="W200" s="371">
        <v>406</v>
      </c>
      <c r="X200" s="720"/>
      <c r="Y200" s="371">
        <v>352</v>
      </c>
      <c r="Z200" s="720"/>
      <c r="AA200" s="371">
        <v>453</v>
      </c>
      <c r="AB200" s="720"/>
      <c r="AC200" s="371">
        <v>388</v>
      </c>
      <c r="AD200" s="189"/>
      <c r="AE200" s="272">
        <v>395</v>
      </c>
      <c r="AF200" s="366"/>
      <c r="BV200" s="589">
        <f>7</f>
        <v>7</v>
      </c>
      <c r="BW200" s="590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21"/>
      <c r="S201" s="166"/>
      <c r="T201" s="191"/>
      <c r="U201" s="166"/>
      <c r="V201" s="191"/>
      <c r="W201" s="166"/>
      <c r="X201" s="721"/>
      <c r="Y201" s="166"/>
      <c r="Z201" s="721"/>
      <c r="AA201" s="166"/>
      <c r="AB201" s="721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9">
        <v>7</v>
      </c>
      <c r="BW212" s="590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9" t="s">
        <v>677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1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2" t="s">
        <v>946</v>
      </c>
      <c r="B9" s="822" t="s">
        <v>339</v>
      </c>
      <c r="I9" s="29"/>
    </row>
    <row r="10" spans="1:353">
      <c r="A10" s="822"/>
      <c r="B10" s="822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3" t="s">
        <v>972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5"/>
    </row>
    <row r="2" spans="1:17" ht="21" customHeight="1">
      <c r="A2" s="826" t="s">
        <v>973</v>
      </c>
      <c r="B2" s="828" t="s">
        <v>203</v>
      </c>
      <c r="C2" s="828" t="s">
        <v>974</v>
      </c>
      <c r="D2" s="828" t="s">
        <v>975</v>
      </c>
      <c r="E2" s="828" t="s">
        <v>976</v>
      </c>
      <c r="F2" s="830" t="s">
        <v>112</v>
      </c>
      <c r="G2" s="830"/>
      <c r="H2" s="830" t="s">
        <v>114</v>
      </c>
      <c r="I2" s="830"/>
      <c r="J2" s="828" t="s">
        <v>977</v>
      </c>
      <c r="K2" s="828" t="s">
        <v>978</v>
      </c>
      <c r="L2" s="828" t="s">
        <v>979</v>
      </c>
      <c r="M2" s="828" t="s">
        <v>343</v>
      </c>
      <c r="N2" s="828" t="s">
        <v>475</v>
      </c>
      <c r="O2" s="828" t="s">
        <v>470</v>
      </c>
      <c r="P2" s="828" t="s">
        <v>471</v>
      </c>
      <c r="Q2" s="831" t="s">
        <v>33</v>
      </c>
    </row>
    <row r="3" spans="1:17" ht="25.35" customHeight="1">
      <c r="A3" s="827"/>
      <c r="B3" s="829"/>
      <c r="C3" s="829"/>
      <c r="D3" s="829"/>
      <c r="E3" s="829"/>
      <c r="F3" s="28" t="s">
        <v>980</v>
      </c>
      <c r="G3" s="28" t="s">
        <v>981</v>
      </c>
      <c r="H3" s="28" t="s">
        <v>980</v>
      </c>
      <c r="I3" s="28" t="s">
        <v>981</v>
      </c>
      <c r="J3" s="829"/>
      <c r="K3" s="829"/>
      <c r="L3" s="829"/>
      <c r="M3" s="829"/>
      <c r="N3" s="829"/>
      <c r="O3" s="829"/>
      <c r="P3" s="829"/>
      <c r="Q3" s="83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3" t="s">
        <v>89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5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600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23">
        <v>33</v>
      </c>
      <c r="B35" s="624" t="s">
        <v>763</v>
      </c>
      <c r="C35" s="625" t="s">
        <v>298</v>
      </c>
      <c r="D35" s="624" t="s">
        <v>1047</v>
      </c>
      <c r="E35" s="625" t="s">
        <v>298</v>
      </c>
      <c r="F35" s="625" t="s">
        <v>1004</v>
      </c>
      <c r="G35" s="625">
        <v>172.61</v>
      </c>
      <c r="H35" s="625" t="s">
        <v>1005</v>
      </c>
      <c r="I35" s="626" t="s">
        <v>1048</v>
      </c>
      <c r="J35" s="624">
        <v>1</v>
      </c>
      <c r="K35" s="624" t="s">
        <v>200</v>
      </c>
      <c r="L35" s="624" t="s">
        <v>1044</v>
      </c>
      <c r="M35" s="627"/>
      <c r="N35" s="627"/>
      <c r="O35" s="624"/>
      <c r="P35" s="628" t="s">
        <v>1122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1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1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1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23">
        <v>40</v>
      </c>
      <c r="B42" s="624" t="s">
        <v>1057</v>
      </c>
      <c r="C42" s="625" t="s">
        <v>396</v>
      </c>
      <c r="D42" s="624" t="s">
        <v>1058</v>
      </c>
      <c r="E42" s="625" t="s">
        <v>396</v>
      </c>
      <c r="F42" s="625" t="s">
        <v>1004</v>
      </c>
      <c r="G42" s="625">
        <v>360</v>
      </c>
      <c r="H42" s="625" t="s">
        <v>1005</v>
      </c>
      <c r="I42" s="626" t="s">
        <v>1059</v>
      </c>
      <c r="J42" s="624">
        <v>1</v>
      </c>
      <c r="K42" s="624" t="s">
        <v>200</v>
      </c>
      <c r="L42" s="624" t="s">
        <v>1044</v>
      </c>
      <c r="M42" s="627"/>
      <c r="N42" s="627"/>
      <c r="O42" s="624"/>
      <c r="P42" s="628" t="s">
        <v>1122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1096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1084</v>
      </c>
      <c r="D1" s="328" t="s">
        <v>262</v>
      </c>
    </row>
    <row r="2" spans="1:12" ht="16.5" thickBot="1">
      <c r="A2" s="326">
        <v>1</v>
      </c>
      <c r="B2" s="327" t="s">
        <v>1088</v>
      </c>
      <c r="C2" s="327" t="s">
        <v>1085</v>
      </c>
      <c r="D2" s="333" t="s">
        <v>1072</v>
      </c>
      <c r="F2" s="586" t="s">
        <v>67</v>
      </c>
    </row>
    <row r="3" spans="1:12" ht="32.1" customHeight="1">
      <c r="A3" s="326">
        <v>2</v>
      </c>
      <c r="B3" s="327" t="s">
        <v>1089</v>
      </c>
      <c r="C3" s="327" t="s">
        <v>1086</v>
      </c>
      <c r="D3" s="333" t="s">
        <v>1072</v>
      </c>
      <c r="G3" s="608" t="s">
        <v>92</v>
      </c>
      <c r="H3" s="609" t="s">
        <v>1097</v>
      </c>
      <c r="I3" s="609" t="s">
        <v>1098</v>
      </c>
      <c r="J3" s="609" t="s">
        <v>470</v>
      </c>
      <c r="K3" s="609" t="s">
        <v>1099</v>
      </c>
      <c r="L3" s="610" t="s">
        <v>33</v>
      </c>
    </row>
    <row r="4" spans="1:12">
      <c r="A4" s="320">
        <v>3</v>
      </c>
      <c r="B4" s="321" t="s">
        <v>1089</v>
      </c>
      <c r="C4" s="327" t="s">
        <v>1087</v>
      </c>
      <c r="D4" s="333" t="s">
        <v>1072</v>
      </c>
      <c r="G4" s="602">
        <v>1</v>
      </c>
      <c r="H4" s="11" t="s">
        <v>1104</v>
      </c>
      <c r="I4" s="11" t="s">
        <v>1100</v>
      </c>
      <c r="J4" s="11">
        <v>12</v>
      </c>
      <c r="K4" s="11">
        <v>9923426296</v>
      </c>
      <c r="L4" s="603"/>
    </row>
    <row r="5" spans="1:12" ht="45">
      <c r="A5" s="322">
        <v>4</v>
      </c>
      <c r="B5" s="323" t="s">
        <v>67</v>
      </c>
      <c r="C5" s="323"/>
      <c r="D5" s="323"/>
      <c r="G5" s="602">
        <v>2</v>
      </c>
      <c r="H5" s="11" t="s">
        <v>1103</v>
      </c>
      <c r="I5" s="10" t="s">
        <v>1101</v>
      </c>
      <c r="J5" s="11">
        <v>10</v>
      </c>
      <c r="K5" s="11">
        <v>9923426296</v>
      </c>
      <c r="L5" s="603"/>
    </row>
    <row r="6" spans="1:12">
      <c r="A6" s="322">
        <v>5</v>
      </c>
      <c r="B6" s="323"/>
      <c r="C6" s="323"/>
      <c r="D6" s="323"/>
      <c r="G6" s="602">
        <v>3</v>
      </c>
      <c r="H6" s="11" t="s">
        <v>1102</v>
      </c>
      <c r="I6" s="11" t="s">
        <v>1105</v>
      </c>
      <c r="J6" s="11">
        <v>11</v>
      </c>
      <c r="K6" s="11">
        <v>7066720891</v>
      </c>
      <c r="L6" s="603"/>
    </row>
    <row r="7" spans="1:12" ht="45">
      <c r="A7" s="322">
        <v>6</v>
      </c>
      <c r="B7" s="323"/>
      <c r="C7" s="323"/>
      <c r="D7" s="323"/>
      <c r="G7" s="602">
        <v>4</v>
      </c>
      <c r="H7" s="11" t="s">
        <v>1106</v>
      </c>
      <c r="I7" s="10" t="s">
        <v>1101</v>
      </c>
      <c r="J7" s="11">
        <v>10</v>
      </c>
      <c r="K7" s="11">
        <v>7066720891</v>
      </c>
      <c r="L7" s="603"/>
    </row>
    <row r="8" spans="1:12">
      <c r="A8" s="322">
        <v>7</v>
      </c>
      <c r="B8" s="323"/>
      <c r="C8" s="323"/>
      <c r="D8" s="323"/>
      <c r="G8" s="602">
        <v>5</v>
      </c>
      <c r="H8" s="11" t="s">
        <v>402</v>
      </c>
      <c r="I8" s="11" t="s">
        <v>1107</v>
      </c>
      <c r="J8" s="11">
        <v>14</v>
      </c>
      <c r="K8" s="11">
        <v>7047832193</v>
      </c>
      <c r="L8" s="603"/>
    </row>
    <row r="9" spans="1:12">
      <c r="A9" s="322">
        <v>8</v>
      </c>
      <c r="B9" s="323"/>
      <c r="C9" s="323"/>
      <c r="D9" s="323"/>
      <c r="G9" s="602">
        <v>6</v>
      </c>
      <c r="H9" s="11" t="s">
        <v>1108</v>
      </c>
      <c r="I9" s="11" t="s">
        <v>1109</v>
      </c>
      <c r="J9" s="11">
        <v>12</v>
      </c>
      <c r="K9" s="11">
        <v>9512377438</v>
      </c>
      <c r="L9" s="603"/>
    </row>
    <row r="10" spans="1:12">
      <c r="A10" s="322">
        <v>9</v>
      </c>
      <c r="B10" s="323"/>
      <c r="C10" s="323"/>
      <c r="D10" s="323"/>
      <c r="G10" s="602">
        <v>7</v>
      </c>
      <c r="H10" s="11" t="s">
        <v>1110</v>
      </c>
      <c r="I10" s="308">
        <v>46193</v>
      </c>
      <c r="J10" s="11">
        <v>12</v>
      </c>
      <c r="K10" s="11">
        <v>9904772920</v>
      </c>
      <c r="L10" s="603"/>
    </row>
    <row r="11" spans="1:12">
      <c r="A11" s="322">
        <v>10</v>
      </c>
      <c r="B11" s="323"/>
      <c r="C11" s="323"/>
      <c r="D11" s="323"/>
      <c r="G11" s="602">
        <v>8</v>
      </c>
      <c r="H11" s="11" t="s">
        <v>1111</v>
      </c>
      <c r="I11" s="308">
        <v>46195</v>
      </c>
      <c r="J11" s="11">
        <v>15</v>
      </c>
      <c r="K11" s="11">
        <v>6299211179</v>
      </c>
      <c r="L11" s="603"/>
    </row>
    <row r="12" spans="1:12">
      <c r="A12" s="322">
        <v>11</v>
      </c>
      <c r="B12" s="323"/>
      <c r="C12" s="323"/>
      <c r="D12" s="323"/>
      <c r="G12" s="602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3"/>
    </row>
    <row r="13" spans="1:12" ht="15.75" thickBot="1">
      <c r="A13" s="322">
        <v>12</v>
      </c>
      <c r="B13" s="323"/>
      <c r="C13" s="323"/>
      <c r="D13" s="323"/>
      <c r="G13" s="604">
        <v>10</v>
      </c>
      <c r="H13" s="605" t="s">
        <v>1112</v>
      </c>
      <c r="I13" s="606">
        <v>46194</v>
      </c>
      <c r="J13" s="605">
        <v>12</v>
      </c>
      <c r="K13" s="605">
        <v>8799693511</v>
      </c>
      <c r="L13" s="607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2026-06-23T17:22:17Z</dcterms:modified>
  <cp:category/>
  <cp:contentStatus/>
</cp:coreProperties>
</file>