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KEC TB-412\Transmission Line\DPR\June-2026\"/>
    </mc:Choice>
  </mc:AlternateContent>
  <bookViews>
    <workbookView xWindow="0" yWindow="0" windowWidth="20490" windowHeight="7500" tabRatio="676" firstSheet="11" activeTab="26"/>
  </bookViews>
  <sheets>
    <sheet name="TB-412 SUMMARY" sheetId="28" r:id="rId1"/>
    <sheet name="Summary-" sheetId="5" r:id="rId2"/>
    <sheet name="Survey Status" sheetId="33" state="hidden" r:id="rId3"/>
    <sheet name="Sheet3" sheetId="34" state="hidden" r:id="rId4"/>
    <sheet name="DPR Sheet " sheetId="22" r:id="rId5"/>
    <sheet name="WIP" sheetId="23" r:id="rId6"/>
    <sheet name="GANG Mapping MAY-26 " sheetId="37" state="hidden" r:id="rId7"/>
    <sheet name="Soil Investigation" sheetId="3" r:id="rId8"/>
    <sheet name="Sheet1" sheetId="24" state="hidden" r:id="rId9"/>
    <sheet name="Progress 400kV QM" sheetId="19" state="hidden" r:id="rId10"/>
    <sheet name="VC 400 KV QM" sheetId="38" r:id="rId11"/>
    <sheet name="Progress 220KV TM" sheetId="15" r:id="rId12"/>
    <sheet name="VC 220 TM" sheetId="39" r:id="rId13"/>
    <sheet name="VC 220 SZ" sheetId="40" r:id="rId14"/>
    <sheet name="ROW" sheetId="44" r:id="rId15"/>
    <sheet name="220 SZ Status" sheetId="27" state="hidden" r:id="rId16"/>
    <sheet name="CS-220kV TM " sheetId="8" state="hidden" r:id="rId17"/>
    <sheet name="DS-220 KV TM" sheetId="11" state="hidden" r:id="rId18"/>
    <sheet name="DS 400kV LI" sheetId="6" state="hidden" r:id="rId19"/>
    <sheet name="DS 400 kV LO" sheetId="9" state="hidden" r:id="rId20"/>
    <sheet name="Survey Report" sheetId="10" state="hidden" r:id="rId21"/>
    <sheet name="FDN" sheetId="2" r:id="rId22"/>
    <sheet name="Earthing Pending" sheetId="42" state="hidden" r:id="rId23"/>
    <sheet name="Erection" sheetId="32" r:id="rId24"/>
    <sheet name="Earthing" sheetId="7" r:id="rId25"/>
    <sheet name="Earthing Balance" sheetId="45" state="hidden" r:id="rId26"/>
    <sheet name="Statutary " sheetId="43" r:id="rId27"/>
    <sheet name="Power line Crossings " sheetId="30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0" localSheetId="4">#REF!</definedName>
    <definedName name="\0" localSheetId="23">#REF!</definedName>
    <definedName name="\0" localSheetId="6">#REF!</definedName>
    <definedName name="\0" localSheetId="27">#REF!</definedName>
    <definedName name="\0" localSheetId="11">#REF!</definedName>
    <definedName name="\0" localSheetId="10">#REF!</definedName>
    <definedName name="\0" localSheetId="5">#REF!</definedName>
    <definedName name="\0">#REF!</definedName>
    <definedName name="\A" localSheetId="4">#REF!</definedName>
    <definedName name="\A" localSheetId="23">#REF!</definedName>
    <definedName name="\A" localSheetId="6">#REF!</definedName>
    <definedName name="\A" localSheetId="27">#REF!</definedName>
    <definedName name="\A" localSheetId="11">#REF!</definedName>
    <definedName name="\A" localSheetId="10">#REF!</definedName>
    <definedName name="\A" localSheetId="5">#REF!</definedName>
    <definedName name="\A">#REF!</definedName>
    <definedName name="\B" localSheetId="4">#REF!</definedName>
    <definedName name="\B" localSheetId="23">#REF!</definedName>
    <definedName name="\B" localSheetId="6">#REF!</definedName>
    <definedName name="\B" localSheetId="27">#REF!</definedName>
    <definedName name="\B" localSheetId="11">#REF!</definedName>
    <definedName name="\B" localSheetId="10">#REF!</definedName>
    <definedName name="\B" localSheetId="5">#REF!</definedName>
    <definedName name="\B">#REF!</definedName>
    <definedName name="\C" localSheetId="4">#REF!</definedName>
    <definedName name="\C" localSheetId="23">#REF!</definedName>
    <definedName name="\C" localSheetId="6">#REF!</definedName>
    <definedName name="\C" localSheetId="27">#REF!</definedName>
    <definedName name="\C" localSheetId="11">#REF!</definedName>
    <definedName name="\C" localSheetId="10">#REF!</definedName>
    <definedName name="\C" localSheetId="5">#REF!</definedName>
    <definedName name="\C">#REF!</definedName>
    <definedName name="\i" localSheetId="4">#REF!</definedName>
    <definedName name="\i" localSheetId="23">#REF!</definedName>
    <definedName name="\i" localSheetId="6">#REF!</definedName>
    <definedName name="\i" localSheetId="27">#REF!</definedName>
    <definedName name="\i" localSheetId="11">#REF!</definedName>
    <definedName name="\i" localSheetId="10">#REF!</definedName>
    <definedName name="\i" localSheetId="5">#REF!</definedName>
    <definedName name="\i">#REF!</definedName>
    <definedName name="\M" localSheetId="4">#REF!</definedName>
    <definedName name="\M" localSheetId="23">#REF!</definedName>
    <definedName name="\M" localSheetId="6">#REF!</definedName>
    <definedName name="\M" localSheetId="27">#REF!</definedName>
    <definedName name="\M" localSheetId="11">#REF!</definedName>
    <definedName name="\M" localSheetId="10">#REF!</definedName>
    <definedName name="\M" localSheetId="5">#REF!</definedName>
    <definedName name="\M">#REF!</definedName>
    <definedName name="\N" localSheetId="4">#REF!</definedName>
    <definedName name="\N" localSheetId="23">#REF!</definedName>
    <definedName name="\N" localSheetId="6">#REF!</definedName>
    <definedName name="\N" localSheetId="27">#REF!</definedName>
    <definedName name="\N" localSheetId="11">#REF!</definedName>
    <definedName name="\N" localSheetId="10">#REF!</definedName>
    <definedName name="\N" localSheetId="5">#REF!</definedName>
    <definedName name="\N">#REF!</definedName>
    <definedName name="\P" localSheetId="4">#REF!</definedName>
    <definedName name="\P" localSheetId="23">#REF!</definedName>
    <definedName name="\P" localSheetId="6">#REF!</definedName>
    <definedName name="\P" localSheetId="27">#REF!</definedName>
    <definedName name="\P" localSheetId="11">#REF!</definedName>
    <definedName name="\P" localSheetId="10">#REF!</definedName>
    <definedName name="\P" localSheetId="5">#REF!</definedName>
    <definedName name="\P">#REF!</definedName>
    <definedName name="\R" localSheetId="4">#REF!</definedName>
    <definedName name="\R" localSheetId="23">#REF!</definedName>
    <definedName name="\R" localSheetId="6">#REF!</definedName>
    <definedName name="\R" localSheetId="27">#REF!</definedName>
    <definedName name="\R" localSheetId="11">#REF!</definedName>
    <definedName name="\R" localSheetId="10">#REF!</definedName>
    <definedName name="\R" localSheetId="5">#REF!</definedName>
    <definedName name="\R">#REF!</definedName>
    <definedName name="\U" localSheetId="4">#REF!</definedName>
    <definedName name="\U" localSheetId="23">#REF!</definedName>
    <definedName name="\U" localSheetId="6">#REF!</definedName>
    <definedName name="\U" localSheetId="27">#REF!</definedName>
    <definedName name="\U" localSheetId="11">#REF!</definedName>
    <definedName name="\U" localSheetId="10">#REF!</definedName>
    <definedName name="\U" localSheetId="5">#REF!</definedName>
    <definedName name="\U">#REF!</definedName>
    <definedName name="\V" localSheetId="4">#REF!</definedName>
    <definedName name="\V" localSheetId="23">#REF!</definedName>
    <definedName name="\V" localSheetId="6">#REF!</definedName>
    <definedName name="\V" localSheetId="27">#REF!</definedName>
    <definedName name="\V" localSheetId="11">#REF!</definedName>
    <definedName name="\V" localSheetId="10">#REF!</definedName>
    <definedName name="\V" localSheetId="5">#REF!</definedName>
    <definedName name="\V">#REF!</definedName>
    <definedName name="\z" localSheetId="4">#REF!</definedName>
    <definedName name="\z" localSheetId="23">#REF!</definedName>
    <definedName name="\z" localSheetId="6">#REF!</definedName>
    <definedName name="\z" localSheetId="27">#REF!</definedName>
    <definedName name="\z" localSheetId="11">#REF!</definedName>
    <definedName name="\z" localSheetId="10">#REF!</definedName>
    <definedName name="\z" localSheetId="5">#REF!</definedName>
    <definedName name="\z">#REF!</definedName>
    <definedName name="_" localSheetId="23">#REF!</definedName>
    <definedName name="_" localSheetId="6">#REF!</definedName>
    <definedName name="_" localSheetId="10">#REF!</definedName>
    <definedName name="_">#REF!</definedName>
    <definedName name="_________________________________________________________in18900" localSheetId="23">#REF!</definedName>
    <definedName name="_________________________________________________________in18900" localSheetId="6">#REF!</definedName>
    <definedName name="_________________________________________________________in18900" localSheetId="10">#REF!</definedName>
    <definedName name="_________________________________________________________in18900">#REF!</definedName>
    <definedName name="_________________________________________________________iv19000" localSheetId="23">#REF!</definedName>
    <definedName name="_________________________________________________________iv19000" localSheetId="6">#REF!</definedName>
    <definedName name="_________________________________________________________iv19000" localSheetId="10">#REF!</definedName>
    <definedName name="_________________________________________________________iv19000">#REF!</definedName>
    <definedName name="________________________________________________________in18900" localSheetId="23">#REF!</definedName>
    <definedName name="________________________________________________________in18900" localSheetId="6">#REF!</definedName>
    <definedName name="________________________________________________________in18900" localSheetId="10">#REF!</definedName>
    <definedName name="________________________________________________________in18900">#REF!</definedName>
    <definedName name="________________________________________________________iv19000" localSheetId="23">#REF!</definedName>
    <definedName name="________________________________________________________iv19000" localSheetId="6">#REF!</definedName>
    <definedName name="________________________________________________________iv19000" localSheetId="10">#REF!</definedName>
    <definedName name="________________________________________________________iv19000">#REF!</definedName>
    <definedName name="_______________________________________________________in18900" localSheetId="23">#REF!</definedName>
    <definedName name="_______________________________________________________in18900" localSheetId="6">#REF!</definedName>
    <definedName name="_______________________________________________________in18900" localSheetId="10">#REF!</definedName>
    <definedName name="_______________________________________________________in18900">#REF!</definedName>
    <definedName name="_______________________________________________________iv19000" localSheetId="23">#REF!</definedName>
    <definedName name="_______________________________________________________iv19000" localSheetId="6">#REF!</definedName>
    <definedName name="_______________________________________________________iv19000" localSheetId="10">#REF!</definedName>
    <definedName name="_______________________________________________________iv19000">#REF!</definedName>
    <definedName name="_____________________________________________________in18900" localSheetId="23">#REF!</definedName>
    <definedName name="_____________________________________________________in18900" localSheetId="6">#REF!</definedName>
    <definedName name="_____________________________________________________in18900" localSheetId="10">#REF!</definedName>
    <definedName name="_____________________________________________________in18900">#REF!</definedName>
    <definedName name="_____________________________________________________iv19000" localSheetId="23">#REF!</definedName>
    <definedName name="_____________________________________________________iv19000" localSheetId="6">#REF!</definedName>
    <definedName name="_____________________________________________________iv19000" localSheetId="10">#REF!</definedName>
    <definedName name="_____________________________________________________iv19000">#REF!</definedName>
    <definedName name="____________________________________________________in18900" localSheetId="23">#REF!</definedName>
    <definedName name="____________________________________________________in18900" localSheetId="6">#REF!</definedName>
    <definedName name="____________________________________________________in18900" localSheetId="10">#REF!</definedName>
    <definedName name="____________________________________________________in18900">#REF!</definedName>
    <definedName name="____________________________________________________iv19000" localSheetId="23">#REF!</definedName>
    <definedName name="____________________________________________________iv19000" localSheetId="6">#REF!</definedName>
    <definedName name="____________________________________________________iv19000" localSheetId="10">#REF!</definedName>
    <definedName name="____________________________________________________iv19000">#REF!</definedName>
    <definedName name="___________________________________________________in18900" localSheetId="23">#REF!</definedName>
    <definedName name="___________________________________________________in18900" localSheetId="6">#REF!</definedName>
    <definedName name="___________________________________________________in18900" localSheetId="10">#REF!</definedName>
    <definedName name="___________________________________________________in18900">#REF!</definedName>
    <definedName name="___________________________________________________iv19000" localSheetId="23">#REF!</definedName>
    <definedName name="___________________________________________________iv19000" localSheetId="6">#REF!</definedName>
    <definedName name="___________________________________________________iv19000" localSheetId="10">#REF!</definedName>
    <definedName name="___________________________________________________iv19000">#REF!</definedName>
    <definedName name="__________________________________________________in18900" localSheetId="23">#REF!</definedName>
    <definedName name="__________________________________________________in18900" localSheetId="6">#REF!</definedName>
    <definedName name="__________________________________________________in18900" localSheetId="10">#REF!</definedName>
    <definedName name="__________________________________________________in18900">#REF!</definedName>
    <definedName name="__________________________________________________iv19000" localSheetId="23">#REF!</definedName>
    <definedName name="__________________________________________________iv19000" localSheetId="6">#REF!</definedName>
    <definedName name="__________________________________________________iv19000" localSheetId="10">#REF!</definedName>
    <definedName name="__________________________________________________iv19000">#REF!</definedName>
    <definedName name="_________________________________________________in18900" localSheetId="23">#REF!</definedName>
    <definedName name="_________________________________________________in18900" localSheetId="6">#REF!</definedName>
    <definedName name="_________________________________________________in18900" localSheetId="10">#REF!</definedName>
    <definedName name="_________________________________________________in18900">#REF!</definedName>
    <definedName name="_________________________________________________iv19000" localSheetId="23">#REF!</definedName>
    <definedName name="_________________________________________________iv19000" localSheetId="6">#REF!</definedName>
    <definedName name="_________________________________________________iv19000" localSheetId="10">#REF!</definedName>
    <definedName name="_________________________________________________iv19000">#REF!</definedName>
    <definedName name="________________________________________________in18900" localSheetId="23">#REF!</definedName>
    <definedName name="________________________________________________in18900" localSheetId="6">#REF!</definedName>
    <definedName name="________________________________________________in18900" localSheetId="10">#REF!</definedName>
    <definedName name="________________________________________________in18900">#REF!</definedName>
    <definedName name="________________________________________________iv19000" localSheetId="23">#REF!</definedName>
    <definedName name="________________________________________________iv19000" localSheetId="6">#REF!</definedName>
    <definedName name="________________________________________________iv19000" localSheetId="10">#REF!</definedName>
    <definedName name="________________________________________________iv19000">#REF!</definedName>
    <definedName name="_______________________________________________in18900" localSheetId="23">#REF!</definedName>
    <definedName name="_______________________________________________in18900" localSheetId="6">#REF!</definedName>
    <definedName name="_______________________________________________in18900" localSheetId="10">#REF!</definedName>
    <definedName name="_______________________________________________in18900">#REF!</definedName>
    <definedName name="_______________________________________________iv19000" localSheetId="23">#REF!</definedName>
    <definedName name="_______________________________________________iv19000" localSheetId="6">#REF!</definedName>
    <definedName name="_______________________________________________iv19000" localSheetId="10">#REF!</definedName>
    <definedName name="_______________________________________________iv19000">#REF!</definedName>
    <definedName name="______________________________________________in18900" localSheetId="23">#REF!</definedName>
    <definedName name="______________________________________________in18900" localSheetId="6">#REF!</definedName>
    <definedName name="______________________________________________in18900" localSheetId="10">#REF!</definedName>
    <definedName name="______________________________________________in18900">#REF!</definedName>
    <definedName name="______________________________________________iv19000" localSheetId="23">#REF!</definedName>
    <definedName name="______________________________________________iv19000" localSheetId="6">#REF!</definedName>
    <definedName name="______________________________________________iv19000" localSheetId="10">#REF!</definedName>
    <definedName name="______________________________________________iv19000">#REF!</definedName>
    <definedName name="______________________________________________xlnm.Print_Area_1" localSheetId="23">#REF!</definedName>
    <definedName name="______________________________________________xlnm.Print_Area_1" localSheetId="6">#REF!</definedName>
    <definedName name="______________________________________________xlnm.Print_Area_1" localSheetId="10">#REF!</definedName>
    <definedName name="______________________________________________xlnm.Print_Area_1">#REF!</definedName>
    <definedName name="______________________________________________xlnm.Print_Area_2" localSheetId="23">#REF!</definedName>
    <definedName name="______________________________________________xlnm.Print_Area_2" localSheetId="6">#REF!</definedName>
    <definedName name="______________________________________________xlnm.Print_Area_2" localSheetId="10">#REF!</definedName>
    <definedName name="______________________________________________xlnm.Print_Area_2">#REF!</definedName>
    <definedName name="______________________________________________xlnm.Print_Titles_1" localSheetId="23">#REF!</definedName>
    <definedName name="______________________________________________xlnm.Print_Titles_1" localSheetId="6">#REF!</definedName>
    <definedName name="______________________________________________xlnm.Print_Titles_1" localSheetId="10">#REF!</definedName>
    <definedName name="______________________________________________xlnm.Print_Titles_1">#REF!</definedName>
    <definedName name="_____________________________________________in18900" localSheetId="23">#REF!</definedName>
    <definedName name="_____________________________________________in18900" localSheetId="6">#REF!</definedName>
    <definedName name="_____________________________________________in18900" localSheetId="10">#REF!</definedName>
    <definedName name="_____________________________________________in18900">#REF!</definedName>
    <definedName name="_____________________________________________iv19000" localSheetId="23">#REF!</definedName>
    <definedName name="_____________________________________________iv19000" localSheetId="6">#REF!</definedName>
    <definedName name="_____________________________________________iv19000" localSheetId="10">#REF!</definedName>
    <definedName name="_____________________________________________iv19000">#REF!</definedName>
    <definedName name="____________________________________________in18900" localSheetId="23">#REF!</definedName>
    <definedName name="____________________________________________in18900" localSheetId="6">#REF!</definedName>
    <definedName name="____________________________________________in18900" localSheetId="10">#REF!</definedName>
    <definedName name="____________________________________________in18900">#REF!</definedName>
    <definedName name="____________________________________________iv19000" localSheetId="23">#REF!</definedName>
    <definedName name="____________________________________________iv19000" localSheetId="6">#REF!</definedName>
    <definedName name="____________________________________________iv19000" localSheetId="10">#REF!</definedName>
    <definedName name="____________________________________________iv19000">#REF!</definedName>
    <definedName name="____________________________________________xlnm.Print_Area_1" localSheetId="23">#REF!</definedName>
    <definedName name="____________________________________________xlnm.Print_Area_1" localSheetId="6">#REF!</definedName>
    <definedName name="____________________________________________xlnm.Print_Area_1" localSheetId="10">#REF!</definedName>
    <definedName name="____________________________________________xlnm.Print_Area_1">#REF!</definedName>
    <definedName name="____________________________________________xlnm.Print_Area_2" localSheetId="23">#REF!</definedName>
    <definedName name="____________________________________________xlnm.Print_Area_2" localSheetId="6">#REF!</definedName>
    <definedName name="____________________________________________xlnm.Print_Area_2" localSheetId="10">#REF!</definedName>
    <definedName name="____________________________________________xlnm.Print_Area_2">#REF!</definedName>
    <definedName name="____________________________________________xlnm.Print_Titles_1" localSheetId="23">#REF!</definedName>
    <definedName name="____________________________________________xlnm.Print_Titles_1" localSheetId="6">#REF!</definedName>
    <definedName name="____________________________________________xlnm.Print_Titles_1" localSheetId="10">#REF!</definedName>
    <definedName name="____________________________________________xlnm.Print_Titles_1">#REF!</definedName>
    <definedName name="___________________________________________in18900" localSheetId="23">#REF!</definedName>
    <definedName name="___________________________________________in18900" localSheetId="6">#REF!</definedName>
    <definedName name="___________________________________________in18900" localSheetId="10">#REF!</definedName>
    <definedName name="___________________________________________in18900">#REF!</definedName>
    <definedName name="___________________________________________iv19000" localSheetId="23">#REF!</definedName>
    <definedName name="___________________________________________iv19000" localSheetId="6">#REF!</definedName>
    <definedName name="___________________________________________iv19000" localSheetId="10">#REF!</definedName>
    <definedName name="___________________________________________iv19000">#REF!</definedName>
    <definedName name="___________________________________________xlnm.Print_Area_1" localSheetId="23">#REF!</definedName>
    <definedName name="___________________________________________xlnm.Print_Area_1" localSheetId="6">#REF!</definedName>
    <definedName name="___________________________________________xlnm.Print_Area_1" localSheetId="10">#REF!</definedName>
    <definedName name="___________________________________________xlnm.Print_Area_1">#REF!</definedName>
    <definedName name="___________________________________________xlnm.Print_Area_2" localSheetId="23">#REF!</definedName>
    <definedName name="___________________________________________xlnm.Print_Area_2" localSheetId="6">#REF!</definedName>
    <definedName name="___________________________________________xlnm.Print_Area_2" localSheetId="10">#REF!</definedName>
    <definedName name="___________________________________________xlnm.Print_Area_2">#REF!</definedName>
    <definedName name="___________________________________________xlnm.Print_Area_3" localSheetId="23">#REF!</definedName>
    <definedName name="___________________________________________xlnm.Print_Area_3" localSheetId="6">#REF!</definedName>
    <definedName name="___________________________________________xlnm.Print_Area_3" localSheetId="10">#REF!</definedName>
    <definedName name="___________________________________________xlnm.Print_Area_3">#REF!</definedName>
    <definedName name="___________________________________________xlnm.Print_Titles_1" localSheetId="23">#REF!</definedName>
    <definedName name="___________________________________________xlnm.Print_Titles_1" localSheetId="6">#REF!</definedName>
    <definedName name="___________________________________________xlnm.Print_Titles_1" localSheetId="10">#REF!</definedName>
    <definedName name="___________________________________________xlnm.Print_Titles_1">#REF!</definedName>
    <definedName name="__________________________________________in18900" localSheetId="23">#REF!</definedName>
    <definedName name="__________________________________________in18900" localSheetId="6">#REF!</definedName>
    <definedName name="__________________________________________in18900" localSheetId="10">#REF!</definedName>
    <definedName name="__________________________________________in18900">#REF!</definedName>
    <definedName name="__________________________________________iv19000" localSheetId="23">#REF!</definedName>
    <definedName name="__________________________________________iv19000" localSheetId="6">#REF!</definedName>
    <definedName name="__________________________________________iv19000" localSheetId="10">#REF!</definedName>
    <definedName name="__________________________________________iv19000">#REF!</definedName>
    <definedName name="__________________________________________xlnm.Print_Area_1" localSheetId="23">#REF!</definedName>
    <definedName name="__________________________________________xlnm.Print_Area_1" localSheetId="6">#REF!</definedName>
    <definedName name="__________________________________________xlnm.Print_Area_1" localSheetId="10">#REF!</definedName>
    <definedName name="__________________________________________xlnm.Print_Area_1">#REF!</definedName>
    <definedName name="__________________________________________xlnm.Print_Area_2" localSheetId="23">#REF!</definedName>
    <definedName name="__________________________________________xlnm.Print_Area_2" localSheetId="6">#REF!</definedName>
    <definedName name="__________________________________________xlnm.Print_Area_2" localSheetId="10">#REF!</definedName>
    <definedName name="__________________________________________xlnm.Print_Area_2">#REF!</definedName>
    <definedName name="__________________________________________xlnm.Print_Titles_1" localSheetId="23">#REF!</definedName>
    <definedName name="__________________________________________xlnm.Print_Titles_1" localSheetId="6">#REF!</definedName>
    <definedName name="__________________________________________xlnm.Print_Titles_1" localSheetId="10">#REF!</definedName>
    <definedName name="__________________________________________xlnm.Print_Titles_1">#REF!</definedName>
    <definedName name="_________________________________________in18900" localSheetId="23">#REF!</definedName>
    <definedName name="_________________________________________in18900" localSheetId="6">#REF!</definedName>
    <definedName name="_________________________________________in18900" localSheetId="10">#REF!</definedName>
    <definedName name="_________________________________________in18900">#REF!</definedName>
    <definedName name="_________________________________________iv19000" localSheetId="23">#REF!</definedName>
    <definedName name="_________________________________________iv19000" localSheetId="6">#REF!</definedName>
    <definedName name="_________________________________________iv19000" localSheetId="10">#REF!</definedName>
    <definedName name="_________________________________________iv19000">#REF!</definedName>
    <definedName name="_________________________________________xlnm.Print_Area_1" localSheetId="23">#REF!</definedName>
    <definedName name="_________________________________________xlnm.Print_Area_1" localSheetId="6">#REF!</definedName>
    <definedName name="_________________________________________xlnm.Print_Area_1" localSheetId="10">#REF!</definedName>
    <definedName name="_________________________________________xlnm.Print_Area_1">#REF!</definedName>
    <definedName name="_________________________________________xlnm.Print_Area_2" localSheetId="23">#REF!</definedName>
    <definedName name="_________________________________________xlnm.Print_Area_2" localSheetId="6">#REF!</definedName>
    <definedName name="_________________________________________xlnm.Print_Area_2" localSheetId="10">#REF!</definedName>
    <definedName name="_________________________________________xlnm.Print_Area_2">#REF!</definedName>
    <definedName name="_________________________________________xlnm.Print_Area_3" localSheetId="23">#REF!</definedName>
    <definedName name="_________________________________________xlnm.Print_Area_3" localSheetId="6">#REF!</definedName>
    <definedName name="_________________________________________xlnm.Print_Area_3" localSheetId="10">#REF!</definedName>
    <definedName name="_________________________________________xlnm.Print_Area_3">#REF!</definedName>
    <definedName name="_________________________________________xlnm.Print_Titles_1" localSheetId="23">#REF!</definedName>
    <definedName name="_________________________________________xlnm.Print_Titles_1" localSheetId="6">#REF!</definedName>
    <definedName name="_________________________________________xlnm.Print_Titles_1" localSheetId="10">#REF!</definedName>
    <definedName name="_________________________________________xlnm.Print_Titles_1">#REF!</definedName>
    <definedName name="________________________________________in18900" localSheetId="23">#REF!</definedName>
    <definedName name="________________________________________in18900" localSheetId="6">#REF!</definedName>
    <definedName name="________________________________________in18900" localSheetId="10">#REF!</definedName>
    <definedName name="________________________________________in18900">#REF!</definedName>
    <definedName name="________________________________________iv19000" localSheetId="23">#REF!</definedName>
    <definedName name="________________________________________iv19000" localSheetId="6">#REF!</definedName>
    <definedName name="________________________________________iv19000" localSheetId="10">#REF!</definedName>
    <definedName name="________________________________________iv19000">#REF!</definedName>
    <definedName name="________________________________________xlnm.Print_Area_1" localSheetId="23">#REF!</definedName>
    <definedName name="________________________________________xlnm.Print_Area_1" localSheetId="6">#REF!</definedName>
    <definedName name="________________________________________xlnm.Print_Area_1" localSheetId="10">#REF!</definedName>
    <definedName name="________________________________________xlnm.Print_Area_1">#REF!</definedName>
    <definedName name="________________________________________xlnm.Print_Area_2" localSheetId="23">#REF!</definedName>
    <definedName name="________________________________________xlnm.Print_Area_2" localSheetId="6">#REF!</definedName>
    <definedName name="________________________________________xlnm.Print_Area_2" localSheetId="10">#REF!</definedName>
    <definedName name="________________________________________xlnm.Print_Area_2">#REF!</definedName>
    <definedName name="________________________________________xlnm.Print_Area_3" localSheetId="23">#REF!</definedName>
    <definedName name="________________________________________xlnm.Print_Area_3" localSheetId="6">#REF!</definedName>
    <definedName name="________________________________________xlnm.Print_Area_3" localSheetId="10">#REF!</definedName>
    <definedName name="________________________________________xlnm.Print_Area_3">#REF!</definedName>
    <definedName name="________________________________________xlnm.Print_Titles_1" localSheetId="23">#REF!</definedName>
    <definedName name="________________________________________xlnm.Print_Titles_1" localSheetId="6">#REF!</definedName>
    <definedName name="________________________________________xlnm.Print_Titles_1" localSheetId="10">#REF!</definedName>
    <definedName name="________________________________________xlnm.Print_Titles_1">#REF!</definedName>
    <definedName name="_______________________________________in18900" localSheetId="23">#REF!</definedName>
    <definedName name="_______________________________________in18900" localSheetId="6">#REF!</definedName>
    <definedName name="_______________________________________in18900" localSheetId="10">#REF!</definedName>
    <definedName name="_______________________________________in18900">#REF!</definedName>
    <definedName name="_______________________________________iv19000" localSheetId="23">#REF!</definedName>
    <definedName name="_______________________________________iv19000" localSheetId="6">#REF!</definedName>
    <definedName name="_______________________________________iv19000" localSheetId="10">#REF!</definedName>
    <definedName name="_______________________________________iv19000">#REF!</definedName>
    <definedName name="_______________________________________xlnm.Print_Area_1" localSheetId="23">#REF!</definedName>
    <definedName name="_______________________________________xlnm.Print_Area_1" localSheetId="6">#REF!</definedName>
    <definedName name="_______________________________________xlnm.Print_Area_1" localSheetId="10">#REF!</definedName>
    <definedName name="_______________________________________xlnm.Print_Area_1">#REF!</definedName>
    <definedName name="_______________________________________xlnm.Print_Area_2" localSheetId="23">#REF!</definedName>
    <definedName name="_______________________________________xlnm.Print_Area_2" localSheetId="6">#REF!</definedName>
    <definedName name="_______________________________________xlnm.Print_Area_2" localSheetId="10">#REF!</definedName>
    <definedName name="_______________________________________xlnm.Print_Area_2">#REF!</definedName>
    <definedName name="_______________________________________xlnm.Print_Area_3" localSheetId="23">#REF!</definedName>
    <definedName name="_______________________________________xlnm.Print_Area_3" localSheetId="6">#REF!</definedName>
    <definedName name="_______________________________________xlnm.Print_Area_3" localSheetId="10">#REF!</definedName>
    <definedName name="_______________________________________xlnm.Print_Area_3">#REF!</definedName>
    <definedName name="_______________________________________xlnm.Print_Titles_1" localSheetId="23">#REF!</definedName>
    <definedName name="_______________________________________xlnm.Print_Titles_1" localSheetId="6">#REF!</definedName>
    <definedName name="_______________________________________xlnm.Print_Titles_1" localSheetId="10">#REF!</definedName>
    <definedName name="_______________________________________xlnm.Print_Titles_1">#REF!</definedName>
    <definedName name="______________________________________in18900" localSheetId="23">#REF!</definedName>
    <definedName name="______________________________________in18900" localSheetId="6">#REF!</definedName>
    <definedName name="______________________________________in18900" localSheetId="10">#REF!</definedName>
    <definedName name="______________________________________in18900">#REF!</definedName>
    <definedName name="______________________________________iv19000" localSheetId="23">#REF!</definedName>
    <definedName name="______________________________________iv19000" localSheetId="6">#REF!</definedName>
    <definedName name="______________________________________iv19000" localSheetId="10">#REF!</definedName>
    <definedName name="______________________________________iv19000">#REF!</definedName>
    <definedName name="______________________________________xlnm.Print_Area_1" localSheetId="23">#REF!</definedName>
    <definedName name="______________________________________xlnm.Print_Area_1" localSheetId="6">#REF!</definedName>
    <definedName name="______________________________________xlnm.Print_Area_1" localSheetId="10">#REF!</definedName>
    <definedName name="______________________________________xlnm.Print_Area_1">#REF!</definedName>
    <definedName name="______________________________________xlnm.Print_Area_2" localSheetId="23">#REF!</definedName>
    <definedName name="______________________________________xlnm.Print_Area_2" localSheetId="6">#REF!</definedName>
    <definedName name="______________________________________xlnm.Print_Area_2" localSheetId="10">#REF!</definedName>
    <definedName name="______________________________________xlnm.Print_Area_2">#REF!</definedName>
    <definedName name="______________________________________xlnm.Print_Area_3" localSheetId="23">#REF!</definedName>
    <definedName name="______________________________________xlnm.Print_Area_3" localSheetId="6">#REF!</definedName>
    <definedName name="______________________________________xlnm.Print_Area_3" localSheetId="10">#REF!</definedName>
    <definedName name="______________________________________xlnm.Print_Area_3">#REF!</definedName>
    <definedName name="______________________________________xlnm.Print_Titles_1" localSheetId="23">#REF!</definedName>
    <definedName name="______________________________________xlnm.Print_Titles_1" localSheetId="6">#REF!</definedName>
    <definedName name="______________________________________xlnm.Print_Titles_1" localSheetId="10">#REF!</definedName>
    <definedName name="______________________________________xlnm.Print_Titles_1">#REF!</definedName>
    <definedName name="_____________________________________in18900" localSheetId="23">#REF!</definedName>
    <definedName name="_____________________________________in18900" localSheetId="6">#REF!</definedName>
    <definedName name="_____________________________________in18900" localSheetId="10">#REF!</definedName>
    <definedName name="_____________________________________in18900">#REF!</definedName>
    <definedName name="_____________________________________iv19000" localSheetId="23">#REF!</definedName>
    <definedName name="_____________________________________iv19000" localSheetId="6">#REF!</definedName>
    <definedName name="_____________________________________iv19000" localSheetId="10">#REF!</definedName>
    <definedName name="_____________________________________iv19000">#REF!</definedName>
    <definedName name="_____________________________________xlnm.Print_Area_1" localSheetId="23">#REF!</definedName>
    <definedName name="_____________________________________xlnm.Print_Area_1" localSheetId="6">#REF!</definedName>
    <definedName name="_____________________________________xlnm.Print_Area_1" localSheetId="10">#REF!</definedName>
    <definedName name="_____________________________________xlnm.Print_Area_1">#REF!</definedName>
    <definedName name="_____________________________________xlnm.Print_Area_2" localSheetId="23">#REF!</definedName>
    <definedName name="_____________________________________xlnm.Print_Area_2" localSheetId="6">#REF!</definedName>
    <definedName name="_____________________________________xlnm.Print_Area_2" localSheetId="10">#REF!</definedName>
    <definedName name="_____________________________________xlnm.Print_Area_2">#REF!</definedName>
    <definedName name="_____________________________________xlnm.Print_Area_3" localSheetId="23">#REF!</definedName>
    <definedName name="_____________________________________xlnm.Print_Area_3" localSheetId="6">#REF!</definedName>
    <definedName name="_____________________________________xlnm.Print_Area_3" localSheetId="10">#REF!</definedName>
    <definedName name="_____________________________________xlnm.Print_Area_3">#REF!</definedName>
    <definedName name="_____________________________________xlnm.Print_Titles_1" localSheetId="23">#REF!</definedName>
    <definedName name="_____________________________________xlnm.Print_Titles_1" localSheetId="6">#REF!</definedName>
    <definedName name="_____________________________________xlnm.Print_Titles_1" localSheetId="10">#REF!</definedName>
    <definedName name="_____________________________________xlnm.Print_Titles_1">#REF!</definedName>
    <definedName name="____________________________________in18900" localSheetId="23">#REF!</definedName>
    <definedName name="____________________________________in18900" localSheetId="6">#REF!</definedName>
    <definedName name="____________________________________in18900" localSheetId="10">#REF!</definedName>
    <definedName name="____________________________________in18900">#REF!</definedName>
    <definedName name="____________________________________iv19000" localSheetId="23">#REF!</definedName>
    <definedName name="____________________________________iv19000" localSheetId="6">#REF!</definedName>
    <definedName name="____________________________________iv19000" localSheetId="10">#REF!</definedName>
    <definedName name="____________________________________iv19000">#REF!</definedName>
    <definedName name="____________________________________xlnm.Print_Area_1" localSheetId="23">#REF!</definedName>
    <definedName name="____________________________________xlnm.Print_Area_1" localSheetId="6">#REF!</definedName>
    <definedName name="____________________________________xlnm.Print_Area_1" localSheetId="10">#REF!</definedName>
    <definedName name="____________________________________xlnm.Print_Area_1">#REF!</definedName>
    <definedName name="____________________________________xlnm.Print_Area_2" localSheetId="23">#REF!</definedName>
    <definedName name="____________________________________xlnm.Print_Area_2" localSheetId="6">#REF!</definedName>
    <definedName name="____________________________________xlnm.Print_Area_2" localSheetId="10">#REF!</definedName>
    <definedName name="____________________________________xlnm.Print_Area_2">#REF!</definedName>
    <definedName name="____________________________________xlnm.Print_Area_3" localSheetId="23">#REF!</definedName>
    <definedName name="____________________________________xlnm.Print_Area_3" localSheetId="6">#REF!</definedName>
    <definedName name="____________________________________xlnm.Print_Area_3" localSheetId="10">#REF!</definedName>
    <definedName name="____________________________________xlnm.Print_Area_3">#REF!</definedName>
    <definedName name="____________________________________xlnm.Print_Titles_1" localSheetId="23">#REF!</definedName>
    <definedName name="____________________________________xlnm.Print_Titles_1" localSheetId="6">#REF!</definedName>
    <definedName name="____________________________________xlnm.Print_Titles_1" localSheetId="10">#REF!</definedName>
    <definedName name="____________________________________xlnm.Print_Titles_1">#REF!</definedName>
    <definedName name="___________________________________in18900" localSheetId="23">#REF!</definedName>
    <definedName name="___________________________________in18900" localSheetId="6">#REF!</definedName>
    <definedName name="___________________________________in18900" localSheetId="10">#REF!</definedName>
    <definedName name="___________________________________in18900">#REF!</definedName>
    <definedName name="___________________________________iv19000" localSheetId="23">#REF!</definedName>
    <definedName name="___________________________________iv19000" localSheetId="6">#REF!</definedName>
    <definedName name="___________________________________iv19000" localSheetId="10">#REF!</definedName>
    <definedName name="___________________________________iv19000">#REF!</definedName>
    <definedName name="___________________________________xlnm.Print_Area_1" localSheetId="23">#REF!</definedName>
    <definedName name="___________________________________xlnm.Print_Area_1" localSheetId="6">#REF!</definedName>
    <definedName name="___________________________________xlnm.Print_Area_1" localSheetId="10">#REF!</definedName>
    <definedName name="___________________________________xlnm.Print_Area_1">#REF!</definedName>
    <definedName name="___________________________________xlnm.Print_Area_2" localSheetId="23">#REF!</definedName>
    <definedName name="___________________________________xlnm.Print_Area_2" localSheetId="6">#REF!</definedName>
    <definedName name="___________________________________xlnm.Print_Area_2" localSheetId="10">#REF!</definedName>
    <definedName name="___________________________________xlnm.Print_Area_2">#REF!</definedName>
    <definedName name="___________________________________xlnm.Print_Area_3" localSheetId="23">#REF!</definedName>
    <definedName name="___________________________________xlnm.Print_Area_3" localSheetId="6">#REF!</definedName>
    <definedName name="___________________________________xlnm.Print_Area_3" localSheetId="10">#REF!</definedName>
    <definedName name="___________________________________xlnm.Print_Area_3">#REF!</definedName>
    <definedName name="___________________________________xlnm.Print_Titles_1" localSheetId="23">#REF!</definedName>
    <definedName name="___________________________________xlnm.Print_Titles_1" localSheetId="6">#REF!</definedName>
    <definedName name="___________________________________xlnm.Print_Titles_1" localSheetId="10">#REF!</definedName>
    <definedName name="___________________________________xlnm.Print_Titles_1">#REF!</definedName>
    <definedName name="__________________________________in18900" localSheetId="23">#REF!</definedName>
    <definedName name="__________________________________in18900" localSheetId="6">#REF!</definedName>
    <definedName name="__________________________________in18900" localSheetId="10">#REF!</definedName>
    <definedName name="__________________________________in18900">#REF!</definedName>
    <definedName name="__________________________________iv19000" localSheetId="23">#REF!</definedName>
    <definedName name="__________________________________iv19000" localSheetId="6">#REF!</definedName>
    <definedName name="__________________________________iv19000" localSheetId="10">#REF!</definedName>
    <definedName name="__________________________________iv19000">#REF!</definedName>
    <definedName name="__________________________________xlnm.Print_Area_1" localSheetId="23">#REF!</definedName>
    <definedName name="__________________________________xlnm.Print_Area_1" localSheetId="6">#REF!</definedName>
    <definedName name="__________________________________xlnm.Print_Area_1" localSheetId="10">#REF!</definedName>
    <definedName name="__________________________________xlnm.Print_Area_1">#REF!</definedName>
    <definedName name="__________________________________xlnm.Print_Area_2" localSheetId="23">#REF!</definedName>
    <definedName name="__________________________________xlnm.Print_Area_2" localSheetId="6">#REF!</definedName>
    <definedName name="__________________________________xlnm.Print_Area_2" localSheetId="10">#REF!</definedName>
    <definedName name="__________________________________xlnm.Print_Area_2">#REF!</definedName>
    <definedName name="__________________________________xlnm.Print_Area_3" localSheetId="23">#REF!</definedName>
    <definedName name="__________________________________xlnm.Print_Area_3" localSheetId="6">#REF!</definedName>
    <definedName name="__________________________________xlnm.Print_Area_3" localSheetId="10">#REF!</definedName>
    <definedName name="__________________________________xlnm.Print_Area_3">#REF!</definedName>
    <definedName name="__________________________________xlnm.Print_Titles_1" localSheetId="23">#REF!</definedName>
    <definedName name="__________________________________xlnm.Print_Titles_1" localSheetId="6">#REF!</definedName>
    <definedName name="__________________________________xlnm.Print_Titles_1" localSheetId="10">#REF!</definedName>
    <definedName name="__________________________________xlnm.Print_Titles_1">#REF!</definedName>
    <definedName name="_________________________________in18900" localSheetId="23">#REF!</definedName>
    <definedName name="_________________________________in18900" localSheetId="6">#REF!</definedName>
    <definedName name="_________________________________in18900" localSheetId="10">#REF!</definedName>
    <definedName name="_________________________________in18900">#REF!</definedName>
    <definedName name="_________________________________iv19000" localSheetId="23">#REF!</definedName>
    <definedName name="_________________________________iv19000" localSheetId="6">#REF!</definedName>
    <definedName name="_________________________________iv19000" localSheetId="10">#REF!</definedName>
    <definedName name="_________________________________iv19000">#REF!</definedName>
    <definedName name="_________________________________xlnm.Print_Area_1" localSheetId="23">#REF!</definedName>
    <definedName name="_________________________________xlnm.Print_Area_1" localSheetId="6">#REF!</definedName>
    <definedName name="_________________________________xlnm.Print_Area_1" localSheetId="10">#REF!</definedName>
    <definedName name="_________________________________xlnm.Print_Area_1">#REF!</definedName>
    <definedName name="_________________________________xlnm.Print_Area_2" localSheetId="23">#REF!</definedName>
    <definedName name="_________________________________xlnm.Print_Area_2" localSheetId="6">#REF!</definedName>
    <definedName name="_________________________________xlnm.Print_Area_2" localSheetId="10">#REF!</definedName>
    <definedName name="_________________________________xlnm.Print_Area_2">#REF!</definedName>
    <definedName name="_________________________________xlnm.Print_Area_3" localSheetId="23">#REF!</definedName>
    <definedName name="_________________________________xlnm.Print_Area_3" localSheetId="6">#REF!</definedName>
    <definedName name="_________________________________xlnm.Print_Area_3" localSheetId="10">#REF!</definedName>
    <definedName name="_________________________________xlnm.Print_Area_3">#REF!</definedName>
    <definedName name="_________________________________xlnm.Print_Titles_1" localSheetId="23">#REF!</definedName>
    <definedName name="_________________________________xlnm.Print_Titles_1" localSheetId="6">#REF!</definedName>
    <definedName name="_________________________________xlnm.Print_Titles_1" localSheetId="10">#REF!</definedName>
    <definedName name="_________________________________xlnm.Print_Titles_1">#REF!</definedName>
    <definedName name="________________________________in18900" localSheetId="23">#REF!</definedName>
    <definedName name="________________________________in18900" localSheetId="6">#REF!</definedName>
    <definedName name="________________________________in18900" localSheetId="10">#REF!</definedName>
    <definedName name="________________________________in18900">#REF!</definedName>
    <definedName name="________________________________iv19000" localSheetId="23">#REF!</definedName>
    <definedName name="________________________________iv19000" localSheetId="6">#REF!</definedName>
    <definedName name="________________________________iv19000" localSheetId="10">#REF!</definedName>
    <definedName name="________________________________iv19000">#REF!</definedName>
    <definedName name="________________________________xlnm.Print_Area_1" localSheetId="23">#REF!</definedName>
    <definedName name="________________________________xlnm.Print_Area_1" localSheetId="6">#REF!</definedName>
    <definedName name="________________________________xlnm.Print_Area_1" localSheetId="10">#REF!</definedName>
    <definedName name="________________________________xlnm.Print_Area_1">#REF!</definedName>
    <definedName name="________________________________xlnm.Print_Area_2" localSheetId="23">#REF!</definedName>
    <definedName name="________________________________xlnm.Print_Area_2" localSheetId="6">#REF!</definedName>
    <definedName name="________________________________xlnm.Print_Area_2" localSheetId="10">#REF!</definedName>
    <definedName name="________________________________xlnm.Print_Area_2">#REF!</definedName>
    <definedName name="________________________________xlnm.Print_Area_3" localSheetId="23">#REF!</definedName>
    <definedName name="________________________________xlnm.Print_Area_3" localSheetId="6">#REF!</definedName>
    <definedName name="________________________________xlnm.Print_Area_3" localSheetId="10">#REF!</definedName>
    <definedName name="________________________________xlnm.Print_Area_3">#REF!</definedName>
    <definedName name="________________________________xlnm.Print_Titles_1" localSheetId="23">#REF!</definedName>
    <definedName name="________________________________xlnm.Print_Titles_1" localSheetId="6">#REF!</definedName>
    <definedName name="________________________________xlnm.Print_Titles_1" localSheetId="10">#REF!</definedName>
    <definedName name="________________________________xlnm.Print_Titles_1">#REF!</definedName>
    <definedName name="_______________________________in18900" localSheetId="23">#REF!</definedName>
    <definedName name="_______________________________in18900" localSheetId="6">#REF!</definedName>
    <definedName name="_______________________________in18900" localSheetId="10">#REF!</definedName>
    <definedName name="_______________________________in18900">#REF!</definedName>
    <definedName name="_______________________________iv19000" localSheetId="23">#REF!</definedName>
    <definedName name="_______________________________iv19000" localSheetId="6">#REF!</definedName>
    <definedName name="_______________________________iv19000" localSheetId="10">#REF!</definedName>
    <definedName name="_______________________________iv19000">#REF!</definedName>
    <definedName name="_______________________________xlnm.Print_Area_1" localSheetId="23">#REF!</definedName>
    <definedName name="_______________________________xlnm.Print_Area_1" localSheetId="6">#REF!</definedName>
    <definedName name="_______________________________xlnm.Print_Area_1" localSheetId="10">#REF!</definedName>
    <definedName name="_______________________________xlnm.Print_Area_1">#REF!</definedName>
    <definedName name="_______________________________xlnm.Print_Area_2" localSheetId="23">#REF!</definedName>
    <definedName name="_______________________________xlnm.Print_Area_2" localSheetId="6">#REF!</definedName>
    <definedName name="_______________________________xlnm.Print_Area_2" localSheetId="10">#REF!</definedName>
    <definedName name="_______________________________xlnm.Print_Area_2">#REF!</definedName>
    <definedName name="_______________________________xlnm.Print_Area_3" localSheetId="23">#REF!</definedName>
    <definedName name="_______________________________xlnm.Print_Area_3" localSheetId="6">#REF!</definedName>
    <definedName name="_______________________________xlnm.Print_Area_3" localSheetId="10">#REF!</definedName>
    <definedName name="_______________________________xlnm.Print_Area_3">#REF!</definedName>
    <definedName name="_______________________________xlnm.Print_Titles_1" localSheetId="23">#REF!</definedName>
    <definedName name="_______________________________xlnm.Print_Titles_1" localSheetId="6">#REF!</definedName>
    <definedName name="_______________________________xlnm.Print_Titles_1" localSheetId="10">#REF!</definedName>
    <definedName name="_______________________________xlnm.Print_Titles_1">#REF!</definedName>
    <definedName name="______________________________in18900" localSheetId="23">#REF!</definedName>
    <definedName name="______________________________in18900" localSheetId="6">#REF!</definedName>
    <definedName name="______________________________in18900" localSheetId="10">#REF!</definedName>
    <definedName name="______________________________in18900">#REF!</definedName>
    <definedName name="______________________________iv19000" localSheetId="23">#REF!</definedName>
    <definedName name="______________________________iv19000" localSheetId="6">#REF!</definedName>
    <definedName name="______________________________iv19000" localSheetId="10">#REF!</definedName>
    <definedName name="______________________________iv19000">#REF!</definedName>
    <definedName name="______________________________xlnm.Print_Area_1" localSheetId="23">#REF!</definedName>
    <definedName name="______________________________xlnm.Print_Area_1" localSheetId="6">#REF!</definedName>
    <definedName name="______________________________xlnm.Print_Area_1" localSheetId="10">#REF!</definedName>
    <definedName name="______________________________xlnm.Print_Area_1">#REF!</definedName>
    <definedName name="______________________________xlnm.Print_Area_2" localSheetId="23">#REF!</definedName>
    <definedName name="______________________________xlnm.Print_Area_2" localSheetId="6">#REF!</definedName>
    <definedName name="______________________________xlnm.Print_Area_2" localSheetId="10">#REF!</definedName>
    <definedName name="______________________________xlnm.Print_Area_2">#REF!</definedName>
    <definedName name="______________________________xlnm.Print_Area_3" localSheetId="23">#REF!</definedName>
    <definedName name="______________________________xlnm.Print_Area_3" localSheetId="6">#REF!</definedName>
    <definedName name="______________________________xlnm.Print_Area_3" localSheetId="10">#REF!</definedName>
    <definedName name="______________________________xlnm.Print_Area_3">#REF!</definedName>
    <definedName name="______________________________xlnm.Print_Titles_1" localSheetId="23">#REF!</definedName>
    <definedName name="______________________________xlnm.Print_Titles_1" localSheetId="6">#REF!</definedName>
    <definedName name="______________________________xlnm.Print_Titles_1" localSheetId="10">#REF!</definedName>
    <definedName name="______________________________xlnm.Print_Titles_1">#REF!</definedName>
    <definedName name="_____________________________in18900" localSheetId="23">#REF!</definedName>
    <definedName name="_____________________________in18900" localSheetId="6">#REF!</definedName>
    <definedName name="_____________________________in18900" localSheetId="10">#REF!</definedName>
    <definedName name="_____________________________in18900">#REF!</definedName>
    <definedName name="_____________________________iv19000" localSheetId="23">#REF!</definedName>
    <definedName name="_____________________________iv19000" localSheetId="6">#REF!</definedName>
    <definedName name="_____________________________iv19000" localSheetId="10">#REF!</definedName>
    <definedName name="_____________________________iv19000">#REF!</definedName>
    <definedName name="_____________________________xlnm.Print_Area_1" localSheetId="23">#REF!</definedName>
    <definedName name="_____________________________xlnm.Print_Area_1" localSheetId="6">#REF!</definedName>
    <definedName name="_____________________________xlnm.Print_Area_1" localSheetId="10">#REF!</definedName>
    <definedName name="_____________________________xlnm.Print_Area_1">#REF!</definedName>
    <definedName name="_____________________________xlnm.Print_Area_2" localSheetId="23">#REF!</definedName>
    <definedName name="_____________________________xlnm.Print_Area_2" localSheetId="6">#REF!</definedName>
    <definedName name="_____________________________xlnm.Print_Area_2" localSheetId="10">#REF!</definedName>
    <definedName name="_____________________________xlnm.Print_Area_2">#REF!</definedName>
    <definedName name="_____________________________xlnm.Print_Area_3" localSheetId="23">#REF!</definedName>
    <definedName name="_____________________________xlnm.Print_Area_3" localSheetId="6">#REF!</definedName>
    <definedName name="_____________________________xlnm.Print_Area_3" localSheetId="10">#REF!</definedName>
    <definedName name="_____________________________xlnm.Print_Area_3">#REF!</definedName>
    <definedName name="_____________________________xlnm.Print_Titles_1" localSheetId="23">#REF!</definedName>
    <definedName name="_____________________________xlnm.Print_Titles_1" localSheetId="6">#REF!</definedName>
    <definedName name="_____________________________xlnm.Print_Titles_1" localSheetId="10">#REF!</definedName>
    <definedName name="_____________________________xlnm.Print_Titles_1">#REF!</definedName>
    <definedName name="____________________________in18900" localSheetId="23">#REF!</definedName>
    <definedName name="____________________________in18900" localSheetId="6">#REF!</definedName>
    <definedName name="____________________________in18900" localSheetId="10">#REF!</definedName>
    <definedName name="____________________________in18900">#REF!</definedName>
    <definedName name="____________________________iv19000" localSheetId="23">#REF!</definedName>
    <definedName name="____________________________iv19000" localSheetId="6">#REF!</definedName>
    <definedName name="____________________________iv19000" localSheetId="10">#REF!</definedName>
    <definedName name="____________________________iv19000">#REF!</definedName>
    <definedName name="____________________________xlnm.Print_Area_1" localSheetId="23">#REF!</definedName>
    <definedName name="____________________________xlnm.Print_Area_1" localSheetId="6">#REF!</definedName>
    <definedName name="____________________________xlnm.Print_Area_1" localSheetId="10">#REF!</definedName>
    <definedName name="____________________________xlnm.Print_Area_1">#REF!</definedName>
    <definedName name="____________________________xlnm.Print_Area_2" localSheetId="23">#REF!</definedName>
    <definedName name="____________________________xlnm.Print_Area_2" localSheetId="6">#REF!</definedName>
    <definedName name="____________________________xlnm.Print_Area_2" localSheetId="10">#REF!</definedName>
    <definedName name="____________________________xlnm.Print_Area_2">#REF!</definedName>
    <definedName name="____________________________xlnm.Print_Area_3" localSheetId="23">#REF!</definedName>
    <definedName name="____________________________xlnm.Print_Area_3" localSheetId="6">#REF!</definedName>
    <definedName name="____________________________xlnm.Print_Area_3" localSheetId="10">#REF!</definedName>
    <definedName name="____________________________xlnm.Print_Area_3">#REF!</definedName>
    <definedName name="____________________________xlnm.Print_Titles_1" localSheetId="23">#REF!</definedName>
    <definedName name="____________________________xlnm.Print_Titles_1" localSheetId="6">#REF!</definedName>
    <definedName name="____________________________xlnm.Print_Titles_1" localSheetId="10">#REF!</definedName>
    <definedName name="____________________________xlnm.Print_Titles_1">#REF!</definedName>
    <definedName name="___________________________in18900" localSheetId="23">#REF!</definedName>
    <definedName name="___________________________in18900" localSheetId="6">#REF!</definedName>
    <definedName name="___________________________in18900" localSheetId="10">#REF!</definedName>
    <definedName name="___________________________in18900">#REF!</definedName>
    <definedName name="___________________________iv19000" localSheetId="23">#REF!</definedName>
    <definedName name="___________________________iv19000" localSheetId="6">#REF!</definedName>
    <definedName name="___________________________iv19000" localSheetId="10">#REF!</definedName>
    <definedName name="___________________________iv19000">#REF!</definedName>
    <definedName name="___________________________xlnm.Print_Area_1" localSheetId="23">#REF!</definedName>
    <definedName name="___________________________xlnm.Print_Area_1" localSheetId="6">#REF!</definedName>
    <definedName name="___________________________xlnm.Print_Area_1" localSheetId="10">#REF!</definedName>
    <definedName name="___________________________xlnm.Print_Area_1">#REF!</definedName>
    <definedName name="___________________________xlnm.Print_Area_2" localSheetId="23">#REF!</definedName>
    <definedName name="___________________________xlnm.Print_Area_2" localSheetId="6">#REF!</definedName>
    <definedName name="___________________________xlnm.Print_Area_2" localSheetId="10">#REF!</definedName>
    <definedName name="___________________________xlnm.Print_Area_2">#REF!</definedName>
    <definedName name="___________________________xlnm.Print_Area_3" localSheetId="23">#REF!</definedName>
    <definedName name="___________________________xlnm.Print_Area_3" localSheetId="6">#REF!</definedName>
    <definedName name="___________________________xlnm.Print_Area_3" localSheetId="10">#REF!</definedName>
    <definedName name="___________________________xlnm.Print_Area_3">#REF!</definedName>
    <definedName name="___________________________xlnm.Print_Titles_1" localSheetId="23">#REF!</definedName>
    <definedName name="___________________________xlnm.Print_Titles_1" localSheetId="6">#REF!</definedName>
    <definedName name="___________________________xlnm.Print_Titles_1" localSheetId="10">#REF!</definedName>
    <definedName name="___________________________xlnm.Print_Titles_1">#REF!</definedName>
    <definedName name="__________________________in18900" localSheetId="23">#REF!</definedName>
    <definedName name="__________________________in18900" localSheetId="6">#REF!</definedName>
    <definedName name="__________________________in18900" localSheetId="10">#REF!</definedName>
    <definedName name="__________________________in18900">#REF!</definedName>
    <definedName name="__________________________iv19000" localSheetId="23">#REF!</definedName>
    <definedName name="__________________________iv19000" localSheetId="6">#REF!</definedName>
    <definedName name="__________________________iv19000" localSheetId="10">#REF!</definedName>
    <definedName name="__________________________iv19000">#REF!</definedName>
    <definedName name="__________________________xlnm.Print_Area_1" localSheetId="23">#REF!</definedName>
    <definedName name="__________________________xlnm.Print_Area_1" localSheetId="6">#REF!</definedName>
    <definedName name="__________________________xlnm.Print_Area_1" localSheetId="10">#REF!</definedName>
    <definedName name="__________________________xlnm.Print_Area_1">#REF!</definedName>
    <definedName name="__________________________xlnm.Print_Area_2" localSheetId="23">#REF!</definedName>
    <definedName name="__________________________xlnm.Print_Area_2" localSheetId="6">#REF!</definedName>
    <definedName name="__________________________xlnm.Print_Area_2" localSheetId="10">#REF!</definedName>
    <definedName name="__________________________xlnm.Print_Area_2">#REF!</definedName>
    <definedName name="__________________________xlnm.Print_Area_3" localSheetId="23">#REF!</definedName>
    <definedName name="__________________________xlnm.Print_Area_3" localSheetId="6">#REF!</definedName>
    <definedName name="__________________________xlnm.Print_Area_3" localSheetId="10">#REF!</definedName>
    <definedName name="__________________________xlnm.Print_Area_3">#REF!</definedName>
    <definedName name="__________________________xlnm.Print_Titles_1" localSheetId="23">#REF!</definedName>
    <definedName name="__________________________xlnm.Print_Titles_1" localSheetId="6">#REF!</definedName>
    <definedName name="__________________________xlnm.Print_Titles_1" localSheetId="10">#REF!</definedName>
    <definedName name="__________________________xlnm.Print_Titles_1">#REF!</definedName>
    <definedName name="_________________________in18900" localSheetId="23">#REF!</definedName>
    <definedName name="_________________________in18900" localSheetId="6">#REF!</definedName>
    <definedName name="_________________________in18900" localSheetId="10">#REF!</definedName>
    <definedName name="_________________________in18900">#REF!</definedName>
    <definedName name="_________________________iv19000" localSheetId="23">#REF!</definedName>
    <definedName name="_________________________iv19000" localSheetId="6">#REF!</definedName>
    <definedName name="_________________________iv19000" localSheetId="10">#REF!</definedName>
    <definedName name="_________________________iv19000">#REF!</definedName>
    <definedName name="_________________________xlnm.Print_Area_1" localSheetId="23">#REF!</definedName>
    <definedName name="_________________________xlnm.Print_Area_1" localSheetId="6">#REF!</definedName>
    <definedName name="_________________________xlnm.Print_Area_1" localSheetId="10">#REF!</definedName>
    <definedName name="_________________________xlnm.Print_Area_1">#REF!</definedName>
    <definedName name="_________________________xlnm.Print_Area_2" localSheetId="23">#REF!</definedName>
    <definedName name="_________________________xlnm.Print_Area_2" localSheetId="6">#REF!</definedName>
    <definedName name="_________________________xlnm.Print_Area_2" localSheetId="10">#REF!</definedName>
    <definedName name="_________________________xlnm.Print_Area_2">#REF!</definedName>
    <definedName name="_________________________xlnm.Print_Area_3" localSheetId="23">#REF!</definedName>
    <definedName name="_________________________xlnm.Print_Area_3" localSheetId="6">#REF!</definedName>
    <definedName name="_________________________xlnm.Print_Area_3" localSheetId="10">#REF!</definedName>
    <definedName name="_________________________xlnm.Print_Area_3">#REF!</definedName>
    <definedName name="_________________________xlnm.Print_Titles_1" localSheetId="23">#REF!</definedName>
    <definedName name="_________________________xlnm.Print_Titles_1" localSheetId="6">#REF!</definedName>
    <definedName name="_________________________xlnm.Print_Titles_1" localSheetId="10">#REF!</definedName>
    <definedName name="_________________________xlnm.Print_Titles_1">#REF!</definedName>
    <definedName name="________________________in18900" localSheetId="23">#REF!</definedName>
    <definedName name="________________________in18900" localSheetId="6">#REF!</definedName>
    <definedName name="________________________in18900" localSheetId="10">#REF!</definedName>
    <definedName name="________________________in18900">#REF!</definedName>
    <definedName name="________________________iv19000" localSheetId="23">#REF!</definedName>
    <definedName name="________________________iv19000" localSheetId="6">#REF!</definedName>
    <definedName name="________________________iv19000" localSheetId="10">#REF!</definedName>
    <definedName name="________________________iv19000">#REF!</definedName>
    <definedName name="________________________xlnm.Print_Area_1" localSheetId="23">#REF!</definedName>
    <definedName name="________________________xlnm.Print_Area_1" localSheetId="6">#REF!</definedName>
    <definedName name="________________________xlnm.Print_Area_1" localSheetId="10">#REF!</definedName>
    <definedName name="________________________xlnm.Print_Area_1">#REF!</definedName>
    <definedName name="________________________xlnm.Print_Area_2" localSheetId="23">#REF!</definedName>
    <definedName name="________________________xlnm.Print_Area_2" localSheetId="6">#REF!</definedName>
    <definedName name="________________________xlnm.Print_Area_2" localSheetId="10">#REF!</definedName>
    <definedName name="________________________xlnm.Print_Area_2">#REF!</definedName>
    <definedName name="________________________xlnm.Print_Area_3" localSheetId="23">#REF!</definedName>
    <definedName name="________________________xlnm.Print_Area_3" localSheetId="6">#REF!</definedName>
    <definedName name="________________________xlnm.Print_Area_3" localSheetId="10">#REF!</definedName>
    <definedName name="________________________xlnm.Print_Area_3">#REF!</definedName>
    <definedName name="________________________xlnm.Print_Titles_1" localSheetId="23">#REF!</definedName>
    <definedName name="________________________xlnm.Print_Titles_1" localSheetId="6">#REF!</definedName>
    <definedName name="________________________xlnm.Print_Titles_1" localSheetId="10">#REF!</definedName>
    <definedName name="________________________xlnm.Print_Titles_1">#REF!</definedName>
    <definedName name="_______________________in18900" localSheetId="23">#REF!</definedName>
    <definedName name="_______________________in18900" localSheetId="6">#REF!</definedName>
    <definedName name="_______________________in18900" localSheetId="10">#REF!</definedName>
    <definedName name="_______________________in18900">#REF!</definedName>
    <definedName name="_______________________iv19000" localSheetId="23">#REF!</definedName>
    <definedName name="_______________________iv19000" localSheetId="6">#REF!</definedName>
    <definedName name="_______________________iv19000" localSheetId="10">#REF!</definedName>
    <definedName name="_______________________iv19000">#REF!</definedName>
    <definedName name="_______________________xlnm.Print_Area_1" localSheetId="23">#REF!</definedName>
    <definedName name="_______________________xlnm.Print_Area_1" localSheetId="6">#REF!</definedName>
    <definedName name="_______________________xlnm.Print_Area_1" localSheetId="10">#REF!</definedName>
    <definedName name="_______________________xlnm.Print_Area_1">#REF!</definedName>
    <definedName name="_______________________xlnm.Print_Area_2" localSheetId="23">#REF!</definedName>
    <definedName name="_______________________xlnm.Print_Area_2" localSheetId="6">#REF!</definedName>
    <definedName name="_______________________xlnm.Print_Area_2" localSheetId="10">#REF!</definedName>
    <definedName name="_______________________xlnm.Print_Area_2">#REF!</definedName>
    <definedName name="_______________________xlnm.Print_Area_3" localSheetId="23">#REF!</definedName>
    <definedName name="_______________________xlnm.Print_Area_3" localSheetId="6">#REF!</definedName>
    <definedName name="_______________________xlnm.Print_Area_3" localSheetId="10">#REF!</definedName>
    <definedName name="_______________________xlnm.Print_Area_3">#REF!</definedName>
    <definedName name="_______________________xlnm.Print_Titles_1" localSheetId="23">#REF!</definedName>
    <definedName name="_______________________xlnm.Print_Titles_1" localSheetId="6">#REF!</definedName>
    <definedName name="_______________________xlnm.Print_Titles_1" localSheetId="10">#REF!</definedName>
    <definedName name="_______________________xlnm.Print_Titles_1">#REF!</definedName>
    <definedName name="______________________in18900" localSheetId="23">#REF!</definedName>
    <definedName name="______________________in18900" localSheetId="6">#REF!</definedName>
    <definedName name="______________________in18900" localSheetId="10">#REF!</definedName>
    <definedName name="______________________in18900">#REF!</definedName>
    <definedName name="______________________iv19000" localSheetId="23">#REF!</definedName>
    <definedName name="______________________iv19000" localSheetId="6">#REF!</definedName>
    <definedName name="______________________iv19000" localSheetId="10">#REF!</definedName>
    <definedName name="______________________iv19000">#REF!</definedName>
    <definedName name="______________________xlnm.Print_Area_1" localSheetId="23">#REF!</definedName>
    <definedName name="______________________xlnm.Print_Area_1" localSheetId="6">#REF!</definedName>
    <definedName name="______________________xlnm.Print_Area_1" localSheetId="10">#REF!</definedName>
    <definedName name="______________________xlnm.Print_Area_1">#REF!</definedName>
    <definedName name="______________________xlnm.Print_Area_2" localSheetId="23">#REF!</definedName>
    <definedName name="______________________xlnm.Print_Area_2" localSheetId="6">#REF!</definedName>
    <definedName name="______________________xlnm.Print_Area_2" localSheetId="10">#REF!</definedName>
    <definedName name="______________________xlnm.Print_Area_2">#REF!</definedName>
    <definedName name="______________________xlnm.Print_Area_3" localSheetId="23">#REF!</definedName>
    <definedName name="______________________xlnm.Print_Area_3" localSheetId="6">#REF!</definedName>
    <definedName name="______________________xlnm.Print_Area_3" localSheetId="10">#REF!</definedName>
    <definedName name="______________________xlnm.Print_Area_3">#REF!</definedName>
    <definedName name="______________________xlnm.Print_Titles_1" localSheetId="23">#REF!</definedName>
    <definedName name="______________________xlnm.Print_Titles_1" localSheetId="6">#REF!</definedName>
    <definedName name="______________________xlnm.Print_Titles_1" localSheetId="10">#REF!</definedName>
    <definedName name="______________________xlnm.Print_Titles_1">#REF!</definedName>
    <definedName name="_____________________in18900" localSheetId="23">#REF!</definedName>
    <definedName name="_____________________in18900" localSheetId="6">#REF!</definedName>
    <definedName name="_____________________in18900" localSheetId="10">#REF!</definedName>
    <definedName name="_____________________in18900">#REF!</definedName>
    <definedName name="_____________________iv19000" localSheetId="23">#REF!</definedName>
    <definedName name="_____________________iv19000" localSheetId="6">#REF!</definedName>
    <definedName name="_____________________iv19000" localSheetId="10">#REF!</definedName>
    <definedName name="_____________________iv19000">#REF!</definedName>
    <definedName name="_____________________xlnm.Print_Area_1" localSheetId="23">#REF!</definedName>
    <definedName name="_____________________xlnm.Print_Area_1" localSheetId="6">#REF!</definedName>
    <definedName name="_____________________xlnm.Print_Area_1" localSheetId="10">#REF!</definedName>
    <definedName name="_____________________xlnm.Print_Area_1">#REF!</definedName>
    <definedName name="_____________________xlnm.Print_Area_2" localSheetId="23">#REF!</definedName>
    <definedName name="_____________________xlnm.Print_Area_2" localSheetId="6">#REF!</definedName>
    <definedName name="_____________________xlnm.Print_Area_2" localSheetId="10">#REF!</definedName>
    <definedName name="_____________________xlnm.Print_Area_2">#REF!</definedName>
    <definedName name="_____________________xlnm.Print_Area_3" localSheetId="23">#REF!</definedName>
    <definedName name="_____________________xlnm.Print_Area_3" localSheetId="6">#REF!</definedName>
    <definedName name="_____________________xlnm.Print_Area_3" localSheetId="10">#REF!</definedName>
    <definedName name="_____________________xlnm.Print_Area_3">#REF!</definedName>
    <definedName name="_____________________xlnm.Print_Titles_1" localSheetId="23">#REF!</definedName>
    <definedName name="_____________________xlnm.Print_Titles_1" localSheetId="6">#REF!</definedName>
    <definedName name="_____________________xlnm.Print_Titles_1" localSheetId="10">#REF!</definedName>
    <definedName name="_____________________xlnm.Print_Titles_1">#REF!</definedName>
    <definedName name="____________________in18900" localSheetId="23">#REF!</definedName>
    <definedName name="____________________in18900" localSheetId="6">#REF!</definedName>
    <definedName name="____________________in18900" localSheetId="10">#REF!</definedName>
    <definedName name="____________________in18900">#REF!</definedName>
    <definedName name="____________________iv19000" localSheetId="23">#REF!</definedName>
    <definedName name="____________________iv19000" localSheetId="6">#REF!</definedName>
    <definedName name="____________________iv19000" localSheetId="10">#REF!</definedName>
    <definedName name="____________________iv19000">#REF!</definedName>
    <definedName name="____________________xlnm.Print_Area_1" localSheetId="23">#REF!</definedName>
    <definedName name="____________________xlnm.Print_Area_1" localSheetId="6">#REF!</definedName>
    <definedName name="____________________xlnm.Print_Area_1" localSheetId="10">#REF!</definedName>
    <definedName name="____________________xlnm.Print_Area_1">#REF!</definedName>
    <definedName name="____________________xlnm.Print_Area_2" localSheetId="23">#REF!</definedName>
    <definedName name="____________________xlnm.Print_Area_2" localSheetId="6">#REF!</definedName>
    <definedName name="____________________xlnm.Print_Area_2" localSheetId="10">#REF!</definedName>
    <definedName name="____________________xlnm.Print_Area_2">#REF!</definedName>
    <definedName name="____________________xlnm.Print_Area_3" localSheetId="23">#REF!</definedName>
    <definedName name="____________________xlnm.Print_Area_3" localSheetId="6">#REF!</definedName>
    <definedName name="____________________xlnm.Print_Area_3" localSheetId="10">#REF!</definedName>
    <definedName name="____________________xlnm.Print_Area_3">#REF!</definedName>
    <definedName name="____________________xlnm.Print_Titles_1" localSheetId="23">#REF!</definedName>
    <definedName name="____________________xlnm.Print_Titles_1" localSheetId="6">#REF!</definedName>
    <definedName name="____________________xlnm.Print_Titles_1" localSheetId="10">#REF!</definedName>
    <definedName name="____________________xlnm.Print_Titles_1">#REF!</definedName>
    <definedName name="___________________in18900" localSheetId="23">#REF!</definedName>
    <definedName name="___________________in18900" localSheetId="6">#REF!</definedName>
    <definedName name="___________________in18900" localSheetId="10">#REF!</definedName>
    <definedName name="___________________in18900">#REF!</definedName>
    <definedName name="___________________iv19000" localSheetId="23">#REF!</definedName>
    <definedName name="___________________iv19000" localSheetId="6">#REF!</definedName>
    <definedName name="___________________iv19000" localSheetId="10">#REF!</definedName>
    <definedName name="___________________iv19000">#REF!</definedName>
    <definedName name="___________________xlnm.Print_Area_1" localSheetId="23">#REF!</definedName>
    <definedName name="___________________xlnm.Print_Area_1" localSheetId="6">#REF!</definedName>
    <definedName name="___________________xlnm.Print_Area_1" localSheetId="10">#REF!</definedName>
    <definedName name="___________________xlnm.Print_Area_1">#REF!</definedName>
    <definedName name="___________________xlnm.Print_Area_2" localSheetId="23">#REF!</definedName>
    <definedName name="___________________xlnm.Print_Area_2" localSheetId="6">#REF!</definedName>
    <definedName name="___________________xlnm.Print_Area_2" localSheetId="10">#REF!</definedName>
    <definedName name="___________________xlnm.Print_Area_2">#REF!</definedName>
    <definedName name="___________________xlnm.Print_Area_3" localSheetId="23">#REF!</definedName>
    <definedName name="___________________xlnm.Print_Area_3" localSheetId="6">#REF!</definedName>
    <definedName name="___________________xlnm.Print_Area_3" localSheetId="10">#REF!</definedName>
    <definedName name="___________________xlnm.Print_Area_3">#REF!</definedName>
    <definedName name="___________________xlnm.Print_Titles_1" localSheetId="23">#REF!</definedName>
    <definedName name="___________________xlnm.Print_Titles_1" localSheetId="6">#REF!</definedName>
    <definedName name="___________________xlnm.Print_Titles_1" localSheetId="10">#REF!</definedName>
    <definedName name="___________________xlnm.Print_Titles_1">#REF!</definedName>
    <definedName name="__________________in18900" localSheetId="23">#REF!</definedName>
    <definedName name="__________________in18900" localSheetId="6">#REF!</definedName>
    <definedName name="__________________in18900" localSheetId="10">#REF!</definedName>
    <definedName name="__________________in18900">#REF!</definedName>
    <definedName name="__________________iv19000" localSheetId="23">#REF!</definedName>
    <definedName name="__________________iv19000" localSheetId="6">#REF!</definedName>
    <definedName name="__________________iv19000" localSheetId="10">#REF!</definedName>
    <definedName name="__________________iv19000">#REF!</definedName>
    <definedName name="__________________xlnm.Print_Area_1" localSheetId="23">#REF!</definedName>
    <definedName name="__________________xlnm.Print_Area_1" localSheetId="6">#REF!</definedName>
    <definedName name="__________________xlnm.Print_Area_1" localSheetId="10">#REF!</definedName>
    <definedName name="__________________xlnm.Print_Area_1">#REF!</definedName>
    <definedName name="__________________xlnm.Print_Area_13" localSheetId="23">#REF!</definedName>
    <definedName name="__________________xlnm.Print_Area_13" localSheetId="6">#REF!</definedName>
    <definedName name="__________________xlnm.Print_Area_13" localSheetId="10">#REF!</definedName>
    <definedName name="__________________xlnm.Print_Area_13">#REF!</definedName>
    <definedName name="__________________xlnm.Print_Area_2" localSheetId="23">#REF!</definedName>
    <definedName name="__________________xlnm.Print_Area_2" localSheetId="6">#REF!</definedName>
    <definedName name="__________________xlnm.Print_Area_2" localSheetId="10">#REF!</definedName>
    <definedName name="__________________xlnm.Print_Area_2">#REF!</definedName>
    <definedName name="__________________xlnm.Print_Area_3" localSheetId="23">#REF!</definedName>
    <definedName name="__________________xlnm.Print_Area_3" localSheetId="6">#REF!</definedName>
    <definedName name="__________________xlnm.Print_Area_3" localSheetId="10">#REF!</definedName>
    <definedName name="__________________xlnm.Print_Area_3">#REF!</definedName>
    <definedName name="__________________xlnm.Print_Titles_1" localSheetId="23">#REF!</definedName>
    <definedName name="__________________xlnm.Print_Titles_1" localSheetId="6">#REF!</definedName>
    <definedName name="__________________xlnm.Print_Titles_1" localSheetId="10">#REF!</definedName>
    <definedName name="__________________xlnm.Print_Titles_1">#REF!</definedName>
    <definedName name="_________________in18900" localSheetId="23">#REF!</definedName>
    <definedName name="_________________in18900" localSheetId="6">#REF!</definedName>
    <definedName name="_________________in18900" localSheetId="10">#REF!</definedName>
    <definedName name="_________________in18900">#REF!</definedName>
    <definedName name="_________________iv19000" localSheetId="23">#REF!</definedName>
    <definedName name="_________________iv19000" localSheetId="6">#REF!</definedName>
    <definedName name="_________________iv19000" localSheetId="10">#REF!</definedName>
    <definedName name="_________________iv19000">#REF!</definedName>
    <definedName name="_________________xlnm.Print_Area_1" localSheetId="23">#REF!</definedName>
    <definedName name="_________________xlnm.Print_Area_1" localSheetId="6">#REF!</definedName>
    <definedName name="_________________xlnm.Print_Area_1" localSheetId="10">#REF!</definedName>
    <definedName name="_________________xlnm.Print_Area_1">#REF!</definedName>
    <definedName name="_________________xlnm.Print_Area_13" localSheetId="23">#REF!</definedName>
    <definedName name="_________________xlnm.Print_Area_13" localSheetId="6">#REF!</definedName>
    <definedName name="_________________xlnm.Print_Area_13" localSheetId="10">#REF!</definedName>
    <definedName name="_________________xlnm.Print_Area_13">#REF!</definedName>
    <definedName name="_________________xlnm.Print_Area_2" localSheetId="23">#REF!</definedName>
    <definedName name="_________________xlnm.Print_Area_2" localSheetId="6">#REF!</definedName>
    <definedName name="_________________xlnm.Print_Area_2" localSheetId="10">#REF!</definedName>
    <definedName name="_________________xlnm.Print_Area_2">#REF!</definedName>
    <definedName name="_________________xlnm.Print_Area_3" localSheetId="23">#REF!</definedName>
    <definedName name="_________________xlnm.Print_Area_3" localSheetId="6">#REF!</definedName>
    <definedName name="_________________xlnm.Print_Area_3" localSheetId="10">#REF!</definedName>
    <definedName name="_________________xlnm.Print_Area_3">#REF!</definedName>
    <definedName name="_________________xlnm.Print_Titles_1" localSheetId="23">#REF!</definedName>
    <definedName name="_________________xlnm.Print_Titles_1" localSheetId="6">#REF!</definedName>
    <definedName name="_________________xlnm.Print_Titles_1" localSheetId="10">#REF!</definedName>
    <definedName name="_________________xlnm.Print_Titles_1">#REF!</definedName>
    <definedName name="________________in18900" localSheetId="23">#REF!</definedName>
    <definedName name="________________in18900" localSheetId="6">#REF!</definedName>
    <definedName name="________________in18900" localSheetId="10">#REF!</definedName>
    <definedName name="________________in18900">#REF!</definedName>
    <definedName name="________________iv19000" localSheetId="23">#REF!</definedName>
    <definedName name="________________iv19000" localSheetId="6">#REF!</definedName>
    <definedName name="________________iv19000" localSheetId="10">#REF!</definedName>
    <definedName name="________________iv19000">#REF!</definedName>
    <definedName name="________________xlnm.Print_Area_1" localSheetId="23">#REF!</definedName>
    <definedName name="________________xlnm.Print_Area_1" localSheetId="6">#REF!</definedName>
    <definedName name="________________xlnm.Print_Area_1" localSheetId="10">#REF!</definedName>
    <definedName name="________________xlnm.Print_Area_1">#REF!</definedName>
    <definedName name="________________xlnm.Print_Area_13" localSheetId="23">#REF!</definedName>
    <definedName name="________________xlnm.Print_Area_13" localSheetId="6">#REF!</definedName>
    <definedName name="________________xlnm.Print_Area_13" localSheetId="10">#REF!</definedName>
    <definedName name="________________xlnm.Print_Area_13">#REF!</definedName>
    <definedName name="________________xlnm.Print_Area_2" localSheetId="23">#REF!</definedName>
    <definedName name="________________xlnm.Print_Area_2" localSheetId="6">#REF!</definedName>
    <definedName name="________________xlnm.Print_Area_2" localSheetId="10">#REF!</definedName>
    <definedName name="________________xlnm.Print_Area_2">#REF!</definedName>
    <definedName name="________________xlnm.Print_Area_3" localSheetId="23">#REF!</definedName>
    <definedName name="________________xlnm.Print_Area_3" localSheetId="6">#REF!</definedName>
    <definedName name="________________xlnm.Print_Area_3" localSheetId="10">#REF!</definedName>
    <definedName name="________________xlnm.Print_Area_3">#REF!</definedName>
    <definedName name="________________xlnm.Print_Titles_1" localSheetId="23">#REF!</definedName>
    <definedName name="________________xlnm.Print_Titles_1" localSheetId="6">#REF!</definedName>
    <definedName name="________________xlnm.Print_Titles_1" localSheetId="10">#REF!</definedName>
    <definedName name="________________xlnm.Print_Titles_1">#REF!</definedName>
    <definedName name="_______________in18900" localSheetId="23">#REF!</definedName>
    <definedName name="_______________in18900" localSheetId="6">#REF!</definedName>
    <definedName name="_______________in18900" localSheetId="10">#REF!</definedName>
    <definedName name="_______________in18900">#REF!</definedName>
    <definedName name="_______________iv19000" localSheetId="23">#REF!</definedName>
    <definedName name="_______________iv19000" localSheetId="6">#REF!</definedName>
    <definedName name="_______________iv19000" localSheetId="10">#REF!</definedName>
    <definedName name="_______________iv19000">#REF!</definedName>
    <definedName name="_______________xlnm.Print_Area_1" localSheetId="23">#REF!</definedName>
    <definedName name="_______________xlnm.Print_Area_1" localSheetId="6">#REF!</definedName>
    <definedName name="_______________xlnm.Print_Area_1" localSheetId="10">#REF!</definedName>
    <definedName name="_______________xlnm.Print_Area_1">#REF!</definedName>
    <definedName name="_______________xlnm.Print_Area_13" localSheetId="23">#REF!</definedName>
    <definedName name="_______________xlnm.Print_Area_13" localSheetId="6">#REF!</definedName>
    <definedName name="_______________xlnm.Print_Area_13" localSheetId="10">#REF!</definedName>
    <definedName name="_______________xlnm.Print_Area_13">#REF!</definedName>
    <definedName name="_______________xlnm.Print_Area_2" localSheetId="23">#REF!</definedName>
    <definedName name="_______________xlnm.Print_Area_2" localSheetId="6">#REF!</definedName>
    <definedName name="_______________xlnm.Print_Area_2" localSheetId="10">#REF!</definedName>
    <definedName name="_______________xlnm.Print_Area_2">#REF!</definedName>
    <definedName name="_______________xlnm.Print_Area_3" localSheetId="23">#REF!</definedName>
    <definedName name="_______________xlnm.Print_Area_3" localSheetId="6">#REF!</definedName>
    <definedName name="_______________xlnm.Print_Area_3" localSheetId="10">#REF!</definedName>
    <definedName name="_______________xlnm.Print_Area_3">#REF!</definedName>
    <definedName name="_______________xlnm.Print_Titles_1" localSheetId="23">#REF!</definedName>
    <definedName name="_______________xlnm.Print_Titles_1" localSheetId="6">#REF!</definedName>
    <definedName name="_______________xlnm.Print_Titles_1" localSheetId="10">#REF!</definedName>
    <definedName name="_______________xlnm.Print_Titles_1">#REF!</definedName>
    <definedName name="______________in18900" localSheetId="23">#REF!</definedName>
    <definedName name="______________in18900" localSheetId="6">#REF!</definedName>
    <definedName name="______________in18900" localSheetId="10">#REF!</definedName>
    <definedName name="______________in18900">#REF!</definedName>
    <definedName name="______________iv19000" localSheetId="23">#REF!</definedName>
    <definedName name="______________iv19000" localSheetId="6">#REF!</definedName>
    <definedName name="______________iv19000" localSheetId="10">#REF!</definedName>
    <definedName name="______________iv19000">#REF!</definedName>
    <definedName name="______________xlnm._FilterDatabase_1" localSheetId="23">#REF!</definedName>
    <definedName name="______________xlnm._FilterDatabase_1" localSheetId="6">#REF!</definedName>
    <definedName name="______________xlnm._FilterDatabase_1" localSheetId="10">#REF!</definedName>
    <definedName name="______________xlnm._FilterDatabase_1">#REF!</definedName>
    <definedName name="______________xlnm.Print_Area_1" localSheetId="23">#REF!</definedName>
    <definedName name="______________xlnm.Print_Area_1" localSheetId="6">#REF!</definedName>
    <definedName name="______________xlnm.Print_Area_1" localSheetId="10">#REF!</definedName>
    <definedName name="______________xlnm.Print_Area_1">#REF!</definedName>
    <definedName name="______________xlnm.Print_Area_13" localSheetId="23">#REF!</definedName>
    <definedName name="______________xlnm.Print_Area_13" localSheetId="6">#REF!</definedName>
    <definedName name="______________xlnm.Print_Area_13" localSheetId="10">#REF!</definedName>
    <definedName name="______________xlnm.Print_Area_13">#REF!</definedName>
    <definedName name="______________xlnm.Print_Area_2" localSheetId="23">#REF!</definedName>
    <definedName name="______________xlnm.Print_Area_2" localSheetId="6">#REF!</definedName>
    <definedName name="______________xlnm.Print_Area_2" localSheetId="10">#REF!</definedName>
    <definedName name="______________xlnm.Print_Area_2">#REF!</definedName>
    <definedName name="______________xlnm.Print_Area_3" localSheetId="23">#REF!</definedName>
    <definedName name="______________xlnm.Print_Area_3" localSheetId="6">#REF!</definedName>
    <definedName name="______________xlnm.Print_Area_3" localSheetId="10">#REF!</definedName>
    <definedName name="______________xlnm.Print_Area_3">#REF!</definedName>
    <definedName name="______________xlnm.Print_Titles_1" localSheetId="23">#REF!</definedName>
    <definedName name="______________xlnm.Print_Titles_1" localSheetId="6">#REF!</definedName>
    <definedName name="______________xlnm.Print_Titles_1" localSheetId="10">#REF!</definedName>
    <definedName name="______________xlnm.Print_Titles_1">#REF!</definedName>
    <definedName name="_____________dec05" localSheetId="11" hidden="1">{"'Sheet1'!$A$4386:$N$4591"}</definedName>
    <definedName name="_____________dec05" localSheetId="10" hidden="1">{"'Sheet1'!$A$4386:$N$4591"}</definedName>
    <definedName name="_____________dec05" hidden="1">{"'Sheet1'!$A$4386:$N$4591"}</definedName>
    <definedName name="_____________in18900" localSheetId="23">#REF!</definedName>
    <definedName name="_____________in18900" localSheetId="6">#REF!</definedName>
    <definedName name="_____________in18900" localSheetId="10">#REF!</definedName>
    <definedName name="_____________in18900">#REF!</definedName>
    <definedName name="_____________iv19000" localSheetId="23">#REF!</definedName>
    <definedName name="_____________iv19000" localSheetId="6">#REF!</definedName>
    <definedName name="_____________iv19000" localSheetId="10">#REF!</definedName>
    <definedName name="_____________iv19000">#REF!</definedName>
    <definedName name="_____________xlnm._FilterDatabase_2" localSheetId="23">#REF!</definedName>
    <definedName name="_____________xlnm._FilterDatabase_2" localSheetId="6">#REF!</definedName>
    <definedName name="_____________xlnm._FilterDatabase_2" localSheetId="10">#REF!</definedName>
    <definedName name="_____________xlnm._FilterDatabase_2">#REF!</definedName>
    <definedName name="_____________xlnm.Print_Area_1" localSheetId="23">#REF!</definedName>
    <definedName name="_____________xlnm.Print_Area_1" localSheetId="6">#REF!</definedName>
    <definedName name="_____________xlnm.Print_Area_1" localSheetId="10">#REF!</definedName>
    <definedName name="_____________xlnm.Print_Area_1">#REF!</definedName>
    <definedName name="_____________xlnm.Print_Area_10" localSheetId="23">#REF!</definedName>
    <definedName name="_____________xlnm.Print_Area_10" localSheetId="6">#REF!</definedName>
    <definedName name="_____________xlnm.Print_Area_10" localSheetId="10">#REF!</definedName>
    <definedName name="_____________xlnm.Print_Area_10">#REF!</definedName>
    <definedName name="_____________xlnm.Print_Area_13" localSheetId="23">#REF!</definedName>
    <definedName name="_____________xlnm.Print_Area_13" localSheetId="6">#REF!</definedName>
    <definedName name="_____________xlnm.Print_Area_13" localSheetId="10">#REF!</definedName>
    <definedName name="_____________xlnm.Print_Area_13">#REF!</definedName>
    <definedName name="_____________xlnm.Print_Area_2" localSheetId="23">#REF!</definedName>
    <definedName name="_____________xlnm.Print_Area_2" localSheetId="6">#REF!</definedName>
    <definedName name="_____________xlnm.Print_Area_2" localSheetId="10">#REF!</definedName>
    <definedName name="_____________xlnm.Print_Area_2">#REF!</definedName>
    <definedName name="_____________xlnm.Print_Area_3" localSheetId="23">#REF!</definedName>
    <definedName name="_____________xlnm.Print_Area_3" localSheetId="6">#REF!</definedName>
    <definedName name="_____________xlnm.Print_Area_3" localSheetId="10">#REF!</definedName>
    <definedName name="_____________xlnm.Print_Area_3">#REF!</definedName>
    <definedName name="_____________xlnm.Print_Area_4" localSheetId="23">#REF!</definedName>
    <definedName name="_____________xlnm.Print_Area_4" localSheetId="6">#REF!</definedName>
    <definedName name="_____________xlnm.Print_Area_4" localSheetId="10">#REF!</definedName>
    <definedName name="_____________xlnm.Print_Area_4">#REF!</definedName>
    <definedName name="_____________xlnm.Print_Area_5" localSheetId="23">#REF!</definedName>
    <definedName name="_____________xlnm.Print_Area_5" localSheetId="6">#REF!</definedName>
    <definedName name="_____________xlnm.Print_Area_5" localSheetId="10">#REF!</definedName>
    <definedName name="_____________xlnm.Print_Area_5">#REF!</definedName>
    <definedName name="_____________xlnm.Print_Area_6" localSheetId="23">#REF!</definedName>
    <definedName name="_____________xlnm.Print_Area_6" localSheetId="6">#REF!</definedName>
    <definedName name="_____________xlnm.Print_Area_6" localSheetId="10">#REF!</definedName>
    <definedName name="_____________xlnm.Print_Area_6">#REF!</definedName>
    <definedName name="_____________xlnm.Print_Area_9" localSheetId="23">#REF!</definedName>
    <definedName name="_____________xlnm.Print_Area_9" localSheetId="6">#REF!</definedName>
    <definedName name="_____________xlnm.Print_Area_9" localSheetId="10">#REF!</definedName>
    <definedName name="_____________xlnm.Print_Area_9">#REF!</definedName>
    <definedName name="_____________xlnm.Print_Titles" localSheetId="23">#REF!</definedName>
    <definedName name="_____________xlnm.Print_Titles" localSheetId="6">#REF!</definedName>
    <definedName name="_____________xlnm.Print_Titles" localSheetId="10">#REF!</definedName>
    <definedName name="_____________xlnm.Print_Titles">#REF!</definedName>
    <definedName name="_____________xlnm.Print_Titles_1" localSheetId="23">#REF!</definedName>
    <definedName name="_____________xlnm.Print_Titles_1" localSheetId="6">#REF!</definedName>
    <definedName name="_____________xlnm.Print_Titles_1" localSheetId="10">#REF!</definedName>
    <definedName name="_____________xlnm.Print_Titles_1">#REF!</definedName>
    <definedName name="____________dec05" localSheetId="11" hidden="1">{"'Sheet1'!$A$4386:$N$4591"}</definedName>
    <definedName name="____________dec05" localSheetId="10" hidden="1">{"'Sheet1'!$A$4386:$N$4591"}</definedName>
    <definedName name="____________dec05" hidden="1">{"'Sheet1'!$A$4386:$N$4591"}</definedName>
    <definedName name="____________in18900" localSheetId="23">#REF!</definedName>
    <definedName name="____________in18900" localSheetId="6">#REF!</definedName>
    <definedName name="____________in18900" localSheetId="10">#REF!</definedName>
    <definedName name="____________in18900">#REF!</definedName>
    <definedName name="____________iv19000" localSheetId="23">#REF!</definedName>
    <definedName name="____________iv19000" localSheetId="6">#REF!</definedName>
    <definedName name="____________iv19000" localSheetId="10">#REF!</definedName>
    <definedName name="____________iv19000">#REF!</definedName>
    <definedName name="____________xlnm.Print_Area_1" localSheetId="23">#REF!</definedName>
    <definedName name="____________xlnm.Print_Area_1" localSheetId="6">#REF!</definedName>
    <definedName name="____________xlnm.Print_Area_1" localSheetId="10">#REF!</definedName>
    <definedName name="____________xlnm.Print_Area_1">#REF!</definedName>
    <definedName name="____________xlnm.Print_Area_13" localSheetId="23">#REF!</definedName>
    <definedName name="____________xlnm.Print_Area_13" localSheetId="6">#REF!</definedName>
    <definedName name="____________xlnm.Print_Area_13" localSheetId="10">#REF!</definedName>
    <definedName name="____________xlnm.Print_Area_13">#REF!</definedName>
    <definedName name="____________xlnm.Print_Area_2" localSheetId="23">#REF!</definedName>
    <definedName name="____________xlnm.Print_Area_2" localSheetId="6">#REF!</definedName>
    <definedName name="____________xlnm.Print_Area_2" localSheetId="10">#REF!</definedName>
    <definedName name="____________xlnm.Print_Area_2">#REF!</definedName>
    <definedName name="____________xlnm.Print_Area_3" localSheetId="23">#REF!</definedName>
    <definedName name="____________xlnm.Print_Area_3" localSheetId="6">#REF!</definedName>
    <definedName name="____________xlnm.Print_Area_3" localSheetId="10">#REF!</definedName>
    <definedName name="____________xlnm.Print_Area_3">#REF!</definedName>
    <definedName name="____________xlnm.Print_Titles_1" localSheetId="23">#REF!</definedName>
    <definedName name="____________xlnm.Print_Titles_1" localSheetId="6">#REF!</definedName>
    <definedName name="____________xlnm.Print_Titles_1" localSheetId="10">#REF!</definedName>
    <definedName name="____________xlnm.Print_Titles_1">#REF!</definedName>
    <definedName name="___________dec05" localSheetId="11" hidden="1">{"'Sheet1'!$A$4386:$N$4591"}</definedName>
    <definedName name="___________dec05" localSheetId="10" hidden="1">{"'Sheet1'!$A$4386:$N$4591"}</definedName>
    <definedName name="___________dec05" hidden="1">{"'Sheet1'!$A$4386:$N$4591"}</definedName>
    <definedName name="___________in18900" localSheetId="23">#REF!</definedName>
    <definedName name="___________in18900" localSheetId="6">#REF!</definedName>
    <definedName name="___________in18900" localSheetId="10">#REF!</definedName>
    <definedName name="___________in18900">#REF!</definedName>
    <definedName name="___________iv19000" localSheetId="23">#REF!</definedName>
    <definedName name="___________iv19000" localSheetId="6">#REF!</definedName>
    <definedName name="___________iv19000" localSheetId="10">#REF!</definedName>
    <definedName name="___________iv19000">#REF!</definedName>
    <definedName name="___________xlnm._FilterDatabase_1" localSheetId="23">#REF!</definedName>
    <definedName name="___________xlnm._FilterDatabase_1" localSheetId="6">#REF!</definedName>
    <definedName name="___________xlnm._FilterDatabase_1" localSheetId="10">#REF!</definedName>
    <definedName name="___________xlnm._FilterDatabase_1">#REF!</definedName>
    <definedName name="___________xlnm._FilterDatabase_2" localSheetId="23">#REF!</definedName>
    <definedName name="___________xlnm._FilterDatabase_2" localSheetId="6">#REF!</definedName>
    <definedName name="___________xlnm._FilterDatabase_2" localSheetId="10">#REF!</definedName>
    <definedName name="___________xlnm._FilterDatabase_2">#REF!</definedName>
    <definedName name="___________xlnm.Print_Area_1" localSheetId="23">#REF!</definedName>
    <definedName name="___________xlnm.Print_Area_1" localSheetId="6">#REF!</definedName>
    <definedName name="___________xlnm.Print_Area_1" localSheetId="10">#REF!</definedName>
    <definedName name="___________xlnm.Print_Area_1">#REF!</definedName>
    <definedName name="___________xlnm.Print_Area_10" localSheetId="23">#REF!</definedName>
    <definedName name="___________xlnm.Print_Area_10" localSheetId="6">#REF!</definedName>
    <definedName name="___________xlnm.Print_Area_10" localSheetId="10">#REF!</definedName>
    <definedName name="___________xlnm.Print_Area_10">#REF!</definedName>
    <definedName name="___________xlnm.Print_Area_13" localSheetId="23">#REF!</definedName>
    <definedName name="___________xlnm.Print_Area_13" localSheetId="6">#REF!</definedName>
    <definedName name="___________xlnm.Print_Area_13" localSheetId="10">#REF!</definedName>
    <definedName name="___________xlnm.Print_Area_13">#REF!</definedName>
    <definedName name="___________xlnm.Print_Area_2" localSheetId="23">#REF!</definedName>
    <definedName name="___________xlnm.Print_Area_2" localSheetId="6">#REF!</definedName>
    <definedName name="___________xlnm.Print_Area_2" localSheetId="10">#REF!</definedName>
    <definedName name="___________xlnm.Print_Area_2">#REF!</definedName>
    <definedName name="___________xlnm.Print_Area_3" localSheetId="23">#REF!</definedName>
    <definedName name="___________xlnm.Print_Area_3" localSheetId="6">#REF!</definedName>
    <definedName name="___________xlnm.Print_Area_3" localSheetId="10">#REF!</definedName>
    <definedName name="___________xlnm.Print_Area_3">#REF!</definedName>
    <definedName name="___________xlnm.Print_Area_4" localSheetId="23">#REF!</definedName>
    <definedName name="___________xlnm.Print_Area_4" localSheetId="6">#REF!</definedName>
    <definedName name="___________xlnm.Print_Area_4" localSheetId="10">#REF!</definedName>
    <definedName name="___________xlnm.Print_Area_4">#REF!</definedName>
    <definedName name="___________xlnm.Print_Area_5" localSheetId="23">#REF!</definedName>
    <definedName name="___________xlnm.Print_Area_5" localSheetId="6">#REF!</definedName>
    <definedName name="___________xlnm.Print_Area_5" localSheetId="10">#REF!</definedName>
    <definedName name="___________xlnm.Print_Area_5">#REF!</definedName>
    <definedName name="___________xlnm.Print_Area_6" localSheetId="23">#REF!</definedName>
    <definedName name="___________xlnm.Print_Area_6" localSheetId="6">#REF!</definedName>
    <definedName name="___________xlnm.Print_Area_6" localSheetId="10">#REF!</definedName>
    <definedName name="___________xlnm.Print_Area_6">#REF!</definedName>
    <definedName name="___________xlnm.Print_Area_7" localSheetId="23">#REF!</definedName>
    <definedName name="___________xlnm.Print_Area_7" localSheetId="6">#REF!</definedName>
    <definedName name="___________xlnm.Print_Area_7" localSheetId="10">#REF!</definedName>
    <definedName name="___________xlnm.Print_Area_7">#REF!</definedName>
    <definedName name="___________xlnm.Print_Area_8" localSheetId="23">#REF!</definedName>
    <definedName name="___________xlnm.Print_Area_8" localSheetId="6">#REF!</definedName>
    <definedName name="___________xlnm.Print_Area_8" localSheetId="10">#REF!</definedName>
    <definedName name="___________xlnm.Print_Area_8">#REF!</definedName>
    <definedName name="___________xlnm.Print_Area_9" localSheetId="23">#REF!</definedName>
    <definedName name="___________xlnm.Print_Area_9" localSheetId="6">#REF!</definedName>
    <definedName name="___________xlnm.Print_Area_9" localSheetId="10">#REF!</definedName>
    <definedName name="___________xlnm.Print_Area_9">#REF!</definedName>
    <definedName name="___________xlnm.Print_Titles" localSheetId="23">#REF!</definedName>
    <definedName name="___________xlnm.Print_Titles" localSheetId="6">#REF!</definedName>
    <definedName name="___________xlnm.Print_Titles" localSheetId="10">#REF!</definedName>
    <definedName name="___________xlnm.Print_Titles">#REF!</definedName>
    <definedName name="___________xlnm.Print_Titles_1" localSheetId="23">#REF!</definedName>
    <definedName name="___________xlnm.Print_Titles_1" localSheetId="6">#REF!</definedName>
    <definedName name="___________xlnm.Print_Titles_1" localSheetId="10">#REF!</definedName>
    <definedName name="___________xlnm.Print_Titles_1">#REF!</definedName>
    <definedName name="__________dec05" localSheetId="11" hidden="1">{"'Sheet1'!$A$4386:$N$4591"}</definedName>
    <definedName name="__________dec05" localSheetId="10" hidden="1">{"'Sheet1'!$A$4386:$N$4591"}</definedName>
    <definedName name="__________dec05" hidden="1">{"'Sheet1'!$A$4386:$N$4591"}</definedName>
    <definedName name="__________IDA1" localSheetId="23">#REF!</definedName>
    <definedName name="__________IDA1" localSheetId="6">#REF!</definedName>
    <definedName name="__________IDA1" localSheetId="10">#REF!</definedName>
    <definedName name="__________IDA1">#REF!</definedName>
    <definedName name="__________in18900" localSheetId="23">#REF!</definedName>
    <definedName name="__________in18900" localSheetId="6">#REF!</definedName>
    <definedName name="__________in18900" localSheetId="10">#REF!</definedName>
    <definedName name="__________in18900">#REF!</definedName>
    <definedName name="__________iv19000" localSheetId="23">#REF!</definedName>
    <definedName name="__________iv19000" localSheetId="6">#REF!</definedName>
    <definedName name="__________iv19000" localSheetId="10">#REF!</definedName>
    <definedName name="__________iv19000">#REF!</definedName>
    <definedName name="__________xlnm._FilterDatabase_1" localSheetId="23">#REF!</definedName>
    <definedName name="__________xlnm._FilterDatabase_1" localSheetId="6">#REF!</definedName>
    <definedName name="__________xlnm._FilterDatabase_1" localSheetId="10">#REF!</definedName>
    <definedName name="__________xlnm._FilterDatabase_1">#REF!</definedName>
    <definedName name="__________xlnm._FilterDatabase_2" localSheetId="23">#REF!</definedName>
    <definedName name="__________xlnm._FilterDatabase_2" localSheetId="6">#REF!</definedName>
    <definedName name="__________xlnm._FilterDatabase_2" localSheetId="10">#REF!</definedName>
    <definedName name="__________xlnm._FilterDatabase_2">#REF!</definedName>
    <definedName name="__________xlnm._FilterDatabase_5" localSheetId="23">#REF!</definedName>
    <definedName name="__________xlnm._FilterDatabase_5" localSheetId="6">#REF!</definedName>
    <definedName name="__________xlnm._FilterDatabase_5" localSheetId="10">#REF!</definedName>
    <definedName name="__________xlnm._FilterDatabase_5">#REF!</definedName>
    <definedName name="__________xlnm.Print_Area_1" localSheetId="23">#REF!</definedName>
    <definedName name="__________xlnm.Print_Area_1" localSheetId="6">#REF!</definedName>
    <definedName name="__________xlnm.Print_Area_1" localSheetId="10">#REF!</definedName>
    <definedName name="__________xlnm.Print_Area_1">#REF!</definedName>
    <definedName name="__________xlnm.Print_Area_10" localSheetId="23">#REF!</definedName>
    <definedName name="__________xlnm.Print_Area_10" localSheetId="6">#REF!</definedName>
    <definedName name="__________xlnm.Print_Area_10" localSheetId="10">#REF!</definedName>
    <definedName name="__________xlnm.Print_Area_10">#REF!</definedName>
    <definedName name="__________xlnm.Print_Area_13" localSheetId="23">#REF!</definedName>
    <definedName name="__________xlnm.Print_Area_13" localSheetId="6">#REF!</definedName>
    <definedName name="__________xlnm.Print_Area_13" localSheetId="10">#REF!</definedName>
    <definedName name="__________xlnm.Print_Area_13">#REF!</definedName>
    <definedName name="__________xlnm.Print_Area_2" localSheetId="23">#REF!</definedName>
    <definedName name="__________xlnm.Print_Area_2" localSheetId="6">#REF!</definedName>
    <definedName name="__________xlnm.Print_Area_2" localSheetId="10">#REF!</definedName>
    <definedName name="__________xlnm.Print_Area_2">#REF!</definedName>
    <definedName name="__________xlnm.Print_Area_3" localSheetId="23">#REF!</definedName>
    <definedName name="__________xlnm.Print_Area_3" localSheetId="6">#REF!</definedName>
    <definedName name="__________xlnm.Print_Area_3" localSheetId="10">#REF!</definedName>
    <definedName name="__________xlnm.Print_Area_3">#REF!</definedName>
    <definedName name="__________xlnm.Print_Area_4" localSheetId="23">#REF!</definedName>
    <definedName name="__________xlnm.Print_Area_4" localSheetId="6">#REF!</definedName>
    <definedName name="__________xlnm.Print_Area_4" localSheetId="10">#REF!</definedName>
    <definedName name="__________xlnm.Print_Area_4">#REF!</definedName>
    <definedName name="__________xlnm.Print_Area_5" localSheetId="23">#REF!</definedName>
    <definedName name="__________xlnm.Print_Area_5" localSheetId="6">#REF!</definedName>
    <definedName name="__________xlnm.Print_Area_5" localSheetId="10">#REF!</definedName>
    <definedName name="__________xlnm.Print_Area_5">#REF!</definedName>
    <definedName name="__________xlnm.Print_Area_6" localSheetId="23">#REF!</definedName>
    <definedName name="__________xlnm.Print_Area_6" localSheetId="6">#REF!</definedName>
    <definedName name="__________xlnm.Print_Area_6" localSheetId="10">#REF!</definedName>
    <definedName name="__________xlnm.Print_Area_6">#REF!</definedName>
    <definedName name="__________xlnm.Print_Area_7" localSheetId="23">#REF!</definedName>
    <definedName name="__________xlnm.Print_Area_7" localSheetId="6">#REF!</definedName>
    <definedName name="__________xlnm.Print_Area_7" localSheetId="10">#REF!</definedName>
    <definedName name="__________xlnm.Print_Area_7">#REF!</definedName>
    <definedName name="__________xlnm.Print_Area_8" localSheetId="23">#REF!</definedName>
    <definedName name="__________xlnm.Print_Area_8" localSheetId="6">#REF!</definedName>
    <definedName name="__________xlnm.Print_Area_8" localSheetId="10">#REF!</definedName>
    <definedName name="__________xlnm.Print_Area_8">#REF!</definedName>
    <definedName name="__________xlnm.Print_Area_9" localSheetId="23">#REF!</definedName>
    <definedName name="__________xlnm.Print_Area_9" localSheetId="6">#REF!</definedName>
    <definedName name="__________xlnm.Print_Area_9" localSheetId="10">#REF!</definedName>
    <definedName name="__________xlnm.Print_Area_9">#REF!</definedName>
    <definedName name="__________xlnm.Print_Titles" localSheetId="23">#REF!</definedName>
    <definedName name="__________xlnm.Print_Titles" localSheetId="6">#REF!</definedName>
    <definedName name="__________xlnm.Print_Titles" localSheetId="10">#REF!</definedName>
    <definedName name="__________xlnm.Print_Titles">#REF!</definedName>
    <definedName name="__________xlnm.Print_Titles_1" localSheetId="23">#REF!</definedName>
    <definedName name="__________xlnm.Print_Titles_1" localSheetId="6">#REF!</definedName>
    <definedName name="__________xlnm.Print_Titles_1" localSheetId="10">#REF!</definedName>
    <definedName name="__________xlnm.Print_Titles_1">#REF!</definedName>
    <definedName name="_________dec05" localSheetId="11" hidden="1">{"'Sheet1'!$A$4386:$N$4591"}</definedName>
    <definedName name="_________dec05" localSheetId="10" hidden="1">{"'Sheet1'!$A$4386:$N$4591"}</definedName>
    <definedName name="_________dec05" hidden="1">{"'Sheet1'!$A$4386:$N$4591"}</definedName>
    <definedName name="_________IDA1" localSheetId="23">#REF!</definedName>
    <definedName name="_________IDA1" localSheetId="6">#REF!</definedName>
    <definedName name="_________IDA1" localSheetId="10">#REF!</definedName>
    <definedName name="_________IDA1">#REF!</definedName>
    <definedName name="_________in18900" localSheetId="23">#REF!</definedName>
    <definedName name="_________in18900" localSheetId="6">#REF!</definedName>
    <definedName name="_________in18900" localSheetId="10">#REF!</definedName>
    <definedName name="_________in18900">#REF!</definedName>
    <definedName name="_________iv19000" localSheetId="23">#REF!</definedName>
    <definedName name="_________iv19000" localSheetId="6">#REF!</definedName>
    <definedName name="_________iv19000" localSheetId="10">#REF!</definedName>
    <definedName name="_________iv19000">#REF!</definedName>
    <definedName name="_________xlnm._FilterDatabase_1" localSheetId="23">#REF!</definedName>
    <definedName name="_________xlnm._FilterDatabase_1" localSheetId="6">#REF!</definedName>
    <definedName name="_________xlnm._FilterDatabase_1" localSheetId="10">#REF!</definedName>
    <definedName name="_________xlnm._FilterDatabase_1">#REF!</definedName>
    <definedName name="_________xlnm._FilterDatabase_2" localSheetId="23">#REF!</definedName>
    <definedName name="_________xlnm._FilterDatabase_2" localSheetId="6">#REF!</definedName>
    <definedName name="_________xlnm._FilterDatabase_2" localSheetId="10">#REF!</definedName>
    <definedName name="_________xlnm._FilterDatabase_2">#REF!</definedName>
    <definedName name="_________xlnm._FilterDatabase_3" localSheetId="23">#REF!</definedName>
    <definedName name="_________xlnm._FilterDatabase_3" localSheetId="6">#REF!</definedName>
    <definedName name="_________xlnm._FilterDatabase_3" localSheetId="10">#REF!</definedName>
    <definedName name="_________xlnm._FilterDatabase_3">#REF!</definedName>
    <definedName name="_________xlnm._FilterDatabase_4" localSheetId="23">#REF!</definedName>
    <definedName name="_________xlnm._FilterDatabase_4" localSheetId="6">#REF!</definedName>
    <definedName name="_________xlnm._FilterDatabase_4" localSheetId="10">#REF!</definedName>
    <definedName name="_________xlnm._FilterDatabase_4">#REF!</definedName>
    <definedName name="_________xlnm._FilterDatabase_5" localSheetId="23">#REF!</definedName>
    <definedName name="_________xlnm._FilterDatabase_5" localSheetId="6">#REF!</definedName>
    <definedName name="_________xlnm._FilterDatabase_5" localSheetId="10">#REF!</definedName>
    <definedName name="_________xlnm._FilterDatabase_5">#REF!</definedName>
    <definedName name="_________xlnm.Print_Area_1" localSheetId="23">#REF!</definedName>
    <definedName name="_________xlnm.Print_Area_1" localSheetId="6">#REF!</definedName>
    <definedName name="_________xlnm.Print_Area_1" localSheetId="10">#REF!</definedName>
    <definedName name="_________xlnm.Print_Area_1">#REF!</definedName>
    <definedName name="_________xlnm.Print_Area_10" localSheetId="23">#REF!</definedName>
    <definedName name="_________xlnm.Print_Area_10" localSheetId="6">#REF!</definedName>
    <definedName name="_________xlnm.Print_Area_10" localSheetId="10">#REF!</definedName>
    <definedName name="_________xlnm.Print_Area_10">#REF!</definedName>
    <definedName name="_________xlnm.Print_Area_11" localSheetId="23">#REF!</definedName>
    <definedName name="_________xlnm.Print_Area_11" localSheetId="6">#REF!</definedName>
    <definedName name="_________xlnm.Print_Area_11" localSheetId="10">#REF!</definedName>
    <definedName name="_________xlnm.Print_Area_11">#REF!</definedName>
    <definedName name="_________xlnm.Print_Area_13" localSheetId="23">#REF!</definedName>
    <definedName name="_________xlnm.Print_Area_13" localSheetId="6">#REF!</definedName>
    <definedName name="_________xlnm.Print_Area_13" localSheetId="10">#REF!</definedName>
    <definedName name="_________xlnm.Print_Area_13">#REF!</definedName>
    <definedName name="_________xlnm.Print_Area_2" localSheetId="23">#REF!</definedName>
    <definedName name="_________xlnm.Print_Area_2" localSheetId="6">#REF!</definedName>
    <definedName name="_________xlnm.Print_Area_2" localSheetId="10">#REF!</definedName>
    <definedName name="_________xlnm.Print_Area_2">#REF!</definedName>
    <definedName name="_________xlnm.Print_Area_3" localSheetId="23">#REF!</definedName>
    <definedName name="_________xlnm.Print_Area_3" localSheetId="6">#REF!</definedName>
    <definedName name="_________xlnm.Print_Area_3" localSheetId="10">#REF!</definedName>
    <definedName name="_________xlnm.Print_Area_3">#REF!</definedName>
    <definedName name="_________xlnm.Print_Area_4" localSheetId="23">#REF!</definedName>
    <definedName name="_________xlnm.Print_Area_4" localSheetId="6">#REF!</definedName>
    <definedName name="_________xlnm.Print_Area_4" localSheetId="10">#REF!</definedName>
    <definedName name="_________xlnm.Print_Area_4">#REF!</definedName>
    <definedName name="_________xlnm.Print_Area_5" localSheetId="23">#REF!</definedName>
    <definedName name="_________xlnm.Print_Area_5" localSheetId="6">#REF!</definedName>
    <definedName name="_________xlnm.Print_Area_5" localSheetId="10">#REF!</definedName>
    <definedName name="_________xlnm.Print_Area_5">#REF!</definedName>
    <definedName name="_________xlnm.Print_Area_6" localSheetId="23">#REF!</definedName>
    <definedName name="_________xlnm.Print_Area_6" localSheetId="6">#REF!</definedName>
    <definedName name="_________xlnm.Print_Area_6" localSheetId="10">#REF!</definedName>
    <definedName name="_________xlnm.Print_Area_6">#REF!</definedName>
    <definedName name="_________xlnm.Print_Area_7" localSheetId="23">#REF!</definedName>
    <definedName name="_________xlnm.Print_Area_7" localSheetId="6">#REF!</definedName>
    <definedName name="_________xlnm.Print_Area_7" localSheetId="10">#REF!</definedName>
    <definedName name="_________xlnm.Print_Area_7">#REF!</definedName>
    <definedName name="_________xlnm.Print_Area_8" localSheetId="23">#REF!</definedName>
    <definedName name="_________xlnm.Print_Area_8" localSheetId="6">#REF!</definedName>
    <definedName name="_________xlnm.Print_Area_8" localSheetId="10">#REF!</definedName>
    <definedName name="_________xlnm.Print_Area_8">#REF!</definedName>
    <definedName name="_________xlnm.Print_Area_9" localSheetId="23">#REF!</definedName>
    <definedName name="_________xlnm.Print_Area_9" localSheetId="6">#REF!</definedName>
    <definedName name="_________xlnm.Print_Area_9" localSheetId="10">#REF!</definedName>
    <definedName name="_________xlnm.Print_Area_9">#REF!</definedName>
    <definedName name="_________xlnm.Print_Titles" localSheetId="23">#REF!</definedName>
    <definedName name="_________xlnm.Print_Titles" localSheetId="6">#REF!</definedName>
    <definedName name="_________xlnm.Print_Titles" localSheetId="10">#REF!</definedName>
    <definedName name="_________xlnm.Print_Titles">#REF!</definedName>
    <definedName name="_________xlnm.Print_Titles_1" localSheetId="23">#REF!</definedName>
    <definedName name="_________xlnm.Print_Titles_1" localSheetId="6">#REF!</definedName>
    <definedName name="_________xlnm.Print_Titles_1" localSheetId="10">#REF!</definedName>
    <definedName name="_________xlnm.Print_Titles_1">#REF!</definedName>
    <definedName name="_________xlnm.Print_Titles_4" localSheetId="23">#REF!</definedName>
    <definedName name="_________xlnm.Print_Titles_4" localSheetId="6">#REF!</definedName>
    <definedName name="_________xlnm.Print_Titles_4" localSheetId="10">#REF!</definedName>
    <definedName name="_________xlnm.Print_Titles_4">#REF!</definedName>
    <definedName name="_________xlnm.Print_Titles_7" localSheetId="23">#REF!</definedName>
    <definedName name="_________xlnm.Print_Titles_7" localSheetId="6">#REF!</definedName>
    <definedName name="_________xlnm.Print_Titles_7" localSheetId="10">#REF!</definedName>
    <definedName name="_________xlnm.Print_Titles_7">#REF!</definedName>
    <definedName name="________4_____a" localSheetId="23">#REF!</definedName>
    <definedName name="________4_____a" localSheetId="6">#REF!</definedName>
    <definedName name="________4_____a" localSheetId="10">#REF!</definedName>
    <definedName name="________4_____a">#REF!</definedName>
    <definedName name="________dec05" localSheetId="11" hidden="1">{"'Sheet1'!$A$4386:$N$4591"}</definedName>
    <definedName name="________dec05" localSheetId="10" hidden="1">{"'Sheet1'!$A$4386:$N$4591"}</definedName>
    <definedName name="________dec05" hidden="1">{"'Sheet1'!$A$4386:$N$4591"}</definedName>
    <definedName name="________IDA1" localSheetId="23">#REF!</definedName>
    <definedName name="________IDA1" localSheetId="6">#REF!</definedName>
    <definedName name="________IDA1" localSheetId="10">#REF!</definedName>
    <definedName name="________IDA1">#REF!</definedName>
    <definedName name="________in18900" localSheetId="23">#REF!</definedName>
    <definedName name="________in18900" localSheetId="6">#REF!</definedName>
    <definedName name="________in18900" localSheetId="10">#REF!</definedName>
    <definedName name="________in18900">#REF!</definedName>
    <definedName name="________iv19000" localSheetId="23">#REF!</definedName>
    <definedName name="________iv19000" localSheetId="6">#REF!</definedName>
    <definedName name="________iv19000" localSheetId="10">#REF!</definedName>
    <definedName name="________iv19000">#REF!</definedName>
    <definedName name="________xlnm._FilterDatabase_1" localSheetId="23">#REF!</definedName>
    <definedName name="________xlnm._FilterDatabase_1" localSheetId="6">#REF!</definedName>
    <definedName name="________xlnm._FilterDatabase_1" localSheetId="10">#REF!</definedName>
    <definedName name="________xlnm._FilterDatabase_1">#REF!</definedName>
    <definedName name="________xlnm._FilterDatabase_2" localSheetId="23">#REF!</definedName>
    <definedName name="________xlnm._FilterDatabase_2" localSheetId="6">#REF!</definedName>
    <definedName name="________xlnm._FilterDatabase_2" localSheetId="10">#REF!</definedName>
    <definedName name="________xlnm._FilterDatabase_2">#REF!</definedName>
    <definedName name="________xlnm._FilterDatabase_3" localSheetId="23">#REF!</definedName>
    <definedName name="________xlnm._FilterDatabase_3" localSheetId="6">#REF!</definedName>
    <definedName name="________xlnm._FilterDatabase_3" localSheetId="10">#REF!</definedName>
    <definedName name="________xlnm._FilterDatabase_3">#REF!</definedName>
    <definedName name="________xlnm._FilterDatabase_4" localSheetId="23">#REF!</definedName>
    <definedName name="________xlnm._FilterDatabase_4" localSheetId="6">#REF!</definedName>
    <definedName name="________xlnm._FilterDatabase_4" localSheetId="10">#REF!</definedName>
    <definedName name="________xlnm._FilterDatabase_4">#REF!</definedName>
    <definedName name="________xlnm._FilterDatabase_5" localSheetId="23">#REF!</definedName>
    <definedName name="________xlnm._FilterDatabase_5" localSheetId="6">#REF!</definedName>
    <definedName name="________xlnm._FilterDatabase_5" localSheetId="10">#REF!</definedName>
    <definedName name="________xlnm._FilterDatabase_5">#REF!</definedName>
    <definedName name="________xlnm.Print_Area_1" localSheetId="23">#REF!</definedName>
    <definedName name="________xlnm.Print_Area_1" localSheetId="6">#REF!</definedName>
    <definedName name="________xlnm.Print_Area_1" localSheetId="10">#REF!</definedName>
    <definedName name="________xlnm.Print_Area_1">#REF!</definedName>
    <definedName name="________xlnm.Print_Area_10" localSheetId="23">#REF!</definedName>
    <definedName name="________xlnm.Print_Area_10" localSheetId="6">#REF!</definedName>
    <definedName name="________xlnm.Print_Area_10" localSheetId="10">#REF!</definedName>
    <definedName name="________xlnm.Print_Area_10">#REF!</definedName>
    <definedName name="________xlnm.Print_Area_11" localSheetId="23">#REF!</definedName>
    <definedName name="________xlnm.Print_Area_11" localSheetId="6">#REF!</definedName>
    <definedName name="________xlnm.Print_Area_11" localSheetId="10">#REF!</definedName>
    <definedName name="________xlnm.Print_Area_11">#REF!</definedName>
    <definedName name="________xlnm.Print_Area_13" localSheetId="23">#REF!</definedName>
    <definedName name="________xlnm.Print_Area_13" localSheetId="6">#REF!</definedName>
    <definedName name="________xlnm.Print_Area_13" localSheetId="10">#REF!</definedName>
    <definedName name="________xlnm.Print_Area_13">#REF!</definedName>
    <definedName name="________xlnm.Print_Area_2" localSheetId="23">#REF!</definedName>
    <definedName name="________xlnm.Print_Area_2" localSheetId="6">#REF!</definedName>
    <definedName name="________xlnm.Print_Area_2" localSheetId="10">#REF!</definedName>
    <definedName name="________xlnm.Print_Area_2">#REF!</definedName>
    <definedName name="________xlnm.Print_Area_3" localSheetId="23">#REF!</definedName>
    <definedName name="________xlnm.Print_Area_3" localSheetId="6">#REF!</definedName>
    <definedName name="________xlnm.Print_Area_3" localSheetId="10">#REF!</definedName>
    <definedName name="________xlnm.Print_Area_3">#REF!</definedName>
    <definedName name="________xlnm.Print_Area_4" localSheetId="23">#REF!</definedName>
    <definedName name="________xlnm.Print_Area_4" localSheetId="6">#REF!</definedName>
    <definedName name="________xlnm.Print_Area_4" localSheetId="10">#REF!</definedName>
    <definedName name="________xlnm.Print_Area_4">#REF!</definedName>
    <definedName name="________xlnm.Print_Area_5" localSheetId="23">#REF!</definedName>
    <definedName name="________xlnm.Print_Area_5" localSheetId="6">#REF!</definedName>
    <definedName name="________xlnm.Print_Area_5" localSheetId="10">#REF!</definedName>
    <definedName name="________xlnm.Print_Area_5">#REF!</definedName>
    <definedName name="________xlnm.Print_Area_6" localSheetId="23">#REF!</definedName>
    <definedName name="________xlnm.Print_Area_6" localSheetId="6">#REF!</definedName>
    <definedName name="________xlnm.Print_Area_6" localSheetId="10">#REF!</definedName>
    <definedName name="________xlnm.Print_Area_6">#REF!</definedName>
    <definedName name="________xlnm.Print_Area_7" localSheetId="23">#REF!</definedName>
    <definedName name="________xlnm.Print_Area_7" localSheetId="6">#REF!</definedName>
    <definedName name="________xlnm.Print_Area_7" localSheetId="10">#REF!</definedName>
    <definedName name="________xlnm.Print_Area_7">#REF!</definedName>
    <definedName name="________xlnm.Print_Area_8" localSheetId="23">#REF!</definedName>
    <definedName name="________xlnm.Print_Area_8" localSheetId="6">#REF!</definedName>
    <definedName name="________xlnm.Print_Area_8" localSheetId="10">#REF!</definedName>
    <definedName name="________xlnm.Print_Area_8">#REF!</definedName>
    <definedName name="________xlnm.Print_Area_9" localSheetId="23">#REF!</definedName>
    <definedName name="________xlnm.Print_Area_9" localSheetId="6">#REF!</definedName>
    <definedName name="________xlnm.Print_Area_9" localSheetId="10">#REF!</definedName>
    <definedName name="________xlnm.Print_Area_9">#REF!</definedName>
    <definedName name="________xlnm.Print_Titles" localSheetId="23">#REF!</definedName>
    <definedName name="________xlnm.Print_Titles" localSheetId="6">#REF!</definedName>
    <definedName name="________xlnm.Print_Titles" localSheetId="10">#REF!</definedName>
    <definedName name="________xlnm.Print_Titles">#REF!</definedName>
    <definedName name="________xlnm.Print_Titles_1" localSheetId="23">#REF!</definedName>
    <definedName name="________xlnm.Print_Titles_1" localSheetId="6">#REF!</definedName>
    <definedName name="________xlnm.Print_Titles_1" localSheetId="10">#REF!</definedName>
    <definedName name="________xlnm.Print_Titles_1">#REF!</definedName>
    <definedName name="________xlnm.Print_Titles_4" localSheetId="23">#REF!</definedName>
    <definedName name="________xlnm.Print_Titles_4" localSheetId="6">#REF!</definedName>
    <definedName name="________xlnm.Print_Titles_4" localSheetId="10">#REF!</definedName>
    <definedName name="________xlnm.Print_Titles_4">#REF!</definedName>
    <definedName name="________xlnm.Print_Titles_7" localSheetId="23">#REF!</definedName>
    <definedName name="________xlnm.Print_Titles_7" localSheetId="6">#REF!</definedName>
    <definedName name="________xlnm.Print_Titles_7" localSheetId="10">#REF!</definedName>
    <definedName name="________xlnm.Print_Titles_7">#REF!</definedName>
    <definedName name="_______dec05" localSheetId="11" hidden="1">{"'Sheet1'!$A$4386:$N$4591"}</definedName>
    <definedName name="_______dec05" localSheetId="10" hidden="1">{"'Sheet1'!$A$4386:$N$4591"}</definedName>
    <definedName name="_______dec05" hidden="1">{"'Sheet1'!$A$4386:$N$4591"}</definedName>
    <definedName name="_______IDA1" localSheetId="23">#REF!</definedName>
    <definedName name="_______IDA1" localSheetId="6">#REF!</definedName>
    <definedName name="_______IDA1" localSheetId="10">#REF!</definedName>
    <definedName name="_______IDA1">#REF!</definedName>
    <definedName name="_______in18900" localSheetId="23">#REF!</definedName>
    <definedName name="_______in18900" localSheetId="6">#REF!</definedName>
    <definedName name="_______in18900" localSheetId="10">#REF!</definedName>
    <definedName name="_______in18900">#REF!</definedName>
    <definedName name="_______iv19000" localSheetId="23">#REF!</definedName>
    <definedName name="_______iv19000" localSheetId="6">#REF!</definedName>
    <definedName name="_______iv19000" localSheetId="10">#REF!</definedName>
    <definedName name="_______iv19000">#REF!</definedName>
    <definedName name="_______xlnm._FilterDatabase_1" localSheetId="23">#REF!</definedName>
    <definedName name="_______xlnm._FilterDatabase_1" localSheetId="6">#REF!</definedName>
    <definedName name="_______xlnm._FilterDatabase_1" localSheetId="10">#REF!</definedName>
    <definedName name="_______xlnm._FilterDatabase_1">#REF!</definedName>
    <definedName name="_______xlnm._FilterDatabase_2" localSheetId="23">#REF!</definedName>
    <definedName name="_______xlnm._FilterDatabase_2" localSheetId="6">#REF!</definedName>
    <definedName name="_______xlnm._FilterDatabase_2" localSheetId="10">#REF!</definedName>
    <definedName name="_______xlnm._FilterDatabase_2">#REF!</definedName>
    <definedName name="_______xlnm._FilterDatabase_3" localSheetId="23">#REF!</definedName>
    <definedName name="_______xlnm._FilterDatabase_3" localSheetId="6">#REF!</definedName>
    <definedName name="_______xlnm._FilterDatabase_3" localSheetId="10">#REF!</definedName>
    <definedName name="_______xlnm._FilterDatabase_3">#REF!</definedName>
    <definedName name="_______xlnm._FilterDatabase_4" localSheetId="23">#REF!</definedName>
    <definedName name="_______xlnm._FilterDatabase_4" localSheetId="6">#REF!</definedName>
    <definedName name="_______xlnm._FilterDatabase_4" localSheetId="10">#REF!</definedName>
    <definedName name="_______xlnm._FilterDatabase_4">#REF!</definedName>
    <definedName name="_______xlnm._FilterDatabase_5" localSheetId="23">#REF!</definedName>
    <definedName name="_______xlnm._FilterDatabase_5" localSheetId="6">#REF!</definedName>
    <definedName name="_______xlnm._FilterDatabase_5" localSheetId="10">#REF!</definedName>
    <definedName name="_______xlnm._FilterDatabase_5">#REF!</definedName>
    <definedName name="_______xlnm.Print_Area_1" localSheetId="23">#REF!</definedName>
    <definedName name="_______xlnm.Print_Area_1" localSheetId="6">#REF!</definedName>
    <definedName name="_______xlnm.Print_Area_1" localSheetId="10">#REF!</definedName>
    <definedName name="_______xlnm.Print_Area_1">#REF!</definedName>
    <definedName name="_______xlnm.Print_Area_10" localSheetId="23">#REF!</definedName>
    <definedName name="_______xlnm.Print_Area_10" localSheetId="6">#REF!</definedName>
    <definedName name="_______xlnm.Print_Area_10" localSheetId="10">#REF!</definedName>
    <definedName name="_______xlnm.Print_Area_10">#REF!</definedName>
    <definedName name="_______xlnm.Print_Area_11" localSheetId="23">#REF!</definedName>
    <definedName name="_______xlnm.Print_Area_11" localSheetId="6">#REF!</definedName>
    <definedName name="_______xlnm.Print_Area_11" localSheetId="10">#REF!</definedName>
    <definedName name="_______xlnm.Print_Area_11">#REF!</definedName>
    <definedName name="_______xlnm.Print_Area_13" localSheetId="23">#REF!</definedName>
    <definedName name="_______xlnm.Print_Area_13" localSheetId="6">#REF!</definedName>
    <definedName name="_______xlnm.Print_Area_13" localSheetId="10">#REF!</definedName>
    <definedName name="_______xlnm.Print_Area_13">#REF!</definedName>
    <definedName name="_______xlnm.Print_Area_2" localSheetId="23">#REF!</definedName>
    <definedName name="_______xlnm.Print_Area_2" localSheetId="6">#REF!</definedName>
    <definedName name="_______xlnm.Print_Area_2" localSheetId="10">#REF!</definedName>
    <definedName name="_______xlnm.Print_Area_2">#REF!</definedName>
    <definedName name="_______xlnm.Print_Area_3" localSheetId="23">#REF!</definedName>
    <definedName name="_______xlnm.Print_Area_3" localSheetId="6">#REF!</definedName>
    <definedName name="_______xlnm.Print_Area_3" localSheetId="10">#REF!</definedName>
    <definedName name="_______xlnm.Print_Area_3">#REF!</definedName>
    <definedName name="_______xlnm.Print_Area_4" localSheetId="23">#REF!</definedName>
    <definedName name="_______xlnm.Print_Area_4" localSheetId="6">#REF!</definedName>
    <definedName name="_______xlnm.Print_Area_4" localSheetId="10">#REF!</definedName>
    <definedName name="_______xlnm.Print_Area_4">#REF!</definedName>
    <definedName name="_______xlnm.Print_Area_5" localSheetId="23">#REF!</definedName>
    <definedName name="_______xlnm.Print_Area_5" localSheetId="6">#REF!</definedName>
    <definedName name="_______xlnm.Print_Area_5" localSheetId="10">#REF!</definedName>
    <definedName name="_______xlnm.Print_Area_5">#REF!</definedName>
    <definedName name="_______xlnm.Print_Area_6" localSheetId="23">#REF!</definedName>
    <definedName name="_______xlnm.Print_Area_6" localSheetId="6">#REF!</definedName>
    <definedName name="_______xlnm.Print_Area_6" localSheetId="10">#REF!</definedName>
    <definedName name="_______xlnm.Print_Area_6">#REF!</definedName>
    <definedName name="_______xlnm.Print_Area_7" localSheetId="23">#REF!</definedName>
    <definedName name="_______xlnm.Print_Area_7" localSheetId="6">#REF!</definedName>
    <definedName name="_______xlnm.Print_Area_7" localSheetId="10">#REF!</definedName>
    <definedName name="_______xlnm.Print_Area_7">#REF!</definedName>
    <definedName name="_______xlnm.Print_Area_8" localSheetId="23">#REF!</definedName>
    <definedName name="_______xlnm.Print_Area_8" localSheetId="6">#REF!</definedName>
    <definedName name="_______xlnm.Print_Area_8" localSheetId="10">#REF!</definedName>
    <definedName name="_______xlnm.Print_Area_8">#REF!</definedName>
    <definedName name="_______xlnm.Print_Area_9" localSheetId="23">#REF!</definedName>
    <definedName name="_______xlnm.Print_Area_9" localSheetId="6">#REF!</definedName>
    <definedName name="_______xlnm.Print_Area_9" localSheetId="10">#REF!</definedName>
    <definedName name="_______xlnm.Print_Area_9">#REF!</definedName>
    <definedName name="_______xlnm.Print_Titles" localSheetId="23">#REF!</definedName>
    <definedName name="_______xlnm.Print_Titles" localSheetId="6">#REF!</definedName>
    <definedName name="_______xlnm.Print_Titles" localSheetId="10">#REF!</definedName>
    <definedName name="_______xlnm.Print_Titles">#REF!</definedName>
    <definedName name="_______xlnm.Print_Titles_1" localSheetId="23">#REF!</definedName>
    <definedName name="_______xlnm.Print_Titles_1" localSheetId="6">#REF!</definedName>
    <definedName name="_______xlnm.Print_Titles_1" localSheetId="10">#REF!</definedName>
    <definedName name="_______xlnm.Print_Titles_1">#REF!</definedName>
    <definedName name="_______xlnm.Print_Titles_4" localSheetId="23">#REF!</definedName>
    <definedName name="_______xlnm.Print_Titles_4" localSheetId="6">#REF!</definedName>
    <definedName name="_______xlnm.Print_Titles_4" localSheetId="10">#REF!</definedName>
    <definedName name="_______xlnm.Print_Titles_4">#REF!</definedName>
    <definedName name="_______xlnm.Print_Titles_7" localSheetId="23">#REF!</definedName>
    <definedName name="_______xlnm.Print_Titles_7" localSheetId="6">#REF!</definedName>
    <definedName name="_______xlnm.Print_Titles_7" localSheetId="10">#REF!</definedName>
    <definedName name="_______xlnm.Print_Titles_7">#REF!</definedName>
    <definedName name="______dec05" localSheetId="11" hidden="1">{"'Sheet1'!$A$4386:$N$4591"}</definedName>
    <definedName name="______dec05" localSheetId="10" hidden="1">{"'Sheet1'!$A$4386:$N$4591"}</definedName>
    <definedName name="______dec05" hidden="1">{"'Sheet1'!$A$4386:$N$4591"}</definedName>
    <definedName name="______IDA1" localSheetId="23">#REF!</definedName>
    <definedName name="______IDA1" localSheetId="6">#REF!</definedName>
    <definedName name="______IDA1" localSheetId="10">#REF!</definedName>
    <definedName name="______IDA1">#REF!</definedName>
    <definedName name="______in18900" localSheetId="23">#REF!</definedName>
    <definedName name="______in18900" localSheetId="6">#REF!</definedName>
    <definedName name="______in18900" localSheetId="10">#REF!</definedName>
    <definedName name="______in18900">#REF!</definedName>
    <definedName name="______iv19000" localSheetId="23">#REF!</definedName>
    <definedName name="______iv19000" localSheetId="6">#REF!</definedName>
    <definedName name="______iv19000" localSheetId="10">#REF!</definedName>
    <definedName name="______iv19000">#REF!</definedName>
    <definedName name="______xlnm._FilterDatabase_1" localSheetId="23">#REF!</definedName>
    <definedName name="______xlnm._FilterDatabase_1" localSheetId="6">#REF!</definedName>
    <definedName name="______xlnm._FilterDatabase_1" localSheetId="10">#REF!</definedName>
    <definedName name="______xlnm._FilterDatabase_1">#REF!</definedName>
    <definedName name="______xlnm._FilterDatabase_2" localSheetId="23">#REF!</definedName>
    <definedName name="______xlnm._FilterDatabase_2" localSheetId="6">#REF!</definedName>
    <definedName name="______xlnm._FilterDatabase_2" localSheetId="10">#REF!</definedName>
    <definedName name="______xlnm._FilterDatabase_2">#REF!</definedName>
    <definedName name="______xlnm._FilterDatabase_3" localSheetId="23">#REF!</definedName>
    <definedName name="______xlnm._FilterDatabase_3" localSheetId="6">#REF!</definedName>
    <definedName name="______xlnm._FilterDatabase_3" localSheetId="10">#REF!</definedName>
    <definedName name="______xlnm._FilterDatabase_3">#REF!</definedName>
    <definedName name="______xlnm._FilterDatabase_4" localSheetId="23">#REF!</definedName>
    <definedName name="______xlnm._FilterDatabase_4" localSheetId="6">#REF!</definedName>
    <definedName name="______xlnm._FilterDatabase_4" localSheetId="10">#REF!</definedName>
    <definedName name="______xlnm._FilterDatabase_4">#REF!</definedName>
    <definedName name="______xlnm._FilterDatabase_5" localSheetId="23">#REF!</definedName>
    <definedName name="______xlnm._FilterDatabase_5" localSheetId="6">#REF!</definedName>
    <definedName name="______xlnm._FilterDatabase_5" localSheetId="10">#REF!</definedName>
    <definedName name="______xlnm._FilterDatabase_5">#REF!</definedName>
    <definedName name="______xlnm.Print_Area_1" localSheetId="23">#REF!</definedName>
    <definedName name="______xlnm.Print_Area_1" localSheetId="6">#REF!</definedName>
    <definedName name="______xlnm.Print_Area_1" localSheetId="10">#REF!</definedName>
    <definedName name="______xlnm.Print_Area_1">#REF!</definedName>
    <definedName name="______xlnm.Print_Area_10" localSheetId="23">#REF!</definedName>
    <definedName name="______xlnm.Print_Area_10" localSheetId="6">#REF!</definedName>
    <definedName name="______xlnm.Print_Area_10" localSheetId="10">#REF!</definedName>
    <definedName name="______xlnm.Print_Area_10">#REF!</definedName>
    <definedName name="______xlnm.Print_Area_11" localSheetId="23">#REF!</definedName>
    <definedName name="______xlnm.Print_Area_11" localSheetId="6">#REF!</definedName>
    <definedName name="______xlnm.Print_Area_11" localSheetId="10">#REF!</definedName>
    <definedName name="______xlnm.Print_Area_11">#REF!</definedName>
    <definedName name="______xlnm.Print_Area_13" localSheetId="23">#REF!</definedName>
    <definedName name="______xlnm.Print_Area_13" localSheetId="6">#REF!</definedName>
    <definedName name="______xlnm.Print_Area_13" localSheetId="10">#REF!</definedName>
    <definedName name="______xlnm.Print_Area_13">#REF!</definedName>
    <definedName name="______xlnm.Print_Area_2" localSheetId="23">#REF!</definedName>
    <definedName name="______xlnm.Print_Area_2" localSheetId="6">#REF!</definedName>
    <definedName name="______xlnm.Print_Area_2" localSheetId="10">#REF!</definedName>
    <definedName name="______xlnm.Print_Area_2">#REF!</definedName>
    <definedName name="______xlnm.Print_Area_3" localSheetId="23">#REF!</definedName>
    <definedName name="______xlnm.Print_Area_3" localSheetId="6">#REF!</definedName>
    <definedName name="______xlnm.Print_Area_3" localSheetId="10">#REF!</definedName>
    <definedName name="______xlnm.Print_Area_3">#REF!</definedName>
    <definedName name="______xlnm.Print_Area_4" localSheetId="23">#REF!</definedName>
    <definedName name="______xlnm.Print_Area_4" localSheetId="6">#REF!</definedName>
    <definedName name="______xlnm.Print_Area_4" localSheetId="10">#REF!</definedName>
    <definedName name="______xlnm.Print_Area_4">#REF!</definedName>
    <definedName name="______xlnm.Print_Area_5" localSheetId="23">#REF!</definedName>
    <definedName name="______xlnm.Print_Area_5" localSheetId="6">#REF!</definedName>
    <definedName name="______xlnm.Print_Area_5" localSheetId="10">#REF!</definedName>
    <definedName name="______xlnm.Print_Area_5">#REF!</definedName>
    <definedName name="______xlnm.Print_Area_6" localSheetId="23">#REF!</definedName>
    <definedName name="______xlnm.Print_Area_6" localSheetId="6">#REF!</definedName>
    <definedName name="______xlnm.Print_Area_6" localSheetId="10">#REF!</definedName>
    <definedName name="______xlnm.Print_Area_6">#REF!</definedName>
    <definedName name="______xlnm.Print_Area_7" localSheetId="23">#REF!</definedName>
    <definedName name="______xlnm.Print_Area_7" localSheetId="6">#REF!</definedName>
    <definedName name="______xlnm.Print_Area_7" localSheetId="10">#REF!</definedName>
    <definedName name="______xlnm.Print_Area_7">#REF!</definedName>
    <definedName name="______xlnm.Print_Area_8" localSheetId="23">#REF!</definedName>
    <definedName name="______xlnm.Print_Area_8" localSheetId="6">#REF!</definedName>
    <definedName name="______xlnm.Print_Area_8" localSheetId="10">#REF!</definedName>
    <definedName name="______xlnm.Print_Area_8">#REF!</definedName>
    <definedName name="______xlnm.Print_Area_9" localSheetId="23">#REF!</definedName>
    <definedName name="______xlnm.Print_Area_9" localSheetId="6">#REF!</definedName>
    <definedName name="______xlnm.Print_Area_9" localSheetId="10">#REF!</definedName>
    <definedName name="______xlnm.Print_Area_9">#REF!</definedName>
    <definedName name="______xlnm.Print_Titles" localSheetId="23">#REF!</definedName>
    <definedName name="______xlnm.Print_Titles" localSheetId="6">#REF!</definedName>
    <definedName name="______xlnm.Print_Titles" localSheetId="10">#REF!</definedName>
    <definedName name="______xlnm.Print_Titles">#REF!</definedName>
    <definedName name="______xlnm.Print_Titles_1" localSheetId="23">#REF!</definedName>
    <definedName name="______xlnm.Print_Titles_1" localSheetId="6">#REF!</definedName>
    <definedName name="______xlnm.Print_Titles_1" localSheetId="10">#REF!</definedName>
    <definedName name="______xlnm.Print_Titles_1">#REF!</definedName>
    <definedName name="______xlnm.Print_Titles_4" localSheetId="23">#REF!</definedName>
    <definedName name="______xlnm.Print_Titles_4" localSheetId="6">#REF!</definedName>
    <definedName name="______xlnm.Print_Titles_4" localSheetId="10">#REF!</definedName>
    <definedName name="______xlnm.Print_Titles_4">#REF!</definedName>
    <definedName name="______xlnm.Print_Titles_7" localSheetId="23">#REF!</definedName>
    <definedName name="______xlnm.Print_Titles_7" localSheetId="6">#REF!</definedName>
    <definedName name="______xlnm.Print_Titles_7" localSheetId="10">#REF!</definedName>
    <definedName name="______xlnm.Print_Titles_7">#REF!</definedName>
    <definedName name="_____dec05" localSheetId="11" hidden="1">{"'Sheet1'!$A$4386:$N$4591"}</definedName>
    <definedName name="_____dec05" localSheetId="10" hidden="1">{"'Sheet1'!$A$4386:$N$4591"}</definedName>
    <definedName name="_____dec05" hidden="1">{"'Sheet1'!$A$4386:$N$4591"}</definedName>
    <definedName name="_____IDA1" localSheetId="23">#REF!</definedName>
    <definedName name="_____IDA1" localSheetId="6">#REF!</definedName>
    <definedName name="_____IDA1" localSheetId="10">#REF!</definedName>
    <definedName name="_____IDA1">#REF!</definedName>
    <definedName name="_____in18900" localSheetId="23">#REF!</definedName>
    <definedName name="_____in18900" localSheetId="6">#REF!</definedName>
    <definedName name="_____in18900" localSheetId="10">#REF!</definedName>
    <definedName name="_____in18900">#REF!</definedName>
    <definedName name="_____iv19000" localSheetId="23">#REF!</definedName>
    <definedName name="_____iv19000" localSheetId="6">#REF!</definedName>
    <definedName name="_____iv19000" localSheetId="10">#REF!</definedName>
    <definedName name="_____iv19000">#REF!</definedName>
    <definedName name="_____xlnm._FilterDatabase" localSheetId="23">#REF!</definedName>
    <definedName name="_____xlnm._FilterDatabase" localSheetId="6">#REF!</definedName>
    <definedName name="_____xlnm._FilterDatabase" localSheetId="10">#REF!</definedName>
    <definedName name="_____xlnm._FilterDatabase">#REF!</definedName>
    <definedName name="_____xlnm._FilterDatabase_1" localSheetId="23">#REF!</definedName>
    <definedName name="_____xlnm._FilterDatabase_1" localSheetId="6">#REF!</definedName>
    <definedName name="_____xlnm._FilterDatabase_1" localSheetId="10">#REF!</definedName>
    <definedName name="_____xlnm._FilterDatabase_1">#REF!</definedName>
    <definedName name="_____xlnm._FilterDatabase_2" localSheetId="23">#REF!</definedName>
    <definedName name="_____xlnm._FilterDatabase_2" localSheetId="6">#REF!</definedName>
    <definedName name="_____xlnm._FilterDatabase_2" localSheetId="10">#REF!</definedName>
    <definedName name="_____xlnm._FilterDatabase_2">#REF!</definedName>
    <definedName name="_____xlnm._FilterDatabase_3" localSheetId="23">#REF!</definedName>
    <definedName name="_____xlnm._FilterDatabase_3" localSheetId="6">#REF!</definedName>
    <definedName name="_____xlnm._FilterDatabase_3" localSheetId="10">#REF!</definedName>
    <definedName name="_____xlnm._FilterDatabase_3">#REF!</definedName>
    <definedName name="_____xlnm._FilterDatabase_4" localSheetId="23">#REF!</definedName>
    <definedName name="_____xlnm._FilterDatabase_4" localSheetId="6">#REF!</definedName>
    <definedName name="_____xlnm._FilterDatabase_4" localSheetId="10">#REF!</definedName>
    <definedName name="_____xlnm._FilterDatabase_4">#REF!</definedName>
    <definedName name="_____xlnm._FilterDatabase_5" localSheetId="23">#REF!</definedName>
    <definedName name="_____xlnm._FilterDatabase_5" localSheetId="6">#REF!</definedName>
    <definedName name="_____xlnm._FilterDatabase_5" localSheetId="10">#REF!</definedName>
    <definedName name="_____xlnm._FilterDatabase_5">#REF!</definedName>
    <definedName name="_____xlnm.Print_Area_1" localSheetId="23">#REF!</definedName>
    <definedName name="_____xlnm.Print_Area_1" localSheetId="6">#REF!</definedName>
    <definedName name="_____xlnm.Print_Area_1" localSheetId="10">#REF!</definedName>
    <definedName name="_____xlnm.Print_Area_1">#REF!</definedName>
    <definedName name="_____xlnm.Print_Area_10" localSheetId="23">#REF!</definedName>
    <definedName name="_____xlnm.Print_Area_10" localSheetId="6">#REF!</definedName>
    <definedName name="_____xlnm.Print_Area_10" localSheetId="10">#REF!</definedName>
    <definedName name="_____xlnm.Print_Area_10">#REF!</definedName>
    <definedName name="_____xlnm.Print_Area_11" localSheetId="23">#REF!</definedName>
    <definedName name="_____xlnm.Print_Area_11" localSheetId="6">#REF!</definedName>
    <definedName name="_____xlnm.Print_Area_11" localSheetId="10">#REF!</definedName>
    <definedName name="_____xlnm.Print_Area_11">#REF!</definedName>
    <definedName name="_____xlnm.Print_Area_13" localSheetId="23">#REF!</definedName>
    <definedName name="_____xlnm.Print_Area_13" localSheetId="6">#REF!</definedName>
    <definedName name="_____xlnm.Print_Area_13" localSheetId="10">#REF!</definedName>
    <definedName name="_____xlnm.Print_Area_13">#REF!</definedName>
    <definedName name="_____xlnm.Print_Area_2" localSheetId="23">#REF!</definedName>
    <definedName name="_____xlnm.Print_Area_2" localSheetId="6">#REF!</definedName>
    <definedName name="_____xlnm.Print_Area_2" localSheetId="10">#REF!</definedName>
    <definedName name="_____xlnm.Print_Area_2">#REF!</definedName>
    <definedName name="_____xlnm.Print_Area_3" localSheetId="23">#REF!</definedName>
    <definedName name="_____xlnm.Print_Area_3" localSheetId="6">#REF!</definedName>
    <definedName name="_____xlnm.Print_Area_3" localSheetId="10">#REF!</definedName>
    <definedName name="_____xlnm.Print_Area_3">#REF!</definedName>
    <definedName name="_____xlnm.Print_Area_4" localSheetId="23">#REF!</definedName>
    <definedName name="_____xlnm.Print_Area_4" localSheetId="6">#REF!</definedName>
    <definedName name="_____xlnm.Print_Area_4" localSheetId="10">#REF!</definedName>
    <definedName name="_____xlnm.Print_Area_4">#REF!</definedName>
    <definedName name="_____xlnm.Print_Area_5" localSheetId="23">#REF!</definedName>
    <definedName name="_____xlnm.Print_Area_5" localSheetId="6">#REF!</definedName>
    <definedName name="_____xlnm.Print_Area_5" localSheetId="10">#REF!</definedName>
    <definedName name="_____xlnm.Print_Area_5">#REF!</definedName>
    <definedName name="_____xlnm.Print_Area_6" localSheetId="23">#REF!</definedName>
    <definedName name="_____xlnm.Print_Area_6" localSheetId="6">#REF!</definedName>
    <definedName name="_____xlnm.Print_Area_6" localSheetId="10">#REF!</definedName>
    <definedName name="_____xlnm.Print_Area_6">#REF!</definedName>
    <definedName name="_____xlnm.Print_Area_7" localSheetId="23">#REF!</definedName>
    <definedName name="_____xlnm.Print_Area_7" localSheetId="6">#REF!</definedName>
    <definedName name="_____xlnm.Print_Area_7" localSheetId="10">#REF!</definedName>
    <definedName name="_____xlnm.Print_Area_7">#REF!</definedName>
    <definedName name="_____xlnm.Print_Area_8" localSheetId="23">#REF!</definedName>
    <definedName name="_____xlnm.Print_Area_8" localSheetId="6">#REF!</definedName>
    <definedName name="_____xlnm.Print_Area_8" localSheetId="10">#REF!</definedName>
    <definedName name="_____xlnm.Print_Area_8">#REF!</definedName>
    <definedName name="_____xlnm.Print_Area_9" localSheetId="23">#REF!</definedName>
    <definedName name="_____xlnm.Print_Area_9" localSheetId="6">#REF!</definedName>
    <definedName name="_____xlnm.Print_Area_9" localSheetId="10">#REF!</definedName>
    <definedName name="_____xlnm.Print_Area_9">#REF!</definedName>
    <definedName name="_____xlnm.Print_Titles" localSheetId="23">#REF!</definedName>
    <definedName name="_____xlnm.Print_Titles" localSheetId="6">#REF!</definedName>
    <definedName name="_____xlnm.Print_Titles" localSheetId="10">#REF!</definedName>
    <definedName name="_____xlnm.Print_Titles">#REF!</definedName>
    <definedName name="_____xlnm.Print_Titles_1" localSheetId="23">#REF!</definedName>
    <definedName name="_____xlnm.Print_Titles_1" localSheetId="6">#REF!</definedName>
    <definedName name="_____xlnm.Print_Titles_1" localSheetId="10">#REF!</definedName>
    <definedName name="_____xlnm.Print_Titles_1">#REF!</definedName>
    <definedName name="_____xlnm.Print_Titles_4" localSheetId="23">#REF!</definedName>
    <definedName name="_____xlnm.Print_Titles_4" localSheetId="6">#REF!</definedName>
    <definedName name="_____xlnm.Print_Titles_4" localSheetId="10">#REF!</definedName>
    <definedName name="_____xlnm.Print_Titles_4">#REF!</definedName>
    <definedName name="_____xlnm.Print_Titles_7" localSheetId="23">#REF!</definedName>
    <definedName name="_____xlnm.Print_Titles_7" localSheetId="6">#REF!</definedName>
    <definedName name="_____xlnm.Print_Titles_7" localSheetId="10">#REF!</definedName>
    <definedName name="_____xlnm.Print_Titles_7">#REF!</definedName>
    <definedName name="____CBR220" localSheetId="23">#REF!</definedName>
    <definedName name="____CBR220" localSheetId="6">#REF!</definedName>
    <definedName name="____CBR220" localSheetId="10">#REF!</definedName>
    <definedName name="____CBR220">#REF!</definedName>
    <definedName name="____CBR500" localSheetId="23">#REF!</definedName>
    <definedName name="____CBR500" localSheetId="6">#REF!</definedName>
    <definedName name="____CBR500" localSheetId="10">#REF!</definedName>
    <definedName name="____CBR500">#REF!</definedName>
    <definedName name="____CTR220" localSheetId="23">#REF!</definedName>
    <definedName name="____CTR220" localSheetId="6">#REF!</definedName>
    <definedName name="____CTR220" localSheetId="10">#REF!</definedName>
    <definedName name="____CTR220">#REF!</definedName>
    <definedName name="____CTR500" localSheetId="23">#REF!</definedName>
    <definedName name="____CTR500" localSheetId="6">#REF!</definedName>
    <definedName name="____CTR500" localSheetId="10">#REF!</definedName>
    <definedName name="____CTR500">#REF!</definedName>
    <definedName name="____CVT220" localSheetId="23">#REF!</definedName>
    <definedName name="____CVT220" localSheetId="6">#REF!</definedName>
    <definedName name="____CVT220" localSheetId="10">#REF!</definedName>
    <definedName name="____CVT220">#REF!</definedName>
    <definedName name="____CVT500" localSheetId="23">#REF!</definedName>
    <definedName name="____CVT500" localSheetId="6">#REF!</definedName>
    <definedName name="____CVT500" localSheetId="10">#REF!</definedName>
    <definedName name="____CVT500">#REF!</definedName>
    <definedName name="____dec05" localSheetId="11" hidden="1">{"'Sheet1'!$A$4386:$N$4591"}</definedName>
    <definedName name="____dec05" localSheetId="10" hidden="1">{"'Sheet1'!$A$4386:$N$4591"}</definedName>
    <definedName name="____dec05" hidden="1">{"'Sheet1'!$A$4386:$N$4591"}</definedName>
    <definedName name="____IDA1" localSheetId="23">#REF!</definedName>
    <definedName name="____IDA1" localSheetId="6">#REF!</definedName>
    <definedName name="____IDA1" localSheetId="10">#REF!</definedName>
    <definedName name="____IDA1">#REF!</definedName>
    <definedName name="____IDC2" localSheetId="23">#REF!</definedName>
    <definedName name="____IDC2" localSheetId="6">#REF!</definedName>
    <definedName name="____IDC2" localSheetId="10">#REF!</definedName>
    <definedName name="____IDC2">#REF!</definedName>
    <definedName name="____IDC21" localSheetId="23">#REF!</definedName>
    <definedName name="____IDC21" localSheetId="6">#REF!</definedName>
    <definedName name="____IDC21" localSheetId="10">#REF!</definedName>
    <definedName name="____IDC21">#REF!</definedName>
    <definedName name="____IDC22" localSheetId="23">#REF!</definedName>
    <definedName name="____IDC22" localSheetId="6">#REF!</definedName>
    <definedName name="____IDC22" localSheetId="10">#REF!</definedName>
    <definedName name="____IDC22">#REF!</definedName>
    <definedName name="____IDC23" localSheetId="23">#REF!</definedName>
    <definedName name="____IDC23" localSheetId="6">#REF!</definedName>
    <definedName name="____IDC23" localSheetId="10">#REF!</definedName>
    <definedName name="____IDC23">#REF!</definedName>
    <definedName name="____idc3" localSheetId="23">#REF!</definedName>
    <definedName name="____idc3" localSheetId="6">#REF!</definedName>
    <definedName name="____idc3" localSheetId="10">#REF!</definedName>
    <definedName name="____idc3">#REF!</definedName>
    <definedName name="____in18900" localSheetId="23">#REF!</definedName>
    <definedName name="____in18900" localSheetId="6">#REF!</definedName>
    <definedName name="____in18900" localSheetId="10">#REF!</definedName>
    <definedName name="____in18900">#REF!</definedName>
    <definedName name="____iv19000" localSheetId="23">#REF!</definedName>
    <definedName name="____iv19000" localSheetId="6">#REF!</definedName>
    <definedName name="____iv19000" localSheetId="10">#REF!</definedName>
    <definedName name="____iv19000">#REF!</definedName>
    <definedName name="____LAR220" localSheetId="23">#REF!</definedName>
    <definedName name="____LAR220" localSheetId="6">#REF!</definedName>
    <definedName name="____LAR220" localSheetId="10">#REF!</definedName>
    <definedName name="____LAR220">#REF!</definedName>
    <definedName name="____LAR500" localSheetId="23">#REF!</definedName>
    <definedName name="____LAR500" localSheetId="6">#REF!</definedName>
    <definedName name="____LAR500" localSheetId="10">#REF!</definedName>
    <definedName name="____LAR500">#REF!</definedName>
    <definedName name="____LTR220" localSheetId="23">#REF!</definedName>
    <definedName name="____LTR220" localSheetId="6">#REF!</definedName>
    <definedName name="____LTR220" localSheetId="10">#REF!</definedName>
    <definedName name="____LTR220">#REF!</definedName>
    <definedName name="____LTR500" localSheetId="23">#REF!</definedName>
    <definedName name="____LTR500" localSheetId="6">#REF!</definedName>
    <definedName name="____LTR500" localSheetId="10">#REF!</definedName>
    <definedName name="____LTR500">#REF!</definedName>
    <definedName name="____PLC220" localSheetId="23">#REF!</definedName>
    <definedName name="____PLC220" localSheetId="6">#REF!</definedName>
    <definedName name="____PLC220" localSheetId="10">#REF!</definedName>
    <definedName name="____PLC220">#REF!</definedName>
    <definedName name="____RE220" localSheetId="23">#REF!</definedName>
    <definedName name="____RE220" localSheetId="6">#REF!</definedName>
    <definedName name="____RE220" localSheetId="10">#REF!</definedName>
    <definedName name="____RE220">#REF!</definedName>
    <definedName name="____RE500" localSheetId="23">#REF!</definedName>
    <definedName name="____RE500" localSheetId="6">#REF!</definedName>
    <definedName name="____RE500" localSheetId="10">#REF!</definedName>
    <definedName name="____RE500">#REF!</definedName>
    <definedName name="____TR220" localSheetId="23">#REF!</definedName>
    <definedName name="____TR220" localSheetId="6">#REF!</definedName>
    <definedName name="____TR220" localSheetId="10">#REF!</definedName>
    <definedName name="____TR220">#REF!</definedName>
    <definedName name="____TR500" localSheetId="23">#REF!</definedName>
    <definedName name="____TR500" localSheetId="6">#REF!</definedName>
    <definedName name="____TR500" localSheetId="10">#REF!</definedName>
    <definedName name="____TR500">#REF!</definedName>
    <definedName name="____xlnm._FilterDatabase" localSheetId="23">#REF!</definedName>
    <definedName name="____xlnm._FilterDatabase" localSheetId="6">#REF!</definedName>
    <definedName name="____xlnm._FilterDatabase" localSheetId="10">#REF!</definedName>
    <definedName name="____xlnm._FilterDatabase">#REF!</definedName>
    <definedName name="____xlnm._FilterDatabase_1" localSheetId="23">#REF!</definedName>
    <definedName name="____xlnm._FilterDatabase_1" localSheetId="6">#REF!</definedName>
    <definedName name="____xlnm._FilterDatabase_1" localSheetId="10">#REF!</definedName>
    <definedName name="____xlnm._FilterDatabase_1">#REF!</definedName>
    <definedName name="____xlnm._FilterDatabase_2" localSheetId="23">#REF!</definedName>
    <definedName name="____xlnm._FilterDatabase_2" localSheetId="6">#REF!</definedName>
    <definedName name="____xlnm._FilterDatabase_2" localSheetId="10">#REF!</definedName>
    <definedName name="____xlnm._FilterDatabase_2">#REF!</definedName>
    <definedName name="____xlnm._FilterDatabase_3" localSheetId="23">#REF!</definedName>
    <definedName name="____xlnm._FilterDatabase_3" localSheetId="6">#REF!</definedName>
    <definedName name="____xlnm._FilterDatabase_3" localSheetId="10">#REF!</definedName>
    <definedName name="____xlnm._FilterDatabase_3">#REF!</definedName>
    <definedName name="____xlnm._FilterDatabase_4" localSheetId="23">#REF!</definedName>
    <definedName name="____xlnm._FilterDatabase_4" localSheetId="6">#REF!</definedName>
    <definedName name="____xlnm._FilterDatabase_4" localSheetId="10">#REF!</definedName>
    <definedName name="____xlnm._FilterDatabase_4">#REF!</definedName>
    <definedName name="____xlnm._FilterDatabase_5" localSheetId="23">#REF!</definedName>
    <definedName name="____xlnm._FilterDatabase_5" localSheetId="6">#REF!</definedName>
    <definedName name="____xlnm._FilterDatabase_5" localSheetId="10">#REF!</definedName>
    <definedName name="____xlnm._FilterDatabase_5">#REF!</definedName>
    <definedName name="____xlnm.Print_Area" localSheetId="23">#REF!</definedName>
    <definedName name="____xlnm.Print_Area" localSheetId="6">#REF!</definedName>
    <definedName name="____xlnm.Print_Area" localSheetId="10">#REF!</definedName>
    <definedName name="____xlnm.Print_Area">#REF!</definedName>
    <definedName name="____xlnm.Print_Area_1" localSheetId="23">#REF!</definedName>
    <definedName name="____xlnm.Print_Area_1" localSheetId="6">#REF!</definedName>
    <definedName name="____xlnm.Print_Area_1" localSheetId="10">#REF!</definedName>
    <definedName name="____xlnm.Print_Area_1">#REF!</definedName>
    <definedName name="____xlnm.Print_Area_10" localSheetId="23">#REF!</definedName>
    <definedName name="____xlnm.Print_Area_10" localSheetId="6">#REF!</definedName>
    <definedName name="____xlnm.Print_Area_10" localSheetId="10">#REF!</definedName>
    <definedName name="____xlnm.Print_Area_10">#REF!</definedName>
    <definedName name="____xlnm.Print_Area_11" localSheetId="23">#REF!</definedName>
    <definedName name="____xlnm.Print_Area_11" localSheetId="6">#REF!</definedName>
    <definedName name="____xlnm.Print_Area_11" localSheetId="10">#REF!</definedName>
    <definedName name="____xlnm.Print_Area_11">#REF!</definedName>
    <definedName name="____xlnm.Print_Area_13" localSheetId="23">#REF!</definedName>
    <definedName name="____xlnm.Print_Area_13" localSheetId="6">#REF!</definedName>
    <definedName name="____xlnm.Print_Area_13" localSheetId="10">#REF!</definedName>
    <definedName name="____xlnm.Print_Area_13">#REF!</definedName>
    <definedName name="____xlnm.Print_Area_2" localSheetId="23">#REF!</definedName>
    <definedName name="____xlnm.Print_Area_2" localSheetId="6">#REF!</definedName>
    <definedName name="____xlnm.Print_Area_2" localSheetId="10">#REF!</definedName>
    <definedName name="____xlnm.Print_Area_2">#REF!</definedName>
    <definedName name="____xlnm.Print_Area_3" localSheetId="23">#REF!</definedName>
    <definedName name="____xlnm.Print_Area_3" localSheetId="6">#REF!</definedName>
    <definedName name="____xlnm.Print_Area_3" localSheetId="10">#REF!</definedName>
    <definedName name="____xlnm.Print_Area_3">#REF!</definedName>
    <definedName name="____xlnm.Print_Area_4" localSheetId="23">#REF!</definedName>
    <definedName name="____xlnm.Print_Area_4" localSheetId="6">#REF!</definedName>
    <definedName name="____xlnm.Print_Area_4" localSheetId="10">#REF!</definedName>
    <definedName name="____xlnm.Print_Area_4">#REF!</definedName>
    <definedName name="____xlnm.Print_Area_5" localSheetId="23">#REF!</definedName>
    <definedName name="____xlnm.Print_Area_5" localSheetId="6">#REF!</definedName>
    <definedName name="____xlnm.Print_Area_5" localSheetId="10">#REF!</definedName>
    <definedName name="____xlnm.Print_Area_5">#REF!</definedName>
    <definedName name="____xlnm.Print_Area_6" localSheetId="23">#REF!</definedName>
    <definedName name="____xlnm.Print_Area_6" localSheetId="6">#REF!</definedName>
    <definedName name="____xlnm.Print_Area_6" localSheetId="10">#REF!</definedName>
    <definedName name="____xlnm.Print_Area_6">#REF!</definedName>
    <definedName name="____xlnm.Print_Area_7" localSheetId="23">#REF!</definedName>
    <definedName name="____xlnm.Print_Area_7" localSheetId="6">#REF!</definedName>
    <definedName name="____xlnm.Print_Area_7" localSheetId="10">#REF!</definedName>
    <definedName name="____xlnm.Print_Area_7">#REF!</definedName>
    <definedName name="____xlnm.Print_Area_8" localSheetId="23">#REF!</definedName>
    <definedName name="____xlnm.Print_Area_8" localSheetId="6">#REF!</definedName>
    <definedName name="____xlnm.Print_Area_8" localSheetId="10">#REF!</definedName>
    <definedName name="____xlnm.Print_Area_8">#REF!</definedName>
    <definedName name="____xlnm.Print_Area_9" localSheetId="23">#REF!</definedName>
    <definedName name="____xlnm.Print_Area_9" localSheetId="6">#REF!</definedName>
    <definedName name="____xlnm.Print_Area_9" localSheetId="10">#REF!</definedName>
    <definedName name="____xlnm.Print_Area_9">#REF!</definedName>
    <definedName name="____xlnm.Print_Titles" localSheetId="23">#REF!</definedName>
    <definedName name="____xlnm.Print_Titles" localSheetId="6">#REF!</definedName>
    <definedName name="____xlnm.Print_Titles" localSheetId="10">#REF!</definedName>
    <definedName name="____xlnm.Print_Titles">#REF!</definedName>
    <definedName name="____xlnm.Print_Titles_1" localSheetId="23">#REF!</definedName>
    <definedName name="____xlnm.Print_Titles_1" localSheetId="6">#REF!</definedName>
    <definedName name="____xlnm.Print_Titles_1" localSheetId="10">#REF!</definedName>
    <definedName name="____xlnm.Print_Titles_1">#REF!</definedName>
    <definedName name="____xlnm.Print_Titles_4" localSheetId="23">#REF!</definedName>
    <definedName name="____xlnm.Print_Titles_4" localSheetId="6">#REF!</definedName>
    <definedName name="____xlnm.Print_Titles_4" localSheetId="10">#REF!</definedName>
    <definedName name="____xlnm.Print_Titles_4">#REF!</definedName>
    <definedName name="____xlnm.Print_Titles_7" localSheetId="23">#REF!</definedName>
    <definedName name="____xlnm.Print_Titles_7" localSheetId="6">#REF!</definedName>
    <definedName name="____xlnm.Print_Titles_7" localSheetId="10">#REF!</definedName>
    <definedName name="____xlnm.Print_Titles_7">#REF!</definedName>
    <definedName name="___1__123Graph_ACHART_1" localSheetId="23">#REF!</definedName>
    <definedName name="___1__123Graph_ACHART_1" localSheetId="6">#REF!</definedName>
    <definedName name="___1__123Graph_ACHART_1" localSheetId="10">#REF!</definedName>
    <definedName name="___1__123Graph_ACHART_1">#REF!</definedName>
    <definedName name="___2__123Graph_BCHART_1" localSheetId="23">#REF!</definedName>
    <definedName name="___2__123Graph_BCHART_1" localSheetId="6">#REF!</definedName>
    <definedName name="___2__123Graph_BCHART_1" localSheetId="10">#REF!</definedName>
    <definedName name="___2__123Graph_BCHART_1">#REF!</definedName>
    <definedName name="___3__123Graph_CCHART_1" localSheetId="23">#REF!</definedName>
    <definedName name="___3__123Graph_CCHART_1" localSheetId="6">#REF!</definedName>
    <definedName name="___3__123Graph_CCHART_1" localSheetId="10">#REF!</definedName>
    <definedName name="___3__123Graph_CCHART_1">#REF!</definedName>
    <definedName name="___CBR220" localSheetId="23">#REF!</definedName>
    <definedName name="___CBR220" localSheetId="6">#REF!</definedName>
    <definedName name="___CBR220" localSheetId="10">#REF!</definedName>
    <definedName name="___CBR220">#REF!</definedName>
    <definedName name="___CBR500" localSheetId="23">#REF!</definedName>
    <definedName name="___CBR500" localSheetId="6">#REF!</definedName>
    <definedName name="___CBR500" localSheetId="10">#REF!</definedName>
    <definedName name="___CBR500">#REF!</definedName>
    <definedName name="___CTR220" localSheetId="23">#REF!</definedName>
    <definedName name="___CTR220" localSheetId="6">#REF!</definedName>
    <definedName name="___CTR220" localSheetId="10">#REF!</definedName>
    <definedName name="___CTR220">#REF!</definedName>
    <definedName name="___CTR500" localSheetId="23">#REF!</definedName>
    <definedName name="___CTR500" localSheetId="6">#REF!</definedName>
    <definedName name="___CTR500" localSheetId="10">#REF!</definedName>
    <definedName name="___CTR500">#REF!</definedName>
    <definedName name="___CVT220" localSheetId="23">#REF!</definedName>
    <definedName name="___CVT220" localSheetId="6">#REF!</definedName>
    <definedName name="___CVT220" localSheetId="10">#REF!</definedName>
    <definedName name="___CVT220">#REF!</definedName>
    <definedName name="___CVT500" localSheetId="23">#REF!</definedName>
    <definedName name="___CVT500" localSheetId="6">#REF!</definedName>
    <definedName name="___CVT500" localSheetId="10">#REF!</definedName>
    <definedName name="___CVT500">#REF!</definedName>
    <definedName name="___dec05" localSheetId="11" hidden="1">{"'Sheet1'!$A$4386:$N$4591"}</definedName>
    <definedName name="___dec05" localSheetId="10" hidden="1">{"'Sheet1'!$A$4386:$N$4591"}</definedName>
    <definedName name="___dec05" hidden="1">{"'Sheet1'!$A$4386:$N$4591"}</definedName>
    <definedName name="___IDA1" localSheetId="23">#REF!</definedName>
    <definedName name="___IDA1" localSheetId="6">#REF!</definedName>
    <definedName name="___IDA1" localSheetId="10">#REF!</definedName>
    <definedName name="___IDA1">#REF!</definedName>
    <definedName name="___in18900" localSheetId="23">#REF!</definedName>
    <definedName name="___in18900" localSheetId="6">#REF!</definedName>
    <definedName name="___in18900" localSheetId="10">#REF!</definedName>
    <definedName name="___in18900">#REF!</definedName>
    <definedName name="___iv19000" localSheetId="23">#REF!</definedName>
    <definedName name="___iv19000" localSheetId="6">#REF!</definedName>
    <definedName name="___iv19000" localSheetId="10">#REF!</definedName>
    <definedName name="___iv19000">#REF!</definedName>
    <definedName name="___LAR220" localSheetId="23">#REF!</definedName>
    <definedName name="___LAR220" localSheetId="6">#REF!</definedName>
    <definedName name="___LAR220" localSheetId="10">#REF!</definedName>
    <definedName name="___LAR220">#REF!</definedName>
    <definedName name="___LAR500" localSheetId="23">#REF!</definedName>
    <definedName name="___LAR500" localSheetId="6">#REF!</definedName>
    <definedName name="___LAR500" localSheetId="10">#REF!</definedName>
    <definedName name="___LAR500">#REF!</definedName>
    <definedName name="___LTR220" localSheetId="23">#REF!</definedName>
    <definedName name="___LTR220" localSheetId="6">#REF!</definedName>
    <definedName name="___LTR220" localSheetId="10">#REF!</definedName>
    <definedName name="___LTR220">#REF!</definedName>
    <definedName name="___LTR500" localSheetId="23">#REF!</definedName>
    <definedName name="___LTR500" localSheetId="6">#REF!</definedName>
    <definedName name="___LTR500" localSheetId="10">#REF!</definedName>
    <definedName name="___LTR500">#REF!</definedName>
    <definedName name="___PLC220" localSheetId="23">#REF!</definedName>
    <definedName name="___PLC220" localSheetId="6">#REF!</definedName>
    <definedName name="___PLC220" localSheetId="10">#REF!</definedName>
    <definedName name="___PLC220">#REF!</definedName>
    <definedName name="___RE220" localSheetId="23">#REF!</definedName>
    <definedName name="___RE220" localSheetId="6">#REF!</definedName>
    <definedName name="___RE220" localSheetId="10">#REF!</definedName>
    <definedName name="___RE220">#REF!</definedName>
    <definedName name="___RE500" localSheetId="23">#REF!</definedName>
    <definedName name="___RE500" localSheetId="6">#REF!</definedName>
    <definedName name="___RE500" localSheetId="10">#REF!</definedName>
    <definedName name="___RE500">#REF!</definedName>
    <definedName name="___TR220" localSheetId="23">#REF!</definedName>
    <definedName name="___TR220" localSheetId="6">#REF!</definedName>
    <definedName name="___TR220" localSheetId="10">#REF!</definedName>
    <definedName name="___TR220">#REF!</definedName>
    <definedName name="___TR500" localSheetId="23">#REF!</definedName>
    <definedName name="___TR500" localSheetId="6">#REF!</definedName>
    <definedName name="___TR500" localSheetId="10">#REF!</definedName>
    <definedName name="___TR500">#REF!</definedName>
    <definedName name="___xlnm._FilterDatabase" localSheetId="23">#REF!</definedName>
    <definedName name="___xlnm._FilterDatabase" localSheetId="6">#REF!</definedName>
    <definedName name="___xlnm._FilterDatabase" localSheetId="10">#REF!</definedName>
    <definedName name="___xlnm._FilterDatabase">#REF!</definedName>
    <definedName name="___xlnm._FilterDatabase_1" localSheetId="23">#REF!</definedName>
    <definedName name="___xlnm._FilterDatabase_1" localSheetId="6">#REF!</definedName>
    <definedName name="___xlnm._FilterDatabase_1" localSheetId="10">#REF!</definedName>
    <definedName name="___xlnm._FilterDatabase_1">#REF!</definedName>
    <definedName name="___xlnm._FilterDatabase_2" localSheetId="23">#REF!</definedName>
    <definedName name="___xlnm._FilterDatabase_2" localSheetId="6">#REF!</definedName>
    <definedName name="___xlnm._FilterDatabase_2" localSheetId="10">#REF!</definedName>
    <definedName name="___xlnm._FilterDatabase_2">#REF!</definedName>
    <definedName name="___xlnm._FilterDatabase_3" localSheetId="23">#REF!</definedName>
    <definedName name="___xlnm._FilterDatabase_3" localSheetId="6">#REF!</definedName>
    <definedName name="___xlnm._FilterDatabase_3" localSheetId="10">#REF!</definedName>
    <definedName name="___xlnm._FilterDatabase_3">#REF!</definedName>
    <definedName name="___xlnm._FilterDatabase_4" localSheetId="23">#REF!</definedName>
    <definedName name="___xlnm._FilterDatabase_4" localSheetId="6">#REF!</definedName>
    <definedName name="___xlnm._FilterDatabase_4" localSheetId="10">#REF!</definedName>
    <definedName name="___xlnm._FilterDatabase_4">#REF!</definedName>
    <definedName name="___xlnm._FilterDatabase_5" localSheetId="23">#REF!</definedName>
    <definedName name="___xlnm._FilterDatabase_5" localSheetId="6">#REF!</definedName>
    <definedName name="___xlnm._FilterDatabase_5" localSheetId="10">#REF!</definedName>
    <definedName name="___xlnm._FilterDatabase_5">#REF!</definedName>
    <definedName name="___xlnm.Print_Area" localSheetId="23">#REF!</definedName>
    <definedName name="___xlnm.Print_Area" localSheetId="6">#REF!</definedName>
    <definedName name="___xlnm.Print_Area" localSheetId="11">"$#REF!.$A$1:$P$91"</definedName>
    <definedName name="___xlnm.Print_Area" localSheetId="10">#REF!</definedName>
    <definedName name="___xlnm.Print_Area">#REF!</definedName>
    <definedName name="___xlnm.Print_Area_1" localSheetId="23">#REF!</definedName>
    <definedName name="___xlnm.Print_Area_1" localSheetId="6">#REF!</definedName>
    <definedName name="___xlnm.Print_Area_1" localSheetId="11">#REF!</definedName>
    <definedName name="___xlnm.Print_Area_1" localSheetId="10">#REF!</definedName>
    <definedName name="___xlnm.Print_Area_1">#REF!</definedName>
    <definedName name="___xlnm.Print_Area_10" localSheetId="23">#REF!</definedName>
    <definedName name="___xlnm.Print_Area_10" localSheetId="6">#REF!</definedName>
    <definedName name="___xlnm.Print_Area_10" localSheetId="10">#REF!</definedName>
    <definedName name="___xlnm.Print_Area_10">#REF!</definedName>
    <definedName name="___xlnm.Print_Area_11" localSheetId="23">#REF!</definedName>
    <definedName name="___xlnm.Print_Area_11" localSheetId="6">#REF!</definedName>
    <definedName name="___xlnm.Print_Area_11" localSheetId="10">#REF!</definedName>
    <definedName name="___xlnm.Print_Area_11">#REF!</definedName>
    <definedName name="___xlnm.Print_Area_13" localSheetId="23">#REF!</definedName>
    <definedName name="___xlnm.Print_Area_13" localSheetId="6">#REF!</definedName>
    <definedName name="___xlnm.Print_Area_13" localSheetId="10">#REF!</definedName>
    <definedName name="___xlnm.Print_Area_13">#REF!</definedName>
    <definedName name="___xlnm.Print_Area_2" localSheetId="23">#REF!</definedName>
    <definedName name="___xlnm.Print_Area_2" localSheetId="6">#REF!</definedName>
    <definedName name="___xlnm.Print_Area_2" localSheetId="11">"$#REF!.$A$3:$F$72"</definedName>
    <definedName name="___xlnm.Print_Area_2" localSheetId="10">#REF!</definedName>
    <definedName name="___xlnm.Print_Area_2">#REF!</definedName>
    <definedName name="___xlnm.Print_Area_3" localSheetId="23">#REF!</definedName>
    <definedName name="___xlnm.Print_Area_3" localSheetId="6">#REF!</definedName>
    <definedName name="___xlnm.Print_Area_3" localSheetId="11">"$#REF!.$A$1:$E$36"</definedName>
    <definedName name="___xlnm.Print_Area_3" localSheetId="10">#REF!</definedName>
    <definedName name="___xlnm.Print_Area_3">#REF!</definedName>
    <definedName name="___xlnm.Print_Area_4" localSheetId="23">#REF!</definedName>
    <definedName name="___xlnm.Print_Area_4" localSheetId="6">#REF!</definedName>
    <definedName name="___xlnm.Print_Area_4" localSheetId="11">#REF!</definedName>
    <definedName name="___xlnm.Print_Area_4" localSheetId="10">#REF!</definedName>
    <definedName name="___xlnm.Print_Area_4">#REF!</definedName>
    <definedName name="___xlnm.Print_Area_5" localSheetId="23">#REF!</definedName>
    <definedName name="___xlnm.Print_Area_5" localSheetId="6">#REF!</definedName>
    <definedName name="___xlnm.Print_Area_5" localSheetId="11">"$#REF!.$A$1:$D$90"</definedName>
    <definedName name="___xlnm.Print_Area_5" localSheetId="10">#REF!</definedName>
    <definedName name="___xlnm.Print_Area_5">#REF!</definedName>
    <definedName name="___xlnm.Print_Area_6" localSheetId="23">#REF!</definedName>
    <definedName name="___xlnm.Print_Area_6" localSheetId="6">#REF!</definedName>
    <definedName name="___xlnm.Print_Area_6" localSheetId="10">#REF!</definedName>
    <definedName name="___xlnm.Print_Area_6">#REF!</definedName>
    <definedName name="___xlnm.Print_Area_7" localSheetId="23">#REF!</definedName>
    <definedName name="___xlnm.Print_Area_7" localSheetId="6">#REF!</definedName>
    <definedName name="___xlnm.Print_Area_7" localSheetId="10">#REF!</definedName>
    <definedName name="___xlnm.Print_Area_7">#REF!</definedName>
    <definedName name="___xlnm.Print_Area_8" localSheetId="23">#REF!</definedName>
    <definedName name="___xlnm.Print_Area_8" localSheetId="6">#REF!</definedName>
    <definedName name="___xlnm.Print_Area_8" localSheetId="10">#REF!</definedName>
    <definedName name="___xlnm.Print_Area_8">#REF!</definedName>
    <definedName name="___xlnm.Print_Area_9" localSheetId="23">#REF!</definedName>
    <definedName name="___xlnm.Print_Area_9" localSheetId="6">#REF!</definedName>
    <definedName name="___xlnm.Print_Area_9" localSheetId="10">#REF!</definedName>
    <definedName name="___xlnm.Print_Area_9">#REF!</definedName>
    <definedName name="___xlnm.Print_Titles" localSheetId="23">#REF!</definedName>
    <definedName name="___xlnm.Print_Titles" localSheetId="6">#REF!</definedName>
    <definedName name="___xlnm.Print_Titles" localSheetId="10">#REF!</definedName>
    <definedName name="___xlnm.Print_Titles">#REF!</definedName>
    <definedName name="___xlnm.Print_Titles_1" localSheetId="23">#REF!</definedName>
    <definedName name="___xlnm.Print_Titles_1" localSheetId="6">#REF!</definedName>
    <definedName name="___xlnm.Print_Titles_1" localSheetId="10">#REF!</definedName>
    <definedName name="___xlnm.Print_Titles_1">#REF!</definedName>
    <definedName name="___xlnm.Print_Titles_4" localSheetId="23">#REF!</definedName>
    <definedName name="___xlnm.Print_Titles_4" localSheetId="6">#REF!</definedName>
    <definedName name="___xlnm.Print_Titles_4" localSheetId="10">#REF!</definedName>
    <definedName name="___xlnm.Print_Titles_4">#REF!</definedName>
    <definedName name="___xlnm.Print_Titles_7" localSheetId="23">#REF!</definedName>
    <definedName name="___xlnm.Print_Titles_7" localSheetId="6">#REF!</definedName>
    <definedName name="___xlnm.Print_Titles_7" localSheetId="10">#REF!</definedName>
    <definedName name="___xlnm.Print_Titles_7">#REF!</definedName>
    <definedName name="__1__123Graph_ACHART_1" localSheetId="23">#REF!</definedName>
    <definedName name="__1__123Graph_ACHART_1" localSheetId="6">#REF!</definedName>
    <definedName name="__1__123Graph_ACHART_1" localSheetId="10">#REF!</definedName>
    <definedName name="__1__123Graph_ACHART_1">#REF!</definedName>
    <definedName name="__123Graph_A" hidden="1">'[1]1'!$M$34:$M$45</definedName>
    <definedName name="__123Graph_B" localSheetId="23" hidden="1">'[2]CASH-FLOW'!#REF!</definedName>
    <definedName name="__123Graph_B" localSheetId="6" hidden="1">'[2]CASH-FLOW'!#REF!</definedName>
    <definedName name="__123Graph_B" localSheetId="11" hidden="1">'[2]CASH-FLOW'!#REF!</definedName>
    <definedName name="__123Graph_B" localSheetId="10" hidden="1">'[2]CASH-FLOW'!#REF!</definedName>
    <definedName name="__123Graph_B" hidden="1">'[2]CASH-FLOW'!#REF!</definedName>
    <definedName name="__123Graph_C" localSheetId="4" hidden="1">[3]drg!#REF!</definedName>
    <definedName name="__123Graph_C" localSheetId="23" hidden="1">[3]drg!#REF!</definedName>
    <definedName name="__123Graph_C" localSheetId="6" hidden="1">[3]drg!#REF!</definedName>
    <definedName name="__123Graph_C" localSheetId="27" hidden="1">[3]drg!#REF!</definedName>
    <definedName name="__123Graph_C" localSheetId="11" hidden="1">[3]drg!#REF!</definedName>
    <definedName name="__123Graph_C" localSheetId="10" hidden="1">[3]drg!#REF!</definedName>
    <definedName name="__123Graph_C" localSheetId="5" hidden="1">[3]drg!#REF!</definedName>
    <definedName name="__123Graph_C" hidden="1">[3]drg!#REF!</definedName>
    <definedName name="__123Graph_C_1" localSheetId="23">#REF!</definedName>
    <definedName name="__123Graph_C_1" localSheetId="6">#REF!</definedName>
    <definedName name="__123Graph_C_1" localSheetId="10">#REF!</definedName>
    <definedName name="__123Graph_C_1">#REF!</definedName>
    <definedName name="__123Graph_C_2" localSheetId="23">#REF!</definedName>
    <definedName name="__123Graph_C_2" localSheetId="6">#REF!</definedName>
    <definedName name="__123Graph_C_2" localSheetId="10">#REF!</definedName>
    <definedName name="__123Graph_C_2">#REF!</definedName>
    <definedName name="__123Graph_D" localSheetId="23">#REF!</definedName>
    <definedName name="__123Graph_D" localSheetId="6">#REF!</definedName>
    <definedName name="__123Graph_D" localSheetId="10">#REF!</definedName>
    <definedName name="__123Graph_D">#REF!</definedName>
    <definedName name="__123Graph_E" localSheetId="23">#REF!</definedName>
    <definedName name="__123Graph_E" localSheetId="6">#REF!</definedName>
    <definedName name="__123Graph_E" localSheetId="10">#REF!</definedName>
    <definedName name="__123Graph_E">#REF!</definedName>
    <definedName name="__123Graph_F" localSheetId="23">#REF!</definedName>
    <definedName name="__123Graph_F" localSheetId="6">#REF!</definedName>
    <definedName name="__123Graph_F" localSheetId="10">#REF!</definedName>
    <definedName name="__123Graph_F">#REF!</definedName>
    <definedName name="__123Graph_X" hidden="1">'[1]1'!$N$34:$N$45</definedName>
    <definedName name="__2" localSheetId="23">#REF!</definedName>
    <definedName name="__2" localSheetId="6">#REF!</definedName>
    <definedName name="__2" localSheetId="10">#REF!</definedName>
    <definedName name="__2">#REF!</definedName>
    <definedName name="__2__123Graph_BCHART_1" localSheetId="23">#REF!</definedName>
    <definedName name="__2__123Graph_BCHART_1" localSheetId="6">#REF!</definedName>
    <definedName name="__2__123Graph_BCHART_1" localSheetId="10">#REF!</definedName>
    <definedName name="__2__123Graph_BCHART_1">#REF!</definedName>
    <definedName name="__3__123Graph_CCHART_1" localSheetId="23">#REF!</definedName>
    <definedName name="__3__123Graph_CCHART_1" localSheetId="6">#REF!</definedName>
    <definedName name="__3__123Graph_CCHART_1" localSheetId="10">#REF!</definedName>
    <definedName name="__3__123Graph_CCHART_1">#REF!</definedName>
    <definedName name="__4________s" localSheetId="23">#REF!</definedName>
    <definedName name="__4________s" localSheetId="6">#REF!</definedName>
    <definedName name="__4________s" localSheetId="10">#REF!</definedName>
    <definedName name="__4________s">#REF!</definedName>
    <definedName name="__CBR220" localSheetId="23">#REF!</definedName>
    <definedName name="__CBR220" localSheetId="6">#REF!</definedName>
    <definedName name="__CBR220" localSheetId="10">#REF!</definedName>
    <definedName name="__CBR220">#REF!</definedName>
    <definedName name="__CBR500" localSheetId="23">#REF!</definedName>
    <definedName name="__CBR500" localSheetId="6">#REF!</definedName>
    <definedName name="__CBR500" localSheetId="10">#REF!</definedName>
    <definedName name="__CBR500">#REF!</definedName>
    <definedName name="__CTR220" localSheetId="23">#REF!</definedName>
    <definedName name="__CTR220" localSheetId="6">#REF!</definedName>
    <definedName name="__CTR220" localSheetId="10">#REF!</definedName>
    <definedName name="__CTR220">#REF!</definedName>
    <definedName name="__CTR500" localSheetId="23">#REF!</definedName>
    <definedName name="__CTR500" localSheetId="6">#REF!</definedName>
    <definedName name="__CTR500" localSheetId="10">#REF!</definedName>
    <definedName name="__CTR500">#REF!</definedName>
    <definedName name="__CVT220" localSheetId="23">#REF!</definedName>
    <definedName name="__CVT220" localSheetId="6">#REF!</definedName>
    <definedName name="__CVT220" localSheetId="10">#REF!</definedName>
    <definedName name="__CVT220">#REF!</definedName>
    <definedName name="__CVT500" localSheetId="23">#REF!</definedName>
    <definedName name="__CVT500" localSheetId="6">#REF!</definedName>
    <definedName name="__CVT500" localSheetId="10">#REF!</definedName>
    <definedName name="__CVT500">#REF!</definedName>
    <definedName name="__dec05" localSheetId="11" hidden="1">{"'Sheet1'!$A$4386:$N$4591"}</definedName>
    <definedName name="__dec05" localSheetId="10" hidden="1">{"'Sheet1'!$A$4386:$N$4591"}</definedName>
    <definedName name="__dec05" hidden="1">{"'Sheet1'!$A$4386:$N$4591"}</definedName>
    <definedName name="__drg1" localSheetId="23">#REF!</definedName>
    <definedName name="__drg1" localSheetId="6">#REF!</definedName>
    <definedName name="__drg1" localSheetId="10">#REF!</definedName>
    <definedName name="__drg1">#REF!</definedName>
    <definedName name="__EdFJsKAA" localSheetId="23">#REF!</definedName>
    <definedName name="__EdFJsKAA" localSheetId="6">#REF!</definedName>
    <definedName name="__EdFJsKAA" localSheetId="10">#REF!</definedName>
    <definedName name="__EdFJsKAA">#REF!</definedName>
    <definedName name="__IDA1" localSheetId="23">#REF!</definedName>
    <definedName name="__IDA1" localSheetId="6">#REF!</definedName>
    <definedName name="__IDA1" localSheetId="10">#REF!</definedName>
    <definedName name="__IDA1">#REF!</definedName>
    <definedName name="__in18900" localSheetId="23">#REF!</definedName>
    <definedName name="__in18900" localSheetId="6">#REF!</definedName>
    <definedName name="__in18900" localSheetId="10">#REF!</definedName>
    <definedName name="__in18900">#REF!</definedName>
    <definedName name="__iv19000" localSheetId="23">#REF!</definedName>
    <definedName name="__iv19000" localSheetId="6">#REF!</definedName>
    <definedName name="__iv19000" localSheetId="10">#REF!</definedName>
    <definedName name="__iv19000">#REF!</definedName>
    <definedName name="__LAR220" localSheetId="23">#REF!</definedName>
    <definedName name="__LAR220" localSheetId="6">#REF!</definedName>
    <definedName name="__LAR220" localSheetId="10">#REF!</definedName>
    <definedName name="__LAR220">#REF!</definedName>
    <definedName name="__LAR500" localSheetId="23">#REF!</definedName>
    <definedName name="__LAR500" localSheetId="6">#REF!</definedName>
    <definedName name="__LAR500" localSheetId="10">#REF!</definedName>
    <definedName name="__LAR500">#REF!</definedName>
    <definedName name="__LTR220" localSheetId="23">#REF!</definedName>
    <definedName name="__LTR220" localSheetId="6">#REF!</definedName>
    <definedName name="__LTR220" localSheetId="10">#REF!</definedName>
    <definedName name="__LTR220">#REF!</definedName>
    <definedName name="__LTR500" localSheetId="23">#REF!</definedName>
    <definedName name="__LTR500" localSheetId="6">#REF!</definedName>
    <definedName name="__LTR500" localSheetId="10">#REF!</definedName>
    <definedName name="__LTR500">#REF!</definedName>
    <definedName name="__PLC220" localSheetId="23">#REF!</definedName>
    <definedName name="__PLC220" localSheetId="6">#REF!</definedName>
    <definedName name="__PLC220" localSheetId="10">#REF!</definedName>
    <definedName name="__PLC220">#REF!</definedName>
    <definedName name="__RE220" localSheetId="23">#REF!</definedName>
    <definedName name="__RE220" localSheetId="6">#REF!</definedName>
    <definedName name="__RE220" localSheetId="10">#REF!</definedName>
    <definedName name="__RE220">#REF!</definedName>
    <definedName name="__RE500" localSheetId="23">#REF!</definedName>
    <definedName name="__RE500" localSheetId="6">#REF!</definedName>
    <definedName name="__RE500" localSheetId="10">#REF!</definedName>
    <definedName name="__RE500">#REF!</definedName>
    <definedName name="__TR220" localSheetId="23">#REF!</definedName>
    <definedName name="__TR220" localSheetId="6">#REF!</definedName>
    <definedName name="__TR220" localSheetId="10">#REF!</definedName>
    <definedName name="__TR220">#REF!</definedName>
    <definedName name="__TR500" localSheetId="23">#REF!</definedName>
    <definedName name="__TR500" localSheetId="6">#REF!</definedName>
    <definedName name="__TR500" localSheetId="10">#REF!</definedName>
    <definedName name="__TR500">#REF!</definedName>
    <definedName name="__xlnm._FilterDatabase" localSheetId="23">#REF!</definedName>
    <definedName name="__xlnm._FilterDatabase" localSheetId="6">#REF!</definedName>
    <definedName name="__xlnm._FilterDatabase" localSheetId="11">"$#REF!.$A$6:$X$6"</definedName>
    <definedName name="__xlnm._FilterDatabase" localSheetId="10">#REF!</definedName>
    <definedName name="__xlnm._FilterDatabase">#REF!</definedName>
    <definedName name="__xlnm._FilterDatabase_1" localSheetId="23">#REF!</definedName>
    <definedName name="__xlnm._FilterDatabase_1" localSheetId="6">#REF!</definedName>
    <definedName name="__xlnm._FilterDatabase_1" localSheetId="10">#REF!</definedName>
    <definedName name="__xlnm._FilterDatabase_1">#REF!</definedName>
    <definedName name="__xlnm._FilterDatabase_2" localSheetId="23">#REF!</definedName>
    <definedName name="__xlnm._FilterDatabase_2" localSheetId="6">#REF!</definedName>
    <definedName name="__xlnm._FilterDatabase_2" localSheetId="10">#REF!</definedName>
    <definedName name="__xlnm._FilterDatabase_2">#REF!</definedName>
    <definedName name="__xlnm._FilterDatabase_3" localSheetId="23">#REF!</definedName>
    <definedName name="__xlnm._FilterDatabase_3" localSheetId="6">#REF!</definedName>
    <definedName name="__xlnm._FilterDatabase_3" localSheetId="10">#REF!</definedName>
    <definedName name="__xlnm._FilterDatabase_3">#REF!</definedName>
    <definedName name="__xlnm._FilterDatabase_4" localSheetId="23">#REF!</definedName>
    <definedName name="__xlnm._FilterDatabase_4" localSheetId="6">#REF!</definedName>
    <definedName name="__xlnm._FilterDatabase_4" localSheetId="10">#REF!</definedName>
    <definedName name="__xlnm._FilterDatabase_4">#REF!</definedName>
    <definedName name="__xlnm._FilterDatabase_5" localSheetId="23">#REF!</definedName>
    <definedName name="__xlnm._FilterDatabase_5" localSheetId="6">#REF!</definedName>
    <definedName name="__xlnm._FilterDatabase_5" localSheetId="10">#REF!</definedName>
    <definedName name="__xlnm._FilterDatabase_5">#REF!</definedName>
    <definedName name="__xlnm.Print_Area">"$#REF!.$A$1:$D$37"</definedName>
    <definedName name="__xlnm.Print_Area_1">"$#REF!.$A$1:$D$37"</definedName>
    <definedName name="__xlnm.Print_Area_1_1" localSheetId="23">#REF!</definedName>
    <definedName name="__xlnm.Print_Area_1_1" localSheetId="6">#REF!</definedName>
    <definedName name="__xlnm.Print_Area_1_1" localSheetId="10">#REF!</definedName>
    <definedName name="__xlnm.Print_Area_1_1">#REF!</definedName>
    <definedName name="__xlnm.Print_Area_10" localSheetId="23">#REF!</definedName>
    <definedName name="__xlnm.Print_Area_10" localSheetId="6">#REF!</definedName>
    <definedName name="__xlnm.Print_Area_10" localSheetId="10">#REF!</definedName>
    <definedName name="__xlnm.Print_Area_10">#REF!</definedName>
    <definedName name="__xlnm.Print_Area_11" localSheetId="23">#REF!</definedName>
    <definedName name="__xlnm.Print_Area_11" localSheetId="6">#REF!</definedName>
    <definedName name="__xlnm.Print_Area_11" localSheetId="10">#REF!</definedName>
    <definedName name="__xlnm.Print_Area_11">#REF!</definedName>
    <definedName name="__xlnm.Print_Area_13" localSheetId="23">#REF!</definedName>
    <definedName name="__xlnm.Print_Area_13" localSheetId="6">#REF!</definedName>
    <definedName name="__xlnm.Print_Area_13" localSheetId="10">#REF!</definedName>
    <definedName name="__xlnm.Print_Area_13">#REF!</definedName>
    <definedName name="__xlnm.Print_Area_2">"$#REF!.$A$1:$Z$38"</definedName>
    <definedName name="__xlnm.Print_Area_3">"$#REF!.$A$1:$E$42"</definedName>
    <definedName name="__xlnm.Print_Area_3_1" localSheetId="23">#REF!</definedName>
    <definedName name="__xlnm.Print_Area_3_1" localSheetId="6">#REF!</definedName>
    <definedName name="__xlnm.Print_Area_3_1" localSheetId="10">#REF!</definedName>
    <definedName name="__xlnm.Print_Area_3_1">#REF!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 localSheetId="23">#REF!</definedName>
    <definedName name="__xlnm.Print_Area_8" localSheetId="6">#REF!</definedName>
    <definedName name="__xlnm.Print_Area_8" localSheetId="10">#REF!</definedName>
    <definedName name="__xlnm.Print_Area_8">#REF!</definedName>
    <definedName name="__xlnm.Print_Area_9" localSheetId="23">#REF!</definedName>
    <definedName name="__xlnm.Print_Area_9" localSheetId="6">#REF!</definedName>
    <definedName name="__xlnm.Print_Area_9" localSheetId="10">#REF!</definedName>
    <definedName name="__xlnm.Print_Area_9">#REF!</definedName>
    <definedName name="__xlnm.Print_Titles" localSheetId="23">#REF!</definedName>
    <definedName name="__xlnm.Print_Titles" localSheetId="6">#REF!</definedName>
    <definedName name="__xlnm.Print_Titles" localSheetId="11">"$#REF!.$A$1:$AMJ$5"</definedName>
    <definedName name="__xlnm.Print_Titles" localSheetId="10">#REF!</definedName>
    <definedName name="__xlnm.Print_Titles">#REF!</definedName>
    <definedName name="__xlnm.Print_Titles_1" localSheetId="23">#REF!</definedName>
    <definedName name="__xlnm.Print_Titles_1" localSheetId="6">#REF!</definedName>
    <definedName name="__xlnm.Print_Titles_1" localSheetId="11">"$#REF!.$A$4:$AMJ$8"</definedName>
    <definedName name="__xlnm.Print_Titles_1" localSheetId="10">#REF!</definedName>
    <definedName name="__xlnm.Print_Titles_1">#REF!</definedName>
    <definedName name="__xlnm.Print_Titles_1_1" localSheetId="23">#REF!</definedName>
    <definedName name="__xlnm.Print_Titles_1_1" localSheetId="6">#REF!</definedName>
    <definedName name="__xlnm.Print_Titles_1_1" localSheetId="10">#REF!</definedName>
    <definedName name="__xlnm.Print_Titles_1_1">#REF!</definedName>
    <definedName name="__xlnm.Print_Titles_2" localSheetId="23">#REF!</definedName>
    <definedName name="__xlnm.Print_Titles_2" localSheetId="6">#REF!</definedName>
    <definedName name="__xlnm.Print_Titles_2" localSheetId="11">#REF!</definedName>
    <definedName name="__xlnm.Print_Titles_2" localSheetId="10">#REF!</definedName>
    <definedName name="__xlnm.Print_Titles_2">#REF!</definedName>
    <definedName name="__xlnm.Print_Titles_3" localSheetId="23">#REF!</definedName>
    <definedName name="__xlnm.Print_Titles_3" localSheetId="6">#REF!</definedName>
    <definedName name="__xlnm.Print_Titles_3" localSheetId="10">#REF!</definedName>
    <definedName name="__xlnm.Print_Titles_3">#REF!</definedName>
    <definedName name="__xlnm.Print_Titles_3_1" localSheetId="23">#REF!</definedName>
    <definedName name="__xlnm.Print_Titles_3_1" localSheetId="6">#REF!</definedName>
    <definedName name="__xlnm.Print_Titles_3_1" localSheetId="10">#REF!</definedName>
    <definedName name="__xlnm.Print_Titles_3_1">#REF!</definedName>
    <definedName name="__xlnm.Print_Titles_4" localSheetId="23">#REF!</definedName>
    <definedName name="__xlnm.Print_Titles_4" localSheetId="6">#REF!</definedName>
    <definedName name="__xlnm.Print_Titles_4" localSheetId="10">#REF!</definedName>
    <definedName name="__xlnm.Print_Titles_4">#REF!</definedName>
    <definedName name="__xlnm.Print_Titles_7" localSheetId="23">#REF!</definedName>
    <definedName name="__xlnm.Print_Titles_7" localSheetId="6">#REF!</definedName>
    <definedName name="__xlnm.Print_Titles_7" localSheetId="10">#REF!</definedName>
    <definedName name="__xlnm.Print_Titles_7">#REF!</definedName>
    <definedName name="_0" localSheetId="23">#REF!</definedName>
    <definedName name="_0" localSheetId="6">#REF!</definedName>
    <definedName name="_0" localSheetId="10">#REF!</definedName>
    <definedName name="_0">#REF!</definedName>
    <definedName name="_0___0" localSheetId="23">#REF!</definedName>
    <definedName name="_0___0" localSheetId="6">#REF!</definedName>
    <definedName name="_0___0" localSheetId="10">#REF!</definedName>
    <definedName name="_0___0">#REF!</definedName>
    <definedName name="_0790" localSheetId="23">#REF!</definedName>
    <definedName name="_0790" localSheetId="6">#REF!</definedName>
    <definedName name="_0790" localSheetId="10">#REF!</definedName>
    <definedName name="_0790">#REF!</definedName>
    <definedName name="_1____123Graph_ACHART_1" localSheetId="23">#REF!</definedName>
    <definedName name="_1____123Graph_ACHART_1" localSheetId="6">#REF!</definedName>
    <definedName name="_1____123Graph_ACHART_1" localSheetId="10">#REF!</definedName>
    <definedName name="_1____123Graph_ACHART_1">#REF!</definedName>
    <definedName name="_1___123Graph_ACHART_1" localSheetId="23">#REF!</definedName>
    <definedName name="_1___123Graph_ACHART_1" localSheetId="6">#REF!</definedName>
    <definedName name="_1___123Graph_ACHART_1" localSheetId="10">#REF!</definedName>
    <definedName name="_1___123Graph_ACHART_1">#REF!</definedName>
    <definedName name="_1__123Graph_ACHART_1" localSheetId="23">#REF!</definedName>
    <definedName name="_1__123Graph_ACHART_1" localSheetId="6">#REF!</definedName>
    <definedName name="_1__123Graph_ACHART_1" localSheetId="10">#REF!</definedName>
    <definedName name="_1__123Graph_ACHART_1">#REF!</definedName>
    <definedName name="_1_Jan17" localSheetId="23">#REF!</definedName>
    <definedName name="_1_Jan17" localSheetId="6">#REF!</definedName>
    <definedName name="_1_Jan17" localSheetId="10">#REF!</definedName>
    <definedName name="_1_Jan17">#REF!</definedName>
    <definedName name="_1000A01" localSheetId="23">#REF!</definedName>
    <definedName name="_1000A01" localSheetId="6">#REF!</definedName>
    <definedName name="_1000A01" localSheetId="10">#REF!</definedName>
    <definedName name="_1000A01">#REF!</definedName>
    <definedName name="_10Excel_BuiltIn_Print_Area_4_1_1_1_1" localSheetId="23">#REF!</definedName>
    <definedName name="_10Excel_BuiltIn_Print_Area_4_1_1_1_1" localSheetId="6">#REF!</definedName>
    <definedName name="_10Excel_BuiltIn_Print_Area_4_1_1_1_1" localSheetId="10">#REF!</definedName>
    <definedName name="_10Excel_BuiltIn_Print_Area_4_1_1_1_1">#REF!</definedName>
    <definedName name="_10Excel_BuiltIn_Print_Area_7">"$#REF!.$A$1:$Z$43"</definedName>
    <definedName name="_10MACRO_SOMMAIRE_.Bouton5_QuandClic" localSheetId="23">#REF!</definedName>
    <definedName name="_10MACRO_SOMMAIRE_.Bouton5_QuandClic" localSheetId="6">#REF!</definedName>
    <definedName name="_10MACRO_SOMMAIRE_.Bouton5_QuandClic" localSheetId="10">#REF!</definedName>
    <definedName name="_10MACRO_SOMMAIRE_.Bouton5_QuandClic">#REF!</definedName>
    <definedName name="_11" localSheetId="23">#REF!</definedName>
    <definedName name="_11" localSheetId="6">#REF!</definedName>
    <definedName name="_11" localSheetId="10">#REF!</definedName>
    <definedName name="_11">#REF!</definedName>
    <definedName name="_11_3_0Crite" localSheetId="23">#REF!</definedName>
    <definedName name="_11_3_0Crite" localSheetId="6">#REF!</definedName>
    <definedName name="_11_3_0Crite" localSheetId="10">#REF!</definedName>
    <definedName name="_11_3_0Crite">#REF!</definedName>
    <definedName name="_11Excel_BuiltIn_Print_Area_4_1_1_1_1_1" localSheetId="23">#REF!</definedName>
    <definedName name="_11Excel_BuiltIn_Print_Area_4_1_1_1_1_1" localSheetId="6">#REF!</definedName>
    <definedName name="_11Excel_BuiltIn_Print_Area_4_1_1_1_1_1" localSheetId="10">#REF!</definedName>
    <definedName name="_11Excel_BuiltIn_Print_Area_4_1_1_1_1_1">#REF!</definedName>
    <definedName name="_11Excel_BuiltIn_Print_Area_8">"$#REF!.$A$1:$Z$41"</definedName>
    <definedName name="_11MACRO_SOMMAIRE_.Bouton6_QuandClic" localSheetId="23">#REF!</definedName>
    <definedName name="_11MACRO_SOMMAIRE_.Bouton6_QuandClic" localSheetId="6">#REF!</definedName>
    <definedName name="_11MACRO_SOMMAIRE_.Bouton6_QuandClic" localSheetId="10">#REF!</definedName>
    <definedName name="_11MACRO_SOMMAIRE_.Bouton6_QuandClic">#REF!</definedName>
    <definedName name="_12Excel_BuiltIn_Print_Area_4_1_1_1_1_1_1" localSheetId="23">#REF!</definedName>
    <definedName name="_12Excel_BuiltIn_Print_Area_4_1_1_1_1_1_1" localSheetId="6">#REF!</definedName>
    <definedName name="_12Excel_BuiltIn_Print_Area_4_1_1_1_1_1_1" localSheetId="10">#REF!</definedName>
    <definedName name="_12Excel_BuiltIn_Print_Area_4_1_1_1_1_1_1">#REF!</definedName>
    <definedName name="_12Excel_BuiltIn_Print_Area_9">"$#REF!.$A$1:$S$38"</definedName>
    <definedName name="_12MACRO_SOMMAIRE_.Bouton7_QuandClic" localSheetId="23">#REF!</definedName>
    <definedName name="_12MACRO_SOMMAIRE_.Bouton7_QuandClic" localSheetId="6">#REF!</definedName>
    <definedName name="_12MACRO_SOMMAIRE_.Bouton7_QuandClic" localSheetId="10">#REF!</definedName>
    <definedName name="_12MACRO_SOMMAIRE_.Bouton7_QuandClic">#REF!</definedName>
    <definedName name="_13_3_0Criteria" localSheetId="23">#REF!</definedName>
    <definedName name="_13_3_0Criteria" localSheetId="6">#REF!</definedName>
    <definedName name="_13_3_0Criteria" localSheetId="10">#REF!</definedName>
    <definedName name="_13_3_0Criteria">#REF!</definedName>
    <definedName name="_13_ページング_電話関係" localSheetId="23">#REF!</definedName>
    <definedName name="_13_ページング_電話関係" localSheetId="6">#REF!</definedName>
    <definedName name="_13_ページング_電話関係" localSheetId="10">#REF!</definedName>
    <definedName name="_13_ページング_電話関係">#REF!</definedName>
    <definedName name="_13Excel_BuiltIn_Print_Area_1_1">"$#REF!.$A$1:$E$42"</definedName>
    <definedName name="_13Excel_BuiltIn_Print_Area_4_1_1_1_1_1_1_1_1_1_1" localSheetId="23">#REF!</definedName>
    <definedName name="_13Excel_BuiltIn_Print_Area_4_1_1_1_1_1_1_1_1_1_1" localSheetId="6">#REF!</definedName>
    <definedName name="_13Excel_BuiltIn_Print_Area_4_1_1_1_1_1_1_1_1_1_1" localSheetId="10">#REF!</definedName>
    <definedName name="_13Excel_BuiltIn_Print_Area_4_1_1_1_1_1_1_1_1_1_1">#REF!</definedName>
    <definedName name="_13MACRO_SOMMAIRE_.Bouton8_QuandClic" localSheetId="23">#REF!</definedName>
    <definedName name="_13MACRO_SOMMAIRE_.Bouton8_QuandClic" localSheetId="6">#REF!</definedName>
    <definedName name="_13MACRO_SOMMAIRE_.Bouton8_QuandClic" localSheetId="10">#REF!</definedName>
    <definedName name="_13MACRO_SOMMAIRE_.Bouton8_QuandClic">#REF!</definedName>
    <definedName name="_14Excel_BuiltIn_Print_Area_4_1_1_1_1_1_1_1_1_1_1_1" localSheetId="23">#REF!</definedName>
    <definedName name="_14Excel_BuiltIn_Print_Area_4_1_1_1_1_1_1_1_1_1_1_1" localSheetId="6">#REF!</definedName>
    <definedName name="_14Excel_BuiltIn_Print_Area_4_1_1_1_1_1_1_1_1_1_1_1" localSheetId="10">#REF!</definedName>
    <definedName name="_14Excel_BuiltIn_Print_Area_4_1_1_1_1_1_1_1_1_1_1_1">#REF!</definedName>
    <definedName name="_14MACRO_SOMMAIRE_.Bouton9_QuandClic" localSheetId="23">#REF!</definedName>
    <definedName name="_14MACRO_SOMMAIRE_.Bouton9_QuandClic" localSheetId="6">#REF!</definedName>
    <definedName name="_14MACRO_SOMMAIRE_.Bouton9_QuandClic" localSheetId="10">#REF!</definedName>
    <definedName name="_14MACRO_SOMMAIRE_.Bouton9_QuandClic">#REF!</definedName>
    <definedName name="_15_3__Crite" localSheetId="23">#REF!</definedName>
    <definedName name="_15_3__Crite" localSheetId="6">#REF!</definedName>
    <definedName name="_15_3__Crite" localSheetId="10">#REF!</definedName>
    <definedName name="_15_3__Crite">#REF!</definedName>
    <definedName name="_15Excel_BuiltIn_Print_Area_4_1_1_1_1_1_1_1_1_1_1_1_1" localSheetId="23">#REF!</definedName>
    <definedName name="_15Excel_BuiltIn_Print_Area_4_1_1_1_1_1_1_1_1_1_1_1_1" localSheetId="6">#REF!</definedName>
    <definedName name="_15Excel_BuiltIn_Print_Area_4_1_1_1_1_1_1_1_1_1_1_1_1" localSheetId="10">#REF!</definedName>
    <definedName name="_15Excel_BuiltIn_Print_Area_4_1_1_1_1_1_1_1_1_1_1_1_1">#REF!</definedName>
    <definedName name="_15MACROS_IMPRESSION_.Choix" localSheetId="23">#REF!</definedName>
    <definedName name="_15MACROS_IMPRESSION_.Choix" localSheetId="6">#REF!</definedName>
    <definedName name="_15MACROS_IMPRESSION_.Choix" localSheetId="10">#REF!</definedName>
    <definedName name="_15MACROS_IMPRESSION_.Choix">#REF!</definedName>
    <definedName name="_16Excel_BuiltIn_Print_Titles_4_1" localSheetId="23">#REF!</definedName>
    <definedName name="_16Excel_BuiltIn_Print_Titles_4_1" localSheetId="6">#REF!</definedName>
    <definedName name="_16Excel_BuiltIn_Print_Titles_4_1" localSheetId="10">#REF!</definedName>
    <definedName name="_16Excel_BuiltIn_Print_Titles_4_1">#REF!</definedName>
    <definedName name="_16MACROS_IMPRESSION_.Démare" localSheetId="23">#REF!</definedName>
    <definedName name="_16MACROS_IMPRESSION_.Démare" localSheetId="6">#REF!</definedName>
    <definedName name="_16MACROS_IMPRESSION_.Démare" localSheetId="10">#REF!</definedName>
    <definedName name="_16MACROS_IMPRESSION_.Démare">#REF!</definedName>
    <definedName name="_17_3__Criteria" localSheetId="23">#REF!</definedName>
    <definedName name="_17_3__Criteria" localSheetId="6">#REF!</definedName>
    <definedName name="_17_3__Criteria" localSheetId="10">#REF!</definedName>
    <definedName name="_17_3__Criteria">#REF!</definedName>
    <definedName name="_19G_0Extr" localSheetId="23">#REF!</definedName>
    <definedName name="_19G_0Extr" localSheetId="6">#REF!</definedName>
    <definedName name="_19G_0Extr" localSheetId="10">#REF!</definedName>
    <definedName name="_19G_0Extr">#REF!</definedName>
    <definedName name="_1Excel_BuiltIn_Print_Area_1">"$#REF!.$A$1:$U$39"</definedName>
    <definedName name="_1MACRO_3___Roof_Plate_.resolution" localSheetId="23">#REF!</definedName>
    <definedName name="_1MACRO_3___Roof_Plate_.resolution" localSheetId="6">#REF!</definedName>
    <definedName name="_1MACRO_3___Roof_Plate_.resolution" localSheetId="10">#REF!</definedName>
    <definedName name="_1MACRO_3___Roof_Plate_.resolution">#REF!</definedName>
    <definedName name="_2" localSheetId="23">#REF!</definedName>
    <definedName name="_2" localSheetId="6">#REF!</definedName>
    <definedName name="_2" localSheetId="10">#REF!</definedName>
    <definedName name="_2">#REF!</definedName>
    <definedName name="_2____123Graph_BCHART_1" localSheetId="23">#REF!</definedName>
    <definedName name="_2____123Graph_BCHART_1" localSheetId="6">#REF!</definedName>
    <definedName name="_2____123Graph_BCHART_1" localSheetId="10">#REF!</definedName>
    <definedName name="_2____123Graph_BCHART_1">#REF!</definedName>
    <definedName name="_2___123Graph_BCHART_1" localSheetId="23">#REF!</definedName>
    <definedName name="_2___123Graph_BCHART_1" localSheetId="6">#REF!</definedName>
    <definedName name="_2___123Graph_BCHART_1" localSheetId="10">#REF!</definedName>
    <definedName name="_2___123Graph_BCHART_1">#REF!</definedName>
    <definedName name="_2___c" localSheetId="23">#REF!</definedName>
    <definedName name="_2___c" localSheetId="6">#REF!</definedName>
    <definedName name="_2___c" localSheetId="10">#REF!</definedName>
    <definedName name="_2___c">#REF!</definedName>
    <definedName name="_2__123Graph_BCHART_1" localSheetId="23">#REF!</definedName>
    <definedName name="_2__123Graph_BCHART_1" localSheetId="6">#REF!</definedName>
    <definedName name="_2__123Graph_BCHART_1" localSheetId="10">#REF!</definedName>
    <definedName name="_2__123Graph_BCHART_1">#REF!</definedName>
    <definedName name="_2__a____i" localSheetId="23">#REF!</definedName>
    <definedName name="_2__a____i" localSheetId="6">#REF!</definedName>
    <definedName name="_2__a____i" localSheetId="10">#REF!</definedName>
    <definedName name="_2__a____i">#REF!</definedName>
    <definedName name="_2__a____ii" localSheetId="23">#REF!</definedName>
    <definedName name="_2__a____ii" localSheetId="6">#REF!</definedName>
    <definedName name="_2__a____ii" localSheetId="10">#REF!</definedName>
    <definedName name="_2__a____ii">#REF!</definedName>
    <definedName name="_2__a____iii" localSheetId="23">#REF!</definedName>
    <definedName name="_2__a____iii" localSheetId="6">#REF!</definedName>
    <definedName name="_2__a____iii" localSheetId="10">#REF!</definedName>
    <definedName name="_2__a____iii">#REF!</definedName>
    <definedName name="_2__b" localSheetId="23">#REF!</definedName>
    <definedName name="_2__b" localSheetId="6">#REF!</definedName>
    <definedName name="_2__b" localSheetId="10">#REF!</definedName>
    <definedName name="_2__b">#REF!</definedName>
    <definedName name="_2__c" localSheetId="23">#REF!</definedName>
    <definedName name="_2__c" localSheetId="6">#REF!</definedName>
    <definedName name="_2__c" localSheetId="10">#REF!</definedName>
    <definedName name="_2__c">#REF!</definedName>
    <definedName name="_21G_0Extract" localSheetId="23">#REF!</definedName>
    <definedName name="_21G_0Extract" localSheetId="6">#REF!</definedName>
    <definedName name="_21G_0Extract" localSheetId="10">#REF!</definedName>
    <definedName name="_21G_0Extract">#REF!</definedName>
    <definedName name="_23G__Extr" localSheetId="23">#REF!</definedName>
    <definedName name="_23G__Extr" localSheetId="6">#REF!</definedName>
    <definedName name="_23G__Extr" localSheetId="10">#REF!</definedName>
    <definedName name="_23G__Extr">#REF!</definedName>
    <definedName name="_25G__Extract" localSheetId="23">#REF!</definedName>
    <definedName name="_25G__Extract" localSheetId="6">#REF!</definedName>
    <definedName name="_25G__Extract" localSheetId="10">#REF!</definedName>
    <definedName name="_25G__Extract">#REF!</definedName>
    <definedName name="_2Excel_BuiltIn_Print_Area_10">"$#REF!.$A$1:$V$42"</definedName>
    <definedName name="_2MACRO_SOMMAIRE_.Bouton1_QuandClic" localSheetId="23">#REF!</definedName>
    <definedName name="_2MACRO_SOMMAIRE_.Bouton1_QuandClic" localSheetId="6">#REF!</definedName>
    <definedName name="_2MACRO_SOMMAIRE_.Bouton1_QuandClic" localSheetId="10">#REF!</definedName>
    <definedName name="_2MACRO_SOMMAIRE_.Bouton1_QuandClic">#REF!</definedName>
    <definedName name="_3" localSheetId="23">#REF!</definedName>
    <definedName name="_3" localSheetId="6">#REF!</definedName>
    <definedName name="_3" localSheetId="10">#REF!</definedName>
    <definedName name="_3">#REF!</definedName>
    <definedName name="_3_______________aq" localSheetId="23">#REF!</definedName>
    <definedName name="_3_______________aq" localSheetId="6">#REF!</definedName>
    <definedName name="_3_______________aq" localSheetId="10">#REF!</definedName>
    <definedName name="_3_______________aq">#REF!</definedName>
    <definedName name="_3______________b" localSheetId="23">#REF!</definedName>
    <definedName name="_3______________b" localSheetId="6">#REF!</definedName>
    <definedName name="_3______________b" localSheetId="10">#REF!</definedName>
    <definedName name="_3______________b">#REF!</definedName>
    <definedName name="_3___________e" localSheetId="23">#REF!</definedName>
    <definedName name="_3___________e" localSheetId="6">#REF!</definedName>
    <definedName name="_3___________e" localSheetId="10">#REF!</definedName>
    <definedName name="_3___________e">#REF!</definedName>
    <definedName name="_3________e" localSheetId="23">#REF!</definedName>
    <definedName name="_3________e" localSheetId="6">#REF!</definedName>
    <definedName name="_3________e" localSheetId="10">#REF!</definedName>
    <definedName name="_3________e">#REF!</definedName>
    <definedName name="_3____123Graph_CCHART_1" localSheetId="23">#REF!</definedName>
    <definedName name="_3____123Graph_CCHART_1" localSheetId="6">#REF!</definedName>
    <definedName name="_3____123Graph_CCHART_1" localSheetId="10">#REF!</definedName>
    <definedName name="_3____123Graph_CCHART_1">#REF!</definedName>
    <definedName name="_3____c" localSheetId="23">#REF!</definedName>
    <definedName name="_3____c" localSheetId="6">#REF!</definedName>
    <definedName name="_3____c" localSheetId="10">#REF!</definedName>
    <definedName name="_3____c">#REF!</definedName>
    <definedName name="_3___123Graph_CCHART_1" localSheetId="23">#REF!</definedName>
    <definedName name="_3___123Graph_CCHART_1" localSheetId="6">#REF!</definedName>
    <definedName name="_3___123Graph_CCHART_1" localSheetId="10">#REF!</definedName>
    <definedName name="_3___123Graph_CCHART_1">#REF!</definedName>
    <definedName name="_3___f" localSheetId="23">#REF!</definedName>
    <definedName name="_3___f" localSheetId="6">#REF!</definedName>
    <definedName name="_3___f" localSheetId="10">#REF!</definedName>
    <definedName name="_3___f">#REF!</definedName>
    <definedName name="_3__123Graph_CCHART_1" localSheetId="23">#REF!</definedName>
    <definedName name="_3__123Graph_CCHART_1" localSheetId="6">#REF!</definedName>
    <definedName name="_3__123Graph_CCHART_1" localSheetId="10">#REF!</definedName>
    <definedName name="_3__123Graph_CCHART_1">#REF!</definedName>
    <definedName name="_3__a" localSheetId="23">#REF!</definedName>
    <definedName name="_3__a" localSheetId="6">#REF!</definedName>
    <definedName name="_3__a" localSheetId="10">#REF!</definedName>
    <definedName name="_3__a">#REF!</definedName>
    <definedName name="_3__b" localSheetId="23">#REF!</definedName>
    <definedName name="_3__b" localSheetId="6">#REF!</definedName>
    <definedName name="_3__b" localSheetId="10">#REF!</definedName>
    <definedName name="_3__b">#REF!</definedName>
    <definedName name="_3__e" localSheetId="23">#REF!</definedName>
    <definedName name="_3__e" localSheetId="6">#REF!</definedName>
    <definedName name="_3__e" localSheetId="10">#REF!</definedName>
    <definedName name="_3__e">#REF!</definedName>
    <definedName name="_3_3a" localSheetId="23">#REF!</definedName>
    <definedName name="_3_3a" localSheetId="6">#REF!</definedName>
    <definedName name="_3_3a" localSheetId="10">#REF!</definedName>
    <definedName name="_3_3a">#REF!</definedName>
    <definedName name="_3_a" localSheetId="23">#REF!</definedName>
    <definedName name="_3_a" localSheetId="6">#REF!</definedName>
    <definedName name="_3_a" localSheetId="10">#REF!</definedName>
    <definedName name="_3_a">#REF!</definedName>
    <definedName name="_31_Mar_02" localSheetId="23">#REF!</definedName>
    <definedName name="_31_Mar_02" localSheetId="6">#REF!</definedName>
    <definedName name="_31_Mar_02" localSheetId="10">#REF!</definedName>
    <definedName name="_31_Mar_02">#REF!</definedName>
    <definedName name="_3Excel_BuiltIn_Print_Area_11">"$#REF!.$A$1:$V$46"</definedName>
    <definedName name="_3MACRO_SOMMAIRE_.Bouton10_QuandClic" localSheetId="23">#REF!</definedName>
    <definedName name="_3MACRO_SOMMAIRE_.Bouton10_QuandClic" localSheetId="6">#REF!</definedName>
    <definedName name="_3MACRO_SOMMAIRE_.Bouton10_QuandClic" localSheetId="10">#REF!</definedName>
    <definedName name="_3MACRO_SOMMAIRE_.Bouton10_QuandClic">#REF!</definedName>
    <definedName name="_4" localSheetId="23">#REF!</definedName>
    <definedName name="_4" localSheetId="6">#REF!</definedName>
    <definedName name="_4" localSheetId="10">#REF!</definedName>
    <definedName name="_4">#REF!</definedName>
    <definedName name="_4_" localSheetId="23">#REF!</definedName>
    <definedName name="_4_" localSheetId="6">#REF!</definedName>
    <definedName name="_4_" localSheetId="10">#REF!</definedName>
    <definedName name="_4_">#REF!</definedName>
    <definedName name="_4_____________" localSheetId="23">#REF!</definedName>
    <definedName name="_4_____________" localSheetId="6">#REF!</definedName>
    <definedName name="_4_____________" localSheetId="10">#REF!</definedName>
    <definedName name="_4_____________">#REF!</definedName>
    <definedName name="_4______a______ii" localSheetId="23">#REF!</definedName>
    <definedName name="_4______a______ii" localSheetId="6">#REF!</definedName>
    <definedName name="_4______a______ii" localSheetId="10">#REF!</definedName>
    <definedName name="_4______a______ii">#REF!</definedName>
    <definedName name="_4______a_____ii" localSheetId="23">#REF!</definedName>
    <definedName name="_4______a_____ii" localSheetId="6">#REF!</definedName>
    <definedName name="_4______a_____ii" localSheetId="10">#REF!</definedName>
    <definedName name="_4______a_____ii">#REF!</definedName>
    <definedName name="_4______i____" localSheetId="23">#REF!</definedName>
    <definedName name="_4______i____" localSheetId="6">#REF!</definedName>
    <definedName name="_4______i____" localSheetId="10">#REF!</definedName>
    <definedName name="_4______i____">#REF!</definedName>
    <definedName name="_4____b________i" localSheetId="23">#REF!</definedName>
    <definedName name="_4____b________i" localSheetId="6">#REF!</definedName>
    <definedName name="_4____b________i" localSheetId="10">#REF!</definedName>
    <definedName name="_4____b________i">#REF!</definedName>
    <definedName name="_4___123Graph_ACHART_1" localSheetId="23">#REF!</definedName>
    <definedName name="_4___123Graph_ACHART_1" localSheetId="6">#REF!</definedName>
    <definedName name="_4___123Graph_ACHART_1" localSheetId="10">#REF!</definedName>
    <definedName name="_4___123Graph_ACHART_1">#REF!</definedName>
    <definedName name="_4___b" localSheetId="23">#REF!</definedName>
    <definedName name="_4___b" localSheetId="6">#REF!</definedName>
    <definedName name="_4___b" localSheetId="10">#REF!</definedName>
    <definedName name="_4___b">#REF!</definedName>
    <definedName name="_4__123Graph_ACHART_1" localSheetId="23">#REF!</definedName>
    <definedName name="_4__123Graph_ACHART_1" localSheetId="6">#REF!</definedName>
    <definedName name="_4__123Graph_ACHART_1" localSheetId="10">#REF!</definedName>
    <definedName name="_4__123Graph_ACHART_1">#REF!</definedName>
    <definedName name="_4__a____i" localSheetId="23">#REF!</definedName>
    <definedName name="_4__a____i" localSheetId="6">#REF!</definedName>
    <definedName name="_4__a____i" localSheetId="10">#REF!</definedName>
    <definedName name="_4__a____i">#REF!</definedName>
    <definedName name="_4__a____ii" localSheetId="23">#REF!</definedName>
    <definedName name="_4__a____ii" localSheetId="6">#REF!</definedName>
    <definedName name="_4__a____ii" localSheetId="10">#REF!</definedName>
    <definedName name="_4__a____ii">#REF!</definedName>
    <definedName name="_4__a____iii" localSheetId="23">#REF!</definedName>
    <definedName name="_4__a____iii" localSheetId="6">#REF!</definedName>
    <definedName name="_4__a____iii" localSheetId="10">#REF!</definedName>
    <definedName name="_4__a____iii">#REF!</definedName>
    <definedName name="_4__b___iv" localSheetId="23">#REF!</definedName>
    <definedName name="_4__b___iv" localSheetId="6">#REF!</definedName>
    <definedName name="_4__b___iv" localSheetId="10">#REF!</definedName>
    <definedName name="_4__b___iv">#REF!</definedName>
    <definedName name="_4_a______________iii" localSheetId="23">#REF!</definedName>
    <definedName name="_4_a______________iii" localSheetId="6">#REF!</definedName>
    <definedName name="_4_a______________iii" localSheetId="10">#REF!</definedName>
    <definedName name="_4_a______________iii">#REF!</definedName>
    <definedName name="_4_a___iv" localSheetId="23">#REF!</definedName>
    <definedName name="_4_a___iv" localSheetId="6">#REF!</definedName>
    <definedName name="_4_a___iv" localSheetId="10">#REF!</definedName>
    <definedName name="_4_a___iv">#REF!</definedName>
    <definedName name="_4_a___v" localSheetId="23">#REF!</definedName>
    <definedName name="_4_a___v" localSheetId="6">#REF!</definedName>
    <definedName name="_4_a___v" localSheetId="10">#REF!</definedName>
    <definedName name="_4_a___v">#REF!</definedName>
    <definedName name="_4_b_________iiiiiii" localSheetId="23">#REF!</definedName>
    <definedName name="_4_b_________iiiiiii" localSheetId="6">#REF!</definedName>
    <definedName name="_4_b_________iiiiiii" localSheetId="10">#REF!</definedName>
    <definedName name="_4_b_________iiiiiii">#REF!</definedName>
    <definedName name="_4_b___i" localSheetId="23">#REF!</definedName>
    <definedName name="_4_b___i" localSheetId="6">#REF!</definedName>
    <definedName name="_4_b___i" localSheetId="10">#REF!</definedName>
    <definedName name="_4_b___i">#REF!</definedName>
    <definedName name="_4_b___ii" localSheetId="23">#REF!</definedName>
    <definedName name="_4_b___ii" localSheetId="6">#REF!</definedName>
    <definedName name="_4_b___ii" localSheetId="10">#REF!</definedName>
    <definedName name="_4_b___ii">#REF!</definedName>
    <definedName name="_4_b___iii" localSheetId="23">#REF!</definedName>
    <definedName name="_4_b___iii" localSheetId="6">#REF!</definedName>
    <definedName name="_4_b___iii" localSheetId="10">#REF!</definedName>
    <definedName name="_4_b___iii">#REF!</definedName>
    <definedName name="_4_b_iv_______" localSheetId="23">#REF!</definedName>
    <definedName name="_4_b_iv_______" localSheetId="6">#REF!</definedName>
    <definedName name="_4_b_iv_______" localSheetId="10">#REF!</definedName>
    <definedName name="_4_b_iv_______">#REF!</definedName>
    <definedName name="_4C_x" localSheetId="23">#REF!</definedName>
    <definedName name="_4C_x" localSheetId="6">#REF!</definedName>
    <definedName name="_4C_x" localSheetId="10">#REF!</definedName>
    <definedName name="_4C_x">#REF!</definedName>
    <definedName name="_4Excel_BuiltIn_Print_Area_12">"$#REF!.$A$1:$P$83"</definedName>
    <definedName name="_4MACRO_SOMMAIRE_.Bouton11_QuandClic" localSheetId="23">#REF!</definedName>
    <definedName name="_4MACRO_SOMMAIRE_.Bouton11_QuandClic" localSheetId="6">#REF!</definedName>
    <definedName name="_4MACRO_SOMMAIRE_.Bouton11_QuandClic" localSheetId="10">#REF!</definedName>
    <definedName name="_4MACRO_SOMMAIRE_.Bouton11_QuandClic">#REF!</definedName>
    <definedName name="_5___123Graph_BCHART_1" localSheetId="23">#REF!</definedName>
    <definedName name="_5___123Graph_BCHART_1" localSheetId="6">#REF!</definedName>
    <definedName name="_5___123Graph_BCHART_1" localSheetId="10">#REF!</definedName>
    <definedName name="_5___123Graph_BCHART_1">#REF!</definedName>
    <definedName name="_5___c" localSheetId="23">#REF!</definedName>
    <definedName name="_5___c" localSheetId="6">#REF!</definedName>
    <definedName name="_5___c" localSheetId="10">#REF!</definedName>
    <definedName name="_5___c">#REF!</definedName>
    <definedName name="_5___ci" localSheetId="23">#REF!</definedName>
    <definedName name="_5___ci" localSheetId="6">#REF!</definedName>
    <definedName name="_5___ci" localSheetId="10">#REF!</definedName>
    <definedName name="_5___ci">#REF!</definedName>
    <definedName name="_5__123Graph_BCHART_1" localSheetId="23">#REF!</definedName>
    <definedName name="_5__123Graph_BCHART_1" localSheetId="6">#REF!</definedName>
    <definedName name="_5__123Graph_BCHART_1" localSheetId="10">#REF!</definedName>
    <definedName name="_5__123Graph_BCHART_1">#REF!</definedName>
    <definedName name="_5__a____i" localSheetId="23">#REF!</definedName>
    <definedName name="_5__a____i" localSheetId="6">#REF!</definedName>
    <definedName name="_5__a____i" localSheetId="10">#REF!</definedName>
    <definedName name="_5__a____i">#REF!</definedName>
    <definedName name="_5__a___ii" localSheetId="23">#REF!</definedName>
    <definedName name="_5__a___ii" localSheetId="6">#REF!</definedName>
    <definedName name="_5__a___ii" localSheetId="10">#REF!</definedName>
    <definedName name="_5__a___ii">#REF!</definedName>
    <definedName name="_5__b" localSheetId="23">#REF!</definedName>
    <definedName name="_5__b" localSheetId="6">#REF!</definedName>
    <definedName name="_5__b" localSheetId="10">#REF!</definedName>
    <definedName name="_5__b">#REF!</definedName>
    <definedName name="_5Excel_BuiltIn_Print_Area_2">"$#REF!.$A$1:$U$38"</definedName>
    <definedName name="_5MACRO_SOMMAIRE_.Bouton12_QuandClic" localSheetId="23">#REF!</definedName>
    <definedName name="_5MACRO_SOMMAIRE_.Bouton12_QuandClic" localSheetId="6">#REF!</definedName>
    <definedName name="_5MACRO_SOMMAIRE_.Bouton12_QuandClic" localSheetId="10">#REF!</definedName>
    <definedName name="_5MACRO_SOMMAIRE_.Bouton12_QuandClic">#REF!</definedName>
    <definedName name="_6___123Graph_CCHART_1" localSheetId="23">#REF!</definedName>
    <definedName name="_6___123Graph_CCHART_1" localSheetId="6">#REF!</definedName>
    <definedName name="_6___123Graph_CCHART_1" localSheetId="10">#REF!</definedName>
    <definedName name="_6___123Graph_CCHART_1">#REF!</definedName>
    <definedName name="_6___c" localSheetId="23">#REF!</definedName>
    <definedName name="_6___c" localSheetId="6">#REF!</definedName>
    <definedName name="_6___c" localSheetId="10">#REF!</definedName>
    <definedName name="_6___c">#REF!</definedName>
    <definedName name="_6__123Graph_CCHART_1" localSheetId="23">#REF!</definedName>
    <definedName name="_6__123Graph_CCHART_1" localSheetId="6">#REF!</definedName>
    <definedName name="_6__123Graph_CCHART_1" localSheetId="10">#REF!</definedName>
    <definedName name="_6__123Graph_CCHART_1">#REF!</definedName>
    <definedName name="_6__a" localSheetId="23">#REF!</definedName>
    <definedName name="_6__a" localSheetId="6">#REF!</definedName>
    <definedName name="_6__a" localSheetId="10">#REF!</definedName>
    <definedName name="_6__a">#REF!</definedName>
    <definedName name="_6__b" localSheetId="23">#REF!</definedName>
    <definedName name="_6__b" localSheetId="6">#REF!</definedName>
    <definedName name="_6__b" localSheetId="10">#REF!</definedName>
    <definedName name="_6__b">#REF!</definedName>
    <definedName name="_6__d" localSheetId="23">#REF!</definedName>
    <definedName name="_6__d" localSheetId="6">#REF!</definedName>
    <definedName name="_6__d" localSheetId="10">#REF!</definedName>
    <definedName name="_6__d">#REF!</definedName>
    <definedName name="_6Excel_BuiltIn_Print_Area_1_1" localSheetId="23">#REF!</definedName>
    <definedName name="_6Excel_BuiltIn_Print_Area_1_1" localSheetId="6">#REF!</definedName>
    <definedName name="_6Excel_BuiltIn_Print_Area_1_1" localSheetId="10">#REF!</definedName>
    <definedName name="_6Excel_BuiltIn_Print_Area_1_1">#REF!</definedName>
    <definedName name="_6Excel_BuiltIn_Print_Area_3">"$#REF!.$A$1:$R$38"</definedName>
    <definedName name="_6MACRO_SOMMAIRE_.Bouton13_QuandClic" localSheetId="23">#REF!</definedName>
    <definedName name="_6MACRO_SOMMAIRE_.Bouton13_QuandClic" localSheetId="6">#REF!</definedName>
    <definedName name="_6MACRO_SOMMAIRE_.Bouton13_QuandClic" localSheetId="10">#REF!</definedName>
    <definedName name="_6MACRO_SOMMAIRE_.Bouton13_QuandClic">#REF!</definedName>
    <definedName name="_7__123Graph_ACHART_1" localSheetId="23">#REF!</definedName>
    <definedName name="_7__123Graph_ACHART_1" localSheetId="6">#REF!</definedName>
    <definedName name="_7__123Graph_ACHART_1" localSheetId="10">#REF!</definedName>
    <definedName name="_7__123Graph_ACHART_1">#REF!</definedName>
    <definedName name="_7_a" localSheetId="23">#REF!</definedName>
    <definedName name="_7_a" localSheetId="6">#REF!</definedName>
    <definedName name="_7_a" localSheetId="10">#REF!</definedName>
    <definedName name="_7_a">#REF!</definedName>
    <definedName name="_7Excel_BuiltIn_Print_Area_4_1" localSheetId="23">#REF!</definedName>
    <definedName name="_7Excel_BuiltIn_Print_Area_4_1" localSheetId="6">#REF!</definedName>
    <definedName name="_7Excel_BuiltIn_Print_Area_4_1" localSheetId="10">#REF!</definedName>
    <definedName name="_7Excel_BuiltIn_Print_Area_4_1">#REF!</definedName>
    <definedName name="_7MACRO_SOMMAIRE_.Bouton2_QuandClic" localSheetId="23">#REF!</definedName>
    <definedName name="_7MACRO_SOMMAIRE_.Bouton2_QuandClic" localSheetId="6">#REF!</definedName>
    <definedName name="_7MACRO_SOMMAIRE_.Bouton2_QuandClic" localSheetId="10">#REF!</definedName>
    <definedName name="_7MACRO_SOMMAIRE_.Bouton2_QuandClic">#REF!</definedName>
    <definedName name="_8__123Graph_BCHART_1" localSheetId="23">#REF!</definedName>
    <definedName name="_8__123Graph_BCHART_1" localSheetId="6">#REF!</definedName>
    <definedName name="_8__123Graph_BCHART_1" localSheetId="10">#REF!</definedName>
    <definedName name="_8__123Graph_BCHART_1">#REF!</definedName>
    <definedName name="_8__a___x" localSheetId="23">#REF!</definedName>
    <definedName name="_8__a___x" localSheetId="6">#REF!</definedName>
    <definedName name="_8__a___x" localSheetId="10">#REF!</definedName>
    <definedName name="_8__a___x">#REF!</definedName>
    <definedName name="_8Excel_BuiltIn_Print_Area_4_1_1" localSheetId="23">#REF!</definedName>
    <definedName name="_8Excel_BuiltIn_Print_Area_4_1_1" localSheetId="6">#REF!</definedName>
    <definedName name="_8Excel_BuiltIn_Print_Area_4_1_1" localSheetId="10">#REF!</definedName>
    <definedName name="_8Excel_BuiltIn_Print_Area_4_1_1">#REF!</definedName>
    <definedName name="_8MACRO_SOMMAIRE_.Bouton3_QuandClic" localSheetId="23">#REF!</definedName>
    <definedName name="_8MACRO_SOMMAIRE_.Bouton3_QuandClic" localSheetId="6">#REF!</definedName>
    <definedName name="_8MACRO_SOMMAIRE_.Bouton3_QuandClic" localSheetId="10">#REF!</definedName>
    <definedName name="_8MACRO_SOMMAIRE_.Bouton3_QuandClic">#REF!</definedName>
    <definedName name="_9__123Graph_CCHART_1" localSheetId="23">#REF!</definedName>
    <definedName name="_9__123Graph_CCHART_1" localSheetId="6">#REF!</definedName>
    <definedName name="_9__123Graph_CCHART_1" localSheetId="10">#REF!</definedName>
    <definedName name="_9__123Graph_CCHART_1">#REF!</definedName>
    <definedName name="_9Excel_BuiltIn_Print_Area_4_1_1_1" localSheetId="23">#REF!</definedName>
    <definedName name="_9Excel_BuiltIn_Print_Area_4_1_1_1" localSheetId="6">#REF!</definedName>
    <definedName name="_9Excel_BuiltIn_Print_Area_4_1_1_1" localSheetId="10">#REF!</definedName>
    <definedName name="_9Excel_BuiltIn_Print_Area_4_1_1_1">#REF!</definedName>
    <definedName name="_9Excel_BuiltIn_Print_Area_6">"$#REF!.$A$1:$K$50"</definedName>
    <definedName name="_9MACRO_SOMMAIRE_.Bouton4_QuandClic" localSheetId="23">#REF!</definedName>
    <definedName name="_9MACRO_SOMMAIRE_.Bouton4_QuandClic" localSheetId="6">#REF!</definedName>
    <definedName name="_9MACRO_SOMMAIRE_.Bouton4_QuandClic" localSheetId="10">#REF!</definedName>
    <definedName name="_9MACRO_SOMMAIRE_.Bouton4_QuandClic">#REF!</definedName>
    <definedName name="_A20000" localSheetId="23">#REF!</definedName>
    <definedName name="_A20000" localSheetId="6">#REF!</definedName>
    <definedName name="_A20000" localSheetId="10">#REF!</definedName>
    <definedName name="_A20000">#REF!</definedName>
    <definedName name="_A65537" localSheetId="23">#REF!</definedName>
    <definedName name="_A65537" localSheetId="6">#REF!</definedName>
    <definedName name="_A65537" localSheetId="10">#REF!</definedName>
    <definedName name="_A65537">#REF!</definedName>
    <definedName name="_A655600" localSheetId="23">#REF!</definedName>
    <definedName name="_A655600" localSheetId="6">#REF!</definedName>
    <definedName name="_A655600" localSheetId="10">#REF!</definedName>
    <definedName name="_A655600">#REF!</definedName>
    <definedName name="_A80000" localSheetId="23">#REF!</definedName>
    <definedName name="_A80000" localSheetId="6">#REF!</definedName>
    <definedName name="_A80000" localSheetId="10">#REF!</definedName>
    <definedName name="_A80000">#REF!</definedName>
    <definedName name="_aba2" localSheetId="23">#REF!</definedName>
    <definedName name="_aba2" localSheetId="6">#REF!</definedName>
    <definedName name="_aba2" localSheetId="10">#REF!</definedName>
    <definedName name="_aba2">#REF!</definedName>
    <definedName name="_adj1" localSheetId="23">#REF!</definedName>
    <definedName name="_adj1" localSheetId="6">#REF!</definedName>
    <definedName name="_adj1" localSheetId="10">#REF!</definedName>
    <definedName name="_adj1">#REF!</definedName>
    <definedName name="_ahu1" localSheetId="23">#REF!</definedName>
    <definedName name="_ahu1" localSheetId="6">#REF!</definedName>
    <definedName name="_ahu1" localSheetId="10">#REF!</definedName>
    <definedName name="_ahu1">#REF!</definedName>
    <definedName name="_ahu2" localSheetId="23">#REF!</definedName>
    <definedName name="_ahu2" localSheetId="6">#REF!</definedName>
    <definedName name="_ahu2" localSheetId="10">#REF!</definedName>
    <definedName name="_ahu2">#REF!</definedName>
    <definedName name="_am1" localSheetId="23">#REF!</definedName>
    <definedName name="_am1" localSheetId="6">#REF!</definedName>
    <definedName name="_am1" localSheetId="10">#REF!</definedName>
    <definedName name="_am1">#REF!</definedName>
    <definedName name="_am2" localSheetId="23">#REF!</definedName>
    <definedName name="_am2" localSheetId="6">#REF!</definedName>
    <definedName name="_am2" localSheetId="10">#REF!</definedName>
    <definedName name="_am2">#REF!</definedName>
    <definedName name="_AOC2" localSheetId="23">#REF!</definedName>
    <definedName name="_AOC2" localSheetId="6">#REF!</definedName>
    <definedName name="_AOC2" localSheetId="10">#REF!</definedName>
    <definedName name="_AOC2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 localSheetId="23">#REF!</definedName>
    <definedName name="_AUX3" localSheetId="6">#REF!</definedName>
    <definedName name="_AUX3" localSheetId="10">#REF!</definedName>
    <definedName name="_AUX3">#REF!</definedName>
    <definedName name="_AXX1" localSheetId="23">#REF!</definedName>
    <definedName name="_AXX1" localSheetId="6">#REF!</definedName>
    <definedName name="_AXX1" localSheetId="10">#REF!</definedName>
    <definedName name="_AXX1">#REF!</definedName>
    <definedName name="_axx2" localSheetId="23">#REF!</definedName>
    <definedName name="_axx2" localSheetId="6">#REF!</definedName>
    <definedName name="_axx2" localSheetId="10">#REF!</definedName>
    <definedName name="_axx2">#REF!</definedName>
    <definedName name="_BAS1" localSheetId="23">#REF!</definedName>
    <definedName name="_BAS1" localSheetId="6">#REF!</definedName>
    <definedName name="_BAS1" localSheetId="10">#REF!</definedName>
    <definedName name="_BAS1">#REF!</definedName>
    <definedName name="_bom1" localSheetId="23">#REF!</definedName>
    <definedName name="_bom1" localSheetId="6">#REF!</definedName>
    <definedName name="_bom1" localSheetId="10">#REF!</definedName>
    <definedName name="_bom1">#REF!</definedName>
    <definedName name="_BUB1" localSheetId="23">#REF!</definedName>
    <definedName name="_BUB1" localSheetId="6">#REF!</definedName>
    <definedName name="_BUB1" localSheetId="10">#REF!</definedName>
    <definedName name="_BUB1">#REF!</definedName>
    <definedName name="_BUB2" localSheetId="23">#REF!</definedName>
    <definedName name="_BUB2" localSheetId="6">#REF!</definedName>
    <definedName name="_BUB2" localSheetId="10">#REF!</definedName>
    <definedName name="_BUB2">#REF!</definedName>
    <definedName name="_C" localSheetId="23">#REF!</definedName>
    <definedName name="_C" localSheetId="6">#REF!</definedName>
    <definedName name="_C" localSheetId="10">#REF!</definedName>
    <definedName name="_C">#REF!</definedName>
    <definedName name="_C___0" localSheetId="23">#REF!</definedName>
    <definedName name="_C___0" localSheetId="6">#REF!</definedName>
    <definedName name="_C___0" localSheetId="10">#REF!</definedName>
    <definedName name="_C___0">#REF!</definedName>
    <definedName name="_C___13" localSheetId="23">#REF!</definedName>
    <definedName name="_C___13" localSheetId="6">#REF!</definedName>
    <definedName name="_C___13" localSheetId="10">#REF!</definedName>
    <definedName name="_C___13">#REF!</definedName>
    <definedName name="_CBR220" localSheetId="23">#REF!</definedName>
    <definedName name="_CBR220" localSheetId="6">#REF!</definedName>
    <definedName name="_CBR220" localSheetId="10">#REF!</definedName>
    <definedName name="_CBR220">#REF!</definedName>
    <definedName name="_CBR500" localSheetId="23">#REF!</definedName>
    <definedName name="_CBR500" localSheetId="6">#REF!</definedName>
    <definedName name="_CBR500" localSheetId="10">#REF!</definedName>
    <definedName name="_CBR500">#REF!</definedName>
    <definedName name="_CDT1" localSheetId="23">#REF!</definedName>
    <definedName name="_CDT1" localSheetId="6">#REF!</definedName>
    <definedName name="_CDT1" localSheetId="10">#REF!</definedName>
    <definedName name="_CDT1">#REF!</definedName>
    <definedName name="_CFB1" localSheetId="23">#REF!</definedName>
    <definedName name="_CFB1" localSheetId="6">#REF!</definedName>
    <definedName name="_CFB1" localSheetId="10">#REF!</definedName>
    <definedName name="_CFB1">#REF!</definedName>
    <definedName name="_CFB2" localSheetId="23">#REF!</definedName>
    <definedName name="_CFB2" localSheetId="6">#REF!</definedName>
    <definedName name="_CFB2" localSheetId="10">#REF!</definedName>
    <definedName name="_CFB2">#REF!</definedName>
    <definedName name="_CFB3" localSheetId="23">#REF!</definedName>
    <definedName name="_CFB3" localSheetId="6">#REF!</definedName>
    <definedName name="_CFB3" localSheetId="10">#REF!</definedName>
    <definedName name="_CFB3">#REF!</definedName>
    <definedName name="_CTR220" localSheetId="23">#REF!</definedName>
    <definedName name="_CTR220" localSheetId="6">#REF!</definedName>
    <definedName name="_CTR220" localSheetId="10">#REF!</definedName>
    <definedName name="_CTR220">#REF!</definedName>
    <definedName name="_CTR500" localSheetId="23">#REF!</definedName>
    <definedName name="_CTR500" localSheetId="6">#REF!</definedName>
    <definedName name="_CTR500" localSheetId="10">#REF!</definedName>
    <definedName name="_CTR500">#REF!</definedName>
    <definedName name="_CVT220" localSheetId="23">#REF!</definedName>
    <definedName name="_CVT220" localSheetId="6">#REF!</definedName>
    <definedName name="_CVT220" localSheetId="10">#REF!</definedName>
    <definedName name="_CVT220">#REF!</definedName>
    <definedName name="_CVT500" localSheetId="23">#REF!</definedName>
    <definedName name="_CVT500" localSheetId="6">#REF!</definedName>
    <definedName name="_CVT500" localSheetId="10">#REF!</definedName>
    <definedName name="_CVT500">#REF!</definedName>
    <definedName name="_DAT1" localSheetId="23">#REF!</definedName>
    <definedName name="_DAT1" localSheetId="6">#REF!</definedName>
    <definedName name="_DAT1" localSheetId="10">#REF!</definedName>
    <definedName name="_DAT1">#REF!</definedName>
    <definedName name="_DAT10" localSheetId="23">#REF!</definedName>
    <definedName name="_DAT10" localSheetId="6">#REF!</definedName>
    <definedName name="_DAT10" localSheetId="10">#REF!</definedName>
    <definedName name="_DAT10">#REF!</definedName>
    <definedName name="_DAT11" localSheetId="23">#REF!</definedName>
    <definedName name="_DAT11" localSheetId="6">#REF!</definedName>
    <definedName name="_DAT11" localSheetId="10">#REF!</definedName>
    <definedName name="_DAT11">#REF!</definedName>
    <definedName name="_DAT12" localSheetId="23">#REF!</definedName>
    <definedName name="_DAT12" localSheetId="6">#REF!</definedName>
    <definedName name="_DAT12" localSheetId="10">#REF!</definedName>
    <definedName name="_DAT12">#REF!</definedName>
    <definedName name="_DAT13" localSheetId="23">#REF!</definedName>
    <definedName name="_DAT13" localSheetId="6">#REF!</definedName>
    <definedName name="_DAT13" localSheetId="10">#REF!</definedName>
    <definedName name="_DAT13">#REF!</definedName>
    <definedName name="_DAT14" localSheetId="23">#REF!</definedName>
    <definedName name="_DAT14" localSheetId="6">#REF!</definedName>
    <definedName name="_DAT14" localSheetId="10">#REF!</definedName>
    <definedName name="_DAT14">#REF!</definedName>
    <definedName name="_DAT15" localSheetId="23">#REF!</definedName>
    <definedName name="_DAT15" localSheetId="6">#REF!</definedName>
    <definedName name="_DAT15" localSheetId="10">#REF!</definedName>
    <definedName name="_DAT15">#REF!</definedName>
    <definedName name="_DAT16" localSheetId="23">#REF!</definedName>
    <definedName name="_DAT16" localSheetId="6">#REF!</definedName>
    <definedName name="_DAT16" localSheetId="10">#REF!</definedName>
    <definedName name="_DAT16">#REF!</definedName>
    <definedName name="_DAT17" localSheetId="23">#REF!</definedName>
    <definedName name="_DAT17" localSheetId="6">#REF!</definedName>
    <definedName name="_DAT17" localSheetId="10">#REF!</definedName>
    <definedName name="_DAT17">#REF!</definedName>
    <definedName name="_DAT18" localSheetId="23">#REF!</definedName>
    <definedName name="_DAT18" localSheetId="6">#REF!</definedName>
    <definedName name="_DAT18" localSheetId="10">#REF!</definedName>
    <definedName name="_DAT18">#REF!</definedName>
    <definedName name="_DAT2" localSheetId="23">#REF!</definedName>
    <definedName name="_DAT2" localSheetId="6">#REF!</definedName>
    <definedName name="_DAT2" localSheetId="10">#REF!</definedName>
    <definedName name="_DAT2">#REF!</definedName>
    <definedName name="_DAT3" localSheetId="23">#REF!</definedName>
    <definedName name="_DAT3" localSheetId="6">#REF!</definedName>
    <definedName name="_DAT3" localSheetId="10">#REF!</definedName>
    <definedName name="_DAT3">#REF!</definedName>
    <definedName name="_DAT4" localSheetId="23">#REF!</definedName>
    <definedName name="_DAT4" localSheetId="6">#REF!</definedName>
    <definedName name="_DAT4" localSheetId="10">#REF!</definedName>
    <definedName name="_DAT4">#REF!</definedName>
    <definedName name="_DAT5" localSheetId="23">#REF!</definedName>
    <definedName name="_DAT5" localSheetId="6">#REF!</definedName>
    <definedName name="_DAT5" localSheetId="10">#REF!</definedName>
    <definedName name="_DAT5">#REF!</definedName>
    <definedName name="_DAT6" localSheetId="23">#REF!</definedName>
    <definedName name="_DAT6" localSheetId="6">#REF!</definedName>
    <definedName name="_DAT6" localSheetId="10">#REF!</definedName>
    <definedName name="_DAT6">#REF!</definedName>
    <definedName name="_DAT7" localSheetId="23">#REF!</definedName>
    <definedName name="_DAT7" localSheetId="6">#REF!</definedName>
    <definedName name="_DAT7" localSheetId="10">#REF!</definedName>
    <definedName name="_DAT7">#REF!</definedName>
    <definedName name="_DAT8" localSheetId="23">#REF!</definedName>
    <definedName name="_DAT8" localSheetId="6">#REF!</definedName>
    <definedName name="_DAT8" localSheetId="10">#REF!</definedName>
    <definedName name="_DAT8">#REF!</definedName>
    <definedName name="_DAT9" localSheetId="23">#REF!</definedName>
    <definedName name="_DAT9" localSheetId="6">#REF!</definedName>
    <definedName name="_DAT9" localSheetId="10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 hidden="1">{"'Sheet1'!$A$4386:$N$4591"}</definedName>
    <definedName name="_DET1" localSheetId="23">#REF!</definedName>
    <definedName name="_DET1" localSheetId="6">#REF!</definedName>
    <definedName name="_DET1" localSheetId="10">#REF!</definedName>
    <definedName name="_DET1">#REF!</definedName>
    <definedName name="_DET2" localSheetId="23">#REF!</definedName>
    <definedName name="_DET2" localSheetId="6">#REF!</definedName>
    <definedName name="_DET2" localSheetId="10">#REF!</definedName>
    <definedName name="_DET2">#REF!</definedName>
    <definedName name="_DET3" localSheetId="23">#REF!</definedName>
    <definedName name="_DET3" localSheetId="6">#REF!</definedName>
    <definedName name="_DET3" localSheetId="10">#REF!</definedName>
    <definedName name="_DET3">#REF!</definedName>
    <definedName name="_DET4" localSheetId="23">#REF!</definedName>
    <definedName name="_DET4" localSheetId="6">#REF!</definedName>
    <definedName name="_DET4" localSheetId="10">#REF!</definedName>
    <definedName name="_DET4">#REF!</definedName>
    <definedName name="_DET5" localSheetId="23">#REF!</definedName>
    <definedName name="_DET5" localSheetId="6">#REF!</definedName>
    <definedName name="_DET5" localSheetId="10">#REF!</definedName>
    <definedName name="_DET5">#REF!</definedName>
    <definedName name="_DET6" localSheetId="23">#REF!</definedName>
    <definedName name="_DET6" localSheetId="6">#REF!</definedName>
    <definedName name="_DET6" localSheetId="10">#REF!</definedName>
    <definedName name="_DET6">#REF!</definedName>
    <definedName name="_Dist_Bin" localSheetId="23">#REF!</definedName>
    <definedName name="_Dist_Bin" localSheetId="6">#REF!</definedName>
    <definedName name="_Dist_Bin" localSheetId="10">#REF!</definedName>
    <definedName name="_Dist_Bin">#REF!</definedName>
    <definedName name="_Dist_Values" localSheetId="23">#REF!</definedName>
    <definedName name="_Dist_Values" localSheetId="6">#REF!</definedName>
    <definedName name="_Dist_Values" localSheetId="10">#REF!</definedName>
    <definedName name="_Dist_Values">#REF!</definedName>
    <definedName name="_dol11" localSheetId="23">#REF!</definedName>
    <definedName name="_dol11" localSheetId="6">#REF!</definedName>
    <definedName name="_dol11" localSheetId="10">#REF!</definedName>
    <definedName name="_dol11">#REF!</definedName>
    <definedName name="_drg1" localSheetId="23">#REF!</definedName>
    <definedName name="_drg1" localSheetId="6">#REF!</definedName>
    <definedName name="_drg1" localSheetId="10">#REF!</definedName>
    <definedName name="_drg1">#REF!</definedName>
    <definedName name="_drg2" localSheetId="23">#REF!</definedName>
    <definedName name="_drg2" localSheetId="6">#REF!</definedName>
    <definedName name="_drg2" localSheetId="10">#REF!</definedName>
    <definedName name="_drg2">#REF!</definedName>
    <definedName name="_ELL45" localSheetId="23">#REF!</definedName>
    <definedName name="_ELL45" localSheetId="6">#REF!</definedName>
    <definedName name="_ELL45" localSheetId="10">#REF!</definedName>
    <definedName name="_ELL45">#REF!</definedName>
    <definedName name="_ELL90" localSheetId="23">#REF!</definedName>
    <definedName name="_ELL90" localSheetId="6">#REF!</definedName>
    <definedName name="_ELL90" localSheetId="10">#REF!</definedName>
    <definedName name="_ELL90">#REF!</definedName>
    <definedName name="_F1" localSheetId="23">#REF!</definedName>
    <definedName name="_F1" localSheetId="6">#REF!</definedName>
    <definedName name="_F1" localSheetId="10">#REF!</definedName>
    <definedName name="_F1">#REF!</definedName>
    <definedName name="_F3" localSheetId="23">#REF!</definedName>
    <definedName name="_F3" localSheetId="6">#REF!</definedName>
    <definedName name="_F3" localSheetId="10">#REF!</definedName>
    <definedName name="_F3">#REF!</definedName>
    <definedName name="_fac1" localSheetId="23">#REF!</definedName>
    <definedName name="_fac1" localSheetId="6">#REF!</definedName>
    <definedName name="_fac1" localSheetId="10">#REF!</definedName>
    <definedName name="_fac1">#REF!</definedName>
    <definedName name="_fac2" localSheetId="23">#REF!</definedName>
    <definedName name="_fac2" localSheetId="6">#REF!</definedName>
    <definedName name="_fac2" localSheetId="10">#REF!</definedName>
    <definedName name="_fac2">#REF!</definedName>
    <definedName name="_fac3" localSheetId="23">#REF!</definedName>
    <definedName name="_fac3" localSheetId="6">#REF!</definedName>
    <definedName name="_fac3" localSheetId="10">#REF!</definedName>
    <definedName name="_fac3">#REF!</definedName>
    <definedName name="_FF3" localSheetId="23">#REF!</definedName>
    <definedName name="_FF3" localSheetId="6">#REF!</definedName>
    <definedName name="_FF3" localSheetId="10">#REF!</definedName>
    <definedName name="_FF3">#REF!</definedName>
    <definedName name="_Fill" localSheetId="23">#REF!</definedName>
    <definedName name="_Fill" localSheetId="6">#REF!</definedName>
    <definedName name="_Fill" localSheetId="11" hidden="1">#REF!</definedName>
    <definedName name="_Fill" localSheetId="10">#REF!</definedName>
    <definedName name="_Fill">#REF!</definedName>
    <definedName name="_Fill_1" localSheetId="23">#REF!</definedName>
    <definedName name="_Fill_1" localSheetId="6">#REF!</definedName>
    <definedName name="_Fill_1" localSheetId="10">#REF!</definedName>
    <definedName name="_Fill_1">#REF!</definedName>
    <definedName name="_xlnm._FilterDatabase" localSheetId="16" hidden="1">'CS-220kV TM '!$A$9:$AM$55</definedName>
    <definedName name="_xlnm._FilterDatabase" localSheetId="19" hidden="1">'DS 400 kV LO'!$A$9:$AH$26</definedName>
    <definedName name="_xlnm._FilterDatabase" localSheetId="18" hidden="1">'DS 400kV LI'!$A$9:$AI$137</definedName>
    <definedName name="_xlnm._FilterDatabase" localSheetId="17" hidden="1">'DS-220 KV TM'!$A$9:$AI$69</definedName>
    <definedName name="_xlnm._FilterDatabase" localSheetId="24" hidden="1">Earthing!$A$2:$I$101</definedName>
    <definedName name="_xlnm._FilterDatabase" localSheetId="25" hidden="1">'Earthing Balance'!$A$2:$F$2</definedName>
    <definedName name="_xlnm._FilterDatabase" localSheetId="23" hidden="1">Erection!$A$19:$K$52</definedName>
    <definedName name="_xlnm._FilterDatabase" localSheetId="21" hidden="1">FDN!$A$2:$L$166</definedName>
    <definedName name="_xlnm._FilterDatabase" localSheetId="6" hidden="1">'GANG Mapping MAY-26 '!$A$52:$N$74</definedName>
    <definedName name="_xlnm._FilterDatabase" localSheetId="11" hidden="1">'Progress 220KV TM'!$A$5:$S$39</definedName>
    <definedName name="_xlnm._FilterDatabase" localSheetId="9" hidden="1">'Progress 400kV QM'!$A$5:$FK$142</definedName>
    <definedName name="_xlnm._FilterDatabase" localSheetId="1" hidden="1">'Summary-'!$A$9:$M$41</definedName>
    <definedName name="_xlnm._FilterDatabase" localSheetId="5" hidden="1">WIP!$A$71:$K$142</definedName>
    <definedName name="_xlnm._FilterDatabase" hidden="1">'[4]SP Break Up'!$A$6:$I$39</definedName>
    <definedName name="_FilterDatabase_0" localSheetId="23">#REF!</definedName>
    <definedName name="_FilterDatabase_0" localSheetId="6">#REF!</definedName>
    <definedName name="_FilterDatabase_0" localSheetId="10">#REF!</definedName>
    <definedName name="_FilterDatabase_0">#REF!</definedName>
    <definedName name="_FLK1" localSheetId="23">#REF!</definedName>
    <definedName name="_FLK1" localSheetId="6">#REF!</definedName>
    <definedName name="_FLK1" localSheetId="10">#REF!</definedName>
    <definedName name="_FLK1">#REF!</definedName>
    <definedName name="_fos1" localSheetId="23">#REF!</definedName>
    <definedName name="_fos1" localSheetId="6">#REF!</definedName>
    <definedName name="_fos1" localSheetId="10">#REF!</definedName>
    <definedName name="_fos1">#REF!</definedName>
    <definedName name="_GEN1" localSheetId="23">#REF!</definedName>
    <definedName name="_GEN1" localSheetId="6">#REF!</definedName>
    <definedName name="_GEN1" localSheetId="10">#REF!</definedName>
    <definedName name="_GEN1">#REF!</definedName>
    <definedName name="_h" localSheetId="23">#REF!</definedName>
    <definedName name="_h" localSheetId="6">#REF!</definedName>
    <definedName name="_h" localSheetId="10">#REF!</definedName>
    <definedName name="_h">#REF!</definedName>
    <definedName name="_HE02" localSheetId="23">#REF!</definedName>
    <definedName name="_HE02" localSheetId="6">#REF!</definedName>
    <definedName name="_HE02" localSheetId="10">#REF!</definedName>
    <definedName name="_HE02">#REF!</definedName>
    <definedName name="_HE06" localSheetId="23">#REF!</definedName>
    <definedName name="_HE06" localSheetId="6">#REF!</definedName>
    <definedName name="_HE06" localSheetId="10">#REF!</definedName>
    <definedName name="_HE06">#REF!</definedName>
    <definedName name="_HE07" localSheetId="23">#REF!</definedName>
    <definedName name="_HE07" localSheetId="6">#REF!</definedName>
    <definedName name="_HE07" localSheetId="10">#REF!</definedName>
    <definedName name="_HE07">#REF!</definedName>
    <definedName name="_HE08" localSheetId="23">#REF!</definedName>
    <definedName name="_HE08" localSheetId="6">#REF!</definedName>
    <definedName name="_HE08" localSheetId="10">#REF!</definedName>
    <definedName name="_HE08">#REF!</definedName>
    <definedName name="_HE09" localSheetId="23">#REF!</definedName>
    <definedName name="_HE09" localSheetId="6">#REF!</definedName>
    <definedName name="_HE09" localSheetId="10">#REF!</definedName>
    <definedName name="_HE09">#REF!</definedName>
    <definedName name="_HE1" localSheetId="23">#REF!</definedName>
    <definedName name="_HE1" localSheetId="6">#REF!</definedName>
    <definedName name="_HE1" localSheetId="10">#REF!</definedName>
    <definedName name="_HE1">#REF!</definedName>
    <definedName name="_HE11" localSheetId="23">#REF!</definedName>
    <definedName name="_HE11" localSheetId="6">#REF!</definedName>
    <definedName name="_HE11" localSheetId="10">#REF!</definedName>
    <definedName name="_HE11">#REF!</definedName>
    <definedName name="_HE2" localSheetId="23">#REF!</definedName>
    <definedName name="_HE2" localSheetId="6">#REF!</definedName>
    <definedName name="_HE2" localSheetId="10">#REF!</definedName>
    <definedName name="_HE2">#REF!</definedName>
    <definedName name="_HE21" localSheetId="23">#REF!</definedName>
    <definedName name="_HE21" localSheetId="6">#REF!</definedName>
    <definedName name="_HE21" localSheetId="10">#REF!</definedName>
    <definedName name="_HE21">#REF!</definedName>
    <definedName name="_HE3" localSheetId="23">#REF!</definedName>
    <definedName name="_HE3" localSheetId="6">#REF!</definedName>
    <definedName name="_HE3" localSheetId="10">#REF!</definedName>
    <definedName name="_HE3">#REF!</definedName>
    <definedName name="_HE4" localSheetId="23">#REF!</definedName>
    <definedName name="_HE4" localSheetId="6">#REF!</definedName>
    <definedName name="_HE4" localSheetId="10">#REF!</definedName>
    <definedName name="_HE4">#REF!</definedName>
    <definedName name="_HE5" localSheetId="23">#REF!</definedName>
    <definedName name="_HE5" localSheetId="6">#REF!</definedName>
    <definedName name="_HE5" localSheetId="10">#REF!</definedName>
    <definedName name="_HE5">#REF!</definedName>
    <definedName name="_HE61" localSheetId="23">#REF!</definedName>
    <definedName name="_HE61" localSheetId="6">#REF!</definedName>
    <definedName name="_HE61" localSheetId="10">#REF!</definedName>
    <definedName name="_HE61">#REF!</definedName>
    <definedName name="_HE71" localSheetId="23">#REF!</definedName>
    <definedName name="_HE71" localSheetId="6">#REF!</definedName>
    <definedName name="_HE71" localSheetId="10">#REF!</definedName>
    <definedName name="_HE71">#REF!</definedName>
    <definedName name="_HE81" localSheetId="23">#REF!</definedName>
    <definedName name="_HE81" localSheetId="6">#REF!</definedName>
    <definedName name="_HE81" localSheetId="10">#REF!</definedName>
    <definedName name="_HE81">#REF!</definedName>
    <definedName name="_HE91" localSheetId="23">#REF!</definedName>
    <definedName name="_HE91" localSheetId="6">#REF!</definedName>
    <definedName name="_HE91" localSheetId="10">#REF!</definedName>
    <definedName name="_HE91">#REF!</definedName>
    <definedName name="_HM1" localSheetId="23">#REF!</definedName>
    <definedName name="_HM1" localSheetId="6">#REF!</definedName>
    <definedName name="_HM1" localSheetId="10">#REF!</definedName>
    <definedName name="_HM1">#REF!</definedName>
    <definedName name="_HM10" localSheetId="23">#REF!</definedName>
    <definedName name="_HM10" localSheetId="6">#REF!</definedName>
    <definedName name="_HM10" localSheetId="10">#REF!</definedName>
    <definedName name="_HM10">#REF!</definedName>
    <definedName name="_HM11" localSheetId="23">#REF!</definedName>
    <definedName name="_HM11" localSheetId="6">#REF!</definedName>
    <definedName name="_HM11" localSheetId="10">#REF!</definedName>
    <definedName name="_HM11">#REF!</definedName>
    <definedName name="_HM12" localSheetId="23">#REF!</definedName>
    <definedName name="_HM12" localSheetId="6">#REF!</definedName>
    <definedName name="_HM12" localSheetId="10">#REF!</definedName>
    <definedName name="_HM12">#REF!</definedName>
    <definedName name="_HM2" localSheetId="23">#REF!</definedName>
    <definedName name="_HM2" localSheetId="6">#REF!</definedName>
    <definedName name="_HM2" localSheetId="10">#REF!</definedName>
    <definedName name="_HM2">#REF!</definedName>
    <definedName name="_HM3" localSheetId="23">#REF!</definedName>
    <definedName name="_HM3" localSheetId="6">#REF!</definedName>
    <definedName name="_HM3" localSheetId="10">#REF!</definedName>
    <definedName name="_HM3">#REF!</definedName>
    <definedName name="_HM4" localSheetId="23">#REF!</definedName>
    <definedName name="_HM4" localSheetId="6">#REF!</definedName>
    <definedName name="_HM4" localSheetId="10">#REF!</definedName>
    <definedName name="_HM4">#REF!</definedName>
    <definedName name="_HM5" localSheetId="23">#REF!</definedName>
    <definedName name="_HM5" localSheetId="6">#REF!</definedName>
    <definedName name="_HM5" localSheetId="10">#REF!</definedName>
    <definedName name="_HM5">#REF!</definedName>
    <definedName name="_HM6" localSheetId="23">#REF!</definedName>
    <definedName name="_HM6" localSheetId="6">#REF!</definedName>
    <definedName name="_HM6" localSheetId="10">#REF!</definedName>
    <definedName name="_HM6">#REF!</definedName>
    <definedName name="_HM7" localSheetId="23">#REF!</definedName>
    <definedName name="_HM7" localSheetId="6">#REF!</definedName>
    <definedName name="_HM7" localSheetId="10">#REF!</definedName>
    <definedName name="_HM7">#REF!</definedName>
    <definedName name="_HM8" localSheetId="23">#REF!</definedName>
    <definedName name="_HM8" localSheetId="6">#REF!</definedName>
    <definedName name="_HM8" localSheetId="10">#REF!</definedName>
    <definedName name="_HM8">#REF!</definedName>
    <definedName name="_HM9" localSheetId="23">#REF!</definedName>
    <definedName name="_HM9" localSheetId="6">#REF!</definedName>
    <definedName name="_HM9" localSheetId="10">#REF!</definedName>
    <definedName name="_HM9">#REF!</definedName>
    <definedName name="_HV1" localSheetId="23">#REF!</definedName>
    <definedName name="_HV1" localSheetId="6">#REF!</definedName>
    <definedName name="_HV1" localSheetId="10">#REF!</definedName>
    <definedName name="_HV1">#REF!</definedName>
    <definedName name="_IDA1" localSheetId="23">#REF!</definedName>
    <definedName name="_IDA1" localSheetId="6">#REF!</definedName>
    <definedName name="_IDA1" localSheetId="10">#REF!</definedName>
    <definedName name="_IDA1">#REF!</definedName>
    <definedName name="_in18900" localSheetId="23">#REF!</definedName>
    <definedName name="_in18900" localSheetId="6">#REF!</definedName>
    <definedName name="_in18900" localSheetId="10">#REF!</definedName>
    <definedName name="_in18900">#REF!</definedName>
    <definedName name="_IPB1" localSheetId="23">#REF!</definedName>
    <definedName name="_IPB1" localSheetId="6">#REF!</definedName>
    <definedName name="_IPB1" localSheetId="10">#REF!</definedName>
    <definedName name="_IPB1">#REF!</definedName>
    <definedName name="_iv19000" localSheetId="23">#REF!</definedName>
    <definedName name="_iv19000" localSheetId="6">#REF!</definedName>
    <definedName name="_iv19000" localSheetId="10">#REF!</definedName>
    <definedName name="_iv19000">#REF!</definedName>
    <definedName name="_Key1" localSheetId="23">#REF!</definedName>
    <definedName name="_Key1" localSheetId="6">#REF!</definedName>
    <definedName name="_Key1" localSheetId="11" hidden="1">#REF!</definedName>
    <definedName name="_Key1" localSheetId="10">#REF!</definedName>
    <definedName name="_Key1">#REF!</definedName>
    <definedName name="_Key2" localSheetId="23">#REF!</definedName>
    <definedName name="_Key2" localSheetId="6">#REF!</definedName>
    <definedName name="_Key2" localSheetId="11" hidden="1">#REF!</definedName>
    <definedName name="_Key2" localSheetId="10">#REF!</definedName>
    <definedName name="_Key2">#REF!</definedName>
    <definedName name="_key3" localSheetId="23">#REF!</definedName>
    <definedName name="_key3" localSheetId="6">#REF!</definedName>
    <definedName name="_key3" localSheetId="10">#REF!</definedName>
    <definedName name="_key3">#REF!</definedName>
    <definedName name="_KWEY" localSheetId="23">#REF!</definedName>
    <definedName name="_KWEY" localSheetId="6">#REF!</definedName>
    <definedName name="_KWEY" localSheetId="10">#REF!</definedName>
    <definedName name="_KWEY">#REF!</definedName>
    <definedName name="_KWS1" localSheetId="23">#REF!</definedName>
    <definedName name="_KWS1" localSheetId="6">#REF!</definedName>
    <definedName name="_KWS1" localSheetId="10">#REF!</definedName>
    <definedName name="_KWS1">#REF!</definedName>
    <definedName name="_KWS2" localSheetId="23">#REF!</definedName>
    <definedName name="_KWS2" localSheetId="6">#REF!</definedName>
    <definedName name="_KWS2" localSheetId="10">#REF!</definedName>
    <definedName name="_KWS2">#REF!</definedName>
    <definedName name="_KWS3" localSheetId="23">#REF!</definedName>
    <definedName name="_KWS3" localSheetId="6">#REF!</definedName>
    <definedName name="_KWS3" localSheetId="10">#REF!</definedName>
    <definedName name="_KWS3">#REF!</definedName>
    <definedName name="_l" localSheetId="23">#REF!</definedName>
    <definedName name="_l" localSheetId="6">#REF!</definedName>
    <definedName name="_l" localSheetId="10">#REF!</definedName>
    <definedName name="_l">#REF!</definedName>
    <definedName name="_LAR220" localSheetId="23">#REF!</definedName>
    <definedName name="_LAR220" localSheetId="6">#REF!</definedName>
    <definedName name="_LAR220" localSheetId="10">#REF!</definedName>
    <definedName name="_LAR220">#REF!</definedName>
    <definedName name="_LAR500" localSheetId="23">#REF!</definedName>
    <definedName name="_LAR500" localSheetId="6">#REF!</definedName>
    <definedName name="_LAR500" localSheetId="10">#REF!</definedName>
    <definedName name="_LAR500">#REF!</definedName>
    <definedName name="_LTR220" localSheetId="23">#REF!</definedName>
    <definedName name="_LTR220" localSheetId="6">#REF!</definedName>
    <definedName name="_LTR220" localSheetId="10">#REF!</definedName>
    <definedName name="_LTR220">#REF!</definedName>
    <definedName name="_LTR500" localSheetId="23">#REF!</definedName>
    <definedName name="_LTR500" localSheetId="6">#REF!</definedName>
    <definedName name="_LTR500" localSheetId="10">#REF!</definedName>
    <definedName name="_LTR500">#REF!</definedName>
    <definedName name="_LV1" localSheetId="23">#REF!</definedName>
    <definedName name="_LV1" localSheetId="6">#REF!</definedName>
    <definedName name="_LV1" localSheetId="10">#REF!</definedName>
    <definedName name="_LV1">#REF!</definedName>
    <definedName name="_MatInverse_In" localSheetId="23">#REF!</definedName>
    <definedName name="_MatInverse_In" localSheetId="6">#REF!</definedName>
    <definedName name="_MatInverse_In" localSheetId="10">#REF!</definedName>
    <definedName name="_MatInverse_In">#REF!</definedName>
    <definedName name="_mcc1" localSheetId="23">#REF!</definedName>
    <definedName name="_mcc1" localSheetId="6">#REF!</definedName>
    <definedName name="_mcc1" localSheetId="10">#REF!</definedName>
    <definedName name="_mcc1">#REF!</definedName>
    <definedName name="_mcc2" localSheetId="23">#REF!</definedName>
    <definedName name="_mcc2" localSheetId="6">#REF!</definedName>
    <definedName name="_mcc2" localSheetId="10">#REF!</definedName>
    <definedName name="_mcc2">#REF!</definedName>
    <definedName name="_mhr1" localSheetId="23">#REF!</definedName>
    <definedName name="_mhr1" localSheetId="6">#REF!</definedName>
    <definedName name="_mhr1" localSheetId="10">#REF!</definedName>
    <definedName name="_mhr1">#REF!</definedName>
    <definedName name="_mhr2" localSheetId="23">#REF!</definedName>
    <definedName name="_mhr2" localSheetId="6">#REF!</definedName>
    <definedName name="_mhr2" localSheetId="10">#REF!</definedName>
    <definedName name="_mhr2">#REF!</definedName>
    <definedName name="_mhr3" localSheetId="23">#REF!</definedName>
    <definedName name="_mhr3" localSheetId="6">#REF!</definedName>
    <definedName name="_mhr3" localSheetId="10">#REF!</definedName>
    <definedName name="_mhr3">#REF!</definedName>
    <definedName name="_mhr4" localSheetId="23">#REF!</definedName>
    <definedName name="_mhr4" localSheetId="6">#REF!</definedName>
    <definedName name="_mhr4" localSheetId="10">#REF!</definedName>
    <definedName name="_mhr4">#REF!</definedName>
    <definedName name="_mp1" localSheetId="23">#REF!</definedName>
    <definedName name="_mp1" localSheetId="6">#REF!</definedName>
    <definedName name="_mp1" localSheetId="10">#REF!</definedName>
    <definedName name="_mp1">#REF!</definedName>
    <definedName name="_ngl3" localSheetId="23">#REF!</definedName>
    <definedName name="_ngl3" localSheetId="6">#REF!</definedName>
    <definedName name="_ngl3" localSheetId="10">#REF!</definedName>
    <definedName name="_ngl3">#REF!</definedName>
    <definedName name="_ngl4" localSheetId="23">#REF!</definedName>
    <definedName name="_ngl4" localSheetId="6">#REF!</definedName>
    <definedName name="_ngl4" localSheetId="10">#REF!</definedName>
    <definedName name="_ngl4">#REF!</definedName>
    <definedName name="_Order1" hidden="1">255</definedName>
    <definedName name="_Order2" hidden="1">0</definedName>
    <definedName name="_out2" localSheetId="23">#REF!</definedName>
    <definedName name="_out2" localSheetId="6">#REF!</definedName>
    <definedName name="_out2" localSheetId="10">#REF!</definedName>
    <definedName name="_out2">#REF!</definedName>
    <definedName name="_P1" localSheetId="23">#REF!</definedName>
    <definedName name="_P1" localSheetId="6">#REF!</definedName>
    <definedName name="_P1" localSheetId="10">#REF!</definedName>
    <definedName name="_P1">#REF!</definedName>
    <definedName name="_P2" localSheetId="23">#REF!</definedName>
    <definedName name="_P2" localSheetId="6">#REF!</definedName>
    <definedName name="_P2" localSheetId="10">#REF!</definedName>
    <definedName name="_P2">#REF!</definedName>
    <definedName name="_P3" localSheetId="23">#REF!</definedName>
    <definedName name="_P3" localSheetId="6">#REF!</definedName>
    <definedName name="_P3" localSheetId="10">#REF!</definedName>
    <definedName name="_P3">#REF!</definedName>
    <definedName name="_P4" localSheetId="23">#REF!</definedName>
    <definedName name="_P4" localSheetId="6">#REF!</definedName>
    <definedName name="_P4" localSheetId="10">#REF!</definedName>
    <definedName name="_P4">#REF!</definedName>
    <definedName name="_P5" localSheetId="23">#REF!</definedName>
    <definedName name="_P5" localSheetId="6">#REF!</definedName>
    <definedName name="_P5" localSheetId="10">#REF!</definedName>
    <definedName name="_P5">#REF!</definedName>
    <definedName name="_Parse_In" localSheetId="23">#REF!</definedName>
    <definedName name="_Parse_In" localSheetId="6">#REF!</definedName>
    <definedName name="_Parse_In" localSheetId="11" hidden="1">#REF!</definedName>
    <definedName name="_Parse_In" localSheetId="10">#REF!</definedName>
    <definedName name="_Parse_In">#REF!</definedName>
    <definedName name="_Parse_Out" localSheetId="23">#REF!</definedName>
    <definedName name="_Parse_Out" localSheetId="6">#REF!</definedName>
    <definedName name="_Parse_Out" localSheetId="10">#REF!</definedName>
    <definedName name="_Parse_Out">#REF!</definedName>
    <definedName name="_pdp1" localSheetId="23">#REF!</definedName>
    <definedName name="_pdp1" localSheetId="6">#REF!</definedName>
    <definedName name="_pdp1" localSheetId="10">#REF!</definedName>
    <definedName name="_pdp1">#REF!</definedName>
    <definedName name="_pdp2" localSheetId="23">#REF!</definedName>
    <definedName name="_pdp2" localSheetId="6">#REF!</definedName>
    <definedName name="_pdp2" localSheetId="10">#REF!</definedName>
    <definedName name="_pdp2">#REF!</definedName>
    <definedName name="_pdp3" localSheetId="23">#REF!</definedName>
    <definedName name="_pdp3" localSheetId="6">#REF!</definedName>
    <definedName name="_pdp3" localSheetId="10">#REF!</definedName>
    <definedName name="_pdp3">#REF!</definedName>
    <definedName name="_pep99" localSheetId="23">#REF!</definedName>
    <definedName name="_pep99" localSheetId="6">#REF!</definedName>
    <definedName name="_pep99" localSheetId="10">#REF!</definedName>
    <definedName name="_pep99">#REF!</definedName>
    <definedName name="_PIN1" localSheetId="23">#REF!</definedName>
    <definedName name="_PIN1" localSheetId="6">#REF!</definedName>
    <definedName name="_PIN1" localSheetId="10">#REF!</definedName>
    <definedName name="_PIN1">#REF!</definedName>
    <definedName name="_PLC220" localSheetId="23">#REF!</definedName>
    <definedName name="_PLC220" localSheetId="6">#REF!</definedName>
    <definedName name="_PLC220" localSheetId="10">#REF!</definedName>
    <definedName name="_PLC220">#REF!</definedName>
    <definedName name="_PM123" localSheetId="11" hidden="1">{"'Sheet1'!$A$4386:$N$4591"}</definedName>
    <definedName name="_PM123" localSheetId="10" hidden="1">{"'Sheet1'!$A$4386:$N$4591"}</definedName>
    <definedName name="_PM123" hidden="1">{"'Sheet1'!$A$4386:$N$4591"}</definedName>
    <definedName name="_ps1" localSheetId="23">#REF!</definedName>
    <definedName name="_ps1" localSheetId="6">#REF!</definedName>
    <definedName name="_ps1" localSheetId="10">#REF!</definedName>
    <definedName name="_ps1">#REF!</definedName>
    <definedName name="_qqq1" localSheetId="23">#REF!</definedName>
    <definedName name="_qqq1" localSheetId="6">#REF!</definedName>
    <definedName name="_qqq1" localSheetId="10">#REF!</definedName>
    <definedName name="_qqq1">#REF!</definedName>
    <definedName name="_QTY1" localSheetId="23">#REF!</definedName>
    <definedName name="_QTY1" localSheetId="6">#REF!</definedName>
    <definedName name="_QTY1" localSheetId="10">#REF!</definedName>
    <definedName name="_QTY1">#REF!</definedName>
    <definedName name="_qty2" localSheetId="23">#REF!</definedName>
    <definedName name="_qty2" localSheetId="6">#REF!</definedName>
    <definedName name="_qty2" localSheetId="10">#REF!</definedName>
    <definedName name="_qty2">#REF!</definedName>
    <definedName name="_qty3" localSheetId="23">#REF!</definedName>
    <definedName name="_qty3" localSheetId="6">#REF!</definedName>
    <definedName name="_qty3" localSheetId="10">#REF!</definedName>
    <definedName name="_qty3">#REF!</definedName>
    <definedName name="_qty4" localSheetId="23">#REF!</definedName>
    <definedName name="_qty4" localSheetId="6">#REF!</definedName>
    <definedName name="_qty4" localSheetId="10">#REF!</definedName>
    <definedName name="_qty4">#REF!</definedName>
    <definedName name="_RBS1" localSheetId="23">#REF!</definedName>
    <definedName name="_RBS1" localSheetId="6">#REF!</definedName>
    <definedName name="_RBS1" localSheetId="10">#REF!</definedName>
    <definedName name="_RBS1">#REF!</definedName>
    <definedName name="_RE100" localSheetId="23">#REF!</definedName>
    <definedName name="_RE100" localSheetId="6">#REF!</definedName>
    <definedName name="_RE100" localSheetId="10">#REF!</definedName>
    <definedName name="_RE100">#REF!</definedName>
    <definedName name="_RE104" localSheetId="23">#REF!</definedName>
    <definedName name="_RE104" localSheetId="6">#REF!</definedName>
    <definedName name="_RE104" localSheetId="10">#REF!</definedName>
    <definedName name="_RE104">#REF!</definedName>
    <definedName name="_RE112" localSheetId="23">#REF!</definedName>
    <definedName name="_RE112" localSheetId="6">#REF!</definedName>
    <definedName name="_RE112" localSheetId="10">#REF!</definedName>
    <definedName name="_RE112">#REF!</definedName>
    <definedName name="_RE220" localSheetId="23">#REF!</definedName>
    <definedName name="_RE220" localSheetId="6">#REF!</definedName>
    <definedName name="_RE220" localSheetId="10">#REF!</definedName>
    <definedName name="_RE220">#REF!</definedName>
    <definedName name="_RE26" localSheetId="23">#REF!</definedName>
    <definedName name="_RE26" localSheetId="6">#REF!</definedName>
    <definedName name="_RE26" localSheetId="10">#REF!</definedName>
    <definedName name="_RE26">#REF!</definedName>
    <definedName name="_RE28" localSheetId="23">#REF!</definedName>
    <definedName name="_RE28" localSheetId="6">#REF!</definedName>
    <definedName name="_RE28" localSheetId="10">#REF!</definedName>
    <definedName name="_RE28">#REF!</definedName>
    <definedName name="_RE30" localSheetId="23">#REF!</definedName>
    <definedName name="_RE30" localSheetId="6">#REF!</definedName>
    <definedName name="_RE30" localSheetId="10">#REF!</definedName>
    <definedName name="_RE30">#REF!</definedName>
    <definedName name="_RE32" localSheetId="23">#REF!</definedName>
    <definedName name="_RE32" localSheetId="6">#REF!</definedName>
    <definedName name="_RE32" localSheetId="10">#REF!</definedName>
    <definedName name="_RE32">#REF!</definedName>
    <definedName name="_RE34" localSheetId="23">#REF!</definedName>
    <definedName name="_RE34" localSheetId="6">#REF!</definedName>
    <definedName name="_RE34" localSheetId="10">#REF!</definedName>
    <definedName name="_RE34">#REF!</definedName>
    <definedName name="_RE36" localSheetId="23">#REF!</definedName>
    <definedName name="_RE36" localSheetId="6">#REF!</definedName>
    <definedName name="_RE36" localSheetId="10">#REF!</definedName>
    <definedName name="_RE36">#REF!</definedName>
    <definedName name="_RE38" localSheetId="23">#REF!</definedName>
    <definedName name="_RE38" localSheetId="6">#REF!</definedName>
    <definedName name="_RE38" localSheetId="10">#REF!</definedName>
    <definedName name="_RE38">#REF!</definedName>
    <definedName name="_RE40" localSheetId="23">#REF!</definedName>
    <definedName name="_RE40" localSheetId="6">#REF!</definedName>
    <definedName name="_RE40" localSheetId="10">#REF!</definedName>
    <definedName name="_RE40">#REF!</definedName>
    <definedName name="_RE42" localSheetId="23">#REF!</definedName>
    <definedName name="_RE42" localSheetId="6">#REF!</definedName>
    <definedName name="_RE42" localSheetId="10">#REF!</definedName>
    <definedName name="_RE42">#REF!</definedName>
    <definedName name="_RE44" localSheetId="23">#REF!</definedName>
    <definedName name="_RE44" localSheetId="6">#REF!</definedName>
    <definedName name="_RE44" localSheetId="10">#REF!</definedName>
    <definedName name="_RE44">#REF!</definedName>
    <definedName name="_RE48" localSheetId="23">#REF!</definedName>
    <definedName name="_RE48" localSheetId="6">#REF!</definedName>
    <definedName name="_RE48" localSheetId="10">#REF!</definedName>
    <definedName name="_RE48">#REF!</definedName>
    <definedName name="_RE500" localSheetId="23">#REF!</definedName>
    <definedName name="_RE500" localSheetId="6">#REF!</definedName>
    <definedName name="_RE500" localSheetId="10">#REF!</definedName>
    <definedName name="_RE500">#REF!</definedName>
    <definedName name="_RE52" localSheetId="23">#REF!</definedName>
    <definedName name="_RE52" localSheetId="6">#REF!</definedName>
    <definedName name="_RE52" localSheetId="10">#REF!</definedName>
    <definedName name="_RE52">#REF!</definedName>
    <definedName name="_RE56" localSheetId="23">#REF!</definedName>
    <definedName name="_RE56" localSheetId="6">#REF!</definedName>
    <definedName name="_RE56" localSheetId="10">#REF!</definedName>
    <definedName name="_RE56">#REF!</definedName>
    <definedName name="_RE60" localSheetId="23">#REF!</definedName>
    <definedName name="_RE60" localSheetId="6">#REF!</definedName>
    <definedName name="_RE60" localSheetId="10">#REF!</definedName>
    <definedName name="_RE60">#REF!</definedName>
    <definedName name="_RE64" localSheetId="23">#REF!</definedName>
    <definedName name="_RE64" localSheetId="6">#REF!</definedName>
    <definedName name="_RE64" localSheetId="10">#REF!</definedName>
    <definedName name="_RE64">#REF!</definedName>
    <definedName name="_RE68" localSheetId="23">#REF!</definedName>
    <definedName name="_RE68" localSheetId="6">#REF!</definedName>
    <definedName name="_RE68" localSheetId="10">#REF!</definedName>
    <definedName name="_RE68">#REF!</definedName>
    <definedName name="_RE72" localSheetId="23">#REF!</definedName>
    <definedName name="_RE72" localSheetId="6">#REF!</definedName>
    <definedName name="_RE72" localSheetId="10">#REF!</definedName>
    <definedName name="_RE72">#REF!</definedName>
    <definedName name="_RE76" localSheetId="23">#REF!</definedName>
    <definedName name="_RE76" localSheetId="6">#REF!</definedName>
    <definedName name="_RE76" localSheetId="10">#REF!</definedName>
    <definedName name="_RE76">#REF!</definedName>
    <definedName name="_RE80" localSheetId="23">#REF!</definedName>
    <definedName name="_RE80" localSheetId="6">#REF!</definedName>
    <definedName name="_RE80" localSheetId="10">#REF!</definedName>
    <definedName name="_RE80">#REF!</definedName>
    <definedName name="_RE88" localSheetId="23">#REF!</definedName>
    <definedName name="_RE88" localSheetId="6">#REF!</definedName>
    <definedName name="_RE88" localSheetId="10">#REF!</definedName>
    <definedName name="_RE88">#REF!</definedName>
    <definedName name="_RE92" localSheetId="23">#REF!</definedName>
    <definedName name="_RE92" localSheetId="6">#REF!</definedName>
    <definedName name="_RE92" localSheetId="10">#REF!</definedName>
    <definedName name="_RE92">#REF!</definedName>
    <definedName name="_RE96" localSheetId="23">#REF!</definedName>
    <definedName name="_RE96" localSheetId="6">#REF!</definedName>
    <definedName name="_RE96" localSheetId="10">#REF!</definedName>
    <definedName name="_RE96">#REF!</definedName>
    <definedName name="_Regression_Out" localSheetId="23">#REF!</definedName>
    <definedName name="_Regression_Out" localSheetId="6">#REF!</definedName>
    <definedName name="_Regression_Out" localSheetId="10">#REF!</definedName>
    <definedName name="_Regression_Out">#REF!</definedName>
    <definedName name="_Regression_X" localSheetId="23">#REF!</definedName>
    <definedName name="_Regression_X" localSheetId="6">#REF!</definedName>
    <definedName name="_Regression_X" localSheetId="10">#REF!</definedName>
    <definedName name="_Regression_X">#REF!</definedName>
    <definedName name="_Regression_Y" localSheetId="23">#REF!</definedName>
    <definedName name="_Regression_Y" localSheetId="6">#REF!</definedName>
    <definedName name="_Regression_Y" localSheetId="10">#REF!</definedName>
    <definedName name="_Regression_Y">#REF!</definedName>
    <definedName name="_row1" localSheetId="23">#REF!</definedName>
    <definedName name="_row1" localSheetId="6">#REF!</definedName>
    <definedName name="_row1" localSheetId="10">#REF!</definedName>
    <definedName name="_row1">#REF!</definedName>
    <definedName name="_S" localSheetId="23">#REF!</definedName>
    <definedName name="_S" localSheetId="6">#REF!</definedName>
    <definedName name="_S" localSheetId="10">#REF!</definedName>
    <definedName name="_S">#REF!</definedName>
    <definedName name="_SAP1" localSheetId="23">#REF!</definedName>
    <definedName name="_SAP1" localSheetId="6">#REF!</definedName>
    <definedName name="_SAP1" localSheetId="10">#REF!</definedName>
    <definedName name="_SAP1">#REF!</definedName>
    <definedName name="_SAP10" localSheetId="23">#REF!</definedName>
    <definedName name="_SAP10" localSheetId="6">#REF!</definedName>
    <definedName name="_SAP10" localSheetId="10">#REF!</definedName>
    <definedName name="_SAP10">#REF!</definedName>
    <definedName name="_SAP11" localSheetId="23">#REF!</definedName>
    <definedName name="_SAP11" localSheetId="6">#REF!</definedName>
    <definedName name="_SAP11" localSheetId="10">#REF!</definedName>
    <definedName name="_SAP11">#REF!</definedName>
    <definedName name="_SAP2" localSheetId="23">#REF!</definedName>
    <definedName name="_SAP2" localSheetId="6">#REF!</definedName>
    <definedName name="_SAP2" localSheetId="10">#REF!</definedName>
    <definedName name="_SAP2">#REF!</definedName>
    <definedName name="_SAP3" localSheetId="23">#REF!</definedName>
    <definedName name="_SAP3" localSheetId="6">#REF!</definedName>
    <definedName name="_SAP3" localSheetId="10">#REF!</definedName>
    <definedName name="_SAP3">#REF!</definedName>
    <definedName name="_SAP4" localSheetId="23">#REF!</definedName>
    <definedName name="_SAP4" localSheetId="6">#REF!</definedName>
    <definedName name="_SAP4" localSheetId="10">#REF!</definedName>
    <definedName name="_SAP4">#REF!</definedName>
    <definedName name="_SAP5" localSheetId="23">#REF!</definedName>
    <definedName name="_SAP5" localSheetId="6">#REF!</definedName>
    <definedName name="_SAP5" localSheetId="10">#REF!</definedName>
    <definedName name="_SAP5">#REF!</definedName>
    <definedName name="_SAP6" localSheetId="23">#REF!</definedName>
    <definedName name="_SAP6" localSheetId="6">#REF!</definedName>
    <definedName name="_SAP6" localSheetId="10">#REF!</definedName>
    <definedName name="_SAP6">#REF!</definedName>
    <definedName name="_SAP7" localSheetId="23">#REF!</definedName>
    <definedName name="_SAP7" localSheetId="6">#REF!</definedName>
    <definedName name="_SAP7" localSheetId="10">#REF!</definedName>
    <definedName name="_SAP7">#REF!</definedName>
    <definedName name="_SAP8" localSheetId="23">#REF!</definedName>
    <definedName name="_SAP8" localSheetId="6">#REF!</definedName>
    <definedName name="_SAP8" localSheetId="10">#REF!</definedName>
    <definedName name="_SAP8">#REF!</definedName>
    <definedName name="_SAP9" localSheetId="23">#REF!</definedName>
    <definedName name="_SAP9" localSheetId="6">#REF!</definedName>
    <definedName name="_SAP9" localSheetId="10">#REF!</definedName>
    <definedName name="_SAP9">#REF!</definedName>
    <definedName name="_SC7025" localSheetId="23">#REF!</definedName>
    <definedName name="_SC7025" localSheetId="6">#REF!</definedName>
    <definedName name="_SC7025" localSheetId="10">#REF!</definedName>
    <definedName name="_SC7025">#REF!</definedName>
    <definedName name="_SC7042" localSheetId="23">#REF!</definedName>
    <definedName name="_SC7042" localSheetId="6">#REF!</definedName>
    <definedName name="_SC7042" localSheetId="10">#REF!</definedName>
    <definedName name="_SC7042">#REF!</definedName>
    <definedName name="_SC7043" localSheetId="23">#REF!</definedName>
    <definedName name="_SC7043" localSheetId="6">#REF!</definedName>
    <definedName name="_SC7043" localSheetId="10">#REF!</definedName>
    <definedName name="_SC7043">#REF!</definedName>
    <definedName name="_SC7045" localSheetId="23">#REF!</definedName>
    <definedName name="_SC7045" localSheetId="6">#REF!</definedName>
    <definedName name="_SC7045" localSheetId="10">#REF!</definedName>
    <definedName name="_SC7045">#REF!</definedName>
    <definedName name="_SC7048" localSheetId="23">#REF!</definedName>
    <definedName name="_SC7048" localSheetId="6">#REF!</definedName>
    <definedName name="_SC7048" localSheetId="10">#REF!</definedName>
    <definedName name="_SC7048">#REF!</definedName>
    <definedName name="_SCH11" localSheetId="23">#REF!</definedName>
    <definedName name="_SCH11" localSheetId="6">#REF!</definedName>
    <definedName name="_SCH11" localSheetId="10">#REF!</definedName>
    <definedName name="_SCH11">#REF!</definedName>
    <definedName name="_sch2" localSheetId="23">#REF!</definedName>
    <definedName name="_sch2" localSheetId="6">#REF!</definedName>
    <definedName name="_sch2" localSheetId="10">#REF!</definedName>
    <definedName name="_sch2">#REF!</definedName>
    <definedName name="_sch9" localSheetId="23">#REF!</definedName>
    <definedName name="_sch9" localSheetId="6">#REF!</definedName>
    <definedName name="_sch9" localSheetId="10">#REF!</definedName>
    <definedName name="_sch9">#REF!</definedName>
    <definedName name="_SG1" localSheetId="23">#REF!</definedName>
    <definedName name="_SG1" localSheetId="6">#REF!</definedName>
    <definedName name="_SG1" localSheetId="10">#REF!</definedName>
    <definedName name="_SG1">#REF!</definedName>
    <definedName name="_SG2" localSheetId="23">#REF!</definedName>
    <definedName name="_SG2" localSheetId="6">#REF!</definedName>
    <definedName name="_SG2" localSheetId="10">#REF!</definedName>
    <definedName name="_SG2">#REF!</definedName>
    <definedName name="_Sort" localSheetId="23">#REF!</definedName>
    <definedName name="_Sort" localSheetId="6">#REF!</definedName>
    <definedName name="_Sort" localSheetId="11" hidden="1">#REF!</definedName>
    <definedName name="_Sort" localSheetId="10">#REF!</definedName>
    <definedName name="_Sort">#REF!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3">#REF!</definedName>
    <definedName name="_SS402" localSheetId="6">#REF!</definedName>
    <definedName name="_SS402" localSheetId="10">#REF!</definedName>
    <definedName name="_SS402">#REF!</definedName>
    <definedName name="_SS403" localSheetId="23">#REF!</definedName>
    <definedName name="_SS403" localSheetId="6">#REF!</definedName>
    <definedName name="_SS403" localSheetId="10">#REF!</definedName>
    <definedName name="_SS403">#REF!</definedName>
    <definedName name="_SS404" localSheetId="23">#REF!</definedName>
    <definedName name="_SS404" localSheetId="6">#REF!</definedName>
    <definedName name="_SS404" localSheetId="10">#REF!</definedName>
    <definedName name="_SS404">#REF!</definedName>
    <definedName name="_SS405" localSheetId="23">#REF!</definedName>
    <definedName name="_SS405" localSheetId="6">#REF!</definedName>
    <definedName name="_SS405" localSheetId="10">#REF!</definedName>
    <definedName name="_SS405">#REF!</definedName>
    <definedName name="_SS406" localSheetId="23">#REF!</definedName>
    <definedName name="_SS406" localSheetId="6">#REF!</definedName>
    <definedName name="_SS406" localSheetId="10">#REF!</definedName>
    <definedName name="_SS406">#REF!</definedName>
    <definedName name="_SS407" localSheetId="23">#REF!</definedName>
    <definedName name="_SS407" localSheetId="6">#REF!</definedName>
    <definedName name="_SS407" localSheetId="10">#REF!</definedName>
    <definedName name="_SS407">#REF!</definedName>
    <definedName name="_SS408" localSheetId="23">#REF!</definedName>
    <definedName name="_SS408" localSheetId="6">#REF!</definedName>
    <definedName name="_SS408" localSheetId="10">#REF!</definedName>
    <definedName name="_SS408">#REF!</definedName>
    <definedName name="_SS409" localSheetId="23">#REF!</definedName>
    <definedName name="_SS409" localSheetId="6">#REF!</definedName>
    <definedName name="_SS409" localSheetId="10">#REF!</definedName>
    <definedName name="_SS409">#REF!</definedName>
    <definedName name="_SS423" localSheetId="23">#REF!</definedName>
    <definedName name="_SS423" localSheetId="6">#REF!</definedName>
    <definedName name="_SS423" localSheetId="10">#REF!</definedName>
    <definedName name="_SS423">#REF!</definedName>
    <definedName name="_SS424" localSheetId="23">#REF!</definedName>
    <definedName name="_SS424" localSheetId="6">#REF!</definedName>
    <definedName name="_SS424" localSheetId="10">#REF!</definedName>
    <definedName name="_SS424">#REF!</definedName>
    <definedName name="_SSF1" localSheetId="23">#REF!</definedName>
    <definedName name="_SSF1" localSheetId="6">#REF!</definedName>
    <definedName name="_SSF1" localSheetId="10">#REF!</definedName>
    <definedName name="_SSF1">#REF!</definedName>
    <definedName name="_SSF2" localSheetId="23">#REF!</definedName>
    <definedName name="_SSF2" localSheetId="6">#REF!</definedName>
    <definedName name="_SSF2" localSheetId="10">#REF!</definedName>
    <definedName name="_SSF2">#REF!</definedName>
    <definedName name="_SSF3" localSheetId="23">#REF!</definedName>
    <definedName name="_SSF3" localSheetId="6">#REF!</definedName>
    <definedName name="_SSF3" localSheetId="10">#REF!</definedName>
    <definedName name="_SSF3">#REF!</definedName>
    <definedName name="_SUN1" localSheetId="23">#REF!</definedName>
    <definedName name="_SUN1" localSheetId="6">#REF!</definedName>
    <definedName name="_SUN1" localSheetId="10">#REF!</definedName>
    <definedName name="_SUN1">#REF!</definedName>
    <definedName name="_SUN2" localSheetId="23">#REF!</definedName>
    <definedName name="_SUN2" localSheetId="6">#REF!</definedName>
    <definedName name="_SUN2" localSheetId="10">#REF!</definedName>
    <definedName name="_SUN2">#REF!</definedName>
    <definedName name="_SV7025" localSheetId="23">#REF!</definedName>
    <definedName name="_SV7025" localSheetId="6">#REF!</definedName>
    <definedName name="_SV7025" localSheetId="10">#REF!</definedName>
    <definedName name="_SV7025">#REF!</definedName>
    <definedName name="_SV7042" localSheetId="23">#REF!</definedName>
    <definedName name="_SV7042" localSheetId="6">#REF!</definedName>
    <definedName name="_SV7042" localSheetId="10">#REF!</definedName>
    <definedName name="_SV7042">#REF!</definedName>
    <definedName name="_SV7043" localSheetId="23">#REF!</definedName>
    <definedName name="_SV7043" localSheetId="6">#REF!</definedName>
    <definedName name="_SV7043" localSheetId="10">#REF!</definedName>
    <definedName name="_SV7043">#REF!</definedName>
    <definedName name="_SV7045" localSheetId="23">#REF!</definedName>
    <definedName name="_SV7045" localSheetId="6">#REF!</definedName>
    <definedName name="_SV7045" localSheetId="10">#REF!</definedName>
    <definedName name="_SV7045">#REF!</definedName>
    <definedName name="_SV7048" localSheetId="23">#REF!</definedName>
    <definedName name="_SV7048" localSheetId="6">#REF!</definedName>
    <definedName name="_SV7048" localSheetId="10">#REF!</definedName>
    <definedName name="_SV7048">#REF!</definedName>
    <definedName name="_T141000" localSheetId="23">#REF!</definedName>
    <definedName name="_T141000" localSheetId="6">#REF!</definedName>
    <definedName name="_T141000" localSheetId="10">#REF!</definedName>
    <definedName name="_T141000">#REF!</definedName>
    <definedName name="_T142000" localSheetId="23">#REF!</definedName>
    <definedName name="_T142000" localSheetId="6">#REF!</definedName>
    <definedName name="_T142000" localSheetId="10">#REF!</definedName>
    <definedName name="_T142000">#REF!</definedName>
    <definedName name="_T143100" localSheetId="23">#REF!</definedName>
    <definedName name="_T143100" localSheetId="6">#REF!</definedName>
    <definedName name="_T143100" localSheetId="10">#REF!</definedName>
    <definedName name="_T143100">#REF!</definedName>
    <definedName name="_T143300" localSheetId="23">#REF!</definedName>
    <definedName name="_T143300" localSheetId="6">#REF!</definedName>
    <definedName name="_T143300" localSheetId="10">#REF!</definedName>
    <definedName name="_T143300">#REF!</definedName>
    <definedName name="_T143400" localSheetId="23">#REF!</definedName>
    <definedName name="_T143400" localSheetId="6">#REF!</definedName>
    <definedName name="_T143400" localSheetId="10">#REF!</definedName>
    <definedName name="_T143400">#REF!</definedName>
    <definedName name="_T143600" localSheetId="23">#REF!</definedName>
    <definedName name="_T143600" localSheetId="6">#REF!</definedName>
    <definedName name="_T143600" localSheetId="10">#REF!</definedName>
    <definedName name="_T143600">#REF!</definedName>
    <definedName name="_T143800" localSheetId="23">#REF!</definedName>
    <definedName name="_T143800" localSheetId="6">#REF!</definedName>
    <definedName name="_T143800" localSheetId="10">#REF!</definedName>
    <definedName name="_T143800">#REF!</definedName>
    <definedName name="_T143820" localSheetId="23">#REF!</definedName>
    <definedName name="_T143820" localSheetId="6">#REF!</definedName>
    <definedName name="_T143820" localSheetId="10">#REF!</definedName>
    <definedName name="_T143820">#REF!</definedName>
    <definedName name="_T144100" localSheetId="23">#REF!</definedName>
    <definedName name="_T144100" localSheetId="6">#REF!</definedName>
    <definedName name="_T144100" localSheetId="10">#REF!</definedName>
    <definedName name="_T144100">#REF!</definedName>
    <definedName name="_T144300" localSheetId="23">#REF!</definedName>
    <definedName name="_T144300" localSheetId="6">#REF!</definedName>
    <definedName name="_T144300" localSheetId="10">#REF!</definedName>
    <definedName name="_T144300">#REF!</definedName>
    <definedName name="_T144400" localSheetId="23">#REF!</definedName>
    <definedName name="_T144400" localSheetId="6">#REF!</definedName>
    <definedName name="_T144400" localSheetId="10">#REF!</definedName>
    <definedName name="_T144400">#REF!</definedName>
    <definedName name="_T144500" localSheetId="23">#REF!</definedName>
    <definedName name="_T144500" localSheetId="6">#REF!</definedName>
    <definedName name="_T144500" localSheetId="10">#REF!</definedName>
    <definedName name="_T144500">#REF!</definedName>
    <definedName name="_T144600" localSheetId="23">#REF!</definedName>
    <definedName name="_T144600" localSheetId="6">#REF!</definedName>
    <definedName name="_T144600" localSheetId="10">#REF!</definedName>
    <definedName name="_T144600">#REF!</definedName>
    <definedName name="_T144700" localSheetId="23">#REF!</definedName>
    <definedName name="_T144700" localSheetId="6">#REF!</definedName>
    <definedName name="_T144700" localSheetId="10">#REF!</definedName>
    <definedName name="_T144700">#REF!</definedName>
    <definedName name="_T144800" localSheetId="23">#REF!</definedName>
    <definedName name="_T144800" localSheetId="6">#REF!</definedName>
    <definedName name="_T144800" localSheetId="10">#REF!</definedName>
    <definedName name="_T144800">#REF!</definedName>
    <definedName name="_T145000" localSheetId="23">#REF!</definedName>
    <definedName name="_T145000" localSheetId="6">#REF!</definedName>
    <definedName name="_T145000" localSheetId="10">#REF!</definedName>
    <definedName name="_T145000">#REF!</definedName>
    <definedName name="_T146000" localSheetId="23">#REF!</definedName>
    <definedName name="_T146000" localSheetId="6">#REF!</definedName>
    <definedName name="_T146000" localSheetId="10">#REF!</definedName>
    <definedName name="_T146000">#REF!</definedName>
    <definedName name="_T147000" localSheetId="23">#REF!</definedName>
    <definedName name="_T147000" localSheetId="6">#REF!</definedName>
    <definedName name="_T147000" localSheetId="10">#REF!</definedName>
    <definedName name="_T147000">#REF!</definedName>
    <definedName name="_T147100" localSheetId="23">#REF!</definedName>
    <definedName name="_T147100" localSheetId="6">#REF!</definedName>
    <definedName name="_T147100" localSheetId="10">#REF!</definedName>
    <definedName name="_T147100">#REF!</definedName>
    <definedName name="_T147200" localSheetId="23">#REF!</definedName>
    <definedName name="_T147200" localSheetId="6">#REF!</definedName>
    <definedName name="_T147200" localSheetId="10">#REF!</definedName>
    <definedName name="_T147200">#REF!</definedName>
    <definedName name="_TAB1" localSheetId="23">#REF!</definedName>
    <definedName name="_TAB1" localSheetId="6">#REF!</definedName>
    <definedName name="_TAB1" localSheetId="10">#REF!</definedName>
    <definedName name="_TAB1">#REF!</definedName>
    <definedName name="_TAB2" localSheetId="23">#REF!</definedName>
    <definedName name="_TAB2" localSheetId="6">#REF!</definedName>
    <definedName name="_TAB2" localSheetId="10">#REF!</definedName>
    <definedName name="_TAB2">#REF!</definedName>
    <definedName name="_TR220" localSheetId="23">#REF!</definedName>
    <definedName name="_TR220" localSheetId="6">#REF!</definedName>
    <definedName name="_TR220" localSheetId="10">#REF!</definedName>
    <definedName name="_TR220">#REF!</definedName>
    <definedName name="_TR500" localSheetId="23">#REF!</definedName>
    <definedName name="_TR500" localSheetId="6">#REF!</definedName>
    <definedName name="_TR500" localSheetId="10">#REF!</definedName>
    <definedName name="_TR500">#REF!</definedName>
    <definedName name="_try1" localSheetId="23">#REF!</definedName>
    <definedName name="_try1" localSheetId="6">#REF!</definedName>
    <definedName name="_try1" localSheetId="10">#REF!</definedName>
    <definedName name="_try1">#REF!</definedName>
    <definedName name="_WP1" localSheetId="23">#REF!</definedName>
    <definedName name="_WP1" localSheetId="6">#REF!</definedName>
    <definedName name="_WP1" localSheetId="10">#REF!</definedName>
    <definedName name="_WP1">#REF!</definedName>
    <definedName name="A" localSheetId="4">#REF!</definedName>
    <definedName name="a" localSheetId="23">#REF!</definedName>
    <definedName name="a" localSheetId="6">#REF!</definedName>
    <definedName name="A" localSheetId="27">#REF!</definedName>
    <definedName name="A" localSheetId="11">#REF!</definedName>
    <definedName name="a" localSheetId="10">#REF!</definedName>
    <definedName name="A" localSheetId="5">#REF!</definedName>
    <definedName name="a">#REF!</definedName>
    <definedName name="A.T.RAJAN" localSheetId="4">#REF!</definedName>
    <definedName name="A.T.RAJAN" localSheetId="23">#REF!</definedName>
    <definedName name="A.T.RAJAN" localSheetId="6">#REF!</definedName>
    <definedName name="A.T.RAJAN" localSheetId="27">#REF!</definedName>
    <definedName name="A.T.RAJAN" localSheetId="11">#REF!</definedName>
    <definedName name="A.T.RAJAN" localSheetId="10">#REF!</definedName>
    <definedName name="A.T.RAJAN" localSheetId="5">#REF!</definedName>
    <definedName name="A.T.RAJAN">#REF!</definedName>
    <definedName name="a____________" localSheetId="23">#REF!</definedName>
    <definedName name="a____________" localSheetId="6">#REF!</definedName>
    <definedName name="a____________" localSheetId="10">#REF!</definedName>
    <definedName name="a____________">#REF!</definedName>
    <definedName name="a___0" localSheetId="23">#REF!</definedName>
    <definedName name="a___0" localSheetId="6">#REF!</definedName>
    <definedName name="a___0" localSheetId="10">#REF!</definedName>
    <definedName name="a___0">#REF!</definedName>
    <definedName name="a___13" localSheetId="23">#REF!</definedName>
    <definedName name="a___13" localSheetId="6">#REF!</definedName>
    <definedName name="a___13" localSheetId="10">#REF!</definedName>
    <definedName name="a___13">#REF!</definedName>
    <definedName name="A_D">INDEX('[5] '!$B$1:$B$16,MATCH('[5]  '!$K$13,'[5] '!$A$1:$A$16,0))</definedName>
    <definedName name="a_dash" localSheetId="23">#REF!</definedName>
    <definedName name="a_dash" localSheetId="6">#REF!</definedName>
    <definedName name="a_dash" localSheetId="10">#REF!</definedName>
    <definedName name="a_dash">#REF!</definedName>
    <definedName name="A01_" localSheetId="23">#REF!</definedName>
    <definedName name="A01_" localSheetId="6">#REF!</definedName>
    <definedName name="A01_" localSheetId="10">#REF!</definedName>
    <definedName name="A01_">#REF!</definedName>
    <definedName name="A01AC" localSheetId="23">#REF!</definedName>
    <definedName name="A01AC" localSheetId="6">#REF!</definedName>
    <definedName name="A01AC" localSheetId="10">#REF!</definedName>
    <definedName name="A01AC">#REF!</definedName>
    <definedName name="A01CAT" localSheetId="23">#REF!</definedName>
    <definedName name="A01CAT" localSheetId="6">#REF!</definedName>
    <definedName name="A01CAT" localSheetId="10">#REF!</definedName>
    <definedName name="A01CAT">#REF!</definedName>
    <definedName name="A01CODE" localSheetId="23">#REF!</definedName>
    <definedName name="A01CODE" localSheetId="6">#REF!</definedName>
    <definedName name="A01CODE" localSheetId="10">#REF!</definedName>
    <definedName name="A01CODE">#REF!</definedName>
    <definedName name="A01DATA" localSheetId="23">#REF!</definedName>
    <definedName name="A01DATA" localSheetId="6">#REF!</definedName>
    <definedName name="A01DATA" localSheetId="10">#REF!</definedName>
    <definedName name="A01DATA">#REF!</definedName>
    <definedName name="A01MI" localSheetId="23">#REF!</definedName>
    <definedName name="A01MI" localSheetId="6">#REF!</definedName>
    <definedName name="A01MI" localSheetId="10">#REF!</definedName>
    <definedName name="A01MI">#REF!</definedName>
    <definedName name="A01TO" localSheetId="23">#REF!</definedName>
    <definedName name="A01TO" localSheetId="6">#REF!</definedName>
    <definedName name="A01TO" localSheetId="10">#REF!</definedName>
    <definedName name="A01TO">#REF!</definedName>
    <definedName name="A1_" localSheetId="4">#REF!</definedName>
    <definedName name="A1_" localSheetId="23">#REF!</definedName>
    <definedName name="A1_" localSheetId="6">#REF!</definedName>
    <definedName name="A1_" localSheetId="27">#REF!</definedName>
    <definedName name="A1_" localSheetId="11">#REF!</definedName>
    <definedName name="A1_" localSheetId="10">#REF!</definedName>
    <definedName name="A1_" localSheetId="5">#REF!</definedName>
    <definedName name="A1_">#REF!</definedName>
    <definedName name="A1____0" localSheetId="23">#REF!</definedName>
    <definedName name="A1____0" localSheetId="6">#REF!</definedName>
    <definedName name="A1____0" localSheetId="10">#REF!</definedName>
    <definedName name="A1____0">#REF!</definedName>
    <definedName name="A1____13" localSheetId="23">#REF!</definedName>
    <definedName name="A1____13" localSheetId="6">#REF!</definedName>
    <definedName name="A1____13" localSheetId="10">#REF!</definedName>
    <definedName name="A1____13">#REF!</definedName>
    <definedName name="A10_" localSheetId="4">#REF!</definedName>
    <definedName name="A10_" localSheetId="23">#REF!</definedName>
    <definedName name="A10_" localSheetId="6">#REF!</definedName>
    <definedName name="A10_" localSheetId="27">#REF!</definedName>
    <definedName name="A10_" localSheetId="11">#REF!</definedName>
    <definedName name="A10_" localSheetId="10">#REF!</definedName>
    <definedName name="A10_" localSheetId="5">#REF!</definedName>
    <definedName name="A10_">#REF!</definedName>
    <definedName name="A10____0" localSheetId="23">#REF!</definedName>
    <definedName name="A10____0" localSheetId="6">#REF!</definedName>
    <definedName name="A10____0" localSheetId="10">#REF!</definedName>
    <definedName name="A10____0">#REF!</definedName>
    <definedName name="A10____13" localSheetId="23">#REF!</definedName>
    <definedName name="A10____13" localSheetId="6">#REF!</definedName>
    <definedName name="A10____13" localSheetId="10">#REF!</definedName>
    <definedName name="A10____13">#REF!</definedName>
    <definedName name="A13_" localSheetId="4">#REF!</definedName>
    <definedName name="A13_" localSheetId="23">#REF!</definedName>
    <definedName name="A13_" localSheetId="6">#REF!</definedName>
    <definedName name="A13_" localSheetId="27">#REF!</definedName>
    <definedName name="A13_" localSheetId="11">#REF!</definedName>
    <definedName name="A13_" localSheetId="10">#REF!</definedName>
    <definedName name="A13_" localSheetId="5">#REF!</definedName>
    <definedName name="A13_">#REF!</definedName>
    <definedName name="A13____0" localSheetId="23">#REF!</definedName>
    <definedName name="A13____0" localSheetId="6">#REF!</definedName>
    <definedName name="A13____0" localSheetId="10">#REF!</definedName>
    <definedName name="A13____0">#REF!</definedName>
    <definedName name="A13____13" localSheetId="23">#REF!</definedName>
    <definedName name="A13____13" localSheetId="6">#REF!</definedName>
    <definedName name="A13____13" localSheetId="10">#REF!</definedName>
    <definedName name="A13____13">#REF!</definedName>
    <definedName name="A2_" localSheetId="4">#REF!</definedName>
    <definedName name="A2_" localSheetId="23">#REF!</definedName>
    <definedName name="A2_" localSheetId="6">#REF!</definedName>
    <definedName name="A2_" localSheetId="27">#REF!</definedName>
    <definedName name="A2_" localSheetId="11">#REF!</definedName>
    <definedName name="A2_" localSheetId="10">#REF!</definedName>
    <definedName name="A2_" localSheetId="5">#REF!</definedName>
    <definedName name="A2_">#REF!</definedName>
    <definedName name="A2____0" localSheetId="23">#REF!</definedName>
    <definedName name="A2____0" localSheetId="6">#REF!</definedName>
    <definedName name="A2____0" localSheetId="10">#REF!</definedName>
    <definedName name="A2____0">#REF!</definedName>
    <definedName name="A2____13" localSheetId="23">#REF!</definedName>
    <definedName name="A2____13" localSheetId="6">#REF!</definedName>
    <definedName name="A2____13" localSheetId="10">#REF!</definedName>
    <definedName name="A2____13">#REF!</definedName>
    <definedName name="A3_" localSheetId="4">#REF!</definedName>
    <definedName name="A3_" localSheetId="23">#REF!</definedName>
    <definedName name="A3_" localSheetId="6">#REF!</definedName>
    <definedName name="A3_" localSheetId="27">#REF!</definedName>
    <definedName name="A3_" localSheetId="11">#REF!</definedName>
    <definedName name="A3_" localSheetId="10">#REF!</definedName>
    <definedName name="A3_" localSheetId="5">#REF!</definedName>
    <definedName name="A3_">#REF!</definedName>
    <definedName name="A3____0" localSheetId="23">#REF!</definedName>
    <definedName name="A3____0" localSheetId="6">#REF!</definedName>
    <definedName name="A3____0" localSheetId="10">#REF!</definedName>
    <definedName name="A3____0">#REF!</definedName>
    <definedName name="A3____13" localSheetId="23">#REF!</definedName>
    <definedName name="A3____13" localSheetId="6">#REF!</definedName>
    <definedName name="A3____13" localSheetId="10">#REF!</definedName>
    <definedName name="A3____13">#REF!</definedName>
    <definedName name="A4_" localSheetId="4">#REF!</definedName>
    <definedName name="A4_" localSheetId="23">#REF!</definedName>
    <definedName name="A4_" localSheetId="6">#REF!</definedName>
    <definedName name="A4_" localSheetId="27">#REF!</definedName>
    <definedName name="A4_" localSheetId="11">#REF!</definedName>
    <definedName name="A4_" localSheetId="10">#REF!</definedName>
    <definedName name="A4_" localSheetId="5">#REF!</definedName>
    <definedName name="A4_">#REF!</definedName>
    <definedName name="A4____0" localSheetId="23">#REF!</definedName>
    <definedName name="A4____0" localSheetId="6">#REF!</definedName>
    <definedName name="A4____0" localSheetId="10">#REF!</definedName>
    <definedName name="A4____0">#REF!</definedName>
    <definedName name="A4____13" localSheetId="23">#REF!</definedName>
    <definedName name="A4____13" localSheetId="6">#REF!</definedName>
    <definedName name="A4____13" localSheetId="10">#REF!</definedName>
    <definedName name="A4____13">#REF!</definedName>
    <definedName name="a45b45" localSheetId="23">#REF!</definedName>
    <definedName name="a45b45" localSheetId="6">#REF!</definedName>
    <definedName name="a45b45" localSheetId="10">#REF!</definedName>
    <definedName name="a45b45">#REF!</definedName>
    <definedName name="A5_" localSheetId="4">#REF!</definedName>
    <definedName name="A5_" localSheetId="23">#REF!</definedName>
    <definedName name="A5_" localSheetId="6">#REF!</definedName>
    <definedName name="A5_" localSheetId="27">#REF!</definedName>
    <definedName name="A5_" localSheetId="11">#REF!</definedName>
    <definedName name="A5_" localSheetId="10">#REF!</definedName>
    <definedName name="A5_" localSheetId="5">#REF!</definedName>
    <definedName name="A5_">#REF!</definedName>
    <definedName name="A5____0" localSheetId="23">#REF!</definedName>
    <definedName name="A5____0" localSheetId="6">#REF!</definedName>
    <definedName name="A5____0" localSheetId="10">#REF!</definedName>
    <definedName name="A5____0">#REF!</definedName>
    <definedName name="A5____13" localSheetId="23">#REF!</definedName>
    <definedName name="A5____13" localSheetId="6">#REF!</definedName>
    <definedName name="A5____13" localSheetId="10">#REF!</definedName>
    <definedName name="A5____13">#REF!</definedName>
    <definedName name="A6_" localSheetId="4">#REF!</definedName>
    <definedName name="A6_" localSheetId="23">#REF!</definedName>
    <definedName name="A6_" localSheetId="6">#REF!</definedName>
    <definedName name="A6_" localSheetId="27">#REF!</definedName>
    <definedName name="A6_" localSheetId="11">#REF!</definedName>
    <definedName name="A6_" localSheetId="10">#REF!</definedName>
    <definedName name="A6_" localSheetId="5">#REF!</definedName>
    <definedName name="A6_">#REF!</definedName>
    <definedName name="A6____0" localSheetId="23">#REF!</definedName>
    <definedName name="A6____0" localSheetId="6">#REF!</definedName>
    <definedName name="A6____0" localSheetId="10">#REF!</definedName>
    <definedName name="A6____0">#REF!</definedName>
    <definedName name="A6____13" localSheetId="23">#REF!</definedName>
    <definedName name="A6____13" localSheetId="6">#REF!</definedName>
    <definedName name="A6____13" localSheetId="10">#REF!</definedName>
    <definedName name="A6____13">#REF!</definedName>
    <definedName name="A7_" localSheetId="4">#REF!</definedName>
    <definedName name="A7_" localSheetId="23">#REF!</definedName>
    <definedName name="A7_" localSheetId="6">#REF!</definedName>
    <definedName name="A7_" localSheetId="27">#REF!</definedName>
    <definedName name="A7_" localSheetId="11">#REF!</definedName>
    <definedName name="A7_" localSheetId="10">#REF!</definedName>
    <definedName name="A7_" localSheetId="5">#REF!</definedName>
    <definedName name="A7_">#REF!</definedName>
    <definedName name="A7____0" localSheetId="23">#REF!</definedName>
    <definedName name="A7____0" localSheetId="6">#REF!</definedName>
    <definedName name="A7____0" localSheetId="10">#REF!</definedName>
    <definedName name="A7____0">#REF!</definedName>
    <definedName name="A7____13" localSheetId="23">#REF!</definedName>
    <definedName name="A7____13" localSheetId="6">#REF!</definedName>
    <definedName name="A7____13" localSheetId="10">#REF!</definedName>
    <definedName name="A7____13">#REF!</definedName>
    <definedName name="A8_" localSheetId="4">#REF!</definedName>
    <definedName name="A8_" localSheetId="23">#REF!</definedName>
    <definedName name="A8_" localSheetId="6">#REF!</definedName>
    <definedName name="A8_" localSheetId="27">#REF!</definedName>
    <definedName name="A8_" localSheetId="11">#REF!</definedName>
    <definedName name="A8_" localSheetId="10">#REF!</definedName>
    <definedName name="A8_" localSheetId="5">#REF!</definedName>
    <definedName name="A8_">#REF!</definedName>
    <definedName name="A8____0" localSheetId="23">#REF!</definedName>
    <definedName name="A8____0" localSheetId="6">#REF!</definedName>
    <definedName name="A8____0" localSheetId="10">#REF!</definedName>
    <definedName name="A8____0">#REF!</definedName>
    <definedName name="A8____13" localSheetId="23">#REF!</definedName>
    <definedName name="A8____13" localSheetId="6">#REF!</definedName>
    <definedName name="A8____13" localSheetId="10">#REF!</definedName>
    <definedName name="A8____13">#REF!</definedName>
    <definedName name="A9_" localSheetId="4">#REF!</definedName>
    <definedName name="A9_" localSheetId="23">#REF!</definedName>
    <definedName name="A9_" localSheetId="6">#REF!</definedName>
    <definedName name="A9_" localSheetId="27">#REF!</definedName>
    <definedName name="A9_" localSheetId="11">#REF!</definedName>
    <definedName name="A9_" localSheetId="10">#REF!</definedName>
    <definedName name="A9_" localSheetId="5">#REF!</definedName>
    <definedName name="A9_">#REF!</definedName>
    <definedName name="A9____0" localSheetId="23">#REF!</definedName>
    <definedName name="A9____0" localSheetId="6">#REF!</definedName>
    <definedName name="A9____0" localSheetId="10">#REF!</definedName>
    <definedName name="A9____0">#REF!</definedName>
    <definedName name="A9____13" localSheetId="23">#REF!</definedName>
    <definedName name="A9____13" localSheetId="6">#REF!</definedName>
    <definedName name="A9____13" localSheetId="10">#REF!</definedName>
    <definedName name="A9____13">#REF!</definedName>
    <definedName name="AA" localSheetId="4">#REF!</definedName>
    <definedName name="AA" localSheetId="27">#REF!</definedName>
    <definedName name="AA" localSheetId="5">#REF!</definedName>
    <definedName name="AA">INDEX('[5] '!$B$1:$B$16,MATCH('[5]  '!$K$7,'[5] '!$A$1:$A$16,0))</definedName>
    <definedName name="AAA" localSheetId="11" hidden="1">{#N/A,#N/A,FALSE,"COVER1.XLS ";#N/A,#N/A,FALSE,"RACT1.XLS";#N/A,#N/A,FALSE,"RACT2.XLS";#N/A,#N/A,FALSE,"ECCMP";#N/A,#N/A,FALSE,"WELDER.XLS"}</definedName>
    <definedName name="AAA" localSheetId="10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 localSheetId="23">#REF!</definedName>
    <definedName name="aaaa" localSheetId="6">#REF!</definedName>
    <definedName name="aaaa" localSheetId="27">#REF!</definedName>
    <definedName name="aaaa" localSheetId="11">#REF!</definedName>
    <definedName name="aaaa" localSheetId="10">#REF!</definedName>
    <definedName name="aaaa" localSheetId="5">#REF!</definedName>
    <definedName name="aaaa">#REF!</definedName>
    <definedName name="aaaaa" localSheetId="23">#REF!</definedName>
    <definedName name="aaaaa" localSheetId="6">#REF!</definedName>
    <definedName name="aaaaa" localSheetId="10">#REF!</definedName>
    <definedName name="aaaaa">#REF!</definedName>
    <definedName name="AAAAAA" localSheetId="23">#REF!</definedName>
    <definedName name="AAAAAA" localSheetId="6">#REF!</definedName>
    <definedName name="AAAAAA" localSheetId="10">#REF!</definedName>
    <definedName name="AAAAAA">#REF!</definedName>
    <definedName name="AAAAAAAAA" localSheetId="23">#REF!</definedName>
    <definedName name="AAAAAAAAA" localSheetId="6">#REF!</definedName>
    <definedName name="AAAAAAAAA" localSheetId="10">#REF!</definedName>
    <definedName name="AAAAAAAAA">#REF!</definedName>
    <definedName name="AAAAAAAAAAAAA" localSheetId="23">#REF!</definedName>
    <definedName name="AAAAAAAAAAAAA" localSheetId="6">#REF!</definedName>
    <definedName name="AAAAAAAAAAAAA" localSheetId="10">#REF!</definedName>
    <definedName name="AAAAAAAAAAAAA">#REF!</definedName>
    <definedName name="aadf" localSheetId="23">#REF!</definedName>
    <definedName name="aadf" localSheetId="6">#REF!</definedName>
    <definedName name="aadf" localSheetId="10">#REF!</definedName>
    <definedName name="aadf">#REF!</definedName>
    <definedName name="aAXX1" localSheetId="23">#REF!</definedName>
    <definedName name="aAXX1" localSheetId="6">#REF!</definedName>
    <definedName name="aAXX1" localSheetId="10">#REF!</definedName>
    <definedName name="aAXX1">#REF!</definedName>
    <definedName name="ab" localSheetId="4">#REF!</definedName>
    <definedName name="ab" localSheetId="27">#REF!</definedName>
    <definedName name="ab" localSheetId="5">#REF!</definedName>
    <definedName name="AB">INDEX('[5] '!$B$1:$B$16,MATCH('[5]  '!$K$9,'[5] '!$A$1:$A$16,0))</definedName>
    <definedName name="ABACUS" localSheetId="23">#REF!</definedName>
    <definedName name="ABACUS" localSheetId="6">#REF!</definedName>
    <definedName name="ABACUS" localSheetId="10">#REF!</definedName>
    <definedName name="ABACUS">#REF!</definedName>
    <definedName name="ABC" localSheetId="4">#REF!</definedName>
    <definedName name="ABC" localSheetId="23">#REF!</definedName>
    <definedName name="ABC" localSheetId="6">#REF!</definedName>
    <definedName name="ABC" localSheetId="27">#REF!</definedName>
    <definedName name="ABC" localSheetId="11">#REF!</definedName>
    <definedName name="ABC" localSheetId="10">#REF!</definedName>
    <definedName name="ABC" localSheetId="5">#REF!</definedName>
    <definedName name="ABC">#REF!</definedName>
    <definedName name="abg" localSheetId="23">#REF!</definedName>
    <definedName name="abg" localSheetId="6">#REF!</definedName>
    <definedName name="abg" localSheetId="10">#REF!</definedName>
    <definedName name="abg">#REF!</definedName>
    <definedName name="ABoltDia" localSheetId="23">#REF!</definedName>
    <definedName name="ABoltDia" localSheetId="6">#REF!</definedName>
    <definedName name="ABoltDia" localSheetId="10">#REF!</definedName>
    <definedName name="ABoltDia">#REF!</definedName>
    <definedName name="ABoltLength" localSheetId="23">#REF!</definedName>
    <definedName name="ABoltLength" localSheetId="6">#REF!</definedName>
    <definedName name="ABoltLength" localSheetId="10">#REF!</definedName>
    <definedName name="ABoltLength">#REF!</definedName>
    <definedName name="ABoltProjection" localSheetId="23">#REF!</definedName>
    <definedName name="ABoltProjection" localSheetId="6">#REF!</definedName>
    <definedName name="ABoltProjection" localSheetId="10">#REF!</definedName>
    <definedName name="ABoltProjection">#REF!</definedName>
    <definedName name="ABTemplateOD" localSheetId="23">#REF!</definedName>
    <definedName name="ABTemplateOD" localSheetId="6">#REF!</definedName>
    <definedName name="ABTemplateOD" localSheetId="10">#REF!</definedName>
    <definedName name="ABTemplateOD">#REF!</definedName>
    <definedName name="AC">INDEX('[5] '!$B$1:$B$16,MATCH('[5]  '!$K$11,'[5] '!$A$1:$A$16,0))</definedName>
    <definedName name="AC_DESIGN" localSheetId="23">#REF!</definedName>
    <definedName name="AC_DESIGN" localSheetId="6">#REF!</definedName>
    <definedName name="AC_DESIGN" localSheetId="10">#REF!</definedName>
    <definedName name="AC_DESIGN">#REF!</definedName>
    <definedName name="AC_disc" localSheetId="23">#REF!</definedName>
    <definedName name="AC_disc" localSheetId="6">#REF!</definedName>
    <definedName name="AC_disc" localSheetId="10">#REF!</definedName>
    <definedName name="AC_disc">#REF!</definedName>
    <definedName name="ACCESS" localSheetId="23">#REF!</definedName>
    <definedName name="ACCESS" localSheetId="6">#REF!</definedName>
    <definedName name="ACCESS" localSheetId="10">#REF!</definedName>
    <definedName name="ACCESS">#REF!</definedName>
    <definedName name="ACCESS220" localSheetId="23">#REF!</definedName>
    <definedName name="ACCESS220" localSheetId="6">#REF!</definedName>
    <definedName name="ACCESS220" localSheetId="10">#REF!</definedName>
    <definedName name="ACCESS220">#REF!</definedName>
    <definedName name="accp" localSheetId="23">#REF!</definedName>
    <definedName name="accp" localSheetId="6">#REF!</definedName>
    <definedName name="accp" localSheetId="10">#REF!</definedName>
    <definedName name="accp">#REF!</definedName>
    <definedName name="ACDC" localSheetId="23">#REF!</definedName>
    <definedName name="ACDC" localSheetId="6">#REF!</definedName>
    <definedName name="ACDC" localSheetId="10">#REF!</definedName>
    <definedName name="ACDC">#REF!</definedName>
    <definedName name="ACDC220" localSheetId="23">#REF!</definedName>
    <definedName name="ACDC220" localSheetId="6">#REF!</definedName>
    <definedName name="ACDC220" localSheetId="10">#REF!</definedName>
    <definedName name="ACDC220">#REF!</definedName>
    <definedName name="ACT" localSheetId="23">#REF!</definedName>
    <definedName name="ACT" localSheetId="6">#REF!</definedName>
    <definedName name="ACT" localSheetId="10">#REF!</definedName>
    <definedName name="ACT">#REF!</definedName>
    <definedName name="ACTIVITY_5" localSheetId="23">#REF!</definedName>
    <definedName name="ACTIVITY_5" localSheetId="6">#REF!</definedName>
    <definedName name="ACTIVITY_5" localSheetId="10">#REF!</definedName>
    <definedName name="ACTIVITY_5">#REF!</definedName>
    <definedName name="ACTIVITY_6" localSheetId="23">#REF!</definedName>
    <definedName name="ACTIVITY_6" localSheetId="6">#REF!</definedName>
    <definedName name="ACTIVITY_6" localSheetId="10">#REF!</definedName>
    <definedName name="ACTIVITY_6">#REF!</definedName>
    <definedName name="ACTN" localSheetId="23">#REF!</definedName>
    <definedName name="ACTN" localSheetId="6">#REF!</definedName>
    <definedName name="ACTN" localSheetId="10">#REF!</definedName>
    <definedName name="ACTN">#REF!</definedName>
    <definedName name="ACTN2" localSheetId="23">#REF!</definedName>
    <definedName name="ACTN2" localSheetId="6">#REF!</definedName>
    <definedName name="ACTN2" localSheetId="10">#REF!</definedName>
    <definedName name="ACTN2">#REF!</definedName>
    <definedName name="AD" localSheetId="11" hidden="1">{"'Sheet1'!$A$4386:$N$4591"}</definedName>
    <definedName name="AD" localSheetId="10" hidden="1">{"'Sheet1'!$A$4386:$N$4591"}</definedName>
    <definedName name="AD" hidden="1">{"'Sheet1'!$A$4386:$N$4591"}</definedName>
    <definedName name="ADADADADAD" localSheetId="23">#REF!</definedName>
    <definedName name="ADADADADAD" localSheetId="6">#REF!</definedName>
    <definedName name="ADADADADAD" localSheetId="10">#REF!</definedName>
    <definedName name="ADADADADAD">#REF!</definedName>
    <definedName name="ADF" localSheetId="23">#REF!</definedName>
    <definedName name="ADF" localSheetId="6">#REF!</definedName>
    <definedName name="ADF" localSheetId="10">#REF!</definedName>
    <definedName name="ADF">#REF!</definedName>
    <definedName name="adj" localSheetId="23">#REF!</definedName>
    <definedName name="adj" localSheetId="6">#REF!</definedName>
    <definedName name="adj" localSheetId="10">#REF!</definedName>
    <definedName name="adj">#REF!</definedName>
    <definedName name="ADVIK" localSheetId="4">#REF!</definedName>
    <definedName name="ADVIK" localSheetId="23">#REF!</definedName>
    <definedName name="ADVIK" localSheetId="6">#REF!</definedName>
    <definedName name="ADVIK" localSheetId="27">#REF!</definedName>
    <definedName name="ADVIK" localSheetId="11">#REF!</definedName>
    <definedName name="ADVIK" localSheetId="10">#REF!</definedName>
    <definedName name="ADVIK" localSheetId="5">#REF!</definedName>
    <definedName name="ADVIK">#REF!</definedName>
    <definedName name="AE">INDEX('[5] '!$B$1:$B$16,MATCH('[5]  '!$K$15,'[5] '!$A$1:$A$16,0))</definedName>
    <definedName name="AED" localSheetId="23">#REF!</definedName>
    <definedName name="AED" localSheetId="6">#REF!</definedName>
    <definedName name="AED" localSheetId="10">#REF!</definedName>
    <definedName name="AED">#REF!</definedName>
    <definedName name="AF">INDEX('[5] '!$B$1:$B$16,MATCH('[5]  '!$K$17,'[5] '!$A$1:$A$16,0))</definedName>
    <definedName name="AF_00" localSheetId="23">#REF!</definedName>
    <definedName name="AF_00" localSheetId="6">#REF!</definedName>
    <definedName name="AF_00" localSheetId="10">#REF!</definedName>
    <definedName name="AF_00">#REF!</definedName>
    <definedName name="AF_01" localSheetId="23">#REF!</definedName>
    <definedName name="AF_01" localSheetId="6">#REF!</definedName>
    <definedName name="AF_01" localSheetId="10">#REF!</definedName>
    <definedName name="AF_01">#REF!</definedName>
    <definedName name="AF_02" localSheetId="23">#REF!</definedName>
    <definedName name="AF_02" localSheetId="6">#REF!</definedName>
    <definedName name="AF_02" localSheetId="10">#REF!</definedName>
    <definedName name="AF_02">#REF!</definedName>
    <definedName name="AF_98" localSheetId="23">#REF!</definedName>
    <definedName name="AF_98" localSheetId="6">#REF!</definedName>
    <definedName name="AF_98" localSheetId="10">#REF!</definedName>
    <definedName name="AF_98">#REF!</definedName>
    <definedName name="AF_99" localSheetId="23">#REF!</definedName>
    <definedName name="AF_99" localSheetId="6">#REF!</definedName>
    <definedName name="AF_99" localSheetId="10">#REF!</definedName>
    <definedName name="AF_99">#REF!</definedName>
    <definedName name="AF_M_98" localSheetId="23">#REF!</definedName>
    <definedName name="AF_M_98" localSheetId="6">#REF!</definedName>
    <definedName name="AF_M_98" localSheetId="10">#REF!</definedName>
    <definedName name="AF_M_98">#REF!</definedName>
    <definedName name="AF_M_99" localSheetId="23">#REF!</definedName>
    <definedName name="AF_M_99" localSheetId="6">#REF!</definedName>
    <definedName name="AF_M_99" localSheetId="10">#REF!</definedName>
    <definedName name="AF_M_99">#REF!</definedName>
    <definedName name="afit" localSheetId="23">#REF!</definedName>
    <definedName name="afit" localSheetId="6">#REF!</definedName>
    <definedName name="afit" localSheetId="10">#REF!</definedName>
    <definedName name="afit">#REF!</definedName>
    <definedName name="AG">INDEX('[5] '!$B$1:$B$16,MATCH('[5]  '!$K$19,'[5] '!$A$1:$A$16,0))</definedName>
    <definedName name="Ag___0" localSheetId="23">#REF!</definedName>
    <definedName name="Ag___0" localSheetId="6">#REF!</definedName>
    <definedName name="Ag___0" localSheetId="10">#REF!</definedName>
    <definedName name="Ag___0">#REF!</definedName>
    <definedName name="Ag___13" localSheetId="23">#REF!</definedName>
    <definedName name="Ag___13" localSheetId="6">#REF!</definedName>
    <definedName name="Ag___13" localSheetId="10">#REF!</definedName>
    <definedName name="Ag___13">#REF!</definedName>
    <definedName name="agdump" localSheetId="23">#REF!</definedName>
    <definedName name="agdump" localSheetId="6">#REF!</definedName>
    <definedName name="agdump" localSheetId="10">#REF!</definedName>
    <definedName name="agdump">#REF!</definedName>
    <definedName name="agedump" localSheetId="23">#REF!</definedName>
    <definedName name="agedump" localSheetId="6">#REF!</definedName>
    <definedName name="agedump" localSheetId="10">#REF!</definedName>
    <definedName name="agedump">#REF!</definedName>
    <definedName name="agencydump" localSheetId="23">#REF!</definedName>
    <definedName name="agencydump" localSheetId="6">#REF!</definedName>
    <definedName name="agencydump" localSheetId="10">#REF!</definedName>
    <definedName name="agencydump">#REF!</definedName>
    <definedName name="AGENCYLY" localSheetId="23">#REF!</definedName>
    <definedName name="AGENCYLY" localSheetId="6">#REF!</definedName>
    <definedName name="AGENCYLY" localSheetId="10">#REF!</definedName>
    <definedName name="AGENCYLY">#REF!</definedName>
    <definedName name="AGENCYPLAN" localSheetId="23">#REF!</definedName>
    <definedName name="AGENCYPLAN" localSheetId="6">#REF!</definedName>
    <definedName name="AGENCYPLAN" localSheetId="10">#REF!</definedName>
    <definedName name="AGENCYPLAN">#REF!</definedName>
    <definedName name="AH">INDEX('[5] '!$B$1:$B$16,MATCH('[5]  '!$K$21,'[5] '!$A$1:$A$16,0))</definedName>
    <definedName name="AHAHAHAHAH" localSheetId="23">#REF!</definedName>
    <definedName name="AHAHAHAHAH" localSheetId="6">#REF!</definedName>
    <definedName name="AHAHAHAHAH" localSheetId="10">#REF!</definedName>
    <definedName name="AHAHAHAHAH">#REF!</definedName>
    <definedName name="AI">INDEX('[5] '!$B$1:$B$16,MATCH('[5]  '!$K$23,'[5] '!$A$1:$A$16,0))</definedName>
    <definedName name="Aic_Instrumentation_List" localSheetId="23">#REF!</definedName>
    <definedName name="Aic_Instrumentation_List" localSheetId="6">#REF!</definedName>
    <definedName name="Aic_Instrumentation_List" localSheetId="10">#REF!</definedName>
    <definedName name="Aic_Instrumentation_List">#REF!</definedName>
    <definedName name="AICC_Serv" localSheetId="23">#REF!</definedName>
    <definedName name="AICC_Serv" localSheetId="6">#REF!</definedName>
    <definedName name="AICC_Serv" localSheetId="10">#REF!</definedName>
    <definedName name="AICC_Serv">#REF!</definedName>
    <definedName name="AIR_COOLER_CODES" localSheetId="23">#REF!</definedName>
    <definedName name="AIR_COOLER_CODES" localSheetId="6">#REF!</definedName>
    <definedName name="AIR_COOLER_CODES" localSheetId="10">#REF!</definedName>
    <definedName name="AIR_COOLER_CODES">#REF!</definedName>
    <definedName name="air_trap" localSheetId="23">#REF!</definedName>
    <definedName name="air_trap" localSheetId="6">#REF!</definedName>
    <definedName name="air_trap" localSheetId="10">#REF!</definedName>
    <definedName name="air_trap">#REF!</definedName>
    <definedName name="AirConditioning" localSheetId="23">#REF!</definedName>
    <definedName name="AirConditioning" localSheetId="6">#REF!</definedName>
    <definedName name="AirConditioning" localSheetId="10">#REF!</definedName>
    <definedName name="AirConditioning">#REF!</definedName>
    <definedName name="AJ">INDEX('[5] '!$B$1:$B$16,MATCH('[5]  '!$K$25,'[5] '!$A$1:$A$16,0))</definedName>
    <definedName name="AK">INDEX('[5] '!$B$1:$B$16,MATCH('[5]  '!$K$27,'[5] '!$A$1:$A$16,0))</definedName>
    <definedName name="AL">INDEX('[5] '!$B$1:$B$16,MATCH('[5]  '!$K$29,'[5] '!$A$1:$A$16,0))</definedName>
    <definedName name="alarms" localSheetId="23">#REF!</definedName>
    <definedName name="alarms" localSheetId="6">#REF!</definedName>
    <definedName name="alarms" localSheetId="10">#REF!</definedName>
    <definedName name="alarms">#REF!</definedName>
    <definedName name="All_Item" localSheetId="23">#REF!</definedName>
    <definedName name="All_Item" localSheetId="6">#REF!</definedName>
    <definedName name="All_Item" localSheetId="10">#REF!</definedName>
    <definedName name="All_Item">#REF!</definedName>
    <definedName name="alpha_disc" localSheetId="23">#REF!</definedName>
    <definedName name="alpha_disc" localSheetId="6">#REF!</definedName>
    <definedName name="alpha_disc" localSheetId="10">#REF!</definedName>
    <definedName name="alpha_disc">#REF!</definedName>
    <definedName name="alpha_ed" localSheetId="23">#REF!</definedName>
    <definedName name="alpha_ed" localSheetId="6">#REF!</definedName>
    <definedName name="alpha_ed" localSheetId="10">#REF!</definedName>
    <definedName name="alpha_ed">#REF!</definedName>
    <definedName name="ALPIN" localSheetId="23">#REF!</definedName>
    <definedName name="ALPIN" localSheetId="6">#REF!</definedName>
    <definedName name="ALPIN" localSheetId="10">#REF!</definedName>
    <definedName name="ALPIN">#REF!</definedName>
    <definedName name="ALPJYOU" localSheetId="23">#REF!</definedName>
    <definedName name="ALPJYOU" localSheetId="6">#REF!</definedName>
    <definedName name="ALPJYOU" localSheetId="10">#REF!</definedName>
    <definedName name="ALPJYOU">#REF!</definedName>
    <definedName name="ALPTOI" localSheetId="23">#REF!</definedName>
    <definedName name="ALPTOI" localSheetId="6">#REF!</definedName>
    <definedName name="ALPTOI" localSheetId="10">#REF!</definedName>
    <definedName name="ALPTOI">#REF!</definedName>
    <definedName name="Alw" localSheetId="23">#REF!</definedName>
    <definedName name="Alw" localSheetId="6">#REF!</definedName>
    <definedName name="Alw" localSheetId="10">#REF!</definedName>
    <definedName name="Alw">#REF!</definedName>
    <definedName name="AM">INDEX('[5] '!$B$1:$B$16,MATCH('[5]  '!$K$31,'[5] '!$A$1:$A$16,0))</definedName>
    <definedName name="amol" localSheetId="23">#REF!</definedName>
    <definedName name="amol" localSheetId="6">#REF!</definedName>
    <definedName name="amol" localSheetId="10">#REF!</definedName>
    <definedName name="amol">#REF!</definedName>
    <definedName name="Analysis" localSheetId="23">#REF!</definedName>
    <definedName name="Analysis" localSheetId="6">#REF!</definedName>
    <definedName name="Analysis" localSheetId="10">#REF!</definedName>
    <definedName name="Analysis">#REF!</definedName>
    <definedName name="anchor" localSheetId="23">#REF!</definedName>
    <definedName name="anchor" localSheetId="6">#REF!</definedName>
    <definedName name="anchor" localSheetId="10">#REF!</definedName>
    <definedName name="anchor">#REF!</definedName>
    <definedName name="Anfang" localSheetId="23">#REF!</definedName>
    <definedName name="Anfang" localSheetId="6">#REF!</definedName>
    <definedName name="Anfang" localSheetId="10">#REF!</definedName>
    <definedName name="Anfang">#REF!</definedName>
    <definedName name="angle" localSheetId="23">#REF!</definedName>
    <definedName name="angle" localSheetId="6">#REF!</definedName>
    <definedName name="angle" localSheetId="10">#REF!</definedName>
    <definedName name="angle">#REF!</definedName>
    <definedName name="ANNEX2" localSheetId="23">#REF!</definedName>
    <definedName name="ANNEX2" localSheetId="6">#REF!</definedName>
    <definedName name="ANNEX2" localSheetId="10">#REF!</definedName>
    <definedName name="ANNEX2">#REF!</definedName>
    <definedName name="ANNEX2A" localSheetId="23">#REF!</definedName>
    <definedName name="ANNEX2A" localSheetId="6">#REF!</definedName>
    <definedName name="ANNEX2A" localSheetId="10">#REF!</definedName>
    <definedName name="ANNEX2A">#REF!</definedName>
    <definedName name="ANNEX4" localSheetId="23">#REF!</definedName>
    <definedName name="ANNEX4" localSheetId="6">#REF!</definedName>
    <definedName name="ANNEX4" localSheetId="10">#REF!</definedName>
    <definedName name="ANNEX4">#REF!</definedName>
    <definedName name="annex4.1" localSheetId="23">#REF!</definedName>
    <definedName name="annex4.1" localSheetId="6">#REF!</definedName>
    <definedName name="annex4.1" localSheetId="10">#REF!</definedName>
    <definedName name="annex4.1">#REF!</definedName>
    <definedName name="annex4.1a" localSheetId="23">#REF!</definedName>
    <definedName name="annex4.1a" localSheetId="6">#REF!</definedName>
    <definedName name="annex4.1a" localSheetId="10">#REF!</definedName>
    <definedName name="annex4.1a">#REF!</definedName>
    <definedName name="ANNEX4A" localSheetId="23">#REF!</definedName>
    <definedName name="ANNEX4A" localSheetId="6">#REF!</definedName>
    <definedName name="ANNEX4A" localSheetId="10">#REF!</definedName>
    <definedName name="ANNEX4A">#REF!</definedName>
    <definedName name="annex6" localSheetId="23">#REF!</definedName>
    <definedName name="annex6" localSheetId="6">#REF!</definedName>
    <definedName name="annex6" localSheetId="10">#REF!</definedName>
    <definedName name="annex6">#REF!</definedName>
    <definedName name="annexure_A" localSheetId="23">#REF!</definedName>
    <definedName name="annexure_A" localSheetId="6">#REF!</definedName>
    <definedName name="annexure_A" localSheetId="10">#REF!</definedName>
    <definedName name="annexure_A">#REF!</definedName>
    <definedName name="ANNEXURE_FOR_BILL_NO.EUS_632_FDN_001" localSheetId="23">#REF!</definedName>
    <definedName name="ANNEXURE_FOR_BILL_NO.EUS_632_FDN_001" localSheetId="6">#REF!</definedName>
    <definedName name="ANNEXURE_FOR_BILL_NO.EUS_632_FDN_001" localSheetId="10">#REF!</definedName>
    <definedName name="ANNEXURE_FOR_BILL_NO.EUS_632_FDN_001">#REF!</definedName>
    <definedName name="ANNEXURE_FOR_BILL_NO.EUS_632_FDN_002" localSheetId="23">#REF!</definedName>
    <definedName name="ANNEXURE_FOR_BILL_NO.EUS_632_FDN_002" localSheetId="6">#REF!</definedName>
    <definedName name="ANNEXURE_FOR_BILL_NO.EUS_632_FDN_002" localSheetId="10">#REF!</definedName>
    <definedName name="ANNEXURE_FOR_BILL_NO.EUS_632_FDN_002">#REF!</definedName>
    <definedName name="anscount" hidden="1">1</definedName>
    <definedName name="app" localSheetId="23">#REF!</definedName>
    <definedName name="app" localSheetId="6">#REF!</definedName>
    <definedName name="app" localSheetId="10">#REF!</definedName>
    <definedName name="app">#REF!</definedName>
    <definedName name="APPR" localSheetId="23">#REF!</definedName>
    <definedName name="APPR" localSheetId="6">#REF!</definedName>
    <definedName name="APPR" localSheetId="10">#REF!</definedName>
    <definedName name="APPR">#REF!</definedName>
    <definedName name="Approach" localSheetId="23">#REF!</definedName>
    <definedName name="Approach" localSheetId="6">#REF!</definedName>
    <definedName name="Approach" localSheetId="10">#REF!</definedName>
    <definedName name="Approach">#REF!</definedName>
    <definedName name="APRIL" localSheetId="23">#REF!</definedName>
    <definedName name="APRIL" localSheetId="6">#REF!</definedName>
    <definedName name="APRIL" localSheetId="10">#REF!</definedName>
    <definedName name="APRIL">#REF!</definedName>
    <definedName name="april_qty" localSheetId="23">#REF!</definedName>
    <definedName name="april_qty" localSheetId="6">#REF!</definedName>
    <definedName name="april_qty" localSheetId="10">#REF!</definedName>
    <definedName name="april_qty">#REF!</definedName>
    <definedName name="aq" localSheetId="23">#REF!</definedName>
    <definedName name="aq" localSheetId="6">#REF!</definedName>
    <definedName name="aq" localSheetId="10">#REF!</definedName>
    <definedName name="aq">#REF!</definedName>
    <definedName name="arb" localSheetId="23">#REF!</definedName>
    <definedName name="arb" localSheetId="6">#REF!</definedName>
    <definedName name="arb" localSheetId="10">#REF!</definedName>
    <definedName name="arb">#REF!</definedName>
    <definedName name="AREA_000" localSheetId="23">#REF!</definedName>
    <definedName name="AREA_000" localSheetId="6">#REF!</definedName>
    <definedName name="AREA_000" localSheetId="10">#REF!</definedName>
    <definedName name="AREA_000">#REF!</definedName>
    <definedName name="AREA_001" localSheetId="23">#REF!</definedName>
    <definedName name="AREA_001" localSheetId="6">#REF!</definedName>
    <definedName name="AREA_001" localSheetId="10">#REF!</definedName>
    <definedName name="AREA_001">#REF!</definedName>
    <definedName name="arrotonda" localSheetId="23">#REF!</definedName>
    <definedName name="arrotonda" localSheetId="6">#REF!</definedName>
    <definedName name="arrotonda" localSheetId="10">#REF!</definedName>
    <definedName name="arrotonda">#REF!</definedName>
    <definedName name="as" localSheetId="23">#REF!</definedName>
    <definedName name="as" localSheetId="6">#REF!</definedName>
    <definedName name="as" localSheetId="10">#REF!</definedName>
    <definedName name="as">#REF!</definedName>
    <definedName name="AS_disc" localSheetId="23">#REF!</definedName>
    <definedName name="AS_disc" localSheetId="6">#REF!</definedName>
    <definedName name="AS_disc" localSheetId="10">#REF!</definedName>
    <definedName name="AS_disc">#REF!</definedName>
    <definedName name="asd" localSheetId="23">#REF!</definedName>
    <definedName name="asd" localSheetId="6">#REF!</definedName>
    <definedName name="asd" localSheetId="10">#REF!</definedName>
    <definedName name="asd">#REF!</definedName>
    <definedName name="asda" localSheetId="23">#REF!</definedName>
    <definedName name="asda" localSheetId="6">#REF!</definedName>
    <definedName name="asda" localSheetId="10">#REF!</definedName>
    <definedName name="asda">#REF!</definedName>
    <definedName name="ASDFGH" localSheetId="23">#REF!</definedName>
    <definedName name="ASDFGH" localSheetId="6">#REF!</definedName>
    <definedName name="ASDFGH" localSheetId="10">#REF!</definedName>
    <definedName name="ASDFGH">#REF!</definedName>
    <definedName name="asdsad" localSheetId="23">#REF!</definedName>
    <definedName name="asdsad" localSheetId="6">#REF!</definedName>
    <definedName name="asdsad" localSheetId="10">#REF!</definedName>
    <definedName name="asdsad">#REF!</definedName>
    <definedName name="asfdasfas" localSheetId="23">#REF!</definedName>
    <definedName name="asfdasfas" localSheetId="6">#REF!</definedName>
    <definedName name="asfdasfas" localSheetId="10">#REF!</definedName>
    <definedName name="asfdasfas">#REF!</definedName>
    <definedName name="ASHOKA" localSheetId="23">#REF!</definedName>
    <definedName name="ASHOKA" localSheetId="6">#REF!</definedName>
    <definedName name="ASHOKA" localSheetId="10">#REF!</definedName>
    <definedName name="ASHOKA">#REF!</definedName>
    <definedName name="ASSASAASA" localSheetId="23">#REF!</definedName>
    <definedName name="ASSASAASA" localSheetId="6">#REF!</definedName>
    <definedName name="ASSASAASA" localSheetId="10">#REF!</definedName>
    <definedName name="ASSASAASA">#REF!</definedName>
    <definedName name="assets" localSheetId="23">#REF!</definedName>
    <definedName name="assets" localSheetId="6">#REF!</definedName>
    <definedName name="assets" localSheetId="10">#REF!</definedName>
    <definedName name="assets">#REF!</definedName>
    <definedName name="ASSSSSS" localSheetId="23">#REF!</definedName>
    <definedName name="ASSSSSS" localSheetId="6">#REF!</definedName>
    <definedName name="ASSSSSS" localSheetId="10">#REF!</definedName>
    <definedName name="ASSSSSS">#REF!</definedName>
    <definedName name="Attachment_C_3" localSheetId="23">#REF!</definedName>
    <definedName name="Attachment_C_3" localSheetId="6">#REF!</definedName>
    <definedName name="Attachment_C_3" localSheetId="10">#REF!</definedName>
    <definedName name="Attachment_C_3">#REF!</definedName>
    <definedName name="AUD" localSheetId="23">#REF!</definedName>
    <definedName name="AUD" localSheetId="6">#REF!</definedName>
    <definedName name="AUD" localSheetId="10">#REF!</definedName>
    <definedName name="AUD">#REF!</definedName>
    <definedName name="August" localSheetId="4">#REF!</definedName>
    <definedName name="August" localSheetId="23">#REF!</definedName>
    <definedName name="August" localSheetId="6">#REF!</definedName>
    <definedName name="August" localSheetId="27">#REF!</definedName>
    <definedName name="August" localSheetId="11">#REF!</definedName>
    <definedName name="August" localSheetId="10">#REF!</definedName>
    <definedName name="August" localSheetId="5">#REF!</definedName>
    <definedName name="August">#REF!</definedName>
    <definedName name="Auto" localSheetId="23">#REF!</definedName>
    <definedName name="Auto" localSheetId="6">#REF!</definedName>
    <definedName name="Auto" localSheetId="10">#REF!</definedName>
    <definedName name="Auto">#REF!</definedName>
    <definedName name="autofill_data" localSheetId="23">#REF!</definedName>
    <definedName name="autofill_data" localSheetId="6">#REF!</definedName>
    <definedName name="autofill_data" localSheetId="10">#REF!</definedName>
    <definedName name="autofill_data">#REF!</definedName>
    <definedName name="aux" localSheetId="23">#REF!</definedName>
    <definedName name="aux" localSheetId="6">#REF!</definedName>
    <definedName name="aux" localSheetId="10">#REF!</definedName>
    <definedName name="aux">#REF!</definedName>
    <definedName name="Aux.items" localSheetId="23">#REF!</definedName>
    <definedName name="Aux.items" localSheetId="6">#REF!</definedName>
    <definedName name="Aux.items" localSheetId="10">#REF!</definedName>
    <definedName name="Aux.items">#REF!</definedName>
    <definedName name="aw" localSheetId="23">#REF!</definedName>
    <definedName name="aw" localSheetId="6">#REF!</definedName>
    <definedName name="aw" localSheetId="10">#REF!</definedName>
    <definedName name="aw">#REF!</definedName>
    <definedName name="azsa" localSheetId="11" hidden="1">{"'PROFITABILITY'!$A$1:$F$45"}</definedName>
    <definedName name="azsa" localSheetId="10" hidden="1">{"'PROFITABILITY'!$A$1:$F$45"}</definedName>
    <definedName name="azsa" hidden="1">{"'PROFITABILITY'!$A$1:$F$45"}</definedName>
    <definedName name="B" localSheetId="4">#REF!</definedName>
    <definedName name="B" localSheetId="23">#REF!</definedName>
    <definedName name="B" localSheetId="6">#REF!</definedName>
    <definedName name="B" localSheetId="27">#REF!</definedName>
    <definedName name="B" localSheetId="11">#REF!</definedName>
    <definedName name="B" localSheetId="10">#REF!</definedName>
    <definedName name="B" localSheetId="5">#REF!</definedName>
    <definedName name="B">#REF!</definedName>
    <definedName name="B___0" localSheetId="23">#REF!</definedName>
    <definedName name="B___0" localSheetId="6">#REF!</definedName>
    <definedName name="B___0" localSheetId="10">#REF!</definedName>
    <definedName name="B___0">#REF!</definedName>
    <definedName name="B___13" localSheetId="23">#REF!</definedName>
    <definedName name="B___13" localSheetId="6">#REF!</definedName>
    <definedName name="B___13" localSheetId="10">#REF!</definedName>
    <definedName name="B___13">#REF!</definedName>
    <definedName name="b_dash" localSheetId="23">#REF!</definedName>
    <definedName name="b_dash" localSheetId="6">#REF!</definedName>
    <definedName name="b_dash" localSheetId="10">#REF!</definedName>
    <definedName name="b_dash">#REF!</definedName>
    <definedName name="B_FLG" localSheetId="23">#REF!</definedName>
    <definedName name="B_FLG" localSheetId="6">#REF!</definedName>
    <definedName name="B_FLG" localSheetId="10">#REF!</definedName>
    <definedName name="B_FLG">#REF!</definedName>
    <definedName name="b1x" localSheetId="23">#REF!</definedName>
    <definedName name="b1x" localSheetId="6">#REF!</definedName>
    <definedName name="b1x" localSheetId="10">#REF!</definedName>
    <definedName name="b1x">#REF!</definedName>
    <definedName name="b2x" localSheetId="23">#REF!</definedName>
    <definedName name="b2x" localSheetId="6">#REF!</definedName>
    <definedName name="b2x" localSheetId="10">#REF!</definedName>
    <definedName name="b2x">#REF!</definedName>
    <definedName name="BA">INDEX('[5] '!$B$1:$B$16,MATCH('[5]  '!$K$33,'[5] '!$A$1:$A$16,0))</definedName>
    <definedName name="back_pressure" localSheetId="23">#REF!</definedName>
    <definedName name="back_pressure" localSheetId="6">#REF!</definedName>
    <definedName name="back_pressure" localSheetId="10">#REF!</definedName>
    <definedName name="back_pressure">#REF!</definedName>
    <definedName name="BAL" localSheetId="23">#REF!</definedName>
    <definedName name="BAL" localSheetId="6">#REF!</definedName>
    <definedName name="BAL" localSheetId="10">#REF!</definedName>
    <definedName name="BAL">#REF!</definedName>
    <definedName name="ball" localSheetId="23">#REF!</definedName>
    <definedName name="ball" localSheetId="6">#REF!</definedName>
    <definedName name="ball" localSheetId="10">#REF!</definedName>
    <definedName name="ball">#REF!</definedName>
    <definedName name="BASE_PLATE" localSheetId="23">#REF!</definedName>
    <definedName name="BASE_PLATE" localSheetId="6">#REF!</definedName>
    <definedName name="BASE_PLATE" localSheetId="10">#REF!</definedName>
    <definedName name="BASE_PLATE">#REF!</definedName>
    <definedName name="basetrav" localSheetId="23">#REF!</definedName>
    <definedName name="basetrav" localSheetId="6">#REF!</definedName>
    <definedName name="basetrav" localSheetId="10">#REF!</definedName>
    <definedName name="basetrav">#REF!</definedName>
    <definedName name="basic_rtu" localSheetId="23">#REF!</definedName>
    <definedName name="basic_rtu" localSheetId="6">#REF!</definedName>
    <definedName name="basic_rtu" localSheetId="10">#REF!</definedName>
    <definedName name="basic_rtu">#REF!</definedName>
    <definedName name="BAUfaktor" localSheetId="23">#REF!</definedName>
    <definedName name="BAUfaktor" localSheetId="6">#REF!</definedName>
    <definedName name="BAUfaktor" localSheetId="10">#REF!</definedName>
    <definedName name="BAUfaktor">#REF!</definedName>
    <definedName name="bb" localSheetId="4">#REF!</definedName>
    <definedName name="bb" localSheetId="27">#REF!</definedName>
    <definedName name="bb" localSheetId="5">#REF!</definedName>
    <definedName name="BB">INDEX('[5] '!$B$1:$B$16,MATCH('[5]  '!$K$35,'[5] '!$A$1:$A$16,0))</definedName>
    <definedName name="bbbb" localSheetId="23">#REF!</definedName>
    <definedName name="bbbb" localSheetId="6">#REF!</definedName>
    <definedName name="bbbb" localSheetId="10">#REF!</definedName>
    <definedName name="bbbb">#REF!</definedName>
    <definedName name="BBNXN" localSheetId="4">#REF!</definedName>
    <definedName name="BBNXN" localSheetId="23">#REF!</definedName>
    <definedName name="BBNXN" localSheetId="6">#REF!</definedName>
    <definedName name="BBNXN" localSheetId="27">#REF!</definedName>
    <definedName name="BBNXN" localSheetId="11">#REF!</definedName>
    <definedName name="BBNXN" localSheetId="10">#REF!</definedName>
    <definedName name="BBNXN" localSheetId="5">#REF!</definedName>
    <definedName name="BBNXN">#REF!</definedName>
    <definedName name="BC">INDEX('[5] '!$B$1:$B$16,MATCH('[5]  '!$K$37,'[5] '!$A$1:$A$16,0))</definedName>
    <definedName name="BD">INDEX('[5] '!$B$1:$B$16,MATCH('[5]  '!$K$39,'[5] '!$A$1:$A$16,0))</definedName>
    <definedName name="BE">INDEX('[5] '!$B$1:$B$16,MATCH('[5]  '!$K$41,'[5] '!$A$1:$A$16,0))</definedName>
    <definedName name="BEN" localSheetId="23">#REF!</definedName>
    <definedName name="BEN" localSheetId="6">#REF!</definedName>
    <definedName name="BEN" localSheetId="10">#REF!</definedName>
    <definedName name="BEN">#REF!</definedName>
    <definedName name="Benefits" localSheetId="23">#REF!</definedName>
    <definedName name="Benefits" localSheetId="6">#REF!</definedName>
    <definedName name="Benefits" localSheetId="10">#REF!</definedName>
    <definedName name="Benefits">#REF!</definedName>
    <definedName name="beta" localSheetId="23">#REF!</definedName>
    <definedName name="beta" localSheetId="6">#REF!</definedName>
    <definedName name="beta" localSheetId="10">#REF!</definedName>
    <definedName name="beta">#REF!</definedName>
    <definedName name="BF">INDEX('[5] '!$B$1:$B$16,MATCH('[5]  '!$K$43,'[5] '!$A$1:$A$16,0))</definedName>
    <definedName name="BG">INDEX('[5] '!$B$1:$B$16,MATCH('[5]  '!$K$45,'[5] '!$A$1:$A$16,0))</definedName>
    <definedName name="BG_CHGS" localSheetId="23">#REF!</definedName>
    <definedName name="BG_CHGS" localSheetId="6">#REF!</definedName>
    <definedName name="BG_CHGS" localSheetId="10">#REF!</definedName>
    <definedName name="BG_CHGS">#REF!</definedName>
    <definedName name="BG_RATE" localSheetId="23">#REF!</definedName>
    <definedName name="BG_RATE" localSheetId="6">#REF!</definedName>
    <definedName name="BG_RATE" localSheetId="10">#REF!</definedName>
    <definedName name="BG_RATE">#REF!</definedName>
    <definedName name="BGT3_WORKING" localSheetId="23">#REF!</definedName>
    <definedName name="BGT3_WORKING" localSheetId="6">#REF!</definedName>
    <definedName name="BGT3_WORKING" localSheetId="10">#REF!</definedName>
    <definedName name="BGT3_WORKING">#REF!</definedName>
    <definedName name="BH">INDEX('[5] '!$B$1:$B$16,MATCH('[5]  '!$K$47,'[5] '!$A$1:$A$16,0))</definedName>
    <definedName name="BI">INDEX('[5] '!$B$1:$B$16,MATCH('[5]  '!$K$49,'[5] '!$A$1:$A$16,0))</definedName>
    <definedName name="Bidder_Quote_Ref_No" localSheetId="23">#REF!</definedName>
    <definedName name="Bidder_Quote_Ref_No" localSheetId="6">#REF!</definedName>
    <definedName name="Bidder_Quote_Ref_No" localSheetId="10">#REF!</definedName>
    <definedName name="Bidder_Quote_Ref_No">#REF!</definedName>
    <definedName name="biddername" localSheetId="23">#REF!</definedName>
    <definedName name="biddername" localSheetId="6">#REF!</definedName>
    <definedName name="biddername" localSheetId="10">#REF!</definedName>
    <definedName name="biddername">#REF!</definedName>
    <definedName name="BILLNOWISE" localSheetId="23">#REF!</definedName>
    <definedName name="BILLNOWISE" localSheetId="6">#REF!</definedName>
    <definedName name="BILLNOWISE" localSheetId="10">#REF!</definedName>
    <definedName name="BILLNOWISE">#REF!</definedName>
    <definedName name="Bilu" localSheetId="23">#REF!</definedName>
    <definedName name="Bilu" localSheetId="6">#REF!</definedName>
    <definedName name="Bilu" localSheetId="10">#REF!</definedName>
    <definedName name="Bilu">#REF!</definedName>
    <definedName name="Bilu2" localSheetId="23">#REF!</definedName>
    <definedName name="Bilu2" localSheetId="6">#REF!</definedName>
    <definedName name="Bilu2" localSheetId="10">#REF!</definedName>
    <definedName name="Bilu2">#REF!</definedName>
    <definedName name="Bilu3" localSheetId="23">#REF!</definedName>
    <definedName name="Bilu3" localSheetId="6">#REF!</definedName>
    <definedName name="Bilu3" localSheetId="10">#REF!</definedName>
    <definedName name="Bilu3">#REF!</definedName>
    <definedName name="BJ">INDEX('[5] '!$B$1:$B$16,MATCH('[5]  '!$K$51,'[5] '!$A$1:$A$16,0))</definedName>
    <definedName name="BK">INDEX('[5] '!$B$1:$B$16,MATCH('[5]  '!$K$53,'[5] '!$A$1:$A$16,0))</definedName>
    <definedName name="BL">INDEX('[5] '!$B$1:$B$16,MATCH('[5]  '!$K$55,'[5] '!$A$1:$A$16,0))</definedName>
    <definedName name="BL2A" localSheetId="23">#REF!</definedName>
    <definedName name="BL2A" localSheetId="6">#REF!</definedName>
    <definedName name="BL2A" localSheetId="10">#REF!</definedName>
    <definedName name="BL2A">#REF!</definedName>
    <definedName name="BL2A2" localSheetId="23">#REF!</definedName>
    <definedName name="BL2A2" localSheetId="6">#REF!</definedName>
    <definedName name="BL2A2" localSheetId="10">#REF!</definedName>
    <definedName name="BL2A2">#REF!</definedName>
    <definedName name="BL2AA" localSheetId="23">#REF!</definedName>
    <definedName name="BL2AA" localSheetId="6">#REF!</definedName>
    <definedName name="BL2AA" localSheetId="10">#REF!</definedName>
    <definedName name="BL2AA">#REF!</definedName>
    <definedName name="BL2AAA" localSheetId="23">#REF!</definedName>
    <definedName name="BL2AAA" localSheetId="6">#REF!</definedName>
    <definedName name="BL2AAA" localSheetId="10">#REF!</definedName>
    <definedName name="BL2AAA">#REF!</definedName>
    <definedName name="BL2B" localSheetId="23">#REF!</definedName>
    <definedName name="BL2B" localSheetId="6">#REF!</definedName>
    <definedName name="BL2B" localSheetId="10">#REF!</definedName>
    <definedName name="BL2B">#REF!</definedName>
    <definedName name="BL2BB" localSheetId="23">#REF!</definedName>
    <definedName name="BL2BB" localSheetId="6">#REF!</definedName>
    <definedName name="BL2BB" localSheetId="10">#REF!</definedName>
    <definedName name="BL2BB">#REF!</definedName>
    <definedName name="BL2BBB" localSheetId="23">#REF!</definedName>
    <definedName name="BL2BBB" localSheetId="6">#REF!</definedName>
    <definedName name="BL2BBB" localSheetId="10">#REF!</definedName>
    <definedName name="BL2BBB">#REF!</definedName>
    <definedName name="BL2C" localSheetId="23">#REF!</definedName>
    <definedName name="BL2C" localSheetId="6">#REF!</definedName>
    <definedName name="BL2C" localSheetId="10">#REF!</definedName>
    <definedName name="BL2C">#REF!</definedName>
    <definedName name="BL2CC" localSheetId="23">#REF!</definedName>
    <definedName name="BL2CC" localSheetId="6">#REF!</definedName>
    <definedName name="BL2CC" localSheetId="10">#REF!</definedName>
    <definedName name="BL2CC">#REF!</definedName>
    <definedName name="BL2CCC" localSheetId="23">#REF!</definedName>
    <definedName name="BL2CCC" localSheetId="6">#REF!</definedName>
    <definedName name="BL2CCC" localSheetId="10">#REF!</definedName>
    <definedName name="BL2CCC">#REF!</definedName>
    <definedName name="BL3A" localSheetId="23">#REF!</definedName>
    <definedName name="BL3A" localSheetId="6">#REF!</definedName>
    <definedName name="BL3A" localSheetId="10">#REF!</definedName>
    <definedName name="BL3A">#REF!</definedName>
    <definedName name="BL3AA" localSheetId="23">#REF!</definedName>
    <definedName name="BL3AA" localSheetId="6">#REF!</definedName>
    <definedName name="BL3AA" localSheetId="10">#REF!</definedName>
    <definedName name="BL3AA">#REF!</definedName>
    <definedName name="BL3AAA" localSheetId="23">#REF!</definedName>
    <definedName name="BL3AAA" localSheetId="6">#REF!</definedName>
    <definedName name="BL3AAA" localSheetId="10">#REF!</definedName>
    <definedName name="BL3AAA">#REF!</definedName>
    <definedName name="BL3B" localSheetId="23">#REF!</definedName>
    <definedName name="BL3B" localSheetId="6">#REF!</definedName>
    <definedName name="BL3B" localSheetId="10">#REF!</definedName>
    <definedName name="BL3B">#REF!</definedName>
    <definedName name="BL3BB" localSheetId="23">#REF!</definedName>
    <definedName name="BL3BB" localSheetId="6">#REF!</definedName>
    <definedName name="BL3BB" localSheetId="10">#REF!</definedName>
    <definedName name="BL3BB">#REF!</definedName>
    <definedName name="BL3BBB" localSheetId="23">#REF!</definedName>
    <definedName name="BL3BBB" localSheetId="6">#REF!</definedName>
    <definedName name="BL3BBB" localSheetId="10">#REF!</definedName>
    <definedName name="BL3BBB">#REF!</definedName>
    <definedName name="BL3C" localSheetId="23">#REF!</definedName>
    <definedName name="BL3C" localSheetId="6">#REF!</definedName>
    <definedName name="BL3C" localSheetId="10">#REF!</definedName>
    <definedName name="BL3C">#REF!</definedName>
    <definedName name="BL3CC" localSheetId="23">#REF!</definedName>
    <definedName name="BL3CC" localSheetId="6">#REF!</definedName>
    <definedName name="BL3CC" localSheetId="10">#REF!</definedName>
    <definedName name="BL3CC">#REF!</definedName>
    <definedName name="BL3CCC" localSheetId="23">#REF!</definedName>
    <definedName name="BL3CCC" localSheetId="6">#REF!</definedName>
    <definedName name="BL3CCC" localSheetId="10">#REF!</definedName>
    <definedName name="BL3CCC">#REF!</definedName>
    <definedName name="BL4A" localSheetId="23">#REF!</definedName>
    <definedName name="BL4A" localSheetId="6">#REF!</definedName>
    <definedName name="BL4A" localSheetId="10">#REF!</definedName>
    <definedName name="BL4A">#REF!</definedName>
    <definedName name="BL4AA" localSheetId="23">#REF!</definedName>
    <definedName name="BL4AA" localSheetId="6">#REF!</definedName>
    <definedName name="BL4AA" localSheetId="10">#REF!</definedName>
    <definedName name="BL4AA">#REF!</definedName>
    <definedName name="BL4AAA" localSheetId="23">#REF!</definedName>
    <definedName name="BL4AAA" localSheetId="6">#REF!</definedName>
    <definedName name="BL4AAA" localSheetId="10">#REF!</definedName>
    <definedName name="BL4AAA">#REF!</definedName>
    <definedName name="BL4B" localSheetId="23">#REF!</definedName>
    <definedName name="BL4B" localSheetId="6">#REF!</definedName>
    <definedName name="BL4B" localSheetId="10">#REF!</definedName>
    <definedName name="BL4B">#REF!</definedName>
    <definedName name="BL4BB" localSheetId="23">#REF!</definedName>
    <definedName name="BL4BB" localSheetId="6">#REF!</definedName>
    <definedName name="BL4BB" localSheetId="10">#REF!</definedName>
    <definedName name="BL4BB">#REF!</definedName>
    <definedName name="BL4BBB" localSheetId="23">#REF!</definedName>
    <definedName name="BL4BBB" localSheetId="6">#REF!</definedName>
    <definedName name="BL4BBB" localSheetId="10">#REF!</definedName>
    <definedName name="BL4BBB">#REF!</definedName>
    <definedName name="BL4C" localSheetId="23">#REF!</definedName>
    <definedName name="BL4C" localSheetId="6">#REF!</definedName>
    <definedName name="BL4C" localSheetId="10">#REF!</definedName>
    <definedName name="BL4C">#REF!</definedName>
    <definedName name="BL4CC" localSheetId="23">#REF!</definedName>
    <definedName name="BL4CC" localSheetId="6">#REF!</definedName>
    <definedName name="BL4CC" localSheetId="10">#REF!</definedName>
    <definedName name="BL4CC">#REF!</definedName>
    <definedName name="BL4CCC" localSheetId="23">#REF!</definedName>
    <definedName name="BL4CCC" localSheetId="6">#REF!</definedName>
    <definedName name="BL4CCC" localSheetId="10">#REF!</definedName>
    <definedName name="BL4CCC">#REF!</definedName>
    <definedName name="BL5A" localSheetId="23">#REF!</definedName>
    <definedName name="BL5A" localSheetId="6">#REF!</definedName>
    <definedName name="BL5A" localSheetId="10">#REF!</definedName>
    <definedName name="BL5A">#REF!</definedName>
    <definedName name="BL5AA" localSheetId="23">#REF!</definedName>
    <definedName name="BL5AA" localSheetId="6">#REF!</definedName>
    <definedName name="BL5AA" localSheetId="10">#REF!</definedName>
    <definedName name="BL5AA">#REF!</definedName>
    <definedName name="BL5AAA" localSheetId="23">#REF!</definedName>
    <definedName name="BL5AAA" localSheetId="6">#REF!</definedName>
    <definedName name="BL5AAA" localSheetId="10">#REF!</definedName>
    <definedName name="BL5AAA">#REF!</definedName>
    <definedName name="BL5B" localSheetId="23">#REF!</definedName>
    <definedName name="BL5B" localSheetId="6">#REF!</definedName>
    <definedName name="BL5B" localSheetId="10">#REF!</definedName>
    <definedName name="BL5B">#REF!</definedName>
    <definedName name="BL5BB" localSheetId="23">#REF!</definedName>
    <definedName name="BL5BB" localSheetId="6">#REF!</definedName>
    <definedName name="BL5BB" localSheetId="10">#REF!</definedName>
    <definedName name="BL5BB">#REF!</definedName>
    <definedName name="BL5BBB" localSheetId="23">#REF!</definedName>
    <definedName name="BL5BBB" localSheetId="6">#REF!</definedName>
    <definedName name="BL5BBB" localSheetId="10">#REF!</definedName>
    <definedName name="BL5BBB">#REF!</definedName>
    <definedName name="BL5C" localSheetId="23">#REF!</definedName>
    <definedName name="BL5C" localSheetId="6">#REF!</definedName>
    <definedName name="BL5C" localSheetId="10">#REF!</definedName>
    <definedName name="BL5C">#REF!</definedName>
    <definedName name="BL5CC" localSheetId="23">#REF!</definedName>
    <definedName name="BL5CC" localSheetId="6">#REF!</definedName>
    <definedName name="BL5CC" localSheetId="10">#REF!</definedName>
    <definedName name="BL5CC">#REF!</definedName>
    <definedName name="BL5CCC" localSheetId="23">#REF!</definedName>
    <definedName name="BL5CCC" localSheetId="6">#REF!</definedName>
    <definedName name="BL5CCC" localSheetId="10">#REF!</definedName>
    <definedName name="BL5CCC">#REF!</definedName>
    <definedName name="blhvhb" localSheetId="23">#REF!</definedName>
    <definedName name="blhvhb" localSheetId="6">#REF!</definedName>
    <definedName name="blhvhb" localSheetId="10">#REF!</definedName>
    <definedName name="blhvhb">#REF!</definedName>
    <definedName name="BM">INDEX('[5] '!$B$1:$B$16,MATCH('[5]  '!$K$57,'[5] '!$A$1:$A$16,0))</definedName>
    <definedName name="Bn" localSheetId="23">#REF!</definedName>
    <definedName name="Bn" localSheetId="6">#REF!</definedName>
    <definedName name="Bn" localSheetId="10">#REF!</definedName>
    <definedName name="Bn">#REF!</definedName>
    <definedName name="boisar" localSheetId="23">#REF!</definedName>
    <definedName name="boisar" localSheetId="6">#REF!</definedName>
    <definedName name="boisar" localSheetId="10">#REF!</definedName>
    <definedName name="boisar">#REF!</definedName>
    <definedName name="BOISAR_BAYWISE" localSheetId="23">#REF!</definedName>
    <definedName name="BOISAR_BAYWISE" localSheetId="6">#REF!</definedName>
    <definedName name="BOISAR_BAYWISE" localSheetId="10">#REF!</definedName>
    <definedName name="BOISAR_BAYWISE">#REF!</definedName>
    <definedName name="BOLT" localSheetId="23">#REF!</definedName>
    <definedName name="BOLT" localSheetId="6">#REF!</definedName>
    <definedName name="BOLT" localSheetId="10">#REF!</definedName>
    <definedName name="BOLT">#REF!</definedName>
    <definedName name="BoltCircle" localSheetId="23">#REF!</definedName>
    <definedName name="BoltCircle" localSheetId="6">#REF!</definedName>
    <definedName name="BoltCircle" localSheetId="10">#REF!</definedName>
    <definedName name="BoltCircle">#REF!</definedName>
    <definedName name="BoltCircleOrPoleOD" localSheetId="23">#REF!</definedName>
    <definedName name="BoltCircleOrPoleOD" localSheetId="6">#REF!</definedName>
    <definedName name="BoltCircleOrPoleOD" localSheetId="10">#REF!</definedName>
    <definedName name="BoltCircleOrPoleOD">#REF!</definedName>
    <definedName name="bom" localSheetId="23">#REF!</definedName>
    <definedName name="bom" localSheetId="6">#REF!</definedName>
    <definedName name="bom" localSheetId="10">#REF!</definedName>
    <definedName name="bom">#REF!</definedName>
    <definedName name="BONPSCHE" localSheetId="23">#REF!</definedName>
    <definedName name="BONPSCHE" localSheetId="6">#REF!</definedName>
    <definedName name="BONPSCHE" localSheetId="10">#REF!</definedName>
    <definedName name="BONPSCHE">#REF!</definedName>
    <definedName name="BOQ" localSheetId="23">#REF!</definedName>
    <definedName name="BOQ" localSheetId="6">#REF!</definedName>
    <definedName name="BOQ" localSheetId="10">#REF!</definedName>
    <definedName name="BOQ">#REF!</definedName>
    <definedName name="BOSS" localSheetId="23">#REF!</definedName>
    <definedName name="BOSS" localSheetId="6">#REF!</definedName>
    <definedName name="BOSS" localSheetId="10">#REF!</definedName>
    <definedName name="BOSS">#REF!</definedName>
    <definedName name="BOX" localSheetId="23">#REF!</definedName>
    <definedName name="BOX" localSheetId="6">#REF!</definedName>
    <definedName name="BOX" localSheetId="10">#REF!</definedName>
    <definedName name="BOX">#REF!</definedName>
    <definedName name="bps" localSheetId="23">#REF!</definedName>
    <definedName name="bps" localSheetId="6">#REF!</definedName>
    <definedName name="bps" localSheetId="10">#REF!</definedName>
    <definedName name="bps">#REF!</definedName>
    <definedName name="BQ" localSheetId="23">#REF!</definedName>
    <definedName name="BQ" localSheetId="6">#REF!</definedName>
    <definedName name="BQ" localSheetId="10">#REF!</definedName>
    <definedName name="BQ">#REF!</definedName>
    <definedName name="BR_Resou" localSheetId="23">#REF!</definedName>
    <definedName name="BR_Resou" localSheetId="6">#REF!</definedName>
    <definedName name="BR_Resou" localSheetId="10">#REF!</definedName>
    <definedName name="BR_Resou">#REF!</definedName>
    <definedName name="bs" localSheetId="23">#REF!</definedName>
    <definedName name="bs" localSheetId="6">#REF!</definedName>
    <definedName name="bs" localSheetId="10">#REF!</definedName>
    <definedName name="bs">#REF!</definedName>
    <definedName name="BS_9A" localSheetId="23">#REF!</definedName>
    <definedName name="BS_9A" localSheetId="6">#REF!</definedName>
    <definedName name="BS_9A" localSheetId="10">#REF!</definedName>
    <definedName name="BS_9A">#REF!</definedName>
    <definedName name="BS_9B" localSheetId="23">#REF!</definedName>
    <definedName name="BS_9B" localSheetId="6">#REF!</definedName>
    <definedName name="BS_9B" localSheetId="10">#REF!</definedName>
    <definedName name="BS_9B">#REF!</definedName>
    <definedName name="btb_musd" localSheetId="23">#REF!</definedName>
    <definedName name="btb_musd" localSheetId="6">#REF!</definedName>
    <definedName name="btb_musd" localSheetId="10">#REF!</definedName>
    <definedName name="btb_musd">#REF!</definedName>
    <definedName name="bUB" localSheetId="23">#REF!</definedName>
    <definedName name="bUB" localSheetId="6">#REF!</definedName>
    <definedName name="bUB" localSheetId="10">#REF!</definedName>
    <definedName name="bUB">#REF!</definedName>
    <definedName name="BUDDHA" localSheetId="23">#REF!</definedName>
    <definedName name="BUDDHA" localSheetId="6">#REF!</definedName>
    <definedName name="BUDDHA" localSheetId="10">#REF!</definedName>
    <definedName name="BUDDHA">#REF!</definedName>
    <definedName name="budgets" localSheetId="23">#REF!</definedName>
    <definedName name="budgets" localSheetId="6">#REF!</definedName>
    <definedName name="budgets" localSheetId="10">#REF!</definedName>
    <definedName name="budgets">#REF!</definedName>
    <definedName name="BuiltIn_Print_Area" localSheetId="23">#REF!</definedName>
    <definedName name="BuiltIn_Print_Area" localSheetId="6">#REF!</definedName>
    <definedName name="BuiltIn_Print_Area" localSheetId="10">#REF!</definedName>
    <definedName name="BuiltIn_Print_Area">#REF!</definedName>
    <definedName name="BuiltIn_Print_Area___0" localSheetId="23">#REF!</definedName>
    <definedName name="BuiltIn_Print_Area___0" localSheetId="6">#REF!</definedName>
    <definedName name="BuiltIn_Print_Area___0" localSheetId="10">#REF!</definedName>
    <definedName name="BuiltIn_Print_Area___0">#REF!</definedName>
    <definedName name="BuiltIn_Print_Area___0___0" localSheetId="23">#REF!</definedName>
    <definedName name="BuiltIn_Print_Area___0___0" localSheetId="6">#REF!</definedName>
    <definedName name="BuiltIn_Print_Area___0___0" localSheetId="10">#REF!</definedName>
    <definedName name="BuiltIn_Print_Area___0___0">#REF!</definedName>
    <definedName name="BuiltIn_Print_Titles" localSheetId="23">#REF!</definedName>
    <definedName name="BuiltIn_Print_Titles" localSheetId="6">#REF!</definedName>
    <definedName name="BuiltIn_Print_Titles" localSheetId="10">#REF!</definedName>
    <definedName name="BuiltIn_Print_Titles">#REF!</definedName>
    <definedName name="BuiltIn_Print_Titles___0" localSheetId="23">#REF!</definedName>
    <definedName name="BuiltIn_Print_Titles___0" localSheetId="6">#REF!</definedName>
    <definedName name="BuiltIn_Print_Titles___0" localSheetId="10">#REF!</definedName>
    <definedName name="BuiltIn_Print_Titles___0">#REF!</definedName>
    <definedName name="BuiltIn_Print_Titles___0___0" localSheetId="23">#REF!</definedName>
    <definedName name="BuiltIn_Print_Titles___0___0" localSheetId="6">#REF!</definedName>
    <definedName name="BuiltIn_Print_Titles___0___0" localSheetId="10">#REF!</definedName>
    <definedName name="BuiltIn_Print_Titles___0___0">#REF!</definedName>
    <definedName name="butterfly" localSheetId="23">#REF!</definedName>
    <definedName name="butterfly" localSheetId="6">#REF!</definedName>
    <definedName name="butterfly" localSheetId="10">#REF!</definedName>
    <definedName name="butterfly">#REF!</definedName>
    <definedName name="Bx" localSheetId="23">#REF!</definedName>
    <definedName name="Bx" localSheetId="6">#REF!</definedName>
    <definedName name="Bx" localSheetId="10">#REF!</definedName>
    <definedName name="Bx">#REF!</definedName>
    <definedName name="Bx___0" localSheetId="23">#REF!</definedName>
    <definedName name="Bx___0" localSheetId="6">#REF!</definedName>
    <definedName name="Bx___0" localSheetId="10">#REF!</definedName>
    <definedName name="Bx___0">#REF!</definedName>
    <definedName name="Bx___13" localSheetId="23">#REF!</definedName>
    <definedName name="Bx___13" localSheetId="6">#REF!</definedName>
    <definedName name="Bx___13" localSheetId="10">#REF!</definedName>
    <definedName name="Bx___13">#REF!</definedName>
    <definedName name="by_weld" localSheetId="23">#REF!</definedName>
    <definedName name="by_weld" localSheetId="6">#REF!</definedName>
    <definedName name="by_weld" localSheetId="10">#REF!</definedName>
    <definedName name="by_weld">#REF!</definedName>
    <definedName name="C_" localSheetId="4">#REF!</definedName>
    <definedName name="C_" localSheetId="23">#REF!</definedName>
    <definedName name="C_" localSheetId="6">#REF!</definedName>
    <definedName name="C_" localSheetId="27">#REF!</definedName>
    <definedName name="C_" localSheetId="11">#REF!</definedName>
    <definedName name="C_" localSheetId="10">#REF!</definedName>
    <definedName name="C_" localSheetId="5">#REF!</definedName>
    <definedName name="C_">#REF!</definedName>
    <definedName name="c_margin" localSheetId="23">#REF!</definedName>
    <definedName name="c_margin" localSheetId="6">#REF!</definedName>
    <definedName name="c_margin" localSheetId="10">#REF!</definedName>
    <definedName name="c_margin">#REF!</definedName>
    <definedName name="C_VALUE" localSheetId="23">#REF!</definedName>
    <definedName name="C_VALUE" localSheetId="6">#REF!</definedName>
    <definedName name="C_VALUE" localSheetId="10">#REF!</definedName>
    <definedName name="C_VALUE">#REF!</definedName>
    <definedName name="CA">INDEX('[5] '!$B$1:$B$16,MATCH('[5]  '!$K$59,'[5] '!$A$1:$A$16,0))</definedName>
    <definedName name="CABLE" localSheetId="23">#REF!</definedName>
    <definedName name="CABLE" localSheetId="6">#REF!</definedName>
    <definedName name="CABLE" localSheetId="10">#REF!</definedName>
    <definedName name="CABLE">#REF!</definedName>
    <definedName name="CABLE1" localSheetId="23">#REF!</definedName>
    <definedName name="CABLE1" localSheetId="6">#REF!</definedName>
    <definedName name="CABLE1" localSheetId="10">#REF!</definedName>
    <definedName name="CABLE1">#REF!</definedName>
    <definedName name="cal" localSheetId="23">#REF!</definedName>
    <definedName name="cal" localSheetId="6">#REF!</definedName>
    <definedName name="cal" localSheetId="10">#REF!</definedName>
    <definedName name="cal">#REF!</definedName>
    <definedName name="CalcAgencyPrice" localSheetId="23">#REF!</definedName>
    <definedName name="CalcAgencyPrice" localSheetId="6">#REF!</definedName>
    <definedName name="CalcAgencyPrice" localSheetId="10">#REF!</definedName>
    <definedName name="CalcAgencyPrice">#REF!</definedName>
    <definedName name="can" localSheetId="23">#REF!</definedName>
    <definedName name="can" localSheetId="6">#REF!</definedName>
    <definedName name="can" localSheetId="10">#REF!</definedName>
    <definedName name="can">#REF!</definedName>
    <definedName name="cap" localSheetId="23">#REF!</definedName>
    <definedName name="cap" localSheetId="6">#REF!</definedName>
    <definedName name="cap" localSheetId="10">#REF!</definedName>
    <definedName name="cap">#REF!</definedName>
    <definedName name="CAPA1" localSheetId="23">#REF!</definedName>
    <definedName name="CAPA1" localSheetId="6">#REF!</definedName>
    <definedName name="CAPA1" localSheetId="10">#REF!</definedName>
    <definedName name="CAPA1">#REF!</definedName>
    <definedName name="CAPA11" localSheetId="23">#REF!</definedName>
    <definedName name="CAPA11" localSheetId="6">#REF!</definedName>
    <definedName name="CAPA11" localSheetId="10">#REF!</definedName>
    <definedName name="CAPA11">#REF!</definedName>
    <definedName name="CAPA111" localSheetId="23">#REF!</definedName>
    <definedName name="CAPA111" localSheetId="6">#REF!</definedName>
    <definedName name="CAPA111" localSheetId="10">#REF!</definedName>
    <definedName name="CAPA111">#REF!</definedName>
    <definedName name="CAPA2" localSheetId="23">#REF!</definedName>
    <definedName name="CAPA2" localSheetId="6">#REF!</definedName>
    <definedName name="CAPA2" localSheetId="10">#REF!</definedName>
    <definedName name="CAPA2">#REF!</definedName>
    <definedName name="CAPA22" localSheetId="23">#REF!</definedName>
    <definedName name="CAPA22" localSheetId="6">#REF!</definedName>
    <definedName name="CAPA22" localSheetId="10">#REF!</definedName>
    <definedName name="CAPA22">#REF!</definedName>
    <definedName name="CAPA222" localSheetId="23">#REF!</definedName>
    <definedName name="CAPA222" localSheetId="6">#REF!</definedName>
    <definedName name="CAPA222" localSheetId="10">#REF!</definedName>
    <definedName name="CAPA222">#REF!</definedName>
    <definedName name="CAPA3" localSheetId="23">#REF!</definedName>
    <definedName name="CAPA3" localSheetId="6">#REF!</definedName>
    <definedName name="CAPA3" localSheetId="10">#REF!</definedName>
    <definedName name="CAPA3">#REF!</definedName>
    <definedName name="CAPA33" localSheetId="23">#REF!</definedName>
    <definedName name="CAPA33" localSheetId="6">#REF!</definedName>
    <definedName name="CAPA33" localSheetId="10">#REF!</definedName>
    <definedName name="CAPA33">#REF!</definedName>
    <definedName name="CAPA333" localSheetId="23">#REF!</definedName>
    <definedName name="CAPA333" localSheetId="6">#REF!</definedName>
    <definedName name="CAPA333" localSheetId="10">#REF!</definedName>
    <definedName name="CAPA333">#REF!</definedName>
    <definedName name="CAPA4" localSheetId="23">#REF!</definedName>
    <definedName name="CAPA4" localSheetId="6">#REF!</definedName>
    <definedName name="CAPA4" localSheetId="10">#REF!</definedName>
    <definedName name="CAPA4">#REF!</definedName>
    <definedName name="CAPA44" localSheetId="23">#REF!</definedName>
    <definedName name="CAPA44" localSheetId="6">#REF!</definedName>
    <definedName name="CAPA44" localSheetId="10">#REF!</definedName>
    <definedName name="CAPA44">#REF!</definedName>
    <definedName name="CAPA444" localSheetId="23">#REF!</definedName>
    <definedName name="CAPA444" localSheetId="6">#REF!</definedName>
    <definedName name="CAPA444" localSheetId="10">#REF!</definedName>
    <definedName name="CAPA444">#REF!</definedName>
    <definedName name="CAPA7" localSheetId="23">#REF!</definedName>
    <definedName name="CAPA7" localSheetId="6">#REF!</definedName>
    <definedName name="CAPA7" localSheetId="10">#REF!</definedName>
    <definedName name="CAPA7">#REF!</definedName>
    <definedName name="CAPA77" localSheetId="23">#REF!</definedName>
    <definedName name="CAPA77" localSheetId="6">#REF!</definedName>
    <definedName name="CAPA77" localSheetId="10">#REF!</definedName>
    <definedName name="CAPA77">#REF!</definedName>
    <definedName name="CAPA777" localSheetId="23">#REF!</definedName>
    <definedName name="CAPA777" localSheetId="6">#REF!</definedName>
    <definedName name="CAPA777" localSheetId="10">#REF!</definedName>
    <definedName name="CAPA777">#REF!</definedName>
    <definedName name="CAPAPR" localSheetId="23">#REF!</definedName>
    <definedName name="CAPAPR" localSheetId="6">#REF!</definedName>
    <definedName name="CAPAPR" localSheetId="10">#REF!</definedName>
    <definedName name="CAPAPR">#REF!</definedName>
    <definedName name="CAPAUG" localSheetId="23">#REF!</definedName>
    <definedName name="CAPAUG" localSheetId="6">#REF!</definedName>
    <definedName name="CAPAUG" localSheetId="10">#REF!</definedName>
    <definedName name="CAPAUG">#REF!</definedName>
    <definedName name="CAPDEC" localSheetId="23">#REF!</definedName>
    <definedName name="CAPDEC" localSheetId="6">#REF!</definedName>
    <definedName name="CAPDEC" localSheetId="10">#REF!</definedName>
    <definedName name="CAPDEC">#REF!</definedName>
    <definedName name="CAPFEB" localSheetId="23">#REF!</definedName>
    <definedName name="CAPFEB" localSheetId="6">#REF!</definedName>
    <definedName name="CAPFEB" localSheetId="10">#REF!</definedName>
    <definedName name="CAPFEB">#REF!</definedName>
    <definedName name="CAPJAN" localSheetId="23">#REF!</definedName>
    <definedName name="CAPJAN" localSheetId="6">#REF!</definedName>
    <definedName name="CAPJAN" localSheetId="10">#REF!</definedName>
    <definedName name="CAPJAN">#REF!</definedName>
    <definedName name="CAPJUL" localSheetId="23">#REF!</definedName>
    <definedName name="CAPJUL" localSheetId="6">#REF!</definedName>
    <definedName name="CAPJUL" localSheetId="10">#REF!</definedName>
    <definedName name="CAPJUL">#REF!</definedName>
    <definedName name="CAPJUN" localSheetId="23">#REF!</definedName>
    <definedName name="CAPJUN" localSheetId="6">#REF!</definedName>
    <definedName name="CAPJUN" localSheetId="10">#REF!</definedName>
    <definedName name="CAPJUN">#REF!</definedName>
    <definedName name="CAPMAR" localSheetId="23">#REF!</definedName>
    <definedName name="CAPMAR" localSheetId="6">#REF!</definedName>
    <definedName name="CAPMAR" localSheetId="10">#REF!</definedName>
    <definedName name="CAPMAR">#REF!</definedName>
    <definedName name="CAPMAY" localSheetId="23">#REF!</definedName>
    <definedName name="CAPMAY" localSheetId="6">#REF!</definedName>
    <definedName name="CAPMAY" localSheetId="10">#REF!</definedName>
    <definedName name="CAPMAY">#REF!</definedName>
    <definedName name="CAPNOV" localSheetId="23">#REF!</definedName>
    <definedName name="CAPNOV" localSheetId="6">#REF!</definedName>
    <definedName name="CAPNOV" localSheetId="10">#REF!</definedName>
    <definedName name="CAPNOV">#REF!</definedName>
    <definedName name="CAPOCT" localSheetId="23">#REF!</definedName>
    <definedName name="CAPOCT" localSheetId="6">#REF!</definedName>
    <definedName name="CAPOCT" localSheetId="10">#REF!</definedName>
    <definedName name="CAPOCT">#REF!</definedName>
    <definedName name="CAPSEP" localSheetId="23">#REF!</definedName>
    <definedName name="CAPSEP" localSheetId="6">#REF!</definedName>
    <definedName name="CAPSEP" localSheetId="10">#REF!</definedName>
    <definedName name="CAPSEP">#REF!</definedName>
    <definedName name="carpet" localSheetId="23">#REF!</definedName>
    <definedName name="carpet" localSheetId="6">#REF!</definedName>
    <definedName name="carpet" localSheetId="10">#REF!</definedName>
    <definedName name="carpet">#REF!</definedName>
    <definedName name="carpet___0" localSheetId="23">#REF!</definedName>
    <definedName name="carpet___0" localSheetId="6">#REF!</definedName>
    <definedName name="carpet___0" localSheetId="10">#REF!</definedName>
    <definedName name="carpet___0">#REF!</definedName>
    <definedName name="carpet___11" localSheetId="23">#REF!</definedName>
    <definedName name="carpet___11" localSheetId="6">#REF!</definedName>
    <definedName name="carpet___11" localSheetId="10">#REF!</definedName>
    <definedName name="carpet___11">#REF!</definedName>
    <definedName name="carpet___12" localSheetId="23">#REF!</definedName>
    <definedName name="carpet___12" localSheetId="6">#REF!</definedName>
    <definedName name="carpet___12" localSheetId="10">#REF!</definedName>
    <definedName name="carpet___12">#REF!</definedName>
    <definedName name="cashfloaa" localSheetId="23">#REF!</definedName>
    <definedName name="cashfloaa" localSheetId="6">#REF!</definedName>
    <definedName name="cashfloaa" localSheetId="10">#REF!</definedName>
    <definedName name="cashfloaa">#REF!</definedName>
    <definedName name="Category_All" localSheetId="23">#REF!</definedName>
    <definedName name="Category_All" localSheetId="6">#REF!</definedName>
    <definedName name="Category_All" localSheetId="10">#REF!</definedName>
    <definedName name="Category_All">#REF!</definedName>
    <definedName name="CATIN" localSheetId="23">#REF!</definedName>
    <definedName name="CATIN" localSheetId="6">#REF!</definedName>
    <definedName name="CATIN" localSheetId="10">#REF!</definedName>
    <definedName name="CATIN">#REF!</definedName>
    <definedName name="CATJYOU" localSheetId="23">#REF!</definedName>
    <definedName name="CATJYOU" localSheetId="6">#REF!</definedName>
    <definedName name="CATJYOU" localSheetId="10">#REF!</definedName>
    <definedName name="CATJYOU">#REF!</definedName>
    <definedName name="CATREC" localSheetId="23">#REF!</definedName>
    <definedName name="CATREC" localSheetId="6">#REF!</definedName>
    <definedName name="CATREC" localSheetId="10">#REF!</definedName>
    <definedName name="CATREC">#REF!</definedName>
    <definedName name="CATSYU" localSheetId="23">#REF!</definedName>
    <definedName name="CATSYU" localSheetId="6">#REF!</definedName>
    <definedName name="CATSYU" localSheetId="10">#REF!</definedName>
    <definedName name="CATSYU">#REF!</definedName>
    <definedName name="CAUSE" localSheetId="23">#REF!</definedName>
    <definedName name="CAUSE" localSheetId="6">#REF!</definedName>
    <definedName name="CAUSE" localSheetId="10">#REF!</definedName>
    <definedName name="CAUSE">#REF!</definedName>
    <definedName name="CB">INDEX('[5] '!$B$1:$B$16,MATCH('[5]  '!$K$61,'[5] '!$A$1:$A$16,0))</definedName>
    <definedName name="CBISO" localSheetId="23">#REF!</definedName>
    <definedName name="CBISO" localSheetId="6">#REF!</definedName>
    <definedName name="CBISO" localSheetId="10">#REF!</definedName>
    <definedName name="CBISO">#REF!</definedName>
    <definedName name="CBISO145" localSheetId="23">#REF!</definedName>
    <definedName name="CBISO145" localSheetId="6">#REF!</definedName>
    <definedName name="CBISO145" localSheetId="10">#REF!</definedName>
    <definedName name="CBISO145">#REF!</definedName>
    <definedName name="CBISO245" localSheetId="23">#REF!</definedName>
    <definedName name="CBISO245" localSheetId="6">#REF!</definedName>
    <definedName name="CBISO245" localSheetId="10">#REF!</definedName>
    <definedName name="CBISO245">#REF!</definedName>
    <definedName name="CBR220CTL" localSheetId="23">#REF!</definedName>
    <definedName name="CBR220CTL" localSheetId="6">#REF!</definedName>
    <definedName name="CBR220CTL" localSheetId="10">#REF!</definedName>
    <definedName name="CBR220CTL">#REF!</definedName>
    <definedName name="CBR500CTL" localSheetId="23">#REF!</definedName>
    <definedName name="CBR500CTL" localSheetId="6">#REF!</definedName>
    <definedName name="CBR500CTL" localSheetId="10">#REF!</definedName>
    <definedName name="CBR500CTL">#REF!</definedName>
    <definedName name="CC">INDEX('[5] '!$B$1:$B$16,MATCH('[5]  '!$K$63,'[5] '!$A$1:$A$16,0))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23">#REF!</definedName>
    <definedName name="cccc" localSheetId="6">#REF!</definedName>
    <definedName name="cccc" localSheetId="10">#REF!</definedName>
    <definedName name="cccc">#REF!</definedName>
    <definedName name="CD">INDEX('[5] '!$B$1:$B$16,MATCH('[5]  '!$K$65,'[5] '!$A$1:$A$16,0))</definedName>
    <definedName name="CD_HW" localSheetId="23">#REF!</definedName>
    <definedName name="CD_HW" localSheetId="6">#REF!</definedName>
    <definedName name="CD_HW" localSheetId="10">#REF!</definedName>
    <definedName name="CD_HW">#REF!</definedName>
    <definedName name="CD_SPLADL" localSheetId="23">#REF!</definedName>
    <definedName name="CD_SPLADL" localSheetId="6">#REF!</definedName>
    <definedName name="CD_SPLADL" localSheetId="10">#REF!</definedName>
    <definedName name="CD_SPLADL">#REF!</definedName>
    <definedName name="CD_SW" localSheetId="23">#REF!</definedName>
    <definedName name="CD_SW" localSheetId="6">#REF!</definedName>
    <definedName name="CD_SW" localSheetId="10">#REF!</definedName>
    <definedName name="CD_SW">#REF!</definedName>
    <definedName name="cdays" localSheetId="23">#REF!</definedName>
    <definedName name="cdays" localSheetId="6">#REF!</definedName>
    <definedName name="cdays" localSheetId="10">#REF!</definedName>
    <definedName name="cdays">#REF!</definedName>
    <definedName name="cdds" localSheetId="23">#REF!</definedName>
    <definedName name="cdds" localSheetId="6">#REF!</definedName>
    <definedName name="cdds" localSheetId="10">#REF!</definedName>
    <definedName name="cdds">#REF!</definedName>
    <definedName name="CDT" localSheetId="23">#REF!</definedName>
    <definedName name="CDT" localSheetId="6">#REF!</definedName>
    <definedName name="CDT" localSheetId="10">#REF!</definedName>
    <definedName name="CDT">#REF!</definedName>
    <definedName name="CE">INDEX('[5] '!$B$1:$B$16,MATCH('[5]  '!$K$67,'[5] '!$A$1:$A$16,0))</definedName>
    <definedName name="ced" localSheetId="23">#REF!</definedName>
    <definedName name="ced" localSheetId="6">#REF!</definedName>
    <definedName name="ced" localSheetId="10">#REF!</definedName>
    <definedName name="ced">#REF!</definedName>
    <definedName name="CED_BOHW" localSheetId="23">#REF!</definedName>
    <definedName name="CED_BOHW" localSheetId="6">#REF!</definedName>
    <definedName name="CED_BOHW" localSheetId="10">#REF!</definedName>
    <definedName name="CED_BOHW">#REF!</definedName>
    <definedName name="CED_BOSW" localSheetId="23">#REF!</definedName>
    <definedName name="CED_BOSW" localSheetId="6">#REF!</definedName>
    <definedName name="CED_BOSW" localSheetId="10">#REF!</definedName>
    <definedName name="CED_BOSW">#REF!</definedName>
    <definedName name="CED_IDTOHW" localSheetId="23">#REF!</definedName>
    <definedName name="CED_IDTOHW" localSheetId="6">#REF!</definedName>
    <definedName name="CED_IDTOHW" localSheetId="10">#REF!</definedName>
    <definedName name="CED_IDTOHW">#REF!</definedName>
    <definedName name="CED_IDTOSW" localSheetId="23">#REF!</definedName>
    <definedName name="CED_IDTOSW" localSheetId="6">#REF!</definedName>
    <definedName name="CED_IDTOSW" localSheetId="10">#REF!</definedName>
    <definedName name="CED_IDTOSW">#REF!</definedName>
    <definedName name="ced_own" localSheetId="23">#REF!</definedName>
    <definedName name="ced_own" localSheetId="6">#REF!</definedName>
    <definedName name="ced_own" localSheetId="10">#REF!</definedName>
    <definedName name="ced_own">#REF!</definedName>
    <definedName name="CED_OWNHW" localSheetId="23">#REF!</definedName>
    <definedName name="CED_OWNHW" localSheetId="6">#REF!</definedName>
    <definedName name="CED_OWNHW" localSheetId="10">#REF!</definedName>
    <definedName name="CED_OWNHW">#REF!</definedName>
    <definedName name="CED_OWNSW" localSheetId="23">#REF!</definedName>
    <definedName name="CED_OWNSW" localSheetId="6">#REF!</definedName>
    <definedName name="CED_OWNSW" localSheetId="10">#REF!</definedName>
    <definedName name="CED_OWNSW">#REF!</definedName>
    <definedName name="CED_pc" localSheetId="23">#REF!</definedName>
    <definedName name="CED_pc" localSheetId="6">#REF!</definedName>
    <definedName name="CED_pc" localSheetId="10">#REF!</definedName>
    <definedName name="CED_pc">#REF!</definedName>
    <definedName name="CED_SW" localSheetId="23">#REF!</definedName>
    <definedName name="CED_SW" localSheetId="6">#REF!</definedName>
    <definedName name="CED_SW" localSheetId="10">#REF!</definedName>
    <definedName name="CED_SW">#REF!</definedName>
    <definedName name="ced_tr" localSheetId="23">#REF!</definedName>
    <definedName name="ced_tr" localSheetId="6">#REF!</definedName>
    <definedName name="ced_tr" localSheetId="10">#REF!</definedName>
    <definedName name="ced_tr">#REF!</definedName>
    <definedName name="CED_TRHW" localSheetId="23">#REF!</definedName>
    <definedName name="CED_TRHW" localSheetId="6">#REF!</definedName>
    <definedName name="CED_TRHW" localSheetId="10">#REF!</definedName>
    <definedName name="CED_TRHW">#REF!</definedName>
    <definedName name="CED_TRSW" localSheetId="23">#REF!</definedName>
    <definedName name="CED_TRSW" localSheetId="6">#REF!</definedName>
    <definedName name="CED_TRSW" localSheetId="10">#REF!</definedName>
    <definedName name="CED_TRSW">#REF!</definedName>
    <definedName name="CF">INDEX('[5] '!$B$1:$B$16,MATCH('[5]  '!$K$69,'[5] '!$A$1:$A$16,0))</definedName>
    <definedName name="cf_musd" localSheetId="23">#REF!</definedName>
    <definedName name="cf_musd" localSheetId="6">#REF!</definedName>
    <definedName name="cf_musd" localSheetId="10">#REF!</definedName>
    <definedName name="cf_musd">#REF!</definedName>
    <definedName name="CG">INDEX('[5] '!$B$1:$B$16,MATCH('[5]  '!$K$71,'[5] '!$A$1:$A$16,0))</definedName>
    <definedName name="CH">INDEX('[5] '!$B$1:$B$16,MATCH('[5]  '!$K$73,'[5] '!$A$1:$A$16,0))</definedName>
    <definedName name="ch_area1" localSheetId="23">#REF!</definedName>
    <definedName name="ch_area1" localSheetId="6">#REF!</definedName>
    <definedName name="ch_area1" localSheetId="10">#REF!</definedName>
    <definedName name="ch_area1">#REF!</definedName>
    <definedName name="ch_area2" localSheetId="23">#REF!</definedName>
    <definedName name="ch_area2" localSheetId="6">#REF!</definedName>
    <definedName name="ch_area2" localSheetId="10">#REF!</definedName>
    <definedName name="ch_area2">#REF!</definedName>
    <definedName name="ch_area3" localSheetId="23">#REF!</definedName>
    <definedName name="ch_area3" localSheetId="6">#REF!</definedName>
    <definedName name="ch_area3" localSheetId="10">#REF!</definedName>
    <definedName name="ch_area3">#REF!</definedName>
    <definedName name="ch_area4" localSheetId="23">#REF!</definedName>
    <definedName name="ch_area4" localSheetId="6">#REF!</definedName>
    <definedName name="ch_area4" localSheetId="10">#REF!</definedName>
    <definedName name="ch_area4">#REF!</definedName>
    <definedName name="check" localSheetId="23">#REF!</definedName>
    <definedName name="check" localSheetId="6">#REF!</definedName>
    <definedName name="check" localSheetId="10">#REF!</definedName>
    <definedName name="check">#REF!</definedName>
    <definedName name="CHF" localSheetId="23">#REF!</definedName>
    <definedName name="CHF" localSheetId="6">#REF!</definedName>
    <definedName name="CHF" localSheetId="10">#REF!</definedName>
    <definedName name="CHF">#REF!</definedName>
    <definedName name="chk" localSheetId="23">#REF!</definedName>
    <definedName name="chk" localSheetId="6">#REF!</definedName>
    <definedName name="chk" localSheetId="10">#REF!</definedName>
    <definedName name="chk">#REF!</definedName>
    <definedName name="CI">INDEX('[5] '!$B$1:$B$16,MATCH('[5]  '!$K$75,'[5] '!$A$1:$A$16,0))</definedName>
    <definedName name="CIF_ABB_Imp" localSheetId="23">#REF!</definedName>
    <definedName name="CIF_ABB_Imp" localSheetId="6">#REF!</definedName>
    <definedName name="CIF_ABB_Imp" localSheetId="10">#REF!</definedName>
    <definedName name="CIF_ABB_Imp">#REF!</definedName>
    <definedName name="CIF_ABB_local" localSheetId="23">#REF!</definedName>
    <definedName name="CIF_ABB_local" localSheetId="6">#REF!</definedName>
    <definedName name="CIF_ABB_local" localSheetId="10">#REF!</definedName>
    <definedName name="CIF_ABB_local">#REF!</definedName>
    <definedName name="CIF_ABB_peenya" localSheetId="23">#REF!</definedName>
    <definedName name="CIF_ABB_peenya" localSheetId="6">#REF!</definedName>
    <definedName name="CIF_ABB_peenya" localSheetId="10">#REF!</definedName>
    <definedName name="CIF_ABB_peenya">#REF!</definedName>
    <definedName name="CIF_AIC_Imp" localSheetId="23">#REF!</definedName>
    <definedName name="CIF_AIC_Imp" localSheetId="6">#REF!</definedName>
    <definedName name="CIF_AIC_Imp" localSheetId="10">#REF!</definedName>
    <definedName name="CIF_AIC_Imp">#REF!</definedName>
    <definedName name="CIF_AIC_local" localSheetId="23">#REF!</definedName>
    <definedName name="CIF_AIC_local" localSheetId="6">#REF!</definedName>
    <definedName name="CIF_AIC_local" localSheetId="10">#REF!</definedName>
    <definedName name="CIF_AIC_local">#REF!</definedName>
    <definedName name="CIF_NonABB_Imp" localSheetId="23">#REF!</definedName>
    <definedName name="CIF_NonABB_Imp" localSheetId="6">#REF!</definedName>
    <definedName name="CIF_NonABB_Imp" localSheetId="10">#REF!</definedName>
    <definedName name="CIF_NonABB_Imp">#REF!</definedName>
    <definedName name="CIF_NonABB_local" localSheetId="23">#REF!</definedName>
    <definedName name="CIF_NonABB_local" localSheetId="6">#REF!</definedName>
    <definedName name="CIF_NonABB_local" localSheetId="10">#REF!</definedName>
    <definedName name="CIF_NonABB_local">#REF!</definedName>
    <definedName name="civil" localSheetId="23">#REF!</definedName>
    <definedName name="civil" localSheetId="6">#REF!</definedName>
    <definedName name="civil" localSheetId="10">#REF!</definedName>
    <definedName name="civil">#REF!</definedName>
    <definedName name="CJ">INDEX('[5] '!$B$1:$B$16,MATCH('[5]  '!$K$77,'[5] '!$A$1:$A$16,0))</definedName>
    <definedName name="CK">INDEX('[5] '!$B$1:$B$16,MATCH('[5]  '!$K$79,'[5] '!$A$1:$A$16,0))</definedName>
    <definedName name="CL">INDEX('[5] '!$B$1:$B$16,MATCH('[5]  '!$K$81,'[5] '!$A$1:$A$16,0))</definedName>
    <definedName name="Clearance" localSheetId="23">#REF!</definedName>
    <definedName name="Clearance" localSheetId="6">#REF!</definedName>
    <definedName name="Clearance" localSheetId="10">#REF!</definedName>
    <definedName name="Clearance">#REF!</definedName>
    <definedName name="cli" localSheetId="23">#REF!</definedName>
    <definedName name="cli" localSheetId="6">#REF!</definedName>
    <definedName name="cli" localSheetId="10">#REF!</definedName>
    <definedName name="cli">#REF!</definedName>
    <definedName name="CLIENT" localSheetId="23">#REF!</definedName>
    <definedName name="CLIENT" localSheetId="6">#REF!</definedName>
    <definedName name="CLIENT" localSheetId="10">#REF!</definedName>
    <definedName name="CLIENT">#REF!</definedName>
    <definedName name="Client_Markup" localSheetId="23">#REF!</definedName>
    <definedName name="Client_Markup" localSheetId="6">#REF!</definedName>
    <definedName name="Client_Markup" localSheetId="10">#REF!</definedName>
    <definedName name="Client_Markup">#REF!</definedName>
    <definedName name="CM">INDEX('[5] '!$B$1:$B$16,MATCH('[5]  '!$K$83,'[5] '!$A$1:$A$16,0))</definedName>
    <definedName name="co" localSheetId="23">#REF!</definedName>
    <definedName name="co" localSheetId="6">#REF!</definedName>
    <definedName name="co" localSheetId="10">#REF!</definedName>
    <definedName name="co">#REF!</definedName>
    <definedName name="coat" localSheetId="23">#REF!</definedName>
    <definedName name="coat" localSheetId="6">#REF!</definedName>
    <definedName name="coat" localSheetId="10">#REF!</definedName>
    <definedName name="coat">#REF!</definedName>
    <definedName name="Code" localSheetId="23">#REF!</definedName>
    <definedName name="Code" localSheetId="6">#REF!</definedName>
    <definedName name="Code" localSheetId="10">#REF!</definedName>
    <definedName name="Code">#REF!</definedName>
    <definedName name="CODES_AND_COSTS" localSheetId="23">#REF!</definedName>
    <definedName name="CODES_AND_COSTS" localSheetId="6">#REF!</definedName>
    <definedName name="CODES_AND_COSTS" localSheetId="10">#REF!</definedName>
    <definedName name="CODES_AND_COSTS">#REF!</definedName>
    <definedName name="COE" localSheetId="23">#REF!</definedName>
    <definedName name="COE" localSheetId="6">#REF!</definedName>
    <definedName name="COE" localSheetId="10">#REF!</definedName>
    <definedName name="COE">#REF!</definedName>
    <definedName name="CoeftMatIDR" localSheetId="23">#REF!</definedName>
    <definedName name="CoeftMatIDR" localSheetId="6">#REF!</definedName>
    <definedName name="CoeftMatIDR" localSheetId="10">#REF!</definedName>
    <definedName name="CoeftMatIDR">#REF!</definedName>
    <definedName name="col" localSheetId="23">#REF!</definedName>
    <definedName name="col" localSheetId="6">#REF!</definedName>
    <definedName name="col" localSheetId="10">#REF!</definedName>
    <definedName name="col">#REF!</definedName>
    <definedName name="col___0" localSheetId="23">#REF!</definedName>
    <definedName name="col___0" localSheetId="6">#REF!</definedName>
    <definedName name="col___0" localSheetId="10">#REF!</definedName>
    <definedName name="col___0">#REF!</definedName>
    <definedName name="col___11" localSheetId="23">#REF!</definedName>
    <definedName name="col___11" localSheetId="6">#REF!</definedName>
    <definedName name="col___11" localSheetId="10">#REF!</definedName>
    <definedName name="col___11">#REF!</definedName>
    <definedName name="col___12" localSheetId="23">#REF!</definedName>
    <definedName name="col___12" localSheetId="6">#REF!</definedName>
    <definedName name="col___12" localSheetId="10">#REF!</definedName>
    <definedName name="col___12">#REF!</definedName>
    <definedName name="col_I" localSheetId="23">#REF!</definedName>
    <definedName name="col_I" localSheetId="6">#REF!</definedName>
    <definedName name="col_I" localSheetId="10">#REF!</definedName>
    <definedName name="col_I">#REF!</definedName>
    <definedName name="collection" localSheetId="23">#REF!</definedName>
    <definedName name="collection" localSheetId="6">#REF!</definedName>
    <definedName name="collection" localSheetId="10">#REF!</definedName>
    <definedName name="collection">#REF!</definedName>
    <definedName name="COLLSTATUS" localSheetId="23">#REF!</definedName>
    <definedName name="COLLSTATUS" localSheetId="6">#REF!</definedName>
    <definedName name="COLLSTATUS" localSheetId="10">#REF!</definedName>
    <definedName name="COLLSTATUS">#REF!</definedName>
    <definedName name="collstatuspage1" localSheetId="23">#REF!</definedName>
    <definedName name="collstatuspage1" localSheetId="6">#REF!</definedName>
    <definedName name="collstatuspage1" localSheetId="10">#REF!</definedName>
    <definedName name="collstatuspage1">#REF!</definedName>
    <definedName name="collstatuspage2" localSheetId="23">#REF!</definedName>
    <definedName name="collstatuspage2" localSheetId="6">#REF!</definedName>
    <definedName name="collstatuspage2" localSheetId="10">#REF!</definedName>
    <definedName name="collstatuspage2">#REF!</definedName>
    <definedName name="COM" localSheetId="23">#REF!</definedName>
    <definedName name="COM" localSheetId="6">#REF!</definedName>
    <definedName name="COM" localSheetId="10">#REF!</definedName>
    <definedName name="COM">#REF!</definedName>
    <definedName name="Comm" localSheetId="4">#REF!</definedName>
    <definedName name="Comm" localSheetId="23">#REF!</definedName>
    <definedName name="Comm" localSheetId="6">#REF!</definedName>
    <definedName name="Comm" localSheetId="27">#REF!</definedName>
    <definedName name="Comm" localSheetId="11">#REF!</definedName>
    <definedName name="Comm" localSheetId="10">#REF!</definedName>
    <definedName name="Comm" localSheetId="5">#REF!</definedName>
    <definedName name="Comm">#REF!</definedName>
    <definedName name="Commission" localSheetId="23">#REF!</definedName>
    <definedName name="Commission" localSheetId="6">#REF!</definedName>
    <definedName name="Commission" localSheetId="10">#REF!</definedName>
    <definedName name="Commission">#REF!</definedName>
    <definedName name="commn" localSheetId="23">#REF!</definedName>
    <definedName name="commn" localSheetId="6">#REF!</definedName>
    <definedName name="commn" localSheetId="10">#REF!</definedName>
    <definedName name="commn">#REF!</definedName>
    <definedName name="COMP" localSheetId="23">#REF!</definedName>
    <definedName name="COMP" localSheetId="6">#REF!</definedName>
    <definedName name="COMP" localSheetId="10">#REF!</definedName>
    <definedName name="COMP">#REF!</definedName>
    <definedName name="company" localSheetId="23">#REF!</definedName>
    <definedName name="company" localSheetId="6">#REF!</definedName>
    <definedName name="company" localSheetId="10">#REF!</definedName>
    <definedName name="company">#REF!</definedName>
    <definedName name="Company_Name" localSheetId="23">#REF!</definedName>
    <definedName name="Company_Name" localSheetId="6">#REF!</definedName>
    <definedName name="Company_Name" localSheetId="10">#REF!</definedName>
    <definedName name="Company_Name">#REF!</definedName>
    <definedName name="CONCABLES" localSheetId="23">#REF!</definedName>
    <definedName name="CONCABLES" localSheetId="6">#REF!</definedName>
    <definedName name="CONCABLES" localSheetId="10">#REF!</definedName>
    <definedName name="CONCABLES">#REF!</definedName>
    <definedName name="CONCABLES220" localSheetId="23">#REF!</definedName>
    <definedName name="CONCABLES220" localSheetId="6">#REF!</definedName>
    <definedName name="CONCABLES220" localSheetId="10">#REF!</definedName>
    <definedName name="CONCABLES220">#REF!</definedName>
    <definedName name="COND" localSheetId="23">#REF!</definedName>
    <definedName name="COND" localSheetId="6">#REF!</definedName>
    <definedName name="COND" localSheetId="10">#REF!</definedName>
    <definedName name="COND">#REF!</definedName>
    <definedName name="CONDUIT" localSheetId="23">#REF!</definedName>
    <definedName name="CONDUIT" localSheetId="6">#REF!</definedName>
    <definedName name="CONDUIT" localSheetId="10">#REF!</definedName>
    <definedName name="CONDUIT">#REF!</definedName>
    <definedName name="ConstEqt_Cost_002FC" localSheetId="23">#REF!</definedName>
    <definedName name="ConstEqt_Cost_002FC" localSheetId="6">#REF!</definedName>
    <definedName name="ConstEqt_Cost_002FC" localSheetId="10">#REF!</definedName>
    <definedName name="ConstEqt_Cost_002FC">#REF!</definedName>
    <definedName name="ConstEqt_Cost_002LC" localSheetId="23">#REF!</definedName>
    <definedName name="ConstEqt_Cost_002LC" localSheetId="6">#REF!</definedName>
    <definedName name="ConstEqt_Cost_002LC" localSheetId="10">#REF!</definedName>
    <definedName name="ConstEqt_Cost_002LC">#REF!</definedName>
    <definedName name="CONSUMABLE" localSheetId="23">#REF!</definedName>
    <definedName name="CONSUMABLE" localSheetId="6">#REF!</definedName>
    <definedName name="CONSUMABLE" localSheetId="10">#REF!</definedName>
    <definedName name="CONSUMABLE">#REF!</definedName>
    <definedName name="CONT" localSheetId="23">#REF!</definedName>
    <definedName name="CONT" localSheetId="6">#REF!</definedName>
    <definedName name="CONT" localSheetId="10">#REF!</definedName>
    <definedName name="CONT">#REF!</definedName>
    <definedName name="Cont.Amt." localSheetId="23">#REF!</definedName>
    <definedName name="Cont.Amt." localSheetId="6">#REF!</definedName>
    <definedName name="Cont.Amt." localSheetId="10">#REF!</definedName>
    <definedName name="Cont.Amt.">#REF!</definedName>
    <definedName name="CONT_BGT4_I_" localSheetId="23">#REF!</definedName>
    <definedName name="CONT_BGT4_I_" localSheetId="6">#REF!</definedName>
    <definedName name="CONT_BGT4_I_" localSheetId="10">#REF!</definedName>
    <definedName name="CONT_BGT4_I_">#REF!</definedName>
    <definedName name="CONT_BGT4_II_" localSheetId="23">#REF!</definedName>
    <definedName name="CONT_BGT4_II_" localSheetId="6">#REF!</definedName>
    <definedName name="CONT_BGT4_II_" localSheetId="10">#REF!</definedName>
    <definedName name="CONT_BGT4_II_">#REF!</definedName>
    <definedName name="CONT_M4" localSheetId="23">#REF!</definedName>
    <definedName name="CONT_M4" localSheetId="6">#REF!</definedName>
    <definedName name="CONT_M4" localSheetId="10">#REF!</definedName>
    <definedName name="CONT_M4">#REF!</definedName>
    <definedName name="CONT1" localSheetId="23">#REF!</definedName>
    <definedName name="CONT1" localSheetId="6">#REF!</definedName>
    <definedName name="CONT1" localSheetId="10">#REF!</definedName>
    <definedName name="CONT1">#REF!</definedName>
    <definedName name="CONTENTS" localSheetId="23">#REF!</definedName>
    <definedName name="CONTENTS" localSheetId="6">#REF!</definedName>
    <definedName name="CONTENTS" localSheetId="10">#REF!</definedName>
    <definedName name="CONTENTS">#REF!</definedName>
    <definedName name="COO" localSheetId="23">#REF!</definedName>
    <definedName name="COO" localSheetId="6">#REF!</definedName>
    <definedName name="COO" localSheetId="10">#REF!</definedName>
    <definedName name="COO">#REF!</definedName>
    <definedName name="cookie" localSheetId="23">#REF!</definedName>
    <definedName name="cookie" localSheetId="6">#REF!</definedName>
    <definedName name="cookie" localSheetId="10">#REF!</definedName>
    <definedName name="cookie">#REF!</definedName>
    <definedName name="cookie1" localSheetId="23">#REF!</definedName>
    <definedName name="cookie1" localSheetId="6">#REF!</definedName>
    <definedName name="cookie1" localSheetId="10">#REF!</definedName>
    <definedName name="cookie1">#REF!</definedName>
    <definedName name="COS" localSheetId="23">#REF!</definedName>
    <definedName name="COS" localSheetId="6">#REF!</definedName>
    <definedName name="COS" localSheetId="10">#REF!</definedName>
    <definedName name="COS">#REF!</definedName>
    <definedName name="Cost__Ex_Works" localSheetId="23">#REF!</definedName>
    <definedName name="Cost__Ex_Works" localSheetId="6">#REF!</definedName>
    <definedName name="Cost__Ex_Works" localSheetId="10">#REF!</definedName>
    <definedName name="Cost__Ex_Works">#REF!</definedName>
    <definedName name="COU" localSheetId="23">#REF!</definedName>
    <definedName name="COU" localSheetId="6">#REF!</definedName>
    <definedName name="COU" localSheetId="10">#REF!</definedName>
    <definedName name="COU">#REF!</definedName>
    <definedName name="COU___0" localSheetId="23">#REF!</definedName>
    <definedName name="COU___0" localSheetId="6">#REF!</definedName>
    <definedName name="COU___0" localSheetId="10">#REF!</definedName>
    <definedName name="COU___0">#REF!</definedName>
    <definedName name="COU___13" localSheetId="23">#REF!</definedName>
    <definedName name="COU___13" localSheetId="6">#REF!</definedName>
    <definedName name="COU___13" localSheetId="10">#REF!</definedName>
    <definedName name="COU___13">#REF!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3">#REF!</definedName>
    <definedName name="cp" localSheetId="6">#REF!</definedName>
    <definedName name="cp" localSheetId="10">#REF!</definedName>
    <definedName name="cp">#REF!</definedName>
    <definedName name="CPLG" localSheetId="23">#REF!</definedName>
    <definedName name="CPLG" localSheetId="6">#REF!</definedName>
    <definedName name="CPLG" localSheetId="10">#REF!</definedName>
    <definedName name="CPLG">#REF!</definedName>
    <definedName name="CPRP" localSheetId="23">#REF!</definedName>
    <definedName name="CPRP" localSheetId="6">#REF!</definedName>
    <definedName name="CPRP" localSheetId="10">#REF!</definedName>
    <definedName name="CPRP">#REF!</definedName>
    <definedName name="cprp_lucknow" localSheetId="23">#REF!</definedName>
    <definedName name="cprp_lucknow" localSheetId="6">#REF!</definedName>
    <definedName name="cprp_lucknow" localSheetId="10">#REF!</definedName>
    <definedName name="cprp_lucknow">#REF!</definedName>
    <definedName name="cprp_mandola" localSheetId="23">#REF!</definedName>
    <definedName name="cprp_mandola" localSheetId="6">#REF!</definedName>
    <definedName name="cprp_mandola" localSheetId="10">#REF!</definedName>
    <definedName name="cprp_mandola">#REF!</definedName>
    <definedName name="CP새단가" localSheetId="23">#REF!</definedName>
    <definedName name="CP새단가" localSheetId="6">#REF!</definedName>
    <definedName name="CP새단가" localSheetId="10">#REF!</definedName>
    <definedName name="CP새단가">#REF!</definedName>
    <definedName name="cr">[6]dBase!$J$14</definedName>
    <definedName name="cr_monthly_interim_application_no__01_revised__payment_certificate" localSheetId="23">#REF!</definedName>
    <definedName name="cr_monthly_interim_application_no__01_revised__payment_certificate" localSheetId="6">#REF!</definedName>
    <definedName name="cr_monthly_interim_application_no__01_revised__payment_certificate" localSheetId="10">#REF!</definedName>
    <definedName name="cr_monthly_interim_application_no__01_revised__payment_certificate">#REF!</definedName>
    <definedName name="CRP_Barelliey" localSheetId="23">#REF!</definedName>
    <definedName name="CRP_Barelliey" localSheetId="6">#REF!</definedName>
    <definedName name="CRP_Barelliey" localSheetId="10">#REF!</definedName>
    <definedName name="CRP_Barelliey">#REF!</definedName>
    <definedName name="CRP_Unnao" localSheetId="23">#REF!</definedName>
    <definedName name="CRP_Unnao" localSheetId="6">#REF!</definedName>
    <definedName name="CRP_Unnao" localSheetId="10">#REF!</definedName>
    <definedName name="CRP_Unnao">#REF!</definedName>
    <definedName name="CRRSEP" localSheetId="23">#REF!</definedName>
    <definedName name="CRRSEP" localSheetId="6">#REF!</definedName>
    <definedName name="CRRSEP" localSheetId="10">#REF!</definedName>
    <definedName name="CRRSEP">#REF!</definedName>
    <definedName name="crush_s" localSheetId="23">#REF!</definedName>
    <definedName name="crush_s" localSheetId="6">#REF!</definedName>
    <definedName name="crush_s" localSheetId="10">#REF!</definedName>
    <definedName name="crush_s">#REF!</definedName>
    <definedName name="Cs___0" localSheetId="23">#REF!</definedName>
    <definedName name="Cs___0" localSheetId="6">#REF!</definedName>
    <definedName name="Cs___0" localSheetId="10">#REF!</definedName>
    <definedName name="Cs___0">#REF!</definedName>
    <definedName name="Cs___13" localSheetId="23">#REF!</definedName>
    <definedName name="Cs___13" localSheetId="6">#REF!</definedName>
    <definedName name="Cs___13" localSheetId="10">#REF!</definedName>
    <definedName name="Cs___13">#REF!</definedName>
    <definedName name="csd" localSheetId="23">#REF!</definedName>
    <definedName name="csd" localSheetId="6">#REF!</definedName>
    <definedName name="csd" localSheetId="10">#REF!</definedName>
    <definedName name="csd">#REF!</definedName>
    <definedName name="cst" localSheetId="23">#REF!</definedName>
    <definedName name="cst" localSheetId="6">#REF!</definedName>
    <definedName name="cst" localSheetId="10">#REF!</definedName>
    <definedName name="cst">#REF!</definedName>
    <definedName name="CST_BO" localSheetId="23">#REF!</definedName>
    <definedName name="CST_BO" localSheetId="6">#REF!</definedName>
    <definedName name="CST_BO" localSheetId="10">#REF!</definedName>
    <definedName name="CST_BO">#REF!</definedName>
    <definedName name="CST_IDTO" localSheetId="23">#REF!</definedName>
    <definedName name="CST_IDTO" localSheetId="6">#REF!</definedName>
    <definedName name="CST_IDTO" localSheetId="10">#REF!</definedName>
    <definedName name="CST_IDTO">#REF!</definedName>
    <definedName name="CST_OWN" localSheetId="23">#REF!</definedName>
    <definedName name="CST_OWN" localSheetId="6">#REF!</definedName>
    <definedName name="CST_OWN" localSheetId="10">#REF!</definedName>
    <definedName name="CST_OWN">#REF!</definedName>
    <definedName name="CST_TR" localSheetId="23">#REF!</definedName>
    <definedName name="CST_TR" localSheetId="6">#REF!</definedName>
    <definedName name="CST_TR" localSheetId="10">#REF!</definedName>
    <definedName name="CST_TR">#REF!</definedName>
    <definedName name="cummeas_may1006" localSheetId="23">#REF!</definedName>
    <definedName name="cummeas_may1006" localSheetId="6">#REF!</definedName>
    <definedName name="cummeas_may1006" localSheetId="10">#REF!</definedName>
    <definedName name="cummeas_may1006">#REF!</definedName>
    <definedName name="cummeas_up_to_mar" localSheetId="23">#REF!</definedName>
    <definedName name="cummeas_up_to_mar" localSheetId="6">#REF!</definedName>
    <definedName name="cummeas_up_to_mar" localSheetId="10">#REF!</definedName>
    <definedName name="cummeas_up_to_mar">#REF!</definedName>
    <definedName name="cur" localSheetId="23">#REF!</definedName>
    <definedName name="cur" localSheetId="6">#REF!</definedName>
    <definedName name="cur" localSheetId="10">#REF!</definedName>
    <definedName name="cur">#REF!</definedName>
    <definedName name="Curr" localSheetId="23">#REF!</definedName>
    <definedName name="Curr" localSheetId="6">#REF!</definedName>
    <definedName name="Curr" localSheetId="10">#REF!</definedName>
    <definedName name="Curr">#REF!</definedName>
    <definedName name="current1" localSheetId="23">#REF!</definedName>
    <definedName name="current1" localSheetId="6">#REF!</definedName>
    <definedName name="current1" localSheetId="10">#REF!</definedName>
    <definedName name="current1">#REF!</definedName>
    <definedName name="current2" localSheetId="23">#REF!</definedName>
    <definedName name="current2" localSheetId="6">#REF!</definedName>
    <definedName name="current2" localSheetId="10">#REF!</definedName>
    <definedName name="current2">#REF!</definedName>
    <definedName name="current3" localSheetId="23">#REF!</definedName>
    <definedName name="current3" localSheetId="6">#REF!</definedName>
    <definedName name="current3" localSheetId="10">#REF!</definedName>
    <definedName name="current3">#REF!</definedName>
    <definedName name="current4" localSheetId="23">#REF!</definedName>
    <definedName name="current4" localSheetId="6">#REF!</definedName>
    <definedName name="current4" localSheetId="10">#REF!</definedName>
    <definedName name="current4">#REF!</definedName>
    <definedName name="current5" localSheetId="23">#REF!</definedName>
    <definedName name="current5" localSheetId="6">#REF!</definedName>
    <definedName name="current5" localSheetId="10">#REF!</definedName>
    <definedName name="current5">#REF!</definedName>
    <definedName name="cust" localSheetId="23">#REF!</definedName>
    <definedName name="cust" localSheetId="6">#REF!</definedName>
    <definedName name="cust" localSheetId="10">#REF!</definedName>
    <definedName name="cust">#REF!</definedName>
    <definedName name="cvd" localSheetId="23">#REF!</definedName>
    <definedName name="cvd" localSheetId="6">#REF!</definedName>
    <definedName name="cvd" localSheetId="10">#REF!</definedName>
    <definedName name="cvd">#REF!</definedName>
    <definedName name="CVD_HW" localSheetId="23">#REF!</definedName>
    <definedName name="CVD_HW" localSheetId="6">#REF!</definedName>
    <definedName name="CVD_HW" localSheetId="10">#REF!</definedName>
    <definedName name="CVD_HW">#REF!</definedName>
    <definedName name="CVD_SW" localSheetId="23">#REF!</definedName>
    <definedName name="CVD_SW" localSheetId="6">#REF!</definedName>
    <definedName name="CVD_SW" localSheetId="10">#REF!</definedName>
    <definedName name="CVD_SW">#REF!</definedName>
    <definedName name="cvdcess" localSheetId="23">#REF!</definedName>
    <definedName name="cvdcess" localSheetId="6">#REF!</definedName>
    <definedName name="cvdcess" localSheetId="10">#REF!</definedName>
    <definedName name="cvdcess">#REF!</definedName>
    <definedName name="d" localSheetId="4">#REF!</definedName>
    <definedName name="D" localSheetId="23">#REF!</definedName>
    <definedName name="D" localSheetId="6">#REF!</definedName>
    <definedName name="d" localSheetId="27">#REF!</definedName>
    <definedName name="d" localSheetId="11">#REF!</definedName>
    <definedName name="D" localSheetId="10">#REF!</definedName>
    <definedName name="d" localSheetId="5">#REF!</definedName>
    <definedName name="D">#REF!</definedName>
    <definedName name="d___0" localSheetId="23">#REF!</definedName>
    <definedName name="d___0" localSheetId="6">#REF!</definedName>
    <definedName name="d___0" localSheetId="10">#REF!</definedName>
    <definedName name="d___0">#REF!</definedName>
    <definedName name="d___13" localSheetId="23">#REF!</definedName>
    <definedName name="d___13" localSheetId="6">#REF!</definedName>
    <definedName name="d___13" localSheetId="10">#REF!</definedName>
    <definedName name="d___13">#REF!</definedName>
    <definedName name="D_D">INDEX('[5] '!$B$1:$B$16,MATCH('[5]  '!$K$91,'[5] '!$A$1:$A$16,0))</definedName>
    <definedName name="d_jp" localSheetId="11" hidden="1">{"'Sheet1'!$A$4386:$N$4591"}</definedName>
    <definedName name="d_jp" localSheetId="10" hidden="1">{"'Sheet1'!$A$4386:$N$4591"}</definedName>
    <definedName name="d_jp" hidden="1">{"'Sheet1'!$A$4386:$N$4591"}</definedName>
    <definedName name="D8Data" localSheetId="23">#REF!</definedName>
    <definedName name="D8Data" localSheetId="6">#REF!</definedName>
    <definedName name="D8Data" localSheetId="10">#REF!</definedName>
    <definedName name="D8Data">#REF!</definedName>
    <definedName name="DA">INDEX('[5] '!$B$1:$B$16,MATCH('[5]  '!$K$85,'[5] '!$A$1:$A$16,0))</definedName>
    <definedName name="Dampers" localSheetId="11" hidden="1">{"'PROFITABILITY'!$A$1:$F$45"}</definedName>
    <definedName name="Dampers" localSheetId="10" hidden="1">{"'PROFITABILITY'!$A$1:$F$45"}</definedName>
    <definedName name="Dampers" hidden="1">{"'PROFITABILITY'!$A$1:$F$45"}</definedName>
    <definedName name="DaRWk1" localSheetId="23">#REF!</definedName>
    <definedName name="DaRWk1" localSheetId="6">#REF!</definedName>
    <definedName name="DaRWk1" localSheetId="10">#REF!</definedName>
    <definedName name="DaRWk1">#REF!</definedName>
    <definedName name="DaRWk10" localSheetId="23">#REF!</definedName>
    <definedName name="DaRWk10" localSheetId="6">#REF!</definedName>
    <definedName name="DaRWk10" localSheetId="10">#REF!</definedName>
    <definedName name="DaRWk10">#REF!</definedName>
    <definedName name="DaRWk11" localSheetId="23">#REF!</definedName>
    <definedName name="DaRWk11" localSheetId="6">#REF!</definedName>
    <definedName name="DaRWk11" localSheetId="10">#REF!</definedName>
    <definedName name="DaRWk11">#REF!</definedName>
    <definedName name="DaRWk12" localSheetId="23">#REF!</definedName>
    <definedName name="DaRWk12" localSheetId="6">#REF!</definedName>
    <definedName name="DaRWk12" localSheetId="10">#REF!</definedName>
    <definedName name="DaRWk12">#REF!</definedName>
    <definedName name="DaRWk2" localSheetId="23">#REF!</definedName>
    <definedName name="DaRWk2" localSheetId="6">#REF!</definedName>
    <definedName name="DaRWk2" localSheetId="10">#REF!</definedName>
    <definedName name="DaRWk2">#REF!</definedName>
    <definedName name="DaRWk3" localSheetId="23">#REF!</definedName>
    <definedName name="DaRWk3" localSheetId="6">#REF!</definedName>
    <definedName name="DaRWk3" localSheetId="10">#REF!</definedName>
    <definedName name="DaRWk3">#REF!</definedName>
    <definedName name="DaRWk4" localSheetId="23">#REF!</definedName>
    <definedName name="DaRWk4" localSheetId="6">#REF!</definedName>
    <definedName name="DaRWk4" localSheetId="10">#REF!</definedName>
    <definedName name="DaRWk4">#REF!</definedName>
    <definedName name="DaRWk5" localSheetId="23">#REF!</definedName>
    <definedName name="DaRWk5" localSheetId="6">#REF!</definedName>
    <definedName name="DaRWk5" localSheetId="10">#REF!</definedName>
    <definedName name="DaRWk5">#REF!</definedName>
    <definedName name="DaRWk6" localSheetId="23">#REF!</definedName>
    <definedName name="DaRWk6" localSheetId="6">#REF!</definedName>
    <definedName name="DaRWk6" localSheetId="10">#REF!</definedName>
    <definedName name="DaRWk6">#REF!</definedName>
    <definedName name="DaRWk8" localSheetId="23">#REF!</definedName>
    <definedName name="DaRWk8" localSheetId="6">#REF!</definedName>
    <definedName name="DaRWk8" localSheetId="10">#REF!</definedName>
    <definedName name="DaRWk8">#REF!</definedName>
    <definedName name="DaRwk9" localSheetId="23">#REF!</definedName>
    <definedName name="DaRwk9" localSheetId="6">#REF!</definedName>
    <definedName name="DaRwk9" localSheetId="10">#REF!</definedName>
    <definedName name="DaRwk9">#REF!</definedName>
    <definedName name="dasdfds" localSheetId="23">#REF!</definedName>
    <definedName name="dasdfds" localSheetId="6">#REF!</definedName>
    <definedName name="dasdfds" localSheetId="10">#REF!</definedName>
    <definedName name="dasdfds">#REF!</definedName>
    <definedName name="DATA" localSheetId="4">#REF!</definedName>
    <definedName name="data" localSheetId="23">#REF!</definedName>
    <definedName name="data" localSheetId="6">#REF!</definedName>
    <definedName name="DATA" localSheetId="27">#REF!</definedName>
    <definedName name="DATA" localSheetId="11">#REF!</definedName>
    <definedName name="data" localSheetId="10">#REF!</definedName>
    <definedName name="DATA" localSheetId="5">#REF!</definedName>
    <definedName name="data">#REF!</definedName>
    <definedName name="DATA_13" localSheetId="23">#REF!</definedName>
    <definedName name="DATA_13" localSheetId="6">#REF!</definedName>
    <definedName name="DATA_13" localSheetId="10">#REF!</definedName>
    <definedName name="DATA_13">#REF!</definedName>
    <definedName name="DATA_14" localSheetId="23">#REF!</definedName>
    <definedName name="DATA_14" localSheetId="6">#REF!</definedName>
    <definedName name="DATA_14" localSheetId="10">#REF!</definedName>
    <definedName name="DATA_14">#REF!</definedName>
    <definedName name="DATA_15" localSheetId="23">#REF!</definedName>
    <definedName name="DATA_15" localSheetId="6">#REF!</definedName>
    <definedName name="DATA_15" localSheetId="10">#REF!</definedName>
    <definedName name="DATA_15">#REF!</definedName>
    <definedName name="DATA_16" localSheetId="23">#REF!</definedName>
    <definedName name="DATA_16" localSheetId="6">#REF!</definedName>
    <definedName name="DATA_16" localSheetId="10">#REF!</definedName>
    <definedName name="DATA_16">#REF!</definedName>
    <definedName name="DATA_17" localSheetId="23">#REF!</definedName>
    <definedName name="DATA_17" localSheetId="6">#REF!</definedName>
    <definedName name="DATA_17" localSheetId="10">#REF!</definedName>
    <definedName name="DATA_17">#REF!</definedName>
    <definedName name="DATA_18" localSheetId="23">#REF!</definedName>
    <definedName name="DATA_18" localSheetId="6">#REF!</definedName>
    <definedName name="DATA_18" localSheetId="10">#REF!</definedName>
    <definedName name="DATA_18">#REF!</definedName>
    <definedName name="DATA_19" localSheetId="23">#REF!</definedName>
    <definedName name="DATA_19" localSheetId="6">#REF!</definedName>
    <definedName name="DATA_19" localSheetId="10">#REF!</definedName>
    <definedName name="DATA_19">#REF!</definedName>
    <definedName name="DATA_20" localSheetId="23">#REF!</definedName>
    <definedName name="DATA_20" localSheetId="6">#REF!</definedName>
    <definedName name="DATA_20" localSheetId="10">#REF!</definedName>
    <definedName name="DATA_20">#REF!</definedName>
    <definedName name="DATA_21" localSheetId="23">#REF!</definedName>
    <definedName name="DATA_21" localSheetId="6">#REF!</definedName>
    <definedName name="DATA_21" localSheetId="10">#REF!</definedName>
    <definedName name="DATA_21">#REF!</definedName>
    <definedName name="DATA_22" localSheetId="23">#REF!</definedName>
    <definedName name="DATA_22" localSheetId="6">#REF!</definedName>
    <definedName name="DATA_22" localSheetId="10">#REF!</definedName>
    <definedName name="DATA_22">#REF!</definedName>
    <definedName name="DATA_23" localSheetId="23">#REF!</definedName>
    <definedName name="DATA_23" localSheetId="6">#REF!</definedName>
    <definedName name="DATA_23" localSheetId="10">#REF!</definedName>
    <definedName name="DATA_23">#REF!</definedName>
    <definedName name="DATA_24" localSheetId="23">#REF!</definedName>
    <definedName name="DATA_24" localSheetId="6">#REF!</definedName>
    <definedName name="DATA_24" localSheetId="10">#REF!</definedName>
    <definedName name="DATA_24">#REF!</definedName>
    <definedName name="DATA_25" localSheetId="23">#REF!</definedName>
    <definedName name="DATA_25" localSheetId="6">#REF!</definedName>
    <definedName name="DATA_25" localSheetId="10">#REF!</definedName>
    <definedName name="DATA_25">#REF!</definedName>
    <definedName name="data1" localSheetId="23">#REF!</definedName>
    <definedName name="data1" localSheetId="6">#REF!</definedName>
    <definedName name="data1" localSheetId="10">#REF!</definedName>
    <definedName name="data1">#REF!</definedName>
    <definedName name="DATA15" localSheetId="23">#REF!</definedName>
    <definedName name="DATA15" localSheetId="6">#REF!</definedName>
    <definedName name="DATA15" localSheetId="10">#REF!</definedName>
    <definedName name="DATA15">#REF!</definedName>
    <definedName name="DATA16" localSheetId="23">#REF!</definedName>
    <definedName name="DATA16" localSheetId="6">#REF!</definedName>
    <definedName name="DATA16" localSheetId="10">#REF!</definedName>
    <definedName name="DATA16">#REF!</definedName>
    <definedName name="DATA17" localSheetId="23">#REF!</definedName>
    <definedName name="DATA17" localSheetId="6">#REF!</definedName>
    <definedName name="DATA17" localSheetId="10">#REF!</definedName>
    <definedName name="DATA17">#REF!</definedName>
    <definedName name="DATA18" localSheetId="23">#REF!</definedName>
    <definedName name="DATA18" localSheetId="6">#REF!</definedName>
    <definedName name="DATA18" localSheetId="10">#REF!</definedName>
    <definedName name="DATA18">#REF!</definedName>
    <definedName name="DATA19" localSheetId="23">#REF!</definedName>
    <definedName name="DATA19" localSheetId="6">#REF!</definedName>
    <definedName name="DATA19" localSheetId="10">#REF!</definedName>
    <definedName name="DATA19">#REF!</definedName>
    <definedName name="data2" localSheetId="23">#REF!</definedName>
    <definedName name="data2" localSheetId="6">#REF!</definedName>
    <definedName name="data2" localSheetId="10">#REF!</definedName>
    <definedName name="data2">#REF!</definedName>
    <definedName name="data3" localSheetId="23">#REF!</definedName>
    <definedName name="data3" localSheetId="6">#REF!</definedName>
    <definedName name="data3" localSheetId="10">#REF!</definedName>
    <definedName name="data3">#REF!</definedName>
    <definedName name="_xlnm.Database" localSheetId="4">#REF!</definedName>
    <definedName name="_xlnm.Database" localSheetId="23">#REF!</definedName>
    <definedName name="_xlnm.Database" localSheetId="6">#REF!</definedName>
    <definedName name="_xlnm.Database" localSheetId="27">#REF!</definedName>
    <definedName name="_xlnm.Database" localSheetId="11">#REF!</definedName>
    <definedName name="_xlnm.Database" localSheetId="10">#REF!</definedName>
    <definedName name="_xlnm.Database" localSheetId="5">#REF!</definedName>
    <definedName name="_xlnm.Database">#REF!</definedName>
    <definedName name="datb" localSheetId="23">#REF!</definedName>
    <definedName name="datb" localSheetId="6">#REF!</definedName>
    <definedName name="datb" localSheetId="10">#REF!</definedName>
    <definedName name="datb">#REF!</definedName>
    <definedName name="datc" localSheetId="23">#REF!</definedName>
    <definedName name="datc" localSheetId="6">#REF!</definedName>
    <definedName name="datc" localSheetId="10">#REF!</definedName>
    <definedName name="datc">#REF!</definedName>
    <definedName name="Date" localSheetId="23">#REF!</definedName>
    <definedName name="Date" localSheetId="6">#REF!</definedName>
    <definedName name="Date" localSheetId="10">#REF!</definedName>
    <definedName name="Date">#REF!</definedName>
    <definedName name="Date_of_Data" localSheetId="23">#REF!</definedName>
    <definedName name="Date_of_Data" localSheetId="6">#REF!</definedName>
    <definedName name="Date_of_Data" localSheetId="10">#REF!</definedName>
    <definedName name="Date_of_Data">#REF!</definedName>
    <definedName name="Date2" localSheetId="23">#REF!</definedName>
    <definedName name="Date2" localSheetId="6">#REF!</definedName>
    <definedName name="Date2" localSheetId="10">#REF!</definedName>
    <definedName name="Date2">#REF!</definedName>
    <definedName name="DATTA" localSheetId="23">#REF!</definedName>
    <definedName name="DATTA" localSheetId="6">#REF!</definedName>
    <definedName name="DATTA" localSheetId="10">#REF!</definedName>
    <definedName name="DATTA">#REF!</definedName>
    <definedName name="DaWk7" localSheetId="23">#REF!</definedName>
    <definedName name="DaWk7" localSheetId="6">#REF!</definedName>
    <definedName name="DaWk7" localSheetId="10">#REF!</definedName>
    <definedName name="DaWk7">#REF!</definedName>
    <definedName name="DAY_ENGR" localSheetId="23">#REF!</definedName>
    <definedName name="DAY_ENGR" localSheetId="6">#REF!</definedName>
    <definedName name="DAY_ENGR" localSheetId="10">#REF!</definedName>
    <definedName name="DAY_ENGR">#REF!</definedName>
    <definedName name="DAY_TCHN" localSheetId="23">#REF!</definedName>
    <definedName name="DAY_TCHN" localSheetId="6">#REF!</definedName>
    <definedName name="DAY_TCHN" localSheetId="10">#REF!</definedName>
    <definedName name="DAY_TCHN">#REF!</definedName>
    <definedName name="DAYS" localSheetId="23">#REF!</definedName>
    <definedName name="DAYS" localSheetId="6">#REF!</definedName>
    <definedName name="DAYS" localSheetId="10">#REF!</definedName>
    <definedName name="DAYS">#REF!</definedName>
    <definedName name="DB">INDEX('[5] '!$B$1:$B$16,MATCH('[5]  '!$K$87,'[5] '!$A$1:$A$16,0))</definedName>
    <definedName name="db___0" localSheetId="23">#REF!</definedName>
    <definedName name="db___0" localSheetId="6">#REF!</definedName>
    <definedName name="db___0" localSheetId="10">#REF!</definedName>
    <definedName name="db___0">#REF!</definedName>
    <definedName name="db___13" localSheetId="23">#REF!</definedName>
    <definedName name="db___13" localSheetId="6">#REF!</definedName>
    <definedName name="db___13" localSheetId="10">#REF!</definedName>
    <definedName name="db___13">#REF!</definedName>
    <definedName name="dbrwk1" localSheetId="23">#REF!</definedName>
    <definedName name="dbrwk1" localSheetId="6">#REF!</definedName>
    <definedName name="dbrwk1" localSheetId="10">#REF!</definedName>
    <definedName name="dbrwk1">#REF!</definedName>
    <definedName name="dbrwk10" localSheetId="23">#REF!</definedName>
    <definedName name="dbrwk10" localSheetId="6">#REF!</definedName>
    <definedName name="dbrwk10" localSheetId="10">#REF!</definedName>
    <definedName name="dbrwk10">#REF!</definedName>
    <definedName name="dbrwk11" localSheetId="23">#REF!</definedName>
    <definedName name="dbrwk11" localSheetId="6">#REF!</definedName>
    <definedName name="dbrwk11" localSheetId="10">#REF!</definedName>
    <definedName name="dbrwk11">#REF!</definedName>
    <definedName name="dbrwk12" localSheetId="23">#REF!</definedName>
    <definedName name="dbrwk12" localSheetId="6">#REF!</definedName>
    <definedName name="dbrwk12" localSheetId="10">#REF!</definedName>
    <definedName name="dbrwk12">#REF!</definedName>
    <definedName name="dbrwk2" localSheetId="23">#REF!</definedName>
    <definedName name="dbrwk2" localSheetId="6">#REF!</definedName>
    <definedName name="dbrwk2" localSheetId="10">#REF!</definedName>
    <definedName name="dbrwk2">#REF!</definedName>
    <definedName name="dbrwk3" localSheetId="23">#REF!</definedName>
    <definedName name="dbrwk3" localSheetId="6">#REF!</definedName>
    <definedName name="dbrwk3" localSheetId="10">#REF!</definedName>
    <definedName name="dbrwk3">#REF!</definedName>
    <definedName name="dbrwk4" localSheetId="23">#REF!</definedName>
    <definedName name="dbrwk4" localSheetId="6">#REF!</definedName>
    <definedName name="dbrwk4" localSheetId="10">#REF!</definedName>
    <definedName name="dbrwk4">#REF!</definedName>
    <definedName name="dbrwk5" localSheetId="23">#REF!</definedName>
    <definedName name="dbrwk5" localSheetId="6">#REF!</definedName>
    <definedName name="dbrwk5" localSheetId="10">#REF!</definedName>
    <definedName name="dbrwk5">#REF!</definedName>
    <definedName name="dbrwk6" localSheetId="23">#REF!</definedName>
    <definedName name="dbrwk6" localSheetId="6">#REF!</definedName>
    <definedName name="dbrwk6" localSheetId="10">#REF!</definedName>
    <definedName name="dbrwk6">#REF!</definedName>
    <definedName name="dbrwk7" localSheetId="23">#REF!</definedName>
    <definedName name="dbrwk7" localSheetId="6">#REF!</definedName>
    <definedName name="dbrwk7" localSheetId="10">#REF!</definedName>
    <definedName name="dbrwk7">#REF!</definedName>
    <definedName name="dbrwk8" localSheetId="23">#REF!</definedName>
    <definedName name="dbrwk8" localSheetId="6">#REF!</definedName>
    <definedName name="dbrwk8" localSheetId="10">#REF!</definedName>
    <definedName name="dbrwk8">#REF!</definedName>
    <definedName name="dbrwk9" localSheetId="23">#REF!</definedName>
    <definedName name="dbrwk9" localSheetId="6">#REF!</definedName>
    <definedName name="dbrwk9" localSheetId="10">#REF!</definedName>
    <definedName name="dbrwk9">#REF!</definedName>
    <definedName name="DC">INDEX('[5] '!$B$1:$B$16,MATCH('[5]  '!$K$89,'[5] '!$A$1:$A$16,0))</definedName>
    <definedName name="dcrwk1" localSheetId="23">#REF!</definedName>
    <definedName name="dcrwk1" localSheetId="6">#REF!</definedName>
    <definedName name="dcrwk1" localSheetId="10">#REF!</definedName>
    <definedName name="dcrwk1">#REF!</definedName>
    <definedName name="dcrwk10" localSheetId="23">#REF!</definedName>
    <definedName name="dcrwk10" localSheetId="6">#REF!</definedName>
    <definedName name="dcrwk10" localSheetId="10">#REF!</definedName>
    <definedName name="dcrwk10">#REF!</definedName>
    <definedName name="dcrwk11" localSheetId="23">#REF!</definedName>
    <definedName name="dcrwk11" localSheetId="6">#REF!</definedName>
    <definedName name="dcrwk11" localSheetId="10">#REF!</definedName>
    <definedName name="dcrwk11">#REF!</definedName>
    <definedName name="dcrwk12" localSheetId="23">#REF!</definedName>
    <definedName name="dcrwk12" localSheetId="6">#REF!</definedName>
    <definedName name="dcrwk12" localSheetId="10">#REF!</definedName>
    <definedName name="dcrwk12">#REF!</definedName>
    <definedName name="dcrwk2" localSheetId="23">#REF!</definedName>
    <definedName name="dcrwk2" localSheetId="6">#REF!</definedName>
    <definedName name="dcrwk2" localSheetId="10">#REF!</definedName>
    <definedName name="dcrwk2">#REF!</definedName>
    <definedName name="dcrwk3" localSheetId="23">#REF!</definedName>
    <definedName name="dcrwk3" localSheetId="6">#REF!</definedName>
    <definedName name="dcrwk3" localSheetId="10">#REF!</definedName>
    <definedName name="dcrwk3">#REF!</definedName>
    <definedName name="dcrwk4" localSheetId="23">#REF!</definedName>
    <definedName name="dcrwk4" localSheetId="6">#REF!</definedName>
    <definedName name="dcrwk4" localSheetId="10">#REF!</definedName>
    <definedName name="dcrwk4">#REF!</definedName>
    <definedName name="dcrwk5" localSheetId="23">#REF!</definedName>
    <definedName name="dcrwk5" localSheetId="6">#REF!</definedName>
    <definedName name="dcrwk5" localSheetId="10">#REF!</definedName>
    <definedName name="dcrwk5">#REF!</definedName>
    <definedName name="dcrwk6" localSheetId="23">#REF!</definedName>
    <definedName name="dcrwk6" localSheetId="6">#REF!</definedName>
    <definedName name="dcrwk6" localSheetId="10">#REF!</definedName>
    <definedName name="dcrwk6">#REF!</definedName>
    <definedName name="dcrwk7" localSheetId="23">#REF!</definedName>
    <definedName name="dcrwk7" localSheetId="6">#REF!</definedName>
    <definedName name="dcrwk7" localSheetId="10">#REF!</definedName>
    <definedName name="dcrwk7">#REF!</definedName>
    <definedName name="dcrwk8" localSheetId="23">#REF!</definedName>
    <definedName name="dcrwk8" localSheetId="6">#REF!</definedName>
    <definedName name="dcrwk8" localSheetId="10">#REF!</definedName>
    <definedName name="dcrwk8">#REF!</definedName>
    <definedName name="dcrwk9" localSheetId="23">#REF!</definedName>
    <definedName name="dcrwk9" localSheetId="6">#REF!</definedName>
    <definedName name="dcrwk9" localSheetId="10">#REF!</definedName>
    <definedName name="dcrwk9">#REF!</definedName>
    <definedName name="dd" localSheetId="11" hidden="1">{"'PROFITABILITY'!$A$1:$F$45"}</definedName>
    <definedName name="dd" localSheetId="10" hidden="1">{"'PROFITABILITY'!$A$1:$F$45"}</definedName>
    <definedName name="dd" hidden="1">{"'PROFITABILITY'!$A$1:$F$45"}</definedName>
    <definedName name="DDD" localSheetId="23">#REF!</definedName>
    <definedName name="DDD" localSheetId="6">#REF!</definedName>
    <definedName name="DDD" localSheetId="10">#REF!</definedName>
    <definedName name="DDD">#REF!</definedName>
    <definedName name="dddd" localSheetId="23">#REF!</definedName>
    <definedName name="dddd" localSheetId="6">#REF!</definedName>
    <definedName name="dddd" localSheetId="10">#REF!</definedName>
    <definedName name="dddd">#REF!</definedName>
    <definedName name="DE">INDEX('[5] '!$B$1:$B$16,MATCH('[5]  '!$K$93,'[5] '!$A$1:$A$16,0))</definedName>
    <definedName name="de_cost" localSheetId="23">#REF!</definedName>
    <definedName name="de_cost" localSheetId="6">#REF!</definedName>
    <definedName name="de_cost" localSheetId="10">#REF!</definedName>
    <definedName name="de_cost">#REF!</definedName>
    <definedName name="DEBTORS" localSheetId="23">#REF!</definedName>
    <definedName name="DEBTORS" localSheetId="6">#REF!</definedName>
    <definedName name="DEBTORS" localSheetId="10">#REF!</definedName>
    <definedName name="DEBTORS">#REF!</definedName>
    <definedName name="DEC.GH" localSheetId="23">#REF!</definedName>
    <definedName name="DEC.GH" localSheetId="6">#REF!</definedName>
    <definedName name="DEC.GH" localSheetId="10">#REF!</definedName>
    <definedName name="DEC.GH">#REF!</definedName>
    <definedName name="DEED" localSheetId="23">#REF!</definedName>
    <definedName name="DEED" localSheetId="6">#REF!</definedName>
    <definedName name="DEED" localSheetId="10">#REF!</definedName>
    <definedName name="DEED">#REF!</definedName>
    <definedName name="DEHRI" localSheetId="23">#REF!</definedName>
    <definedName name="DEHRI" localSheetId="6">#REF!</definedName>
    <definedName name="DEHRI" localSheetId="10">#REF!</definedName>
    <definedName name="DEHRI">#REF!</definedName>
    <definedName name="DelDC" localSheetId="23">#REF!</definedName>
    <definedName name="DelDC" localSheetId="6">#REF!</definedName>
    <definedName name="DelDC" localSheetId="10">#REF!</definedName>
    <definedName name="DelDC">#REF!</definedName>
    <definedName name="DelDm" localSheetId="23">#REF!</definedName>
    <definedName name="DelDm" localSheetId="6">#REF!</definedName>
    <definedName name="DelDm" localSheetId="10">#REF!</definedName>
    <definedName name="DelDm">#REF!</definedName>
    <definedName name="Delivery" localSheetId="23">#REF!</definedName>
    <definedName name="Delivery" localSheetId="6">#REF!</definedName>
    <definedName name="Delivery" localSheetId="10">#REF!</definedName>
    <definedName name="Delivery">#REF!</definedName>
    <definedName name="DELTA20" localSheetId="23">#REF!</definedName>
    <definedName name="DELTA20" localSheetId="6">#REF!</definedName>
    <definedName name="DELTA20" localSheetId="10">#REF!</definedName>
    <definedName name="DELTA20">#REF!</definedName>
    <definedName name="DELTA20___0" localSheetId="23">#REF!</definedName>
    <definedName name="DELTA20___0" localSheetId="6">#REF!</definedName>
    <definedName name="DELTA20___0" localSheetId="10">#REF!</definedName>
    <definedName name="DELTA20___0">#REF!</definedName>
    <definedName name="DELTA20___13" localSheetId="23">#REF!</definedName>
    <definedName name="DELTA20___13" localSheetId="6">#REF!</definedName>
    <definedName name="DELTA20___13" localSheetId="10">#REF!</definedName>
    <definedName name="DELTA20___13">#REF!</definedName>
    <definedName name="DelType" localSheetId="23">#REF!</definedName>
    <definedName name="DelType" localSheetId="6">#REF!</definedName>
    <definedName name="DelType" localSheetId="10">#REF!</definedName>
    <definedName name="DelType">#REF!</definedName>
    <definedName name="DEM" localSheetId="23">#REF!</definedName>
    <definedName name="DEM" localSheetId="6">#REF!</definedName>
    <definedName name="DEM" localSheetId="10">#REF!</definedName>
    <definedName name="DEM">#REF!</definedName>
    <definedName name="den" localSheetId="23">#REF!</definedName>
    <definedName name="den" localSheetId="6">#REF!</definedName>
    <definedName name="den" localSheetId="10">#REF!</definedName>
    <definedName name="den">#REF!</definedName>
    <definedName name="deptLookup" localSheetId="23">#REF!</definedName>
    <definedName name="deptLookup" localSheetId="6">#REF!</definedName>
    <definedName name="deptLookup" localSheetId="10">#REF!</definedName>
    <definedName name="deptLookup">#REF!</definedName>
    <definedName name="design" localSheetId="23">#REF!</definedName>
    <definedName name="design" localSheetId="6">#REF!</definedName>
    <definedName name="design" localSheetId="10">#REF!</definedName>
    <definedName name="design">#REF!</definedName>
    <definedName name="det_act_plan" localSheetId="23">#REF!</definedName>
    <definedName name="det_act_plan" localSheetId="6">#REF!</definedName>
    <definedName name="det_act_plan" localSheetId="10">#REF!</definedName>
    <definedName name="det_act_plan">#REF!</definedName>
    <definedName name="Detailed" localSheetId="23">#REF!</definedName>
    <definedName name="Detailed" localSheetId="6">#REF!</definedName>
    <definedName name="Detailed" localSheetId="10">#REF!</definedName>
    <definedName name="Detailed">#REF!</definedName>
    <definedName name="Details" localSheetId="23">#REF!</definedName>
    <definedName name="Details" localSheetId="6">#REF!</definedName>
    <definedName name="Details" localSheetId="10">#REF!</definedName>
    <definedName name="Details">#REF!</definedName>
    <definedName name="dev">'[7]july-I'!$H$126:$H$140</definedName>
    <definedName name="DF">INDEX('[5] '!$B$1:$B$16,MATCH('[5]  '!$K$95,'[5] '!$A$1:$A$16,0))</definedName>
    <definedName name="dfadvdsv" localSheetId="23">#REF!</definedName>
    <definedName name="dfadvdsv" localSheetId="6">#REF!</definedName>
    <definedName name="dfadvdsv" localSheetId="10">#REF!</definedName>
    <definedName name="dfadvdsv">#REF!</definedName>
    <definedName name="dfdfs" localSheetId="11" hidden="1">{"'Sheet1'!$A$4386:$N$4591"}</definedName>
    <definedName name="dfdfs" localSheetId="10" hidden="1">{"'Sheet1'!$A$4386:$N$4591"}</definedName>
    <definedName name="dfdfs" hidden="1">{"'Sheet1'!$A$4386:$N$4591"}</definedName>
    <definedName name="DFF" localSheetId="23">#REF!</definedName>
    <definedName name="DFF" localSheetId="6">#REF!</definedName>
    <definedName name="DFF" localSheetId="10">#REF!</definedName>
    <definedName name="DFF">#REF!</definedName>
    <definedName name="DG">INDEX('[5] '!$B$1:$B$16,MATCH('[5]  '!$K$97,'[5] '!$A$1:$A$16,0))</definedName>
    <definedName name="DG_Total" localSheetId="23">#REF!</definedName>
    <definedName name="DG_Total" localSheetId="6">#REF!</definedName>
    <definedName name="DG_Total" localSheetId="10">#REF!</definedName>
    <definedName name="DG_Total">#REF!</definedName>
    <definedName name="dgn" localSheetId="23">#REF!</definedName>
    <definedName name="dgn" localSheetId="6">#REF!</definedName>
    <definedName name="dgn" localSheetId="10">#REF!</definedName>
    <definedName name="dgn">#REF!</definedName>
    <definedName name="dgp" localSheetId="23">#REF!</definedName>
    <definedName name="dgp" localSheetId="6">#REF!</definedName>
    <definedName name="dgp" localSheetId="10">#REF!</definedName>
    <definedName name="dgp">#REF!</definedName>
    <definedName name="DH">INDEX('[5] '!$B$1:$B$16,MATCH('[5]  '!$K$99,'[5] '!$A$1:$A$16,0))</definedName>
    <definedName name="dhgh" localSheetId="23">#REF!</definedName>
    <definedName name="dhgh" localSheetId="6">#REF!</definedName>
    <definedName name="dhgh" localSheetId="10">#REF!</definedName>
    <definedName name="dhgh">#REF!</definedName>
    <definedName name="DHTML" localSheetId="11" hidden="1">{"'Sheet1'!$A$4386:$N$4591"}</definedName>
    <definedName name="DHTML" localSheetId="10" hidden="1">{"'Sheet1'!$A$4386:$N$4591"}</definedName>
    <definedName name="DHTML" hidden="1">{"'Sheet1'!$A$4386:$N$4591"}</definedName>
    <definedName name="DI">INDEX('[5] '!$B$1:$B$16,MATCH('[5]  '!$K$101,'[5] '!$A$1:$A$16,0))</definedName>
    <definedName name="diacab" localSheetId="23">#REF!</definedName>
    <definedName name="diacab" localSheetId="6">#REF!</definedName>
    <definedName name="diacab" localSheetId="10">#REF!</definedName>
    <definedName name="diacab">#REF!</definedName>
    <definedName name="diameter" localSheetId="23">#REF!</definedName>
    <definedName name="diameter" localSheetId="6">#REF!</definedName>
    <definedName name="diameter" localSheetId="10">#REF!</definedName>
    <definedName name="diameter">#REF!</definedName>
    <definedName name="diaphragm" localSheetId="23">#REF!</definedName>
    <definedName name="diaphragm" localSheetId="6">#REF!</definedName>
    <definedName name="diaphragm" localSheetId="10">#REF!</definedName>
    <definedName name="diaphragm">#REF!</definedName>
    <definedName name="diatubal" localSheetId="23">#REF!</definedName>
    <definedName name="diatubal" localSheetId="6">#REF!</definedName>
    <definedName name="diatubal" localSheetId="10">#REF!</definedName>
    <definedName name="diatubal">#REF!</definedName>
    <definedName name="diff" localSheetId="23">#REF!</definedName>
    <definedName name="diff" localSheetId="6">#REF!</definedName>
    <definedName name="diff" localSheetId="10">#REF!</definedName>
    <definedName name="diff">#REF!</definedName>
    <definedName name="diff1" localSheetId="23">#REF!</definedName>
    <definedName name="diff1" localSheetId="6">#REF!</definedName>
    <definedName name="diff1" localSheetId="10">#REF!</definedName>
    <definedName name="diff1">#REF!</definedName>
    <definedName name="disc" localSheetId="23">#REF!</definedName>
    <definedName name="disc" localSheetId="6">#REF!</definedName>
    <definedName name="disc" localSheetId="10">#REF!</definedName>
    <definedName name="disc">#REF!</definedName>
    <definedName name="Discount" localSheetId="23">#REF!</definedName>
    <definedName name="Discount" localSheetId="6">#REF!</definedName>
    <definedName name="Discount" localSheetId="10">#REF!</definedName>
    <definedName name="Discount">#REF!</definedName>
    <definedName name="Discount1" localSheetId="23">#REF!</definedName>
    <definedName name="Discount1" localSheetId="6">#REF!</definedName>
    <definedName name="Discount1" localSheetId="10">#REF!</definedName>
    <definedName name="Discount1">#REF!</definedName>
    <definedName name="disdir" localSheetId="23">#REF!</definedName>
    <definedName name="disdir" localSheetId="6">#REF!</definedName>
    <definedName name="disdir" localSheetId="10">#REF!</definedName>
    <definedName name="disdir">#REF!</definedName>
    <definedName name="Distrib" localSheetId="23">#REF!</definedName>
    <definedName name="Distrib" localSheetId="6">#REF!</definedName>
    <definedName name="Distrib" localSheetId="10">#REF!</definedName>
    <definedName name="Distrib">#REF!</definedName>
    <definedName name="DJ">INDEX('[5] '!$B$1:$B$16,MATCH('[5]  '!$K$103,'[5] '!$A$1:$A$16,0))</definedName>
    <definedName name="DJH" localSheetId="23">#REF!</definedName>
    <definedName name="DJH" localSheetId="6">#REF!</definedName>
    <definedName name="DJH" localSheetId="10">#REF!</definedName>
    <definedName name="DJH">#REF!</definedName>
    <definedName name="DK">INDEX('[5] '!$B$1:$B$16,MATCH('[5]  '!$K$105,'[5] '!$A$1:$A$16,0))</definedName>
    <definedName name="DL">INDEX('[5] '!$B$1:$B$16,MATCH('[5]  '!$K$107,'[5] '!$A$1:$A$16,0))</definedName>
    <definedName name="dl___0" localSheetId="23">#REF!</definedName>
    <definedName name="dl___0" localSheetId="6">#REF!</definedName>
    <definedName name="dl___0" localSheetId="10">#REF!</definedName>
    <definedName name="dl___0">#REF!</definedName>
    <definedName name="dl___13" localSheetId="23">#REF!</definedName>
    <definedName name="dl___13" localSheetId="6">#REF!</definedName>
    <definedName name="dl___13" localSheetId="10">#REF!</definedName>
    <definedName name="dl___13">#REF!</definedName>
    <definedName name="DL_Ave" localSheetId="23">#REF!</definedName>
    <definedName name="DL_Ave" localSheetId="6">#REF!</definedName>
    <definedName name="DL_Ave" localSheetId="10">#REF!</definedName>
    <definedName name="DL_Ave">#REF!</definedName>
    <definedName name="DL_Mobi_Mth" localSheetId="23">#REF!</definedName>
    <definedName name="DL_Mobi_Mth" localSheetId="6">#REF!</definedName>
    <definedName name="DL_Mobi_Mth" localSheetId="10">#REF!</definedName>
    <definedName name="DL_Mobi_Mth">#REF!</definedName>
    <definedName name="DL_Mth" localSheetId="23">#REF!</definedName>
    <definedName name="DL_Mth" localSheetId="6">#REF!</definedName>
    <definedName name="DL_Mth" localSheetId="10">#REF!</definedName>
    <definedName name="DL_Mth">#REF!</definedName>
    <definedName name="DL_Total_002MHs" localSheetId="23">#REF!</definedName>
    <definedName name="DL_Total_002MHs" localSheetId="6">#REF!</definedName>
    <definedName name="DL_Total_002MHs" localSheetId="10">#REF!</definedName>
    <definedName name="DL_Total_002MHs">#REF!</definedName>
    <definedName name="DL_Total_Cost_002FC" localSheetId="23">#REF!</definedName>
    <definedName name="DL_Total_Cost_002FC" localSheetId="6">#REF!</definedName>
    <definedName name="DL_Total_Cost_002FC" localSheetId="10">#REF!</definedName>
    <definedName name="DL_Total_Cost_002FC">#REF!</definedName>
    <definedName name="DL_Total_Cost_002LC" localSheetId="23">#REF!</definedName>
    <definedName name="DL_Total_Cost_002LC" localSheetId="6">#REF!</definedName>
    <definedName name="DL_Total_Cost_002LC" localSheetId="10">#REF!</definedName>
    <definedName name="DL_Total_Cost_002LC">#REF!</definedName>
    <definedName name="DL_Total_Peak" localSheetId="23">#REF!</definedName>
    <definedName name="DL_Total_Peak" localSheetId="6">#REF!</definedName>
    <definedName name="DL_Total_Peak" localSheetId="10">#REF!</definedName>
    <definedName name="DL_Total_Peak">#REF!</definedName>
    <definedName name="DLF" localSheetId="23">#REF!</definedName>
    <definedName name="DLF" localSheetId="6">#REF!</definedName>
    <definedName name="DLF" localSheetId="10">#REF!</definedName>
    <definedName name="DLF">#REF!</definedName>
    <definedName name="DM">INDEX('[5] '!$B$1:$B$16,MATCH('[5]  '!$K$109,'[5] '!$A$1:$A$16,0))</definedName>
    <definedName name="DMUSD" localSheetId="23">#REF!</definedName>
    <definedName name="DMUSD" localSheetId="6">#REF!</definedName>
    <definedName name="DMUSD" localSheetId="10">#REF!</definedName>
    <definedName name="DMUSD">#REF!</definedName>
    <definedName name="Do" localSheetId="23">#REF!</definedName>
    <definedName name="Do" localSheetId="6">#REF!</definedName>
    <definedName name="Do" localSheetId="10">#REF!</definedName>
    <definedName name="Do">#REF!</definedName>
    <definedName name="DOC" localSheetId="23">#REF!</definedName>
    <definedName name="DOC" localSheetId="6">#REF!</definedName>
    <definedName name="DOC" localSheetId="10">#REF!</definedName>
    <definedName name="DOC">#REF!</definedName>
    <definedName name="dol" localSheetId="23">#REF!</definedName>
    <definedName name="dol" localSheetId="6">#REF!</definedName>
    <definedName name="dol" localSheetId="10">#REF!</definedName>
    <definedName name="dol">#REF!</definedName>
    <definedName name="dol7.5" localSheetId="23">#REF!</definedName>
    <definedName name="dol7.5" localSheetId="6">#REF!</definedName>
    <definedName name="dol7.5" localSheetId="10">#REF!</definedName>
    <definedName name="dol7.5">#REF!</definedName>
    <definedName name="DOLLARS1" localSheetId="23">#REF!</definedName>
    <definedName name="DOLLARS1" localSheetId="6">#REF!</definedName>
    <definedName name="DOLLARS1" localSheetId="10">#REF!</definedName>
    <definedName name="DOLLARS1">#REF!</definedName>
    <definedName name="DOLLARS2" localSheetId="23">#REF!</definedName>
    <definedName name="DOLLARS2" localSheetId="6">#REF!</definedName>
    <definedName name="DOLLARS2" localSheetId="10">#REF!</definedName>
    <definedName name="DOLLARS2">#REF!</definedName>
    <definedName name="DPR">'[5]  '!$F$5&amp;'[5]  '!$F1&amp;'[5]  '!$G$5&amp;'[5]  '!$G1&amp;'[5]  '!$H$5&amp;'[5]  '!$H1&amp;'[5]  '!$I$5&amp;'[5]  '!$I1&amp;'[5]  '!$J$5&amp;'[5]  '!$J1</definedName>
    <definedName name="drain_trap" localSheetId="23">#REF!</definedName>
    <definedName name="drain_trap" localSheetId="6">#REF!</definedName>
    <definedName name="drain_trap" localSheetId="10">#REF!</definedName>
    <definedName name="drain_trap">#REF!</definedName>
    <definedName name="DRAWING" localSheetId="23">#REF!</definedName>
    <definedName name="DRAWING" localSheetId="6">#REF!</definedName>
    <definedName name="DRAWING" localSheetId="10">#REF!</definedName>
    <definedName name="DRAWING">#REF!</definedName>
    <definedName name="DS" localSheetId="23">#REF!</definedName>
    <definedName name="DS" localSheetId="6">#REF!</definedName>
    <definedName name="DS" localSheetId="10">#REF!</definedName>
    <definedName name="DS">#REF!</definedName>
    <definedName name="Ds___0" localSheetId="23">#REF!</definedName>
    <definedName name="Ds___0" localSheetId="6">#REF!</definedName>
    <definedName name="Ds___0" localSheetId="10">#REF!</definedName>
    <definedName name="Ds___0">#REF!</definedName>
    <definedName name="Ds___13" localSheetId="23">#REF!</definedName>
    <definedName name="Ds___13" localSheetId="6">#REF!</definedName>
    <definedName name="Ds___13" localSheetId="10">#REF!</definedName>
    <definedName name="Ds___13">#REF!</definedName>
    <definedName name="dsat" localSheetId="23">#REF!</definedName>
    <definedName name="dsat" localSheetId="6">#REF!</definedName>
    <definedName name="dsat" localSheetId="10">#REF!</definedName>
    <definedName name="dsat">#REF!</definedName>
    <definedName name="dsds" localSheetId="23">#REF!</definedName>
    <definedName name="dsds" localSheetId="6">#REF!</definedName>
    <definedName name="dsds" localSheetId="10">#REF!</definedName>
    <definedName name="dsds">#REF!</definedName>
    <definedName name="dsdsdls" localSheetId="23">#REF!</definedName>
    <definedName name="dsdsdls" localSheetId="6">#REF!</definedName>
    <definedName name="dsdsdls" localSheetId="10">#REF!</definedName>
    <definedName name="dsdsdls">#REF!</definedName>
    <definedName name="dsgtgx" localSheetId="23">#REF!</definedName>
    <definedName name="dsgtgx" localSheetId="6">#REF!</definedName>
    <definedName name="dsgtgx" localSheetId="10">#REF!</definedName>
    <definedName name="dsgtgx">#REF!</definedName>
    <definedName name="dtnps" localSheetId="23">#REF!</definedName>
    <definedName name="dtnps" localSheetId="6">#REF!</definedName>
    <definedName name="dtnps" localSheetId="10">#REF!</definedName>
    <definedName name="dtnps">#REF!</definedName>
    <definedName name="dual_plate_check" localSheetId="23">#REF!</definedName>
    <definedName name="dual_plate_check" localSheetId="6">#REF!</definedName>
    <definedName name="dual_plate_check" localSheetId="10">#REF!</definedName>
    <definedName name="dual_plate_check">#REF!</definedName>
    <definedName name="dukhan" localSheetId="23">#REF!</definedName>
    <definedName name="dukhan" localSheetId="6">#REF!</definedName>
    <definedName name="dukhan" localSheetId="10">#REF!</definedName>
    <definedName name="dukhan">#REF!</definedName>
    <definedName name="dumppr" localSheetId="23">#REF!</definedName>
    <definedName name="dumppr" localSheetId="6">#REF!</definedName>
    <definedName name="dumppr" localSheetId="10">#REF!</definedName>
    <definedName name="dumppr">#REF!</definedName>
    <definedName name="duplex_strainer" localSheetId="23">#REF!</definedName>
    <definedName name="duplex_strainer" localSheetId="6">#REF!</definedName>
    <definedName name="duplex_strainer" localSheetId="10">#REF!</definedName>
    <definedName name="duplex_strainer">#REF!</definedName>
    <definedName name="dvv" localSheetId="23">#REF!</definedName>
    <definedName name="dvv" localSheetId="6">#REF!</definedName>
    <definedName name="dvv" localSheetId="10">#REF!</definedName>
    <definedName name="dvv">#REF!</definedName>
    <definedName name="dx_shape" localSheetId="23">#REF!</definedName>
    <definedName name="dx_shape" localSheetId="6">#REF!</definedName>
    <definedName name="dx_shape" localSheetId="10">#REF!</definedName>
    <definedName name="dx_shape">#REF!</definedName>
    <definedName name="E" localSheetId="4">#REF!</definedName>
    <definedName name="e" localSheetId="23">#REF!</definedName>
    <definedName name="e" localSheetId="6">#REF!</definedName>
    <definedName name="E" localSheetId="27">#REF!</definedName>
    <definedName name="E" localSheetId="11">#REF!</definedName>
    <definedName name="e" localSheetId="10">#REF!</definedName>
    <definedName name="E" localSheetId="5">#REF!</definedName>
    <definedName name="e">#REF!</definedName>
    <definedName name="E_45E" localSheetId="23">#REF!</definedName>
    <definedName name="E_45E" localSheetId="6">#REF!</definedName>
    <definedName name="E_45E" localSheetId="10">#REF!</definedName>
    <definedName name="E_45E">#REF!</definedName>
    <definedName name="E_90LE" localSheetId="23">#REF!</definedName>
    <definedName name="E_90LE" localSheetId="6">#REF!</definedName>
    <definedName name="E_90LE" localSheetId="10">#REF!</definedName>
    <definedName name="E_90LE">#REF!</definedName>
    <definedName name="E_90SE" localSheetId="23">#REF!</definedName>
    <definedName name="E_90SE" localSheetId="6">#REF!</definedName>
    <definedName name="E_90SE" localSheetId="10">#REF!</definedName>
    <definedName name="E_90SE">#REF!</definedName>
    <definedName name="E_BV" localSheetId="23">#REF!</definedName>
    <definedName name="E_BV" localSheetId="6">#REF!</definedName>
    <definedName name="E_BV" localSheetId="10">#REF!</definedName>
    <definedName name="E_BV">#REF!</definedName>
    <definedName name="E_GV" localSheetId="23">#REF!</definedName>
    <definedName name="E_GV" localSheetId="6">#REF!</definedName>
    <definedName name="E_GV" localSheetId="10">#REF!</definedName>
    <definedName name="E_GV">#REF!</definedName>
    <definedName name="e_margin" localSheetId="23">#REF!</definedName>
    <definedName name="e_margin" localSheetId="6">#REF!</definedName>
    <definedName name="e_margin" localSheetId="10">#REF!</definedName>
    <definedName name="e_margin">#REF!</definedName>
    <definedName name="E_SC" localSheetId="23">#REF!</definedName>
    <definedName name="E_SC" localSheetId="6">#REF!</definedName>
    <definedName name="E_SC" localSheetId="10">#REF!</definedName>
    <definedName name="E_SC">#REF!</definedName>
    <definedName name="E_T" localSheetId="23">#REF!</definedName>
    <definedName name="E_T" localSheetId="6">#REF!</definedName>
    <definedName name="E_T" localSheetId="10">#REF!</definedName>
    <definedName name="E_T">#REF!</definedName>
    <definedName name="EA">INDEX('[5] '!$B$1:$B$16,MATCH('[5]  '!$K$111,'[5] '!$A$1:$A$16,0))</definedName>
    <definedName name="EARTH" localSheetId="23">#REF!</definedName>
    <definedName name="EARTH" localSheetId="6">#REF!</definedName>
    <definedName name="EARTH" localSheetId="10">#REF!</definedName>
    <definedName name="EARTH">#REF!</definedName>
    <definedName name="EARTH1" localSheetId="23">#REF!</definedName>
    <definedName name="EARTH1" localSheetId="6">#REF!</definedName>
    <definedName name="EARTH1" localSheetId="10">#REF!</definedName>
    <definedName name="EARTH1">#REF!</definedName>
    <definedName name="EB">INDEX('[5] '!$B$1:$B$16,MATCH('[5]  '!$K$113,'[5] '!$A$1:$A$16,0))</definedName>
    <definedName name="EB_Total" localSheetId="23">#REF!</definedName>
    <definedName name="EB_Total" localSheetId="6">#REF!</definedName>
    <definedName name="EB_Total" localSheetId="10">#REF!</definedName>
    <definedName name="EB_Total">#REF!</definedName>
    <definedName name="EC">INDEX('[5] '!$B$1:$B$16,MATCH('[5]  '!$K$115,'[5] '!$A$1:$A$16,0))</definedName>
    <definedName name="ec_charges" localSheetId="23">#REF!</definedName>
    <definedName name="ec_charges" localSheetId="6">#REF!</definedName>
    <definedName name="ec_charges" localSheetId="10">#REF!</definedName>
    <definedName name="ec_charges">#REF!</definedName>
    <definedName name="ecfact" localSheetId="23">#REF!</definedName>
    <definedName name="ecfact" localSheetId="6">#REF!</definedName>
    <definedName name="ecfact" localSheetId="10">#REF!</definedName>
    <definedName name="ecfact">#REF!</definedName>
    <definedName name="ED">INDEX('[5] '!$B$1:$B$16,MATCH('[5]  '!$K$117,'[5] '!$A$1:$A$16,0))</definedName>
    <definedName name="ED_RTU" localSheetId="23">#REF!</definedName>
    <definedName name="ED_RTU" localSheetId="6">#REF!</definedName>
    <definedName name="ED_RTU" localSheetId="10">#REF!</definedName>
    <definedName name="ED_RTU">#REF!</definedName>
    <definedName name="ED_TRDR" localSheetId="23">#REF!</definedName>
    <definedName name="ED_TRDR" localSheetId="6">#REF!</definedName>
    <definedName name="ED_TRDR" localSheetId="10">#REF!</definedName>
    <definedName name="ED_TRDR">#REF!</definedName>
    <definedName name="ededed" localSheetId="23">#REF!</definedName>
    <definedName name="ededed" localSheetId="6">#REF!</definedName>
    <definedName name="ededed" localSheetId="27">#REF!</definedName>
    <definedName name="ededed" localSheetId="10">#REF!</definedName>
    <definedName name="ededed">#REF!</definedName>
    <definedName name="EE">INDEX('[5] '!$B$1:$B$16,MATCH('[5]  '!$K$119,'[5] '!$A$1:$A$16,0))</definedName>
    <definedName name="EF">INDEX('[5] '!$B$1:$B$16,MATCH('[5]  '!$K$121,'[5] '!$A$1:$A$16,0))</definedName>
    <definedName name="EFFECT" localSheetId="23">#REF!</definedName>
    <definedName name="EFFECT" localSheetId="6">#REF!</definedName>
    <definedName name="EFFECT" localSheetId="10">#REF!</definedName>
    <definedName name="EFFECT">#REF!</definedName>
    <definedName name="EFFICIENCY" localSheetId="23">#REF!</definedName>
    <definedName name="EFFICIENCY" localSheetId="6">#REF!</definedName>
    <definedName name="EFFICIENCY" localSheetId="10">#REF!</definedName>
    <definedName name="EFFICIENCY">#REF!</definedName>
    <definedName name="EG">INDEX('[5] '!$B$1:$B$16,MATCH('[5]  '!$K$123,'[5] '!$A$1:$A$16,0))</definedName>
    <definedName name="EH">INDEX('[5] '!$B$1:$B$16,MATCH('[5]  '!$K$125,'[5] '!$A$1:$A$16,0))</definedName>
    <definedName name="EH_001_1" localSheetId="23">#REF!</definedName>
    <definedName name="EH_001_1" localSheetId="6">#REF!</definedName>
    <definedName name="EH_001_1" localSheetId="10">#REF!</definedName>
    <definedName name="EH_001_1">#REF!</definedName>
    <definedName name="EH_001_10" localSheetId="23">#REF!</definedName>
    <definedName name="EH_001_10" localSheetId="6">#REF!</definedName>
    <definedName name="EH_001_10" localSheetId="10">#REF!</definedName>
    <definedName name="EH_001_10">#REF!</definedName>
    <definedName name="EH_001_11" localSheetId="23">#REF!</definedName>
    <definedName name="EH_001_11" localSheetId="6">#REF!</definedName>
    <definedName name="EH_001_11" localSheetId="10">#REF!</definedName>
    <definedName name="EH_001_11">#REF!</definedName>
    <definedName name="EH_001_12" localSheetId="23">#REF!</definedName>
    <definedName name="EH_001_12" localSheetId="6">#REF!</definedName>
    <definedName name="EH_001_12" localSheetId="10">#REF!</definedName>
    <definedName name="EH_001_12">#REF!</definedName>
    <definedName name="EH_001_13" localSheetId="23">#REF!</definedName>
    <definedName name="EH_001_13" localSheetId="6">#REF!</definedName>
    <definedName name="EH_001_13" localSheetId="10">#REF!</definedName>
    <definedName name="EH_001_13">#REF!</definedName>
    <definedName name="EH_001_14" localSheetId="23">#REF!</definedName>
    <definedName name="EH_001_14" localSheetId="6">#REF!</definedName>
    <definedName name="EH_001_14" localSheetId="10">#REF!</definedName>
    <definedName name="EH_001_14">#REF!</definedName>
    <definedName name="EH_001_15" localSheetId="23">#REF!</definedName>
    <definedName name="EH_001_15" localSheetId="6">#REF!</definedName>
    <definedName name="EH_001_15" localSheetId="10">#REF!</definedName>
    <definedName name="EH_001_15">#REF!</definedName>
    <definedName name="EH_001_16" localSheetId="23">#REF!</definedName>
    <definedName name="EH_001_16" localSheetId="6">#REF!</definedName>
    <definedName name="EH_001_16" localSheetId="10">#REF!</definedName>
    <definedName name="EH_001_16">#REF!</definedName>
    <definedName name="EH_001_17" localSheetId="23">#REF!</definedName>
    <definedName name="EH_001_17" localSheetId="6">#REF!</definedName>
    <definedName name="EH_001_17" localSheetId="10">#REF!</definedName>
    <definedName name="EH_001_17">#REF!</definedName>
    <definedName name="EH_001_18" localSheetId="23">#REF!</definedName>
    <definedName name="EH_001_18" localSheetId="6">#REF!</definedName>
    <definedName name="EH_001_18" localSheetId="10">#REF!</definedName>
    <definedName name="EH_001_18">#REF!</definedName>
    <definedName name="EH_001_2" localSheetId="23">#REF!</definedName>
    <definedName name="EH_001_2" localSheetId="6">#REF!</definedName>
    <definedName name="EH_001_2" localSheetId="10">#REF!</definedName>
    <definedName name="EH_001_2">#REF!</definedName>
    <definedName name="EH_001_3" localSheetId="23">#REF!</definedName>
    <definedName name="EH_001_3" localSheetId="6">#REF!</definedName>
    <definedName name="EH_001_3" localSheetId="10">#REF!</definedName>
    <definedName name="EH_001_3">#REF!</definedName>
    <definedName name="EH_001_4" localSheetId="23">#REF!</definedName>
    <definedName name="EH_001_4" localSheetId="6">#REF!</definedName>
    <definedName name="EH_001_4" localSheetId="10">#REF!</definedName>
    <definedName name="EH_001_4">#REF!</definedName>
    <definedName name="EH_001_5" localSheetId="23">#REF!</definedName>
    <definedName name="EH_001_5" localSheetId="6">#REF!</definedName>
    <definedName name="EH_001_5" localSheetId="10">#REF!</definedName>
    <definedName name="EH_001_5">#REF!</definedName>
    <definedName name="EH_001_6" localSheetId="23">#REF!</definedName>
    <definedName name="EH_001_6" localSheetId="6">#REF!</definedName>
    <definedName name="EH_001_6" localSheetId="10">#REF!</definedName>
    <definedName name="EH_001_6">#REF!</definedName>
    <definedName name="EH_001_7" localSheetId="23">#REF!</definedName>
    <definedName name="EH_001_7" localSheetId="6">#REF!</definedName>
    <definedName name="EH_001_7" localSheetId="10">#REF!</definedName>
    <definedName name="EH_001_7">#REF!</definedName>
    <definedName name="EH_001_8" localSheetId="23">#REF!</definedName>
    <definedName name="EH_001_8" localSheetId="6">#REF!</definedName>
    <definedName name="EH_001_8" localSheetId="10">#REF!</definedName>
    <definedName name="EH_001_8">#REF!</definedName>
    <definedName name="EH_001_9" localSheetId="23">#REF!</definedName>
    <definedName name="EH_001_9" localSheetId="6">#REF!</definedName>
    <definedName name="EH_001_9" localSheetId="10">#REF!</definedName>
    <definedName name="EH_001_9">#REF!</definedName>
    <definedName name="EH_002_1" localSheetId="23">#REF!</definedName>
    <definedName name="EH_002_1" localSheetId="6">#REF!</definedName>
    <definedName name="EH_002_1" localSheetId="10">#REF!</definedName>
    <definedName name="EH_002_1">#REF!</definedName>
    <definedName name="EH_002_10" localSheetId="23">#REF!</definedName>
    <definedName name="EH_002_10" localSheetId="6">#REF!</definedName>
    <definedName name="EH_002_10" localSheetId="10">#REF!</definedName>
    <definedName name="EH_002_10">#REF!</definedName>
    <definedName name="EH_002_11" localSheetId="23">#REF!</definedName>
    <definedName name="EH_002_11" localSheetId="6">#REF!</definedName>
    <definedName name="EH_002_11" localSheetId="10">#REF!</definedName>
    <definedName name="EH_002_11">#REF!</definedName>
    <definedName name="EH_002_12" localSheetId="23">#REF!</definedName>
    <definedName name="EH_002_12" localSheetId="6">#REF!</definedName>
    <definedName name="EH_002_12" localSheetId="10">#REF!</definedName>
    <definedName name="EH_002_12">#REF!</definedName>
    <definedName name="EH_002_13" localSheetId="23">#REF!</definedName>
    <definedName name="EH_002_13" localSheetId="6">#REF!</definedName>
    <definedName name="EH_002_13" localSheetId="10">#REF!</definedName>
    <definedName name="EH_002_13">#REF!</definedName>
    <definedName name="EH_002_14" localSheetId="23">#REF!</definedName>
    <definedName name="EH_002_14" localSheetId="6">#REF!</definedName>
    <definedName name="EH_002_14" localSheetId="10">#REF!</definedName>
    <definedName name="EH_002_14">#REF!</definedName>
    <definedName name="EH_002_15" localSheetId="23">#REF!</definedName>
    <definedName name="EH_002_15" localSheetId="6">#REF!</definedName>
    <definedName name="EH_002_15" localSheetId="10">#REF!</definedName>
    <definedName name="EH_002_15">#REF!</definedName>
    <definedName name="EH_002_16" localSheetId="23">#REF!</definedName>
    <definedName name="EH_002_16" localSheetId="6">#REF!</definedName>
    <definedName name="EH_002_16" localSheetId="10">#REF!</definedName>
    <definedName name="EH_002_16">#REF!</definedName>
    <definedName name="EH_002_17" localSheetId="23">#REF!</definedName>
    <definedName name="EH_002_17" localSheetId="6">#REF!</definedName>
    <definedName name="EH_002_17" localSheetId="10">#REF!</definedName>
    <definedName name="EH_002_17">#REF!</definedName>
    <definedName name="EH_002_18" localSheetId="23">#REF!</definedName>
    <definedName name="EH_002_18" localSheetId="6">#REF!</definedName>
    <definedName name="EH_002_18" localSheetId="10">#REF!</definedName>
    <definedName name="EH_002_18">#REF!</definedName>
    <definedName name="EH_002_2" localSheetId="23">#REF!</definedName>
    <definedName name="EH_002_2" localSheetId="6">#REF!</definedName>
    <definedName name="EH_002_2" localSheetId="10">#REF!</definedName>
    <definedName name="EH_002_2">#REF!</definedName>
    <definedName name="EH_002_3" localSheetId="23">#REF!</definedName>
    <definedName name="EH_002_3" localSheetId="6">#REF!</definedName>
    <definedName name="EH_002_3" localSheetId="10">#REF!</definedName>
    <definedName name="EH_002_3">#REF!</definedName>
    <definedName name="EH_002_4" localSheetId="23">#REF!</definedName>
    <definedName name="EH_002_4" localSheetId="6">#REF!</definedName>
    <definedName name="EH_002_4" localSheetId="10">#REF!</definedName>
    <definedName name="EH_002_4">#REF!</definedName>
    <definedName name="EH_002_5" localSheetId="23">#REF!</definedName>
    <definedName name="EH_002_5" localSheetId="6">#REF!</definedName>
    <definedName name="EH_002_5" localSheetId="10">#REF!</definedName>
    <definedName name="EH_002_5">#REF!</definedName>
    <definedName name="EH_002_6" localSheetId="23">#REF!</definedName>
    <definedName name="EH_002_6" localSheetId="6">#REF!</definedName>
    <definedName name="EH_002_6" localSheetId="10">#REF!</definedName>
    <definedName name="EH_002_6">#REF!</definedName>
    <definedName name="EH_002_7" localSheetId="23">#REF!</definedName>
    <definedName name="EH_002_7" localSheetId="6">#REF!</definedName>
    <definedName name="EH_002_7" localSheetId="10">#REF!</definedName>
    <definedName name="EH_002_7">#REF!</definedName>
    <definedName name="EH_002_8" localSheetId="23">#REF!</definedName>
    <definedName name="EH_002_8" localSheetId="6">#REF!</definedName>
    <definedName name="EH_002_8" localSheetId="10">#REF!</definedName>
    <definedName name="EH_002_8">#REF!</definedName>
    <definedName name="EH_002_9" localSheetId="23">#REF!</definedName>
    <definedName name="EH_002_9" localSheetId="6">#REF!</definedName>
    <definedName name="EH_002_9" localSheetId="10">#REF!</definedName>
    <definedName name="EH_002_9">#REF!</definedName>
    <definedName name="EI">INDEX('[5] '!$B$1:$B$16,MATCH('[5]  '!$K$127,'[5] '!$A$1:$A$16,0))</definedName>
    <definedName name="EJ">INDEX('[5] '!$B$1:$B$16,MATCH('[5]  '!$K$129,'[5] '!$A$1:$A$16,0))</definedName>
    <definedName name="EK">INDEX('[5] '!$B$1:$B$16,MATCH('[5]  '!$K$131,'[5] '!$A$1:$A$16,0))</definedName>
    <definedName name="EL">INDEX('[5] '!$B$1:$B$16,MATCH('[5]  '!$K$133,'[5] '!$A$1:$A$16,0))</definedName>
    <definedName name="EM">INDEX('[5] '!$B$1:$B$16,MATCH('[5]  '!$K$135,'[5] '!$A$1:$A$16,0))</definedName>
    <definedName name="Em___0" localSheetId="23">#REF!</definedName>
    <definedName name="Em___0" localSheetId="6">#REF!</definedName>
    <definedName name="Em___0" localSheetId="10">#REF!</definedName>
    <definedName name="Em___0">#REF!</definedName>
    <definedName name="Em___13" localSheetId="23">#REF!</definedName>
    <definedName name="Em___13" localSheetId="6">#REF!</definedName>
    <definedName name="Em___13" localSheetId="10">#REF!</definedName>
    <definedName name="Em___13">#REF!</definedName>
    <definedName name="EM_001_1" localSheetId="23">#REF!</definedName>
    <definedName name="EM_001_1" localSheetId="6">#REF!</definedName>
    <definedName name="EM_001_1" localSheetId="10">#REF!</definedName>
    <definedName name="EM_001_1">#REF!</definedName>
    <definedName name="EM_001_10" localSheetId="23">#REF!</definedName>
    <definedName name="EM_001_10" localSheetId="6">#REF!</definedName>
    <definedName name="EM_001_10" localSheetId="10">#REF!</definedName>
    <definedName name="EM_001_10">#REF!</definedName>
    <definedName name="EM_001_11" localSheetId="23">#REF!</definedName>
    <definedName name="EM_001_11" localSheetId="6">#REF!</definedName>
    <definedName name="EM_001_11" localSheetId="10">#REF!</definedName>
    <definedName name="EM_001_11">#REF!</definedName>
    <definedName name="EM_001_12" localSheetId="23">#REF!</definedName>
    <definedName name="EM_001_12" localSheetId="6">#REF!</definedName>
    <definedName name="EM_001_12" localSheetId="10">#REF!</definedName>
    <definedName name="EM_001_12">#REF!</definedName>
    <definedName name="EM_001_13" localSheetId="23">#REF!</definedName>
    <definedName name="EM_001_13" localSheetId="6">#REF!</definedName>
    <definedName name="EM_001_13" localSheetId="10">#REF!</definedName>
    <definedName name="EM_001_13">#REF!</definedName>
    <definedName name="EM_001_14" localSheetId="23">#REF!</definedName>
    <definedName name="EM_001_14" localSheetId="6">#REF!</definedName>
    <definedName name="EM_001_14" localSheetId="10">#REF!</definedName>
    <definedName name="EM_001_14">#REF!</definedName>
    <definedName name="EM_001_15" localSheetId="23">#REF!</definedName>
    <definedName name="EM_001_15" localSheetId="6">#REF!</definedName>
    <definedName name="EM_001_15" localSheetId="10">#REF!</definedName>
    <definedName name="EM_001_15">#REF!</definedName>
    <definedName name="EM_001_16" localSheetId="23">#REF!</definedName>
    <definedName name="EM_001_16" localSheetId="6">#REF!</definedName>
    <definedName name="EM_001_16" localSheetId="10">#REF!</definedName>
    <definedName name="EM_001_16">#REF!</definedName>
    <definedName name="EM_001_17" localSheetId="23">#REF!</definedName>
    <definedName name="EM_001_17" localSheetId="6">#REF!</definedName>
    <definedName name="EM_001_17" localSheetId="10">#REF!</definedName>
    <definedName name="EM_001_17">#REF!</definedName>
    <definedName name="EM_001_18" localSheetId="23">#REF!</definedName>
    <definedName name="EM_001_18" localSheetId="6">#REF!</definedName>
    <definedName name="EM_001_18" localSheetId="10">#REF!</definedName>
    <definedName name="EM_001_18">#REF!</definedName>
    <definedName name="EM_001_2" localSheetId="23">#REF!</definedName>
    <definedName name="EM_001_2" localSheetId="6">#REF!</definedName>
    <definedName name="EM_001_2" localSheetId="10">#REF!</definedName>
    <definedName name="EM_001_2">#REF!</definedName>
    <definedName name="EM_001_3" localSheetId="23">#REF!</definedName>
    <definedName name="EM_001_3" localSheetId="6">#REF!</definedName>
    <definedName name="EM_001_3" localSheetId="10">#REF!</definedName>
    <definedName name="EM_001_3">#REF!</definedName>
    <definedName name="EM_001_4" localSheetId="23">#REF!</definedName>
    <definedName name="EM_001_4" localSheetId="6">#REF!</definedName>
    <definedName name="EM_001_4" localSheetId="10">#REF!</definedName>
    <definedName name="EM_001_4">#REF!</definedName>
    <definedName name="EM_001_5" localSheetId="23">#REF!</definedName>
    <definedName name="EM_001_5" localSheetId="6">#REF!</definedName>
    <definedName name="EM_001_5" localSheetId="10">#REF!</definedName>
    <definedName name="EM_001_5">#REF!</definedName>
    <definedName name="EM_001_6" localSheetId="23">#REF!</definedName>
    <definedName name="EM_001_6" localSheetId="6">#REF!</definedName>
    <definedName name="EM_001_6" localSheetId="10">#REF!</definedName>
    <definedName name="EM_001_6">#REF!</definedName>
    <definedName name="EM_001_7" localSheetId="23">#REF!</definedName>
    <definedName name="EM_001_7" localSheetId="6">#REF!</definedName>
    <definedName name="EM_001_7" localSheetId="10">#REF!</definedName>
    <definedName name="EM_001_7">#REF!</definedName>
    <definedName name="EM_001_8" localSheetId="23">#REF!</definedName>
    <definedName name="EM_001_8" localSheetId="6">#REF!</definedName>
    <definedName name="EM_001_8" localSheetId="10">#REF!</definedName>
    <definedName name="EM_001_8">#REF!</definedName>
    <definedName name="EM_001_9" localSheetId="23">#REF!</definedName>
    <definedName name="EM_001_9" localSheetId="6">#REF!</definedName>
    <definedName name="EM_001_9" localSheetId="10">#REF!</definedName>
    <definedName name="EM_001_9">#REF!</definedName>
    <definedName name="EM_002_1" localSheetId="23">#REF!</definedName>
    <definedName name="EM_002_1" localSheetId="6">#REF!</definedName>
    <definedName name="EM_002_1" localSheetId="10">#REF!</definedName>
    <definedName name="EM_002_1">#REF!</definedName>
    <definedName name="EM_002_10" localSheetId="23">#REF!</definedName>
    <definedName name="EM_002_10" localSheetId="6">#REF!</definedName>
    <definedName name="EM_002_10" localSheetId="10">#REF!</definedName>
    <definedName name="EM_002_10">#REF!</definedName>
    <definedName name="EM_002_11" localSheetId="23">#REF!</definedName>
    <definedName name="EM_002_11" localSheetId="6">#REF!</definedName>
    <definedName name="EM_002_11" localSheetId="10">#REF!</definedName>
    <definedName name="EM_002_11">#REF!</definedName>
    <definedName name="EM_002_12" localSheetId="23">#REF!</definedName>
    <definedName name="EM_002_12" localSheetId="6">#REF!</definedName>
    <definedName name="EM_002_12" localSheetId="10">#REF!</definedName>
    <definedName name="EM_002_12">#REF!</definedName>
    <definedName name="EM_002_13" localSheetId="23">#REF!</definedName>
    <definedName name="EM_002_13" localSheetId="6">#REF!</definedName>
    <definedName name="EM_002_13" localSheetId="10">#REF!</definedName>
    <definedName name="EM_002_13">#REF!</definedName>
    <definedName name="EM_002_14" localSheetId="23">#REF!</definedName>
    <definedName name="EM_002_14" localSheetId="6">#REF!</definedName>
    <definedName name="EM_002_14" localSheetId="10">#REF!</definedName>
    <definedName name="EM_002_14">#REF!</definedName>
    <definedName name="EM_002_15" localSheetId="23">#REF!</definedName>
    <definedName name="EM_002_15" localSheetId="6">#REF!</definedName>
    <definedName name="EM_002_15" localSheetId="10">#REF!</definedName>
    <definedName name="EM_002_15">#REF!</definedName>
    <definedName name="EM_002_16" localSheetId="23">#REF!</definedName>
    <definedName name="EM_002_16" localSheetId="6">#REF!</definedName>
    <definedName name="EM_002_16" localSheetId="10">#REF!</definedName>
    <definedName name="EM_002_16">#REF!</definedName>
    <definedName name="EM_002_17" localSheetId="23">#REF!</definedName>
    <definedName name="EM_002_17" localSheetId="6">#REF!</definedName>
    <definedName name="EM_002_17" localSheetId="10">#REF!</definedName>
    <definedName name="EM_002_17">#REF!</definedName>
    <definedName name="EM_002_18" localSheetId="23">#REF!</definedName>
    <definedName name="EM_002_18" localSheetId="6">#REF!</definedName>
    <definedName name="EM_002_18" localSheetId="10">#REF!</definedName>
    <definedName name="EM_002_18">#REF!</definedName>
    <definedName name="EM_002_2" localSheetId="23">#REF!</definedName>
    <definedName name="EM_002_2" localSheetId="6">#REF!</definedName>
    <definedName name="EM_002_2" localSheetId="10">#REF!</definedName>
    <definedName name="EM_002_2">#REF!</definedName>
    <definedName name="EM_002_3" localSheetId="23">#REF!</definedName>
    <definedName name="EM_002_3" localSheetId="6">#REF!</definedName>
    <definedName name="EM_002_3" localSheetId="10">#REF!</definedName>
    <definedName name="EM_002_3">#REF!</definedName>
    <definedName name="EM_002_4" localSheetId="23">#REF!</definedName>
    <definedName name="EM_002_4" localSheetId="6">#REF!</definedName>
    <definedName name="EM_002_4" localSheetId="10">#REF!</definedName>
    <definedName name="EM_002_4">#REF!</definedName>
    <definedName name="EM_002_5" localSheetId="23">#REF!</definedName>
    <definedName name="EM_002_5" localSheetId="6">#REF!</definedName>
    <definedName name="EM_002_5" localSheetId="10">#REF!</definedName>
    <definedName name="EM_002_5">#REF!</definedName>
    <definedName name="EM_002_6" localSheetId="23">#REF!</definedName>
    <definedName name="EM_002_6" localSheetId="6">#REF!</definedName>
    <definedName name="EM_002_6" localSheetId="10">#REF!</definedName>
    <definedName name="EM_002_6">#REF!</definedName>
    <definedName name="EM_002_7" localSheetId="23">#REF!</definedName>
    <definedName name="EM_002_7" localSheetId="6">#REF!</definedName>
    <definedName name="EM_002_7" localSheetId="10">#REF!</definedName>
    <definedName name="EM_002_7">#REF!</definedName>
    <definedName name="EM_002_8" localSheetId="23">#REF!</definedName>
    <definedName name="EM_002_8" localSheetId="6">#REF!</definedName>
    <definedName name="EM_002_8" localSheetId="10">#REF!</definedName>
    <definedName name="EM_002_8">#REF!</definedName>
    <definedName name="EM_002_9" localSheetId="23">#REF!</definedName>
    <definedName name="EM_002_9" localSheetId="6">#REF!</definedName>
    <definedName name="EM_002_9" localSheetId="10">#REF!</definedName>
    <definedName name="EM_002_9">#REF!</definedName>
    <definedName name="EM_003_1" localSheetId="23">#REF!</definedName>
    <definedName name="EM_003_1" localSheetId="6">#REF!</definedName>
    <definedName name="EM_003_1" localSheetId="10">#REF!</definedName>
    <definedName name="EM_003_1">#REF!</definedName>
    <definedName name="EM_003_10" localSheetId="23">#REF!</definedName>
    <definedName name="EM_003_10" localSheetId="6">#REF!</definedName>
    <definedName name="EM_003_10" localSheetId="10">#REF!</definedName>
    <definedName name="EM_003_10">#REF!</definedName>
    <definedName name="EM_003_11" localSheetId="23">#REF!</definedName>
    <definedName name="EM_003_11" localSheetId="6">#REF!</definedName>
    <definedName name="EM_003_11" localSheetId="10">#REF!</definedName>
    <definedName name="EM_003_11">#REF!</definedName>
    <definedName name="EM_003_12" localSheetId="23">#REF!</definedName>
    <definedName name="EM_003_12" localSheetId="6">#REF!</definedName>
    <definedName name="EM_003_12" localSheetId="10">#REF!</definedName>
    <definedName name="EM_003_12">#REF!</definedName>
    <definedName name="EM_003_13" localSheetId="23">#REF!</definedName>
    <definedName name="EM_003_13" localSheetId="6">#REF!</definedName>
    <definedName name="EM_003_13" localSheetId="10">#REF!</definedName>
    <definedName name="EM_003_13">#REF!</definedName>
    <definedName name="EM_003_14" localSheetId="23">#REF!</definedName>
    <definedName name="EM_003_14" localSheetId="6">#REF!</definedName>
    <definedName name="EM_003_14" localSheetId="10">#REF!</definedName>
    <definedName name="EM_003_14">#REF!</definedName>
    <definedName name="EM_003_15" localSheetId="23">#REF!</definedName>
    <definedName name="EM_003_15" localSheetId="6">#REF!</definedName>
    <definedName name="EM_003_15" localSheetId="10">#REF!</definedName>
    <definedName name="EM_003_15">#REF!</definedName>
    <definedName name="EM_003_16" localSheetId="23">#REF!</definedName>
    <definedName name="EM_003_16" localSheetId="6">#REF!</definedName>
    <definedName name="EM_003_16" localSheetId="10">#REF!</definedName>
    <definedName name="EM_003_16">#REF!</definedName>
    <definedName name="EM_003_17" localSheetId="23">#REF!</definedName>
    <definedName name="EM_003_17" localSheetId="6">#REF!</definedName>
    <definedName name="EM_003_17" localSheetId="10">#REF!</definedName>
    <definedName name="EM_003_17">#REF!</definedName>
    <definedName name="EM_003_18" localSheetId="23">#REF!</definedName>
    <definedName name="EM_003_18" localSheetId="6">#REF!</definedName>
    <definedName name="EM_003_18" localSheetId="10">#REF!</definedName>
    <definedName name="EM_003_18">#REF!</definedName>
    <definedName name="EM_003_2" localSheetId="23">#REF!</definedName>
    <definedName name="EM_003_2" localSheetId="6">#REF!</definedName>
    <definedName name="EM_003_2" localSheetId="10">#REF!</definedName>
    <definedName name="EM_003_2">#REF!</definedName>
    <definedName name="EM_003_3" localSheetId="23">#REF!</definedName>
    <definedName name="EM_003_3" localSheetId="6">#REF!</definedName>
    <definedName name="EM_003_3" localSheetId="10">#REF!</definedName>
    <definedName name="EM_003_3">#REF!</definedName>
    <definedName name="EM_003_4" localSheetId="23">#REF!</definedName>
    <definedName name="EM_003_4" localSheetId="6">#REF!</definedName>
    <definedName name="EM_003_4" localSheetId="10">#REF!</definedName>
    <definedName name="EM_003_4">#REF!</definedName>
    <definedName name="EM_003_5" localSheetId="23">#REF!</definedName>
    <definedName name="EM_003_5" localSheetId="6">#REF!</definedName>
    <definedName name="EM_003_5" localSheetId="10">#REF!</definedName>
    <definedName name="EM_003_5">#REF!</definedName>
    <definedName name="EM_003_6" localSheetId="23">#REF!</definedName>
    <definedName name="EM_003_6" localSheetId="6">#REF!</definedName>
    <definedName name="EM_003_6" localSheetId="10">#REF!</definedName>
    <definedName name="EM_003_6">#REF!</definedName>
    <definedName name="EM_003_7" localSheetId="23">#REF!</definedName>
    <definedName name="EM_003_7" localSheetId="6">#REF!</definedName>
    <definedName name="EM_003_7" localSheetId="10">#REF!</definedName>
    <definedName name="EM_003_7">#REF!</definedName>
    <definedName name="EM_003_8" localSheetId="23">#REF!</definedName>
    <definedName name="EM_003_8" localSheetId="6">#REF!</definedName>
    <definedName name="EM_003_8" localSheetId="10">#REF!</definedName>
    <definedName name="EM_003_8">#REF!</definedName>
    <definedName name="EM_003_9" localSheetId="23">#REF!</definedName>
    <definedName name="EM_003_9" localSheetId="6">#REF!</definedName>
    <definedName name="EM_003_9" localSheetId="10">#REF!</definedName>
    <definedName name="EM_003_9">#REF!</definedName>
    <definedName name="EM_004_1" localSheetId="23">#REF!</definedName>
    <definedName name="EM_004_1" localSheetId="6">#REF!</definedName>
    <definedName name="EM_004_1" localSheetId="10">#REF!</definedName>
    <definedName name="EM_004_1">#REF!</definedName>
    <definedName name="EM_004_10" localSheetId="23">#REF!</definedName>
    <definedName name="EM_004_10" localSheetId="6">#REF!</definedName>
    <definedName name="EM_004_10" localSheetId="10">#REF!</definedName>
    <definedName name="EM_004_10">#REF!</definedName>
    <definedName name="EM_004_11" localSheetId="23">#REF!</definedName>
    <definedName name="EM_004_11" localSheetId="6">#REF!</definedName>
    <definedName name="EM_004_11" localSheetId="10">#REF!</definedName>
    <definedName name="EM_004_11">#REF!</definedName>
    <definedName name="EM_004_12" localSheetId="23">#REF!</definedName>
    <definedName name="EM_004_12" localSheetId="6">#REF!</definedName>
    <definedName name="EM_004_12" localSheetId="10">#REF!</definedName>
    <definedName name="EM_004_12">#REF!</definedName>
    <definedName name="EM_004_13" localSheetId="23">#REF!</definedName>
    <definedName name="EM_004_13" localSheetId="6">#REF!</definedName>
    <definedName name="EM_004_13" localSheetId="10">#REF!</definedName>
    <definedName name="EM_004_13">#REF!</definedName>
    <definedName name="EM_004_14" localSheetId="23">#REF!</definedName>
    <definedName name="EM_004_14" localSheetId="6">#REF!</definedName>
    <definedName name="EM_004_14" localSheetId="10">#REF!</definedName>
    <definedName name="EM_004_14">#REF!</definedName>
    <definedName name="EM_004_15" localSheetId="23">#REF!</definedName>
    <definedName name="EM_004_15" localSheetId="6">#REF!</definedName>
    <definedName name="EM_004_15" localSheetId="10">#REF!</definedName>
    <definedName name="EM_004_15">#REF!</definedName>
    <definedName name="EM_004_16" localSheetId="23">#REF!</definedName>
    <definedName name="EM_004_16" localSheetId="6">#REF!</definedName>
    <definedName name="EM_004_16" localSheetId="10">#REF!</definedName>
    <definedName name="EM_004_16">#REF!</definedName>
    <definedName name="EM_004_17" localSheetId="23">#REF!</definedName>
    <definedName name="EM_004_17" localSheetId="6">#REF!</definedName>
    <definedName name="EM_004_17" localSheetId="10">#REF!</definedName>
    <definedName name="EM_004_17">#REF!</definedName>
    <definedName name="EM_004_18" localSheetId="23">#REF!</definedName>
    <definedName name="EM_004_18" localSheetId="6">#REF!</definedName>
    <definedName name="EM_004_18" localSheetId="10">#REF!</definedName>
    <definedName name="EM_004_18">#REF!</definedName>
    <definedName name="EM_004_2" localSheetId="23">#REF!</definedName>
    <definedName name="EM_004_2" localSheetId="6">#REF!</definedName>
    <definedName name="EM_004_2" localSheetId="10">#REF!</definedName>
    <definedName name="EM_004_2">#REF!</definedName>
    <definedName name="EM_004_3" localSheetId="23">#REF!</definedName>
    <definedName name="EM_004_3" localSheetId="6">#REF!</definedName>
    <definedName name="EM_004_3" localSheetId="10">#REF!</definedName>
    <definedName name="EM_004_3">#REF!</definedName>
    <definedName name="EM_004_4" localSheetId="23">#REF!</definedName>
    <definedName name="EM_004_4" localSheetId="6">#REF!</definedName>
    <definedName name="EM_004_4" localSheetId="10">#REF!</definedName>
    <definedName name="EM_004_4">#REF!</definedName>
    <definedName name="EM_004_5" localSheetId="23">#REF!</definedName>
    <definedName name="EM_004_5" localSheetId="6">#REF!</definedName>
    <definedName name="EM_004_5" localSheetId="10">#REF!</definedName>
    <definedName name="EM_004_5">#REF!</definedName>
    <definedName name="EM_004_6" localSheetId="23">#REF!</definedName>
    <definedName name="EM_004_6" localSheetId="6">#REF!</definedName>
    <definedName name="EM_004_6" localSheetId="10">#REF!</definedName>
    <definedName name="EM_004_6">#REF!</definedName>
    <definedName name="EM_004_7" localSheetId="23">#REF!</definedName>
    <definedName name="EM_004_7" localSheetId="6">#REF!</definedName>
    <definedName name="EM_004_7" localSheetId="10">#REF!</definedName>
    <definedName name="EM_004_7">#REF!</definedName>
    <definedName name="EM_004_8" localSheetId="23">#REF!</definedName>
    <definedName name="EM_004_8" localSheetId="6">#REF!</definedName>
    <definedName name="EM_004_8" localSheetId="10">#REF!</definedName>
    <definedName name="EM_004_8">#REF!</definedName>
    <definedName name="EM_004_9" localSheetId="23">#REF!</definedName>
    <definedName name="EM_004_9" localSheetId="6">#REF!</definedName>
    <definedName name="EM_004_9" localSheetId="10">#REF!</definedName>
    <definedName name="EM_004_9">#REF!</definedName>
    <definedName name="EM_005_1" localSheetId="23">#REF!</definedName>
    <definedName name="EM_005_1" localSheetId="6">#REF!</definedName>
    <definedName name="EM_005_1" localSheetId="10">#REF!</definedName>
    <definedName name="EM_005_1">#REF!</definedName>
    <definedName name="EM_005_10" localSheetId="23">#REF!</definedName>
    <definedName name="EM_005_10" localSheetId="6">#REF!</definedName>
    <definedName name="EM_005_10" localSheetId="10">#REF!</definedName>
    <definedName name="EM_005_10">#REF!</definedName>
    <definedName name="EM_005_11" localSheetId="23">#REF!</definedName>
    <definedName name="EM_005_11" localSheetId="6">#REF!</definedName>
    <definedName name="EM_005_11" localSheetId="10">#REF!</definedName>
    <definedName name="EM_005_11">#REF!</definedName>
    <definedName name="EM_005_12" localSheetId="23">#REF!</definedName>
    <definedName name="EM_005_12" localSheetId="6">#REF!</definedName>
    <definedName name="EM_005_12" localSheetId="10">#REF!</definedName>
    <definedName name="EM_005_12">#REF!</definedName>
    <definedName name="EM_005_13" localSheetId="23">#REF!</definedName>
    <definedName name="EM_005_13" localSheetId="6">#REF!</definedName>
    <definedName name="EM_005_13" localSheetId="10">#REF!</definedName>
    <definedName name="EM_005_13">#REF!</definedName>
    <definedName name="EM_005_14" localSheetId="23">#REF!</definedName>
    <definedName name="EM_005_14" localSheetId="6">#REF!</definedName>
    <definedName name="EM_005_14" localSheetId="10">#REF!</definedName>
    <definedName name="EM_005_14">#REF!</definedName>
    <definedName name="EM_005_15" localSheetId="23">#REF!</definedName>
    <definedName name="EM_005_15" localSheetId="6">#REF!</definedName>
    <definedName name="EM_005_15" localSheetId="10">#REF!</definedName>
    <definedName name="EM_005_15">#REF!</definedName>
    <definedName name="EM_005_16" localSheetId="23">#REF!</definedName>
    <definedName name="EM_005_16" localSheetId="6">#REF!</definedName>
    <definedName name="EM_005_16" localSheetId="10">#REF!</definedName>
    <definedName name="EM_005_16">#REF!</definedName>
    <definedName name="EM_005_17" localSheetId="23">#REF!</definedName>
    <definedName name="EM_005_17" localSheetId="6">#REF!</definedName>
    <definedName name="EM_005_17" localSheetId="10">#REF!</definedName>
    <definedName name="EM_005_17">#REF!</definedName>
    <definedName name="EM_005_18" localSheetId="23">#REF!</definedName>
    <definedName name="EM_005_18" localSheetId="6">#REF!</definedName>
    <definedName name="EM_005_18" localSheetId="10">#REF!</definedName>
    <definedName name="EM_005_18">#REF!</definedName>
    <definedName name="EM_005_2" localSheetId="23">#REF!</definedName>
    <definedName name="EM_005_2" localSheetId="6">#REF!</definedName>
    <definedName name="EM_005_2" localSheetId="10">#REF!</definedName>
    <definedName name="EM_005_2">#REF!</definedName>
    <definedName name="EM_005_3" localSheetId="23">#REF!</definedName>
    <definedName name="EM_005_3" localSheetId="6">#REF!</definedName>
    <definedName name="EM_005_3" localSheetId="10">#REF!</definedName>
    <definedName name="EM_005_3">#REF!</definedName>
    <definedName name="EM_005_4" localSheetId="23">#REF!</definedName>
    <definedName name="EM_005_4" localSheetId="6">#REF!</definedName>
    <definedName name="EM_005_4" localSheetId="10">#REF!</definedName>
    <definedName name="EM_005_4">#REF!</definedName>
    <definedName name="EM_005_5" localSheetId="23">#REF!</definedName>
    <definedName name="EM_005_5" localSheetId="6">#REF!</definedName>
    <definedName name="EM_005_5" localSheetId="10">#REF!</definedName>
    <definedName name="EM_005_5">#REF!</definedName>
    <definedName name="EM_005_6" localSheetId="23">#REF!</definedName>
    <definedName name="EM_005_6" localSheetId="6">#REF!</definedName>
    <definedName name="EM_005_6" localSheetId="10">#REF!</definedName>
    <definedName name="EM_005_6">#REF!</definedName>
    <definedName name="EM_005_7" localSheetId="23">#REF!</definedName>
    <definedName name="EM_005_7" localSheetId="6">#REF!</definedName>
    <definedName name="EM_005_7" localSheetId="10">#REF!</definedName>
    <definedName name="EM_005_7">#REF!</definedName>
    <definedName name="EM_005_8" localSheetId="23">#REF!</definedName>
    <definedName name="EM_005_8" localSheetId="6">#REF!</definedName>
    <definedName name="EM_005_8" localSheetId="10">#REF!</definedName>
    <definedName name="EM_005_8">#REF!</definedName>
    <definedName name="EM_005_9" localSheetId="23">#REF!</definedName>
    <definedName name="EM_005_9" localSheetId="6">#REF!</definedName>
    <definedName name="EM_005_9" localSheetId="10">#REF!</definedName>
    <definedName name="EM_005_9">#REF!</definedName>
    <definedName name="EM_006_1" localSheetId="23">#REF!</definedName>
    <definedName name="EM_006_1" localSheetId="6">#REF!</definedName>
    <definedName name="EM_006_1" localSheetId="10">#REF!</definedName>
    <definedName name="EM_006_1">#REF!</definedName>
    <definedName name="EM_006_10" localSheetId="23">#REF!</definedName>
    <definedName name="EM_006_10" localSheetId="6">#REF!</definedName>
    <definedName name="EM_006_10" localSheetId="10">#REF!</definedName>
    <definedName name="EM_006_10">#REF!</definedName>
    <definedName name="EM_006_11" localSheetId="23">#REF!</definedName>
    <definedName name="EM_006_11" localSheetId="6">#REF!</definedName>
    <definedName name="EM_006_11" localSheetId="10">#REF!</definedName>
    <definedName name="EM_006_11">#REF!</definedName>
    <definedName name="EM_006_12" localSheetId="23">#REF!</definedName>
    <definedName name="EM_006_12" localSheetId="6">#REF!</definedName>
    <definedName name="EM_006_12" localSheetId="10">#REF!</definedName>
    <definedName name="EM_006_12">#REF!</definedName>
    <definedName name="EM_006_13" localSheetId="23">#REF!</definedName>
    <definedName name="EM_006_13" localSheetId="6">#REF!</definedName>
    <definedName name="EM_006_13" localSheetId="10">#REF!</definedName>
    <definedName name="EM_006_13">#REF!</definedName>
    <definedName name="EM_006_14" localSheetId="23">#REF!</definedName>
    <definedName name="EM_006_14" localSheetId="6">#REF!</definedName>
    <definedName name="EM_006_14" localSheetId="10">#REF!</definedName>
    <definedName name="EM_006_14">#REF!</definedName>
    <definedName name="EM_006_15" localSheetId="23">#REF!</definedName>
    <definedName name="EM_006_15" localSheetId="6">#REF!</definedName>
    <definedName name="EM_006_15" localSheetId="10">#REF!</definedName>
    <definedName name="EM_006_15">#REF!</definedName>
    <definedName name="EM_006_16" localSheetId="23">#REF!</definedName>
    <definedName name="EM_006_16" localSheetId="6">#REF!</definedName>
    <definedName name="EM_006_16" localSheetId="10">#REF!</definedName>
    <definedName name="EM_006_16">#REF!</definedName>
    <definedName name="EM_006_17" localSheetId="23">#REF!</definedName>
    <definedName name="EM_006_17" localSheetId="6">#REF!</definedName>
    <definedName name="EM_006_17" localSheetId="10">#REF!</definedName>
    <definedName name="EM_006_17">#REF!</definedName>
    <definedName name="EM_006_18" localSheetId="23">#REF!</definedName>
    <definedName name="EM_006_18" localSheetId="6">#REF!</definedName>
    <definedName name="EM_006_18" localSheetId="10">#REF!</definedName>
    <definedName name="EM_006_18">#REF!</definedName>
    <definedName name="EM_006_2" localSheetId="23">#REF!</definedName>
    <definedName name="EM_006_2" localSheetId="6">#REF!</definedName>
    <definedName name="EM_006_2" localSheetId="10">#REF!</definedName>
    <definedName name="EM_006_2">#REF!</definedName>
    <definedName name="EM_006_3" localSheetId="23">#REF!</definedName>
    <definedName name="EM_006_3" localSheetId="6">#REF!</definedName>
    <definedName name="EM_006_3" localSheetId="10">#REF!</definedName>
    <definedName name="EM_006_3">#REF!</definedName>
    <definedName name="EM_006_4" localSheetId="23">#REF!</definedName>
    <definedName name="EM_006_4" localSheetId="6">#REF!</definedName>
    <definedName name="EM_006_4" localSheetId="10">#REF!</definedName>
    <definedName name="EM_006_4">#REF!</definedName>
    <definedName name="EM_006_5" localSheetId="23">#REF!</definedName>
    <definedName name="EM_006_5" localSheetId="6">#REF!</definedName>
    <definedName name="EM_006_5" localSheetId="10">#REF!</definedName>
    <definedName name="EM_006_5">#REF!</definedName>
    <definedName name="EM_006_6" localSheetId="23">#REF!</definedName>
    <definedName name="EM_006_6" localSheetId="6">#REF!</definedName>
    <definedName name="EM_006_6" localSheetId="10">#REF!</definedName>
    <definedName name="EM_006_6">#REF!</definedName>
    <definedName name="EM_006_7" localSheetId="23">#REF!</definedName>
    <definedName name="EM_006_7" localSheetId="6">#REF!</definedName>
    <definedName name="EM_006_7" localSheetId="10">#REF!</definedName>
    <definedName name="EM_006_7">#REF!</definedName>
    <definedName name="EM_006_8" localSheetId="23">#REF!</definedName>
    <definedName name="EM_006_8" localSheetId="6">#REF!</definedName>
    <definedName name="EM_006_8" localSheetId="10">#REF!</definedName>
    <definedName name="EM_006_8">#REF!</definedName>
    <definedName name="EM_006_9" localSheetId="23">#REF!</definedName>
    <definedName name="EM_006_9" localSheetId="6">#REF!</definedName>
    <definedName name="EM_006_9" localSheetId="10">#REF!</definedName>
    <definedName name="EM_006_9">#REF!</definedName>
    <definedName name="EM_007_1" localSheetId="23">#REF!</definedName>
    <definedName name="EM_007_1" localSheetId="6">#REF!</definedName>
    <definedName name="EM_007_1" localSheetId="10">#REF!</definedName>
    <definedName name="EM_007_1">#REF!</definedName>
    <definedName name="EM_007_10" localSheetId="23">#REF!</definedName>
    <definedName name="EM_007_10" localSheetId="6">#REF!</definedName>
    <definedName name="EM_007_10" localSheetId="10">#REF!</definedName>
    <definedName name="EM_007_10">#REF!</definedName>
    <definedName name="EM_007_11" localSheetId="23">#REF!</definedName>
    <definedName name="EM_007_11" localSheetId="6">#REF!</definedName>
    <definedName name="EM_007_11" localSheetId="10">#REF!</definedName>
    <definedName name="EM_007_11">#REF!</definedName>
    <definedName name="EM_007_12" localSheetId="23">#REF!</definedName>
    <definedName name="EM_007_12" localSheetId="6">#REF!</definedName>
    <definedName name="EM_007_12" localSheetId="10">#REF!</definedName>
    <definedName name="EM_007_12">#REF!</definedName>
    <definedName name="EM_007_13" localSheetId="23">#REF!</definedName>
    <definedName name="EM_007_13" localSheetId="6">#REF!</definedName>
    <definedName name="EM_007_13" localSheetId="10">#REF!</definedName>
    <definedName name="EM_007_13">#REF!</definedName>
    <definedName name="EM_007_14" localSheetId="23">#REF!</definedName>
    <definedName name="EM_007_14" localSheetId="6">#REF!</definedName>
    <definedName name="EM_007_14" localSheetId="10">#REF!</definedName>
    <definedName name="EM_007_14">#REF!</definedName>
    <definedName name="EM_007_15" localSheetId="23">#REF!</definedName>
    <definedName name="EM_007_15" localSheetId="6">#REF!</definedName>
    <definedName name="EM_007_15" localSheetId="10">#REF!</definedName>
    <definedName name="EM_007_15">#REF!</definedName>
    <definedName name="EM_007_16" localSheetId="23">#REF!</definedName>
    <definedName name="EM_007_16" localSheetId="6">#REF!</definedName>
    <definedName name="EM_007_16" localSheetId="10">#REF!</definedName>
    <definedName name="EM_007_16">#REF!</definedName>
    <definedName name="EM_007_17" localSheetId="23">#REF!</definedName>
    <definedName name="EM_007_17" localSheetId="6">#REF!</definedName>
    <definedName name="EM_007_17" localSheetId="10">#REF!</definedName>
    <definedName name="EM_007_17">#REF!</definedName>
    <definedName name="EM_007_18" localSheetId="23">#REF!</definedName>
    <definedName name="EM_007_18" localSheetId="6">#REF!</definedName>
    <definedName name="EM_007_18" localSheetId="10">#REF!</definedName>
    <definedName name="EM_007_18">#REF!</definedName>
    <definedName name="EM_007_2" localSheetId="23">#REF!</definedName>
    <definedName name="EM_007_2" localSheetId="6">#REF!</definedName>
    <definedName name="EM_007_2" localSheetId="10">#REF!</definedName>
    <definedName name="EM_007_2">#REF!</definedName>
    <definedName name="EM_007_3" localSheetId="23">#REF!</definedName>
    <definedName name="EM_007_3" localSheetId="6">#REF!</definedName>
    <definedName name="EM_007_3" localSheetId="10">#REF!</definedName>
    <definedName name="EM_007_3">#REF!</definedName>
    <definedName name="EM_007_4" localSheetId="23">#REF!</definedName>
    <definedName name="EM_007_4" localSheetId="6">#REF!</definedName>
    <definedName name="EM_007_4" localSheetId="10">#REF!</definedName>
    <definedName name="EM_007_4">#REF!</definedName>
    <definedName name="EM_007_5" localSheetId="23">#REF!</definedName>
    <definedName name="EM_007_5" localSheetId="6">#REF!</definedName>
    <definedName name="EM_007_5" localSheetId="10">#REF!</definedName>
    <definedName name="EM_007_5">#REF!</definedName>
    <definedName name="EM_007_6" localSheetId="23">#REF!</definedName>
    <definedName name="EM_007_6" localSheetId="6">#REF!</definedName>
    <definedName name="EM_007_6" localSheetId="10">#REF!</definedName>
    <definedName name="EM_007_6">#REF!</definedName>
    <definedName name="EM_007_7" localSheetId="23">#REF!</definedName>
    <definedName name="EM_007_7" localSheetId="6">#REF!</definedName>
    <definedName name="EM_007_7" localSheetId="10">#REF!</definedName>
    <definedName name="EM_007_7">#REF!</definedName>
    <definedName name="EM_007_8" localSheetId="23">#REF!</definedName>
    <definedName name="EM_007_8" localSheetId="6">#REF!</definedName>
    <definedName name="EM_007_8" localSheetId="10">#REF!</definedName>
    <definedName name="EM_007_8">#REF!</definedName>
    <definedName name="EM_007_9" localSheetId="23">#REF!</definedName>
    <definedName name="EM_007_9" localSheetId="6">#REF!</definedName>
    <definedName name="EM_007_9" localSheetId="10">#REF!</definedName>
    <definedName name="EM_007_9">#REF!</definedName>
    <definedName name="EM_008_1" localSheetId="23">#REF!</definedName>
    <definedName name="EM_008_1" localSheetId="6">#REF!</definedName>
    <definedName name="EM_008_1" localSheetId="10">#REF!</definedName>
    <definedName name="EM_008_1">#REF!</definedName>
    <definedName name="EM_008_10" localSheetId="23">#REF!</definedName>
    <definedName name="EM_008_10" localSheetId="6">#REF!</definedName>
    <definedName name="EM_008_10" localSheetId="10">#REF!</definedName>
    <definedName name="EM_008_10">#REF!</definedName>
    <definedName name="EM_008_11" localSheetId="23">#REF!</definedName>
    <definedName name="EM_008_11" localSheetId="6">#REF!</definedName>
    <definedName name="EM_008_11" localSheetId="10">#REF!</definedName>
    <definedName name="EM_008_11">#REF!</definedName>
    <definedName name="EM_008_12" localSheetId="23">#REF!</definedName>
    <definedName name="EM_008_12" localSheetId="6">#REF!</definedName>
    <definedName name="EM_008_12" localSheetId="10">#REF!</definedName>
    <definedName name="EM_008_12">#REF!</definedName>
    <definedName name="EM_008_13" localSheetId="23">#REF!</definedName>
    <definedName name="EM_008_13" localSheetId="6">#REF!</definedName>
    <definedName name="EM_008_13" localSheetId="10">#REF!</definedName>
    <definedName name="EM_008_13">#REF!</definedName>
    <definedName name="EM_008_14" localSheetId="23">#REF!</definedName>
    <definedName name="EM_008_14" localSheetId="6">#REF!</definedName>
    <definedName name="EM_008_14" localSheetId="10">#REF!</definedName>
    <definedName name="EM_008_14">#REF!</definedName>
    <definedName name="EM_008_15" localSheetId="23">#REF!</definedName>
    <definedName name="EM_008_15" localSheetId="6">#REF!</definedName>
    <definedName name="EM_008_15" localSheetId="10">#REF!</definedName>
    <definedName name="EM_008_15">#REF!</definedName>
    <definedName name="EM_008_16" localSheetId="23">#REF!</definedName>
    <definedName name="EM_008_16" localSheetId="6">#REF!</definedName>
    <definedName name="EM_008_16" localSheetId="10">#REF!</definedName>
    <definedName name="EM_008_16">#REF!</definedName>
    <definedName name="EM_008_17" localSheetId="23">#REF!</definedName>
    <definedName name="EM_008_17" localSheetId="6">#REF!</definedName>
    <definedName name="EM_008_17" localSheetId="10">#REF!</definedName>
    <definedName name="EM_008_17">#REF!</definedName>
    <definedName name="EM_008_18" localSheetId="23">#REF!</definedName>
    <definedName name="EM_008_18" localSheetId="6">#REF!</definedName>
    <definedName name="EM_008_18" localSheetId="10">#REF!</definedName>
    <definedName name="EM_008_18">#REF!</definedName>
    <definedName name="EM_008_2" localSheetId="23">#REF!</definedName>
    <definedName name="EM_008_2" localSheetId="6">#REF!</definedName>
    <definedName name="EM_008_2" localSheetId="10">#REF!</definedName>
    <definedName name="EM_008_2">#REF!</definedName>
    <definedName name="EM_008_3" localSheetId="23">#REF!</definedName>
    <definedName name="EM_008_3" localSheetId="6">#REF!</definedName>
    <definedName name="EM_008_3" localSheetId="10">#REF!</definedName>
    <definedName name="EM_008_3">#REF!</definedName>
    <definedName name="EM_008_4" localSheetId="23">#REF!</definedName>
    <definedName name="EM_008_4" localSheetId="6">#REF!</definedName>
    <definedName name="EM_008_4" localSheetId="10">#REF!</definedName>
    <definedName name="EM_008_4">#REF!</definedName>
    <definedName name="EM_008_5" localSheetId="23">#REF!</definedName>
    <definedName name="EM_008_5" localSheetId="6">#REF!</definedName>
    <definedName name="EM_008_5" localSheetId="10">#REF!</definedName>
    <definedName name="EM_008_5">#REF!</definedName>
    <definedName name="EM_008_6" localSheetId="23">#REF!</definedName>
    <definedName name="EM_008_6" localSheetId="6">#REF!</definedName>
    <definedName name="EM_008_6" localSheetId="10">#REF!</definedName>
    <definedName name="EM_008_6">#REF!</definedName>
    <definedName name="EM_008_7" localSheetId="23">#REF!</definedName>
    <definedName name="EM_008_7" localSheetId="6">#REF!</definedName>
    <definedName name="EM_008_7" localSheetId="10">#REF!</definedName>
    <definedName name="EM_008_7">#REF!</definedName>
    <definedName name="EM_008_8" localSheetId="23">#REF!</definedName>
    <definedName name="EM_008_8" localSheetId="6">#REF!</definedName>
    <definedName name="EM_008_8" localSheetId="10">#REF!</definedName>
    <definedName name="EM_008_8">#REF!</definedName>
    <definedName name="EM_008_9" localSheetId="23">#REF!</definedName>
    <definedName name="EM_008_9" localSheetId="6">#REF!</definedName>
    <definedName name="EM_008_9" localSheetId="10">#REF!</definedName>
    <definedName name="EM_008_9">#REF!</definedName>
    <definedName name="EM_009_1" localSheetId="23">#REF!</definedName>
    <definedName name="EM_009_1" localSheetId="6">#REF!</definedName>
    <definedName name="EM_009_1" localSheetId="10">#REF!</definedName>
    <definedName name="EM_009_1">#REF!</definedName>
    <definedName name="EM_009_10" localSheetId="23">#REF!</definedName>
    <definedName name="EM_009_10" localSheetId="6">#REF!</definedName>
    <definedName name="EM_009_10" localSheetId="10">#REF!</definedName>
    <definedName name="EM_009_10">#REF!</definedName>
    <definedName name="EM_009_11" localSheetId="23">#REF!</definedName>
    <definedName name="EM_009_11" localSheetId="6">#REF!</definedName>
    <definedName name="EM_009_11" localSheetId="10">#REF!</definedName>
    <definedName name="EM_009_11">#REF!</definedName>
    <definedName name="EM_009_12" localSheetId="23">#REF!</definedName>
    <definedName name="EM_009_12" localSheetId="6">#REF!</definedName>
    <definedName name="EM_009_12" localSheetId="10">#REF!</definedName>
    <definedName name="EM_009_12">#REF!</definedName>
    <definedName name="EM_009_13" localSheetId="23">#REF!</definedName>
    <definedName name="EM_009_13" localSheetId="6">#REF!</definedName>
    <definedName name="EM_009_13" localSheetId="10">#REF!</definedName>
    <definedName name="EM_009_13">#REF!</definedName>
    <definedName name="EM_009_14" localSheetId="23">#REF!</definedName>
    <definedName name="EM_009_14" localSheetId="6">#REF!</definedName>
    <definedName name="EM_009_14" localSheetId="10">#REF!</definedName>
    <definedName name="EM_009_14">#REF!</definedName>
    <definedName name="EM_009_15" localSheetId="23">#REF!</definedName>
    <definedName name="EM_009_15" localSheetId="6">#REF!</definedName>
    <definedName name="EM_009_15" localSheetId="10">#REF!</definedName>
    <definedName name="EM_009_15">#REF!</definedName>
    <definedName name="EM_009_16" localSheetId="23">#REF!</definedName>
    <definedName name="EM_009_16" localSheetId="6">#REF!</definedName>
    <definedName name="EM_009_16" localSheetId="10">#REF!</definedName>
    <definedName name="EM_009_16">#REF!</definedName>
    <definedName name="EM_009_17" localSheetId="23">#REF!</definedName>
    <definedName name="EM_009_17" localSheetId="6">#REF!</definedName>
    <definedName name="EM_009_17" localSheetId="10">#REF!</definedName>
    <definedName name="EM_009_17">#REF!</definedName>
    <definedName name="EM_009_18" localSheetId="23">#REF!</definedName>
    <definedName name="EM_009_18" localSheetId="6">#REF!</definedName>
    <definedName name="EM_009_18" localSheetId="10">#REF!</definedName>
    <definedName name="EM_009_18">#REF!</definedName>
    <definedName name="EM_009_2" localSheetId="23">#REF!</definedName>
    <definedName name="EM_009_2" localSheetId="6">#REF!</definedName>
    <definedName name="EM_009_2" localSheetId="10">#REF!</definedName>
    <definedName name="EM_009_2">#REF!</definedName>
    <definedName name="EM_009_3" localSheetId="23">#REF!</definedName>
    <definedName name="EM_009_3" localSheetId="6">#REF!</definedName>
    <definedName name="EM_009_3" localSheetId="10">#REF!</definedName>
    <definedName name="EM_009_3">#REF!</definedName>
    <definedName name="EM_009_4" localSheetId="23">#REF!</definedName>
    <definedName name="EM_009_4" localSheetId="6">#REF!</definedName>
    <definedName name="EM_009_4" localSheetId="10">#REF!</definedName>
    <definedName name="EM_009_4">#REF!</definedName>
    <definedName name="EM_009_5" localSheetId="23">#REF!</definedName>
    <definedName name="EM_009_5" localSheetId="6">#REF!</definedName>
    <definedName name="EM_009_5" localSheetId="10">#REF!</definedName>
    <definedName name="EM_009_5">#REF!</definedName>
    <definedName name="EM_009_6" localSheetId="23">#REF!</definedName>
    <definedName name="EM_009_6" localSheetId="6">#REF!</definedName>
    <definedName name="EM_009_6" localSheetId="10">#REF!</definedName>
    <definedName name="EM_009_6">#REF!</definedName>
    <definedName name="EM_009_7" localSheetId="23">#REF!</definedName>
    <definedName name="EM_009_7" localSheetId="6">#REF!</definedName>
    <definedName name="EM_009_7" localSheetId="10">#REF!</definedName>
    <definedName name="EM_009_7">#REF!</definedName>
    <definedName name="EM_009_8" localSheetId="23">#REF!</definedName>
    <definedName name="EM_009_8" localSheetId="6">#REF!</definedName>
    <definedName name="EM_009_8" localSheetId="10">#REF!</definedName>
    <definedName name="EM_009_8">#REF!</definedName>
    <definedName name="EM_009_9" localSheetId="23">#REF!</definedName>
    <definedName name="EM_009_9" localSheetId="6">#REF!</definedName>
    <definedName name="EM_009_9" localSheetId="10">#REF!</definedName>
    <definedName name="EM_009_9">#REF!</definedName>
    <definedName name="EM_010_1" localSheetId="23">#REF!</definedName>
    <definedName name="EM_010_1" localSheetId="6">#REF!</definedName>
    <definedName name="EM_010_1" localSheetId="10">#REF!</definedName>
    <definedName name="EM_010_1">#REF!</definedName>
    <definedName name="EM_010_10" localSheetId="23">#REF!</definedName>
    <definedName name="EM_010_10" localSheetId="6">#REF!</definedName>
    <definedName name="EM_010_10" localSheetId="10">#REF!</definedName>
    <definedName name="EM_010_10">#REF!</definedName>
    <definedName name="EM_010_11" localSheetId="23">#REF!</definedName>
    <definedName name="EM_010_11" localSheetId="6">#REF!</definedName>
    <definedName name="EM_010_11" localSheetId="10">#REF!</definedName>
    <definedName name="EM_010_11">#REF!</definedName>
    <definedName name="EM_010_12" localSheetId="23">#REF!</definedName>
    <definedName name="EM_010_12" localSheetId="6">#REF!</definedName>
    <definedName name="EM_010_12" localSheetId="10">#REF!</definedName>
    <definedName name="EM_010_12">#REF!</definedName>
    <definedName name="EM_010_13" localSheetId="23">#REF!</definedName>
    <definedName name="EM_010_13" localSheetId="6">#REF!</definedName>
    <definedName name="EM_010_13" localSheetId="10">#REF!</definedName>
    <definedName name="EM_010_13">#REF!</definedName>
    <definedName name="EM_010_14" localSheetId="23">#REF!</definedName>
    <definedName name="EM_010_14" localSheetId="6">#REF!</definedName>
    <definedName name="EM_010_14" localSheetId="10">#REF!</definedName>
    <definedName name="EM_010_14">#REF!</definedName>
    <definedName name="EM_010_15" localSheetId="23">#REF!</definedName>
    <definedName name="EM_010_15" localSheetId="6">#REF!</definedName>
    <definedName name="EM_010_15" localSheetId="10">#REF!</definedName>
    <definedName name="EM_010_15">#REF!</definedName>
    <definedName name="EM_010_16" localSheetId="23">#REF!</definedName>
    <definedName name="EM_010_16" localSheetId="6">#REF!</definedName>
    <definedName name="EM_010_16" localSheetId="10">#REF!</definedName>
    <definedName name="EM_010_16">#REF!</definedName>
    <definedName name="EM_010_17" localSheetId="23">#REF!</definedName>
    <definedName name="EM_010_17" localSheetId="6">#REF!</definedName>
    <definedName name="EM_010_17" localSheetId="10">#REF!</definedName>
    <definedName name="EM_010_17">#REF!</definedName>
    <definedName name="EM_010_18" localSheetId="23">#REF!</definedName>
    <definedName name="EM_010_18" localSheetId="6">#REF!</definedName>
    <definedName name="EM_010_18" localSheetId="10">#REF!</definedName>
    <definedName name="EM_010_18">#REF!</definedName>
    <definedName name="EM_010_2" localSheetId="23">#REF!</definedName>
    <definedName name="EM_010_2" localSheetId="6">#REF!</definedName>
    <definedName name="EM_010_2" localSheetId="10">#REF!</definedName>
    <definedName name="EM_010_2">#REF!</definedName>
    <definedName name="EM_010_3" localSheetId="23">#REF!</definedName>
    <definedName name="EM_010_3" localSheetId="6">#REF!</definedName>
    <definedName name="EM_010_3" localSheetId="10">#REF!</definedName>
    <definedName name="EM_010_3">#REF!</definedName>
    <definedName name="EM_010_4" localSheetId="23">#REF!</definedName>
    <definedName name="EM_010_4" localSheetId="6">#REF!</definedName>
    <definedName name="EM_010_4" localSheetId="10">#REF!</definedName>
    <definedName name="EM_010_4">#REF!</definedName>
    <definedName name="EM_010_5" localSheetId="23">#REF!</definedName>
    <definedName name="EM_010_5" localSheetId="6">#REF!</definedName>
    <definedName name="EM_010_5" localSheetId="10">#REF!</definedName>
    <definedName name="EM_010_5">#REF!</definedName>
    <definedName name="EM_010_6" localSheetId="23">#REF!</definedName>
    <definedName name="EM_010_6" localSheetId="6">#REF!</definedName>
    <definedName name="EM_010_6" localSheetId="10">#REF!</definedName>
    <definedName name="EM_010_6">#REF!</definedName>
    <definedName name="EM_010_7" localSheetId="23">#REF!</definedName>
    <definedName name="EM_010_7" localSheetId="6">#REF!</definedName>
    <definedName name="EM_010_7" localSheetId="10">#REF!</definedName>
    <definedName name="EM_010_7">#REF!</definedName>
    <definedName name="EM_010_8" localSheetId="23">#REF!</definedName>
    <definedName name="EM_010_8" localSheetId="6">#REF!</definedName>
    <definedName name="EM_010_8" localSheetId="10">#REF!</definedName>
    <definedName name="EM_010_8">#REF!</definedName>
    <definedName name="EM_010_9" localSheetId="23">#REF!</definedName>
    <definedName name="EM_010_9" localSheetId="6">#REF!</definedName>
    <definedName name="EM_010_9" localSheetId="10">#REF!</definedName>
    <definedName name="EM_010_9">#REF!</definedName>
    <definedName name="EM_011_1" localSheetId="23">#REF!</definedName>
    <definedName name="EM_011_1" localSheetId="6">#REF!</definedName>
    <definedName name="EM_011_1" localSheetId="10">#REF!</definedName>
    <definedName name="EM_011_1">#REF!</definedName>
    <definedName name="EM_011_10" localSheetId="23">#REF!</definedName>
    <definedName name="EM_011_10" localSheetId="6">#REF!</definedName>
    <definedName name="EM_011_10" localSheetId="10">#REF!</definedName>
    <definedName name="EM_011_10">#REF!</definedName>
    <definedName name="EM_011_11" localSheetId="23">#REF!</definedName>
    <definedName name="EM_011_11" localSheetId="6">#REF!</definedName>
    <definedName name="EM_011_11" localSheetId="10">#REF!</definedName>
    <definedName name="EM_011_11">#REF!</definedName>
    <definedName name="EM_011_12" localSheetId="23">#REF!</definedName>
    <definedName name="EM_011_12" localSheetId="6">#REF!</definedName>
    <definedName name="EM_011_12" localSheetId="10">#REF!</definedName>
    <definedName name="EM_011_12">#REF!</definedName>
    <definedName name="EM_011_13" localSheetId="23">#REF!</definedName>
    <definedName name="EM_011_13" localSheetId="6">#REF!</definedName>
    <definedName name="EM_011_13" localSheetId="10">#REF!</definedName>
    <definedName name="EM_011_13">#REF!</definedName>
    <definedName name="EM_011_14" localSheetId="23">#REF!</definedName>
    <definedName name="EM_011_14" localSheetId="6">#REF!</definedName>
    <definedName name="EM_011_14" localSheetId="10">#REF!</definedName>
    <definedName name="EM_011_14">#REF!</definedName>
    <definedName name="EM_011_15" localSheetId="23">#REF!</definedName>
    <definedName name="EM_011_15" localSheetId="6">#REF!</definedName>
    <definedName name="EM_011_15" localSheetId="10">#REF!</definedName>
    <definedName name="EM_011_15">#REF!</definedName>
    <definedName name="EM_011_16" localSheetId="23">#REF!</definedName>
    <definedName name="EM_011_16" localSheetId="6">#REF!</definedName>
    <definedName name="EM_011_16" localSheetId="10">#REF!</definedName>
    <definedName name="EM_011_16">#REF!</definedName>
    <definedName name="EM_011_17" localSheetId="23">#REF!</definedName>
    <definedName name="EM_011_17" localSheetId="6">#REF!</definedName>
    <definedName name="EM_011_17" localSheetId="10">#REF!</definedName>
    <definedName name="EM_011_17">#REF!</definedName>
    <definedName name="EM_011_18" localSheetId="23">#REF!</definedName>
    <definedName name="EM_011_18" localSheetId="6">#REF!</definedName>
    <definedName name="EM_011_18" localSheetId="10">#REF!</definedName>
    <definedName name="EM_011_18">#REF!</definedName>
    <definedName name="EM_011_2" localSheetId="23">#REF!</definedName>
    <definedName name="EM_011_2" localSheetId="6">#REF!</definedName>
    <definedName name="EM_011_2" localSheetId="10">#REF!</definedName>
    <definedName name="EM_011_2">#REF!</definedName>
    <definedName name="EM_011_3" localSheetId="23">#REF!</definedName>
    <definedName name="EM_011_3" localSheetId="6">#REF!</definedName>
    <definedName name="EM_011_3" localSheetId="10">#REF!</definedName>
    <definedName name="EM_011_3">#REF!</definedName>
    <definedName name="EM_011_4" localSheetId="23">#REF!</definedName>
    <definedName name="EM_011_4" localSheetId="6">#REF!</definedName>
    <definedName name="EM_011_4" localSheetId="10">#REF!</definedName>
    <definedName name="EM_011_4">#REF!</definedName>
    <definedName name="EM_011_5" localSheetId="23">#REF!</definedName>
    <definedName name="EM_011_5" localSheetId="6">#REF!</definedName>
    <definedName name="EM_011_5" localSheetId="10">#REF!</definedName>
    <definedName name="EM_011_5">#REF!</definedName>
    <definedName name="EM_011_6" localSheetId="23">#REF!</definedName>
    <definedName name="EM_011_6" localSheetId="6">#REF!</definedName>
    <definedName name="EM_011_6" localSheetId="10">#REF!</definedName>
    <definedName name="EM_011_6">#REF!</definedName>
    <definedName name="EM_011_7" localSheetId="23">#REF!</definedName>
    <definedName name="EM_011_7" localSheetId="6">#REF!</definedName>
    <definedName name="EM_011_7" localSheetId="10">#REF!</definedName>
    <definedName name="EM_011_7">#REF!</definedName>
    <definedName name="EM_011_8" localSheetId="23">#REF!</definedName>
    <definedName name="EM_011_8" localSheetId="6">#REF!</definedName>
    <definedName name="EM_011_8" localSheetId="10">#REF!</definedName>
    <definedName name="EM_011_8">#REF!</definedName>
    <definedName name="EM_011_9" localSheetId="23">#REF!</definedName>
    <definedName name="EM_011_9" localSheetId="6">#REF!</definedName>
    <definedName name="EM_011_9" localSheetId="10">#REF!</definedName>
    <definedName name="EM_011_9">#REF!</definedName>
    <definedName name="EM_012_1" localSheetId="23">#REF!</definedName>
    <definedName name="EM_012_1" localSheetId="6">#REF!</definedName>
    <definedName name="EM_012_1" localSheetId="10">#REF!</definedName>
    <definedName name="EM_012_1">#REF!</definedName>
    <definedName name="EM_012_10" localSheetId="23">#REF!</definedName>
    <definedName name="EM_012_10" localSheetId="6">#REF!</definedName>
    <definedName name="EM_012_10" localSheetId="10">#REF!</definedName>
    <definedName name="EM_012_10">#REF!</definedName>
    <definedName name="EM_012_11" localSheetId="23">#REF!</definedName>
    <definedName name="EM_012_11" localSheetId="6">#REF!</definedName>
    <definedName name="EM_012_11" localSheetId="10">#REF!</definedName>
    <definedName name="EM_012_11">#REF!</definedName>
    <definedName name="EM_012_12" localSheetId="23">#REF!</definedName>
    <definedName name="EM_012_12" localSheetId="6">#REF!</definedName>
    <definedName name="EM_012_12" localSheetId="10">#REF!</definedName>
    <definedName name="EM_012_12">#REF!</definedName>
    <definedName name="EM_012_13" localSheetId="23">#REF!</definedName>
    <definedName name="EM_012_13" localSheetId="6">#REF!</definedName>
    <definedName name="EM_012_13" localSheetId="10">#REF!</definedName>
    <definedName name="EM_012_13">#REF!</definedName>
    <definedName name="EM_012_14" localSheetId="23">#REF!</definedName>
    <definedName name="EM_012_14" localSheetId="6">#REF!</definedName>
    <definedName name="EM_012_14" localSheetId="10">#REF!</definedName>
    <definedName name="EM_012_14">#REF!</definedName>
    <definedName name="EM_012_15" localSheetId="23">#REF!</definedName>
    <definedName name="EM_012_15" localSheetId="6">#REF!</definedName>
    <definedName name="EM_012_15" localSheetId="10">#REF!</definedName>
    <definedName name="EM_012_15">#REF!</definedName>
    <definedName name="EM_012_16" localSheetId="23">#REF!</definedName>
    <definedName name="EM_012_16" localSheetId="6">#REF!</definedName>
    <definedName name="EM_012_16" localSheetId="10">#REF!</definedName>
    <definedName name="EM_012_16">#REF!</definedName>
    <definedName name="EM_012_17" localSheetId="23">#REF!</definedName>
    <definedName name="EM_012_17" localSheetId="6">#REF!</definedName>
    <definedName name="EM_012_17" localSheetId="10">#REF!</definedName>
    <definedName name="EM_012_17">#REF!</definedName>
    <definedName name="EM_012_18" localSheetId="23">#REF!</definedName>
    <definedName name="EM_012_18" localSheetId="6">#REF!</definedName>
    <definedName name="EM_012_18" localSheetId="10">#REF!</definedName>
    <definedName name="EM_012_18">#REF!</definedName>
    <definedName name="EM_012_2" localSheetId="23">#REF!</definedName>
    <definedName name="EM_012_2" localSheetId="6">#REF!</definedName>
    <definedName name="EM_012_2" localSheetId="10">#REF!</definedName>
    <definedName name="EM_012_2">#REF!</definedName>
    <definedName name="EM_012_3" localSheetId="23">#REF!</definedName>
    <definedName name="EM_012_3" localSheetId="6">#REF!</definedName>
    <definedName name="EM_012_3" localSheetId="10">#REF!</definedName>
    <definedName name="EM_012_3">#REF!</definedName>
    <definedName name="EM_012_4" localSheetId="23">#REF!</definedName>
    <definedName name="EM_012_4" localSheetId="6">#REF!</definedName>
    <definedName name="EM_012_4" localSheetId="10">#REF!</definedName>
    <definedName name="EM_012_4">#REF!</definedName>
    <definedName name="EM_012_5" localSheetId="23">#REF!</definedName>
    <definedName name="EM_012_5" localSheetId="6">#REF!</definedName>
    <definedName name="EM_012_5" localSheetId="10">#REF!</definedName>
    <definedName name="EM_012_5">#REF!</definedName>
    <definedName name="EM_012_6" localSheetId="23">#REF!</definedName>
    <definedName name="EM_012_6" localSheetId="6">#REF!</definedName>
    <definedName name="EM_012_6" localSheetId="10">#REF!</definedName>
    <definedName name="EM_012_6">#REF!</definedName>
    <definedName name="EM_012_7" localSheetId="23">#REF!</definedName>
    <definedName name="EM_012_7" localSheetId="6">#REF!</definedName>
    <definedName name="EM_012_7" localSheetId="10">#REF!</definedName>
    <definedName name="EM_012_7">#REF!</definedName>
    <definedName name="EM_012_8" localSheetId="23">#REF!</definedName>
    <definedName name="EM_012_8" localSheetId="6">#REF!</definedName>
    <definedName name="EM_012_8" localSheetId="10">#REF!</definedName>
    <definedName name="EM_012_8">#REF!</definedName>
    <definedName name="EM_012_9" localSheetId="23">#REF!</definedName>
    <definedName name="EM_012_9" localSheetId="6">#REF!</definedName>
    <definedName name="EM_012_9" localSheetId="10">#REF!</definedName>
    <definedName name="EM_012_9">#REF!</definedName>
    <definedName name="EM_013_1" localSheetId="23">#REF!</definedName>
    <definedName name="EM_013_1" localSheetId="6">#REF!</definedName>
    <definedName name="EM_013_1" localSheetId="10">#REF!</definedName>
    <definedName name="EM_013_1">#REF!</definedName>
    <definedName name="EM_013_10" localSheetId="23">#REF!</definedName>
    <definedName name="EM_013_10" localSheetId="6">#REF!</definedName>
    <definedName name="EM_013_10" localSheetId="10">#REF!</definedName>
    <definedName name="EM_013_10">#REF!</definedName>
    <definedName name="EM_013_11" localSheetId="23">#REF!</definedName>
    <definedName name="EM_013_11" localSheetId="6">#REF!</definedName>
    <definedName name="EM_013_11" localSheetId="10">#REF!</definedName>
    <definedName name="EM_013_11">#REF!</definedName>
    <definedName name="EM_013_12" localSheetId="23">#REF!</definedName>
    <definedName name="EM_013_12" localSheetId="6">#REF!</definedName>
    <definedName name="EM_013_12" localSheetId="10">#REF!</definedName>
    <definedName name="EM_013_12">#REF!</definedName>
    <definedName name="EM_013_13" localSheetId="23">#REF!</definedName>
    <definedName name="EM_013_13" localSheetId="6">#REF!</definedName>
    <definedName name="EM_013_13" localSheetId="10">#REF!</definedName>
    <definedName name="EM_013_13">#REF!</definedName>
    <definedName name="EM_013_14" localSheetId="23">#REF!</definedName>
    <definedName name="EM_013_14" localSheetId="6">#REF!</definedName>
    <definedName name="EM_013_14" localSheetId="10">#REF!</definedName>
    <definedName name="EM_013_14">#REF!</definedName>
    <definedName name="EM_013_15" localSheetId="23">#REF!</definedName>
    <definedName name="EM_013_15" localSheetId="6">#REF!</definedName>
    <definedName name="EM_013_15" localSheetId="10">#REF!</definedName>
    <definedName name="EM_013_15">#REF!</definedName>
    <definedName name="EM_013_16" localSheetId="23">#REF!</definedName>
    <definedName name="EM_013_16" localSheetId="6">#REF!</definedName>
    <definedName name="EM_013_16" localSheetId="10">#REF!</definedName>
    <definedName name="EM_013_16">#REF!</definedName>
    <definedName name="EM_013_17" localSheetId="23">#REF!</definedName>
    <definedName name="EM_013_17" localSheetId="6">#REF!</definedName>
    <definedName name="EM_013_17" localSheetId="10">#REF!</definedName>
    <definedName name="EM_013_17">#REF!</definedName>
    <definedName name="EM_013_18" localSheetId="23">#REF!</definedName>
    <definedName name="EM_013_18" localSheetId="6">#REF!</definedName>
    <definedName name="EM_013_18" localSheetId="10">#REF!</definedName>
    <definedName name="EM_013_18">#REF!</definedName>
    <definedName name="EM_013_2" localSheetId="23">#REF!</definedName>
    <definedName name="EM_013_2" localSheetId="6">#REF!</definedName>
    <definedName name="EM_013_2" localSheetId="10">#REF!</definedName>
    <definedName name="EM_013_2">#REF!</definedName>
    <definedName name="EM_013_3" localSheetId="23">#REF!</definedName>
    <definedName name="EM_013_3" localSheetId="6">#REF!</definedName>
    <definedName name="EM_013_3" localSheetId="10">#REF!</definedName>
    <definedName name="EM_013_3">#REF!</definedName>
    <definedName name="EM_013_4" localSheetId="23">#REF!</definedName>
    <definedName name="EM_013_4" localSheetId="6">#REF!</definedName>
    <definedName name="EM_013_4" localSheetId="10">#REF!</definedName>
    <definedName name="EM_013_4">#REF!</definedName>
    <definedName name="EM_013_5" localSheetId="23">#REF!</definedName>
    <definedName name="EM_013_5" localSheetId="6">#REF!</definedName>
    <definedName name="EM_013_5" localSheetId="10">#REF!</definedName>
    <definedName name="EM_013_5">#REF!</definedName>
    <definedName name="EM_013_6" localSheetId="23">#REF!</definedName>
    <definedName name="EM_013_6" localSheetId="6">#REF!</definedName>
    <definedName name="EM_013_6" localSheetId="10">#REF!</definedName>
    <definedName name="EM_013_6">#REF!</definedName>
    <definedName name="EM_013_7" localSheetId="23">#REF!</definedName>
    <definedName name="EM_013_7" localSheetId="6">#REF!</definedName>
    <definedName name="EM_013_7" localSheetId="10">#REF!</definedName>
    <definedName name="EM_013_7">#REF!</definedName>
    <definedName name="EM_013_8" localSheetId="23">#REF!</definedName>
    <definedName name="EM_013_8" localSheetId="6">#REF!</definedName>
    <definedName name="EM_013_8" localSheetId="10">#REF!</definedName>
    <definedName name="EM_013_8">#REF!</definedName>
    <definedName name="EM_013_9" localSheetId="23">#REF!</definedName>
    <definedName name="EM_013_9" localSheetId="6">#REF!</definedName>
    <definedName name="EM_013_9" localSheetId="10">#REF!</definedName>
    <definedName name="EM_013_9">#REF!</definedName>
    <definedName name="EM_014_1" localSheetId="23">#REF!</definedName>
    <definedName name="EM_014_1" localSheetId="6">#REF!</definedName>
    <definedName name="EM_014_1" localSheetId="10">#REF!</definedName>
    <definedName name="EM_014_1">#REF!</definedName>
    <definedName name="EM_014_10" localSheetId="23">#REF!</definedName>
    <definedName name="EM_014_10" localSheetId="6">#REF!</definedName>
    <definedName name="EM_014_10" localSheetId="10">#REF!</definedName>
    <definedName name="EM_014_10">#REF!</definedName>
    <definedName name="EM_014_11" localSheetId="23">#REF!</definedName>
    <definedName name="EM_014_11" localSheetId="6">#REF!</definedName>
    <definedName name="EM_014_11" localSheetId="10">#REF!</definedName>
    <definedName name="EM_014_11">#REF!</definedName>
    <definedName name="EM_014_12" localSheetId="23">#REF!</definedName>
    <definedName name="EM_014_12" localSheetId="6">#REF!</definedName>
    <definedName name="EM_014_12" localSheetId="10">#REF!</definedName>
    <definedName name="EM_014_12">#REF!</definedName>
    <definedName name="EM_014_13" localSheetId="23">#REF!</definedName>
    <definedName name="EM_014_13" localSheetId="6">#REF!</definedName>
    <definedName name="EM_014_13" localSheetId="10">#REF!</definedName>
    <definedName name="EM_014_13">#REF!</definedName>
    <definedName name="EM_014_14" localSheetId="23">#REF!</definedName>
    <definedName name="EM_014_14" localSheetId="6">#REF!</definedName>
    <definedName name="EM_014_14" localSheetId="10">#REF!</definedName>
    <definedName name="EM_014_14">#REF!</definedName>
    <definedName name="EM_014_15" localSheetId="23">#REF!</definedName>
    <definedName name="EM_014_15" localSheetId="6">#REF!</definedName>
    <definedName name="EM_014_15" localSheetId="10">#REF!</definedName>
    <definedName name="EM_014_15">#REF!</definedName>
    <definedName name="EM_014_16" localSheetId="23">#REF!</definedName>
    <definedName name="EM_014_16" localSheetId="6">#REF!</definedName>
    <definedName name="EM_014_16" localSheetId="10">#REF!</definedName>
    <definedName name="EM_014_16">#REF!</definedName>
    <definedName name="EM_014_17" localSheetId="23">#REF!</definedName>
    <definedName name="EM_014_17" localSheetId="6">#REF!</definedName>
    <definedName name="EM_014_17" localSheetId="10">#REF!</definedName>
    <definedName name="EM_014_17">#REF!</definedName>
    <definedName name="EM_014_18" localSheetId="23">#REF!</definedName>
    <definedName name="EM_014_18" localSheetId="6">#REF!</definedName>
    <definedName name="EM_014_18" localSheetId="10">#REF!</definedName>
    <definedName name="EM_014_18">#REF!</definedName>
    <definedName name="EM_014_2" localSheetId="23">#REF!</definedName>
    <definedName name="EM_014_2" localSheetId="6">#REF!</definedName>
    <definedName name="EM_014_2" localSheetId="10">#REF!</definedName>
    <definedName name="EM_014_2">#REF!</definedName>
    <definedName name="EM_014_3" localSheetId="23">#REF!</definedName>
    <definedName name="EM_014_3" localSheetId="6">#REF!</definedName>
    <definedName name="EM_014_3" localSheetId="10">#REF!</definedName>
    <definedName name="EM_014_3">#REF!</definedName>
    <definedName name="EM_014_4" localSheetId="23">#REF!</definedName>
    <definedName name="EM_014_4" localSheetId="6">#REF!</definedName>
    <definedName name="EM_014_4" localSheetId="10">#REF!</definedName>
    <definedName name="EM_014_4">#REF!</definedName>
    <definedName name="EM_014_5" localSheetId="23">#REF!</definedName>
    <definedName name="EM_014_5" localSheetId="6">#REF!</definedName>
    <definedName name="EM_014_5" localSheetId="10">#REF!</definedName>
    <definedName name="EM_014_5">#REF!</definedName>
    <definedName name="EM_014_6" localSheetId="23">#REF!</definedName>
    <definedName name="EM_014_6" localSheetId="6">#REF!</definedName>
    <definedName name="EM_014_6" localSheetId="10">#REF!</definedName>
    <definedName name="EM_014_6">#REF!</definedName>
    <definedName name="EM_014_7" localSheetId="23">#REF!</definedName>
    <definedName name="EM_014_7" localSheetId="6">#REF!</definedName>
    <definedName name="EM_014_7" localSheetId="10">#REF!</definedName>
    <definedName name="EM_014_7">#REF!</definedName>
    <definedName name="EM_014_8" localSheetId="23">#REF!</definedName>
    <definedName name="EM_014_8" localSheetId="6">#REF!</definedName>
    <definedName name="EM_014_8" localSheetId="10">#REF!</definedName>
    <definedName name="EM_014_8">#REF!</definedName>
    <definedName name="EM_014_9" localSheetId="23">#REF!</definedName>
    <definedName name="EM_014_9" localSheetId="6">#REF!</definedName>
    <definedName name="EM_014_9" localSheetId="10">#REF!</definedName>
    <definedName name="EM_014_9">#REF!</definedName>
    <definedName name="EM_015_1" localSheetId="23">#REF!</definedName>
    <definedName name="EM_015_1" localSheetId="6">#REF!</definedName>
    <definedName name="EM_015_1" localSheetId="10">#REF!</definedName>
    <definedName name="EM_015_1">#REF!</definedName>
    <definedName name="EM_015_10" localSheetId="23">#REF!</definedName>
    <definedName name="EM_015_10" localSheetId="6">#REF!</definedName>
    <definedName name="EM_015_10" localSheetId="10">#REF!</definedName>
    <definedName name="EM_015_10">#REF!</definedName>
    <definedName name="EM_015_11" localSheetId="23">#REF!</definedName>
    <definedName name="EM_015_11" localSheetId="6">#REF!</definedName>
    <definedName name="EM_015_11" localSheetId="10">#REF!</definedName>
    <definedName name="EM_015_11">#REF!</definedName>
    <definedName name="EM_015_12" localSheetId="23">#REF!</definedName>
    <definedName name="EM_015_12" localSheetId="6">#REF!</definedName>
    <definedName name="EM_015_12" localSheetId="10">#REF!</definedName>
    <definedName name="EM_015_12">#REF!</definedName>
    <definedName name="EM_015_13" localSheetId="23">#REF!</definedName>
    <definedName name="EM_015_13" localSheetId="6">#REF!</definedName>
    <definedName name="EM_015_13" localSheetId="10">#REF!</definedName>
    <definedName name="EM_015_13">#REF!</definedName>
    <definedName name="EM_015_14" localSheetId="23">#REF!</definedName>
    <definedName name="EM_015_14" localSheetId="6">#REF!</definedName>
    <definedName name="EM_015_14" localSheetId="10">#REF!</definedName>
    <definedName name="EM_015_14">#REF!</definedName>
    <definedName name="EM_015_15" localSheetId="23">#REF!</definedName>
    <definedName name="EM_015_15" localSheetId="6">#REF!</definedName>
    <definedName name="EM_015_15" localSheetId="10">#REF!</definedName>
    <definedName name="EM_015_15">#REF!</definedName>
    <definedName name="EM_015_16" localSheetId="23">#REF!</definedName>
    <definedName name="EM_015_16" localSheetId="6">#REF!</definedName>
    <definedName name="EM_015_16" localSheetId="10">#REF!</definedName>
    <definedName name="EM_015_16">#REF!</definedName>
    <definedName name="EM_015_17" localSheetId="23">#REF!</definedName>
    <definedName name="EM_015_17" localSheetId="6">#REF!</definedName>
    <definedName name="EM_015_17" localSheetId="10">#REF!</definedName>
    <definedName name="EM_015_17">#REF!</definedName>
    <definedName name="EM_015_18" localSheetId="23">#REF!</definedName>
    <definedName name="EM_015_18" localSheetId="6">#REF!</definedName>
    <definedName name="EM_015_18" localSheetId="10">#REF!</definedName>
    <definedName name="EM_015_18">#REF!</definedName>
    <definedName name="EM_015_2" localSheetId="23">#REF!</definedName>
    <definedName name="EM_015_2" localSheetId="6">#REF!</definedName>
    <definedName name="EM_015_2" localSheetId="10">#REF!</definedName>
    <definedName name="EM_015_2">#REF!</definedName>
    <definedName name="EM_015_3" localSheetId="23">#REF!</definedName>
    <definedName name="EM_015_3" localSheetId="6">#REF!</definedName>
    <definedName name="EM_015_3" localSheetId="10">#REF!</definedName>
    <definedName name="EM_015_3">#REF!</definedName>
    <definedName name="EM_015_4" localSheetId="23">#REF!</definedName>
    <definedName name="EM_015_4" localSheetId="6">#REF!</definedName>
    <definedName name="EM_015_4" localSheetId="10">#REF!</definedName>
    <definedName name="EM_015_4">#REF!</definedName>
    <definedName name="EM_015_5" localSheetId="23">#REF!</definedName>
    <definedName name="EM_015_5" localSheetId="6">#REF!</definedName>
    <definedName name="EM_015_5" localSheetId="10">#REF!</definedName>
    <definedName name="EM_015_5">#REF!</definedName>
    <definedName name="EM_015_6" localSheetId="23">#REF!</definedName>
    <definedName name="EM_015_6" localSheetId="6">#REF!</definedName>
    <definedName name="EM_015_6" localSheetId="10">#REF!</definedName>
    <definedName name="EM_015_6">#REF!</definedName>
    <definedName name="EM_015_7" localSheetId="23">#REF!</definedName>
    <definedName name="EM_015_7" localSheetId="6">#REF!</definedName>
    <definedName name="EM_015_7" localSheetId="10">#REF!</definedName>
    <definedName name="EM_015_7">#REF!</definedName>
    <definedName name="EM_015_8" localSheetId="23">#REF!</definedName>
    <definedName name="EM_015_8" localSheetId="6">#REF!</definedName>
    <definedName name="EM_015_8" localSheetId="10">#REF!</definedName>
    <definedName name="EM_015_8">#REF!</definedName>
    <definedName name="EM_015_9" localSheetId="23">#REF!</definedName>
    <definedName name="EM_015_9" localSheetId="6">#REF!</definedName>
    <definedName name="EM_015_9" localSheetId="10">#REF!</definedName>
    <definedName name="EM_015_9">#REF!</definedName>
    <definedName name="EM_016_1" localSheetId="23">#REF!</definedName>
    <definedName name="EM_016_1" localSheetId="6">#REF!</definedName>
    <definedName name="EM_016_1" localSheetId="10">#REF!</definedName>
    <definedName name="EM_016_1">#REF!</definedName>
    <definedName name="EM_016_10" localSheetId="23">#REF!</definedName>
    <definedName name="EM_016_10" localSheetId="6">#REF!</definedName>
    <definedName name="EM_016_10" localSheetId="10">#REF!</definedName>
    <definedName name="EM_016_10">#REF!</definedName>
    <definedName name="EM_016_11" localSheetId="23">#REF!</definedName>
    <definedName name="EM_016_11" localSheetId="6">#REF!</definedName>
    <definedName name="EM_016_11" localSheetId="10">#REF!</definedName>
    <definedName name="EM_016_11">#REF!</definedName>
    <definedName name="EM_016_12" localSheetId="23">#REF!</definedName>
    <definedName name="EM_016_12" localSheetId="6">#REF!</definedName>
    <definedName name="EM_016_12" localSheetId="10">#REF!</definedName>
    <definedName name="EM_016_12">#REF!</definedName>
    <definedName name="EM_016_13" localSheetId="23">#REF!</definedName>
    <definedName name="EM_016_13" localSheetId="6">#REF!</definedName>
    <definedName name="EM_016_13" localSheetId="10">#REF!</definedName>
    <definedName name="EM_016_13">#REF!</definedName>
    <definedName name="EM_016_14" localSheetId="23">#REF!</definedName>
    <definedName name="EM_016_14" localSheetId="6">#REF!</definedName>
    <definedName name="EM_016_14" localSheetId="10">#REF!</definedName>
    <definedName name="EM_016_14">#REF!</definedName>
    <definedName name="EM_016_15" localSheetId="23">#REF!</definedName>
    <definedName name="EM_016_15" localSheetId="6">#REF!</definedName>
    <definedName name="EM_016_15" localSheetId="10">#REF!</definedName>
    <definedName name="EM_016_15">#REF!</definedName>
    <definedName name="EM_016_16" localSheetId="23">#REF!</definedName>
    <definedName name="EM_016_16" localSheetId="6">#REF!</definedName>
    <definedName name="EM_016_16" localSheetId="10">#REF!</definedName>
    <definedName name="EM_016_16">#REF!</definedName>
    <definedName name="EM_016_17" localSheetId="23">#REF!</definedName>
    <definedName name="EM_016_17" localSheetId="6">#REF!</definedName>
    <definedName name="EM_016_17" localSheetId="10">#REF!</definedName>
    <definedName name="EM_016_17">#REF!</definedName>
    <definedName name="EM_016_18" localSheetId="23">#REF!</definedName>
    <definedName name="EM_016_18" localSheetId="6">#REF!</definedName>
    <definedName name="EM_016_18" localSheetId="10">#REF!</definedName>
    <definedName name="EM_016_18">#REF!</definedName>
    <definedName name="EM_016_2" localSheetId="23">#REF!</definedName>
    <definedName name="EM_016_2" localSheetId="6">#REF!</definedName>
    <definedName name="EM_016_2" localSheetId="10">#REF!</definedName>
    <definedName name="EM_016_2">#REF!</definedName>
    <definedName name="EM_016_3" localSheetId="23">#REF!</definedName>
    <definedName name="EM_016_3" localSheetId="6">#REF!</definedName>
    <definedName name="EM_016_3" localSheetId="10">#REF!</definedName>
    <definedName name="EM_016_3">#REF!</definedName>
    <definedName name="EM_016_4" localSheetId="23">#REF!</definedName>
    <definedName name="EM_016_4" localSheetId="6">#REF!</definedName>
    <definedName name="EM_016_4" localSheetId="10">#REF!</definedName>
    <definedName name="EM_016_4">#REF!</definedName>
    <definedName name="EM_016_5" localSheetId="23">#REF!</definedName>
    <definedName name="EM_016_5" localSheetId="6">#REF!</definedName>
    <definedName name="EM_016_5" localSheetId="10">#REF!</definedName>
    <definedName name="EM_016_5">#REF!</definedName>
    <definedName name="EM_016_6" localSheetId="23">#REF!</definedName>
    <definedName name="EM_016_6" localSheetId="6">#REF!</definedName>
    <definedName name="EM_016_6" localSheetId="10">#REF!</definedName>
    <definedName name="EM_016_6">#REF!</definedName>
    <definedName name="EM_016_7" localSheetId="23">#REF!</definedName>
    <definedName name="EM_016_7" localSheetId="6">#REF!</definedName>
    <definedName name="EM_016_7" localSheetId="10">#REF!</definedName>
    <definedName name="EM_016_7">#REF!</definedName>
    <definedName name="EM_016_8" localSheetId="23">#REF!</definedName>
    <definedName name="EM_016_8" localSheetId="6">#REF!</definedName>
    <definedName name="EM_016_8" localSheetId="10">#REF!</definedName>
    <definedName name="EM_016_8">#REF!</definedName>
    <definedName name="EM_016_9" localSheetId="23">#REF!</definedName>
    <definedName name="EM_016_9" localSheetId="6">#REF!</definedName>
    <definedName name="EM_016_9" localSheetId="10">#REF!</definedName>
    <definedName name="EM_016_9">#REF!</definedName>
    <definedName name="EM_017_1" localSheetId="23">#REF!</definedName>
    <definedName name="EM_017_1" localSheetId="6">#REF!</definedName>
    <definedName name="EM_017_1" localSheetId="10">#REF!</definedName>
    <definedName name="EM_017_1">#REF!</definedName>
    <definedName name="EM_017_10" localSheetId="23">#REF!</definedName>
    <definedName name="EM_017_10" localSheetId="6">#REF!</definedName>
    <definedName name="EM_017_10" localSheetId="10">#REF!</definedName>
    <definedName name="EM_017_10">#REF!</definedName>
    <definedName name="EM_017_11" localSheetId="23">#REF!</definedName>
    <definedName name="EM_017_11" localSheetId="6">#REF!</definedName>
    <definedName name="EM_017_11" localSheetId="10">#REF!</definedName>
    <definedName name="EM_017_11">#REF!</definedName>
    <definedName name="EM_017_12" localSheetId="23">#REF!</definedName>
    <definedName name="EM_017_12" localSheetId="6">#REF!</definedName>
    <definedName name="EM_017_12" localSheetId="10">#REF!</definedName>
    <definedName name="EM_017_12">#REF!</definedName>
    <definedName name="EM_017_13" localSheetId="23">#REF!</definedName>
    <definedName name="EM_017_13" localSheetId="6">#REF!</definedName>
    <definedName name="EM_017_13" localSheetId="10">#REF!</definedName>
    <definedName name="EM_017_13">#REF!</definedName>
    <definedName name="EM_017_14" localSheetId="23">#REF!</definedName>
    <definedName name="EM_017_14" localSheetId="6">#REF!</definedName>
    <definedName name="EM_017_14" localSheetId="10">#REF!</definedName>
    <definedName name="EM_017_14">#REF!</definedName>
    <definedName name="EM_017_15" localSheetId="23">#REF!</definedName>
    <definedName name="EM_017_15" localSheetId="6">#REF!</definedName>
    <definedName name="EM_017_15" localSheetId="10">#REF!</definedName>
    <definedName name="EM_017_15">#REF!</definedName>
    <definedName name="EM_017_16" localSheetId="23">#REF!</definedName>
    <definedName name="EM_017_16" localSheetId="6">#REF!</definedName>
    <definedName name="EM_017_16" localSheetId="10">#REF!</definedName>
    <definedName name="EM_017_16">#REF!</definedName>
    <definedName name="EM_017_17" localSheetId="23">#REF!</definedName>
    <definedName name="EM_017_17" localSheetId="6">#REF!</definedName>
    <definedName name="EM_017_17" localSheetId="10">#REF!</definedName>
    <definedName name="EM_017_17">#REF!</definedName>
    <definedName name="EM_017_18" localSheetId="23">#REF!</definedName>
    <definedName name="EM_017_18" localSheetId="6">#REF!</definedName>
    <definedName name="EM_017_18" localSheetId="10">#REF!</definedName>
    <definedName name="EM_017_18">#REF!</definedName>
    <definedName name="EM_017_2" localSheetId="23">#REF!</definedName>
    <definedName name="EM_017_2" localSheetId="6">#REF!</definedName>
    <definedName name="EM_017_2" localSheetId="10">#REF!</definedName>
    <definedName name="EM_017_2">#REF!</definedName>
    <definedName name="EM_017_3" localSheetId="23">#REF!</definedName>
    <definedName name="EM_017_3" localSheetId="6">#REF!</definedName>
    <definedName name="EM_017_3" localSheetId="10">#REF!</definedName>
    <definedName name="EM_017_3">#REF!</definedName>
    <definedName name="EM_017_4" localSheetId="23">#REF!</definedName>
    <definedName name="EM_017_4" localSheetId="6">#REF!</definedName>
    <definedName name="EM_017_4" localSheetId="10">#REF!</definedName>
    <definedName name="EM_017_4">#REF!</definedName>
    <definedName name="EM_017_5" localSheetId="23">#REF!</definedName>
    <definedName name="EM_017_5" localSheetId="6">#REF!</definedName>
    <definedName name="EM_017_5" localSheetId="10">#REF!</definedName>
    <definedName name="EM_017_5">#REF!</definedName>
    <definedName name="EM_017_6" localSheetId="23">#REF!</definedName>
    <definedName name="EM_017_6" localSheetId="6">#REF!</definedName>
    <definedName name="EM_017_6" localSheetId="10">#REF!</definedName>
    <definedName name="EM_017_6">#REF!</definedName>
    <definedName name="EM_017_7" localSheetId="23">#REF!</definedName>
    <definedName name="EM_017_7" localSheetId="6">#REF!</definedName>
    <definedName name="EM_017_7" localSheetId="10">#REF!</definedName>
    <definedName name="EM_017_7">#REF!</definedName>
    <definedName name="EM_017_8" localSheetId="23">#REF!</definedName>
    <definedName name="EM_017_8" localSheetId="6">#REF!</definedName>
    <definedName name="EM_017_8" localSheetId="10">#REF!</definedName>
    <definedName name="EM_017_8">#REF!</definedName>
    <definedName name="EM_017_9" localSheetId="23">#REF!</definedName>
    <definedName name="EM_017_9" localSheetId="6">#REF!</definedName>
    <definedName name="EM_017_9" localSheetId="10">#REF!</definedName>
    <definedName name="EM_017_9">#REF!</definedName>
    <definedName name="EM_018_1" localSheetId="23">#REF!</definedName>
    <definedName name="EM_018_1" localSheetId="6">#REF!</definedName>
    <definedName name="EM_018_1" localSheetId="10">#REF!</definedName>
    <definedName name="EM_018_1">#REF!</definedName>
    <definedName name="EM_018_10" localSheetId="23">#REF!</definedName>
    <definedName name="EM_018_10" localSheetId="6">#REF!</definedName>
    <definedName name="EM_018_10" localSheetId="10">#REF!</definedName>
    <definedName name="EM_018_10">#REF!</definedName>
    <definedName name="EM_018_11" localSheetId="23">#REF!</definedName>
    <definedName name="EM_018_11" localSheetId="6">#REF!</definedName>
    <definedName name="EM_018_11" localSheetId="10">#REF!</definedName>
    <definedName name="EM_018_11">#REF!</definedName>
    <definedName name="EM_018_12" localSheetId="23">#REF!</definedName>
    <definedName name="EM_018_12" localSheetId="6">#REF!</definedName>
    <definedName name="EM_018_12" localSheetId="10">#REF!</definedName>
    <definedName name="EM_018_12">#REF!</definedName>
    <definedName name="EM_018_13" localSheetId="23">#REF!</definedName>
    <definedName name="EM_018_13" localSheetId="6">#REF!</definedName>
    <definedName name="EM_018_13" localSheetId="10">#REF!</definedName>
    <definedName name="EM_018_13">#REF!</definedName>
    <definedName name="EM_018_14" localSheetId="23">#REF!</definedName>
    <definedName name="EM_018_14" localSheetId="6">#REF!</definedName>
    <definedName name="EM_018_14" localSheetId="10">#REF!</definedName>
    <definedName name="EM_018_14">#REF!</definedName>
    <definedName name="EM_018_15" localSheetId="23">#REF!</definedName>
    <definedName name="EM_018_15" localSheetId="6">#REF!</definedName>
    <definedName name="EM_018_15" localSheetId="10">#REF!</definedName>
    <definedName name="EM_018_15">#REF!</definedName>
    <definedName name="EM_018_16" localSheetId="23">#REF!</definedName>
    <definedName name="EM_018_16" localSheetId="6">#REF!</definedName>
    <definedName name="EM_018_16" localSheetId="10">#REF!</definedName>
    <definedName name="EM_018_16">#REF!</definedName>
    <definedName name="EM_018_17" localSheetId="23">#REF!</definedName>
    <definedName name="EM_018_17" localSheetId="6">#REF!</definedName>
    <definedName name="EM_018_17" localSheetId="10">#REF!</definedName>
    <definedName name="EM_018_17">#REF!</definedName>
    <definedName name="EM_018_18" localSheetId="23">#REF!</definedName>
    <definedName name="EM_018_18" localSheetId="6">#REF!</definedName>
    <definedName name="EM_018_18" localSheetId="10">#REF!</definedName>
    <definedName name="EM_018_18">#REF!</definedName>
    <definedName name="EM_018_2" localSheetId="23">#REF!</definedName>
    <definedName name="EM_018_2" localSheetId="6">#REF!</definedName>
    <definedName name="EM_018_2" localSheetId="10">#REF!</definedName>
    <definedName name="EM_018_2">#REF!</definedName>
    <definedName name="EM_018_3" localSheetId="23">#REF!</definedName>
    <definedName name="EM_018_3" localSheetId="6">#REF!</definedName>
    <definedName name="EM_018_3" localSheetId="10">#REF!</definedName>
    <definedName name="EM_018_3">#REF!</definedName>
    <definedName name="EM_018_4" localSheetId="23">#REF!</definedName>
    <definedName name="EM_018_4" localSheetId="6">#REF!</definedName>
    <definedName name="EM_018_4" localSheetId="10">#REF!</definedName>
    <definedName name="EM_018_4">#REF!</definedName>
    <definedName name="EM_018_5" localSheetId="23">#REF!</definedName>
    <definedName name="EM_018_5" localSheetId="6">#REF!</definedName>
    <definedName name="EM_018_5" localSheetId="10">#REF!</definedName>
    <definedName name="EM_018_5">#REF!</definedName>
    <definedName name="EM_018_6" localSheetId="23">#REF!</definedName>
    <definedName name="EM_018_6" localSheetId="6">#REF!</definedName>
    <definedName name="EM_018_6" localSheetId="10">#REF!</definedName>
    <definedName name="EM_018_6">#REF!</definedName>
    <definedName name="EM_018_7" localSheetId="23">#REF!</definedName>
    <definedName name="EM_018_7" localSheetId="6">#REF!</definedName>
    <definedName name="EM_018_7" localSheetId="10">#REF!</definedName>
    <definedName name="EM_018_7">#REF!</definedName>
    <definedName name="EM_018_8" localSheetId="23">#REF!</definedName>
    <definedName name="EM_018_8" localSheetId="6">#REF!</definedName>
    <definedName name="EM_018_8" localSheetId="10">#REF!</definedName>
    <definedName name="EM_018_8">#REF!</definedName>
    <definedName name="EM_018_9" localSheetId="23">#REF!</definedName>
    <definedName name="EM_018_9" localSheetId="6">#REF!</definedName>
    <definedName name="EM_018_9" localSheetId="10">#REF!</definedName>
    <definedName name="EM_018_9">#REF!</definedName>
    <definedName name="EM_019_1" localSheetId="23">#REF!</definedName>
    <definedName name="EM_019_1" localSheetId="6">#REF!</definedName>
    <definedName name="EM_019_1" localSheetId="10">#REF!</definedName>
    <definedName name="EM_019_1">#REF!</definedName>
    <definedName name="EM_019_10" localSheetId="23">#REF!</definedName>
    <definedName name="EM_019_10" localSheetId="6">#REF!</definedName>
    <definedName name="EM_019_10" localSheetId="10">#REF!</definedName>
    <definedName name="EM_019_10">#REF!</definedName>
    <definedName name="EM_019_11" localSheetId="23">#REF!</definedName>
    <definedName name="EM_019_11" localSheetId="6">#REF!</definedName>
    <definedName name="EM_019_11" localSheetId="10">#REF!</definedName>
    <definedName name="EM_019_11">#REF!</definedName>
    <definedName name="EM_019_12" localSheetId="23">#REF!</definedName>
    <definedName name="EM_019_12" localSheetId="6">#REF!</definedName>
    <definedName name="EM_019_12" localSheetId="10">#REF!</definedName>
    <definedName name="EM_019_12">#REF!</definedName>
    <definedName name="EM_019_13" localSheetId="23">#REF!</definedName>
    <definedName name="EM_019_13" localSheetId="6">#REF!</definedName>
    <definedName name="EM_019_13" localSheetId="10">#REF!</definedName>
    <definedName name="EM_019_13">#REF!</definedName>
    <definedName name="EM_019_14" localSheetId="23">#REF!</definedName>
    <definedName name="EM_019_14" localSheetId="6">#REF!</definedName>
    <definedName name="EM_019_14" localSheetId="10">#REF!</definedName>
    <definedName name="EM_019_14">#REF!</definedName>
    <definedName name="EM_019_15" localSheetId="23">#REF!</definedName>
    <definedName name="EM_019_15" localSheetId="6">#REF!</definedName>
    <definedName name="EM_019_15" localSheetId="10">#REF!</definedName>
    <definedName name="EM_019_15">#REF!</definedName>
    <definedName name="EM_019_16" localSheetId="23">#REF!</definedName>
    <definedName name="EM_019_16" localSheetId="6">#REF!</definedName>
    <definedName name="EM_019_16" localSheetId="10">#REF!</definedName>
    <definedName name="EM_019_16">#REF!</definedName>
    <definedName name="EM_019_17" localSheetId="23">#REF!</definedName>
    <definedName name="EM_019_17" localSheetId="6">#REF!</definedName>
    <definedName name="EM_019_17" localSheetId="10">#REF!</definedName>
    <definedName name="EM_019_17">#REF!</definedName>
    <definedName name="EM_019_18" localSheetId="23">#REF!</definedName>
    <definedName name="EM_019_18" localSheetId="6">#REF!</definedName>
    <definedName name="EM_019_18" localSheetId="10">#REF!</definedName>
    <definedName name="EM_019_18">#REF!</definedName>
    <definedName name="EM_019_2" localSheetId="23">#REF!</definedName>
    <definedName name="EM_019_2" localSheetId="6">#REF!</definedName>
    <definedName name="EM_019_2" localSheetId="10">#REF!</definedName>
    <definedName name="EM_019_2">#REF!</definedName>
    <definedName name="EM_019_3" localSheetId="23">#REF!</definedName>
    <definedName name="EM_019_3" localSheetId="6">#REF!</definedName>
    <definedName name="EM_019_3" localSheetId="10">#REF!</definedName>
    <definedName name="EM_019_3">#REF!</definedName>
    <definedName name="EM_019_4" localSheetId="23">#REF!</definedName>
    <definedName name="EM_019_4" localSheetId="6">#REF!</definedName>
    <definedName name="EM_019_4" localSheetId="10">#REF!</definedName>
    <definedName name="EM_019_4">#REF!</definedName>
    <definedName name="EM_019_5" localSheetId="23">#REF!</definedName>
    <definedName name="EM_019_5" localSheetId="6">#REF!</definedName>
    <definedName name="EM_019_5" localSheetId="10">#REF!</definedName>
    <definedName name="EM_019_5">#REF!</definedName>
    <definedName name="EM_019_6" localSheetId="23">#REF!</definedName>
    <definedName name="EM_019_6" localSheetId="6">#REF!</definedName>
    <definedName name="EM_019_6" localSheetId="10">#REF!</definedName>
    <definedName name="EM_019_6">#REF!</definedName>
    <definedName name="EM_019_7" localSheetId="23">#REF!</definedName>
    <definedName name="EM_019_7" localSheetId="6">#REF!</definedName>
    <definedName name="EM_019_7" localSheetId="10">#REF!</definedName>
    <definedName name="EM_019_7">#REF!</definedName>
    <definedName name="EM_019_8" localSheetId="23">#REF!</definedName>
    <definedName name="EM_019_8" localSheetId="6">#REF!</definedName>
    <definedName name="EM_019_8" localSheetId="10">#REF!</definedName>
    <definedName name="EM_019_8">#REF!</definedName>
    <definedName name="EM_019_9" localSheetId="23">#REF!</definedName>
    <definedName name="EM_019_9" localSheetId="6">#REF!</definedName>
    <definedName name="EM_019_9" localSheetId="10">#REF!</definedName>
    <definedName name="EM_019_9">#REF!</definedName>
    <definedName name="EM_020_1" localSheetId="23">#REF!</definedName>
    <definedName name="EM_020_1" localSheetId="6">#REF!</definedName>
    <definedName name="EM_020_1" localSheetId="10">#REF!</definedName>
    <definedName name="EM_020_1">#REF!</definedName>
    <definedName name="EM_020_10" localSheetId="23">#REF!</definedName>
    <definedName name="EM_020_10" localSheetId="6">#REF!</definedName>
    <definedName name="EM_020_10" localSheetId="10">#REF!</definedName>
    <definedName name="EM_020_10">#REF!</definedName>
    <definedName name="EM_020_11" localSheetId="23">#REF!</definedName>
    <definedName name="EM_020_11" localSheetId="6">#REF!</definedName>
    <definedName name="EM_020_11" localSheetId="10">#REF!</definedName>
    <definedName name="EM_020_11">#REF!</definedName>
    <definedName name="EM_020_12" localSheetId="23">#REF!</definedName>
    <definedName name="EM_020_12" localSheetId="6">#REF!</definedName>
    <definedName name="EM_020_12" localSheetId="10">#REF!</definedName>
    <definedName name="EM_020_12">#REF!</definedName>
    <definedName name="EM_020_13" localSheetId="23">#REF!</definedName>
    <definedName name="EM_020_13" localSheetId="6">#REF!</definedName>
    <definedName name="EM_020_13" localSheetId="10">#REF!</definedName>
    <definedName name="EM_020_13">#REF!</definedName>
    <definedName name="EM_020_14" localSheetId="23">#REF!</definedName>
    <definedName name="EM_020_14" localSheetId="6">#REF!</definedName>
    <definedName name="EM_020_14" localSheetId="10">#REF!</definedName>
    <definedName name="EM_020_14">#REF!</definedName>
    <definedName name="EM_020_15" localSheetId="23">#REF!</definedName>
    <definedName name="EM_020_15" localSheetId="6">#REF!</definedName>
    <definedName name="EM_020_15" localSheetId="10">#REF!</definedName>
    <definedName name="EM_020_15">#REF!</definedName>
    <definedName name="EM_020_16" localSheetId="23">#REF!</definedName>
    <definedName name="EM_020_16" localSheetId="6">#REF!</definedName>
    <definedName name="EM_020_16" localSheetId="10">#REF!</definedName>
    <definedName name="EM_020_16">#REF!</definedName>
    <definedName name="EM_020_17" localSheetId="23">#REF!</definedName>
    <definedName name="EM_020_17" localSheetId="6">#REF!</definedName>
    <definedName name="EM_020_17" localSheetId="10">#REF!</definedName>
    <definedName name="EM_020_17">#REF!</definedName>
    <definedName name="EM_020_18" localSheetId="23">#REF!</definedName>
    <definedName name="EM_020_18" localSheetId="6">#REF!</definedName>
    <definedName name="EM_020_18" localSheetId="10">#REF!</definedName>
    <definedName name="EM_020_18">#REF!</definedName>
    <definedName name="EM_020_2" localSheetId="23">#REF!</definedName>
    <definedName name="EM_020_2" localSheetId="6">#REF!</definedName>
    <definedName name="EM_020_2" localSheetId="10">#REF!</definedName>
    <definedName name="EM_020_2">#REF!</definedName>
    <definedName name="EM_020_3" localSheetId="23">#REF!</definedName>
    <definedName name="EM_020_3" localSheetId="6">#REF!</definedName>
    <definedName name="EM_020_3" localSheetId="10">#REF!</definedName>
    <definedName name="EM_020_3">#REF!</definedName>
    <definedName name="EM_020_4" localSheetId="23">#REF!</definedName>
    <definedName name="EM_020_4" localSheetId="6">#REF!</definedName>
    <definedName name="EM_020_4" localSheetId="10">#REF!</definedName>
    <definedName name="EM_020_4">#REF!</definedName>
    <definedName name="EM_020_5" localSheetId="23">#REF!</definedName>
    <definedName name="EM_020_5" localSheetId="6">#REF!</definedName>
    <definedName name="EM_020_5" localSheetId="10">#REF!</definedName>
    <definedName name="EM_020_5">#REF!</definedName>
    <definedName name="EM_020_6" localSheetId="23">#REF!</definedName>
    <definedName name="EM_020_6" localSheetId="6">#REF!</definedName>
    <definedName name="EM_020_6" localSheetId="10">#REF!</definedName>
    <definedName name="EM_020_6">#REF!</definedName>
    <definedName name="EM_020_7" localSheetId="23">#REF!</definedName>
    <definedName name="EM_020_7" localSheetId="6">#REF!</definedName>
    <definedName name="EM_020_7" localSheetId="10">#REF!</definedName>
    <definedName name="EM_020_7">#REF!</definedName>
    <definedName name="EM_020_8" localSheetId="23">#REF!</definedName>
    <definedName name="EM_020_8" localSheetId="6">#REF!</definedName>
    <definedName name="EM_020_8" localSheetId="10">#REF!</definedName>
    <definedName name="EM_020_8">#REF!</definedName>
    <definedName name="EM_020_9" localSheetId="23">#REF!</definedName>
    <definedName name="EM_020_9" localSheetId="6">#REF!</definedName>
    <definedName name="EM_020_9" localSheetId="10">#REF!</definedName>
    <definedName name="EM_020_9">#REF!</definedName>
    <definedName name="EM_021_1" localSheetId="23">#REF!</definedName>
    <definedName name="EM_021_1" localSheetId="6">#REF!</definedName>
    <definedName name="EM_021_1" localSheetId="10">#REF!</definedName>
    <definedName name="EM_021_1">#REF!</definedName>
    <definedName name="EM_021_10" localSheetId="23">#REF!</definedName>
    <definedName name="EM_021_10" localSheetId="6">#REF!</definedName>
    <definedName name="EM_021_10" localSheetId="10">#REF!</definedName>
    <definedName name="EM_021_10">#REF!</definedName>
    <definedName name="EM_021_11" localSheetId="23">#REF!</definedName>
    <definedName name="EM_021_11" localSheetId="6">#REF!</definedName>
    <definedName name="EM_021_11" localSheetId="10">#REF!</definedName>
    <definedName name="EM_021_11">#REF!</definedName>
    <definedName name="EM_021_12" localSheetId="23">#REF!</definedName>
    <definedName name="EM_021_12" localSheetId="6">#REF!</definedName>
    <definedName name="EM_021_12" localSheetId="10">#REF!</definedName>
    <definedName name="EM_021_12">#REF!</definedName>
    <definedName name="EM_021_13" localSheetId="23">#REF!</definedName>
    <definedName name="EM_021_13" localSheetId="6">#REF!</definedName>
    <definedName name="EM_021_13" localSheetId="10">#REF!</definedName>
    <definedName name="EM_021_13">#REF!</definedName>
    <definedName name="EM_021_14" localSheetId="23">#REF!</definedName>
    <definedName name="EM_021_14" localSheetId="6">#REF!</definedName>
    <definedName name="EM_021_14" localSheetId="10">#REF!</definedName>
    <definedName name="EM_021_14">#REF!</definedName>
    <definedName name="EM_021_15" localSheetId="23">#REF!</definedName>
    <definedName name="EM_021_15" localSheetId="6">#REF!</definedName>
    <definedName name="EM_021_15" localSheetId="10">#REF!</definedName>
    <definedName name="EM_021_15">#REF!</definedName>
    <definedName name="EM_021_16" localSheetId="23">#REF!</definedName>
    <definedName name="EM_021_16" localSheetId="6">#REF!</definedName>
    <definedName name="EM_021_16" localSheetId="10">#REF!</definedName>
    <definedName name="EM_021_16">#REF!</definedName>
    <definedName name="EM_021_17" localSheetId="23">#REF!</definedName>
    <definedName name="EM_021_17" localSheetId="6">#REF!</definedName>
    <definedName name="EM_021_17" localSheetId="10">#REF!</definedName>
    <definedName name="EM_021_17">#REF!</definedName>
    <definedName name="EM_021_18" localSheetId="23">#REF!</definedName>
    <definedName name="EM_021_18" localSheetId="6">#REF!</definedName>
    <definedName name="EM_021_18" localSheetId="10">#REF!</definedName>
    <definedName name="EM_021_18">#REF!</definedName>
    <definedName name="EM_021_2" localSheetId="23">#REF!</definedName>
    <definedName name="EM_021_2" localSheetId="6">#REF!</definedName>
    <definedName name="EM_021_2" localSheetId="10">#REF!</definedName>
    <definedName name="EM_021_2">#REF!</definedName>
    <definedName name="EM_021_3" localSheetId="23">#REF!</definedName>
    <definedName name="EM_021_3" localSheetId="6">#REF!</definedName>
    <definedName name="EM_021_3" localSheetId="10">#REF!</definedName>
    <definedName name="EM_021_3">#REF!</definedName>
    <definedName name="EM_021_4" localSheetId="23">#REF!</definedName>
    <definedName name="EM_021_4" localSheetId="6">#REF!</definedName>
    <definedName name="EM_021_4" localSheetId="10">#REF!</definedName>
    <definedName name="EM_021_4">#REF!</definedName>
    <definedName name="EM_021_5" localSheetId="23">#REF!</definedName>
    <definedName name="EM_021_5" localSheetId="6">#REF!</definedName>
    <definedName name="EM_021_5" localSheetId="10">#REF!</definedName>
    <definedName name="EM_021_5">#REF!</definedName>
    <definedName name="EM_021_6" localSheetId="23">#REF!</definedName>
    <definedName name="EM_021_6" localSheetId="6">#REF!</definedName>
    <definedName name="EM_021_6" localSheetId="10">#REF!</definedName>
    <definedName name="EM_021_6">#REF!</definedName>
    <definedName name="EM_021_7" localSheetId="23">#REF!</definedName>
    <definedName name="EM_021_7" localSheetId="6">#REF!</definedName>
    <definedName name="EM_021_7" localSheetId="10">#REF!</definedName>
    <definedName name="EM_021_7">#REF!</definedName>
    <definedName name="EM_021_8" localSheetId="23">#REF!</definedName>
    <definedName name="EM_021_8" localSheetId="6">#REF!</definedName>
    <definedName name="EM_021_8" localSheetId="10">#REF!</definedName>
    <definedName name="EM_021_8">#REF!</definedName>
    <definedName name="EM_021_9" localSheetId="23">#REF!</definedName>
    <definedName name="EM_021_9" localSheetId="6">#REF!</definedName>
    <definedName name="EM_021_9" localSheetId="10">#REF!</definedName>
    <definedName name="EM_021_9">#REF!</definedName>
    <definedName name="EM_022_1" localSheetId="23">#REF!</definedName>
    <definedName name="EM_022_1" localSheetId="6">#REF!</definedName>
    <definedName name="EM_022_1" localSheetId="10">#REF!</definedName>
    <definedName name="EM_022_1">#REF!</definedName>
    <definedName name="EM_022_10" localSheetId="23">#REF!</definedName>
    <definedName name="EM_022_10" localSheetId="6">#REF!</definedName>
    <definedName name="EM_022_10" localSheetId="10">#REF!</definedName>
    <definedName name="EM_022_10">#REF!</definedName>
    <definedName name="EM_022_11" localSheetId="23">#REF!</definedName>
    <definedName name="EM_022_11" localSheetId="6">#REF!</definedName>
    <definedName name="EM_022_11" localSheetId="10">#REF!</definedName>
    <definedName name="EM_022_11">#REF!</definedName>
    <definedName name="EM_022_12" localSheetId="23">#REF!</definedName>
    <definedName name="EM_022_12" localSheetId="6">#REF!</definedName>
    <definedName name="EM_022_12" localSheetId="10">#REF!</definedName>
    <definedName name="EM_022_12">#REF!</definedName>
    <definedName name="EM_022_13" localSheetId="23">#REF!</definedName>
    <definedName name="EM_022_13" localSheetId="6">#REF!</definedName>
    <definedName name="EM_022_13" localSheetId="10">#REF!</definedName>
    <definedName name="EM_022_13">#REF!</definedName>
    <definedName name="EM_022_14" localSheetId="23">#REF!</definedName>
    <definedName name="EM_022_14" localSheetId="6">#REF!</definedName>
    <definedName name="EM_022_14" localSheetId="10">#REF!</definedName>
    <definedName name="EM_022_14">#REF!</definedName>
    <definedName name="EM_022_15" localSheetId="23">#REF!</definedName>
    <definedName name="EM_022_15" localSheetId="6">#REF!</definedName>
    <definedName name="EM_022_15" localSheetId="10">#REF!</definedName>
    <definedName name="EM_022_15">#REF!</definedName>
    <definedName name="EM_022_16" localSheetId="23">#REF!</definedName>
    <definedName name="EM_022_16" localSheetId="6">#REF!</definedName>
    <definedName name="EM_022_16" localSheetId="10">#REF!</definedName>
    <definedName name="EM_022_16">#REF!</definedName>
    <definedName name="EM_022_17" localSheetId="23">#REF!</definedName>
    <definedName name="EM_022_17" localSheetId="6">#REF!</definedName>
    <definedName name="EM_022_17" localSheetId="10">#REF!</definedName>
    <definedName name="EM_022_17">#REF!</definedName>
    <definedName name="EM_022_18" localSheetId="23">#REF!</definedName>
    <definedName name="EM_022_18" localSheetId="6">#REF!</definedName>
    <definedName name="EM_022_18" localSheetId="10">#REF!</definedName>
    <definedName name="EM_022_18">#REF!</definedName>
    <definedName name="EM_022_2" localSheetId="23">#REF!</definedName>
    <definedName name="EM_022_2" localSheetId="6">#REF!</definedName>
    <definedName name="EM_022_2" localSheetId="10">#REF!</definedName>
    <definedName name="EM_022_2">#REF!</definedName>
    <definedName name="EM_022_3" localSheetId="23">#REF!</definedName>
    <definedName name="EM_022_3" localSheetId="6">#REF!</definedName>
    <definedName name="EM_022_3" localSheetId="10">#REF!</definedName>
    <definedName name="EM_022_3">#REF!</definedName>
    <definedName name="EM_022_4" localSheetId="23">#REF!</definedName>
    <definedName name="EM_022_4" localSheetId="6">#REF!</definedName>
    <definedName name="EM_022_4" localSheetId="10">#REF!</definedName>
    <definedName name="EM_022_4">#REF!</definedName>
    <definedName name="EM_022_5" localSheetId="23">#REF!</definedName>
    <definedName name="EM_022_5" localSheetId="6">#REF!</definedName>
    <definedName name="EM_022_5" localSheetId="10">#REF!</definedName>
    <definedName name="EM_022_5">#REF!</definedName>
    <definedName name="EM_022_6" localSheetId="23">#REF!</definedName>
    <definedName name="EM_022_6" localSheetId="6">#REF!</definedName>
    <definedName name="EM_022_6" localSheetId="10">#REF!</definedName>
    <definedName name="EM_022_6">#REF!</definedName>
    <definedName name="EM_022_7" localSheetId="23">#REF!</definedName>
    <definedName name="EM_022_7" localSheetId="6">#REF!</definedName>
    <definedName name="EM_022_7" localSheetId="10">#REF!</definedName>
    <definedName name="EM_022_7">#REF!</definedName>
    <definedName name="EM_022_8" localSheetId="23">#REF!</definedName>
    <definedName name="EM_022_8" localSheetId="6">#REF!</definedName>
    <definedName name="EM_022_8" localSheetId="10">#REF!</definedName>
    <definedName name="EM_022_8">#REF!</definedName>
    <definedName name="EM_022_9" localSheetId="23">#REF!</definedName>
    <definedName name="EM_022_9" localSheetId="6">#REF!</definedName>
    <definedName name="EM_022_9" localSheetId="10">#REF!</definedName>
    <definedName name="EM_022_9">#REF!</definedName>
    <definedName name="EM_023_1" localSheetId="23">#REF!</definedName>
    <definedName name="EM_023_1" localSheetId="6">#REF!</definedName>
    <definedName name="EM_023_1" localSheetId="10">#REF!</definedName>
    <definedName name="EM_023_1">#REF!</definedName>
    <definedName name="EM_023_10" localSheetId="23">#REF!</definedName>
    <definedName name="EM_023_10" localSheetId="6">#REF!</definedName>
    <definedName name="EM_023_10" localSheetId="10">#REF!</definedName>
    <definedName name="EM_023_10">#REF!</definedName>
    <definedName name="EM_023_11" localSheetId="23">#REF!</definedName>
    <definedName name="EM_023_11" localSheetId="6">#REF!</definedName>
    <definedName name="EM_023_11" localSheetId="10">#REF!</definedName>
    <definedName name="EM_023_11">#REF!</definedName>
    <definedName name="EM_023_12" localSheetId="23">#REF!</definedName>
    <definedName name="EM_023_12" localSheetId="6">#REF!</definedName>
    <definedName name="EM_023_12" localSheetId="10">#REF!</definedName>
    <definedName name="EM_023_12">#REF!</definedName>
    <definedName name="EM_023_13" localSheetId="23">#REF!</definedName>
    <definedName name="EM_023_13" localSheetId="6">#REF!</definedName>
    <definedName name="EM_023_13" localSheetId="10">#REF!</definedName>
    <definedName name="EM_023_13">#REF!</definedName>
    <definedName name="EM_023_14" localSheetId="23">#REF!</definedName>
    <definedName name="EM_023_14" localSheetId="6">#REF!</definedName>
    <definedName name="EM_023_14" localSheetId="10">#REF!</definedName>
    <definedName name="EM_023_14">#REF!</definedName>
    <definedName name="EM_023_15" localSheetId="23">#REF!</definedName>
    <definedName name="EM_023_15" localSheetId="6">#REF!</definedName>
    <definedName name="EM_023_15" localSheetId="10">#REF!</definedName>
    <definedName name="EM_023_15">#REF!</definedName>
    <definedName name="EM_023_16" localSheetId="23">#REF!</definedName>
    <definedName name="EM_023_16" localSheetId="6">#REF!</definedName>
    <definedName name="EM_023_16" localSheetId="10">#REF!</definedName>
    <definedName name="EM_023_16">#REF!</definedName>
    <definedName name="EM_023_17" localSheetId="23">#REF!</definedName>
    <definedName name="EM_023_17" localSheetId="6">#REF!</definedName>
    <definedName name="EM_023_17" localSheetId="10">#REF!</definedName>
    <definedName name="EM_023_17">#REF!</definedName>
    <definedName name="EM_023_18" localSheetId="23">#REF!</definedName>
    <definedName name="EM_023_18" localSheetId="6">#REF!</definedName>
    <definedName name="EM_023_18" localSheetId="10">#REF!</definedName>
    <definedName name="EM_023_18">#REF!</definedName>
    <definedName name="EM_023_2" localSheetId="23">#REF!</definedName>
    <definedName name="EM_023_2" localSheetId="6">#REF!</definedName>
    <definedName name="EM_023_2" localSheetId="10">#REF!</definedName>
    <definedName name="EM_023_2">#REF!</definedName>
    <definedName name="EM_023_3" localSheetId="23">#REF!</definedName>
    <definedName name="EM_023_3" localSheetId="6">#REF!</definedName>
    <definedName name="EM_023_3" localSheetId="10">#REF!</definedName>
    <definedName name="EM_023_3">#REF!</definedName>
    <definedName name="EM_023_4" localSheetId="23">#REF!</definedName>
    <definedName name="EM_023_4" localSheetId="6">#REF!</definedName>
    <definedName name="EM_023_4" localSheetId="10">#REF!</definedName>
    <definedName name="EM_023_4">#REF!</definedName>
    <definedName name="EM_023_5" localSheetId="23">#REF!</definedName>
    <definedName name="EM_023_5" localSheetId="6">#REF!</definedName>
    <definedName name="EM_023_5" localSheetId="10">#REF!</definedName>
    <definedName name="EM_023_5">#REF!</definedName>
    <definedName name="EM_023_6" localSheetId="23">#REF!</definedName>
    <definedName name="EM_023_6" localSheetId="6">#REF!</definedName>
    <definedName name="EM_023_6" localSheetId="10">#REF!</definedName>
    <definedName name="EM_023_6">#REF!</definedName>
    <definedName name="EM_023_7" localSheetId="23">#REF!</definedName>
    <definedName name="EM_023_7" localSheetId="6">#REF!</definedName>
    <definedName name="EM_023_7" localSheetId="10">#REF!</definedName>
    <definedName name="EM_023_7">#REF!</definedName>
    <definedName name="EM_023_8" localSheetId="23">#REF!</definedName>
    <definedName name="EM_023_8" localSheetId="6">#REF!</definedName>
    <definedName name="EM_023_8" localSheetId="10">#REF!</definedName>
    <definedName name="EM_023_8">#REF!</definedName>
    <definedName name="EM_023_9" localSheetId="23">#REF!</definedName>
    <definedName name="EM_023_9" localSheetId="6">#REF!</definedName>
    <definedName name="EM_023_9" localSheetId="10">#REF!</definedName>
    <definedName name="EM_023_9">#REF!</definedName>
    <definedName name="EM_024_1" localSheetId="23">#REF!</definedName>
    <definedName name="EM_024_1" localSheetId="6">#REF!</definedName>
    <definedName name="EM_024_1" localSheetId="10">#REF!</definedName>
    <definedName name="EM_024_1">#REF!</definedName>
    <definedName name="EM_024_10" localSheetId="23">#REF!</definedName>
    <definedName name="EM_024_10" localSheetId="6">#REF!</definedName>
    <definedName name="EM_024_10" localSheetId="10">#REF!</definedName>
    <definedName name="EM_024_10">#REF!</definedName>
    <definedName name="EM_024_11" localSheetId="23">#REF!</definedName>
    <definedName name="EM_024_11" localSheetId="6">#REF!</definedName>
    <definedName name="EM_024_11" localSheetId="10">#REF!</definedName>
    <definedName name="EM_024_11">#REF!</definedName>
    <definedName name="EM_024_12" localSheetId="23">#REF!</definedName>
    <definedName name="EM_024_12" localSheetId="6">#REF!</definedName>
    <definedName name="EM_024_12" localSheetId="10">#REF!</definedName>
    <definedName name="EM_024_12">#REF!</definedName>
    <definedName name="EM_024_13" localSheetId="23">#REF!</definedName>
    <definedName name="EM_024_13" localSheetId="6">#REF!</definedName>
    <definedName name="EM_024_13" localSheetId="10">#REF!</definedName>
    <definedName name="EM_024_13">#REF!</definedName>
    <definedName name="EM_024_14" localSheetId="23">#REF!</definedName>
    <definedName name="EM_024_14" localSheetId="6">#REF!</definedName>
    <definedName name="EM_024_14" localSheetId="10">#REF!</definedName>
    <definedName name="EM_024_14">#REF!</definedName>
    <definedName name="EM_024_15" localSheetId="23">#REF!</definedName>
    <definedName name="EM_024_15" localSheetId="6">#REF!</definedName>
    <definedName name="EM_024_15" localSheetId="10">#REF!</definedName>
    <definedName name="EM_024_15">#REF!</definedName>
    <definedName name="EM_024_16" localSheetId="23">#REF!</definedName>
    <definedName name="EM_024_16" localSheetId="6">#REF!</definedName>
    <definedName name="EM_024_16" localSheetId="10">#REF!</definedName>
    <definedName name="EM_024_16">#REF!</definedName>
    <definedName name="EM_024_17" localSheetId="23">#REF!</definedName>
    <definedName name="EM_024_17" localSheetId="6">#REF!</definedName>
    <definedName name="EM_024_17" localSheetId="10">#REF!</definedName>
    <definedName name="EM_024_17">#REF!</definedName>
    <definedName name="EM_024_18" localSheetId="23">#REF!</definedName>
    <definedName name="EM_024_18" localSheetId="6">#REF!</definedName>
    <definedName name="EM_024_18" localSheetId="10">#REF!</definedName>
    <definedName name="EM_024_18">#REF!</definedName>
    <definedName name="EM_024_2" localSheetId="23">#REF!</definedName>
    <definedName name="EM_024_2" localSheetId="6">#REF!</definedName>
    <definedName name="EM_024_2" localSheetId="10">#REF!</definedName>
    <definedName name="EM_024_2">#REF!</definedName>
    <definedName name="EM_024_3" localSheetId="23">#REF!</definedName>
    <definedName name="EM_024_3" localSheetId="6">#REF!</definedName>
    <definedName name="EM_024_3" localSheetId="10">#REF!</definedName>
    <definedName name="EM_024_3">#REF!</definedName>
    <definedName name="EM_024_4" localSheetId="23">#REF!</definedName>
    <definedName name="EM_024_4" localSheetId="6">#REF!</definedName>
    <definedName name="EM_024_4" localSheetId="10">#REF!</definedName>
    <definedName name="EM_024_4">#REF!</definedName>
    <definedName name="EM_024_5" localSheetId="23">#REF!</definedName>
    <definedName name="EM_024_5" localSheetId="6">#REF!</definedName>
    <definedName name="EM_024_5" localSheetId="10">#REF!</definedName>
    <definedName name="EM_024_5">#REF!</definedName>
    <definedName name="EM_024_6" localSheetId="23">#REF!</definedName>
    <definedName name="EM_024_6" localSheetId="6">#REF!</definedName>
    <definedName name="EM_024_6" localSheetId="10">#REF!</definedName>
    <definedName name="EM_024_6">#REF!</definedName>
    <definedName name="EM_024_7" localSheetId="23">#REF!</definedName>
    <definedName name="EM_024_7" localSheetId="6">#REF!</definedName>
    <definedName name="EM_024_7" localSheetId="10">#REF!</definedName>
    <definedName name="EM_024_7">#REF!</definedName>
    <definedName name="EM_024_8" localSheetId="23">#REF!</definedName>
    <definedName name="EM_024_8" localSheetId="6">#REF!</definedName>
    <definedName name="EM_024_8" localSheetId="10">#REF!</definedName>
    <definedName name="EM_024_8">#REF!</definedName>
    <definedName name="EM_024_9" localSheetId="23">#REF!</definedName>
    <definedName name="EM_024_9" localSheetId="6">#REF!</definedName>
    <definedName name="EM_024_9" localSheetId="10">#REF!</definedName>
    <definedName name="EM_024_9">#REF!</definedName>
    <definedName name="EM_025_1" localSheetId="23">#REF!</definedName>
    <definedName name="EM_025_1" localSheetId="6">#REF!</definedName>
    <definedName name="EM_025_1" localSheetId="10">#REF!</definedName>
    <definedName name="EM_025_1">#REF!</definedName>
    <definedName name="EM_025_10" localSheetId="23">#REF!</definedName>
    <definedName name="EM_025_10" localSheetId="6">#REF!</definedName>
    <definedName name="EM_025_10" localSheetId="10">#REF!</definedName>
    <definedName name="EM_025_10">#REF!</definedName>
    <definedName name="EM_025_11" localSheetId="23">#REF!</definedName>
    <definedName name="EM_025_11" localSheetId="6">#REF!</definedName>
    <definedName name="EM_025_11" localSheetId="10">#REF!</definedName>
    <definedName name="EM_025_11">#REF!</definedName>
    <definedName name="EM_025_12" localSheetId="23">#REF!</definedName>
    <definedName name="EM_025_12" localSheetId="6">#REF!</definedName>
    <definedName name="EM_025_12" localSheetId="10">#REF!</definedName>
    <definedName name="EM_025_12">#REF!</definedName>
    <definedName name="EM_025_13" localSheetId="23">#REF!</definedName>
    <definedName name="EM_025_13" localSheetId="6">#REF!</definedName>
    <definedName name="EM_025_13" localSheetId="10">#REF!</definedName>
    <definedName name="EM_025_13">#REF!</definedName>
    <definedName name="EM_025_14" localSheetId="23">#REF!</definedName>
    <definedName name="EM_025_14" localSheetId="6">#REF!</definedName>
    <definedName name="EM_025_14" localSheetId="10">#REF!</definedName>
    <definedName name="EM_025_14">#REF!</definedName>
    <definedName name="EM_025_15" localSheetId="23">#REF!</definedName>
    <definedName name="EM_025_15" localSheetId="6">#REF!</definedName>
    <definedName name="EM_025_15" localSheetId="10">#REF!</definedName>
    <definedName name="EM_025_15">#REF!</definedName>
    <definedName name="EM_025_16" localSheetId="23">#REF!</definedName>
    <definedName name="EM_025_16" localSheetId="6">#REF!</definedName>
    <definedName name="EM_025_16" localSheetId="10">#REF!</definedName>
    <definedName name="EM_025_16">#REF!</definedName>
    <definedName name="EM_025_17" localSheetId="23">#REF!</definedName>
    <definedName name="EM_025_17" localSheetId="6">#REF!</definedName>
    <definedName name="EM_025_17" localSheetId="10">#REF!</definedName>
    <definedName name="EM_025_17">#REF!</definedName>
    <definedName name="EM_025_18" localSheetId="23">#REF!</definedName>
    <definedName name="EM_025_18" localSheetId="6">#REF!</definedName>
    <definedName name="EM_025_18" localSheetId="10">#REF!</definedName>
    <definedName name="EM_025_18">#REF!</definedName>
    <definedName name="EM_025_2" localSheetId="23">#REF!</definedName>
    <definedName name="EM_025_2" localSheetId="6">#REF!</definedName>
    <definedName name="EM_025_2" localSheetId="10">#REF!</definedName>
    <definedName name="EM_025_2">#REF!</definedName>
    <definedName name="EM_025_3" localSheetId="23">#REF!</definedName>
    <definedName name="EM_025_3" localSheetId="6">#REF!</definedName>
    <definedName name="EM_025_3" localSheetId="10">#REF!</definedName>
    <definedName name="EM_025_3">#REF!</definedName>
    <definedName name="EM_025_4" localSheetId="23">#REF!</definedName>
    <definedName name="EM_025_4" localSheetId="6">#REF!</definedName>
    <definedName name="EM_025_4" localSheetId="10">#REF!</definedName>
    <definedName name="EM_025_4">#REF!</definedName>
    <definedName name="EM_025_5" localSheetId="23">#REF!</definedName>
    <definedName name="EM_025_5" localSheetId="6">#REF!</definedName>
    <definedName name="EM_025_5" localSheetId="10">#REF!</definedName>
    <definedName name="EM_025_5">#REF!</definedName>
    <definedName name="EM_025_6" localSheetId="23">#REF!</definedName>
    <definedName name="EM_025_6" localSheetId="6">#REF!</definedName>
    <definedName name="EM_025_6" localSheetId="10">#REF!</definedName>
    <definedName name="EM_025_6">#REF!</definedName>
    <definedName name="EM_025_7" localSheetId="23">#REF!</definedName>
    <definedName name="EM_025_7" localSheetId="6">#REF!</definedName>
    <definedName name="EM_025_7" localSheetId="10">#REF!</definedName>
    <definedName name="EM_025_7">#REF!</definedName>
    <definedName name="EM_025_8" localSheetId="23">#REF!</definedName>
    <definedName name="EM_025_8" localSheetId="6">#REF!</definedName>
    <definedName name="EM_025_8" localSheetId="10">#REF!</definedName>
    <definedName name="EM_025_8">#REF!</definedName>
    <definedName name="EM_025_9" localSheetId="23">#REF!</definedName>
    <definedName name="EM_025_9" localSheetId="6">#REF!</definedName>
    <definedName name="EM_025_9" localSheetId="10">#REF!</definedName>
    <definedName name="EM_025_9">#REF!</definedName>
    <definedName name="EM_026_1" localSheetId="23">#REF!</definedName>
    <definedName name="EM_026_1" localSheetId="6">#REF!</definedName>
    <definedName name="EM_026_1" localSheetId="10">#REF!</definedName>
    <definedName name="EM_026_1">#REF!</definedName>
    <definedName name="EM_026_10" localSheetId="23">#REF!</definedName>
    <definedName name="EM_026_10" localSheetId="6">#REF!</definedName>
    <definedName name="EM_026_10" localSheetId="10">#REF!</definedName>
    <definedName name="EM_026_10">#REF!</definedName>
    <definedName name="EM_026_11" localSheetId="23">#REF!</definedName>
    <definedName name="EM_026_11" localSheetId="6">#REF!</definedName>
    <definedName name="EM_026_11" localSheetId="10">#REF!</definedName>
    <definedName name="EM_026_11">#REF!</definedName>
    <definedName name="EM_026_12" localSheetId="23">#REF!</definedName>
    <definedName name="EM_026_12" localSheetId="6">#REF!</definedName>
    <definedName name="EM_026_12" localSheetId="10">#REF!</definedName>
    <definedName name="EM_026_12">#REF!</definedName>
    <definedName name="EM_026_13" localSheetId="23">#REF!</definedName>
    <definedName name="EM_026_13" localSheetId="6">#REF!</definedName>
    <definedName name="EM_026_13" localSheetId="10">#REF!</definedName>
    <definedName name="EM_026_13">#REF!</definedName>
    <definedName name="EM_026_14" localSheetId="23">#REF!</definedName>
    <definedName name="EM_026_14" localSheetId="6">#REF!</definedName>
    <definedName name="EM_026_14" localSheetId="10">#REF!</definedName>
    <definedName name="EM_026_14">#REF!</definedName>
    <definedName name="EM_026_15" localSheetId="23">#REF!</definedName>
    <definedName name="EM_026_15" localSheetId="6">#REF!</definedName>
    <definedName name="EM_026_15" localSheetId="10">#REF!</definedName>
    <definedName name="EM_026_15">#REF!</definedName>
    <definedName name="EM_026_16" localSheetId="23">#REF!</definedName>
    <definedName name="EM_026_16" localSheetId="6">#REF!</definedName>
    <definedName name="EM_026_16" localSheetId="10">#REF!</definedName>
    <definedName name="EM_026_16">#REF!</definedName>
    <definedName name="EM_026_17" localSheetId="23">#REF!</definedName>
    <definedName name="EM_026_17" localSheetId="6">#REF!</definedName>
    <definedName name="EM_026_17" localSheetId="10">#REF!</definedName>
    <definedName name="EM_026_17">#REF!</definedName>
    <definedName name="EM_026_18" localSheetId="23">#REF!</definedName>
    <definedName name="EM_026_18" localSheetId="6">#REF!</definedName>
    <definedName name="EM_026_18" localSheetId="10">#REF!</definedName>
    <definedName name="EM_026_18">#REF!</definedName>
    <definedName name="EM_026_2" localSheetId="23">#REF!</definedName>
    <definedName name="EM_026_2" localSheetId="6">#REF!</definedName>
    <definedName name="EM_026_2" localSheetId="10">#REF!</definedName>
    <definedName name="EM_026_2">#REF!</definedName>
    <definedName name="EM_026_3" localSheetId="23">#REF!</definedName>
    <definedName name="EM_026_3" localSheetId="6">#REF!</definedName>
    <definedName name="EM_026_3" localSheetId="10">#REF!</definedName>
    <definedName name="EM_026_3">#REF!</definedName>
    <definedName name="EM_026_4" localSheetId="23">#REF!</definedName>
    <definedName name="EM_026_4" localSheetId="6">#REF!</definedName>
    <definedName name="EM_026_4" localSheetId="10">#REF!</definedName>
    <definedName name="EM_026_4">#REF!</definedName>
    <definedName name="EM_026_5" localSheetId="23">#REF!</definedName>
    <definedName name="EM_026_5" localSheetId="6">#REF!</definedName>
    <definedName name="EM_026_5" localSheetId="10">#REF!</definedName>
    <definedName name="EM_026_5">#REF!</definedName>
    <definedName name="EM_026_6" localSheetId="23">#REF!</definedName>
    <definedName name="EM_026_6" localSheetId="6">#REF!</definedName>
    <definedName name="EM_026_6" localSheetId="10">#REF!</definedName>
    <definedName name="EM_026_6">#REF!</definedName>
    <definedName name="EM_026_7" localSheetId="23">#REF!</definedName>
    <definedName name="EM_026_7" localSheetId="6">#REF!</definedName>
    <definedName name="EM_026_7" localSheetId="10">#REF!</definedName>
    <definedName name="EM_026_7">#REF!</definedName>
    <definedName name="EM_026_8" localSheetId="23">#REF!</definedName>
    <definedName name="EM_026_8" localSheetId="6">#REF!</definedName>
    <definedName name="EM_026_8" localSheetId="10">#REF!</definedName>
    <definedName name="EM_026_8">#REF!</definedName>
    <definedName name="EM_026_9" localSheetId="23">#REF!</definedName>
    <definedName name="EM_026_9" localSheetId="6">#REF!</definedName>
    <definedName name="EM_026_9" localSheetId="10">#REF!</definedName>
    <definedName name="EM_026_9">#REF!</definedName>
    <definedName name="EM_027_1" localSheetId="23">#REF!</definedName>
    <definedName name="EM_027_1" localSheetId="6">#REF!</definedName>
    <definedName name="EM_027_1" localSheetId="10">#REF!</definedName>
    <definedName name="EM_027_1">#REF!</definedName>
    <definedName name="EM_027_10" localSheetId="23">#REF!</definedName>
    <definedName name="EM_027_10" localSheetId="6">#REF!</definedName>
    <definedName name="EM_027_10" localSheetId="10">#REF!</definedName>
    <definedName name="EM_027_10">#REF!</definedName>
    <definedName name="EM_027_11" localSheetId="23">#REF!</definedName>
    <definedName name="EM_027_11" localSheetId="6">#REF!</definedName>
    <definedName name="EM_027_11" localSheetId="10">#REF!</definedName>
    <definedName name="EM_027_11">#REF!</definedName>
    <definedName name="EM_027_12" localSheetId="23">#REF!</definedName>
    <definedName name="EM_027_12" localSheetId="6">#REF!</definedName>
    <definedName name="EM_027_12" localSheetId="10">#REF!</definedName>
    <definedName name="EM_027_12">#REF!</definedName>
    <definedName name="EM_027_13" localSheetId="23">#REF!</definedName>
    <definedName name="EM_027_13" localSheetId="6">#REF!</definedName>
    <definedName name="EM_027_13" localSheetId="10">#REF!</definedName>
    <definedName name="EM_027_13">#REF!</definedName>
    <definedName name="EM_027_14" localSheetId="23">#REF!</definedName>
    <definedName name="EM_027_14" localSheetId="6">#REF!</definedName>
    <definedName name="EM_027_14" localSheetId="10">#REF!</definedName>
    <definedName name="EM_027_14">#REF!</definedName>
    <definedName name="EM_027_15" localSheetId="23">#REF!</definedName>
    <definedName name="EM_027_15" localSheetId="6">#REF!</definedName>
    <definedName name="EM_027_15" localSheetId="10">#REF!</definedName>
    <definedName name="EM_027_15">#REF!</definedName>
    <definedName name="EM_027_16" localSheetId="23">#REF!</definedName>
    <definedName name="EM_027_16" localSheetId="6">#REF!</definedName>
    <definedName name="EM_027_16" localSheetId="10">#REF!</definedName>
    <definedName name="EM_027_16">#REF!</definedName>
    <definedName name="EM_027_17" localSheetId="23">#REF!</definedName>
    <definedName name="EM_027_17" localSheetId="6">#REF!</definedName>
    <definedName name="EM_027_17" localSheetId="10">#REF!</definedName>
    <definedName name="EM_027_17">#REF!</definedName>
    <definedName name="EM_027_18" localSheetId="23">#REF!</definedName>
    <definedName name="EM_027_18" localSheetId="6">#REF!</definedName>
    <definedName name="EM_027_18" localSheetId="10">#REF!</definedName>
    <definedName name="EM_027_18">#REF!</definedName>
    <definedName name="EM_027_2" localSheetId="23">#REF!</definedName>
    <definedName name="EM_027_2" localSheetId="6">#REF!</definedName>
    <definedName name="EM_027_2" localSheetId="10">#REF!</definedName>
    <definedName name="EM_027_2">#REF!</definedName>
    <definedName name="EM_027_3" localSheetId="23">#REF!</definedName>
    <definedName name="EM_027_3" localSheetId="6">#REF!</definedName>
    <definedName name="EM_027_3" localSheetId="10">#REF!</definedName>
    <definedName name="EM_027_3">#REF!</definedName>
    <definedName name="EM_027_4" localSheetId="23">#REF!</definedName>
    <definedName name="EM_027_4" localSheetId="6">#REF!</definedName>
    <definedName name="EM_027_4" localSheetId="10">#REF!</definedName>
    <definedName name="EM_027_4">#REF!</definedName>
    <definedName name="EM_027_5" localSheetId="23">#REF!</definedName>
    <definedName name="EM_027_5" localSheetId="6">#REF!</definedName>
    <definedName name="EM_027_5" localSheetId="10">#REF!</definedName>
    <definedName name="EM_027_5">#REF!</definedName>
    <definedName name="EM_027_6" localSheetId="23">#REF!</definedName>
    <definedName name="EM_027_6" localSheetId="6">#REF!</definedName>
    <definedName name="EM_027_6" localSheetId="10">#REF!</definedName>
    <definedName name="EM_027_6">#REF!</definedName>
    <definedName name="EM_027_7" localSheetId="23">#REF!</definedName>
    <definedName name="EM_027_7" localSheetId="6">#REF!</definedName>
    <definedName name="EM_027_7" localSheetId="10">#REF!</definedName>
    <definedName name="EM_027_7">#REF!</definedName>
    <definedName name="EM_027_8" localSheetId="23">#REF!</definedName>
    <definedName name="EM_027_8" localSheetId="6">#REF!</definedName>
    <definedName name="EM_027_8" localSheetId="10">#REF!</definedName>
    <definedName name="EM_027_8">#REF!</definedName>
    <definedName name="EM_027_9" localSheetId="23">#REF!</definedName>
    <definedName name="EM_027_9" localSheetId="6">#REF!</definedName>
    <definedName name="EM_027_9" localSheetId="10">#REF!</definedName>
    <definedName name="EM_027_9">#REF!</definedName>
    <definedName name="EM_028_1" localSheetId="23">#REF!</definedName>
    <definedName name="EM_028_1" localSheetId="6">#REF!</definedName>
    <definedName name="EM_028_1" localSheetId="10">#REF!</definedName>
    <definedName name="EM_028_1">#REF!</definedName>
    <definedName name="EM_028_10" localSheetId="23">#REF!</definedName>
    <definedName name="EM_028_10" localSheetId="6">#REF!</definedName>
    <definedName name="EM_028_10" localSheetId="10">#REF!</definedName>
    <definedName name="EM_028_10">#REF!</definedName>
    <definedName name="EM_028_11" localSheetId="23">#REF!</definedName>
    <definedName name="EM_028_11" localSheetId="6">#REF!</definedName>
    <definedName name="EM_028_11" localSheetId="10">#REF!</definedName>
    <definedName name="EM_028_11">#REF!</definedName>
    <definedName name="EM_028_12" localSheetId="23">#REF!</definedName>
    <definedName name="EM_028_12" localSheetId="6">#REF!</definedName>
    <definedName name="EM_028_12" localSheetId="10">#REF!</definedName>
    <definedName name="EM_028_12">#REF!</definedName>
    <definedName name="EM_028_13" localSheetId="23">#REF!</definedName>
    <definedName name="EM_028_13" localSheetId="6">#REF!</definedName>
    <definedName name="EM_028_13" localSheetId="10">#REF!</definedName>
    <definedName name="EM_028_13">#REF!</definedName>
    <definedName name="EM_028_14" localSheetId="23">#REF!</definedName>
    <definedName name="EM_028_14" localSheetId="6">#REF!</definedName>
    <definedName name="EM_028_14" localSheetId="10">#REF!</definedName>
    <definedName name="EM_028_14">#REF!</definedName>
    <definedName name="EM_028_15" localSheetId="23">#REF!</definedName>
    <definedName name="EM_028_15" localSheetId="6">#REF!</definedName>
    <definedName name="EM_028_15" localSheetId="10">#REF!</definedName>
    <definedName name="EM_028_15">#REF!</definedName>
    <definedName name="EM_028_16" localSheetId="23">#REF!</definedName>
    <definedName name="EM_028_16" localSheetId="6">#REF!</definedName>
    <definedName name="EM_028_16" localSheetId="10">#REF!</definedName>
    <definedName name="EM_028_16">#REF!</definedName>
    <definedName name="EM_028_17" localSheetId="23">#REF!</definedName>
    <definedName name="EM_028_17" localSheetId="6">#REF!</definedName>
    <definedName name="EM_028_17" localSheetId="10">#REF!</definedName>
    <definedName name="EM_028_17">#REF!</definedName>
    <definedName name="EM_028_18" localSheetId="23">#REF!</definedName>
    <definedName name="EM_028_18" localSheetId="6">#REF!</definedName>
    <definedName name="EM_028_18" localSheetId="10">#REF!</definedName>
    <definedName name="EM_028_18">#REF!</definedName>
    <definedName name="EM_028_2" localSheetId="23">#REF!</definedName>
    <definedName name="EM_028_2" localSheetId="6">#REF!</definedName>
    <definedName name="EM_028_2" localSheetId="10">#REF!</definedName>
    <definedName name="EM_028_2">#REF!</definedName>
    <definedName name="EM_028_3" localSheetId="23">#REF!</definedName>
    <definedName name="EM_028_3" localSheetId="6">#REF!</definedName>
    <definedName name="EM_028_3" localSheetId="10">#REF!</definedName>
    <definedName name="EM_028_3">#REF!</definedName>
    <definedName name="EM_028_4" localSheetId="23">#REF!</definedName>
    <definedName name="EM_028_4" localSheetId="6">#REF!</definedName>
    <definedName name="EM_028_4" localSheetId="10">#REF!</definedName>
    <definedName name="EM_028_4">#REF!</definedName>
    <definedName name="EM_028_5" localSheetId="23">#REF!</definedName>
    <definedName name="EM_028_5" localSheetId="6">#REF!</definedName>
    <definedName name="EM_028_5" localSheetId="10">#REF!</definedName>
    <definedName name="EM_028_5">#REF!</definedName>
    <definedName name="EM_028_6" localSheetId="23">#REF!</definedName>
    <definedName name="EM_028_6" localSheetId="6">#REF!</definedName>
    <definedName name="EM_028_6" localSheetId="10">#REF!</definedName>
    <definedName name="EM_028_6">#REF!</definedName>
    <definedName name="EM_028_7" localSheetId="23">#REF!</definedName>
    <definedName name="EM_028_7" localSheetId="6">#REF!</definedName>
    <definedName name="EM_028_7" localSheetId="10">#REF!</definedName>
    <definedName name="EM_028_7">#REF!</definedName>
    <definedName name="EM_028_8" localSheetId="23">#REF!</definedName>
    <definedName name="EM_028_8" localSheetId="6">#REF!</definedName>
    <definedName name="EM_028_8" localSheetId="10">#REF!</definedName>
    <definedName name="EM_028_8">#REF!</definedName>
    <definedName name="EM_028_9" localSheetId="23">#REF!</definedName>
    <definedName name="EM_028_9" localSheetId="6">#REF!</definedName>
    <definedName name="EM_028_9" localSheetId="10">#REF!</definedName>
    <definedName name="EM_028_9">#REF!</definedName>
    <definedName name="EM_029_1" localSheetId="23">#REF!</definedName>
    <definedName name="EM_029_1" localSheetId="6">#REF!</definedName>
    <definedName name="EM_029_1" localSheetId="10">#REF!</definedName>
    <definedName name="EM_029_1">#REF!</definedName>
    <definedName name="EM_029_10" localSheetId="23">#REF!</definedName>
    <definedName name="EM_029_10" localSheetId="6">#REF!</definedName>
    <definedName name="EM_029_10" localSheetId="10">#REF!</definedName>
    <definedName name="EM_029_10">#REF!</definedName>
    <definedName name="EM_029_11" localSheetId="23">#REF!</definedName>
    <definedName name="EM_029_11" localSheetId="6">#REF!</definedName>
    <definedName name="EM_029_11" localSheetId="10">#REF!</definedName>
    <definedName name="EM_029_11">#REF!</definedName>
    <definedName name="EM_029_12" localSheetId="23">#REF!</definedName>
    <definedName name="EM_029_12" localSheetId="6">#REF!</definedName>
    <definedName name="EM_029_12" localSheetId="10">#REF!</definedName>
    <definedName name="EM_029_12">#REF!</definedName>
    <definedName name="EM_029_13" localSheetId="23">#REF!</definedName>
    <definedName name="EM_029_13" localSheetId="6">#REF!</definedName>
    <definedName name="EM_029_13" localSheetId="10">#REF!</definedName>
    <definedName name="EM_029_13">#REF!</definedName>
    <definedName name="EM_029_14" localSheetId="23">#REF!</definedName>
    <definedName name="EM_029_14" localSheetId="6">#REF!</definedName>
    <definedName name="EM_029_14" localSheetId="10">#REF!</definedName>
    <definedName name="EM_029_14">#REF!</definedName>
    <definedName name="EM_029_15" localSheetId="23">#REF!</definedName>
    <definedName name="EM_029_15" localSheetId="6">#REF!</definedName>
    <definedName name="EM_029_15" localSheetId="10">#REF!</definedName>
    <definedName name="EM_029_15">#REF!</definedName>
    <definedName name="EM_029_16" localSheetId="23">#REF!</definedName>
    <definedName name="EM_029_16" localSheetId="6">#REF!</definedName>
    <definedName name="EM_029_16" localSheetId="10">#REF!</definedName>
    <definedName name="EM_029_16">#REF!</definedName>
    <definedName name="EM_029_17" localSheetId="23">#REF!</definedName>
    <definedName name="EM_029_17" localSheetId="6">#REF!</definedName>
    <definedName name="EM_029_17" localSheetId="10">#REF!</definedName>
    <definedName name="EM_029_17">#REF!</definedName>
    <definedName name="EM_029_18" localSheetId="23">#REF!</definedName>
    <definedName name="EM_029_18" localSheetId="6">#REF!</definedName>
    <definedName name="EM_029_18" localSheetId="10">#REF!</definedName>
    <definedName name="EM_029_18">#REF!</definedName>
    <definedName name="EM_029_2" localSheetId="23">#REF!</definedName>
    <definedName name="EM_029_2" localSheetId="6">#REF!</definedName>
    <definedName name="EM_029_2" localSheetId="10">#REF!</definedName>
    <definedName name="EM_029_2">#REF!</definedName>
    <definedName name="EM_029_3" localSheetId="23">#REF!</definedName>
    <definedName name="EM_029_3" localSheetId="6">#REF!</definedName>
    <definedName name="EM_029_3" localSheetId="10">#REF!</definedName>
    <definedName name="EM_029_3">#REF!</definedName>
    <definedName name="EM_029_4" localSheetId="23">#REF!</definedName>
    <definedName name="EM_029_4" localSheetId="6">#REF!</definedName>
    <definedName name="EM_029_4" localSheetId="10">#REF!</definedName>
    <definedName name="EM_029_4">#REF!</definedName>
    <definedName name="EM_029_5" localSheetId="23">#REF!</definedName>
    <definedName name="EM_029_5" localSheetId="6">#REF!</definedName>
    <definedName name="EM_029_5" localSheetId="10">#REF!</definedName>
    <definedName name="EM_029_5">#REF!</definedName>
    <definedName name="EM_029_6" localSheetId="23">#REF!</definedName>
    <definedName name="EM_029_6" localSheetId="6">#REF!</definedName>
    <definedName name="EM_029_6" localSheetId="10">#REF!</definedName>
    <definedName name="EM_029_6">#REF!</definedName>
    <definedName name="EM_029_7" localSheetId="23">#REF!</definedName>
    <definedName name="EM_029_7" localSheetId="6">#REF!</definedName>
    <definedName name="EM_029_7" localSheetId="10">#REF!</definedName>
    <definedName name="EM_029_7">#REF!</definedName>
    <definedName name="EM_029_8" localSheetId="23">#REF!</definedName>
    <definedName name="EM_029_8" localSheetId="6">#REF!</definedName>
    <definedName name="EM_029_8" localSheetId="10">#REF!</definedName>
    <definedName name="EM_029_8">#REF!</definedName>
    <definedName name="EM_029_9" localSheetId="23">#REF!</definedName>
    <definedName name="EM_029_9" localSheetId="6">#REF!</definedName>
    <definedName name="EM_029_9" localSheetId="10">#REF!</definedName>
    <definedName name="EM_029_9">#REF!</definedName>
    <definedName name="EM_030_1" localSheetId="23">#REF!</definedName>
    <definedName name="EM_030_1" localSheetId="6">#REF!</definedName>
    <definedName name="EM_030_1" localSheetId="10">#REF!</definedName>
    <definedName name="EM_030_1">#REF!</definedName>
    <definedName name="EM_030_10" localSheetId="23">#REF!</definedName>
    <definedName name="EM_030_10" localSheetId="6">#REF!</definedName>
    <definedName name="EM_030_10" localSheetId="10">#REF!</definedName>
    <definedName name="EM_030_10">#REF!</definedName>
    <definedName name="EM_030_11" localSheetId="23">#REF!</definedName>
    <definedName name="EM_030_11" localSheetId="6">#REF!</definedName>
    <definedName name="EM_030_11" localSheetId="10">#REF!</definedName>
    <definedName name="EM_030_11">#REF!</definedName>
    <definedName name="EM_030_12" localSheetId="23">#REF!</definedName>
    <definedName name="EM_030_12" localSheetId="6">#REF!</definedName>
    <definedName name="EM_030_12" localSheetId="10">#REF!</definedName>
    <definedName name="EM_030_12">#REF!</definedName>
    <definedName name="EM_030_13" localSheetId="23">#REF!</definedName>
    <definedName name="EM_030_13" localSheetId="6">#REF!</definedName>
    <definedName name="EM_030_13" localSheetId="10">#REF!</definedName>
    <definedName name="EM_030_13">#REF!</definedName>
    <definedName name="EM_030_14" localSheetId="23">#REF!</definedName>
    <definedName name="EM_030_14" localSheetId="6">#REF!</definedName>
    <definedName name="EM_030_14" localSheetId="10">#REF!</definedName>
    <definedName name="EM_030_14">#REF!</definedName>
    <definedName name="EM_030_15" localSheetId="23">#REF!</definedName>
    <definedName name="EM_030_15" localSheetId="6">#REF!</definedName>
    <definedName name="EM_030_15" localSheetId="10">#REF!</definedName>
    <definedName name="EM_030_15">#REF!</definedName>
    <definedName name="EM_030_16" localSheetId="23">#REF!</definedName>
    <definedName name="EM_030_16" localSheetId="6">#REF!</definedName>
    <definedName name="EM_030_16" localSheetId="10">#REF!</definedName>
    <definedName name="EM_030_16">#REF!</definedName>
    <definedName name="EM_030_17" localSheetId="23">#REF!</definedName>
    <definedName name="EM_030_17" localSheetId="6">#REF!</definedName>
    <definedName name="EM_030_17" localSheetId="10">#REF!</definedName>
    <definedName name="EM_030_17">#REF!</definedName>
    <definedName name="EM_030_18" localSheetId="23">#REF!</definedName>
    <definedName name="EM_030_18" localSheetId="6">#REF!</definedName>
    <definedName name="EM_030_18" localSheetId="10">#REF!</definedName>
    <definedName name="EM_030_18">#REF!</definedName>
    <definedName name="EM_030_2" localSheetId="23">#REF!</definedName>
    <definedName name="EM_030_2" localSheetId="6">#REF!</definedName>
    <definedName name="EM_030_2" localSheetId="10">#REF!</definedName>
    <definedName name="EM_030_2">#REF!</definedName>
    <definedName name="EM_030_3" localSheetId="23">#REF!</definedName>
    <definedName name="EM_030_3" localSheetId="6">#REF!</definedName>
    <definedName name="EM_030_3" localSheetId="10">#REF!</definedName>
    <definedName name="EM_030_3">#REF!</definedName>
    <definedName name="EM_030_4" localSheetId="23">#REF!</definedName>
    <definedName name="EM_030_4" localSheetId="6">#REF!</definedName>
    <definedName name="EM_030_4" localSheetId="10">#REF!</definedName>
    <definedName name="EM_030_4">#REF!</definedName>
    <definedName name="EM_030_5" localSheetId="23">#REF!</definedName>
    <definedName name="EM_030_5" localSheetId="6">#REF!</definedName>
    <definedName name="EM_030_5" localSheetId="10">#REF!</definedName>
    <definedName name="EM_030_5">#REF!</definedName>
    <definedName name="EM_030_6" localSheetId="23">#REF!</definedName>
    <definedName name="EM_030_6" localSheetId="6">#REF!</definedName>
    <definedName name="EM_030_6" localSheetId="10">#REF!</definedName>
    <definedName name="EM_030_6">#REF!</definedName>
    <definedName name="EM_030_7" localSheetId="23">#REF!</definedName>
    <definedName name="EM_030_7" localSheetId="6">#REF!</definedName>
    <definedName name="EM_030_7" localSheetId="10">#REF!</definedName>
    <definedName name="EM_030_7">#REF!</definedName>
    <definedName name="EM_030_8" localSheetId="23">#REF!</definedName>
    <definedName name="EM_030_8" localSheetId="6">#REF!</definedName>
    <definedName name="EM_030_8" localSheetId="10">#REF!</definedName>
    <definedName name="EM_030_8">#REF!</definedName>
    <definedName name="EM_030_9" localSheetId="23">#REF!</definedName>
    <definedName name="EM_030_9" localSheetId="6">#REF!</definedName>
    <definedName name="EM_030_9" localSheetId="10">#REF!</definedName>
    <definedName name="EM_030_9">#REF!</definedName>
    <definedName name="EM_031_1" localSheetId="23">#REF!</definedName>
    <definedName name="EM_031_1" localSheetId="6">#REF!</definedName>
    <definedName name="EM_031_1" localSheetId="10">#REF!</definedName>
    <definedName name="EM_031_1">#REF!</definedName>
    <definedName name="EM_031_10" localSheetId="23">#REF!</definedName>
    <definedName name="EM_031_10" localSheetId="6">#REF!</definedName>
    <definedName name="EM_031_10" localSheetId="10">#REF!</definedName>
    <definedName name="EM_031_10">#REF!</definedName>
    <definedName name="EM_031_11" localSheetId="23">#REF!</definedName>
    <definedName name="EM_031_11" localSheetId="6">#REF!</definedName>
    <definedName name="EM_031_11" localSheetId="10">#REF!</definedName>
    <definedName name="EM_031_11">#REF!</definedName>
    <definedName name="EM_031_12" localSheetId="23">#REF!</definedName>
    <definedName name="EM_031_12" localSheetId="6">#REF!</definedName>
    <definedName name="EM_031_12" localSheetId="10">#REF!</definedName>
    <definedName name="EM_031_12">#REF!</definedName>
    <definedName name="EM_031_13" localSheetId="23">#REF!</definedName>
    <definedName name="EM_031_13" localSheetId="6">#REF!</definedName>
    <definedName name="EM_031_13" localSheetId="10">#REF!</definedName>
    <definedName name="EM_031_13">#REF!</definedName>
    <definedName name="EM_031_14" localSheetId="23">#REF!</definedName>
    <definedName name="EM_031_14" localSheetId="6">#REF!</definedName>
    <definedName name="EM_031_14" localSheetId="10">#REF!</definedName>
    <definedName name="EM_031_14">#REF!</definedName>
    <definedName name="EM_031_15" localSheetId="23">#REF!</definedName>
    <definedName name="EM_031_15" localSheetId="6">#REF!</definedName>
    <definedName name="EM_031_15" localSheetId="10">#REF!</definedName>
    <definedName name="EM_031_15">#REF!</definedName>
    <definedName name="EM_031_16" localSheetId="23">#REF!</definedName>
    <definedName name="EM_031_16" localSheetId="6">#REF!</definedName>
    <definedName name="EM_031_16" localSheetId="10">#REF!</definedName>
    <definedName name="EM_031_16">#REF!</definedName>
    <definedName name="EM_031_17" localSheetId="23">#REF!</definedName>
    <definedName name="EM_031_17" localSheetId="6">#REF!</definedName>
    <definedName name="EM_031_17" localSheetId="10">#REF!</definedName>
    <definedName name="EM_031_17">#REF!</definedName>
    <definedName name="EM_031_18" localSheetId="23">#REF!</definedName>
    <definedName name="EM_031_18" localSheetId="6">#REF!</definedName>
    <definedName name="EM_031_18" localSheetId="10">#REF!</definedName>
    <definedName name="EM_031_18">#REF!</definedName>
    <definedName name="EM_031_2" localSheetId="23">#REF!</definedName>
    <definedName name="EM_031_2" localSheetId="6">#REF!</definedName>
    <definedName name="EM_031_2" localSheetId="10">#REF!</definedName>
    <definedName name="EM_031_2">#REF!</definedName>
    <definedName name="EM_031_3" localSheetId="23">#REF!</definedName>
    <definedName name="EM_031_3" localSheetId="6">#REF!</definedName>
    <definedName name="EM_031_3" localSheetId="10">#REF!</definedName>
    <definedName name="EM_031_3">#REF!</definedName>
    <definedName name="EM_031_4" localSheetId="23">#REF!</definedName>
    <definedName name="EM_031_4" localSheetId="6">#REF!</definedName>
    <definedName name="EM_031_4" localSheetId="10">#REF!</definedName>
    <definedName name="EM_031_4">#REF!</definedName>
    <definedName name="EM_031_5" localSheetId="23">#REF!</definedName>
    <definedName name="EM_031_5" localSheetId="6">#REF!</definedName>
    <definedName name="EM_031_5" localSheetId="10">#REF!</definedName>
    <definedName name="EM_031_5">#REF!</definedName>
    <definedName name="EM_031_6" localSheetId="23">#REF!</definedName>
    <definedName name="EM_031_6" localSheetId="6">#REF!</definedName>
    <definedName name="EM_031_6" localSheetId="10">#REF!</definedName>
    <definedName name="EM_031_6">#REF!</definedName>
    <definedName name="EM_031_7" localSheetId="23">#REF!</definedName>
    <definedName name="EM_031_7" localSheetId="6">#REF!</definedName>
    <definedName name="EM_031_7" localSheetId="10">#REF!</definedName>
    <definedName name="EM_031_7">#REF!</definedName>
    <definedName name="EM_031_8" localSheetId="23">#REF!</definedName>
    <definedName name="EM_031_8" localSheetId="6">#REF!</definedName>
    <definedName name="EM_031_8" localSheetId="10">#REF!</definedName>
    <definedName name="EM_031_8">#REF!</definedName>
    <definedName name="EM_031_9" localSheetId="23">#REF!</definedName>
    <definedName name="EM_031_9" localSheetId="6">#REF!</definedName>
    <definedName name="EM_031_9" localSheetId="10">#REF!</definedName>
    <definedName name="EM_031_9">#REF!</definedName>
    <definedName name="EM_032_1" localSheetId="23">#REF!</definedName>
    <definedName name="EM_032_1" localSheetId="6">#REF!</definedName>
    <definedName name="EM_032_1" localSheetId="10">#REF!</definedName>
    <definedName name="EM_032_1">#REF!</definedName>
    <definedName name="EM_032_10" localSheetId="23">#REF!</definedName>
    <definedName name="EM_032_10" localSheetId="6">#REF!</definedName>
    <definedName name="EM_032_10" localSheetId="10">#REF!</definedName>
    <definedName name="EM_032_10">#REF!</definedName>
    <definedName name="EM_032_11" localSheetId="23">#REF!</definedName>
    <definedName name="EM_032_11" localSheetId="6">#REF!</definedName>
    <definedName name="EM_032_11" localSheetId="10">#REF!</definedName>
    <definedName name="EM_032_11">#REF!</definedName>
    <definedName name="EM_032_12" localSheetId="23">#REF!</definedName>
    <definedName name="EM_032_12" localSheetId="6">#REF!</definedName>
    <definedName name="EM_032_12" localSheetId="10">#REF!</definedName>
    <definedName name="EM_032_12">#REF!</definedName>
    <definedName name="EM_032_13" localSheetId="23">#REF!</definedName>
    <definedName name="EM_032_13" localSheetId="6">#REF!</definedName>
    <definedName name="EM_032_13" localSheetId="10">#REF!</definedName>
    <definedName name="EM_032_13">#REF!</definedName>
    <definedName name="EM_032_14" localSheetId="23">#REF!</definedName>
    <definedName name="EM_032_14" localSheetId="6">#REF!</definedName>
    <definedName name="EM_032_14" localSheetId="10">#REF!</definedName>
    <definedName name="EM_032_14">#REF!</definedName>
    <definedName name="EM_032_15" localSheetId="23">#REF!</definedName>
    <definedName name="EM_032_15" localSheetId="6">#REF!</definedName>
    <definedName name="EM_032_15" localSheetId="10">#REF!</definedName>
    <definedName name="EM_032_15">#REF!</definedName>
    <definedName name="EM_032_16" localSheetId="23">#REF!</definedName>
    <definedName name="EM_032_16" localSheetId="6">#REF!</definedName>
    <definedName name="EM_032_16" localSheetId="10">#REF!</definedName>
    <definedName name="EM_032_16">#REF!</definedName>
    <definedName name="EM_032_17" localSheetId="23">#REF!</definedName>
    <definedName name="EM_032_17" localSheetId="6">#REF!</definedName>
    <definedName name="EM_032_17" localSheetId="10">#REF!</definedName>
    <definedName name="EM_032_17">#REF!</definedName>
    <definedName name="EM_032_18" localSheetId="23">#REF!</definedName>
    <definedName name="EM_032_18" localSheetId="6">#REF!</definedName>
    <definedName name="EM_032_18" localSheetId="10">#REF!</definedName>
    <definedName name="EM_032_18">#REF!</definedName>
    <definedName name="EM_032_2" localSheetId="23">#REF!</definedName>
    <definedName name="EM_032_2" localSheetId="6">#REF!</definedName>
    <definedName name="EM_032_2" localSheetId="10">#REF!</definedName>
    <definedName name="EM_032_2">#REF!</definedName>
    <definedName name="EM_032_3" localSheetId="23">#REF!</definedName>
    <definedName name="EM_032_3" localSheetId="6">#REF!</definedName>
    <definedName name="EM_032_3" localSheetId="10">#REF!</definedName>
    <definedName name="EM_032_3">#REF!</definedName>
    <definedName name="EM_032_4" localSheetId="23">#REF!</definedName>
    <definedName name="EM_032_4" localSheetId="6">#REF!</definedName>
    <definedName name="EM_032_4" localSheetId="10">#REF!</definedName>
    <definedName name="EM_032_4">#REF!</definedName>
    <definedName name="EM_032_5" localSheetId="23">#REF!</definedName>
    <definedName name="EM_032_5" localSheetId="6">#REF!</definedName>
    <definedName name="EM_032_5" localSheetId="10">#REF!</definedName>
    <definedName name="EM_032_5">#REF!</definedName>
    <definedName name="EM_032_6" localSheetId="23">#REF!</definedName>
    <definedName name="EM_032_6" localSheetId="6">#REF!</definedName>
    <definedName name="EM_032_6" localSheetId="10">#REF!</definedName>
    <definedName name="EM_032_6">#REF!</definedName>
    <definedName name="EM_032_7" localSheetId="23">#REF!</definedName>
    <definedName name="EM_032_7" localSheetId="6">#REF!</definedName>
    <definedName name="EM_032_7" localSheetId="10">#REF!</definedName>
    <definedName name="EM_032_7">#REF!</definedName>
    <definedName name="EM_032_8" localSheetId="23">#REF!</definedName>
    <definedName name="EM_032_8" localSheetId="6">#REF!</definedName>
    <definedName name="EM_032_8" localSheetId="10">#REF!</definedName>
    <definedName name="EM_032_8">#REF!</definedName>
    <definedName name="EM_032_9" localSheetId="23">#REF!</definedName>
    <definedName name="EM_032_9" localSheetId="6">#REF!</definedName>
    <definedName name="EM_032_9" localSheetId="10">#REF!</definedName>
    <definedName name="EM_032_9">#REF!</definedName>
    <definedName name="EM_033_1" localSheetId="23">#REF!</definedName>
    <definedName name="EM_033_1" localSheetId="6">#REF!</definedName>
    <definedName name="EM_033_1" localSheetId="10">#REF!</definedName>
    <definedName name="EM_033_1">#REF!</definedName>
    <definedName name="EM_033_10" localSheetId="23">#REF!</definedName>
    <definedName name="EM_033_10" localSheetId="6">#REF!</definedName>
    <definedName name="EM_033_10" localSheetId="10">#REF!</definedName>
    <definedName name="EM_033_10">#REF!</definedName>
    <definedName name="EM_033_11" localSheetId="23">#REF!</definedName>
    <definedName name="EM_033_11" localSheetId="6">#REF!</definedName>
    <definedName name="EM_033_11" localSheetId="10">#REF!</definedName>
    <definedName name="EM_033_11">#REF!</definedName>
    <definedName name="EM_033_12" localSheetId="23">#REF!</definedName>
    <definedName name="EM_033_12" localSheetId="6">#REF!</definedName>
    <definedName name="EM_033_12" localSheetId="10">#REF!</definedName>
    <definedName name="EM_033_12">#REF!</definedName>
    <definedName name="EM_033_13" localSheetId="23">#REF!</definedName>
    <definedName name="EM_033_13" localSheetId="6">#REF!</definedName>
    <definedName name="EM_033_13" localSheetId="10">#REF!</definedName>
    <definedName name="EM_033_13">#REF!</definedName>
    <definedName name="EM_033_14" localSheetId="23">#REF!</definedName>
    <definedName name="EM_033_14" localSheetId="6">#REF!</definedName>
    <definedName name="EM_033_14" localSheetId="10">#REF!</definedName>
    <definedName name="EM_033_14">#REF!</definedName>
    <definedName name="EM_033_15" localSheetId="23">#REF!</definedName>
    <definedName name="EM_033_15" localSheetId="6">#REF!</definedName>
    <definedName name="EM_033_15" localSheetId="10">#REF!</definedName>
    <definedName name="EM_033_15">#REF!</definedName>
    <definedName name="EM_033_16" localSheetId="23">#REF!</definedName>
    <definedName name="EM_033_16" localSheetId="6">#REF!</definedName>
    <definedName name="EM_033_16" localSheetId="10">#REF!</definedName>
    <definedName name="EM_033_16">#REF!</definedName>
    <definedName name="EM_033_17" localSheetId="23">#REF!</definedName>
    <definedName name="EM_033_17" localSheetId="6">#REF!</definedName>
    <definedName name="EM_033_17" localSheetId="10">#REF!</definedName>
    <definedName name="EM_033_17">#REF!</definedName>
    <definedName name="EM_033_18" localSheetId="23">#REF!</definedName>
    <definedName name="EM_033_18" localSheetId="6">#REF!</definedName>
    <definedName name="EM_033_18" localSheetId="10">#REF!</definedName>
    <definedName name="EM_033_18">#REF!</definedName>
    <definedName name="EM_033_2" localSheetId="23">#REF!</definedName>
    <definedName name="EM_033_2" localSheetId="6">#REF!</definedName>
    <definedName name="EM_033_2" localSheetId="10">#REF!</definedName>
    <definedName name="EM_033_2">#REF!</definedName>
    <definedName name="EM_033_3" localSheetId="23">#REF!</definedName>
    <definedName name="EM_033_3" localSheetId="6">#REF!</definedName>
    <definedName name="EM_033_3" localSheetId="10">#REF!</definedName>
    <definedName name="EM_033_3">#REF!</definedName>
    <definedName name="EM_033_4" localSheetId="23">#REF!</definedName>
    <definedName name="EM_033_4" localSheetId="6">#REF!</definedName>
    <definedName name="EM_033_4" localSheetId="10">#REF!</definedName>
    <definedName name="EM_033_4">#REF!</definedName>
    <definedName name="EM_033_5" localSheetId="23">#REF!</definedName>
    <definedName name="EM_033_5" localSheetId="6">#REF!</definedName>
    <definedName name="EM_033_5" localSheetId="10">#REF!</definedName>
    <definedName name="EM_033_5">#REF!</definedName>
    <definedName name="EM_033_6" localSheetId="23">#REF!</definedName>
    <definedName name="EM_033_6" localSheetId="6">#REF!</definedName>
    <definedName name="EM_033_6" localSheetId="10">#REF!</definedName>
    <definedName name="EM_033_6">#REF!</definedName>
    <definedName name="EM_033_7" localSheetId="23">#REF!</definedName>
    <definedName name="EM_033_7" localSheetId="6">#REF!</definedName>
    <definedName name="EM_033_7" localSheetId="10">#REF!</definedName>
    <definedName name="EM_033_7">#REF!</definedName>
    <definedName name="EM_033_8" localSheetId="23">#REF!</definedName>
    <definedName name="EM_033_8" localSheetId="6">#REF!</definedName>
    <definedName name="EM_033_8" localSheetId="10">#REF!</definedName>
    <definedName name="EM_033_8">#REF!</definedName>
    <definedName name="EM_033_9" localSheetId="23">#REF!</definedName>
    <definedName name="EM_033_9" localSheetId="6">#REF!</definedName>
    <definedName name="EM_033_9" localSheetId="10">#REF!</definedName>
    <definedName name="EM_033_9">#REF!</definedName>
    <definedName name="EM_034_1" localSheetId="23">#REF!</definedName>
    <definedName name="EM_034_1" localSheetId="6">#REF!</definedName>
    <definedName name="EM_034_1" localSheetId="10">#REF!</definedName>
    <definedName name="EM_034_1">#REF!</definedName>
    <definedName name="EM_034_10" localSheetId="23">#REF!</definedName>
    <definedName name="EM_034_10" localSheetId="6">#REF!</definedName>
    <definedName name="EM_034_10" localSheetId="10">#REF!</definedName>
    <definedName name="EM_034_10">#REF!</definedName>
    <definedName name="EM_034_11" localSheetId="23">#REF!</definedName>
    <definedName name="EM_034_11" localSheetId="6">#REF!</definedName>
    <definedName name="EM_034_11" localSheetId="10">#REF!</definedName>
    <definedName name="EM_034_11">#REF!</definedName>
    <definedName name="EM_034_12" localSheetId="23">#REF!</definedName>
    <definedName name="EM_034_12" localSheetId="6">#REF!</definedName>
    <definedName name="EM_034_12" localSheetId="10">#REF!</definedName>
    <definedName name="EM_034_12">#REF!</definedName>
    <definedName name="EM_034_13" localSheetId="23">#REF!</definedName>
    <definedName name="EM_034_13" localSheetId="6">#REF!</definedName>
    <definedName name="EM_034_13" localSheetId="10">#REF!</definedName>
    <definedName name="EM_034_13">#REF!</definedName>
    <definedName name="EM_034_14" localSheetId="23">#REF!</definedName>
    <definedName name="EM_034_14" localSheetId="6">#REF!</definedName>
    <definedName name="EM_034_14" localSheetId="10">#REF!</definedName>
    <definedName name="EM_034_14">#REF!</definedName>
    <definedName name="EM_034_15" localSheetId="23">#REF!</definedName>
    <definedName name="EM_034_15" localSheetId="6">#REF!</definedName>
    <definedName name="EM_034_15" localSheetId="10">#REF!</definedName>
    <definedName name="EM_034_15">#REF!</definedName>
    <definedName name="EM_034_16" localSheetId="23">#REF!</definedName>
    <definedName name="EM_034_16" localSheetId="6">#REF!</definedName>
    <definedName name="EM_034_16" localSheetId="10">#REF!</definedName>
    <definedName name="EM_034_16">#REF!</definedName>
    <definedName name="EM_034_17" localSheetId="23">#REF!</definedName>
    <definedName name="EM_034_17" localSheetId="6">#REF!</definedName>
    <definedName name="EM_034_17" localSheetId="10">#REF!</definedName>
    <definedName name="EM_034_17">#REF!</definedName>
    <definedName name="EM_034_18" localSheetId="23">#REF!</definedName>
    <definedName name="EM_034_18" localSheetId="6">#REF!</definedName>
    <definedName name="EM_034_18" localSheetId="10">#REF!</definedName>
    <definedName name="EM_034_18">#REF!</definedName>
    <definedName name="EM_034_2" localSheetId="23">#REF!</definedName>
    <definedName name="EM_034_2" localSheetId="6">#REF!</definedName>
    <definedName name="EM_034_2" localSheetId="10">#REF!</definedName>
    <definedName name="EM_034_2">#REF!</definedName>
    <definedName name="EM_034_3" localSheetId="23">#REF!</definedName>
    <definedName name="EM_034_3" localSheetId="6">#REF!</definedName>
    <definedName name="EM_034_3" localSheetId="10">#REF!</definedName>
    <definedName name="EM_034_3">#REF!</definedName>
    <definedName name="EM_034_4" localSheetId="23">#REF!</definedName>
    <definedName name="EM_034_4" localSheetId="6">#REF!</definedName>
    <definedName name="EM_034_4" localSheetId="10">#REF!</definedName>
    <definedName name="EM_034_4">#REF!</definedName>
    <definedName name="EM_034_5" localSheetId="23">#REF!</definedName>
    <definedName name="EM_034_5" localSheetId="6">#REF!</definedName>
    <definedName name="EM_034_5" localSheetId="10">#REF!</definedName>
    <definedName name="EM_034_5">#REF!</definedName>
    <definedName name="EM_034_6" localSheetId="23">#REF!</definedName>
    <definedName name="EM_034_6" localSheetId="6">#REF!</definedName>
    <definedName name="EM_034_6" localSheetId="10">#REF!</definedName>
    <definedName name="EM_034_6">#REF!</definedName>
    <definedName name="EM_034_7" localSheetId="23">#REF!</definedName>
    <definedName name="EM_034_7" localSheetId="6">#REF!</definedName>
    <definedName name="EM_034_7" localSheetId="10">#REF!</definedName>
    <definedName name="EM_034_7">#REF!</definedName>
    <definedName name="EM_034_8" localSheetId="23">#REF!</definedName>
    <definedName name="EM_034_8" localSheetId="6">#REF!</definedName>
    <definedName name="EM_034_8" localSheetId="10">#REF!</definedName>
    <definedName name="EM_034_8">#REF!</definedName>
    <definedName name="EM_034_9" localSheetId="23">#REF!</definedName>
    <definedName name="EM_034_9" localSheetId="6">#REF!</definedName>
    <definedName name="EM_034_9" localSheetId="10">#REF!</definedName>
    <definedName name="EM_034_9">#REF!</definedName>
    <definedName name="EM_035_1" localSheetId="23">#REF!</definedName>
    <definedName name="EM_035_1" localSheetId="6">#REF!</definedName>
    <definedName name="EM_035_1" localSheetId="10">#REF!</definedName>
    <definedName name="EM_035_1">#REF!</definedName>
    <definedName name="EM_035_10" localSheetId="23">#REF!</definedName>
    <definedName name="EM_035_10" localSheetId="6">#REF!</definedName>
    <definedName name="EM_035_10" localSheetId="10">#REF!</definedName>
    <definedName name="EM_035_10">#REF!</definedName>
    <definedName name="EM_035_11" localSheetId="23">#REF!</definedName>
    <definedName name="EM_035_11" localSheetId="6">#REF!</definedName>
    <definedName name="EM_035_11" localSheetId="10">#REF!</definedName>
    <definedName name="EM_035_11">#REF!</definedName>
    <definedName name="EM_035_12" localSheetId="23">#REF!</definedName>
    <definedName name="EM_035_12" localSheetId="6">#REF!</definedName>
    <definedName name="EM_035_12" localSheetId="10">#REF!</definedName>
    <definedName name="EM_035_12">#REF!</definedName>
    <definedName name="EM_035_13" localSheetId="23">#REF!</definedName>
    <definedName name="EM_035_13" localSheetId="6">#REF!</definedName>
    <definedName name="EM_035_13" localSheetId="10">#REF!</definedName>
    <definedName name="EM_035_13">#REF!</definedName>
    <definedName name="EM_035_14" localSheetId="23">#REF!</definedName>
    <definedName name="EM_035_14" localSheetId="6">#REF!</definedName>
    <definedName name="EM_035_14" localSheetId="10">#REF!</definedName>
    <definedName name="EM_035_14">#REF!</definedName>
    <definedName name="EM_035_15" localSheetId="23">#REF!</definedName>
    <definedName name="EM_035_15" localSheetId="6">#REF!</definedName>
    <definedName name="EM_035_15" localSheetId="10">#REF!</definedName>
    <definedName name="EM_035_15">#REF!</definedName>
    <definedName name="EM_035_16" localSheetId="23">#REF!</definedName>
    <definedName name="EM_035_16" localSheetId="6">#REF!</definedName>
    <definedName name="EM_035_16" localSheetId="10">#REF!</definedName>
    <definedName name="EM_035_16">#REF!</definedName>
    <definedName name="EM_035_17" localSheetId="23">#REF!</definedName>
    <definedName name="EM_035_17" localSheetId="6">#REF!</definedName>
    <definedName name="EM_035_17" localSheetId="10">#REF!</definedName>
    <definedName name="EM_035_17">#REF!</definedName>
    <definedName name="EM_035_18" localSheetId="23">#REF!</definedName>
    <definedName name="EM_035_18" localSheetId="6">#REF!</definedName>
    <definedName name="EM_035_18" localSheetId="10">#REF!</definedName>
    <definedName name="EM_035_18">#REF!</definedName>
    <definedName name="EM_035_2" localSheetId="23">#REF!</definedName>
    <definedName name="EM_035_2" localSheetId="6">#REF!</definedName>
    <definedName name="EM_035_2" localSheetId="10">#REF!</definedName>
    <definedName name="EM_035_2">#REF!</definedName>
    <definedName name="EM_035_3" localSheetId="23">#REF!</definedName>
    <definedName name="EM_035_3" localSheetId="6">#REF!</definedName>
    <definedName name="EM_035_3" localSheetId="10">#REF!</definedName>
    <definedName name="EM_035_3">#REF!</definedName>
    <definedName name="EM_035_4" localSheetId="23">#REF!</definedName>
    <definedName name="EM_035_4" localSheetId="6">#REF!</definedName>
    <definedName name="EM_035_4" localSheetId="10">#REF!</definedName>
    <definedName name="EM_035_4">#REF!</definedName>
    <definedName name="EM_035_5" localSheetId="23">#REF!</definedName>
    <definedName name="EM_035_5" localSheetId="6">#REF!</definedName>
    <definedName name="EM_035_5" localSheetId="10">#REF!</definedName>
    <definedName name="EM_035_5">#REF!</definedName>
    <definedName name="EM_035_6" localSheetId="23">#REF!</definedName>
    <definedName name="EM_035_6" localSheetId="6">#REF!</definedName>
    <definedName name="EM_035_6" localSheetId="10">#REF!</definedName>
    <definedName name="EM_035_6">#REF!</definedName>
    <definedName name="EM_035_7" localSheetId="23">#REF!</definedName>
    <definedName name="EM_035_7" localSheetId="6">#REF!</definedName>
    <definedName name="EM_035_7" localSheetId="10">#REF!</definedName>
    <definedName name="EM_035_7">#REF!</definedName>
    <definedName name="EM_035_8" localSheetId="23">#REF!</definedName>
    <definedName name="EM_035_8" localSheetId="6">#REF!</definedName>
    <definedName name="EM_035_8" localSheetId="10">#REF!</definedName>
    <definedName name="EM_035_8">#REF!</definedName>
    <definedName name="EM_035_9" localSheetId="23">#REF!</definedName>
    <definedName name="EM_035_9" localSheetId="6">#REF!</definedName>
    <definedName name="EM_035_9" localSheetId="10">#REF!</definedName>
    <definedName name="EM_035_9">#REF!</definedName>
    <definedName name="EM_036_1" localSheetId="23">#REF!</definedName>
    <definedName name="EM_036_1" localSheetId="6">#REF!</definedName>
    <definedName name="EM_036_1" localSheetId="10">#REF!</definedName>
    <definedName name="EM_036_1">#REF!</definedName>
    <definedName name="EM_036_10" localSheetId="23">#REF!</definedName>
    <definedName name="EM_036_10" localSheetId="6">#REF!</definedName>
    <definedName name="EM_036_10" localSheetId="10">#REF!</definedName>
    <definedName name="EM_036_10">#REF!</definedName>
    <definedName name="EM_036_11" localSheetId="23">#REF!</definedName>
    <definedName name="EM_036_11" localSheetId="6">#REF!</definedName>
    <definedName name="EM_036_11" localSheetId="10">#REF!</definedName>
    <definedName name="EM_036_11">#REF!</definedName>
    <definedName name="EM_036_12" localSheetId="23">#REF!</definedName>
    <definedName name="EM_036_12" localSheetId="6">#REF!</definedName>
    <definedName name="EM_036_12" localSheetId="10">#REF!</definedName>
    <definedName name="EM_036_12">#REF!</definedName>
    <definedName name="EM_036_13" localSheetId="23">#REF!</definedName>
    <definedName name="EM_036_13" localSheetId="6">#REF!</definedName>
    <definedName name="EM_036_13" localSheetId="10">#REF!</definedName>
    <definedName name="EM_036_13">#REF!</definedName>
    <definedName name="EM_036_14" localSheetId="23">#REF!</definedName>
    <definedName name="EM_036_14" localSheetId="6">#REF!</definedName>
    <definedName name="EM_036_14" localSheetId="10">#REF!</definedName>
    <definedName name="EM_036_14">#REF!</definedName>
    <definedName name="EM_036_15" localSheetId="23">#REF!</definedName>
    <definedName name="EM_036_15" localSheetId="6">#REF!</definedName>
    <definedName name="EM_036_15" localSheetId="10">#REF!</definedName>
    <definedName name="EM_036_15">#REF!</definedName>
    <definedName name="EM_036_16" localSheetId="23">#REF!</definedName>
    <definedName name="EM_036_16" localSheetId="6">#REF!</definedName>
    <definedName name="EM_036_16" localSheetId="10">#REF!</definedName>
    <definedName name="EM_036_16">#REF!</definedName>
    <definedName name="EM_036_17" localSheetId="23">#REF!</definedName>
    <definedName name="EM_036_17" localSheetId="6">#REF!</definedName>
    <definedName name="EM_036_17" localSheetId="10">#REF!</definedName>
    <definedName name="EM_036_17">#REF!</definedName>
    <definedName name="EM_036_18" localSheetId="23">#REF!</definedName>
    <definedName name="EM_036_18" localSheetId="6">#REF!</definedName>
    <definedName name="EM_036_18" localSheetId="10">#REF!</definedName>
    <definedName name="EM_036_18">#REF!</definedName>
    <definedName name="EM_036_2" localSheetId="23">#REF!</definedName>
    <definedName name="EM_036_2" localSheetId="6">#REF!</definedName>
    <definedName name="EM_036_2" localSheetId="10">#REF!</definedName>
    <definedName name="EM_036_2">#REF!</definedName>
    <definedName name="EM_036_3" localSheetId="23">#REF!</definedName>
    <definedName name="EM_036_3" localSheetId="6">#REF!</definedName>
    <definedName name="EM_036_3" localSheetId="10">#REF!</definedName>
    <definedName name="EM_036_3">#REF!</definedName>
    <definedName name="EM_036_4" localSheetId="23">#REF!</definedName>
    <definedName name="EM_036_4" localSheetId="6">#REF!</definedName>
    <definedName name="EM_036_4" localSheetId="10">#REF!</definedName>
    <definedName name="EM_036_4">#REF!</definedName>
    <definedName name="EM_036_5" localSheetId="23">#REF!</definedName>
    <definedName name="EM_036_5" localSheetId="6">#REF!</definedName>
    <definedName name="EM_036_5" localSheetId="10">#REF!</definedName>
    <definedName name="EM_036_5">#REF!</definedName>
    <definedName name="EM_036_6" localSheetId="23">#REF!</definedName>
    <definedName name="EM_036_6" localSheetId="6">#REF!</definedName>
    <definedName name="EM_036_6" localSheetId="10">#REF!</definedName>
    <definedName name="EM_036_6">#REF!</definedName>
    <definedName name="EM_036_7" localSheetId="23">#REF!</definedName>
    <definedName name="EM_036_7" localSheetId="6">#REF!</definedName>
    <definedName name="EM_036_7" localSheetId="10">#REF!</definedName>
    <definedName name="EM_036_7">#REF!</definedName>
    <definedName name="EM_036_8" localSheetId="23">#REF!</definedName>
    <definedName name="EM_036_8" localSheetId="6">#REF!</definedName>
    <definedName name="EM_036_8" localSheetId="10">#REF!</definedName>
    <definedName name="EM_036_8">#REF!</definedName>
    <definedName name="EM_036_9" localSheetId="23">#REF!</definedName>
    <definedName name="EM_036_9" localSheetId="6">#REF!</definedName>
    <definedName name="EM_036_9" localSheetId="10">#REF!</definedName>
    <definedName name="EM_036_9">#REF!</definedName>
    <definedName name="EM_037_1" localSheetId="23">#REF!</definedName>
    <definedName name="EM_037_1" localSheetId="6">#REF!</definedName>
    <definedName name="EM_037_1" localSheetId="10">#REF!</definedName>
    <definedName name="EM_037_1">#REF!</definedName>
    <definedName name="EM_037_10" localSheetId="23">#REF!</definedName>
    <definedName name="EM_037_10" localSheetId="6">#REF!</definedName>
    <definedName name="EM_037_10" localSheetId="10">#REF!</definedName>
    <definedName name="EM_037_10">#REF!</definedName>
    <definedName name="EM_037_11" localSheetId="23">#REF!</definedName>
    <definedName name="EM_037_11" localSheetId="6">#REF!</definedName>
    <definedName name="EM_037_11" localSheetId="10">#REF!</definedName>
    <definedName name="EM_037_11">#REF!</definedName>
    <definedName name="EM_037_12" localSheetId="23">#REF!</definedName>
    <definedName name="EM_037_12" localSheetId="6">#REF!</definedName>
    <definedName name="EM_037_12" localSheetId="10">#REF!</definedName>
    <definedName name="EM_037_12">#REF!</definedName>
    <definedName name="EM_037_13" localSheetId="23">#REF!</definedName>
    <definedName name="EM_037_13" localSheetId="6">#REF!</definedName>
    <definedName name="EM_037_13" localSheetId="10">#REF!</definedName>
    <definedName name="EM_037_13">#REF!</definedName>
    <definedName name="EM_037_14" localSheetId="23">#REF!</definedName>
    <definedName name="EM_037_14" localSheetId="6">#REF!</definedName>
    <definedName name="EM_037_14" localSheetId="10">#REF!</definedName>
    <definedName name="EM_037_14">#REF!</definedName>
    <definedName name="EM_037_15" localSheetId="23">#REF!</definedName>
    <definedName name="EM_037_15" localSheetId="6">#REF!</definedName>
    <definedName name="EM_037_15" localSheetId="10">#REF!</definedName>
    <definedName name="EM_037_15">#REF!</definedName>
    <definedName name="EM_037_16" localSheetId="23">#REF!</definedName>
    <definedName name="EM_037_16" localSheetId="6">#REF!</definedName>
    <definedName name="EM_037_16" localSheetId="10">#REF!</definedName>
    <definedName name="EM_037_16">#REF!</definedName>
    <definedName name="EM_037_17" localSheetId="23">#REF!</definedName>
    <definedName name="EM_037_17" localSheetId="6">#REF!</definedName>
    <definedName name="EM_037_17" localSheetId="10">#REF!</definedName>
    <definedName name="EM_037_17">#REF!</definedName>
    <definedName name="EM_037_18" localSheetId="23">#REF!</definedName>
    <definedName name="EM_037_18" localSheetId="6">#REF!</definedName>
    <definedName name="EM_037_18" localSheetId="10">#REF!</definedName>
    <definedName name="EM_037_18">#REF!</definedName>
    <definedName name="EM_037_2" localSheetId="23">#REF!</definedName>
    <definedName name="EM_037_2" localSheetId="6">#REF!</definedName>
    <definedName name="EM_037_2" localSheetId="10">#REF!</definedName>
    <definedName name="EM_037_2">#REF!</definedName>
    <definedName name="EM_037_3" localSheetId="23">#REF!</definedName>
    <definedName name="EM_037_3" localSheetId="6">#REF!</definedName>
    <definedName name="EM_037_3" localSheetId="10">#REF!</definedName>
    <definedName name="EM_037_3">#REF!</definedName>
    <definedName name="EM_037_4" localSheetId="23">#REF!</definedName>
    <definedName name="EM_037_4" localSheetId="6">#REF!</definedName>
    <definedName name="EM_037_4" localSheetId="10">#REF!</definedName>
    <definedName name="EM_037_4">#REF!</definedName>
    <definedName name="EM_037_5" localSheetId="23">#REF!</definedName>
    <definedName name="EM_037_5" localSheetId="6">#REF!</definedName>
    <definedName name="EM_037_5" localSheetId="10">#REF!</definedName>
    <definedName name="EM_037_5">#REF!</definedName>
    <definedName name="EM_037_6" localSheetId="23">#REF!</definedName>
    <definedName name="EM_037_6" localSheetId="6">#REF!</definedName>
    <definedName name="EM_037_6" localSheetId="10">#REF!</definedName>
    <definedName name="EM_037_6">#REF!</definedName>
    <definedName name="EM_037_7" localSheetId="23">#REF!</definedName>
    <definedName name="EM_037_7" localSheetId="6">#REF!</definedName>
    <definedName name="EM_037_7" localSheetId="10">#REF!</definedName>
    <definedName name="EM_037_7">#REF!</definedName>
    <definedName name="EM_037_8" localSheetId="23">#REF!</definedName>
    <definedName name="EM_037_8" localSheetId="6">#REF!</definedName>
    <definedName name="EM_037_8" localSheetId="10">#REF!</definedName>
    <definedName name="EM_037_8">#REF!</definedName>
    <definedName name="EM_037_9" localSheetId="23">#REF!</definedName>
    <definedName name="EM_037_9" localSheetId="6">#REF!</definedName>
    <definedName name="EM_037_9" localSheetId="10">#REF!</definedName>
    <definedName name="EM_037_9">#REF!</definedName>
    <definedName name="EM_038_1" localSheetId="23">#REF!</definedName>
    <definedName name="EM_038_1" localSheetId="6">#REF!</definedName>
    <definedName name="EM_038_1" localSheetId="10">#REF!</definedName>
    <definedName name="EM_038_1">#REF!</definedName>
    <definedName name="EM_038_10" localSheetId="23">#REF!</definedName>
    <definedName name="EM_038_10" localSheetId="6">#REF!</definedName>
    <definedName name="EM_038_10" localSheetId="10">#REF!</definedName>
    <definedName name="EM_038_10">#REF!</definedName>
    <definedName name="EM_038_11" localSheetId="23">#REF!</definedName>
    <definedName name="EM_038_11" localSheetId="6">#REF!</definedName>
    <definedName name="EM_038_11" localSheetId="10">#REF!</definedName>
    <definedName name="EM_038_11">#REF!</definedName>
    <definedName name="EM_038_12" localSheetId="23">#REF!</definedName>
    <definedName name="EM_038_12" localSheetId="6">#REF!</definedName>
    <definedName name="EM_038_12" localSheetId="10">#REF!</definedName>
    <definedName name="EM_038_12">#REF!</definedName>
    <definedName name="EM_038_13" localSheetId="23">#REF!</definedName>
    <definedName name="EM_038_13" localSheetId="6">#REF!</definedName>
    <definedName name="EM_038_13" localSheetId="10">#REF!</definedName>
    <definedName name="EM_038_13">#REF!</definedName>
    <definedName name="EM_038_14" localSheetId="23">#REF!</definedName>
    <definedName name="EM_038_14" localSheetId="6">#REF!</definedName>
    <definedName name="EM_038_14" localSheetId="10">#REF!</definedName>
    <definedName name="EM_038_14">#REF!</definedName>
    <definedName name="EM_038_15" localSheetId="23">#REF!</definedName>
    <definedName name="EM_038_15" localSheetId="6">#REF!</definedName>
    <definedName name="EM_038_15" localSheetId="10">#REF!</definedName>
    <definedName name="EM_038_15">#REF!</definedName>
    <definedName name="EM_038_16" localSheetId="23">#REF!</definedName>
    <definedName name="EM_038_16" localSheetId="6">#REF!</definedName>
    <definedName name="EM_038_16" localSheetId="10">#REF!</definedName>
    <definedName name="EM_038_16">#REF!</definedName>
    <definedName name="EM_038_17" localSheetId="23">#REF!</definedName>
    <definedName name="EM_038_17" localSheetId="6">#REF!</definedName>
    <definedName name="EM_038_17" localSheetId="10">#REF!</definedName>
    <definedName name="EM_038_17">#REF!</definedName>
    <definedName name="EM_038_18" localSheetId="23">#REF!</definedName>
    <definedName name="EM_038_18" localSheetId="6">#REF!</definedName>
    <definedName name="EM_038_18" localSheetId="10">#REF!</definedName>
    <definedName name="EM_038_18">#REF!</definedName>
    <definedName name="EM_038_2" localSheetId="23">#REF!</definedName>
    <definedName name="EM_038_2" localSheetId="6">#REF!</definedName>
    <definedName name="EM_038_2" localSheetId="10">#REF!</definedName>
    <definedName name="EM_038_2">#REF!</definedName>
    <definedName name="EM_038_3" localSheetId="23">#REF!</definedName>
    <definedName name="EM_038_3" localSheetId="6">#REF!</definedName>
    <definedName name="EM_038_3" localSheetId="10">#REF!</definedName>
    <definedName name="EM_038_3">#REF!</definedName>
    <definedName name="EM_038_4" localSheetId="23">#REF!</definedName>
    <definedName name="EM_038_4" localSheetId="6">#REF!</definedName>
    <definedName name="EM_038_4" localSheetId="10">#REF!</definedName>
    <definedName name="EM_038_4">#REF!</definedName>
    <definedName name="EM_038_5" localSheetId="23">#REF!</definedName>
    <definedName name="EM_038_5" localSheetId="6">#REF!</definedName>
    <definedName name="EM_038_5" localSheetId="10">#REF!</definedName>
    <definedName name="EM_038_5">#REF!</definedName>
    <definedName name="EM_038_6" localSheetId="23">#REF!</definedName>
    <definedName name="EM_038_6" localSheetId="6">#REF!</definedName>
    <definedName name="EM_038_6" localSheetId="10">#REF!</definedName>
    <definedName name="EM_038_6">#REF!</definedName>
    <definedName name="EM_038_7" localSheetId="23">#REF!</definedName>
    <definedName name="EM_038_7" localSheetId="6">#REF!</definedName>
    <definedName name="EM_038_7" localSheetId="10">#REF!</definedName>
    <definedName name="EM_038_7">#REF!</definedName>
    <definedName name="EM_038_8" localSheetId="23">#REF!</definedName>
    <definedName name="EM_038_8" localSheetId="6">#REF!</definedName>
    <definedName name="EM_038_8" localSheetId="10">#REF!</definedName>
    <definedName name="EM_038_8">#REF!</definedName>
    <definedName name="EM_038_9" localSheetId="23">#REF!</definedName>
    <definedName name="EM_038_9" localSheetId="6">#REF!</definedName>
    <definedName name="EM_038_9" localSheetId="10">#REF!</definedName>
    <definedName name="EM_038_9">#REF!</definedName>
    <definedName name="EM_039_1" localSheetId="23">#REF!</definedName>
    <definedName name="EM_039_1" localSheetId="6">#REF!</definedName>
    <definedName name="EM_039_1" localSheetId="10">#REF!</definedName>
    <definedName name="EM_039_1">#REF!</definedName>
    <definedName name="EM_039_10" localSheetId="23">#REF!</definedName>
    <definedName name="EM_039_10" localSheetId="6">#REF!</definedName>
    <definedName name="EM_039_10" localSheetId="10">#REF!</definedName>
    <definedName name="EM_039_10">#REF!</definedName>
    <definedName name="EM_039_11" localSheetId="23">#REF!</definedName>
    <definedName name="EM_039_11" localSheetId="6">#REF!</definedName>
    <definedName name="EM_039_11" localSheetId="10">#REF!</definedName>
    <definedName name="EM_039_11">#REF!</definedName>
    <definedName name="EM_039_12" localSheetId="23">#REF!</definedName>
    <definedName name="EM_039_12" localSheetId="6">#REF!</definedName>
    <definedName name="EM_039_12" localSheetId="10">#REF!</definedName>
    <definedName name="EM_039_12">#REF!</definedName>
    <definedName name="EM_039_13" localSheetId="23">#REF!</definedName>
    <definedName name="EM_039_13" localSheetId="6">#REF!</definedName>
    <definedName name="EM_039_13" localSheetId="10">#REF!</definedName>
    <definedName name="EM_039_13">#REF!</definedName>
    <definedName name="EM_039_14" localSheetId="23">#REF!</definedName>
    <definedName name="EM_039_14" localSheetId="6">#REF!</definedName>
    <definedName name="EM_039_14" localSheetId="10">#REF!</definedName>
    <definedName name="EM_039_14">#REF!</definedName>
    <definedName name="EM_039_15" localSheetId="23">#REF!</definedName>
    <definedName name="EM_039_15" localSheetId="6">#REF!</definedName>
    <definedName name="EM_039_15" localSheetId="10">#REF!</definedName>
    <definedName name="EM_039_15">#REF!</definedName>
    <definedName name="EM_039_16" localSheetId="23">#REF!</definedName>
    <definedName name="EM_039_16" localSheetId="6">#REF!</definedName>
    <definedName name="EM_039_16" localSheetId="10">#REF!</definedName>
    <definedName name="EM_039_16">#REF!</definedName>
    <definedName name="EM_039_17" localSheetId="23">#REF!</definedName>
    <definedName name="EM_039_17" localSheetId="6">#REF!</definedName>
    <definedName name="EM_039_17" localSheetId="10">#REF!</definedName>
    <definedName name="EM_039_17">#REF!</definedName>
    <definedName name="EM_039_18" localSheetId="23">#REF!</definedName>
    <definedName name="EM_039_18" localSheetId="6">#REF!</definedName>
    <definedName name="EM_039_18" localSheetId="10">#REF!</definedName>
    <definedName name="EM_039_18">#REF!</definedName>
    <definedName name="EM_039_2" localSheetId="23">#REF!</definedName>
    <definedName name="EM_039_2" localSheetId="6">#REF!</definedName>
    <definedName name="EM_039_2" localSheetId="10">#REF!</definedName>
    <definedName name="EM_039_2">#REF!</definedName>
    <definedName name="EM_039_3" localSheetId="23">#REF!</definedName>
    <definedName name="EM_039_3" localSheetId="6">#REF!</definedName>
    <definedName name="EM_039_3" localSheetId="10">#REF!</definedName>
    <definedName name="EM_039_3">#REF!</definedName>
    <definedName name="EM_039_4" localSheetId="23">#REF!</definedName>
    <definedName name="EM_039_4" localSheetId="6">#REF!</definedName>
    <definedName name="EM_039_4" localSheetId="10">#REF!</definedName>
    <definedName name="EM_039_4">#REF!</definedName>
    <definedName name="EM_039_5" localSheetId="23">#REF!</definedName>
    <definedName name="EM_039_5" localSheetId="6">#REF!</definedName>
    <definedName name="EM_039_5" localSheetId="10">#REF!</definedName>
    <definedName name="EM_039_5">#REF!</definedName>
    <definedName name="EM_039_6" localSheetId="23">#REF!</definedName>
    <definedName name="EM_039_6" localSheetId="6">#REF!</definedName>
    <definedName name="EM_039_6" localSheetId="10">#REF!</definedName>
    <definedName name="EM_039_6">#REF!</definedName>
    <definedName name="EM_039_7" localSheetId="23">#REF!</definedName>
    <definedName name="EM_039_7" localSheetId="6">#REF!</definedName>
    <definedName name="EM_039_7" localSheetId="10">#REF!</definedName>
    <definedName name="EM_039_7">#REF!</definedName>
    <definedName name="EM_039_8" localSheetId="23">#REF!</definedName>
    <definedName name="EM_039_8" localSheetId="6">#REF!</definedName>
    <definedName name="EM_039_8" localSheetId="10">#REF!</definedName>
    <definedName name="EM_039_8">#REF!</definedName>
    <definedName name="EM_039_9" localSheetId="23">#REF!</definedName>
    <definedName name="EM_039_9" localSheetId="6">#REF!</definedName>
    <definedName name="EM_039_9" localSheetId="10">#REF!</definedName>
    <definedName name="EM_039_9">#REF!</definedName>
    <definedName name="EM_051_14" localSheetId="23">#REF!</definedName>
    <definedName name="EM_051_14" localSheetId="6">#REF!</definedName>
    <definedName name="EM_051_14" localSheetId="10">#REF!</definedName>
    <definedName name="EM_051_14">#REF!</definedName>
    <definedName name="EM_051_15" localSheetId="23">#REF!</definedName>
    <definedName name="EM_051_15" localSheetId="6">#REF!</definedName>
    <definedName name="EM_051_15" localSheetId="10">#REF!</definedName>
    <definedName name="EM_051_15">#REF!</definedName>
    <definedName name="EM_051_16" localSheetId="23">#REF!</definedName>
    <definedName name="EM_051_16" localSheetId="6">#REF!</definedName>
    <definedName name="EM_051_16" localSheetId="10">#REF!</definedName>
    <definedName name="EM_051_16">#REF!</definedName>
    <definedName name="EM_051_17" localSheetId="23">#REF!</definedName>
    <definedName name="EM_051_17" localSheetId="6">#REF!</definedName>
    <definedName name="EM_051_17" localSheetId="10">#REF!</definedName>
    <definedName name="EM_051_17">#REF!</definedName>
    <definedName name="EM_051_18" localSheetId="23">#REF!</definedName>
    <definedName name="EM_051_18" localSheetId="6">#REF!</definedName>
    <definedName name="EM_051_18" localSheetId="10">#REF!</definedName>
    <definedName name="EM_051_18">#REF!</definedName>
    <definedName name="EM_052_14" localSheetId="23">#REF!</definedName>
    <definedName name="EM_052_14" localSheetId="6">#REF!</definedName>
    <definedName name="EM_052_14" localSheetId="10">#REF!</definedName>
    <definedName name="EM_052_14">#REF!</definedName>
    <definedName name="EM_052_15" localSheetId="23">#REF!</definedName>
    <definedName name="EM_052_15" localSheetId="6">#REF!</definedName>
    <definedName name="EM_052_15" localSheetId="10">#REF!</definedName>
    <definedName name="EM_052_15">#REF!</definedName>
    <definedName name="EM_052_16" localSheetId="23">#REF!</definedName>
    <definedName name="EM_052_16" localSheetId="6">#REF!</definedName>
    <definedName name="EM_052_16" localSheetId="10">#REF!</definedName>
    <definedName name="EM_052_16">#REF!</definedName>
    <definedName name="EM_052_17" localSheetId="23">#REF!</definedName>
    <definedName name="EM_052_17" localSheetId="6">#REF!</definedName>
    <definedName name="EM_052_17" localSheetId="10">#REF!</definedName>
    <definedName name="EM_052_17">#REF!</definedName>
    <definedName name="EM_052_18" localSheetId="23">#REF!</definedName>
    <definedName name="EM_052_18" localSheetId="6">#REF!</definedName>
    <definedName name="EM_052_18" localSheetId="10">#REF!</definedName>
    <definedName name="EM_052_18">#REF!</definedName>
    <definedName name="EM_053_14" localSheetId="23">#REF!</definedName>
    <definedName name="EM_053_14" localSheetId="6">#REF!</definedName>
    <definedName name="EM_053_14" localSheetId="10">#REF!</definedName>
    <definedName name="EM_053_14">#REF!</definedName>
    <definedName name="EM_053_15" localSheetId="23">#REF!</definedName>
    <definedName name="EM_053_15" localSheetId="6">#REF!</definedName>
    <definedName name="EM_053_15" localSheetId="10">#REF!</definedName>
    <definedName name="EM_053_15">#REF!</definedName>
    <definedName name="EM_053_16" localSheetId="23">#REF!</definedName>
    <definedName name="EM_053_16" localSheetId="6">#REF!</definedName>
    <definedName name="EM_053_16" localSheetId="10">#REF!</definedName>
    <definedName name="EM_053_16">#REF!</definedName>
    <definedName name="EM_053_17" localSheetId="23">#REF!</definedName>
    <definedName name="EM_053_17" localSheetId="6">#REF!</definedName>
    <definedName name="EM_053_17" localSheetId="10">#REF!</definedName>
    <definedName name="EM_053_17">#REF!</definedName>
    <definedName name="EM_053_18" localSheetId="23">#REF!</definedName>
    <definedName name="EM_053_18" localSheetId="6">#REF!</definedName>
    <definedName name="EM_053_18" localSheetId="10">#REF!</definedName>
    <definedName name="EM_053_18">#REF!</definedName>
    <definedName name="EM_054_14" localSheetId="23">#REF!</definedName>
    <definedName name="EM_054_14" localSheetId="6">#REF!</definedName>
    <definedName name="EM_054_14" localSheetId="10">#REF!</definedName>
    <definedName name="EM_054_14">#REF!</definedName>
    <definedName name="EM_054_15" localSheetId="23">#REF!</definedName>
    <definedName name="EM_054_15" localSheetId="6">#REF!</definedName>
    <definedName name="EM_054_15" localSheetId="10">#REF!</definedName>
    <definedName name="EM_054_15">#REF!</definedName>
    <definedName name="EM_054_16" localSheetId="23">#REF!</definedName>
    <definedName name="EM_054_16" localSheetId="6">#REF!</definedName>
    <definedName name="EM_054_16" localSheetId="10">#REF!</definedName>
    <definedName name="EM_054_16">#REF!</definedName>
    <definedName name="EM_054_17" localSheetId="23">#REF!</definedName>
    <definedName name="EM_054_17" localSheetId="6">#REF!</definedName>
    <definedName name="EM_054_17" localSheetId="10">#REF!</definedName>
    <definedName name="EM_054_17">#REF!</definedName>
    <definedName name="EM_054_18" localSheetId="23">#REF!</definedName>
    <definedName name="EM_054_18" localSheetId="6">#REF!</definedName>
    <definedName name="EM_054_18" localSheetId="10">#REF!</definedName>
    <definedName name="EM_054_18">#REF!</definedName>
    <definedName name="EM_055_14" localSheetId="23">#REF!</definedName>
    <definedName name="EM_055_14" localSheetId="6">#REF!</definedName>
    <definedName name="EM_055_14" localSheetId="10">#REF!</definedName>
    <definedName name="EM_055_14">#REF!</definedName>
    <definedName name="EM_055_15" localSheetId="23">#REF!</definedName>
    <definedName name="EM_055_15" localSheetId="6">#REF!</definedName>
    <definedName name="EM_055_15" localSheetId="10">#REF!</definedName>
    <definedName name="EM_055_15">#REF!</definedName>
    <definedName name="EM_055_16" localSheetId="23">#REF!</definedName>
    <definedName name="EM_055_16" localSheetId="6">#REF!</definedName>
    <definedName name="EM_055_16" localSheetId="10">#REF!</definedName>
    <definedName name="EM_055_16">#REF!</definedName>
    <definedName name="EM_055_17" localSheetId="23">#REF!</definedName>
    <definedName name="EM_055_17" localSheetId="6">#REF!</definedName>
    <definedName name="EM_055_17" localSheetId="10">#REF!</definedName>
    <definedName name="EM_055_17">#REF!</definedName>
    <definedName name="EM_055_18" localSheetId="23">#REF!</definedName>
    <definedName name="EM_055_18" localSheetId="6">#REF!</definedName>
    <definedName name="EM_055_18" localSheetId="10">#REF!</definedName>
    <definedName name="EM_055_18">#REF!</definedName>
    <definedName name="EM_056_14" localSheetId="23">#REF!</definedName>
    <definedName name="EM_056_14" localSheetId="6">#REF!</definedName>
    <definedName name="EM_056_14" localSheetId="10">#REF!</definedName>
    <definedName name="EM_056_14">#REF!</definedName>
    <definedName name="EM_056_15" localSheetId="23">#REF!</definedName>
    <definedName name="EM_056_15" localSheetId="6">#REF!</definedName>
    <definedName name="EM_056_15" localSheetId="10">#REF!</definedName>
    <definedName name="EM_056_15">#REF!</definedName>
    <definedName name="EM_056_16" localSheetId="23">#REF!</definedName>
    <definedName name="EM_056_16" localSheetId="6">#REF!</definedName>
    <definedName name="EM_056_16" localSheetId="10">#REF!</definedName>
    <definedName name="EM_056_16">#REF!</definedName>
    <definedName name="EM_056_17" localSheetId="23">#REF!</definedName>
    <definedName name="EM_056_17" localSheetId="6">#REF!</definedName>
    <definedName name="EM_056_17" localSheetId="10">#REF!</definedName>
    <definedName name="EM_056_17">#REF!</definedName>
    <definedName name="EM_056_18" localSheetId="23">#REF!</definedName>
    <definedName name="EM_056_18" localSheetId="6">#REF!</definedName>
    <definedName name="EM_056_18" localSheetId="10">#REF!</definedName>
    <definedName name="EM_056_18">#REF!</definedName>
    <definedName name="EM_057_14" localSheetId="23">#REF!</definedName>
    <definedName name="EM_057_14" localSheetId="6">#REF!</definedName>
    <definedName name="EM_057_14" localSheetId="10">#REF!</definedName>
    <definedName name="EM_057_14">#REF!</definedName>
    <definedName name="EM_057_15" localSheetId="23">#REF!</definedName>
    <definedName name="EM_057_15" localSheetId="6">#REF!</definedName>
    <definedName name="EM_057_15" localSheetId="10">#REF!</definedName>
    <definedName name="EM_057_15">#REF!</definedName>
    <definedName name="EM_057_16" localSheetId="23">#REF!</definedName>
    <definedName name="EM_057_16" localSheetId="6">#REF!</definedName>
    <definedName name="EM_057_16" localSheetId="10">#REF!</definedName>
    <definedName name="EM_057_16">#REF!</definedName>
    <definedName name="EM_057_17" localSheetId="23">#REF!</definedName>
    <definedName name="EM_057_17" localSheetId="6">#REF!</definedName>
    <definedName name="EM_057_17" localSheetId="10">#REF!</definedName>
    <definedName name="EM_057_17">#REF!</definedName>
    <definedName name="EM_057_18" localSheetId="23">#REF!</definedName>
    <definedName name="EM_057_18" localSheetId="6">#REF!</definedName>
    <definedName name="EM_057_18" localSheetId="10">#REF!</definedName>
    <definedName name="EM_057_18">#REF!</definedName>
    <definedName name="EM_058_14" localSheetId="23">#REF!</definedName>
    <definedName name="EM_058_14" localSheetId="6">#REF!</definedName>
    <definedName name="EM_058_14" localSheetId="10">#REF!</definedName>
    <definedName name="EM_058_14">#REF!</definedName>
    <definedName name="EM_058_15" localSheetId="23">#REF!</definedName>
    <definedName name="EM_058_15" localSheetId="6">#REF!</definedName>
    <definedName name="EM_058_15" localSheetId="10">#REF!</definedName>
    <definedName name="EM_058_15">#REF!</definedName>
    <definedName name="EM_058_16" localSheetId="23">#REF!</definedName>
    <definedName name="EM_058_16" localSheetId="6">#REF!</definedName>
    <definedName name="EM_058_16" localSheetId="10">#REF!</definedName>
    <definedName name="EM_058_16">#REF!</definedName>
    <definedName name="EM_058_17" localSheetId="23">#REF!</definedName>
    <definedName name="EM_058_17" localSheetId="6">#REF!</definedName>
    <definedName name="EM_058_17" localSheetId="10">#REF!</definedName>
    <definedName name="EM_058_17">#REF!</definedName>
    <definedName name="EM_058_18" localSheetId="23">#REF!</definedName>
    <definedName name="EM_058_18" localSheetId="6">#REF!</definedName>
    <definedName name="EM_058_18" localSheetId="10">#REF!</definedName>
    <definedName name="EM_058_18">#REF!</definedName>
    <definedName name="EM_059_14" localSheetId="23">#REF!</definedName>
    <definedName name="EM_059_14" localSheetId="6">#REF!</definedName>
    <definedName name="EM_059_14" localSheetId="10">#REF!</definedName>
    <definedName name="EM_059_14">#REF!</definedName>
    <definedName name="EM_059_15" localSheetId="23">#REF!</definedName>
    <definedName name="EM_059_15" localSheetId="6">#REF!</definedName>
    <definedName name="EM_059_15" localSheetId="10">#REF!</definedName>
    <definedName name="EM_059_15">#REF!</definedName>
    <definedName name="EM_059_16" localSheetId="23">#REF!</definedName>
    <definedName name="EM_059_16" localSheetId="6">#REF!</definedName>
    <definedName name="EM_059_16" localSheetId="10">#REF!</definedName>
    <definedName name="EM_059_16">#REF!</definedName>
    <definedName name="EM_059_17" localSheetId="23">#REF!</definedName>
    <definedName name="EM_059_17" localSheetId="6">#REF!</definedName>
    <definedName name="EM_059_17" localSheetId="10">#REF!</definedName>
    <definedName name="EM_059_17">#REF!</definedName>
    <definedName name="EM_059_18" localSheetId="23">#REF!</definedName>
    <definedName name="EM_059_18" localSheetId="6">#REF!</definedName>
    <definedName name="EM_059_18" localSheetId="10">#REF!</definedName>
    <definedName name="EM_059_18">#REF!</definedName>
    <definedName name="EM_060_14" localSheetId="23">#REF!</definedName>
    <definedName name="EM_060_14" localSheetId="6">#REF!</definedName>
    <definedName name="EM_060_14" localSheetId="10">#REF!</definedName>
    <definedName name="EM_060_14">#REF!</definedName>
    <definedName name="EM_060_15" localSheetId="23">#REF!</definedName>
    <definedName name="EM_060_15" localSheetId="6">#REF!</definedName>
    <definedName name="EM_060_15" localSheetId="10">#REF!</definedName>
    <definedName name="EM_060_15">#REF!</definedName>
    <definedName name="EM_060_16" localSheetId="23">#REF!</definedName>
    <definedName name="EM_060_16" localSheetId="6">#REF!</definedName>
    <definedName name="EM_060_16" localSheetId="10">#REF!</definedName>
    <definedName name="EM_060_16">#REF!</definedName>
    <definedName name="EM_060_17" localSheetId="23">#REF!</definedName>
    <definedName name="EM_060_17" localSheetId="6">#REF!</definedName>
    <definedName name="EM_060_17" localSheetId="10">#REF!</definedName>
    <definedName name="EM_060_17">#REF!</definedName>
    <definedName name="EM_060_18" localSheetId="23">#REF!</definedName>
    <definedName name="EM_060_18" localSheetId="6">#REF!</definedName>
    <definedName name="EM_060_18" localSheetId="10">#REF!</definedName>
    <definedName name="EM_060_18">#REF!</definedName>
    <definedName name="EM_061_14" localSheetId="23">#REF!</definedName>
    <definedName name="EM_061_14" localSheetId="6">#REF!</definedName>
    <definedName name="EM_061_14" localSheetId="10">#REF!</definedName>
    <definedName name="EM_061_14">#REF!</definedName>
    <definedName name="EM_061_15" localSheetId="23">#REF!</definedName>
    <definedName name="EM_061_15" localSheetId="6">#REF!</definedName>
    <definedName name="EM_061_15" localSheetId="10">#REF!</definedName>
    <definedName name="EM_061_15">#REF!</definedName>
    <definedName name="EM_061_16" localSheetId="23">#REF!</definedName>
    <definedName name="EM_061_16" localSheetId="6">#REF!</definedName>
    <definedName name="EM_061_16" localSheetId="10">#REF!</definedName>
    <definedName name="EM_061_16">#REF!</definedName>
    <definedName name="EM_061_17" localSheetId="23">#REF!</definedName>
    <definedName name="EM_061_17" localSheetId="6">#REF!</definedName>
    <definedName name="EM_061_17" localSheetId="10">#REF!</definedName>
    <definedName name="EM_061_17">#REF!</definedName>
    <definedName name="EM_061_18" localSheetId="23">#REF!</definedName>
    <definedName name="EM_061_18" localSheetId="6">#REF!</definedName>
    <definedName name="EM_061_18" localSheetId="10">#REF!</definedName>
    <definedName name="EM_061_18">#REF!</definedName>
    <definedName name="EM_062_14" localSheetId="23">#REF!</definedName>
    <definedName name="EM_062_14" localSheetId="6">#REF!</definedName>
    <definedName name="EM_062_14" localSheetId="10">#REF!</definedName>
    <definedName name="EM_062_14">#REF!</definedName>
    <definedName name="EM_062_15" localSheetId="23">#REF!</definedName>
    <definedName name="EM_062_15" localSheetId="6">#REF!</definedName>
    <definedName name="EM_062_15" localSheetId="10">#REF!</definedName>
    <definedName name="EM_062_15">#REF!</definedName>
    <definedName name="EM_062_16" localSheetId="23">#REF!</definedName>
    <definedName name="EM_062_16" localSheetId="6">#REF!</definedName>
    <definedName name="EM_062_16" localSheetId="10">#REF!</definedName>
    <definedName name="EM_062_16">#REF!</definedName>
    <definedName name="EM_062_17" localSheetId="23">#REF!</definedName>
    <definedName name="EM_062_17" localSheetId="6">#REF!</definedName>
    <definedName name="EM_062_17" localSheetId="10">#REF!</definedName>
    <definedName name="EM_062_17">#REF!</definedName>
    <definedName name="EM_062_18" localSheetId="23">#REF!</definedName>
    <definedName name="EM_062_18" localSheetId="6">#REF!</definedName>
    <definedName name="EM_062_18" localSheetId="10">#REF!</definedName>
    <definedName name="EM_062_18">#REF!</definedName>
    <definedName name="EM_063_14" localSheetId="23">#REF!</definedName>
    <definedName name="EM_063_14" localSheetId="6">#REF!</definedName>
    <definedName name="EM_063_14" localSheetId="10">#REF!</definedName>
    <definedName name="EM_063_14">#REF!</definedName>
    <definedName name="EM_063_15" localSheetId="23">#REF!</definedName>
    <definedName name="EM_063_15" localSheetId="6">#REF!</definedName>
    <definedName name="EM_063_15" localSheetId="10">#REF!</definedName>
    <definedName name="EM_063_15">#REF!</definedName>
    <definedName name="EM_063_16" localSheetId="23">#REF!</definedName>
    <definedName name="EM_063_16" localSheetId="6">#REF!</definedName>
    <definedName name="EM_063_16" localSheetId="10">#REF!</definedName>
    <definedName name="EM_063_16">#REF!</definedName>
    <definedName name="EM_063_17" localSheetId="23">#REF!</definedName>
    <definedName name="EM_063_17" localSheetId="6">#REF!</definedName>
    <definedName name="EM_063_17" localSheetId="10">#REF!</definedName>
    <definedName name="EM_063_17">#REF!</definedName>
    <definedName name="EM_063_18" localSheetId="23">#REF!</definedName>
    <definedName name="EM_063_18" localSheetId="6">#REF!</definedName>
    <definedName name="EM_063_18" localSheetId="10">#REF!</definedName>
    <definedName name="EM_063_18">#REF!</definedName>
    <definedName name="EM_064_14" localSheetId="23">#REF!</definedName>
    <definedName name="EM_064_14" localSheetId="6">#REF!</definedName>
    <definedName name="EM_064_14" localSheetId="10">#REF!</definedName>
    <definedName name="EM_064_14">#REF!</definedName>
    <definedName name="EM_064_15" localSheetId="23">#REF!</definedName>
    <definedName name="EM_064_15" localSheetId="6">#REF!</definedName>
    <definedName name="EM_064_15" localSheetId="10">#REF!</definedName>
    <definedName name="EM_064_15">#REF!</definedName>
    <definedName name="EM_064_16" localSheetId="23">#REF!</definedName>
    <definedName name="EM_064_16" localSheetId="6">#REF!</definedName>
    <definedName name="EM_064_16" localSheetId="10">#REF!</definedName>
    <definedName name="EM_064_16">#REF!</definedName>
    <definedName name="EM_064_17" localSheetId="23">#REF!</definedName>
    <definedName name="EM_064_17" localSheetId="6">#REF!</definedName>
    <definedName name="EM_064_17" localSheetId="10">#REF!</definedName>
    <definedName name="EM_064_17">#REF!</definedName>
    <definedName name="EM_064_18" localSheetId="23">#REF!</definedName>
    <definedName name="EM_064_18" localSheetId="6">#REF!</definedName>
    <definedName name="EM_064_18" localSheetId="10">#REF!</definedName>
    <definedName name="EM_064_18">#REF!</definedName>
    <definedName name="EM_065_14" localSheetId="23">#REF!</definedName>
    <definedName name="EM_065_14" localSheetId="6">#REF!</definedName>
    <definedName name="EM_065_14" localSheetId="10">#REF!</definedName>
    <definedName name="EM_065_14">#REF!</definedName>
    <definedName name="EM_065_15" localSheetId="23">#REF!</definedName>
    <definedName name="EM_065_15" localSheetId="6">#REF!</definedName>
    <definedName name="EM_065_15" localSheetId="10">#REF!</definedName>
    <definedName name="EM_065_15">#REF!</definedName>
    <definedName name="EM_065_16" localSheetId="23">#REF!</definedName>
    <definedName name="EM_065_16" localSheetId="6">#REF!</definedName>
    <definedName name="EM_065_16" localSheetId="10">#REF!</definedName>
    <definedName name="EM_065_16">#REF!</definedName>
    <definedName name="EM_065_17" localSheetId="23">#REF!</definedName>
    <definedName name="EM_065_17" localSheetId="6">#REF!</definedName>
    <definedName name="EM_065_17" localSheetId="10">#REF!</definedName>
    <definedName name="EM_065_17">#REF!</definedName>
    <definedName name="EM_065_18" localSheetId="23">#REF!</definedName>
    <definedName name="EM_065_18" localSheetId="6">#REF!</definedName>
    <definedName name="EM_065_18" localSheetId="10">#REF!</definedName>
    <definedName name="EM_065_18">#REF!</definedName>
    <definedName name="EM_066_14" localSheetId="23">#REF!</definedName>
    <definedName name="EM_066_14" localSheetId="6">#REF!</definedName>
    <definedName name="EM_066_14" localSheetId="10">#REF!</definedName>
    <definedName name="EM_066_14">#REF!</definedName>
    <definedName name="EM_066_15" localSheetId="23">#REF!</definedName>
    <definedName name="EM_066_15" localSheetId="6">#REF!</definedName>
    <definedName name="EM_066_15" localSheetId="10">#REF!</definedName>
    <definedName name="EM_066_15">#REF!</definedName>
    <definedName name="EM_066_16" localSheetId="23">#REF!</definedName>
    <definedName name="EM_066_16" localSheetId="6">#REF!</definedName>
    <definedName name="EM_066_16" localSheetId="10">#REF!</definedName>
    <definedName name="EM_066_16">#REF!</definedName>
    <definedName name="EM_066_17" localSheetId="23">#REF!</definedName>
    <definedName name="EM_066_17" localSheetId="6">#REF!</definedName>
    <definedName name="EM_066_17" localSheetId="10">#REF!</definedName>
    <definedName name="EM_066_17">#REF!</definedName>
    <definedName name="EM_066_18" localSheetId="23">#REF!</definedName>
    <definedName name="EM_066_18" localSheetId="6">#REF!</definedName>
    <definedName name="EM_066_18" localSheetId="10">#REF!</definedName>
    <definedName name="EM_066_18">#REF!</definedName>
    <definedName name="EM_067_14" localSheetId="23">#REF!</definedName>
    <definedName name="EM_067_14" localSheetId="6">#REF!</definedName>
    <definedName name="EM_067_14" localSheetId="10">#REF!</definedName>
    <definedName name="EM_067_14">#REF!</definedName>
    <definedName name="EM_067_15" localSheetId="23">#REF!</definedName>
    <definedName name="EM_067_15" localSheetId="6">#REF!</definedName>
    <definedName name="EM_067_15" localSheetId="10">#REF!</definedName>
    <definedName name="EM_067_15">#REF!</definedName>
    <definedName name="EM_067_16" localSheetId="23">#REF!</definedName>
    <definedName name="EM_067_16" localSheetId="6">#REF!</definedName>
    <definedName name="EM_067_16" localSheetId="10">#REF!</definedName>
    <definedName name="EM_067_16">#REF!</definedName>
    <definedName name="EM_067_17" localSheetId="23">#REF!</definedName>
    <definedName name="EM_067_17" localSheetId="6">#REF!</definedName>
    <definedName name="EM_067_17" localSheetId="10">#REF!</definedName>
    <definedName name="EM_067_17">#REF!</definedName>
    <definedName name="EM_067_18" localSheetId="23">#REF!</definedName>
    <definedName name="EM_067_18" localSheetId="6">#REF!</definedName>
    <definedName name="EM_067_18" localSheetId="10">#REF!</definedName>
    <definedName name="EM_067_18">#REF!</definedName>
    <definedName name="EM_068_14" localSheetId="23">#REF!</definedName>
    <definedName name="EM_068_14" localSheetId="6">#REF!</definedName>
    <definedName name="EM_068_14" localSheetId="10">#REF!</definedName>
    <definedName name="EM_068_14">#REF!</definedName>
    <definedName name="EM_068_15" localSheetId="23">#REF!</definedName>
    <definedName name="EM_068_15" localSheetId="6">#REF!</definedName>
    <definedName name="EM_068_15" localSheetId="10">#REF!</definedName>
    <definedName name="EM_068_15">#REF!</definedName>
    <definedName name="EM_068_16" localSheetId="23">#REF!</definedName>
    <definedName name="EM_068_16" localSheetId="6">#REF!</definedName>
    <definedName name="EM_068_16" localSheetId="10">#REF!</definedName>
    <definedName name="EM_068_16">#REF!</definedName>
    <definedName name="EM_068_17" localSheetId="23">#REF!</definedName>
    <definedName name="EM_068_17" localSheetId="6">#REF!</definedName>
    <definedName name="EM_068_17" localSheetId="10">#REF!</definedName>
    <definedName name="EM_068_17">#REF!</definedName>
    <definedName name="EM_068_18" localSheetId="23">#REF!</definedName>
    <definedName name="EM_068_18" localSheetId="6">#REF!</definedName>
    <definedName name="EM_068_18" localSheetId="10">#REF!</definedName>
    <definedName name="EM_068_18">#REF!</definedName>
    <definedName name="EM_069_14" localSheetId="23">#REF!</definedName>
    <definedName name="EM_069_14" localSheetId="6">#REF!</definedName>
    <definedName name="EM_069_14" localSheetId="10">#REF!</definedName>
    <definedName name="EM_069_14">#REF!</definedName>
    <definedName name="EM_069_15" localSheetId="23">#REF!</definedName>
    <definedName name="EM_069_15" localSheetId="6">#REF!</definedName>
    <definedName name="EM_069_15" localSheetId="10">#REF!</definedName>
    <definedName name="EM_069_15">#REF!</definedName>
    <definedName name="EM_069_16" localSheetId="23">#REF!</definedName>
    <definedName name="EM_069_16" localSheetId="6">#REF!</definedName>
    <definedName name="EM_069_16" localSheetId="10">#REF!</definedName>
    <definedName name="EM_069_16">#REF!</definedName>
    <definedName name="EM_069_17" localSheetId="23">#REF!</definedName>
    <definedName name="EM_069_17" localSheetId="6">#REF!</definedName>
    <definedName name="EM_069_17" localSheetId="10">#REF!</definedName>
    <definedName name="EM_069_17">#REF!</definedName>
    <definedName name="EM_069_18" localSheetId="23">#REF!</definedName>
    <definedName name="EM_069_18" localSheetId="6">#REF!</definedName>
    <definedName name="EM_069_18" localSheetId="10">#REF!</definedName>
    <definedName name="EM_069_18">#REF!</definedName>
    <definedName name="EM_070_14" localSheetId="23">#REF!</definedName>
    <definedName name="EM_070_14" localSheetId="6">#REF!</definedName>
    <definedName name="EM_070_14" localSheetId="10">#REF!</definedName>
    <definedName name="EM_070_14">#REF!</definedName>
    <definedName name="EM_070_15" localSheetId="23">#REF!</definedName>
    <definedName name="EM_070_15" localSheetId="6">#REF!</definedName>
    <definedName name="EM_070_15" localSheetId="10">#REF!</definedName>
    <definedName name="EM_070_15">#REF!</definedName>
    <definedName name="EM_070_16" localSheetId="23">#REF!</definedName>
    <definedName name="EM_070_16" localSheetId="6">#REF!</definedName>
    <definedName name="EM_070_16" localSheetId="10">#REF!</definedName>
    <definedName name="EM_070_16">#REF!</definedName>
    <definedName name="EM_070_17" localSheetId="23">#REF!</definedName>
    <definedName name="EM_070_17" localSheetId="6">#REF!</definedName>
    <definedName name="EM_070_17" localSheetId="10">#REF!</definedName>
    <definedName name="EM_070_17">#REF!</definedName>
    <definedName name="EM_070_18" localSheetId="23">#REF!</definedName>
    <definedName name="EM_070_18" localSheetId="6">#REF!</definedName>
    <definedName name="EM_070_18" localSheetId="10">#REF!</definedName>
    <definedName name="EM_070_18">#REF!</definedName>
    <definedName name="EM_071_14" localSheetId="23">#REF!</definedName>
    <definedName name="EM_071_14" localSheetId="6">#REF!</definedName>
    <definedName name="EM_071_14" localSheetId="10">#REF!</definedName>
    <definedName name="EM_071_14">#REF!</definedName>
    <definedName name="EM_071_15" localSheetId="23">#REF!</definedName>
    <definedName name="EM_071_15" localSheetId="6">#REF!</definedName>
    <definedName name="EM_071_15" localSheetId="10">#REF!</definedName>
    <definedName name="EM_071_15">#REF!</definedName>
    <definedName name="EM_071_16" localSheetId="23">#REF!</definedName>
    <definedName name="EM_071_16" localSheetId="6">#REF!</definedName>
    <definedName name="EM_071_16" localSheetId="10">#REF!</definedName>
    <definedName name="EM_071_16">#REF!</definedName>
    <definedName name="EM_071_17" localSheetId="23">#REF!</definedName>
    <definedName name="EM_071_17" localSheetId="6">#REF!</definedName>
    <definedName name="EM_071_17" localSheetId="10">#REF!</definedName>
    <definedName name="EM_071_17">#REF!</definedName>
    <definedName name="EM_071_18" localSheetId="23">#REF!</definedName>
    <definedName name="EM_071_18" localSheetId="6">#REF!</definedName>
    <definedName name="EM_071_18" localSheetId="10">#REF!</definedName>
    <definedName name="EM_071_18">#REF!</definedName>
    <definedName name="EM_072_14" localSheetId="23">#REF!</definedName>
    <definedName name="EM_072_14" localSheetId="6">#REF!</definedName>
    <definedName name="EM_072_14" localSheetId="10">#REF!</definedName>
    <definedName name="EM_072_14">#REF!</definedName>
    <definedName name="EM_072_15" localSheetId="23">#REF!</definedName>
    <definedName name="EM_072_15" localSheetId="6">#REF!</definedName>
    <definedName name="EM_072_15" localSheetId="10">#REF!</definedName>
    <definedName name="EM_072_15">#REF!</definedName>
    <definedName name="EM_072_16" localSheetId="23">#REF!</definedName>
    <definedName name="EM_072_16" localSheetId="6">#REF!</definedName>
    <definedName name="EM_072_16" localSheetId="10">#REF!</definedName>
    <definedName name="EM_072_16">#REF!</definedName>
    <definedName name="EM_072_17" localSheetId="23">#REF!</definedName>
    <definedName name="EM_072_17" localSheetId="6">#REF!</definedName>
    <definedName name="EM_072_17" localSheetId="10">#REF!</definedName>
    <definedName name="EM_072_17">#REF!</definedName>
    <definedName name="EM_072_18" localSheetId="23">#REF!</definedName>
    <definedName name="EM_072_18" localSheetId="6">#REF!</definedName>
    <definedName name="EM_072_18" localSheetId="10">#REF!</definedName>
    <definedName name="EM_072_18">#REF!</definedName>
    <definedName name="EM_073_14" localSheetId="23">#REF!</definedName>
    <definedName name="EM_073_14" localSheetId="6">#REF!</definedName>
    <definedName name="EM_073_14" localSheetId="10">#REF!</definedName>
    <definedName name="EM_073_14">#REF!</definedName>
    <definedName name="EM_073_15" localSheetId="23">#REF!</definedName>
    <definedName name="EM_073_15" localSheetId="6">#REF!</definedName>
    <definedName name="EM_073_15" localSheetId="10">#REF!</definedName>
    <definedName name="EM_073_15">#REF!</definedName>
    <definedName name="EM_073_16" localSheetId="23">#REF!</definedName>
    <definedName name="EM_073_16" localSheetId="6">#REF!</definedName>
    <definedName name="EM_073_16" localSheetId="10">#REF!</definedName>
    <definedName name="EM_073_16">#REF!</definedName>
    <definedName name="EM_073_17" localSheetId="23">#REF!</definedName>
    <definedName name="EM_073_17" localSheetId="6">#REF!</definedName>
    <definedName name="EM_073_17" localSheetId="10">#REF!</definedName>
    <definedName name="EM_073_17">#REF!</definedName>
    <definedName name="EM_073_18" localSheetId="23">#REF!</definedName>
    <definedName name="EM_073_18" localSheetId="6">#REF!</definedName>
    <definedName name="EM_073_18" localSheetId="10">#REF!</definedName>
    <definedName name="EM_073_18">#REF!</definedName>
    <definedName name="EM_074_14" localSheetId="23">#REF!</definedName>
    <definedName name="EM_074_14" localSheetId="6">#REF!</definedName>
    <definedName name="EM_074_14" localSheetId="10">#REF!</definedName>
    <definedName name="EM_074_14">#REF!</definedName>
    <definedName name="EM_074_15" localSheetId="23">#REF!</definedName>
    <definedName name="EM_074_15" localSheetId="6">#REF!</definedName>
    <definedName name="EM_074_15" localSheetId="10">#REF!</definedName>
    <definedName name="EM_074_15">#REF!</definedName>
    <definedName name="EM_074_16" localSheetId="23">#REF!</definedName>
    <definedName name="EM_074_16" localSheetId="6">#REF!</definedName>
    <definedName name="EM_074_16" localSheetId="10">#REF!</definedName>
    <definedName name="EM_074_16">#REF!</definedName>
    <definedName name="EM_074_17" localSheetId="23">#REF!</definedName>
    <definedName name="EM_074_17" localSheetId="6">#REF!</definedName>
    <definedName name="EM_074_17" localSheetId="10">#REF!</definedName>
    <definedName name="EM_074_17">#REF!</definedName>
    <definedName name="EM_074_18" localSheetId="23">#REF!</definedName>
    <definedName name="EM_074_18" localSheetId="6">#REF!</definedName>
    <definedName name="EM_074_18" localSheetId="10">#REF!</definedName>
    <definedName name="EM_074_18">#REF!</definedName>
    <definedName name="empl_area1" localSheetId="23">#REF!</definedName>
    <definedName name="empl_area1" localSheetId="6">#REF!</definedName>
    <definedName name="empl_area1" localSheetId="10">#REF!</definedName>
    <definedName name="empl_area1">#REF!</definedName>
    <definedName name="empl_area2" localSheetId="23">#REF!</definedName>
    <definedName name="empl_area2" localSheetId="6">#REF!</definedName>
    <definedName name="empl_area2" localSheetId="10">#REF!</definedName>
    <definedName name="empl_area2">#REF!</definedName>
    <definedName name="empl_area3" localSheetId="23">#REF!</definedName>
    <definedName name="empl_area3" localSheetId="6">#REF!</definedName>
    <definedName name="empl_area3" localSheetId="10">#REF!</definedName>
    <definedName name="empl_area3">#REF!</definedName>
    <definedName name="empl_area4" localSheetId="23">#REF!</definedName>
    <definedName name="empl_area4" localSheetId="6">#REF!</definedName>
    <definedName name="empl_area4" localSheetId="10">#REF!</definedName>
    <definedName name="empl_area4">#REF!</definedName>
    <definedName name="empl_area5" localSheetId="23">#REF!</definedName>
    <definedName name="empl_area5" localSheetId="6">#REF!</definedName>
    <definedName name="empl_area5" localSheetId="10">#REF!</definedName>
    <definedName name="empl_area5">#REF!</definedName>
    <definedName name="empl_bdeg1" localSheetId="23">#REF!</definedName>
    <definedName name="empl_bdeg1" localSheetId="6">#REF!</definedName>
    <definedName name="empl_bdeg1" localSheetId="10">#REF!</definedName>
    <definedName name="empl_bdeg1">#REF!</definedName>
    <definedName name="empl_bdeg2" localSheetId="23">#REF!</definedName>
    <definedName name="empl_bdeg2" localSheetId="6">#REF!</definedName>
    <definedName name="empl_bdeg2" localSheetId="10">#REF!</definedName>
    <definedName name="empl_bdeg2">#REF!</definedName>
    <definedName name="empl_birth_dt" localSheetId="23">#REF!</definedName>
    <definedName name="empl_birth_dt" localSheetId="6">#REF!</definedName>
    <definedName name="empl_birth_dt" localSheetId="10">#REF!</definedName>
    <definedName name="empl_birth_dt">#REF!</definedName>
    <definedName name="empl_bpp1" localSheetId="23">#REF!</definedName>
    <definedName name="empl_bpp1" localSheetId="6">#REF!</definedName>
    <definedName name="empl_bpp1" localSheetId="10">#REF!</definedName>
    <definedName name="empl_bpp1">#REF!</definedName>
    <definedName name="empl_bpp2" localSheetId="23">#REF!</definedName>
    <definedName name="empl_bpp2" localSheetId="6">#REF!</definedName>
    <definedName name="empl_bpp2" localSheetId="10">#REF!</definedName>
    <definedName name="empl_bpp2">#REF!</definedName>
    <definedName name="empl_btgt1" localSheetId="23">#REF!</definedName>
    <definedName name="empl_btgt1" localSheetId="6">#REF!</definedName>
    <definedName name="empl_btgt1" localSheetId="10">#REF!</definedName>
    <definedName name="empl_btgt1">#REF!</definedName>
    <definedName name="empl_btgt2" localSheetId="23">#REF!</definedName>
    <definedName name="empl_btgt2" localSheetId="6">#REF!</definedName>
    <definedName name="empl_btgt2" localSheetId="10">#REF!</definedName>
    <definedName name="empl_btgt2">#REF!</definedName>
    <definedName name="empl_bwt1" localSheetId="23">#REF!</definedName>
    <definedName name="empl_bwt1" localSheetId="6">#REF!</definedName>
    <definedName name="empl_bwt1" localSheetId="10">#REF!</definedName>
    <definedName name="empl_bwt1">#REF!</definedName>
    <definedName name="empl_bwt2" localSheetId="23">#REF!</definedName>
    <definedName name="empl_bwt2" localSheetId="6">#REF!</definedName>
    <definedName name="empl_bwt2" localSheetId="10">#REF!</definedName>
    <definedName name="empl_bwt2">#REF!</definedName>
    <definedName name="empl_carr_comp" localSheetId="23">#REF!</definedName>
    <definedName name="empl_carr_comp" localSheetId="6">#REF!</definedName>
    <definedName name="empl_carr_comp" localSheetId="10">#REF!</definedName>
    <definedName name="empl_carr_comp">#REF!</definedName>
    <definedName name="empl_carr_own" localSheetId="23">#REF!</definedName>
    <definedName name="empl_carr_own" localSheetId="6">#REF!</definedName>
    <definedName name="empl_carr_own" localSheetId="10">#REF!</definedName>
    <definedName name="empl_carr_own">#REF!</definedName>
    <definedName name="empl_imp1" localSheetId="23">#REF!</definedName>
    <definedName name="empl_imp1" localSheetId="6">#REF!</definedName>
    <definedName name="empl_imp1" localSheetId="10">#REF!</definedName>
    <definedName name="empl_imp1">#REF!</definedName>
    <definedName name="empl_imp2" localSheetId="23">#REF!</definedName>
    <definedName name="empl_imp2" localSheetId="6">#REF!</definedName>
    <definedName name="empl_imp2" localSheetId="10">#REF!</definedName>
    <definedName name="empl_imp2">#REF!</definedName>
    <definedName name="empl_imp3" localSheetId="23">#REF!</definedName>
    <definedName name="empl_imp3" localSheetId="6">#REF!</definedName>
    <definedName name="empl_imp3" localSheetId="10">#REF!</definedName>
    <definedName name="empl_imp3">#REF!</definedName>
    <definedName name="empl_imp4" localSheetId="23">#REF!</definedName>
    <definedName name="empl_imp4" localSheetId="6">#REF!</definedName>
    <definedName name="empl_imp4" localSheetId="10">#REF!</definedName>
    <definedName name="empl_imp4">#REF!</definedName>
    <definedName name="empl_imp5" localSheetId="23">#REF!</definedName>
    <definedName name="empl_imp5" localSheetId="6">#REF!</definedName>
    <definedName name="empl_imp5" localSheetId="10">#REF!</definedName>
    <definedName name="empl_imp5">#REF!</definedName>
    <definedName name="empl_job_title" localSheetId="23">#REF!</definedName>
    <definedName name="empl_job_title" localSheetId="6">#REF!</definedName>
    <definedName name="empl_job_title" localSheetId="10">#REF!</definedName>
    <definedName name="empl_job_title">#REF!</definedName>
    <definedName name="empl_join_dt" localSheetId="23">#REF!</definedName>
    <definedName name="empl_join_dt" localSheetId="6">#REF!</definedName>
    <definedName name="empl_join_dt" localSheetId="10">#REF!</definedName>
    <definedName name="empl_join_dt">#REF!</definedName>
    <definedName name="empl_loc" localSheetId="23">#REF!</definedName>
    <definedName name="empl_loc" localSheetId="6">#REF!</definedName>
    <definedName name="empl_loc" localSheetId="10">#REF!</definedName>
    <definedName name="empl_loc">#REF!</definedName>
    <definedName name="empl_name" localSheetId="23">#REF!</definedName>
    <definedName name="empl_name" localSheetId="6">#REF!</definedName>
    <definedName name="empl_name" localSheetId="10">#REF!</definedName>
    <definedName name="empl_name">#REF!</definedName>
    <definedName name="empl_no" localSheetId="23">#REF!</definedName>
    <definedName name="empl_no" localSheetId="6">#REF!</definedName>
    <definedName name="empl_no" localSheetId="10">#REF!</definedName>
    <definedName name="empl_no">#REF!</definedName>
    <definedName name="empl_pdeg1" localSheetId="23">#REF!</definedName>
    <definedName name="empl_pdeg1" localSheetId="6">#REF!</definedName>
    <definedName name="empl_pdeg1" localSheetId="10">#REF!</definedName>
    <definedName name="empl_pdeg1">#REF!</definedName>
    <definedName name="empl_pdeg2" localSheetId="23">#REF!</definedName>
    <definedName name="empl_pdeg2" localSheetId="6">#REF!</definedName>
    <definedName name="empl_pdeg2" localSheetId="10">#REF!</definedName>
    <definedName name="empl_pdeg2">#REF!</definedName>
    <definedName name="empl_pdeg3" localSheetId="23">#REF!</definedName>
    <definedName name="empl_pdeg3" localSheetId="6">#REF!</definedName>
    <definedName name="empl_pdeg3" localSheetId="10">#REF!</definedName>
    <definedName name="empl_pdeg3">#REF!</definedName>
    <definedName name="empl_pdeg4" localSheetId="23">#REF!</definedName>
    <definedName name="empl_pdeg4" localSheetId="6">#REF!</definedName>
    <definedName name="empl_pdeg4" localSheetId="10">#REF!</definedName>
    <definedName name="empl_pdeg4">#REF!</definedName>
    <definedName name="empl_pdeg5" localSheetId="23">#REF!</definedName>
    <definedName name="empl_pdeg5" localSheetId="6">#REF!</definedName>
    <definedName name="empl_pdeg5" localSheetId="10">#REF!</definedName>
    <definedName name="empl_pdeg5">#REF!</definedName>
    <definedName name="empl_period" localSheetId="23">#REF!</definedName>
    <definedName name="empl_period" localSheetId="6">#REF!</definedName>
    <definedName name="empl_period" localSheetId="10">#REF!</definedName>
    <definedName name="empl_period">#REF!</definedName>
    <definedName name="empl_pp_dt" localSheetId="23">#REF!</definedName>
    <definedName name="empl_pp_dt" localSheetId="6">#REF!</definedName>
    <definedName name="empl_pp_dt" localSheetId="10">#REF!</definedName>
    <definedName name="empl_pp_dt">#REF!</definedName>
    <definedName name="empl_ppp1" localSheetId="23">#REF!</definedName>
    <definedName name="empl_ppp1" localSheetId="6">#REF!</definedName>
    <definedName name="empl_ppp1" localSheetId="10">#REF!</definedName>
    <definedName name="empl_ppp1">#REF!</definedName>
    <definedName name="empl_ppp2" localSheetId="23">#REF!</definedName>
    <definedName name="empl_ppp2" localSheetId="6">#REF!</definedName>
    <definedName name="empl_ppp2" localSheetId="10">#REF!</definedName>
    <definedName name="empl_ppp2">#REF!</definedName>
    <definedName name="empl_ppp3" localSheetId="23">#REF!</definedName>
    <definedName name="empl_ppp3" localSheetId="6">#REF!</definedName>
    <definedName name="empl_ppp3" localSheetId="10">#REF!</definedName>
    <definedName name="empl_ppp3">#REF!</definedName>
    <definedName name="empl_ppp4" localSheetId="23">#REF!</definedName>
    <definedName name="empl_ppp4" localSheetId="6">#REF!</definedName>
    <definedName name="empl_ppp4" localSheetId="10">#REF!</definedName>
    <definedName name="empl_ppp4">#REF!</definedName>
    <definedName name="empl_ppp5" localSheetId="23">#REF!</definedName>
    <definedName name="empl_ppp5" localSheetId="6">#REF!</definedName>
    <definedName name="empl_ppp5" localSheetId="10">#REF!</definedName>
    <definedName name="empl_ppp5">#REF!</definedName>
    <definedName name="empl_prog1" localSheetId="23">#REF!</definedName>
    <definedName name="empl_prog1" localSheetId="6">#REF!</definedName>
    <definedName name="empl_prog1" localSheetId="10">#REF!</definedName>
    <definedName name="empl_prog1">#REF!</definedName>
    <definedName name="empl_prog2" localSheetId="23">#REF!</definedName>
    <definedName name="empl_prog2" localSheetId="6">#REF!</definedName>
    <definedName name="empl_prog2" localSheetId="10">#REF!</definedName>
    <definedName name="empl_prog2">#REF!</definedName>
    <definedName name="empl_prog3" localSheetId="23">#REF!</definedName>
    <definedName name="empl_prog3" localSheetId="6">#REF!</definedName>
    <definedName name="empl_prog3" localSheetId="10">#REF!</definedName>
    <definedName name="empl_prog3">#REF!</definedName>
    <definedName name="empl_prog4" localSheetId="23">#REF!</definedName>
    <definedName name="empl_prog4" localSheetId="6">#REF!</definedName>
    <definedName name="empl_prog4" localSheetId="10">#REF!</definedName>
    <definedName name="empl_prog4">#REF!</definedName>
    <definedName name="empl_prog5" localSheetId="23">#REF!</definedName>
    <definedName name="empl_prog5" localSheetId="6">#REF!</definedName>
    <definedName name="empl_prog5" localSheetId="10">#REF!</definedName>
    <definedName name="empl_prog5">#REF!</definedName>
    <definedName name="empl_ptgt1" localSheetId="23">#REF!</definedName>
    <definedName name="empl_ptgt1" localSheetId="6">#REF!</definedName>
    <definedName name="empl_ptgt1" localSheetId="10">#REF!</definedName>
    <definedName name="empl_ptgt1">#REF!</definedName>
    <definedName name="empl_ptgt2" localSheetId="23">#REF!</definedName>
    <definedName name="empl_ptgt2" localSheetId="6">#REF!</definedName>
    <definedName name="empl_ptgt2" localSheetId="10">#REF!</definedName>
    <definedName name="empl_ptgt2">#REF!</definedName>
    <definedName name="empl_ptgt3" localSheetId="23">#REF!</definedName>
    <definedName name="empl_ptgt3" localSheetId="6">#REF!</definedName>
    <definedName name="empl_ptgt3" localSheetId="10">#REF!</definedName>
    <definedName name="empl_ptgt3">#REF!</definedName>
    <definedName name="empl_ptgt4" localSheetId="23">#REF!</definedName>
    <definedName name="empl_ptgt4" localSheetId="6">#REF!</definedName>
    <definedName name="empl_ptgt4" localSheetId="10">#REF!</definedName>
    <definedName name="empl_ptgt4">#REF!</definedName>
    <definedName name="empl_ptgt5" localSheetId="23">#REF!</definedName>
    <definedName name="empl_ptgt5" localSheetId="6">#REF!</definedName>
    <definedName name="empl_ptgt5" localSheetId="10">#REF!</definedName>
    <definedName name="empl_ptgt5">#REF!</definedName>
    <definedName name="empl_pwt1" localSheetId="23">#REF!</definedName>
    <definedName name="empl_pwt1" localSheetId="6">#REF!</definedName>
    <definedName name="empl_pwt1" localSheetId="10">#REF!</definedName>
    <definedName name="empl_pwt1">#REF!</definedName>
    <definedName name="empl_pwt2" localSheetId="23">#REF!</definedName>
    <definedName name="empl_pwt2" localSheetId="6">#REF!</definedName>
    <definedName name="empl_pwt2" localSheetId="10">#REF!</definedName>
    <definedName name="empl_pwt2">#REF!</definedName>
    <definedName name="empl_pwt3" localSheetId="23">#REF!</definedName>
    <definedName name="empl_pwt3" localSheetId="6">#REF!</definedName>
    <definedName name="empl_pwt3" localSheetId="10">#REF!</definedName>
    <definedName name="empl_pwt3">#REF!</definedName>
    <definedName name="empl_pwt4" localSheetId="23">#REF!</definedName>
    <definedName name="empl_pwt4" localSheetId="6">#REF!</definedName>
    <definedName name="empl_pwt4" localSheetId="10">#REF!</definedName>
    <definedName name="empl_pwt4">#REF!</definedName>
    <definedName name="empl_pwt5" localSheetId="23">#REF!</definedName>
    <definedName name="empl_pwt5" localSheetId="6">#REF!</definedName>
    <definedName name="empl_pwt5" localSheetId="10">#REF!</definedName>
    <definedName name="empl_pwt5">#REF!</definedName>
    <definedName name="empl_revw_id" localSheetId="23">#REF!</definedName>
    <definedName name="empl_revw_id" localSheetId="6">#REF!</definedName>
    <definedName name="empl_revw_id" localSheetId="10">#REF!</definedName>
    <definedName name="empl_revw_id">#REF!</definedName>
    <definedName name="empl_summ" localSheetId="23">#REF!</definedName>
    <definedName name="empl_summ" localSheetId="6">#REF!</definedName>
    <definedName name="empl_summ" localSheetId="10">#REF!</definedName>
    <definedName name="empl_summ">#REF!</definedName>
    <definedName name="empl_wl" localSheetId="23">#REF!</definedName>
    <definedName name="empl_wl" localSheetId="6">#REF!</definedName>
    <definedName name="empl_wl" localSheetId="10">#REF!</definedName>
    <definedName name="empl_wl">#REF!</definedName>
    <definedName name="Employees" localSheetId="23">#REF!</definedName>
    <definedName name="Employees" localSheetId="6">#REF!</definedName>
    <definedName name="Employees" localSheetId="10">#REF!</definedName>
    <definedName name="Employees">#REF!</definedName>
    <definedName name="En" localSheetId="23">#REF!</definedName>
    <definedName name="En" localSheetId="6">#REF!</definedName>
    <definedName name="En" localSheetId="10">#REF!</definedName>
    <definedName name="En">#REF!</definedName>
    <definedName name="End_Bal" localSheetId="23">#REF!</definedName>
    <definedName name="End_Bal" localSheetId="6">#REF!</definedName>
    <definedName name="End_Bal" localSheetId="10">#REF!</definedName>
    <definedName name="End_Bal">#REF!</definedName>
    <definedName name="Ende" localSheetId="23">#REF!</definedName>
    <definedName name="Ende" localSheetId="6">#REF!</definedName>
    <definedName name="Ende" localSheetId="10">#REF!</definedName>
    <definedName name="Ende">#REF!</definedName>
    <definedName name="eng" localSheetId="4" hidden="1">[3]drg!#REF!</definedName>
    <definedName name="ENG" localSheetId="23">#REF!</definedName>
    <definedName name="ENG" localSheetId="6">#REF!</definedName>
    <definedName name="eng" localSheetId="27" hidden="1">[3]drg!#REF!</definedName>
    <definedName name="eng" localSheetId="11" hidden="1">[3]drg!#REF!</definedName>
    <definedName name="ENG" localSheetId="10">#REF!</definedName>
    <definedName name="eng" localSheetId="5" hidden="1">[3]drg!#REF!</definedName>
    <definedName name="ENG">#REF!</definedName>
    <definedName name="ENGG" localSheetId="23">#REF!</definedName>
    <definedName name="ENGG" localSheetId="6">#REF!</definedName>
    <definedName name="ENGG" localSheetId="10">#REF!</definedName>
    <definedName name="ENGG">#REF!</definedName>
    <definedName name="Engg_charges" localSheetId="23">#REF!</definedName>
    <definedName name="Engg_charges" localSheetId="6">#REF!</definedName>
    <definedName name="Engg_charges" localSheetId="10">#REF!</definedName>
    <definedName name="Engg_charges">#REF!</definedName>
    <definedName name="engineering" localSheetId="4" hidden="1">[8]A!#REF!</definedName>
    <definedName name="engineering" localSheetId="23" hidden="1">[8]A!#REF!</definedName>
    <definedName name="engineering" localSheetId="6" hidden="1">[8]A!#REF!</definedName>
    <definedName name="engineering" localSheetId="27" hidden="1">[8]A!#REF!</definedName>
    <definedName name="engineering" localSheetId="11" hidden="1">[8]A!#REF!</definedName>
    <definedName name="engineering" localSheetId="10" hidden="1">[8]A!#REF!</definedName>
    <definedName name="engineering" localSheetId="5" hidden="1">[8]A!#REF!</definedName>
    <definedName name="engineering" hidden="1">[8]A!#REF!</definedName>
    <definedName name="EOL" localSheetId="23">#REF!</definedName>
    <definedName name="EOL" localSheetId="6">#REF!</definedName>
    <definedName name="EOL" localSheetId="10">#REF!</definedName>
    <definedName name="EOL">#REF!</definedName>
    <definedName name="eq_index" localSheetId="23">#REF!</definedName>
    <definedName name="eq_index" localSheetId="6">#REF!</definedName>
    <definedName name="eq_index" localSheetId="10">#REF!</definedName>
    <definedName name="eq_index">#REF!</definedName>
    <definedName name="EQMOB" localSheetId="23">#REF!</definedName>
    <definedName name="EQMOB" localSheetId="6">#REF!</definedName>
    <definedName name="EQMOB" localSheetId="10">#REF!</definedName>
    <definedName name="EQMOB">#REF!</definedName>
    <definedName name="EQUIPCOM" localSheetId="23">#REF!</definedName>
    <definedName name="EQUIPCOM" localSheetId="6">#REF!</definedName>
    <definedName name="EQUIPCOM" localSheetId="10">#REF!</definedName>
    <definedName name="EQUIPCOM">#REF!</definedName>
    <definedName name="ERE" localSheetId="23">IFERROR(LEFT(INDEX(#REF!,MATCH('[5]  '!$C1,#REF!,0)),3),"")</definedName>
    <definedName name="ERE" localSheetId="6">IFERROR(LEFT(INDEX(#REF!,MATCH('[5]  '!$C1,#REF!,0)),3),"")</definedName>
    <definedName name="ERE" localSheetId="11">IFERROR(LEFT(INDEX(#REF!,MATCH('[5]  '!$C1,#REF!,0)),3),"")</definedName>
    <definedName name="ERE" localSheetId="10">IFERROR(LEFT(INDEX(#REF!,MATCH('[5]  '!$C1,#REF!,0)),3),"")</definedName>
    <definedName name="ERE">IFERROR(LEFT(INDEX(#REF!,MATCH('[5]  '!$C1,#REF!,0)),3),"")</definedName>
    <definedName name="erec" localSheetId="23">#REF!</definedName>
    <definedName name="erec" localSheetId="6">#REF!</definedName>
    <definedName name="erec" localSheetId="10">#REF!</definedName>
    <definedName name="erec">#REF!</definedName>
    <definedName name="erecps" localSheetId="23">#REF!</definedName>
    <definedName name="erecps" localSheetId="6">#REF!</definedName>
    <definedName name="erecps" localSheetId="10">#REF!</definedName>
    <definedName name="erecps">#REF!</definedName>
    <definedName name="ERT">IFERROR(LEFT(INDEX([5]EARTHING!$H$8:$H$56,MATCH('[5]  '!$C1,[5]EARTHING!$B$8:$B$56,0)),3),"")</definedName>
    <definedName name="ERV" localSheetId="23">#REF!</definedName>
    <definedName name="ERV" localSheetId="6">#REF!</definedName>
    <definedName name="ERV" localSheetId="10">#REF!</definedName>
    <definedName name="ERV">#REF!</definedName>
    <definedName name="Es" localSheetId="23">#REF!</definedName>
    <definedName name="Es" localSheetId="6">#REF!</definedName>
    <definedName name="Es" localSheetId="10">#REF!</definedName>
    <definedName name="Es">#REF!</definedName>
    <definedName name="Es___0" localSheetId="23">#REF!</definedName>
    <definedName name="Es___0" localSheetId="6">#REF!</definedName>
    <definedName name="Es___0" localSheetId="10">#REF!</definedName>
    <definedName name="Es___0">#REF!</definedName>
    <definedName name="Es___13" localSheetId="23">#REF!</definedName>
    <definedName name="Es___13" localSheetId="6">#REF!</definedName>
    <definedName name="Es___13" localSheetId="10">#REF!</definedName>
    <definedName name="Es___13">#REF!</definedName>
    <definedName name="ESC_BOHW" localSheetId="23">#REF!</definedName>
    <definedName name="ESC_BOHW" localSheetId="6">#REF!</definedName>
    <definedName name="ESC_BOHW" localSheetId="10">#REF!</definedName>
    <definedName name="ESC_BOHW">#REF!</definedName>
    <definedName name="ESC_BOSW" localSheetId="23">#REF!</definedName>
    <definedName name="ESC_BOSW" localSheetId="6">#REF!</definedName>
    <definedName name="ESC_BOSW" localSheetId="10">#REF!</definedName>
    <definedName name="ESC_BOSW">#REF!</definedName>
    <definedName name="ESC_IDTOHW" localSheetId="23">#REF!</definedName>
    <definedName name="ESC_IDTOHW" localSheetId="6">#REF!</definedName>
    <definedName name="ESC_IDTOHW" localSheetId="10">#REF!</definedName>
    <definedName name="ESC_IDTOHW">#REF!</definedName>
    <definedName name="ESC_IDTOSW" localSheetId="23">#REF!</definedName>
    <definedName name="ESC_IDTOSW" localSheetId="6">#REF!</definedName>
    <definedName name="ESC_IDTOSW" localSheetId="10">#REF!</definedName>
    <definedName name="ESC_IDTOSW">#REF!</definedName>
    <definedName name="ESC_IMPHW" localSheetId="23">#REF!</definedName>
    <definedName name="ESC_IMPHW" localSheetId="6">#REF!</definedName>
    <definedName name="ESC_IMPHW" localSheetId="10">#REF!</definedName>
    <definedName name="ESC_IMPHW">#REF!</definedName>
    <definedName name="ESC_IMPSW" localSheetId="23">#REF!</definedName>
    <definedName name="ESC_IMPSW" localSheetId="6">#REF!</definedName>
    <definedName name="ESC_IMPSW" localSheetId="10">#REF!</definedName>
    <definedName name="ESC_IMPSW">#REF!</definedName>
    <definedName name="ESC_SER" localSheetId="23">#REF!</definedName>
    <definedName name="ESC_SER" localSheetId="6">#REF!</definedName>
    <definedName name="ESC_SER" localSheetId="10">#REF!</definedName>
    <definedName name="ESC_SER">#REF!</definedName>
    <definedName name="ESC_TRHW" localSheetId="23">#REF!</definedName>
    <definedName name="ESC_TRHW" localSheetId="6">#REF!</definedName>
    <definedName name="ESC_TRHW" localSheetId="10">#REF!</definedName>
    <definedName name="ESC_TRHW">#REF!</definedName>
    <definedName name="ESC_TRSW" localSheetId="23">#REF!</definedName>
    <definedName name="ESC_TRSW" localSheetId="6">#REF!</definedName>
    <definedName name="ESC_TRSW" localSheetId="10">#REF!</definedName>
    <definedName name="ESC_TRSW">#REF!</definedName>
    <definedName name="ESCPRD_BOHW" localSheetId="23">#REF!</definedName>
    <definedName name="ESCPRD_BOHW" localSheetId="6">#REF!</definedName>
    <definedName name="ESCPRD_BOHW" localSheetId="10">#REF!</definedName>
    <definedName name="ESCPRD_BOHW">#REF!</definedName>
    <definedName name="ESCPRD_BOSW" localSheetId="23">#REF!</definedName>
    <definedName name="ESCPRD_BOSW" localSheetId="6">#REF!</definedName>
    <definedName name="ESCPRD_BOSW" localSheetId="10">#REF!</definedName>
    <definedName name="ESCPRD_BOSW">#REF!</definedName>
    <definedName name="ESCPRD_IDTOHW" localSheetId="23">#REF!</definedName>
    <definedName name="ESCPRD_IDTOHW" localSheetId="6">#REF!</definedName>
    <definedName name="ESCPRD_IDTOHW" localSheetId="10">#REF!</definedName>
    <definedName name="ESCPRD_IDTOHW">#REF!</definedName>
    <definedName name="ESCPRD_IDTOSW" localSheetId="23">#REF!</definedName>
    <definedName name="ESCPRD_IDTOSW" localSheetId="6">#REF!</definedName>
    <definedName name="ESCPRD_IDTOSW" localSheetId="10">#REF!</definedName>
    <definedName name="ESCPRD_IDTOSW">#REF!</definedName>
    <definedName name="ESCPRD_IMPHW" localSheetId="23">#REF!</definedName>
    <definedName name="ESCPRD_IMPHW" localSheetId="6">#REF!</definedName>
    <definedName name="ESCPRD_IMPHW" localSheetId="10">#REF!</definedName>
    <definedName name="ESCPRD_IMPHW">#REF!</definedName>
    <definedName name="ESCPRD_IMPSW" localSheetId="23">#REF!</definedName>
    <definedName name="ESCPRD_IMPSW" localSheetId="6">#REF!</definedName>
    <definedName name="ESCPRD_IMPSW" localSheetId="10">#REF!</definedName>
    <definedName name="ESCPRD_IMPSW">#REF!</definedName>
    <definedName name="ESCPRD_TRHW" localSheetId="23">#REF!</definedName>
    <definedName name="ESCPRD_TRHW" localSheetId="6">#REF!</definedName>
    <definedName name="ESCPRD_TRHW" localSheetId="10">#REF!</definedName>
    <definedName name="ESCPRD_TRHW">#REF!</definedName>
    <definedName name="ESCPRD_TRSW" localSheetId="23">#REF!</definedName>
    <definedName name="ESCPRD_TRSW" localSheetId="6">#REF!</definedName>
    <definedName name="ESCPRD_TRSW" localSheetId="10">#REF!</definedName>
    <definedName name="ESCPRD_TRSW">#REF!</definedName>
    <definedName name="eskal" localSheetId="23">#REF!</definedName>
    <definedName name="eskal" localSheetId="6">#REF!</definedName>
    <definedName name="eskal" localSheetId="10">#REF!</definedName>
    <definedName name="eskal">#REF!</definedName>
    <definedName name="Et" localSheetId="23">#REF!</definedName>
    <definedName name="Et" localSheetId="6">#REF!</definedName>
    <definedName name="Et" localSheetId="10">#REF!</definedName>
    <definedName name="Et">#REF!</definedName>
    <definedName name="Et___0" localSheetId="23">#REF!</definedName>
    <definedName name="Et___0" localSheetId="6">#REF!</definedName>
    <definedName name="Et___0" localSheetId="10">#REF!</definedName>
    <definedName name="Et___0">#REF!</definedName>
    <definedName name="Et___13" localSheetId="23">#REF!</definedName>
    <definedName name="Et___13" localSheetId="6">#REF!</definedName>
    <definedName name="Et___13" localSheetId="10">#REF!</definedName>
    <definedName name="Et___13">#REF!</definedName>
    <definedName name="etwet" localSheetId="23">#REF!</definedName>
    <definedName name="etwet" localSheetId="6">#REF!</definedName>
    <definedName name="etwet" localSheetId="10">#REF!</definedName>
    <definedName name="etwet">#REF!</definedName>
    <definedName name="eun" localSheetId="23">#REF!</definedName>
    <definedName name="eun" localSheetId="6">#REF!</definedName>
    <definedName name="eun" localSheetId="10">#REF!</definedName>
    <definedName name="eun">#REF!</definedName>
    <definedName name="EUR" localSheetId="23">#REF!</definedName>
    <definedName name="EUR" localSheetId="6">#REF!</definedName>
    <definedName name="EUR" localSheetId="10">#REF!</definedName>
    <definedName name="EUR">#REF!</definedName>
    <definedName name="EURO" localSheetId="23">#REF!</definedName>
    <definedName name="EURO" localSheetId="6">#REF!</definedName>
    <definedName name="EURO" localSheetId="10">#REF!</definedName>
    <definedName name="EURO">#REF!</definedName>
    <definedName name="EVA" localSheetId="23">#REF!</definedName>
    <definedName name="EVA" localSheetId="6">#REF!</definedName>
    <definedName name="EVA" localSheetId="10">#REF!</definedName>
    <definedName name="EVA">#REF!</definedName>
    <definedName name="ewer" localSheetId="11" hidden="1">{"'PROFITABILITY'!$A$1:$F$45"}</definedName>
    <definedName name="ewer" localSheetId="10" hidden="1">{"'PROFITABILITY'!$A$1:$F$45"}</definedName>
    <definedName name="ewer" hidden="1">{"'PROFITABILITY'!$A$1:$F$45"}</definedName>
    <definedName name="ex" localSheetId="23">#REF!</definedName>
    <definedName name="ex" localSheetId="6">#REF!</definedName>
    <definedName name="ex" localSheetId="10">#REF!</definedName>
    <definedName name="ex">#REF!</definedName>
    <definedName name="ex_joint" localSheetId="23">#REF!</definedName>
    <definedName name="ex_joint" localSheetId="6">#REF!</definedName>
    <definedName name="ex_joint" localSheetId="10">#REF!</definedName>
    <definedName name="ex_joint">#REF!</definedName>
    <definedName name="Ex_Rate_LC_per_FC" localSheetId="23">#REF!</definedName>
    <definedName name="Ex_Rate_LC_per_FC" localSheetId="6">#REF!</definedName>
    <definedName name="Ex_Rate_LC_per_FC" localSheetId="10">#REF!</definedName>
    <definedName name="Ex_Rate_LC_per_FC">#REF!</definedName>
    <definedName name="Excel_BuiltIn__FilterDatabase_3" localSheetId="4">#REF!</definedName>
    <definedName name="Excel_BuiltIn__FilterDatabase_3" localSheetId="23">#REF!</definedName>
    <definedName name="Excel_BuiltIn__FilterDatabase_3" localSheetId="6">#REF!</definedName>
    <definedName name="Excel_BuiltIn__FilterDatabase_3" localSheetId="27">#REF!</definedName>
    <definedName name="Excel_BuiltIn__FilterDatabase_3" localSheetId="11">#REF!</definedName>
    <definedName name="Excel_BuiltIn__FilterDatabase_3" localSheetId="10">#REF!</definedName>
    <definedName name="Excel_BuiltIn__FilterDatabase_3" localSheetId="5">#REF!</definedName>
    <definedName name="Excel_BuiltIn__FilterDatabase_3">#REF!</definedName>
    <definedName name="Excel_BuiltIn__FilterDatabase_31" localSheetId="23">#REF!</definedName>
    <definedName name="Excel_BuiltIn__FilterDatabase_31" localSheetId="6">#REF!</definedName>
    <definedName name="Excel_BuiltIn__FilterDatabase_31" localSheetId="10">#REF!</definedName>
    <definedName name="Excel_BuiltIn__FilterDatabase_31">#REF!</definedName>
    <definedName name="Excel_BuiltIn__FilterDatabase_4" localSheetId="4">#REF!</definedName>
    <definedName name="Excel_BuiltIn__FilterDatabase_4" localSheetId="23">#REF!</definedName>
    <definedName name="Excel_BuiltIn__FilterDatabase_4" localSheetId="6">#REF!</definedName>
    <definedName name="Excel_BuiltIn__FilterDatabase_4" localSheetId="27">#REF!</definedName>
    <definedName name="Excel_BuiltIn__FilterDatabase_4" localSheetId="11">#REF!</definedName>
    <definedName name="Excel_BuiltIn__FilterDatabase_4" localSheetId="10">#REF!</definedName>
    <definedName name="Excel_BuiltIn__FilterDatabase_4" localSheetId="5">#REF!</definedName>
    <definedName name="Excel_BuiltIn__FilterDatabase_4">#REF!</definedName>
    <definedName name="Excel_BuiltIn__FilterDatabase_5" localSheetId="4">#REF!</definedName>
    <definedName name="Excel_BuiltIn__FilterDatabase_5" localSheetId="23">#REF!</definedName>
    <definedName name="Excel_BuiltIn__FilterDatabase_5" localSheetId="6">#REF!</definedName>
    <definedName name="Excel_BuiltIn__FilterDatabase_5" localSheetId="27">#REF!</definedName>
    <definedName name="Excel_BuiltIn__FilterDatabase_5" localSheetId="11">#REF!</definedName>
    <definedName name="Excel_BuiltIn__FilterDatabase_5" localSheetId="10">#REF!</definedName>
    <definedName name="Excel_BuiltIn__FilterDatabase_5" localSheetId="5">#REF!</definedName>
    <definedName name="Excel_BuiltIn__FilterDatabase_5">#REF!</definedName>
    <definedName name="Excel_BuiltIn__FilterDatabase_6" localSheetId="4">#REF!</definedName>
    <definedName name="Excel_BuiltIn__FilterDatabase_6" localSheetId="23">#REF!</definedName>
    <definedName name="Excel_BuiltIn__FilterDatabase_6" localSheetId="6">#REF!</definedName>
    <definedName name="Excel_BuiltIn__FilterDatabase_6" localSheetId="27">#REF!</definedName>
    <definedName name="Excel_BuiltIn__FilterDatabase_6" localSheetId="11">#REF!</definedName>
    <definedName name="Excel_BuiltIn__FilterDatabase_6" localSheetId="10">#REF!</definedName>
    <definedName name="Excel_BuiltIn__FilterDatabase_6" localSheetId="5">#REF!</definedName>
    <definedName name="Excel_BuiltIn__FilterDatabase_6">#REF!</definedName>
    <definedName name="Excel_BuiltIn_Print_Area">"$#REF!.$A$1:$Z$38"</definedName>
    <definedName name="Excel_BuiltIn_Print_Area_1" localSheetId="4">"$#REF!.$A$1:$O$46"</definedName>
    <definedName name="Excel_BuiltIn_Print_Area_1" localSheetId="23">#REF!</definedName>
    <definedName name="Excel_BuiltIn_Print_Area_1" localSheetId="6">#REF!</definedName>
    <definedName name="Excel_BuiltIn_Print_Area_1" localSheetId="27">"$#REF!.$A$1:$O$46"</definedName>
    <definedName name="Excel_BuiltIn_Print_Area_1" localSheetId="11">"$#REF!.$A$1:$O$46"</definedName>
    <definedName name="Excel_BuiltIn_Print_Area_1" localSheetId="10">#REF!</definedName>
    <definedName name="Excel_BuiltIn_Print_Area_1" localSheetId="5">"$#REF!.$A$1:$O$46"</definedName>
    <definedName name="Excel_BuiltIn_Print_Area_1">#REF!</definedName>
    <definedName name="Excel_BuiltIn_Print_Area_11" localSheetId="23">#REF!</definedName>
    <definedName name="Excel_BuiltIn_Print_Area_11" localSheetId="6">#REF!</definedName>
    <definedName name="Excel_BuiltIn_Print_Area_11" localSheetId="10">#REF!</definedName>
    <definedName name="Excel_BuiltIn_Print_Area_11">#REF!</definedName>
    <definedName name="Excel_BuiltIn_Print_Area_14" localSheetId="23">#REF!</definedName>
    <definedName name="Excel_BuiltIn_Print_Area_14" localSheetId="6">#REF!</definedName>
    <definedName name="Excel_BuiltIn_Print_Area_14" localSheetId="10">#REF!</definedName>
    <definedName name="Excel_BuiltIn_Print_Area_14">#REF!</definedName>
    <definedName name="Excel_BuiltIn_Print_Area_15" localSheetId="23">#REF!</definedName>
    <definedName name="Excel_BuiltIn_Print_Area_15" localSheetId="6">#REF!</definedName>
    <definedName name="Excel_BuiltIn_Print_Area_15" localSheetId="10">#REF!</definedName>
    <definedName name="Excel_BuiltIn_Print_Area_15">#REF!</definedName>
    <definedName name="Excel_BuiltIn_Print_Area_17" localSheetId="23">#REF!</definedName>
    <definedName name="Excel_BuiltIn_Print_Area_17" localSheetId="6">#REF!</definedName>
    <definedName name="Excel_BuiltIn_Print_Area_17" localSheetId="10">#REF!</definedName>
    <definedName name="Excel_BuiltIn_Print_Area_17">#REF!</definedName>
    <definedName name="Excel_BuiltIn_Print_Area_18" localSheetId="23">#REF!</definedName>
    <definedName name="Excel_BuiltIn_Print_Area_18" localSheetId="6">#REF!</definedName>
    <definedName name="Excel_BuiltIn_Print_Area_18" localSheetId="10">#REF!</definedName>
    <definedName name="Excel_BuiltIn_Print_Area_18">#REF!</definedName>
    <definedName name="Excel_BuiltIn_Print_Area_19" localSheetId="23">#REF!</definedName>
    <definedName name="Excel_BuiltIn_Print_Area_19" localSheetId="6">#REF!</definedName>
    <definedName name="Excel_BuiltIn_Print_Area_19" localSheetId="10">#REF!</definedName>
    <definedName name="Excel_BuiltIn_Print_Area_19">#REF!</definedName>
    <definedName name="Excel_BuiltIn_Print_Area_2" localSheetId="4">#REF!</definedName>
    <definedName name="Excel_BuiltIn_Print_Area_2" localSheetId="23">#REF!</definedName>
    <definedName name="Excel_BuiltIn_Print_Area_2" localSheetId="6">#REF!</definedName>
    <definedName name="Excel_BuiltIn_Print_Area_2" localSheetId="27">#REF!</definedName>
    <definedName name="Excel_BuiltIn_Print_Area_2" localSheetId="11">#REF!</definedName>
    <definedName name="Excel_BuiltIn_Print_Area_2" localSheetId="10">#REF!</definedName>
    <definedName name="Excel_BuiltIn_Print_Area_2" localSheetId="5">#REF!</definedName>
    <definedName name="Excel_BuiltIn_Print_Area_2">#REF!</definedName>
    <definedName name="Excel_BuiltIn_Print_Area_2_1" localSheetId="23">#REF!</definedName>
    <definedName name="Excel_BuiltIn_Print_Area_2_1" localSheetId="6">#REF!</definedName>
    <definedName name="Excel_BuiltIn_Print_Area_2_1" localSheetId="10">#REF!</definedName>
    <definedName name="Excel_BuiltIn_Print_Area_2_1">#REF!</definedName>
    <definedName name="Excel_BuiltIn_Print_Area_2_1_1" localSheetId="23">#REF!</definedName>
    <definedName name="Excel_BuiltIn_Print_Area_2_1_1" localSheetId="6">#REF!</definedName>
    <definedName name="Excel_BuiltIn_Print_Area_2_1_1" localSheetId="10">#REF!</definedName>
    <definedName name="Excel_BuiltIn_Print_Area_2_1_1">#REF!</definedName>
    <definedName name="Excel_BuiltIn_Print_Area_2_1_1_1" localSheetId="23">#REF!</definedName>
    <definedName name="Excel_BuiltIn_Print_Area_2_1_1_1" localSheetId="6">#REF!</definedName>
    <definedName name="Excel_BuiltIn_Print_Area_2_1_1_1" localSheetId="10">#REF!</definedName>
    <definedName name="Excel_BuiltIn_Print_Area_2_1_1_1">#REF!</definedName>
    <definedName name="Excel_BuiltIn_Print_Area_20" localSheetId="23">#REF!</definedName>
    <definedName name="Excel_BuiltIn_Print_Area_20" localSheetId="6">#REF!</definedName>
    <definedName name="Excel_BuiltIn_Print_Area_20" localSheetId="10">#REF!</definedName>
    <definedName name="Excel_BuiltIn_Print_Area_20">#REF!</definedName>
    <definedName name="Excel_BuiltIn_Print_Area_25" localSheetId="23">#REF!</definedName>
    <definedName name="Excel_BuiltIn_Print_Area_25" localSheetId="6">#REF!</definedName>
    <definedName name="Excel_BuiltIn_Print_Area_25" localSheetId="10">#REF!</definedName>
    <definedName name="Excel_BuiltIn_Print_Area_25">#REF!</definedName>
    <definedName name="Excel_BuiltIn_Print_Area_3_1" localSheetId="23">#REF!</definedName>
    <definedName name="Excel_BuiltIn_Print_Area_3_1" localSheetId="6">#REF!</definedName>
    <definedName name="Excel_BuiltIn_Print_Area_3_1" localSheetId="10">#REF!</definedName>
    <definedName name="Excel_BuiltIn_Print_Area_3_1">#REF!</definedName>
    <definedName name="Excel_BuiltIn_Print_Area_3_1_1" localSheetId="23">#REF!</definedName>
    <definedName name="Excel_BuiltIn_Print_Area_3_1_1" localSheetId="6">#REF!</definedName>
    <definedName name="Excel_BuiltIn_Print_Area_3_1_1" localSheetId="10">#REF!</definedName>
    <definedName name="Excel_BuiltIn_Print_Area_3_1_1">#REF!</definedName>
    <definedName name="Excel_BuiltIn_Print_Area_4_1" localSheetId="23">#REF!</definedName>
    <definedName name="Excel_BuiltIn_Print_Area_4_1" localSheetId="6">#REF!</definedName>
    <definedName name="Excel_BuiltIn_Print_Area_4_1" localSheetId="10">#REF!</definedName>
    <definedName name="Excel_BuiltIn_Print_Area_4_1">#REF!</definedName>
    <definedName name="Excel_BuiltIn_Print_Area_4_1_1" localSheetId="23">#REF!</definedName>
    <definedName name="Excel_BuiltIn_Print_Area_4_1_1" localSheetId="6">#REF!</definedName>
    <definedName name="Excel_BuiltIn_Print_Area_4_1_1" localSheetId="10">#REF!</definedName>
    <definedName name="Excel_BuiltIn_Print_Area_4_1_1">#REF!</definedName>
    <definedName name="Excel_BuiltIn_Print_Area_4_1_1_1" localSheetId="23">#REF!</definedName>
    <definedName name="Excel_BuiltIn_Print_Area_4_1_1_1" localSheetId="6">#REF!</definedName>
    <definedName name="Excel_BuiltIn_Print_Area_4_1_1_1" localSheetId="10">#REF!</definedName>
    <definedName name="Excel_BuiltIn_Print_Area_4_1_1_1">#REF!</definedName>
    <definedName name="Excel_BuiltIn_Print_Area_4_1_1_1_1" localSheetId="23">#REF!</definedName>
    <definedName name="Excel_BuiltIn_Print_Area_4_1_1_1_1" localSheetId="6">#REF!</definedName>
    <definedName name="Excel_BuiltIn_Print_Area_4_1_1_1_1" localSheetId="10">#REF!</definedName>
    <definedName name="Excel_BuiltIn_Print_Area_4_1_1_1_1">#REF!</definedName>
    <definedName name="Excel_BuiltIn_Print_Area_4_1_1_1_1_1" localSheetId="23">#REF!</definedName>
    <definedName name="Excel_BuiltIn_Print_Area_4_1_1_1_1_1" localSheetId="6">#REF!</definedName>
    <definedName name="Excel_BuiltIn_Print_Area_4_1_1_1_1_1" localSheetId="10">#REF!</definedName>
    <definedName name="Excel_BuiltIn_Print_Area_4_1_1_1_1_1">#REF!</definedName>
    <definedName name="Excel_BuiltIn_Print_Area_4_1_1_1_1_1_1" localSheetId="23">#REF!</definedName>
    <definedName name="Excel_BuiltIn_Print_Area_4_1_1_1_1_1_1" localSheetId="6">#REF!</definedName>
    <definedName name="Excel_BuiltIn_Print_Area_4_1_1_1_1_1_1" localSheetId="10">#REF!</definedName>
    <definedName name="Excel_BuiltIn_Print_Area_4_1_1_1_1_1_1">#REF!</definedName>
    <definedName name="Excel_BuiltIn_Print_Area_4_1_1_1_1_1_1_1" localSheetId="23">#REF!</definedName>
    <definedName name="Excel_BuiltIn_Print_Area_4_1_1_1_1_1_1_1" localSheetId="6">#REF!</definedName>
    <definedName name="Excel_BuiltIn_Print_Area_4_1_1_1_1_1_1_1" localSheetId="10">#REF!</definedName>
    <definedName name="Excel_BuiltIn_Print_Area_4_1_1_1_1_1_1_1">#REF!</definedName>
    <definedName name="Excel_BuiltIn_Print_Area_4_1_1_1_1_1_1_1_1" localSheetId="23">#REF!</definedName>
    <definedName name="Excel_BuiltIn_Print_Area_4_1_1_1_1_1_1_1_1" localSheetId="6">#REF!</definedName>
    <definedName name="Excel_BuiltIn_Print_Area_4_1_1_1_1_1_1_1_1" localSheetId="10">#REF!</definedName>
    <definedName name="Excel_BuiltIn_Print_Area_4_1_1_1_1_1_1_1_1">#REF!</definedName>
    <definedName name="Excel_BuiltIn_Print_Area_4_1_1_1_1_1_1_1_1_1" localSheetId="23">#REF!</definedName>
    <definedName name="Excel_BuiltIn_Print_Area_4_1_1_1_1_1_1_1_1_1" localSheetId="6">#REF!</definedName>
    <definedName name="Excel_BuiltIn_Print_Area_4_1_1_1_1_1_1_1_1_1" localSheetId="10">#REF!</definedName>
    <definedName name="Excel_BuiltIn_Print_Area_4_1_1_1_1_1_1_1_1_1">#REF!</definedName>
    <definedName name="Excel_BuiltIn_Print_Area_4_1_1_1_1_1_1_1_1_1_1" localSheetId="23">#REF!</definedName>
    <definedName name="Excel_BuiltIn_Print_Area_4_1_1_1_1_1_1_1_1_1_1" localSheetId="6">#REF!</definedName>
    <definedName name="Excel_BuiltIn_Print_Area_4_1_1_1_1_1_1_1_1_1_1" localSheetId="10">#REF!</definedName>
    <definedName name="Excel_BuiltIn_Print_Area_4_1_1_1_1_1_1_1_1_1_1">#REF!</definedName>
    <definedName name="Excel_BuiltIn_Print_Area_4_1_1_1_1_1_1_1_1_1_1_1" localSheetId="23">#REF!</definedName>
    <definedName name="Excel_BuiltIn_Print_Area_4_1_1_1_1_1_1_1_1_1_1_1" localSheetId="6">#REF!</definedName>
    <definedName name="Excel_BuiltIn_Print_Area_4_1_1_1_1_1_1_1_1_1_1_1" localSheetId="10">#REF!</definedName>
    <definedName name="Excel_BuiltIn_Print_Area_4_1_1_1_1_1_1_1_1_1_1_1">#REF!</definedName>
    <definedName name="Excel_BuiltIn_Print_Area_4_1_1_1_1_1_1_1_1_1_1_1_1" localSheetId="23">#REF!</definedName>
    <definedName name="Excel_BuiltIn_Print_Area_4_1_1_1_1_1_1_1_1_1_1_1_1" localSheetId="6">#REF!</definedName>
    <definedName name="Excel_BuiltIn_Print_Area_4_1_1_1_1_1_1_1_1_1_1_1_1" localSheetId="10">#REF!</definedName>
    <definedName name="Excel_BuiltIn_Print_Area_4_1_1_1_1_1_1_1_1_1_1_1_1">#REF!</definedName>
    <definedName name="Excel_BuiltIn_Print_Area_7" localSheetId="23">#REF!</definedName>
    <definedName name="Excel_BuiltIn_Print_Area_7" localSheetId="6">#REF!</definedName>
    <definedName name="Excel_BuiltIn_Print_Area_7" localSheetId="10">#REF!</definedName>
    <definedName name="Excel_BuiltIn_Print_Area_7">#REF!</definedName>
    <definedName name="Excel_BuiltIn_Print_Area_8" localSheetId="23">#REF!</definedName>
    <definedName name="Excel_BuiltIn_Print_Area_8" localSheetId="6">#REF!</definedName>
    <definedName name="Excel_BuiltIn_Print_Area_8" localSheetId="10">#REF!</definedName>
    <definedName name="Excel_BuiltIn_Print_Area_8">#REF!</definedName>
    <definedName name="Excel_BuiltIn_Print_Titles_1" localSheetId="23">#REF!</definedName>
    <definedName name="Excel_BuiltIn_Print_Titles_1" localSheetId="6">#REF!</definedName>
    <definedName name="Excel_BuiltIn_Print_Titles_1" localSheetId="10">#REF!</definedName>
    <definedName name="Excel_BuiltIn_Print_Titles_1">#REF!</definedName>
    <definedName name="Excel_BuiltIn_Print_Titles_13" localSheetId="23">#REF!</definedName>
    <definedName name="Excel_BuiltIn_Print_Titles_13" localSheetId="6">#REF!</definedName>
    <definedName name="Excel_BuiltIn_Print_Titles_13" localSheetId="10">#REF!</definedName>
    <definedName name="Excel_BuiltIn_Print_Titles_13">#REF!</definedName>
    <definedName name="Excel_BuiltIn_Print_Titles_14" localSheetId="23">#REF!</definedName>
    <definedName name="Excel_BuiltIn_Print_Titles_14" localSheetId="6">#REF!</definedName>
    <definedName name="Excel_BuiltIn_Print_Titles_14" localSheetId="10">#REF!</definedName>
    <definedName name="Excel_BuiltIn_Print_Titles_14">#REF!</definedName>
    <definedName name="Excel_BuiltIn_Print_Titles_15" localSheetId="23">#REF!</definedName>
    <definedName name="Excel_BuiltIn_Print_Titles_15" localSheetId="6">#REF!</definedName>
    <definedName name="Excel_BuiltIn_Print_Titles_15" localSheetId="10">#REF!</definedName>
    <definedName name="Excel_BuiltIn_Print_Titles_15">#REF!</definedName>
    <definedName name="Excel_BuiltIn_Print_Titles_16" localSheetId="23">#REF!</definedName>
    <definedName name="Excel_BuiltIn_Print_Titles_16" localSheetId="6">#REF!</definedName>
    <definedName name="Excel_BuiltIn_Print_Titles_16" localSheetId="10">#REF!</definedName>
    <definedName name="Excel_BuiltIn_Print_Titles_16">#REF!</definedName>
    <definedName name="Excel_BuiltIn_Print_Titles_18" localSheetId="23">#REF!</definedName>
    <definedName name="Excel_BuiltIn_Print_Titles_18" localSheetId="6">#REF!</definedName>
    <definedName name="Excel_BuiltIn_Print_Titles_18" localSheetId="10">#REF!</definedName>
    <definedName name="Excel_BuiltIn_Print_Titles_18">#REF!</definedName>
    <definedName name="Excel_BuiltIn_Print_Titles_19" localSheetId="23">#REF!</definedName>
    <definedName name="Excel_BuiltIn_Print_Titles_19" localSheetId="6">#REF!</definedName>
    <definedName name="Excel_BuiltIn_Print_Titles_19" localSheetId="10">#REF!</definedName>
    <definedName name="Excel_BuiltIn_Print_Titles_19">#REF!</definedName>
    <definedName name="Excel_BuiltIn_Print_Titles_2_1" localSheetId="23">#REF!</definedName>
    <definedName name="Excel_BuiltIn_Print_Titles_2_1" localSheetId="6">#REF!</definedName>
    <definedName name="Excel_BuiltIn_Print_Titles_2_1" localSheetId="10">#REF!</definedName>
    <definedName name="Excel_BuiltIn_Print_Titles_2_1">#REF!</definedName>
    <definedName name="Excel_BuiltIn_Print_Titles_2_1_1" localSheetId="23">#REF!</definedName>
    <definedName name="Excel_BuiltIn_Print_Titles_2_1_1" localSheetId="6">#REF!</definedName>
    <definedName name="Excel_BuiltIn_Print_Titles_2_1_1" localSheetId="10">#REF!</definedName>
    <definedName name="Excel_BuiltIn_Print_Titles_2_1_1">#REF!</definedName>
    <definedName name="Excel_BuiltIn_Print_Titles_20" localSheetId="23">#REF!</definedName>
    <definedName name="Excel_BuiltIn_Print_Titles_20" localSheetId="6">#REF!</definedName>
    <definedName name="Excel_BuiltIn_Print_Titles_20" localSheetId="10">#REF!</definedName>
    <definedName name="Excel_BuiltIn_Print_Titles_20">#REF!</definedName>
    <definedName name="Excel_BuiltIn_Print_Titles_3_1" localSheetId="23">#REF!</definedName>
    <definedName name="Excel_BuiltIn_Print_Titles_3_1" localSheetId="6">#REF!</definedName>
    <definedName name="Excel_BuiltIn_Print_Titles_3_1" localSheetId="10">#REF!</definedName>
    <definedName name="Excel_BuiltIn_Print_Titles_3_1">#REF!</definedName>
    <definedName name="Excel_BuiltIn_Print_Titles_3_1_1" localSheetId="23">#REF!</definedName>
    <definedName name="Excel_BuiltIn_Print_Titles_3_1_1" localSheetId="6">#REF!</definedName>
    <definedName name="Excel_BuiltIn_Print_Titles_3_1_1" localSheetId="10">#REF!</definedName>
    <definedName name="Excel_BuiltIn_Print_Titles_3_1_1">#REF!</definedName>
    <definedName name="Excel_BuiltIn_Print_Titles_4_1" localSheetId="23">#REF!</definedName>
    <definedName name="Excel_BuiltIn_Print_Titles_4_1" localSheetId="6">#REF!</definedName>
    <definedName name="Excel_BuiltIn_Print_Titles_4_1" localSheetId="10">#REF!</definedName>
    <definedName name="Excel_BuiltIn_Print_Titles_4_1">#REF!</definedName>
    <definedName name="Excel_BuiltIn_Print_Titles_4_1_1" localSheetId="23">#REF!</definedName>
    <definedName name="Excel_BuiltIn_Print_Titles_4_1_1" localSheetId="6">#REF!</definedName>
    <definedName name="Excel_BuiltIn_Print_Titles_4_1_1" localSheetId="10">#REF!</definedName>
    <definedName name="Excel_BuiltIn_Print_Titles_4_1_1">#REF!</definedName>
    <definedName name="Excel_BuiltIn_Print_Titles_5_1" localSheetId="23">#REF!</definedName>
    <definedName name="Excel_BuiltIn_Print_Titles_5_1" localSheetId="6">#REF!</definedName>
    <definedName name="Excel_BuiltIn_Print_Titles_5_1" localSheetId="10">#REF!</definedName>
    <definedName name="Excel_BuiltIn_Print_Titles_5_1">#REF!</definedName>
    <definedName name="Excel_BuiltIn_Print_Titles_7" localSheetId="23">#REF!</definedName>
    <definedName name="Excel_BuiltIn_Print_Titles_7" localSheetId="6">#REF!</definedName>
    <definedName name="Excel_BuiltIn_Print_Titles_7" localSheetId="10">#REF!</definedName>
    <definedName name="Excel_BuiltIn_Print_Titles_7">#REF!</definedName>
    <definedName name="Excel_BuiltIn_Print_Titles_8" localSheetId="23">#REF!</definedName>
    <definedName name="Excel_BuiltIn_Print_Titles_8" localSheetId="6">#REF!</definedName>
    <definedName name="Excel_BuiltIn_Print_Titles_8" localSheetId="10">#REF!</definedName>
    <definedName name="Excel_BuiltIn_Print_Titles_8">#REF!</definedName>
    <definedName name="exp_ch" localSheetId="23">#REF!</definedName>
    <definedName name="exp_ch" localSheetId="6">#REF!</definedName>
    <definedName name="exp_ch" localSheetId="10">#REF!</definedName>
    <definedName name="exp_ch">#REF!</definedName>
    <definedName name="expense" localSheetId="23">#REF!</definedName>
    <definedName name="expense" localSheetId="6">#REF!</definedName>
    <definedName name="expense" localSheetId="10">#REF!</definedName>
    <definedName name="expense">#REF!</definedName>
    <definedName name="EXPHEADS" localSheetId="23">#REF!</definedName>
    <definedName name="EXPHEADS" localSheetId="6">#REF!</definedName>
    <definedName name="EXPHEADS" localSheetId="10">#REF!</definedName>
    <definedName name="EXPHEADS">#REF!</definedName>
    <definedName name="Exrate" localSheetId="23">#REF!</definedName>
    <definedName name="Exrate" localSheetId="6">#REF!</definedName>
    <definedName name="Exrate" localSheetId="10">#REF!</definedName>
    <definedName name="Exrate">#REF!</definedName>
    <definedName name="external" localSheetId="23">#REF!</definedName>
    <definedName name="external" localSheetId="6">#REF!</definedName>
    <definedName name="external" localSheetId="10">#REF!</definedName>
    <definedName name="external">#REF!</definedName>
    <definedName name="ExtraCredit" localSheetId="23">#REF!</definedName>
    <definedName name="ExtraCredit" localSheetId="6">#REF!</definedName>
    <definedName name="ExtraCredit" localSheetId="10">#REF!</definedName>
    <definedName name="ExtraCredit">#REF!</definedName>
    <definedName name="exwks" localSheetId="23">#REF!</definedName>
    <definedName name="exwks" localSheetId="6">#REF!</definedName>
    <definedName name="exwks" localSheetId="10">#REF!</definedName>
    <definedName name="exwks">#REF!</definedName>
    <definedName name="F" localSheetId="4">#REF!</definedName>
    <definedName name="F" localSheetId="23">#REF!</definedName>
    <definedName name="F" localSheetId="6">#REF!</definedName>
    <definedName name="F" localSheetId="27">#REF!</definedName>
    <definedName name="F" localSheetId="11">#REF!</definedName>
    <definedName name="F" localSheetId="10">#REF!</definedName>
    <definedName name="F" localSheetId="5">#REF!</definedName>
    <definedName name="F">#REF!</definedName>
    <definedName name="f_shape" localSheetId="23">#REF!</definedName>
    <definedName name="f_shape" localSheetId="6">#REF!</definedName>
    <definedName name="f_shape" localSheetId="10">#REF!</definedName>
    <definedName name="f_shape">#REF!</definedName>
    <definedName name="FA" localSheetId="4">#REF!</definedName>
    <definedName name="FA" localSheetId="27">#REF!</definedName>
    <definedName name="FA" localSheetId="5">#REF!</definedName>
    <definedName name="FA">INDEX('[5] '!$B$1:$B$16,MATCH('[5]  '!$K$137,'[5] '!$A$1:$A$16,0))</definedName>
    <definedName name="facplc" localSheetId="23">#REF!</definedName>
    <definedName name="facplc" localSheetId="6">#REF!</definedName>
    <definedName name="facplc" localSheetId="10">#REF!</definedName>
    <definedName name="facplc">#REF!</definedName>
    <definedName name="Factor" localSheetId="23">#REF!</definedName>
    <definedName name="Factor" localSheetId="6">#REF!</definedName>
    <definedName name="Factor" localSheetId="10">#REF!</definedName>
    <definedName name="Factor">#REF!</definedName>
    <definedName name="fasf" localSheetId="4">#REF!</definedName>
    <definedName name="fasf" localSheetId="23">#REF!</definedName>
    <definedName name="fasf" localSheetId="6">#REF!</definedName>
    <definedName name="fasf" localSheetId="27">#REF!</definedName>
    <definedName name="fasf" localSheetId="11">#REF!</definedName>
    <definedName name="fasf" localSheetId="10">#REF!</definedName>
    <definedName name="fasf" localSheetId="5">#REF!</definedName>
    <definedName name="fasf">#REF!</definedName>
    <definedName name="FB">INDEX('[5] '!$B$1:$B$16,MATCH('[5]  '!$K$139,'[5] '!$A$1:$A$16,0))</definedName>
    <definedName name="FC">INDEX('[5] '!$B$1:$B$16,MATCH('[5]  '!$K$141,'[5] '!$A$1:$A$16,0))</definedName>
    <definedName name="FD">INDEX('[5] '!$B$1:$B$16,MATCH('[5]  '!$K$143,'[5] '!$A$1:$A$16,0))</definedName>
    <definedName name="FDN">IFERROR(LEFT(INDEX([5]FOUNDATION!$G$7:$G$30,MATCH('[5]  '!$C1,[5]FOUNDATION!$B$7:$B$30,0)),3),"")</definedName>
    <definedName name="fdn_no" localSheetId="23">#REF!</definedName>
    <definedName name="fdn_no" localSheetId="6">#REF!</definedName>
    <definedName name="fdn_no" localSheetId="10">#REF!</definedName>
    <definedName name="fdn_no">#REF!</definedName>
    <definedName name="FDN_Rate" localSheetId="23">IFERROR(_xlfn.XLOOKUP([5]FOUNDATION!$C1&amp;[5]FOUNDATION!$D1,#REF!,#REF!),"")</definedName>
    <definedName name="FDN_Rate" localSheetId="6">IFERROR(_xlfn.XLOOKUP([5]FOUNDATION!$C1&amp;[5]FOUNDATION!$D1,#REF!,#REF!),"")</definedName>
    <definedName name="FDN_Rate" localSheetId="11">IFERROR(_xlfn.XLOOKUP([5]FOUNDATION!$C1&amp;[5]FOUNDATION!$D1,#REF!,#REF!),"")</definedName>
    <definedName name="FDN_Rate" localSheetId="10">IFERROR(_xlfn.XLOOKUP([5]FOUNDATION!$C1&amp;[5]FOUNDATION!$D1,#REF!,#REF!),"")</definedName>
    <definedName name="FDN_Rate">IFERROR(_xlfn.XLOOKUP([5]FOUNDATION!$C1&amp;[5]FOUNDATION!$D1,#REF!,#REF!),"")</definedName>
    <definedName name="FE">INDEX('[5] '!$B$1:$B$16,MATCH('[5]  '!$K$145,'[5] '!$A$1:$A$16,0))</definedName>
    <definedName name="feb_qty_rev_3" localSheetId="23">#REF!</definedName>
    <definedName name="feb_qty_rev_3" localSheetId="6">#REF!</definedName>
    <definedName name="feb_qty_rev_3" localSheetId="10">#REF!</definedName>
    <definedName name="feb_qty_rev_3">#REF!</definedName>
    <definedName name="feb_rev4_qty" localSheetId="23">#REF!</definedName>
    <definedName name="feb_rev4_qty" localSheetId="6">#REF!</definedName>
    <definedName name="feb_rev4_qty" localSheetId="10">#REF!</definedName>
    <definedName name="feb_rev4_qty">#REF!</definedName>
    <definedName name="FF">INDEX('[5] '!$B$1:$B$16,MATCH('[5]  '!$K$147,'[5] '!$A$1:$A$16,0))</definedName>
    <definedName name="fff" localSheetId="23">#REF!</definedName>
    <definedName name="fff" localSheetId="6">#REF!</definedName>
    <definedName name="fff" localSheetId="10">#REF!</definedName>
    <definedName name="fff">#REF!</definedName>
    <definedName name="ffffff" localSheetId="23">#REF!</definedName>
    <definedName name="ffffff" localSheetId="6">#REF!</definedName>
    <definedName name="ffffff" localSheetId="10">#REF!</definedName>
    <definedName name="ffffff">#REF!</definedName>
    <definedName name="FFR" localSheetId="23">#REF!</definedName>
    <definedName name="FFR" localSheetId="6">#REF!</definedName>
    <definedName name="FFR" localSheetId="10">#REF!</definedName>
    <definedName name="FFR">#REF!</definedName>
    <definedName name="FG">INDEX('[5] '!$B$1:$B$16,MATCH('[5]  '!$K$149,'[5] '!$A$1:$A$16,0))</definedName>
    <definedName name="FG46TBTB4RTDKDK" localSheetId="23">#REF!</definedName>
    <definedName name="FG46TBTB4RTDKDK" localSheetId="6">#REF!</definedName>
    <definedName name="FG46TBTB4RTDKDK" localSheetId="10">#REF!</definedName>
    <definedName name="FG46TBTB4RTDKDK">#REF!</definedName>
    <definedName name="fgdfgg" localSheetId="23">#REF!</definedName>
    <definedName name="fgdfgg" localSheetId="6">#REF!</definedName>
    <definedName name="fgdfgg" localSheetId="10">#REF!</definedName>
    <definedName name="fgdfgg">#REF!</definedName>
    <definedName name="fgRKRKRKRKRKRKRKRKRKRKRKTBTBSPD" localSheetId="23">#REF!</definedName>
    <definedName name="fgRKRKRKRKRKRKRKRKRKRKRKTBTBSPD" localSheetId="6">#REF!</definedName>
    <definedName name="fgRKRKRKRKRKRKRKRKRKRKRKTBTBSPD" localSheetId="10">#REF!</definedName>
    <definedName name="fgRKRKRKRKRKRKRKRKRKRKRKTBTBSPD">#REF!</definedName>
    <definedName name="FH">INDEX('[5] '!$B$1:$B$16,MATCH('[5]  '!$K$151,'[5] '!$A$1:$A$16,0))</definedName>
    <definedName name="Fhwl" localSheetId="23">#REF!</definedName>
    <definedName name="Fhwl" localSheetId="6">#REF!</definedName>
    <definedName name="Fhwl" localSheetId="10">#REF!</definedName>
    <definedName name="Fhwl">#REF!</definedName>
    <definedName name="FI">INDEX('[5] '!$B$1:$B$16,MATCH('[5]  '!$K$153,'[5] '!$A$1:$A$16,0))</definedName>
    <definedName name="FI_AIRHW" localSheetId="23">#REF!</definedName>
    <definedName name="FI_AIRHW" localSheetId="6">#REF!</definedName>
    <definedName name="FI_AIRHW" localSheetId="10">#REF!</definedName>
    <definedName name="FI_AIRHW">#REF!</definedName>
    <definedName name="FI_AIRSW" localSheetId="23">#REF!</definedName>
    <definedName name="FI_AIRSW" localSheetId="6">#REF!</definedName>
    <definedName name="FI_AIRSW" localSheetId="10">#REF!</definedName>
    <definedName name="FI_AIRSW">#REF!</definedName>
    <definedName name="FI_BOHW" localSheetId="23">#REF!</definedName>
    <definedName name="FI_BOHW" localSheetId="6">#REF!</definedName>
    <definedName name="FI_BOHW" localSheetId="10">#REF!</definedName>
    <definedName name="FI_BOHW">#REF!</definedName>
    <definedName name="FI_BOSW" localSheetId="23">#REF!</definedName>
    <definedName name="FI_BOSW" localSheetId="6">#REF!</definedName>
    <definedName name="FI_BOSW" localSheetId="10">#REF!</definedName>
    <definedName name="FI_BOSW">#REF!</definedName>
    <definedName name="FI_IDTOHW" localSheetId="23">#REF!</definedName>
    <definedName name="FI_IDTOHW" localSheetId="6">#REF!</definedName>
    <definedName name="FI_IDTOHW" localSheetId="10">#REF!</definedName>
    <definedName name="FI_IDTOHW">#REF!</definedName>
    <definedName name="FI_IDTOSW" localSheetId="23">#REF!</definedName>
    <definedName name="FI_IDTOSW" localSheetId="6">#REF!</definedName>
    <definedName name="FI_IDTOSW" localSheetId="10">#REF!</definedName>
    <definedName name="FI_IDTOSW">#REF!</definedName>
    <definedName name="FI_SITEHW" localSheetId="23">#REF!</definedName>
    <definedName name="FI_SITEHW" localSheetId="6">#REF!</definedName>
    <definedName name="FI_SITEHW" localSheetId="10">#REF!</definedName>
    <definedName name="FI_SITEHW">#REF!</definedName>
    <definedName name="FI_SITESW" localSheetId="23">#REF!</definedName>
    <definedName name="FI_SITESW" localSheetId="6">#REF!</definedName>
    <definedName name="FI_SITESW" localSheetId="10">#REF!</definedName>
    <definedName name="FI_SITESW">#REF!</definedName>
    <definedName name="FIM" localSheetId="23">#REF!</definedName>
    <definedName name="FIM" localSheetId="6">#REF!</definedName>
    <definedName name="FIM" localSheetId="10">#REF!</definedName>
    <definedName name="FIM">#REF!</definedName>
    <definedName name="FIN_CHARGE" localSheetId="23">#REF!</definedName>
    <definedName name="FIN_CHARGE" localSheetId="6">#REF!</definedName>
    <definedName name="FIN_CHARGE" localSheetId="10">#REF!</definedName>
    <definedName name="FIN_CHARGE">#REF!</definedName>
    <definedName name="Fin_charges" localSheetId="23">#REF!</definedName>
    <definedName name="Fin_charges" localSheetId="6">#REF!</definedName>
    <definedName name="Fin_charges" localSheetId="10">#REF!</definedName>
    <definedName name="Fin_charges">#REF!</definedName>
    <definedName name="FIN_MAN" localSheetId="23">#REF!</definedName>
    <definedName name="FIN_MAN" localSheetId="6">#REF!</definedName>
    <definedName name="FIN_MAN" localSheetId="10">#REF!</definedName>
    <definedName name="FIN_MAN">#REF!</definedName>
    <definedName name="FIN_MAT" localSheetId="23">#REF!</definedName>
    <definedName name="FIN_MAT" localSheetId="6">#REF!</definedName>
    <definedName name="FIN_MAT" localSheetId="10">#REF!</definedName>
    <definedName name="FIN_MAT">#REF!</definedName>
    <definedName name="FIN_SC" localSheetId="23">#REF!</definedName>
    <definedName name="FIN_SC" localSheetId="6">#REF!</definedName>
    <definedName name="FIN_SC" localSheetId="10">#REF!</definedName>
    <definedName name="FIN_SC">#REF!</definedName>
    <definedName name="FINC2" localSheetId="23">#REF!</definedName>
    <definedName name="FINC2" localSheetId="6">#REF!</definedName>
    <definedName name="FINC2" localSheetId="10">#REF!</definedName>
    <definedName name="FINC2">#REF!</definedName>
    <definedName name="FIrate" localSheetId="23">#REF!</definedName>
    <definedName name="FIrate" localSheetId="6">#REF!</definedName>
    <definedName name="FIrate" localSheetId="10">#REF!</definedName>
    <definedName name="FIrate">#REF!</definedName>
    <definedName name="FIratye" localSheetId="23">#REF!</definedName>
    <definedName name="FIratye" localSheetId="6">#REF!</definedName>
    <definedName name="FIratye" localSheetId="10">#REF!</definedName>
    <definedName name="FIratye">#REF!</definedName>
    <definedName name="FIRE_AREA" localSheetId="23">#REF!</definedName>
    <definedName name="FIRE_AREA" localSheetId="6">#REF!</definedName>
    <definedName name="FIRE_AREA" localSheetId="10">#REF!</definedName>
    <definedName name="FIRE_AREA">#REF!</definedName>
    <definedName name="FireFighting" localSheetId="23">#REF!</definedName>
    <definedName name="FireFighting" localSheetId="6">#REF!</definedName>
    <definedName name="FireFighting" localSheetId="10">#REF!</definedName>
    <definedName name="FireFighting">#REF!</definedName>
    <definedName name="FIT" localSheetId="23">#REF!</definedName>
    <definedName name="FIT" localSheetId="6">#REF!</definedName>
    <definedName name="FIT" localSheetId="10">#REF!</definedName>
    <definedName name="FIT">#REF!</definedName>
    <definedName name="FIT___0" localSheetId="23">#REF!</definedName>
    <definedName name="FIT___0" localSheetId="6">#REF!</definedName>
    <definedName name="FIT___0" localSheetId="10">#REF!</definedName>
    <definedName name="FIT___0">#REF!</definedName>
    <definedName name="FIT___13" localSheetId="23">#REF!</definedName>
    <definedName name="FIT___13" localSheetId="6">#REF!</definedName>
    <definedName name="FIT___13" localSheetId="10">#REF!</definedName>
    <definedName name="FIT___13">#REF!</definedName>
    <definedName name="FJ">INDEX('[5] '!$B$1:$B$16,MATCH('[5]  '!$K$155,'[5] '!$A$1:$A$16,0))</definedName>
    <definedName name="fjhgfd" localSheetId="11" hidden="1">{"'Sheet1'!$A$4386:$N$4591"}</definedName>
    <definedName name="fjhgfd" localSheetId="10" hidden="1">{"'Sheet1'!$A$4386:$N$4591"}</definedName>
    <definedName name="fjhgfd" hidden="1">{"'Sheet1'!$A$4386:$N$4591"}</definedName>
    <definedName name="FK">INDEX('[5] '!$B$1:$B$16,MATCH('[5]  '!$K$157,'[5] '!$A$1:$A$16,0))</definedName>
    <definedName name="FL">INDEX('[5] '!$B$1:$B$16,MATCH('[5]  '!$K$159,'[5] '!$A$1:$A$16,0))</definedName>
    <definedName name="FLG" localSheetId="23">#REF!</definedName>
    <definedName name="FLG" localSheetId="6">#REF!</definedName>
    <definedName name="FLG" localSheetId="10">#REF!</definedName>
    <definedName name="FLG">#REF!</definedName>
    <definedName name="FLG_Orifice" localSheetId="23">#REF!</definedName>
    <definedName name="FLG_Orifice" localSheetId="6">#REF!</definedName>
    <definedName name="FLG_Orifice" localSheetId="10">#REF!</definedName>
    <definedName name="FLG_Orifice">#REF!</definedName>
    <definedName name="FLK" localSheetId="23">#REF!</definedName>
    <definedName name="FLK" localSheetId="6">#REF!</definedName>
    <definedName name="FLK" localSheetId="10">#REF!</definedName>
    <definedName name="FLK">#REF!</definedName>
    <definedName name="flow" localSheetId="23">#REF!</definedName>
    <definedName name="flow" localSheetId="6">#REF!</definedName>
    <definedName name="flow" localSheetId="10">#REF!</definedName>
    <definedName name="flow">#REF!</definedName>
    <definedName name="FM">INDEX('[5] '!$B$1:$B$16,MATCH('[5]  '!$K$161,'[5] '!$A$1:$A$16,0))</definedName>
    <definedName name="fo" localSheetId="23">#REF!</definedName>
    <definedName name="fo" localSheetId="6">#REF!</definedName>
    <definedName name="fo" localSheetId="10">#REF!</definedName>
    <definedName name="fo">#REF!</definedName>
    <definedName name="for_item" localSheetId="23">#REF!</definedName>
    <definedName name="for_item" localSheetId="6">#REF!</definedName>
    <definedName name="for_item" localSheetId="10">#REF!</definedName>
    <definedName name="for_item">#REF!</definedName>
    <definedName name="Forecast" localSheetId="23">#REF!</definedName>
    <definedName name="Forecast" localSheetId="6">#REF!</definedName>
    <definedName name="Forecast" localSheetId="10">#REF!</definedName>
    <definedName name="Forecast">#REF!</definedName>
    <definedName name="Forecast_Receivables" localSheetId="23">#REF!</definedName>
    <definedName name="Forecast_Receivables" localSheetId="6">#REF!</definedName>
    <definedName name="Forecast_Receivables" localSheetId="10">#REF!</definedName>
    <definedName name="Forecast_Receivables">#REF!</definedName>
    <definedName name="form_type">[9]Sheet2!$B$1:$B$3</definedName>
    <definedName name="forthemonth" localSheetId="23">#REF!</definedName>
    <definedName name="forthemonth" localSheetId="6">#REF!</definedName>
    <definedName name="forthemonth" localSheetId="10">#REF!</definedName>
    <definedName name="forthemonth">#REF!</definedName>
    <definedName name="FOS" localSheetId="23">#REF!</definedName>
    <definedName name="FOS" localSheetId="6">#REF!</definedName>
    <definedName name="FOS" localSheetId="10">#REF!</definedName>
    <definedName name="FOS">#REF!</definedName>
    <definedName name="Fr" localSheetId="11" hidden="1">{"'PROFITABILITY'!$A$1:$F$45"}</definedName>
    <definedName name="Fr" localSheetId="10" hidden="1">{"'PROFITABILITY'!$A$1:$F$45"}</definedName>
    <definedName name="Fr" hidden="1">{"'PROFITABILITY'!$A$1:$F$45"}</definedName>
    <definedName name="Fr_charges" localSheetId="23">#REF!</definedName>
    <definedName name="Fr_charges" localSheetId="6">#REF!</definedName>
    <definedName name="Fr_charges" localSheetId="10">#REF!</definedName>
    <definedName name="Fr_charges">#REF!</definedName>
    <definedName name="FRANCS" localSheetId="23">#REF!</definedName>
    <definedName name="FRANCS" localSheetId="6">#REF!</definedName>
    <definedName name="FRANCS" localSheetId="10">#REF!</definedName>
    <definedName name="FRANCS">#REF!</definedName>
    <definedName name="fri" localSheetId="23">#REF!</definedName>
    <definedName name="fri" localSheetId="6">#REF!</definedName>
    <definedName name="fri" localSheetId="10">#REF!</definedName>
    <definedName name="fri">#REF!</definedName>
    <definedName name="frierect" localSheetId="23">#REF!</definedName>
    <definedName name="frierect" localSheetId="6">#REF!</definedName>
    <definedName name="frierect" localSheetId="10">#REF!</definedName>
    <definedName name="frierect">#REF!</definedName>
    <definedName name="frnorms" localSheetId="23">#REF!</definedName>
    <definedName name="frnorms" localSheetId="6">#REF!</definedName>
    <definedName name="frnorms" localSheetId="10">#REF!</definedName>
    <definedName name="frnorms">#REF!</definedName>
    <definedName name="FRONTPAGE" localSheetId="23">#REF!</definedName>
    <definedName name="FRONTPAGE" localSheetId="6">#REF!</definedName>
    <definedName name="FRONTPAGE" localSheetId="10">#REF!</definedName>
    <definedName name="FRONTPAGE">#REF!</definedName>
    <definedName name="FRRRRR" localSheetId="23">#REF!</definedName>
    <definedName name="FRRRRR" localSheetId="6">#REF!</definedName>
    <definedName name="FRRRRR" localSheetId="10">#REF!</definedName>
    <definedName name="FRRRRR">#REF!</definedName>
    <definedName name="Fruit" localSheetId="23">#REF!</definedName>
    <definedName name="Fruit" localSheetId="6">#REF!</definedName>
    <definedName name="Fruit" localSheetId="10">#REF!</definedName>
    <definedName name="Fruit">#REF!</definedName>
    <definedName name="FT" localSheetId="23">#REF!</definedName>
    <definedName name="FT" localSheetId="6">#REF!</definedName>
    <definedName name="FT" localSheetId="10">#REF!</definedName>
    <definedName name="FT">#REF!</definedName>
    <definedName name="FUND_M8_A_B" localSheetId="23">#REF!</definedName>
    <definedName name="FUND_M8_A_B" localSheetId="6">#REF!</definedName>
    <definedName name="FUND_M8_A_B" localSheetId="10">#REF!</definedName>
    <definedName name="FUND_M8_A_B">#REF!</definedName>
    <definedName name="FUNDFLOW_B8A" localSheetId="23">#REF!</definedName>
    <definedName name="FUNDFLOW_B8A" localSheetId="6">#REF!</definedName>
    <definedName name="FUNDFLOW_B8A" localSheetId="10">#REF!</definedName>
    <definedName name="FUNDFLOW_B8A">#REF!</definedName>
    <definedName name="FUNDFLOW_B8B" localSheetId="23">#REF!</definedName>
    <definedName name="FUNDFLOW_B8B" localSheetId="6">#REF!</definedName>
    <definedName name="FUNDFLOW_B8B" localSheetId="10">#REF!</definedName>
    <definedName name="FUNDFLOW_B8B">#REF!</definedName>
    <definedName name="funds" localSheetId="11" hidden="1">{"'Sheet1'!$A$4386:$N$4591"}</definedName>
    <definedName name="funds" localSheetId="10" hidden="1">{"'Sheet1'!$A$4386:$N$4591"}</definedName>
    <definedName name="funds" hidden="1">{"'Sheet1'!$A$4386:$N$4591"}</definedName>
    <definedName name="Fv" localSheetId="23">#REF!</definedName>
    <definedName name="Fv" localSheetId="6">#REF!</definedName>
    <definedName name="Fv" localSheetId="10">#REF!</definedName>
    <definedName name="Fv">#REF!</definedName>
    <definedName name="fytyfhjyguky" localSheetId="23">#REF!</definedName>
    <definedName name="fytyfhjyguky" localSheetId="6">#REF!</definedName>
    <definedName name="fytyfhjyguky" localSheetId="10">#REF!</definedName>
    <definedName name="fytyfhjyguky">#REF!</definedName>
    <definedName name="G" localSheetId="4">#REF!</definedName>
    <definedName name="g" localSheetId="23">#REF!</definedName>
    <definedName name="g" localSheetId="6">#REF!</definedName>
    <definedName name="G" localSheetId="27">#REF!</definedName>
    <definedName name="G" localSheetId="11">#REF!</definedName>
    <definedName name="g" localSheetId="10">#REF!</definedName>
    <definedName name="G" localSheetId="5">#REF!</definedName>
    <definedName name="g">#REF!</definedName>
    <definedName name="G083BAAN1" localSheetId="23">#REF!</definedName>
    <definedName name="G083BAAN1" localSheetId="6">#REF!</definedName>
    <definedName name="G083BAAN1" localSheetId="10">#REF!</definedName>
    <definedName name="G083BAAN1">#REF!</definedName>
    <definedName name="GA">INDEX('[5] '!$B$1:$B$16,MATCH('[5]  '!$K$163,'[5] '!$A$1:$A$16,0))</definedName>
    <definedName name="gama" localSheetId="23">#REF!</definedName>
    <definedName name="gama" localSheetId="6">#REF!</definedName>
    <definedName name="gama" localSheetId="10">#REF!</definedName>
    <definedName name="gama">#REF!</definedName>
    <definedName name="gamah" localSheetId="23">#REF!</definedName>
    <definedName name="gamah" localSheetId="6">#REF!</definedName>
    <definedName name="gamah" localSheetId="10">#REF!</definedName>
    <definedName name="gamah">#REF!</definedName>
    <definedName name="GAS" localSheetId="23">#REF!</definedName>
    <definedName name="GAS" localSheetId="6">#REF!</definedName>
    <definedName name="GAS" localSheetId="10">#REF!</definedName>
    <definedName name="GAS">#REF!</definedName>
    <definedName name="gate" localSheetId="23">#REF!</definedName>
    <definedName name="gate" localSheetId="6">#REF!</definedName>
    <definedName name="gate" localSheetId="10">#REF!</definedName>
    <definedName name="gate">#REF!</definedName>
    <definedName name="GB">INDEX('[5] '!$B$1:$B$16,MATCH('[5]  '!$K$165,'[5] '!$A$1:$A$16,0))</definedName>
    <definedName name="GC">INDEX('[5] '!$B$1:$B$16,MATCH('[5]  '!$K$167,'[5] '!$A$1:$A$16,0))</definedName>
    <definedName name="GD">INDEX('[5] '!$B$1:$B$16,MATCH('[5]  '!$K$169,'[5] '!$A$1:$A$16,0))</definedName>
    <definedName name="GE">INDEX('[5] '!$B$1:$B$16,MATCH('[5]  '!$K$171,'[5] '!$A$1:$A$16,0))</definedName>
    <definedName name="GEN" localSheetId="23">#REF!</definedName>
    <definedName name="GEN" localSheetId="6">#REF!</definedName>
    <definedName name="GEN" localSheetId="10">#REF!</definedName>
    <definedName name="GEN">#REF!</definedName>
    <definedName name="GF">INDEX('[5] '!$B$1:$B$16,MATCH('[5]  '!$K$173,'[5] '!$A$1:$A$16,0))</definedName>
    <definedName name="GFA" localSheetId="23">#REF!</definedName>
    <definedName name="GFA" localSheetId="6">#REF!</definedName>
    <definedName name="GFA" localSheetId="10">#REF!</definedName>
    <definedName name="GFA">#REF!</definedName>
    <definedName name="GG">INDEX('[5] '!$B$1:$B$16,MATCH('[5]  '!$K$175,'[5] '!$A$1:$A$16,0))</definedName>
    <definedName name="GGGG" localSheetId="23">#REF!</definedName>
    <definedName name="GGGG" localSheetId="6">#REF!</definedName>
    <definedName name="GGGG" localSheetId="10">#REF!</definedName>
    <definedName name="GGGG">#REF!</definedName>
    <definedName name="GH">INDEX('[5] '!$B$1:$B$16,MATCH('[5]  '!$K$177,'[5] '!$A$1:$A$16,0))</definedName>
    <definedName name="GI">INDEX('[5] '!$B$1:$B$16,MATCH('[5]  '!$K$179,'[5] '!$A$1:$A$16,0))</definedName>
    <definedName name="GJ">INDEX('[5] '!$B$1:$B$16,MATCH('[5]  '!$K$181,'[5] '!$A$1:$A$16,0))</definedName>
    <definedName name="GK">INDEX('[5] '!$B$1:$B$16,MATCH('[5]  '!$K$183,'[5] '!$A$1:$A$16,0))</definedName>
    <definedName name="GL">INDEX('[5] '!$B$1:$B$16,MATCH('[5]  '!$K$185,'[5] '!$A$1:$A$16,0))</definedName>
    <definedName name="globe" localSheetId="23">#REF!</definedName>
    <definedName name="globe" localSheetId="6">#REF!</definedName>
    <definedName name="globe" localSheetId="10">#REF!</definedName>
    <definedName name="globe">#REF!</definedName>
    <definedName name="GM">INDEX('[5] '!$B$1:$B$16,MATCH('[5]  '!$K$187,'[5] '!$A$1:$A$16,0))</definedName>
    <definedName name="GP" localSheetId="23">#REF!</definedName>
    <definedName name="GP" localSheetId="6">#REF!</definedName>
    <definedName name="GP" localSheetId="10">#REF!</definedName>
    <definedName name="GP">#REF!</definedName>
    <definedName name="GPs" localSheetId="23">#REF!</definedName>
    <definedName name="GPs" localSheetId="6">#REF!</definedName>
    <definedName name="GPs" localSheetId="10">#REF!</definedName>
    <definedName name="GPs">#REF!</definedName>
    <definedName name="GrdLineMr" localSheetId="23">#REF!</definedName>
    <definedName name="GrdLineMr" localSheetId="6">#REF!</definedName>
    <definedName name="GrdLineMr" localSheetId="10">#REF!</definedName>
    <definedName name="GrdLineMr">#REF!</definedName>
    <definedName name="GrdLineShear" localSheetId="23">#REF!</definedName>
    <definedName name="GrdLineShear" localSheetId="6">#REF!</definedName>
    <definedName name="GrdLineShear" localSheetId="10">#REF!</definedName>
    <definedName name="GrdLineShear">#REF!</definedName>
    <definedName name="gross" localSheetId="23">#REF!</definedName>
    <definedName name="gross" localSheetId="6">#REF!</definedName>
    <definedName name="gross" localSheetId="10">#REF!</definedName>
    <definedName name="gross">#REF!</definedName>
    <definedName name="GROUND" localSheetId="23">#REF!</definedName>
    <definedName name="GROUND" localSheetId="6">#REF!</definedName>
    <definedName name="GROUND" localSheetId="10">#REF!</definedName>
    <definedName name="GROUND">#REF!</definedName>
    <definedName name="GROUND220" localSheetId="23">#REF!</definedName>
    <definedName name="GROUND220" localSheetId="6">#REF!</definedName>
    <definedName name="GROUND220" localSheetId="10">#REF!</definedName>
    <definedName name="GROUND220">#REF!</definedName>
    <definedName name="Groundinga" localSheetId="11" hidden="1">{"'PROFITABILITY'!$A$1:$F$45"}</definedName>
    <definedName name="Groundinga" localSheetId="10" hidden="1">{"'PROFITABILITY'!$A$1:$F$45"}</definedName>
    <definedName name="Groundinga" hidden="1">{"'PROFITABILITY'!$A$1:$F$45"}</definedName>
    <definedName name="Group" localSheetId="23">#REF!</definedName>
    <definedName name="Group" localSheetId="6">#REF!</definedName>
    <definedName name="Group" localSheetId="10">#REF!</definedName>
    <definedName name="Group">#REF!</definedName>
    <definedName name="Group_Mth" localSheetId="23">#REF!</definedName>
    <definedName name="Group_Mth" localSheetId="6">#REF!</definedName>
    <definedName name="Group_Mth" localSheetId="10">#REF!</definedName>
    <definedName name="Group_Mth">#REF!</definedName>
    <definedName name="Group_PM" localSheetId="23">#REF!</definedName>
    <definedName name="Group_PM" localSheetId="6">#REF!</definedName>
    <definedName name="Group_PM" localSheetId="10">#REF!</definedName>
    <definedName name="Group_PM">#REF!</definedName>
    <definedName name="Group_PM1" localSheetId="23">#REF!</definedName>
    <definedName name="Group_PM1" localSheetId="6">#REF!</definedName>
    <definedName name="Group_PM1" localSheetId="10">#REF!</definedName>
    <definedName name="Group_PM1">#REF!</definedName>
    <definedName name="Group_PY" localSheetId="23">#REF!</definedName>
    <definedName name="Group_PY" localSheetId="6">#REF!</definedName>
    <definedName name="Group_PY" localSheetId="10">#REF!</definedName>
    <definedName name="Group_PY">#REF!</definedName>
    <definedName name="Group_PY1" localSheetId="23">#REF!</definedName>
    <definedName name="Group_PY1" localSheetId="6">#REF!</definedName>
    <definedName name="Group_PY1" localSheetId="10">#REF!</definedName>
    <definedName name="Group_PY1">#REF!</definedName>
    <definedName name="Group_YTD" localSheetId="23">#REF!</definedName>
    <definedName name="Group_YTD" localSheetId="6">#REF!</definedName>
    <definedName name="Group_YTD" localSheetId="10">#REF!</definedName>
    <definedName name="Group_YTD">#REF!</definedName>
    <definedName name="grout_type" localSheetId="23">#REF!</definedName>
    <definedName name="grout_type" localSheetId="6">#REF!</definedName>
    <definedName name="grout_type" localSheetId="10">#REF!</definedName>
    <definedName name="grout_type">#REF!</definedName>
    <definedName name="GrphActSales" localSheetId="23">#REF!</definedName>
    <definedName name="GrphActSales" localSheetId="6">#REF!</definedName>
    <definedName name="GrphActSales" localSheetId="10">#REF!</definedName>
    <definedName name="GrphActSales">#REF!</definedName>
    <definedName name="GrphActStk" localSheetId="23">#REF!</definedName>
    <definedName name="GrphActStk" localSheetId="6">#REF!</definedName>
    <definedName name="GrphActStk" localSheetId="10">#REF!</definedName>
    <definedName name="GrphActStk">#REF!</definedName>
    <definedName name="GrphPlanSales" localSheetId="23">#REF!</definedName>
    <definedName name="GrphPlanSales" localSheetId="6">#REF!</definedName>
    <definedName name="GrphPlanSales" localSheetId="10">#REF!</definedName>
    <definedName name="GrphPlanSales">#REF!</definedName>
    <definedName name="GrphTgtStk" localSheetId="23">#REF!</definedName>
    <definedName name="GrphTgtStk" localSheetId="6">#REF!</definedName>
    <definedName name="GrphTgtStk" localSheetId="10">#REF!</definedName>
    <definedName name="GrphTgtStk">#REF!</definedName>
    <definedName name="gtst" localSheetId="23">#REF!</definedName>
    <definedName name="gtst" localSheetId="6">#REF!</definedName>
    <definedName name="gtst" localSheetId="10">#REF!</definedName>
    <definedName name="gtst">#REF!</definedName>
    <definedName name="GTTA" localSheetId="23">#REF!</definedName>
    <definedName name="GTTA" localSheetId="6">#REF!</definedName>
    <definedName name="GTTA" localSheetId="10">#REF!</definedName>
    <definedName name="GTTA">#REF!</definedName>
    <definedName name="GTTB" localSheetId="23">#REF!</definedName>
    <definedName name="GTTB" localSheetId="6">#REF!</definedName>
    <definedName name="GTTB" localSheetId="10">#REF!</definedName>
    <definedName name="GTTB">#REF!</definedName>
    <definedName name="GUPTAVP" localSheetId="23">#REF!</definedName>
    <definedName name="GUPTAVP" localSheetId="6">#REF!</definedName>
    <definedName name="GUPTAVP" localSheetId="10">#REF!</definedName>
    <definedName name="GUPTAVP">#REF!</definedName>
    <definedName name="GW" localSheetId="23">#REF!</definedName>
    <definedName name="GW" localSheetId="6">#REF!</definedName>
    <definedName name="GW" localSheetId="10">#REF!</definedName>
    <definedName name="GW">#REF!</definedName>
    <definedName name="h" localSheetId="23">#REF!</definedName>
    <definedName name="h" localSheetId="6">#REF!</definedName>
    <definedName name="h" localSheetId="10">#REF!</definedName>
    <definedName name="h">#REF!</definedName>
    <definedName name="H___0" localSheetId="23">#REF!</definedName>
    <definedName name="H___0" localSheetId="6">#REF!</definedName>
    <definedName name="H___0" localSheetId="10">#REF!</definedName>
    <definedName name="H___0">#REF!</definedName>
    <definedName name="H___13" localSheetId="23">#REF!</definedName>
    <definedName name="H___13" localSheetId="6">#REF!</definedName>
    <definedName name="H___13" localSheetId="10">#REF!</definedName>
    <definedName name="H___13">#REF!</definedName>
    <definedName name="h_af" localSheetId="23">#REF!</definedName>
    <definedName name="h_af" localSheetId="6">#REF!</definedName>
    <definedName name="h_af" localSheetId="10">#REF!</definedName>
    <definedName name="h_af">#REF!</definedName>
    <definedName name="h_bf" localSheetId="23">#REF!</definedName>
    <definedName name="h_bf" localSheetId="6">#REF!</definedName>
    <definedName name="h_bf" localSheetId="10">#REF!</definedName>
    <definedName name="h_bf">#REF!</definedName>
    <definedName name="H0___0" localSheetId="23">#REF!</definedName>
    <definedName name="H0___0" localSheetId="6">#REF!</definedName>
    <definedName name="H0___0" localSheetId="10">#REF!</definedName>
    <definedName name="H0___0">#REF!</definedName>
    <definedName name="H0___13" localSheetId="23">#REF!</definedName>
    <definedName name="H0___13" localSheetId="6">#REF!</definedName>
    <definedName name="H0___13" localSheetId="10">#REF!</definedName>
    <definedName name="H0___13">#REF!</definedName>
    <definedName name="HA">INDEX('[5] '!$B$1:$B$16,MATCH('[5]  '!$K$189,'[5] '!$A$1:$A$16,0))</definedName>
    <definedName name="haba" localSheetId="23">#REF!</definedName>
    <definedName name="haba" localSheetId="6">#REF!</definedName>
    <definedName name="haba" localSheetId="10">#REF!</definedName>
    <definedName name="haba">#REF!</definedName>
    <definedName name="HANDL" localSheetId="23">#REF!</definedName>
    <definedName name="HANDL" localSheetId="6">#REF!</definedName>
    <definedName name="HANDL" localSheetId="10">#REF!</definedName>
    <definedName name="HANDL">#REF!</definedName>
    <definedName name="HB">INDEX('[5] '!$B$1:$B$16,MATCH('[5]  '!$K$191,'[5] '!$A$1:$A$16,0))</definedName>
    <definedName name="HC">INDEX('[5] '!$B$1:$B$16,MATCH('[5]  '!$K$193,'[5] '!$A$1:$A$16,0))</definedName>
    <definedName name="HD">INDEX('[5] '!$B$1:$B$16,MATCH('[5]  '!$K$195,'[5] '!$A$1:$A$16,0))</definedName>
    <definedName name="HE">INDEX('[5] '!$B$1:$B$16,MATCH('[5]  '!$K$197,'[5] '!$A$1:$A$16,0))</definedName>
    <definedName name="Header" localSheetId="23">#REF!</definedName>
    <definedName name="Header" localSheetId="6">#REF!</definedName>
    <definedName name="Header" localSheetId="10">#REF!</definedName>
    <definedName name="Header">#REF!</definedName>
    <definedName name="HEATER_DATA" localSheetId="23">#REF!</definedName>
    <definedName name="HEATER_DATA" localSheetId="6">#REF!</definedName>
    <definedName name="HEATER_DATA" localSheetId="10">#REF!</definedName>
    <definedName name="HEATER_DATA">#REF!</definedName>
    <definedName name="HEDGING" localSheetId="23">#REF!</definedName>
    <definedName name="HEDGING" localSheetId="6">#REF!</definedName>
    <definedName name="HEDGING" localSheetId="10">#REF!</definedName>
    <definedName name="HEDGING">#REF!</definedName>
    <definedName name="Herstellerangaben" localSheetId="23">#REF!</definedName>
    <definedName name="Herstellerangaben" localSheetId="6">#REF!</definedName>
    <definedName name="Herstellerangaben" localSheetId="10">#REF!</definedName>
    <definedName name="Herstellerangaben">#REF!</definedName>
    <definedName name="HF">INDEX('[5] '!$B$1:$B$16,MATCH('[5]  '!$K$199,'[5] '!$A$1:$A$16,0))</definedName>
    <definedName name="hfi" localSheetId="23">#REF!</definedName>
    <definedName name="hfi" localSheetId="6">#REF!</definedName>
    <definedName name="hfi" localSheetId="10">#REF!</definedName>
    <definedName name="hfi">#REF!</definedName>
    <definedName name="HG">INDEX('[5] '!$B$1:$B$16,MATCH('[5]  '!$K$201,'[5] '!$A$1:$A$16,0))</definedName>
    <definedName name="hgr" localSheetId="23">#REF!</definedName>
    <definedName name="hgr" localSheetId="6">#REF!</definedName>
    <definedName name="hgr" localSheetId="10">#REF!</definedName>
    <definedName name="hgr">#REF!</definedName>
    <definedName name="HH">INDEX('[5] '!$B$1:$B$16,MATCH('[5]  '!$K$203,'[5] '!$A$1:$A$16,0))</definedName>
    <definedName name="hh___0" localSheetId="23">#REF!</definedName>
    <definedName name="hh___0" localSheetId="6">#REF!</definedName>
    <definedName name="hh___0" localSheetId="10">#REF!</definedName>
    <definedName name="hh___0">#REF!</definedName>
    <definedName name="hh___13" localSheetId="23">#REF!</definedName>
    <definedName name="hh___13" localSheetId="6">#REF!</definedName>
    <definedName name="hh___13" localSheetId="10">#REF!</definedName>
    <definedName name="hh___13">#REF!</definedName>
    <definedName name="hhh" localSheetId="23">#REF!</definedName>
    <definedName name="hhh" localSheetId="6">#REF!</definedName>
    <definedName name="hhh" localSheetId="10">#REF!</definedName>
    <definedName name="hhh">#REF!</definedName>
    <definedName name="hhh_1" localSheetId="23">#REF!</definedName>
    <definedName name="hhh_1" localSheetId="6">#REF!</definedName>
    <definedName name="hhh_1" localSheetId="10">#REF!</definedName>
    <definedName name="hhh_1">#REF!</definedName>
    <definedName name="hhhh" localSheetId="23">#REF!</definedName>
    <definedName name="hhhh" localSheetId="6">#REF!</definedName>
    <definedName name="hhhh" localSheetId="10">#REF!</definedName>
    <definedName name="hhhh">#REF!</definedName>
    <definedName name="hhhkh" localSheetId="23">#REF!</definedName>
    <definedName name="hhhkh" localSheetId="6">#REF!</definedName>
    <definedName name="hhhkh" localSheetId="10">#REF!</definedName>
    <definedName name="hhhkh">#REF!</definedName>
    <definedName name="hhs" localSheetId="23">#REF!</definedName>
    <definedName name="hhs" localSheetId="6">#REF!</definedName>
    <definedName name="hhs" localSheetId="10">#REF!</definedName>
    <definedName name="hhs">#REF!</definedName>
    <definedName name="HI">INDEX('[5] '!$B$1:$B$16,MATCH('[5]  '!$K$205,'[5] '!$A$1:$A$16,0))</definedName>
    <definedName name="HINDHUSTAN" localSheetId="23">#REF!</definedName>
    <definedName name="HINDHUSTAN" localSheetId="6">#REF!</definedName>
    <definedName name="HINDHUSTAN" localSheetId="10">#REF!</definedName>
    <definedName name="HINDHUSTAN">#REF!</definedName>
    <definedName name="HINDI" localSheetId="23">#REF!</definedName>
    <definedName name="HINDI" localSheetId="6">#REF!</definedName>
    <definedName name="HINDI" localSheetId="10">#REF!</definedName>
    <definedName name="HINDI">#REF!</definedName>
    <definedName name="HJ">INDEX('[5] '!$B$1:$B$16,MATCH('[5]  '!$K$207,'[5] '!$A$1:$A$16,0))</definedName>
    <definedName name="HK">INDEX('[5] '!$B$1:$B$16,MATCH('[5]  '!$K$209,'[5] '!$A$1:$A$16,0))</definedName>
    <definedName name="HL">INDEX('[5] '!$B$1:$B$16,MATCH('[5]  '!$K$211,'[5] '!$A$1:$A$16,0))</definedName>
    <definedName name="HM">INDEX('[5] '!$B$1:$B$16,MATCH('[5]  '!$K$213,'[5] '!$A$1:$A$16,0))</definedName>
    <definedName name="ＨＭ_ＨＥ_合__計" localSheetId="23">#REF!</definedName>
    <definedName name="ＨＭ_ＨＥ_合__計" localSheetId="6">#REF!</definedName>
    <definedName name="ＨＭ_ＨＥ_合__計" localSheetId="10">#REF!</definedName>
    <definedName name="ＨＭ_ＨＥ_合__計">#REF!</definedName>
    <definedName name="HN" localSheetId="23">#REF!</definedName>
    <definedName name="HN" localSheetId="6">#REF!</definedName>
    <definedName name="HN" localSheetId="10">#REF!</definedName>
    <definedName name="HN">#REF!</definedName>
    <definedName name="HNDCLR_CHGS" localSheetId="23">#REF!</definedName>
    <definedName name="HNDCLR_CHGS" localSheetId="6">#REF!</definedName>
    <definedName name="HNDCLR_CHGS" localSheetId="10">#REF!</definedName>
    <definedName name="HNDCLR_CHGS">#REF!</definedName>
    <definedName name="ho___0" localSheetId="23">#REF!</definedName>
    <definedName name="ho___0" localSheetId="6">#REF!</definedName>
    <definedName name="ho___0" localSheetId="10">#REF!</definedName>
    <definedName name="ho___0">#REF!</definedName>
    <definedName name="ho___13" localSheetId="23">#REF!</definedName>
    <definedName name="ho___13" localSheetId="6">#REF!</definedName>
    <definedName name="ho___13" localSheetId="10">#REF!</definedName>
    <definedName name="ho___13">#REF!</definedName>
    <definedName name="hS" localSheetId="23">#REF!</definedName>
    <definedName name="hS" localSheetId="6">#REF!</definedName>
    <definedName name="hS" localSheetId="10">#REF!</definedName>
    <definedName name="hS">#REF!</definedName>
    <definedName name="hS___0" localSheetId="23">#REF!</definedName>
    <definedName name="hS___0" localSheetId="6">#REF!</definedName>
    <definedName name="hS___0" localSheetId="10">#REF!</definedName>
    <definedName name="hS___0">#REF!</definedName>
    <definedName name="hS___13" localSheetId="23">#REF!</definedName>
    <definedName name="hS___13" localSheetId="6">#REF!</definedName>
    <definedName name="hS___13" localSheetId="10">#REF!</definedName>
    <definedName name="hS___13">#REF!</definedName>
    <definedName name="HSn" localSheetId="23">#REF!</definedName>
    <definedName name="HSn" localSheetId="6">#REF!</definedName>
    <definedName name="HSn" localSheetId="10">#REF!</definedName>
    <definedName name="HSn">#REF!</definedName>
    <definedName name="HSS" localSheetId="23">#REF!</definedName>
    <definedName name="HSS" localSheetId="6">#REF!</definedName>
    <definedName name="HSS" localSheetId="10">#REF!</definedName>
    <definedName name="HSS">#REF!</definedName>
    <definedName name="HTd" localSheetId="23">#REF!</definedName>
    <definedName name="HTd" localSheetId="6">#REF!</definedName>
    <definedName name="HTd" localSheetId="10">#REF!</definedName>
    <definedName name="HTd">#REF!</definedName>
    <definedName name="html" localSheetId="11" hidden="1">{"'PROFITABILITY'!$A$1:$F$45"}</definedName>
    <definedName name="html" localSheetId="10" hidden="1">{"'PROFITABILITY'!$A$1:$F$45"}</definedName>
    <definedName name="html" hidden="1">{"'PROFITABILITY'!$A$1:$F$45"}</definedName>
    <definedName name="HTML_CodePage" hidden="1">1252</definedName>
    <definedName name="HTML_Control" localSheetId="11" hidden="1">{"'PROFITABILITY'!$A$1:$F$45"}</definedName>
    <definedName name="HTML_Control" localSheetId="10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1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Tn" localSheetId="23">#REF!</definedName>
    <definedName name="HTn" localSheetId="6">#REF!</definedName>
    <definedName name="HTn" localSheetId="10">#REF!</definedName>
    <definedName name="HTn">#REF!</definedName>
    <definedName name="Hu" localSheetId="23">#REF!</definedName>
    <definedName name="Hu" localSheetId="6">#REF!</definedName>
    <definedName name="Hu" localSheetId="10">#REF!</definedName>
    <definedName name="Hu">#REF!</definedName>
    <definedName name="Hu___0" localSheetId="23">#REF!</definedName>
    <definedName name="Hu___0" localSheetId="6">#REF!</definedName>
    <definedName name="Hu___0" localSheetId="10">#REF!</definedName>
    <definedName name="Hu___0">#REF!</definedName>
    <definedName name="Hu___13" localSheetId="23">#REF!</definedName>
    <definedName name="Hu___13" localSheetId="6">#REF!</definedName>
    <definedName name="Hu___13" localSheetId="10">#REF!</definedName>
    <definedName name="Hu___13">#REF!</definedName>
    <definedName name="HV" localSheetId="23">#REF!</definedName>
    <definedName name="HV" localSheetId="6">#REF!</definedName>
    <definedName name="HV" localSheetId="10">#REF!</definedName>
    <definedName name="HV">#REF!</definedName>
    <definedName name="HX" localSheetId="23">#REF!</definedName>
    <definedName name="HX" localSheetId="6">#REF!</definedName>
    <definedName name="HX" localSheetId="10">#REF!</definedName>
    <definedName name="HX">#REF!</definedName>
    <definedName name="hxa" localSheetId="23">#REF!</definedName>
    <definedName name="hxa" localSheetId="6">#REF!</definedName>
    <definedName name="hxa" localSheetId="10">#REF!</definedName>
    <definedName name="hxa">#REF!</definedName>
    <definedName name="hxc" localSheetId="23">#REF!</definedName>
    <definedName name="hxc" localSheetId="6">#REF!</definedName>
    <definedName name="hxc" localSheetId="10">#REF!</definedName>
    <definedName name="hxc">#REF!</definedName>
    <definedName name="hxd" localSheetId="23">#REF!</definedName>
    <definedName name="hxd" localSheetId="6">#REF!</definedName>
    <definedName name="hxd" localSheetId="10">#REF!</definedName>
    <definedName name="hxd">#REF!</definedName>
    <definedName name="I" localSheetId="23">#REF!</definedName>
    <definedName name="I" localSheetId="6">#REF!</definedName>
    <definedName name="I" localSheetId="10">#REF!</definedName>
    <definedName name="I">#REF!</definedName>
    <definedName name="I___0" localSheetId="23">#REF!</definedName>
    <definedName name="I___0" localSheetId="6">#REF!</definedName>
    <definedName name="I___0" localSheetId="10">#REF!</definedName>
    <definedName name="I___0">#REF!</definedName>
    <definedName name="I___13" localSheetId="23">#REF!</definedName>
    <definedName name="I___13" localSheetId="6">#REF!</definedName>
    <definedName name="I___13" localSheetId="10">#REF!</definedName>
    <definedName name="I___13">#REF!</definedName>
    <definedName name="IA">INDEX('[5] '!$B$1:$B$16,MATCH('[5]  '!$K$215,'[5] '!$A$1:$A$16,0))</definedName>
    <definedName name="IAM" localSheetId="11" hidden="1">{"'Sheet1'!$A$4386:$N$4591"}</definedName>
    <definedName name="IAM" localSheetId="10" hidden="1">{"'Sheet1'!$A$4386:$N$4591"}</definedName>
    <definedName name="IAM" hidden="1">{"'Sheet1'!$A$4386:$N$4591"}</definedName>
    <definedName name="IB">INDEX('[5] '!$B$1:$B$16,MATCH('[5]  '!$K$217,'[5] '!$A$1:$A$16,0))</definedName>
    <definedName name="IC">INDEX('[5] '!$B$1:$B$16,MATCH('[5]  '!$K$219,'[5] '!$A$1:$A$16,0))</definedName>
    <definedName name="IceThickness" localSheetId="23">#REF!</definedName>
    <definedName name="IceThickness" localSheetId="6">#REF!</definedName>
    <definedName name="IceThickness" localSheetId="10">#REF!</definedName>
    <definedName name="IceThickness">#REF!</definedName>
    <definedName name="ICS_DISCUSSION_C_ISSUES_List" localSheetId="23">#REF!</definedName>
    <definedName name="ICS_DISCUSSION_C_ISSUES_List" localSheetId="6">#REF!</definedName>
    <definedName name="ICS_DISCUSSION_C_ISSUES_List" localSheetId="10">#REF!</definedName>
    <definedName name="ICS_DISCUSSION_C_ISSUES_List">#REF!</definedName>
    <definedName name="ID">INDEX('[5] '!$B$1:$B$16,MATCH('[5]  '!$K$221,'[5] '!$A$1:$A$16,0))</definedName>
    <definedName name="IDA" localSheetId="23">#REF!</definedName>
    <definedName name="IDA" localSheetId="6">#REF!</definedName>
    <definedName name="IDA" localSheetId="10">#REF!</definedName>
    <definedName name="IDA">#REF!</definedName>
    <definedName name="IDLandS_Peak_MP" localSheetId="23">#REF!</definedName>
    <definedName name="IDLandS_Peak_MP" localSheetId="6">#REF!</definedName>
    <definedName name="IDLandS_Peak_MP" localSheetId="10">#REF!</definedName>
    <definedName name="IDLandS_Peak_MP">#REF!</definedName>
    <definedName name="idto" localSheetId="23">#REF!</definedName>
    <definedName name="idto" localSheetId="6">#REF!</definedName>
    <definedName name="idto" localSheetId="10">#REF!</definedName>
    <definedName name="idto">#REF!</definedName>
    <definedName name="IE">INDEX('[5] '!$B$1:$B$16,MATCH('[5]  '!$K$223,'[5] '!$A$1:$A$16,0))</definedName>
    <definedName name="IELWSALES" localSheetId="23">#REF!</definedName>
    <definedName name="IELWSALES" localSheetId="6">#REF!</definedName>
    <definedName name="IELWSALES" localSheetId="10">#REF!</definedName>
    <definedName name="IELWSALES">#REF!</definedName>
    <definedName name="IELYSALES" localSheetId="23">#REF!</definedName>
    <definedName name="IELYSALES" localSheetId="6">#REF!</definedName>
    <definedName name="IELYSALES" localSheetId="10">#REF!</definedName>
    <definedName name="IELYSALES">#REF!</definedName>
    <definedName name="IEPLANSALES" localSheetId="23">#REF!</definedName>
    <definedName name="IEPLANSALES" localSheetId="6">#REF!</definedName>
    <definedName name="IEPLANSALES" localSheetId="10">#REF!</definedName>
    <definedName name="IEPLANSALES">#REF!</definedName>
    <definedName name="IESP" localSheetId="23">#REF!</definedName>
    <definedName name="IESP" localSheetId="6">#REF!</definedName>
    <definedName name="IESP" localSheetId="10">#REF!</definedName>
    <definedName name="IESP">#REF!</definedName>
    <definedName name="IF">INDEX('[5] '!$B$1:$B$16,MATCH('[5]  '!$K$225,'[5] '!$A$1:$A$16,0))</definedName>
    <definedName name="IF_J_1_RUN__PROG1" localSheetId="23">#REF!</definedName>
    <definedName name="IF_J_1_RUN__PROG1" localSheetId="6">#REF!</definedName>
    <definedName name="IF_J_1_RUN__PROG1" localSheetId="10">#REF!</definedName>
    <definedName name="IF_J_1_RUN__PROG1">#REF!</definedName>
    <definedName name="IG">INDEX('[5] '!$B$1:$B$16,MATCH('[5]  '!$K$227,'[5] '!$A$1:$A$16,0))</definedName>
    <definedName name="Ig___0" localSheetId="23">#REF!</definedName>
    <definedName name="Ig___0" localSheetId="6">#REF!</definedName>
    <definedName name="Ig___0" localSheetId="10">#REF!</definedName>
    <definedName name="Ig___0">#REF!</definedName>
    <definedName name="Ig___13" localSheetId="23">#REF!</definedName>
    <definedName name="Ig___13" localSheetId="6">#REF!</definedName>
    <definedName name="Ig___13" localSheetId="10">#REF!</definedName>
    <definedName name="Ig___13">#REF!</definedName>
    <definedName name="IGP_M" localSheetId="23">#REF!</definedName>
    <definedName name="IGP_M" localSheetId="6">#REF!</definedName>
    <definedName name="IGP_M" localSheetId="10">#REF!</definedName>
    <definedName name="IGP_M">#REF!</definedName>
    <definedName name="IH">INDEX('[5] '!$B$1:$B$16,MATCH('[5]  '!$K$229,'[5] '!$A$1:$A$16,0))</definedName>
    <definedName name="II">INDEX('[5] '!$B$1:$B$16,MATCH('[5]  '!$K$231,'[5] '!$A$1:$A$16,0))</definedName>
    <definedName name="iii" localSheetId="23">#REF!</definedName>
    <definedName name="iii" localSheetId="6">#REF!</definedName>
    <definedName name="iii" localSheetId="10">#REF!</definedName>
    <definedName name="iii">#REF!</definedName>
    <definedName name="iiiiii" localSheetId="4">#REF!</definedName>
    <definedName name="iiiiii" localSheetId="23">#REF!</definedName>
    <definedName name="iiiiii" localSheetId="6">#REF!</definedName>
    <definedName name="iiiiii" localSheetId="27">#REF!</definedName>
    <definedName name="iiiiii" localSheetId="11">#REF!</definedName>
    <definedName name="iiiiii" localSheetId="10">#REF!</definedName>
    <definedName name="iiiiii" localSheetId="5">#REF!</definedName>
    <definedName name="iiiiii">#REF!</definedName>
    <definedName name="IJ">INDEX('[5] '!$B$1:$B$16,MATCH('[5]  '!$K$233,'[5] '!$A$1:$A$16,0))</definedName>
    <definedName name="IK">INDEX('[5] '!$B$1:$B$16,MATCH('[5]  '!$K$235,'[5] '!$A$1:$A$16,0))</definedName>
    <definedName name="IL">INDEX('[5] '!$B$1:$B$16,MATCH('[5]  '!$K$237,'[5] '!$A$1:$A$16,0))</definedName>
    <definedName name="Illumination" localSheetId="23">#REF!</definedName>
    <definedName name="Illumination" localSheetId="6">#REF!</definedName>
    <definedName name="Illumination" localSheetId="10">#REF!</definedName>
    <definedName name="Illumination">#REF!</definedName>
    <definedName name="IM">INDEX('[5] '!$B$1:$B$16,MATCH('[5]  '!$K$239,'[5] '!$A$1:$A$16,0))</definedName>
    <definedName name="INCOME_BGT2" localSheetId="23">#REF!</definedName>
    <definedName name="INCOME_BGT2" localSheetId="6">#REF!</definedName>
    <definedName name="INCOME_BGT2" localSheetId="10">#REF!</definedName>
    <definedName name="INCOME_BGT2">#REF!</definedName>
    <definedName name="INCOME_M2" localSheetId="23">#REF!</definedName>
    <definedName name="INCOME_M2" localSheetId="6">#REF!</definedName>
    <definedName name="INCOME_M2" localSheetId="10">#REF!</definedName>
    <definedName name="INCOME_M2">#REF!</definedName>
    <definedName name="Index_Sheet_Kutools" localSheetId="23">#REF!</definedName>
    <definedName name="Index_Sheet_Kutools" localSheetId="6">#REF!</definedName>
    <definedName name="Index_Sheet_Kutools" localSheetId="10">#REF!</definedName>
    <definedName name="Index_Sheet_Kutools">#REF!</definedName>
    <definedName name="Individual_Mth" localSheetId="23">#REF!</definedName>
    <definedName name="Individual_Mth" localSheetId="6">#REF!</definedName>
    <definedName name="Individual_Mth" localSheetId="10">#REF!</definedName>
    <definedName name="Individual_Mth">#REF!</definedName>
    <definedName name="Individual_PM" localSheetId="23">#REF!</definedName>
    <definedName name="Individual_PM" localSheetId="6">#REF!</definedName>
    <definedName name="Individual_PM" localSheetId="10">#REF!</definedName>
    <definedName name="Individual_PM">#REF!</definedName>
    <definedName name="Individual_PY" localSheetId="23">#REF!</definedName>
    <definedName name="Individual_PY" localSheetId="6">#REF!</definedName>
    <definedName name="Individual_PY" localSheetId="10">#REF!</definedName>
    <definedName name="Individual_PY">#REF!</definedName>
    <definedName name="Individual_YTD" localSheetId="23">#REF!</definedName>
    <definedName name="Individual_YTD" localSheetId="6">#REF!</definedName>
    <definedName name="Individual_YTD" localSheetId="10">#REF!</definedName>
    <definedName name="Individual_YTD">#REF!</definedName>
    <definedName name="Indra" localSheetId="23">#REF!</definedName>
    <definedName name="Indra" localSheetId="6">#REF!</definedName>
    <definedName name="Indra" localSheetId="10">#REF!</definedName>
    <definedName name="Indra">#REF!</definedName>
    <definedName name="INFEUR1" localSheetId="23">#REF!</definedName>
    <definedName name="INFEUR1" localSheetId="6">#REF!</definedName>
    <definedName name="INFEUR1" localSheetId="10">#REF!</definedName>
    <definedName name="INFEUR1">#REF!</definedName>
    <definedName name="INFEUR2" localSheetId="23">#REF!</definedName>
    <definedName name="INFEUR2" localSheetId="6">#REF!</definedName>
    <definedName name="INFEUR2" localSheetId="10">#REF!</definedName>
    <definedName name="INFEUR2">#REF!</definedName>
    <definedName name="INFR2" localSheetId="23">#REF!</definedName>
    <definedName name="INFR2" localSheetId="6">#REF!</definedName>
    <definedName name="INFR2" localSheetId="10">#REF!</definedName>
    <definedName name="INFR2">#REF!</definedName>
    <definedName name="INFRP" localSheetId="23">#REF!</definedName>
    <definedName name="INFRP" localSheetId="6">#REF!</definedName>
    <definedName name="INFRP" localSheetId="10">#REF!</definedName>
    <definedName name="INFRP">#REF!</definedName>
    <definedName name="INFRP1" localSheetId="23">#REF!</definedName>
    <definedName name="INFRP1" localSheetId="6">#REF!</definedName>
    <definedName name="INFRP1" localSheetId="10">#REF!</definedName>
    <definedName name="INFRP1">#REF!</definedName>
    <definedName name="INFRP2" localSheetId="23">#REF!</definedName>
    <definedName name="INFRP2" localSheetId="6">#REF!</definedName>
    <definedName name="INFRP2" localSheetId="10">#REF!</definedName>
    <definedName name="INFRP2">#REF!</definedName>
    <definedName name="INFRP3" localSheetId="23">#REF!</definedName>
    <definedName name="INFRP3" localSheetId="6">#REF!</definedName>
    <definedName name="INFRP3" localSheetId="10">#REF!</definedName>
    <definedName name="INFRP3">#REF!</definedName>
    <definedName name="INFSPL" localSheetId="23">#REF!</definedName>
    <definedName name="INFSPL" localSheetId="6">#REF!</definedName>
    <definedName name="INFSPL" localSheetId="10">#REF!</definedName>
    <definedName name="INFSPL">#REF!</definedName>
    <definedName name="INFUSD1" localSheetId="23">#REF!</definedName>
    <definedName name="INFUSD1" localSheetId="6">#REF!</definedName>
    <definedName name="INFUSD1" localSheetId="10">#REF!</definedName>
    <definedName name="INFUSD1">#REF!</definedName>
    <definedName name="INFUSD2" localSheetId="23">#REF!</definedName>
    <definedName name="INFUSD2" localSheetId="6">#REF!</definedName>
    <definedName name="INFUSD2" localSheetId="10">#REF!</definedName>
    <definedName name="INFUSD2">#REF!</definedName>
    <definedName name="InputFile" localSheetId="23">#REF!</definedName>
    <definedName name="InputFile" localSheetId="6">#REF!</definedName>
    <definedName name="InputFile" localSheetId="10">#REF!</definedName>
    <definedName name="InputFile">#REF!</definedName>
    <definedName name="inr" localSheetId="23">#REF!</definedName>
    <definedName name="inr" localSheetId="6">#REF!</definedName>
    <definedName name="inr" localSheetId="10">#REF!</definedName>
    <definedName name="inr">#REF!</definedName>
    <definedName name="INS" localSheetId="23">IFERROR(LEFT(INDEX(#REF!,MATCH('[5]  '!$C1,#REF!,0)),3),"")</definedName>
    <definedName name="INS" localSheetId="6">IFERROR(LEFT(INDEX(#REF!,MATCH('[5]  '!$C1,#REF!,0)),3),"")</definedName>
    <definedName name="INS" localSheetId="11">IFERROR(LEFT(INDEX(#REF!,MATCH('[5]  '!$C1,#REF!,0)),3),"")</definedName>
    <definedName name="INS" localSheetId="10">IFERROR(LEFT(INDEX(#REF!,MATCH('[5]  '!$C1,#REF!,0)),3),"")</definedName>
    <definedName name="INS">IFERROR(LEFT(INDEX(#REF!,MATCH('[5]  '!$C1,#REF!,0)),3),"")</definedName>
    <definedName name="inserplate_joint_1" localSheetId="23">#REF!</definedName>
    <definedName name="inserplate_joint_1" localSheetId="6">#REF!</definedName>
    <definedName name="inserplate_joint_1" localSheetId="10">#REF!</definedName>
    <definedName name="inserplate_joint_1">#REF!</definedName>
    <definedName name="insertplate_and_exp_joint" localSheetId="23">#REF!</definedName>
    <definedName name="insertplate_and_exp_joint" localSheetId="6">#REF!</definedName>
    <definedName name="insertplate_and_exp_joint" localSheetId="10">#REF!</definedName>
    <definedName name="insertplate_and_exp_joint">#REF!</definedName>
    <definedName name="Inst." localSheetId="23">#REF!</definedName>
    <definedName name="Inst." localSheetId="6">#REF!</definedName>
    <definedName name="Inst." localSheetId="10">#REF!</definedName>
    <definedName name="Inst.">#REF!</definedName>
    <definedName name="INSTR" localSheetId="23">#REF!</definedName>
    <definedName name="INSTR" localSheetId="6">#REF!</definedName>
    <definedName name="INSTR" localSheetId="10">#REF!</definedName>
    <definedName name="INSTR">#REF!</definedName>
    <definedName name="Instrument_Index" localSheetId="23">#REF!</definedName>
    <definedName name="Instrument_Index" localSheetId="6">#REF!</definedName>
    <definedName name="Instrument_Index" localSheetId="10">#REF!</definedName>
    <definedName name="Instrument_Index">#REF!</definedName>
    <definedName name="Insurance" localSheetId="23">#REF!</definedName>
    <definedName name="Insurance" localSheetId="6">#REF!</definedName>
    <definedName name="Insurance" localSheetId="10">#REF!</definedName>
    <definedName name="Insurance">#REF!</definedName>
    <definedName name="INT_CHGS" localSheetId="23">#REF!</definedName>
    <definedName name="INT_CHGS" localSheetId="6">#REF!</definedName>
    <definedName name="INT_CHGS" localSheetId="10">#REF!</definedName>
    <definedName name="INT_CHGS">#REF!</definedName>
    <definedName name="inter" localSheetId="23">#REF!</definedName>
    <definedName name="inter" localSheetId="6">#REF!</definedName>
    <definedName name="inter" localSheetId="10">#REF!</definedName>
    <definedName name="inter">#REF!</definedName>
    <definedName name="Interest_Rate" localSheetId="23">#REF!</definedName>
    <definedName name="Interest_Rate" localSheetId="6">#REF!</definedName>
    <definedName name="Interest_Rate" localSheetId="10">#REF!</definedName>
    <definedName name="Interest_Rate">#REF!</definedName>
    <definedName name="internaluse" localSheetId="23">#REF!</definedName>
    <definedName name="internaluse" localSheetId="6">#REF!</definedName>
    <definedName name="internaluse" localSheetId="10">#REF!</definedName>
    <definedName name="internaluse">#REF!</definedName>
    <definedName name="IntFreeCred" localSheetId="23">#REF!</definedName>
    <definedName name="IntFreeCred" localSheetId="6">#REF!</definedName>
    <definedName name="IntFreeCred" localSheetId="10">#REF!</definedName>
    <definedName name="IntFreeCred">#REF!</definedName>
    <definedName name="INV" localSheetId="23">#REF!</definedName>
    <definedName name="INV" localSheetId="6">#REF!</definedName>
    <definedName name="INV" localSheetId="10">#REF!</definedName>
    <definedName name="INV">#REF!</definedName>
    <definedName name="IPB" localSheetId="23">#REF!</definedName>
    <definedName name="IPB" localSheetId="6">#REF!</definedName>
    <definedName name="IPB" localSheetId="10">#REF!</definedName>
    <definedName name="IPB">#REF!</definedName>
    <definedName name="IPT" localSheetId="23">#REF!</definedName>
    <definedName name="IPT" localSheetId="6">#REF!</definedName>
    <definedName name="IPT" localSheetId="10">#REF!</definedName>
    <definedName name="IPT">#REF!</definedName>
    <definedName name="ipu" localSheetId="23">#REF!</definedName>
    <definedName name="ipu" localSheetId="6">#REF!</definedName>
    <definedName name="ipu" localSheetId="10">#REF!</definedName>
    <definedName name="ipu">#REF!</definedName>
    <definedName name="ipu___0" localSheetId="23">#REF!</definedName>
    <definedName name="ipu___0" localSheetId="6">#REF!</definedName>
    <definedName name="ipu___0" localSheetId="10">#REF!</definedName>
    <definedName name="ipu___0">#REF!</definedName>
    <definedName name="ipu___13" localSheetId="23">#REF!</definedName>
    <definedName name="ipu___13" localSheetId="6">#REF!</definedName>
    <definedName name="ipu___13" localSheetId="10">#REF!</definedName>
    <definedName name="ipu___13">#REF!</definedName>
    <definedName name="IRR" localSheetId="23">#REF!</definedName>
    <definedName name="IRR" localSheetId="6">#REF!</definedName>
    <definedName name="IRR" localSheetId="10">#REF!</definedName>
    <definedName name="IRR">#REF!</definedName>
    <definedName name="IRRPH" localSheetId="23">#REF!</definedName>
    <definedName name="IRRPH" localSheetId="6">#REF!</definedName>
    <definedName name="IRRPH" localSheetId="10">#REF!</definedName>
    <definedName name="IRRPH">#REF!</definedName>
    <definedName name="IRUSD" localSheetId="23">#REF!</definedName>
    <definedName name="IRUSD" localSheetId="6">#REF!</definedName>
    <definedName name="IRUSD" localSheetId="10">#REF!</definedName>
    <definedName name="IRUSD">#REF!</definedName>
    <definedName name="Is" localSheetId="23">#REF!</definedName>
    <definedName name="Is" localSheetId="6">#REF!</definedName>
    <definedName name="Is" localSheetId="10">#REF!</definedName>
    <definedName name="Is">#REF!</definedName>
    <definedName name="ISO1E220" localSheetId="23">#REF!</definedName>
    <definedName name="ISO1E220" localSheetId="6">#REF!</definedName>
    <definedName name="ISO1E220" localSheetId="10">#REF!</definedName>
    <definedName name="ISO1E220">#REF!</definedName>
    <definedName name="ISO1E500" localSheetId="23">#REF!</definedName>
    <definedName name="ISO1E500" localSheetId="6">#REF!</definedName>
    <definedName name="ISO1E500" localSheetId="10">#REF!</definedName>
    <definedName name="ISO1E500">#REF!</definedName>
    <definedName name="ISO2E220" localSheetId="23">#REF!</definedName>
    <definedName name="ISO2E220" localSheetId="6">#REF!</definedName>
    <definedName name="ISO2E220" localSheetId="10">#REF!</definedName>
    <definedName name="ISO2E220">#REF!</definedName>
    <definedName name="ISO2E500" localSheetId="23">#REF!</definedName>
    <definedName name="ISO2E500" localSheetId="6">#REF!</definedName>
    <definedName name="ISO2E500" localSheetId="10">#REF!</definedName>
    <definedName name="ISO2E500">#REF!</definedName>
    <definedName name="Items" localSheetId="23">#REF!</definedName>
    <definedName name="Items" localSheetId="6">#REF!</definedName>
    <definedName name="Items" localSheetId="10">#REF!</definedName>
    <definedName name="Items">#REF!</definedName>
    <definedName name="iteration" localSheetId="23">#REF!</definedName>
    <definedName name="iteration" localSheetId="6">#REF!</definedName>
    <definedName name="iteration" localSheetId="10">#REF!</definedName>
    <definedName name="iteration">#REF!</definedName>
    <definedName name="ITRY" localSheetId="23">#REF!</definedName>
    <definedName name="ITRY" localSheetId="6">#REF!</definedName>
    <definedName name="ITRY" localSheetId="10">#REF!</definedName>
    <definedName name="ITRY">#REF!</definedName>
    <definedName name="ITRY1" localSheetId="23">#REF!</definedName>
    <definedName name="ITRY1" localSheetId="6">#REF!</definedName>
    <definedName name="ITRY1" localSheetId="10">#REF!</definedName>
    <definedName name="ITRY1">#REF!</definedName>
    <definedName name="j" localSheetId="23">#REF!</definedName>
    <definedName name="j" localSheetId="6">#REF!</definedName>
    <definedName name="j" localSheetId="10">#REF!</definedName>
    <definedName name="j">#REF!</definedName>
    <definedName name="j_filler" localSheetId="23">#REF!</definedName>
    <definedName name="j_filler" localSheetId="6">#REF!</definedName>
    <definedName name="j_filler" localSheetId="10">#REF!</definedName>
    <definedName name="j_filler">#REF!</definedName>
    <definedName name="JA">INDEX('[5] '!$B$1:$B$16,MATCH('[5]  '!$K$241,'[5] '!$A$1:$A$16,0))</definedName>
    <definedName name="Jabalpur" localSheetId="23">#REF!</definedName>
    <definedName name="Jabalpur" localSheetId="6">#REF!</definedName>
    <definedName name="Jabalpur" localSheetId="10">#REF!</definedName>
    <definedName name="Jabalpur">#REF!</definedName>
    <definedName name="JAHSGFRE" localSheetId="23">#REF!</definedName>
    <definedName name="JAHSGFRE" localSheetId="6">#REF!</definedName>
    <definedName name="JAHSGFRE" localSheetId="10">#REF!</definedName>
    <definedName name="JAHSGFRE">#REF!</definedName>
    <definedName name="JB">INDEX('[5] '!$B$1:$B$16,MATCH('[5]  '!$K$243,'[5] '!$A$1:$A$16,0))</definedName>
    <definedName name="JC">INDEX('[5] '!$B$1:$B$16,MATCH('[5]  '!$K$245,'[5] '!$A$1:$A$16,0))</definedName>
    <definedName name="JD">INDEX('[5] '!$B$1:$B$16,MATCH('[5]  '!$K$247,'[5] '!$A$1:$A$16,0))</definedName>
    <definedName name="JE">INDEX('[5] '!$B$1:$B$16,MATCH('[5]  '!$K$249,'[5] '!$A$1:$A$16,0))</definedName>
    <definedName name="JEERATE" localSheetId="23">#REF!</definedName>
    <definedName name="JEERATE" localSheetId="6">#REF!</definedName>
    <definedName name="JEERATE" localSheetId="10">#REF!</definedName>
    <definedName name="JEERATE">#REF!</definedName>
    <definedName name="JEJS" localSheetId="23">#REF!</definedName>
    <definedName name="JEJS" localSheetId="6">#REF!</definedName>
    <definedName name="JEJS" localSheetId="10">#REF!</definedName>
    <definedName name="JEJS">#REF!</definedName>
    <definedName name="JEJS___0" localSheetId="23">#REF!</definedName>
    <definedName name="JEJS___0" localSheetId="6">#REF!</definedName>
    <definedName name="JEJS___0" localSheetId="10">#REF!</definedName>
    <definedName name="JEJS___0">#REF!</definedName>
    <definedName name="JEJS___11" localSheetId="23">#REF!</definedName>
    <definedName name="JEJS___11" localSheetId="6">#REF!</definedName>
    <definedName name="JEJS___11" localSheetId="10">#REF!</definedName>
    <definedName name="JEJS___11">#REF!</definedName>
    <definedName name="JEJS___12" localSheetId="23">#REF!</definedName>
    <definedName name="JEJS___12" localSheetId="6">#REF!</definedName>
    <definedName name="JEJS___12" localSheetId="10">#REF!</definedName>
    <definedName name="JEJS___12">#REF!</definedName>
    <definedName name="JEJS___13" localSheetId="23">#REF!</definedName>
    <definedName name="JEJS___13" localSheetId="6">#REF!</definedName>
    <definedName name="JEJS___13" localSheetId="10">#REF!</definedName>
    <definedName name="JEJS___13">#REF!</definedName>
    <definedName name="JEJS___4" localSheetId="23">#REF!</definedName>
    <definedName name="JEJS___4" localSheetId="6">#REF!</definedName>
    <definedName name="JEJS___4" localSheetId="10">#REF!</definedName>
    <definedName name="JEJS___4">#REF!</definedName>
    <definedName name="JF">INDEX('[5] '!$B$1:$B$16,MATCH('[5]  '!$K$251,'[5] '!$A$1:$A$16,0))</definedName>
    <definedName name="JFHGDT" localSheetId="23">#REF!</definedName>
    <definedName name="JFHGDT" localSheetId="6">#REF!</definedName>
    <definedName name="JFHGDT" localSheetId="10">#REF!</definedName>
    <definedName name="JFHGDT">#REF!</definedName>
    <definedName name="JG">INDEX('[5] '!$B$1:$B$16,MATCH('[5]  '!$K$253,'[5] '!$A$1:$A$16,0))</definedName>
    <definedName name="JH">INDEX('[5] '!$B$1:$B$16,MATCH('[5]  '!$K$255,'[5] '!$A$1:$A$16,0))</definedName>
    <definedName name="JHKDJRFIA" localSheetId="23">#REF!</definedName>
    <definedName name="JHKDJRFIA" localSheetId="6">#REF!</definedName>
    <definedName name="JHKDJRFIA" localSheetId="10">#REF!</definedName>
    <definedName name="JHKDJRFIA">#REF!</definedName>
    <definedName name="JI">INDEX('[5] '!$B$1:$B$16,MATCH('[5]  '!$K$257,'[5] '!$A$1:$A$16,0))</definedName>
    <definedName name="JJ">INDEX('[5] '!$B$1:$B$16,MATCH('[5]  '!$K$259,'[5] '!$A$1:$A$16,0))</definedName>
    <definedName name="jjj" localSheetId="23">#REF!</definedName>
    <definedName name="jjj" localSheetId="6">#REF!</definedName>
    <definedName name="jjj" localSheetId="10">#REF!</definedName>
    <definedName name="jjj">#REF!</definedName>
    <definedName name="JK">INDEX('[5] '!$B$1:$B$16,MATCH('[5]  '!$K$261,'[5] '!$A$1:$A$16,0))</definedName>
    <definedName name="jkjj" localSheetId="23">#REF!</definedName>
    <definedName name="jkjj" localSheetId="6">#REF!</definedName>
    <definedName name="jkjj" localSheetId="10">#REF!</definedName>
    <definedName name="jkjj">#REF!</definedName>
    <definedName name="JL">INDEX('[5] '!$B$1:$B$16,MATCH('[5]  '!$K$263,'[5] '!$A$1:$A$16,0))</definedName>
    <definedName name="JM">INDEX('[5] '!$B$1:$B$16,MATCH('[5]  '!$K$265,'[5] '!$A$1:$A$16,0))</definedName>
    <definedName name="JOINT" localSheetId="23">#REF!</definedName>
    <definedName name="JOINT" localSheetId="6">#REF!</definedName>
    <definedName name="JOINT" localSheetId="10">#REF!</definedName>
    <definedName name="JOINT">#REF!</definedName>
    <definedName name="ju" localSheetId="23">#REF!</definedName>
    <definedName name="ju" localSheetId="6">#REF!</definedName>
    <definedName name="ju" localSheetId="10">#REF!</definedName>
    <definedName name="ju">#REF!</definedName>
    <definedName name="July" localSheetId="23">#REF!</definedName>
    <definedName name="July" localSheetId="6">#REF!</definedName>
    <definedName name="July" localSheetId="10">#REF!</definedName>
    <definedName name="July">#REF!</definedName>
    <definedName name="JULY1" localSheetId="23">#REF!</definedName>
    <definedName name="JULY1" localSheetId="6">#REF!</definedName>
    <definedName name="JULY1" localSheetId="10">#REF!</definedName>
    <definedName name="JULY1">#REF!</definedName>
    <definedName name="jv" localSheetId="23">#REF!</definedName>
    <definedName name="jv" localSheetId="6">#REF!</definedName>
    <definedName name="jv" localSheetId="10">#REF!</definedName>
    <definedName name="jv">#REF!</definedName>
    <definedName name="K" localSheetId="4">#REF!</definedName>
    <definedName name="K" localSheetId="27">#REF!</definedName>
    <definedName name="k" localSheetId="11" hidden="1">{"'PROFITABILITY'!$A$1:$F$45"}</definedName>
    <definedName name="k" localSheetId="10" hidden="1">{"'PROFITABILITY'!$A$1:$F$45"}</definedName>
    <definedName name="K" localSheetId="5">#REF!</definedName>
    <definedName name="k" hidden="1">{"'PROFITABILITY'!$A$1:$F$45"}</definedName>
    <definedName name="K___0" localSheetId="23">#REF!</definedName>
    <definedName name="K___0" localSheetId="6">#REF!</definedName>
    <definedName name="K___0" localSheetId="10">#REF!</definedName>
    <definedName name="K___0">#REF!</definedName>
    <definedName name="K___13" localSheetId="23">#REF!</definedName>
    <definedName name="K___13" localSheetId="6">#REF!</definedName>
    <definedName name="K___13" localSheetId="10">#REF!</definedName>
    <definedName name="K___13">#REF!</definedName>
    <definedName name="K_183_PKTCL_LM_15" localSheetId="4">#REF!</definedName>
    <definedName name="K_183_PKTCL_LM_15" localSheetId="23">#REF!</definedName>
    <definedName name="K_183_PKTCL_LM_15" localSheetId="6">#REF!</definedName>
    <definedName name="K_183_PKTCL_LM_15" localSheetId="27">#REF!</definedName>
    <definedName name="K_183_PKTCL_LM_15" localSheetId="11">#REF!</definedName>
    <definedName name="K_183_PKTCL_LM_15" localSheetId="10">#REF!</definedName>
    <definedName name="K_183_PKTCL_LM_15" localSheetId="5">#REF!</definedName>
    <definedName name="K_183_PKTCL_LM_15">#REF!</definedName>
    <definedName name="K_209_PGC_LM_PV_03" localSheetId="4">#REF!</definedName>
    <definedName name="K_209_PGC_LM_PV_03" localSheetId="23">#REF!</definedName>
    <definedName name="K_209_PGC_LM_PV_03" localSheetId="6">#REF!</definedName>
    <definedName name="K_209_PGC_LM_PV_03" localSheetId="27">#REF!</definedName>
    <definedName name="K_209_PGC_LM_PV_03" localSheetId="11">#REF!</definedName>
    <definedName name="K_209_PGC_LM_PV_03" localSheetId="10">#REF!</definedName>
    <definedName name="K_209_PGC_LM_PV_03" localSheetId="5">#REF!</definedName>
    <definedName name="K_209_PGC_LM_PV_03">#REF!</definedName>
    <definedName name="k1s" localSheetId="23">#REF!</definedName>
    <definedName name="k1s" localSheetId="6">#REF!</definedName>
    <definedName name="k1s" localSheetId="10">#REF!</definedName>
    <definedName name="k1s">#REF!</definedName>
    <definedName name="k2s" localSheetId="23">#REF!</definedName>
    <definedName name="k2s" localSheetId="6">#REF!</definedName>
    <definedName name="k2s" localSheetId="10">#REF!</definedName>
    <definedName name="k2s">#REF!</definedName>
    <definedName name="KA">INDEX('[5] '!$B$1:$B$16,MATCH('[5]  '!$K$267,'[5] '!$A$1:$A$16,0))</definedName>
    <definedName name="KALPAN" localSheetId="23">#REF!</definedName>
    <definedName name="KALPAN" localSheetId="6">#REF!</definedName>
    <definedName name="KALPAN" localSheetId="10">#REF!</definedName>
    <definedName name="KALPAN">#REF!</definedName>
    <definedName name="KAMREM" localSheetId="23">#REF!</definedName>
    <definedName name="KAMREM" localSheetId="6">#REF!</definedName>
    <definedName name="KAMREM" localSheetId="10">#REF!</definedName>
    <definedName name="KAMREM">#REF!</definedName>
    <definedName name="kar" localSheetId="23">#REF!</definedName>
    <definedName name="kar" localSheetId="6">#REF!</definedName>
    <definedName name="kar" localSheetId="10">#REF!</definedName>
    <definedName name="kar">#REF!</definedName>
    <definedName name="KARAM" localSheetId="23">#REF!</definedName>
    <definedName name="KARAM" localSheetId="6">#REF!</definedName>
    <definedName name="KARAM" localSheetId="10">#REF!</definedName>
    <definedName name="KARAM">#REF!</definedName>
    <definedName name="KB">INDEX('[5] '!$B$1:$B$16,MATCH('[5]  '!$K$269,'[5] '!$A$1:$A$16,0))</definedName>
    <definedName name="KC">INDEX('[5] '!$B$1:$B$16,MATCH('[5]  '!$K$271,'[5] '!$A$1:$A$16,0))</definedName>
    <definedName name="KD">INDEX('[5] '!$B$1:$B$16,MATCH('[5]  '!$K$273,'[5] '!$A$1:$A$16,0))</definedName>
    <definedName name="KE">INDEX('[5] '!$B$1:$B$16,MATCH('[5]  '!$K$275,'[5] '!$A$1:$A$16,0))</definedName>
    <definedName name="KEC" localSheetId="23">#REF!</definedName>
    <definedName name="KEC" localSheetId="6">#REF!</definedName>
    <definedName name="KEC" localSheetId="10">#REF!</definedName>
    <definedName name="KEC">#REF!</definedName>
    <definedName name="KEPL" localSheetId="23">#REF!</definedName>
    <definedName name="KEPL" localSheetId="6">#REF!</definedName>
    <definedName name="KEPL" localSheetId="10">#REF!</definedName>
    <definedName name="KEPL">#REF!</definedName>
    <definedName name="KET" localSheetId="23">#REF!</definedName>
    <definedName name="KET" localSheetId="6">#REF!</definedName>
    <definedName name="KET" localSheetId="10">#REF!</definedName>
    <definedName name="KET">#REF!</definedName>
    <definedName name="KF">INDEX('[5] '!$B$1:$B$16,MATCH('[5]  '!$K$277,'[5] '!$A$1:$A$16,0))</definedName>
    <definedName name="KG">INDEX('[5] '!$B$1:$B$16,MATCH('[5]  '!$K$279,'[5] '!$A$1:$A$16,0))</definedName>
    <definedName name="KH">INDEX('[5] '!$B$1:$B$16,MATCH('[5]  '!$K$281,'[5] '!$A$1:$A$16,0))</definedName>
    <definedName name="Kh___0" localSheetId="23">#REF!</definedName>
    <definedName name="Kh___0" localSheetId="6">#REF!</definedName>
    <definedName name="Kh___0" localSheetId="10">#REF!</definedName>
    <definedName name="Kh___0">#REF!</definedName>
    <definedName name="Kh___13" localSheetId="23">#REF!</definedName>
    <definedName name="Kh___13" localSheetId="6">#REF!</definedName>
    <definedName name="Kh___13" localSheetId="10">#REF!</definedName>
    <definedName name="Kh___13">#REF!</definedName>
    <definedName name="KI">INDEX('[5] '!$B$1:$B$16,MATCH('[5]  '!$K$283,'[5] '!$A$1:$A$16,0))</definedName>
    <definedName name="Ki___0" localSheetId="23">#REF!</definedName>
    <definedName name="Ki___0" localSheetId="6">#REF!</definedName>
    <definedName name="Ki___0" localSheetId="10">#REF!</definedName>
    <definedName name="Ki___0">#REF!</definedName>
    <definedName name="Ki___13" localSheetId="23">#REF!</definedName>
    <definedName name="Ki___13" localSheetId="6">#REF!</definedName>
    <definedName name="Ki___13" localSheetId="10">#REF!</definedName>
    <definedName name="Ki___13">#REF!</definedName>
    <definedName name="Ki1___0" localSheetId="23">#REF!</definedName>
    <definedName name="Ki1___0" localSheetId="6">#REF!</definedName>
    <definedName name="Ki1___0" localSheetId="10">#REF!</definedName>
    <definedName name="Ki1___0">#REF!</definedName>
    <definedName name="Ki1___13" localSheetId="23">#REF!</definedName>
    <definedName name="Ki1___13" localSheetId="6">#REF!</definedName>
    <definedName name="Ki1___13" localSheetId="10">#REF!</definedName>
    <definedName name="Ki1___13">#REF!</definedName>
    <definedName name="Ki2___0" localSheetId="23">#REF!</definedName>
    <definedName name="Ki2___0" localSheetId="6">#REF!</definedName>
    <definedName name="Ki2___0" localSheetId="10">#REF!</definedName>
    <definedName name="Ki2___0">#REF!</definedName>
    <definedName name="Ki2___13" localSheetId="23">#REF!</definedName>
    <definedName name="Ki2___13" localSheetId="6">#REF!</definedName>
    <definedName name="Ki2___13" localSheetId="10">#REF!</definedName>
    <definedName name="Ki2___13">#REF!</definedName>
    <definedName name="kib" localSheetId="23">#REF!</definedName>
    <definedName name="kib" localSheetId="6">#REF!</definedName>
    <definedName name="kib" localSheetId="10">#REF!</definedName>
    <definedName name="kib">#REF!</definedName>
    <definedName name="Kii" localSheetId="23">#REF!</definedName>
    <definedName name="Kii" localSheetId="6">#REF!</definedName>
    <definedName name="Kii" localSheetId="10">#REF!</definedName>
    <definedName name="Kii">#REF!</definedName>
    <definedName name="Kii___0" localSheetId="23">#REF!</definedName>
    <definedName name="Kii___0" localSheetId="6">#REF!</definedName>
    <definedName name="Kii___0" localSheetId="10">#REF!</definedName>
    <definedName name="Kii___0">#REF!</definedName>
    <definedName name="Kii___13" localSheetId="23">#REF!</definedName>
    <definedName name="Kii___13" localSheetId="6">#REF!</definedName>
    <definedName name="Kii___13" localSheetId="10">#REF!</definedName>
    <definedName name="Kii___13">#REF!</definedName>
    <definedName name="kililil" localSheetId="23">#REF!</definedName>
    <definedName name="kililil" localSheetId="6">#REF!</definedName>
    <definedName name="kililil" localSheetId="10">#REF!</definedName>
    <definedName name="kililil">#REF!</definedName>
    <definedName name="kir" localSheetId="23">#REF!</definedName>
    <definedName name="kir" localSheetId="6">#REF!</definedName>
    <definedName name="kir" localSheetId="10">#REF!</definedName>
    <definedName name="kir">#REF!</definedName>
    <definedName name="KISHOR" localSheetId="23">#REF!</definedName>
    <definedName name="KISHOR" localSheetId="6">#REF!</definedName>
    <definedName name="KISHOR" localSheetId="10">#REF!</definedName>
    <definedName name="KISHOR">#REF!</definedName>
    <definedName name="KJ">INDEX('[5] '!$B$1:$B$16,MATCH('[5]  '!$K$285,'[5] '!$A$1:$A$16,0))</definedName>
    <definedName name="KJU" localSheetId="23">#REF!</definedName>
    <definedName name="KJU" localSheetId="6">#REF!</definedName>
    <definedName name="KJU" localSheetId="10">#REF!</definedName>
    <definedName name="KJU">#REF!</definedName>
    <definedName name="KK">INDEX('[5] '!$B$1:$B$16,MATCH('[5]  '!$K$287,'[5] '!$A$1:$A$16,0))</definedName>
    <definedName name="KKK" localSheetId="4">#REF!</definedName>
    <definedName name="KKK" localSheetId="23">#REF!</definedName>
    <definedName name="KKK" localSheetId="6">#REF!</definedName>
    <definedName name="KKK" localSheetId="27">#REF!</definedName>
    <definedName name="KKK" localSheetId="11">#REF!</definedName>
    <definedName name="KKK" localSheetId="10">#REF!</definedName>
    <definedName name="KKK" localSheetId="5">#REF!</definedName>
    <definedName name="KKK">#REF!</definedName>
    <definedName name="kkkkk" localSheetId="23">#REF!</definedName>
    <definedName name="kkkkk" localSheetId="6">#REF!</definedName>
    <definedName name="kkkkk" localSheetId="10">#REF!</definedName>
    <definedName name="kkkkk">#REF!</definedName>
    <definedName name="KL">INDEX('[5] '!$B$1:$B$16,MATCH('[5]  '!$K$289,'[5] '!$A$1:$A$16,0))</definedName>
    <definedName name="KM">INDEX('[5] '!$B$1:$B$16,MATCH('[5]  '!$K$291,'[5] '!$A$1:$A$16,0))</definedName>
    <definedName name="Km___0" localSheetId="23">#REF!</definedName>
    <definedName name="Km___0" localSheetId="6">#REF!</definedName>
    <definedName name="Km___0" localSheetId="10">#REF!</definedName>
    <definedName name="Km___0">#REF!</definedName>
    <definedName name="Km___13" localSheetId="23">#REF!</definedName>
    <definedName name="Km___13" localSheetId="6">#REF!</definedName>
    <definedName name="Km___13" localSheetId="10">#REF!</definedName>
    <definedName name="Km___13">#REF!</definedName>
    <definedName name="KP" localSheetId="4">#REF!</definedName>
    <definedName name="KP" localSheetId="23">#REF!</definedName>
    <definedName name="KP" localSheetId="6">#REF!</definedName>
    <definedName name="KP" localSheetId="27">#REF!</definedName>
    <definedName name="KP" localSheetId="11">#REF!</definedName>
    <definedName name="KP" localSheetId="10">#REF!</definedName>
    <definedName name="KP" localSheetId="5">#REF!</definedName>
    <definedName name="KP">#REF!</definedName>
    <definedName name="KPI_BGT3" localSheetId="23">#REF!</definedName>
    <definedName name="KPI_BGT3" localSheetId="6">#REF!</definedName>
    <definedName name="KPI_BGT3" localSheetId="10">#REF!</definedName>
    <definedName name="KPI_BGT3">#REF!</definedName>
    <definedName name="KPI_M3" localSheetId="23">#REF!</definedName>
    <definedName name="KPI_M3" localSheetId="6">#REF!</definedName>
    <definedName name="KPI_M3" localSheetId="10">#REF!</definedName>
    <definedName name="KPI_M3">#REF!</definedName>
    <definedName name="KPIBRB" localSheetId="23">#REF!</definedName>
    <definedName name="KPIBRB" localSheetId="6">#REF!</definedName>
    <definedName name="KPIBRB" localSheetId="10">#REF!</definedName>
    <definedName name="KPIBRB">#REF!</definedName>
    <definedName name="KR" localSheetId="23">#REF!</definedName>
    <definedName name="KR" localSheetId="6">#REF!</definedName>
    <definedName name="KR" localSheetId="10">#REF!</definedName>
    <definedName name="KR">#REF!</definedName>
    <definedName name="Ks" localSheetId="23">#REF!</definedName>
    <definedName name="Ks" localSheetId="6">#REF!</definedName>
    <definedName name="Ks" localSheetId="10">#REF!</definedName>
    <definedName name="Ks">#REF!</definedName>
    <definedName name="Ks___0" localSheetId="23">#REF!</definedName>
    <definedName name="Ks___0" localSheetId="6">#REF!</definedName>
    <definedName name="Ks___0" localSheetId="10">#REF!</definedName>
    <definedName name="Ks___0">#REF!</definedName>
    <definedName name="Ks___13" localSheetId="23">#REF!</definedName>
    <definedName name="Ks___13" localSheetId="6">#REF!</definedName>
    <definedName name="Ks___13" localSheetId="10">#REF!</definedName>
    <definedName name="Ks___13">#REF!</definedName>
    <definedName name="KST" localSheetId="23">#REF!</definedName>
    <definedName name="KST" localSheetId="6">#REF!</definedName>
    <definedName name="KST" localSheetId="10">#REF!</definedName>
    <definedName name="KST">#REF!</definedName>
    <definedName name="kst_4.20" localSheetId="23">#REF!</definedName>
    <definedName name="kst_4.20" localSheetId="6">#REF!</definedName>
    <definedName name="kst_4.20" localSheetId="10">#REF!</definedName>
    <definedName name="kst_4.20">#REF!</definedName>
    <definedName name="KT" localSheetId="23">#REF!</definedName>
    <definedName name="KT" localSheetId="6">#REF!</definedName>
    <definedName name="KT" localSheetId="10">#REF!</definedName>
    <definedName name="KT">#REF!</definedName>
    <definedName name="KTA" localSheetId="23">#REF!</definedName>
    <definedName name="KTA" localSheetId="6">#REF!</definedName>
    <definedName name="KTA" localSheetId="10">#REF!</definedName>
    <definedName name="KTA">#REF!</definedName>
    <definedName name="KTB" localSheetId="23">#REF!</definedName>
    <definedName name="KTB" localSheetId="6">#REF!</definedName>
    <definedName name="KTB" localSheetId="10">#REF!</definedName>
    <definedName name="KTB">#REF!</definedName>
    <definedName name="KTX" localSheetId="23">#REF!</definedName>
    <definedName name="KTX" localSheetId="6">#REF!</definedName>
    <definedName name="KTX" localSheetId="10">#REF!</definedName>
    <definedName name="KTX">#REF!</definedName>
    <definedName name="KU" localSheetId="23">#REF!</definedName>
    <definedName name="KU" localSheetId="6">#REF!</definedName>
    <definedName name="KU" localSheetId="10">#REF!</definedName>
    <definedName name="KU">#REF!</definedName>
    <definedName name="Kw" localSheetId="23">#REF!</definedName>
    <definedName name="Kw" localSheetId="6">#REF!</definedName>
    <definedName name="Kw" localSheetId="10">#REF!</definedName>
    <definedName name="Kw">#REF!</definedName>
    <definedName name="kweys" localSheetId="23">#REF!</definedName>
    <definedName name="kweys" localSheetId="6">#REF!</definedName>
    <definedName name="kweys" localSheetId="10">#REF!</definedName>
    <definedName name="kweys">#REF!</definedName>
    <definedName name="Kwfa" localSheetId="23">#REF!</definedName>
    <definedName name="Kwfa" localSheetId="6">#REF!</definedName>
    <definedName name="Kwfa" localSheetId="10">#REF!</definedName>
    <definedName name="Kwfa">#REF!</definedName>
    <definedName name="Kwsa" localSheetId="23">#REF!</definedName>
    <definedName name="Kwsa" localSheetId="6">#REF!</definedName>
    <definedName name="Kwsa" localSheetId="10">#REF!</definedName>
    <definedName name="Kwsa">#REF!</definedName>
    <definedName name="Kwto" localSheetId="23">#REF!</definedName>
    <definedName name="Kwto" localSheetId="6">#REF!</definedName>
    <definedName name="Kwto" localSheetId="10">#REF!</definedName>
    <definedName name="Kwto">#REF!</definedName>
    <definedName name="L" localSheetId="23">#REF!</definedName>
    <definedName name="L" localSheetId="6">#REF!</definedName>
    <definedName name="L" localSheetId="10">#REF!</definedName>
    <definedName name="L">#REF!</definedName>
    <definedName name="L___0" localSheetId="23">#REF!</definedName>
    <definedName name="L___0" localSheetId="6">#REF!</definedName>
    <definedName name="L___0" localSheetId="10">#REF!</definedName>
    <definedName name="L___0">#REF!</definedName>
    <definedName name="L___13" localSheetId="23">#REF!</definedName>
    <definedName name="L___13" localSheetId="6">#REF!</definedName>
    <definedName name="L___13" localSheetId="10">#REF!</definedName>
    <definedName name="L___13">#REF!</definedName>
    <definedName name="l1x" localSheetId="23">#REF!</definedName>
    <definedName name="l1x" localSheetId="6">#REF!</definedName>
    <definedName name="l1x" localSheetId="10">#REF!</definedName>
    <definedName name="l1x">#REF!</definedName>
    <definedName name="l2x" localSheetId="23">#REF!</definedName>
    <definedName name="l2x" localSheetId="6">#REF!</definedName>
    <definedName name="l2x" localSheetId="10">#REF!</definedName>
    <definedName name="l2x">#REF!</definedName>
    <definedName name="LA">INDEX('[5] '!$B$1:$B$16,MATCH('[5]  '!$K$293,'[5] '!$A$1:$A$16,0))</definedName>
    <definedName name="lakh">[6]dBase!$J$12</definedName>
    <definedName name="LAMP" localSheetId="23">#REF!</definedName>
    <definedName name="LAMP" localSheetId="6">#REF!</definedName>
    <definedName name="LAMP" localSheetId="10">#REF!</definedName>
    <definedName name="LAMP">#REF!</definedName>
    <definedName name="LAMP___0" localSheetId="23">#REF!</definedName>
    <definedName name="LAMP___0" localSheetId="6">#REF!</definedName>
    <definedName name="LAMP___0" localSheetId="10">#REF!</definedName>
    <definedName name="LAMP___0">#REF!</definedName>
    <definedName name="LAMP___13" localSheetId="23">#REF!</definedName>
    <definedName name="LAMP___13" localSheetId="6">#REF!</definedName>
    <definedName name="LAMP___13" localSheetId="10">#REF!</definedName>
    <definedName name="LAMP___13">#REF!</definedName>
    <definedName name="LanguageComment" localSheetId="23">#REF!</definedName>
    <definedName name="LanguageComment" localSheetId="6">#REF!</definedName>
    <definedName name="LanguageComment" localSheetId="10">#REF!</definedName>
    <definedName name="LanguageComment">#REF!</definedName>
    <definedName name="LAS" localSheetId="23">#REF!</definedName>
    <definedName name="LAS" localSheetId="6">#REF!</definedName>
    <definedName name="LAS" localSheetId="10">#REF!</definedName>
    <definedName name="LAS">#REF!</definedName>
    <definedName name="Last_Row" localSheetId="23">#REF!</definedName>
    <definedName name="Last_Row" localSheetId="6">#REF!</definedName>
    <definedName name="Last_Row" localSheetId="10">#REF!</definedName>
    <definedName name="Last_Row">#REF!</definedName>
    <definedName name="Layerno" localSheetId="23">#REF!</definedName>
    <definedName name="Layerno" localSheetId="6">#REF!</definedName>
    <definedName name="Layerno" localSheetId="10">#REF!</definedName>
    <definedName name="Layerno">#REF!</definedName>
    <definedName name="LB">INDEX('[5] '!$B$1:$B$16,MATCH('[5]  '!$K$295,'[5] '!$A$1:$A$16,0))</definedName>
    <definedName name="LC">INDEX('[5] '!$B$1:$B$16,MATCH('[5]  '!$K$297,'[5] '!$A$1:$A$16,0))</definedName>
    <definedName name="Lc___0" localSheetId="23">#REF!</definedName>
    <definedName name="Lc___0" localSheetId="6">#REF!</definedName>
    <definedName name="Lc___0" localSheetId="10">#REF!</definedName>
    <definedName name="Lc___0">#REF!</definedName>
    <definedName name="Lc___13" localSheetId="23">#REF!</definedName>
    <definedName name="Lc___13" localSheetId="6">#REF!</definedName>
    <definedName name="Lc___13" localSheetId="10">#REF!</definedName>
    <definedName name="Lc___13">#REF!</definedName>
    <definedName name="LC_CHGS" localSheetId="23">#REF!</definedName>
    <definedName name="LC_CHGS" localSheetId="6">#REF!</definedName>
    <definedName name="LC_CHGS" localSheetId="10">#REF!</definedName>
    <definedName name="LC_CHGS">#REF!</definedName>
    <definedName name="lc1i4f" localSheetId="23">#REF!</definedName>
    <definedName name="lc1i4f" localSheetId="6">#REF!</definedName>
    <definedName name="lc1i4f" localSheetId="10">#REF!</definedName>
    <definedName name="lc1i4f">#REF!</definedName>
    <definedName name="lc1i5f" localSheetId="23">#REF!</definedName>
    <definedName name="lc1i5f" localSheetId="6">#REF!</definedName>
    <definedName name="lc1i5f" localSheetId="10">#REF!</definedName>
    <definedName name="lc1i5f">#REF!</definedName>
    <definedName name="lc2i1bc8f" localSheetId="23">#REF!</definedName>
    <definedName name="lc2i1bc8f" localSheetId="6">#REF!</definedName>
    <definedName name="lc2i1bc8f" localSheetId="10">#REF!</definedName>
    <definedName name="lc2i1bc8f">#REF!</definedName>
    <definedName name="lc350mcbc" localSheetId="23">#REF!</definedName>
    <definedName name="lc350mcbc" localSheetId="6">#REF!</definedName>
    <definedName name="lc350mcbc" localSheetId="10">#REF!</definedName>
    <definedName name="lc350mcbc">#REF!</definedName>
    <definedName name="lc350mcfdr" localSheetId="23">#REF!</definedName>
    <definedName name="lc350mcfdr" localSheetId="6">#REF!</definedName>
    <definedName name="lc350mcfdr" localSheetId="10">#REF!</definedName>
    <definedName name="lc350mcfdr">#REF!</definedName>
    <definedName name="lc350mcic" localSheetId="23">#REF!</definedName>
    <definedName name="lc350mcic" localSheetId="6">#REF!</definedName>
    <definedName name="lc350mcic" localSheetId="10">#REF!</definedName>
    <definedName name="lc350mcic">#REF!</definedName>
    <definedName name="lc350pcfdr" localSheetId="23">#REF!</definedName>
    <definedName name="lc350pcfdr" localSheetId="6">#REF!</definedName>
    <definedName name="lc350pcfdr" localSheetId="10">#REF!</definedName>
    <definedName name="lc350pcfdr">#REF!</definedName>
    <definedName name="lc350pcic" localSheetId="23">#REF!</definedName>
    <definedName name="lc350pcic" localSheetId="6">#REF!</definedName>
    <definedName name="lc350pcic" localSheetId="10">#REF!</definedName>
    <definedName name="lc350pcic">#REF!</definedName>
    <definedName name="lc500mcbc" localSheetId="23">#REF!</definedName>
    <definedName name="lc500mcbc" localSheetId="6">#REF!</definedName>
    <definedName name="lc500mcbc" localSheetId="10">#REF!</definedName>
    <definedName name="lc500mcbc">#REF!</definedName>
    <definedName name="lc500mcfdr" localSheetId="23">#REF!</definedName>
    <definedName name="lc500mcfdr" localSheetId="6">#REF!</definedName>
    <definedName name="lc500mcfdr" localSheetId="10">#REF!</definedName>
    <definedName name="lc500mcfdr">#REF!</definedName>
    <definedName name="lc500mcic" localSheetId="23">#REF!</definedName>
    <definedName name="lc500mcic" localSheetId="6">#REF!</definedName>
    <definedName name="lc500mcic" localSheetId="10">#REF!</definedName>
    <definedName name="lc500mcic">#REF!</definedName>
    <definedName name="lcabbbc" localSheetId="23">#REF!</definedName>
    <definedName name="lcabbbc" localSheetId="6">#REF!</definedName>
    <definedName name="lcabbbc" localSheetId="10">#REF!</definedName>
    <definedName name="lcabbbc">#REF!</definedName>
    <definedName name="lcabbfdr" localSheetId="23">#REF!</definedName>
    <definedName name="lcabbfdr" localSheetId="6">#REF!</definedName>
    <definedName name="lcabbfdr" localSheetId="10">#REF!</definedName>
    <definedName name="lcabbfdr">#REF!</definedName>
    <definedName name="lcabbic" localSheetId="23">#REF!</definedName>
    <definedName name="lcabbic" localSheetId="6">#REF!</definedName>
    <definedName name="lcabbic" localSheetId="10">#REF!</definedName>
    <definedName name="lcabbic">#REF!</definedName>
    <definedName name="lcs" localSheetId="23">#REF!</definedName>
    <definedName name="lcs" localSheetId="6">#REF!</definedName>
    <definedName name="lcs" localSheetId="10">#REF!</definedName>
    <definedName name="lcs">#REF!</definedName>
    <definedName name="LD">INDEX('[5] '!$B$1:$B$16,MATCH('[5]  '!$K$299,'[5] '!$A$1:$A$16,0))</definedName>
    <definedName name="LD_Analysis" localSheetId="23">#REF!</definedName>
    <definedName name="LD_Analysis" localSheetId="6">#REF!</definedName>
    <definedName name="LD_Analysis" localSheetId="10">#REF!</definedName>
    <definedName name="LD_Analysis">#REF!</definedName>
    <definedName name="LE">INDEX('[5] '!$B$1:$B$16,MATCH('[5]  '!$K$301,'[5] '!$A$1:$A$16,0))</definedName>
    <definedName name="lean" localSheetId="23">#REF!</definedName>
    <definedName name="lean" localSheetId="6">#REF!</definedName>
    <definedName name="lean" localSheetId="10">#REF!</definedName>
    <definedName name="lean">#REF!</definedName>
    <definedName name="LEGEND" localSheetId="23">#REF!</definedName>
    <definedName name="LEGEND" localSheetId="6">#REF!</definedName>
    <definedName name="LEGEND" localSheetId="10">#REF!</definedName>
    <definedName name="LEGEND">#REF!</definedName>
    <definedName name="len" localSheetId="23">#REF!</definedName>
    <definedName name="len" localSheetId="6">#REF!</definedName>
    <definedName name="len" localSheetId="10">#REF!</definedName>
    <definedName name="len">#REF!</definedName>
    <definedName name="LF">INDEX('[5] '!$B$1:$B$16,MATCH('[5]  '!$K$303,'[5] '!$A$1:$A$16,0))</definedName>
    <definedName name="LG">INDEX('[5] '!$B$1:$B$16,MATCH('[5]  '!$K$305,'[5] '!$A$1:$A$16,0))</definedName>
    <definedName name="LH">INDEX('[5] '!$B$1:$B$16,MATCH('[5]  '!$K$307,'[5] '!$A$1:$A$16,0))</definedName>
    <definedName name="LI">INDEX('[5] '!$B$1:$B$16,MATCH('[5]  '!$K$309,'[5] '!$A$1:$A$16,0))</definedName>
    <definedName name="LIK" localSheetId="23">#REF!</definedName>
    <definedName name="LIK" localSheetId="6">#REF!</definedName>
    <definedName name="LIK" localSheetId="10">#REF!</definedName>
    <definedName name="LIK">#REF!</definedName>
    <definedName name="line" localSheetId="23">#REF!</definedName>
    <definedName name="line" localSheetId="6">#REF!</definedName>
    <definedName name="line" localSheetId="10">#REF!</definedName>
    <definedName name="line">#REF!</definedName>
    <definedName name="Line_type" localSheetId="23">#REF!</definedName>
    <definedName name="Line_type" localSheetId="6">#REF!</definedName>
    <definedName name="Line_type" localSheetId="10">#REF!</definedName>
    <definedName name="Line_type">#REF!</definedName>
    <definedName name="LINE1" localSheetId="23">#REF!</definedName>
    <definedName name="LINE1" localSheetId="6">#REF!</definedName>
    <definedName name="LINE1" localSheetId="10">#REF!</definedName>
    <definedName name="LINE1">#REF!</definedName>
    <definedName name="LIRA" localSheetId="23">#REF!</definedName>
    <definedName name="LIRA" localSheetId="6">#REF!</definedName>
    <definedName name="LIRA" localSheetId="10">#REF!</definedName>
    <definedName name="LIRA">#REF!</definedName>
    <definedName name="LJ">INDEX('[5] '!$B$1:$B$16,MATCH('[5]  '!$K$311,'[5] '!$A$1:$A$16,0))</definedName>
    <definedName name="LK">INDEX('[5] '!$B$1:$B$16,MATCH('[5]  '!$K$313,'[5] '!$A$1:$A$16,0))</definedName>
    <definedName name="LKJ" localSheetId="23">#REF!</definedName>
    <definedName name="LKJ" localSheetId="6">#REF!</definedName>
    <definedName name="LKJ" localSheetId="10">#REF!</definedName>
    <definedName name="LKJ">#REF!</definedName>
    <definedName name="lku" localSheetId="23">#REF!</definedName>
    <definedName name="lku" localSheetId="6">#REF!</definedName>
    <definedName name="lku" localSheetId="10">#REF!</definedName>
    <definedName name="lku">#REF!</definedName>
    <definedName name="LL">INDEX('[5] '!$B$1:$B$16,MATCH('[5]  '!$K$315,'[5] '!$A$1:$A$16,0))</definedName>
    <definedName name="LLL" localSheetId="4">#REF!</definedName>
    <definedName name="LLL" localSheetId="23">#REF!</definedName>
    <definedName name="LLL" localSheetId="6">#REF!</definedName>
    <definedName name="LLL" localSheetId="27">#REF!</definedName>
    <definedName name="LLL" localSheetId="11">#REF!</definedName>
    <definedName name="LLL" localSheetId="10">#REF!</definedName>
    <definedName name="LLL" localSheetId="5">#REF!</definedName>
    <definedName name="LLL">#REF!</definedName>
    <definedName name="LM">INDEX('[5] '!$B$1:$B$16,MATCH('[5]  '!$K$317,'[5] '!$A$1:$A$16,0))</definedName>
    <definedName name="lmcaccp" localSheetId="23">#REF!</definedName>
    <definedName name="lmcaccp" localSheetId="6">#REF!</definedName>
    <definedName name="lmcaccp" localSheetId="10">#REF!</definedName>
    <definedName name="lmcaccp">#REF!</definedName>
    <definedName name="lmcecp" localSheetId="23">#REF!</definedName>
    <definedName name="lmcecp" localSheetId="6">#REF!</definedName>
    <definedName name="lmcecp" localSheetId="10">#REF!</definedName>
    <definedName name="lmcecp">#REF!</definedName>
    <definedName name="lmcmcc.1" localSheetId="23">#REF!</definedName>
    <definedName name="lmcmcc.1" localSheetId="6">#REF!</definedName>
    <definedName name="lmcmcc.1" localSheetId="10">#REF!</definedName>
    <definedName name="lmcmcc.1">#REF!</definedName>
    <definedName name="lmcmcc.2" localSheetId="23">#REF!</definedName>
    <definedName name="lmcmcc.2" localSheetId="6">#REF!</definedName>
    <definedName name="lmcmcc.2" localSheetId="10">#REF!</definedName>
    <definedName name="lmcmcc.2">#REF!</definedName>
    <definedName name="lmcmcc.3" localSheetId="23">#REF!</definedName>
    <definedName name="lmcmcc.3" localSheetId="6">#REF!</definedName>
    <definedName name="lmcmcc.3" localSheetId="10">#REF!</definedName>
    <definedName name="lmcmcc.3">#REF!</definedName>
    <definedName name="lmcmltsb" localSheetId="23">#REF!</definedName>
    <definedName name="lmcmltsb" localSheetId="6">#REF!</definedName>
    <definedName name="lmcmltsb" localSheetId="10">#REF!</definedName>
    <definedName name="lmcmltsb">#REF!</definedName>
    <definedName name="lmcmsb.ups" localSheetId="23">#REF!</definedName>
    <definedName name="lmcmsb.ups" localSheetId="6">#REF!</definedName>
    <definedName name="lmcmsb.ups" localSheetId="10">#REF!</definedName>
    <definedName name="lmcmsb.ups">#REF!</definedName>
    <definedName name="lmcsmsb.1" localSheetId="23">#REF!</definedName>
    <definedName name="lmcsmsb.1" localSheetId="6">#REF!</definedName>
    <definedName name="lmcsmsb.1" localSheetId="10">#REF!</definedName>
    <definedName name="lmcsmsb.1">#REF!</definedName>
    <definedName name="lmcsmsb.2" localSheetId="23">#REF!</definedName>
    <definedName name="lmcsmsb.2" localSheetId="6">#REF!</definedName>
    <definedName name="lmcsmsb.2" localSheetId="10">#REF!</definedName>
    <definedName name="lmcsmsb.2">#REF!</definedName>
    <definedName name="lmcsmsb.3" localSheetId="23">#REF!</definedName>
    <definedName name="lmcsmsb.3" localSheetId="6">#REF!</definedName>
    <definedName name="lmcsmsb.3" localSheetId="10">#REF!</definedName>
    <definedName name="lmcsmsb.3">#REF!</definedName>
    <definedName name="lmcsmsb.b" localSheetId="23">#REF!</definedName>
    <definedName name="lmcsmsb.b" localSheetId="6">#REF!</definedName>
    <definedName name="lmcsmsb.b" localSheetId="10">#REF!</definedName>
    <definedName name="lmcsmsb.b">#REF!</definedName>
    <definedName name="lmcsmsb.g" localSheetId="23">#REF!</definedName>
    <definedName name="lmcsmsb.g" localSheetId="6">#REF!</definedName>
    <definedName name="lmcsmsb.g" localSheetId="10">#REF!</definedName>
    <definedName name="lmcsmsb.g">#REF!</definedName>
    <definedName name="lmcsmsb.lab" localSheetId="23">#REF!</definedName>
    <definedName name="lmcsmsb.lab" localSheetId="6">#REF!</definedName>
    <definedName name="lmcsmsb.lab" localSheetId="10">#REF!</definedName>
    <definedName name="lmcsmsb.lab">#REF!</definedName>
    <definedName name="lmcsmsb.main" localSheetId="23">#REF!</definedName>
    <definedName name="lmcsmsb.main" localSheetId="6">#REF!</definedName>
    <definedName name="lmcsmsb.main" localSheetId="10">#REF!</definedName>
    <definedName name="lmcsmsb.main">#REF!</definedName>
    <definedName name="lmcsmsb.t" localSheetId="23">#REF!</definedName>
    <definedName name="lmcsmsb.t" localSheetId="6">#REF!</definedName>
    <definedName name="lmcsmsb.t" localSheetId="10">#REF!</definedName>
    <definedName name="lmcsmsb.t">#REF!</definedName>
    <definedName name="lmcsmsb.ups" localSheetId="23">#REF!</definedName>
    <definedName name="lmcsmsb.ups" localSheetId="6">#REF!</definedName>
    <definedName name="lmcsmsb.ups" localSheetId="10">#REF!</definedName>
    <definedName name="lmcsmsb.ups">#REF!</definedName>
    <definedName name="lmcup.1" localSheetId="23">#REF!</definedName>
    <definedName name="lmcup.1" localSheetId="6">#REF!</definedName>
    <definedName name="lmcup.1" localSheetId="10">#REF!</definedName>
    <definedName name="lmcup.1">#REF!</definedName>
    <definedName name="lmcup.2" localSheetId="23">#REF!</definedName>
    <definedName name="lmcup.2" localSheetId="6">#REF!</definedName>
    <definedName name="lmcup.2" localSheetId="10">#REF!</definedName>
    <definedName name="lmcup.2">#REF!</definedName>
    <definedName name="LMG" localSheetId="23">#REF!</definedName>
    <definedName name="LMG" localSheetId="6">#REF!</definedName>
    <definedName name="LMG" localSheetId="10">#REF!</definedName>
    <definedName name="LMG">#REF!</definedName>
    <definedName name="LN" localSheetId="23">#REF!</definedName>
    <definedName name="LN" localSheetId="6">#REF!</definedName>
    <definedName name="LN" localSheetId="10">#REF!</definedName>
    <definedName name="LN">#REF!</definedName>
    <definedName name="LND_CHGS" localSheetId="23">#REF!</definedName>
    <definedName name="LND_CHGS" localSheetId="6">#REF!</definedName>
    <definedName name="LND_CHGS" localSheetId="10">#REF!</definedName>
    <definedName name="LND_CHGS">#REF!</definedName>
    <definedName name="Loan_Amount" localSheetId="23">#REF!</definedName>
    <definedName name="Loan_Amount" localSheetId="6">#REF!</definedName>
    <definedName name="Loan_Amount" localSheetId="10">#REF!</definedName>
    <definedName name="Loan_Amount">#REF!</definedName>
    <definedName name="Loan_Start" localSheetId="23">#REF!</definedName>
    <definedName name="Loan_Start" localSheetId="6">#REF!</definedName>
    <definedName name="Loan_Start" localSheetId="10">#REF!</definedName>
    <definedName name="Loan_Start">#REF!</definedName>
    <definedName name="Loan_Years" localSheetId="23">#REF!</definedName>
    <definedName name="Loan_Years" localSheetId="6">#REF!</definedName>
    <definedName name="Loan_Years" localSheetId="10">#REF!</definedName>
    <definedName name="Loan_Years">#REF!</definedName>
    <definedName name="Location___10" localSheetId="23">#REF!</definedName>
    <definedName name="Location___10" localSheetId="6">#REF!</definedName>
    <definedName name="Location___10" localSheetId="10">#REF!</definedName>
    <definedName name="Location___10">#REF!</definedName>
    <definedName name="Location___11" localSheetId="23">#REF!</definedName>
    <definedName name="Location___11" localSheetId="6">#REF!</definedName>
    <definedName name="Location___11" localSheetId="10">#REF!</definedName>
    <definedName name="Location___11">#REF!</definedName>
    <definedName name="Location___16" localSheetId="23">#REF!</definedName>
    <definedName name="Location___16" localSheetId="6">#REF!</definedName>
    <definedName name="Location___16" localSheetId="10">#REF!</definedName>
    <definedName name="Location___16">#REF!</definedName>
    <definedName name="Location___17" localSheetId="23">#REF!</definedName>
    <definedName name="Location___17" localSheetId="6">#REF!</definedName>
    <definedName name="Location___17" localSheetId="10">#REF!</definedName>
    <definedName name="Location___17">#REF!</definedName>
    <definedName name="Location___20" localSheetId="23">#REF!</definedName>
    <definedName name="Location___20" localSheetId="6">#REF!</definedName>
    <definedName name="Location___20" localSheetId="10">#REF!</definedName>
    <definedName name="Location___20">#REF!</definedName>
    <definedName name="Location___22" localSheetId="23">#REF!</definedName>
    <definedName name="Location___22" localSheetId="6">#REF!</definedName>
    <definedName name="Location___22" localSheetId="10">#REF!</definedName>
    <definedName name="Location___22">#REF!</definedName>
    <definedName name="Location___23" localSheetId="23">#REF!</definedName>
    <definedName name="Location___23" localSheetId="6">#REF!</definedName>
    <definedName name="Location___23" localSheetId="10">#REF!</definedName>
    <definedName name="Location___23">#REF!</definedName>
    <definedName name="Location___24" localSheetId="23">#REF!</definedName>
    <definedName name="Location___24" localSheetId="6">#REF!</definedName>
    <definedName name="Location___24" localSheetId="10">#REF!</definedName>
    <definedName name="Location___24">#REF!</definedName>
    <definedName name="Location___25" localSheetId="23">#REF!</definedName>
    <definedName name="Location___25" localSheetId="6">#REF!</definedName>
    <definedName name="Location___25" localSheetId="10">#REF!</definedName>
    <definedName name="Location___25">#REF!</definedName>
    <definedName name="Location___31" localSheetId="23">#REF!</definedName>
    <definedName name="Location___31" localSheetId="6">#REF!</definedName>
    <definedName name="Location___31" localSheetId="10">#REF!</definedName>
    <definedName name="Location___31">#REF!</definedName>
    <definedName name="Location___6" localSheetId="23">#REF!</definedName>
    <definedName name="Location___6" localSheetId="6">#REF!</definedName>
    <definedName name="Location___6" localSheetId="10">#REF!</definedName>
    <definedName name="Location___6">#REF!</definedName>
    <definedName name="logo1">"Picture 7"</definedName>
    <definedName name="logoa" localSheetId="23">#REF!</definedName>
    <definedName name="logoa" localSheetId="6">#REF!</definedName>
    <definedName name="logoa" localSheetId="10">#REF!</definedName>
    <definedName name="logoa">#REF!</definedName>
    <definedName name="LPROT220" localSheetId="23">#REF!</definedName>
    <definedName name="LPROT220" localSheetId="6">#REF!</definedName>
    <definedName name="LPROT220" localSheetId="10">#REF!</definedName>
    <definedName name="LPROT220">#REF!</definedName>
    <definedName name="LPROT500" localSheetId="23">#REF!</definedName>
    <definedName name="LPROT500" localSheetId="6">#REF!</definedName>
    <definedName name="LPROT500" localSheetId="10">#REF!</definedName>
    <definedName name="LPROT500">#REF!</definedName>
    <definedName name="Lr" localSheetId="23">#REF!</definedName>
    <definedName name="Lr" localSheetId="6">#REF!</definedName>
    <definedName name="Lr" localSheetId="10">#REF!</definedName>
    <definedName name="Lr">#REF!</definedName>
    <definedName name="Lr___0" localSheetId="23">#REF!</definedName>
    <definedName name="Lr___0" localSheetId="6">#REF!</definedName>
    <definedName name="Lr___0" localSheetId="10">#REF!</definedName>
    <definedName name="Lr___0">#REF!</definedName>
    <definedName name="Lr___13" localSheetId="23">#REF!</definedName>
    <definedName name="Lr___13" localSheetId="6">#REF!</definedName>
    <definedName name="Lr___13" localSheetId="10">#REF!</definedName>
    <definedName name="Lr___13">#REF!</definedName>
    <definedName name="ls" localSheetId="23">#REF!</definedName>
    <definedName name="ls" localSheetId="6">#REF!</definedName>
    <definedName name="ls" localSheetId="10">#REF!</definedName>
    <definedName name="ls">#REF!</definedName>
    <definedName name="lte" localSheetId="23">#REF!</definedName>
    <definedName name="lte" localSheetId="6">#REF!</definedName>
    <definedName name="lte" localSheetId="10">#REF!</definedName>
    <definedName name="lte">#REF!</definedName>
    <definedName name="LTErate" localSheetId="23">#REF!</definedName>
    <definedName name="LTErate" localSheetId="6">#REF!</definedName>
    <definedName name="LTErate" localSheetId="10">#REF!</definedName>
    <definedName name="LTErate">#REF!</definedName>
    <definedName name="LTK" localSheetId="23">#REF!</definedName>
    <definedName name="LTK" localSheetId="6">#REF!</definedName>
    <definedName name="LTK" localSheetId="10">#REF!</definedName>
    <definedName name="LTK">#REF!</definedName>
    <definedName name="LTswitchgear" localSheetId="23">#REF!</definedName>
    <definedName name="LTswitchgear" localSheetId="6">#REF!</definedName>
    <definedName name="LTswitchgear" localSheetId="10">#REF!</definedName>
    <definedName name="LTswitchgear">#REF!</definedName>
    <definedName name="LTTrafo" localSheetId="23">#REF!</definedName>
    <definedName name="LTTrafo" localSheetId="6">#REF!</definedName>
    <definedName name="LTTrafo" localSheetId="10">#REF!</definedName>
    <definedName name="LTTrafo">#REF!</definedName>
    <definedName name="LUMEN" localSheetId="23">#REF!</definedName>
    <definedName name="LUMEN" localSheetId="6">#REF!</definedName>
    <definedName name="LUMEN" localSheetId="10">#REF!</definedName>
    <definedName name="LUMEN">#REF!</definedName>
    <definedName name="LUMEN___0" localSheetId="23">#REF!</definedName>
    <definedName name="LUMEN___0" localSheetId="6">#REF!</definedName>
    <definedName name="LUMEN___0" localSheetId="10">#REF!</definedName>
    <definedName name="LUMEN___0">#REF!</definedName>
    <definedName name="LUMEN___13" localSheetId="23">#REF!</definedName>
    <definedName name="LUMEN___13" localSheetId="6">#REF!</definedName>
    <definedName name="LUMEN___13" localSheetId="10">#REF!</definedName>
    <definedName name="LUMEN___13">#REF!</definedName>
    <definedName name="LUX" localSheetId="23">#REF!</definedName>
    <definedName name="LUX" localSheetId="6">#REF!</definedName>
    <definedName name="LUX" localSheetId="10">#REF!</definedName>
    <definedName name="LUX">#REF!</definedName>
    <definedName name="LUX___0" localSheetId="23">#REF!</definedName>
    <definedName name="LUX___0" localSheetId="6">#REF!</definedName>
    <definedName name="LUX___0" localSheetId="10">#REF!</definedName>
    <definedName name="LUX___0">#REF!</definedName>
    <definedName name="LUX___13" localSheetId="23">#REF!</definedName>
    <definedName name="LUX___13" localSheetId="6">#REF!</definedName>
    <definedName name="LUX___13" localSheetId="10">#REF!</definedName>
    <definedName name="LUX___13">#REF!</definedName>
    <definedName name="LV" localSheetId="23">#REF!</definedName>
    <definedName name="LV" localSheetId="6">#REF!</definedName>
    <definedName name="LV" localSheetId="10">#REF!</definedName>
    <definedName name="LV">#REF!</definedName>
    <definedName name="LWSALES" localSheetId="23">#REF!</definedName>
    <definedName name="LWSALES" localSheetId="6">#REF!</definedName>
    <definedName name="LWSALES" localSheetId="10">#REF!</definedName>
    <definedName name="LWSALES">#REF!</definedName>
    <definedName name="lx" localSheetId="23">#REF!</definedName>
    <definedName name="lx" localSheetId="6">#REF!</definedName>
    <definedName name="lx" localSheetId="10">#REF!</definedName>
    <definedName name="lx">#REF!</definedName>
    <definedName name="Lx___0" localSheetId="23">#REF!</definedName>
    <definedName name="Lx___0" localSheetId="6">#REF!</definedName>
    <definedName name="Lx___0" localSheetId="10">#REF!</definedName>
    <definedName name="Lx___0">#REF!</definedName>
    <definedName name="Lx___13" localSheetId="23">#REF!</definedName>
    <definedName name="Lx___13" localSheetId="6">#REF!</definedName>
    <definedName name="Lx___13" localSheetId="10">#REF!</definedName>
    <definedName name="Lx___13">#REF!</definedName>
    <definedName name="ly" localSheetId="23">#REF!</definedName>
    <definedName name="ly" localSheetId="6">#REF!</definedName>
    <definedName name="ly" localSheetId="10">#REF!</definedName>
    <definedName name="ly">#REF!</definedName>
    <definedName name="LYBin" localSheetId="23">#REF!</definedName>
    <definedName name="LYBin" localSheetId="6">#REF!</definedName>
    <definedName name="LYBin" localSheetId="10">#REF!</definedName>
    <definedName name="LYBin">#REF!</definedName>
    <definedName name="LYHolds" localSheetId="23">#REF!</definedName>
    <definedName name="LYHolds" localSheetId="6">#REF!</definedName>
    <definedName name="LYHolds" localSheetId="10">#REF!</definedName>
    <definedName name="LYHolds">#REF!</definedName>
    <definedName name="LYNet" localSheetId="23">#REF!</definedName>
    <definedName name="LYNet" localSheetId="6">#REF!</definedName>
    <definedName name="LYNet" localSheetId="10">#REF!</definedName>
    <definedName name="LYNet">#REF!</definedName>
    <definedName name="LYoos" localSheetId="23">#REF!</definedName>
    <definedName name="LYoos" localSheetId="6">#REF!</definedName>
    <definedName name="LYoos" localSheetId="10">#REF!</definedName>
    <definedName name="LYoos">#REF!</definedName>
    <definedName name="LYReselects" localSheetId="23">#REF!</definedName>
    <definedName name="LYReselects" localSheetId="6">#REF!</definedName>
    <definedName name="LYReselects" localSheetId="10">#REF!</definedName>
    <definedName name="LYReselects">#REF!</definedName>
    <definedName name="LYReturns" localSheetId="23">#REF!</definedName>
    <definedName name="LYReturns" localSheetId="6">#REF!</definedName>
    <definedName name="LYReturns" localSheetId="10">#REF!</definedName>
    <definedName name="LYReturns">#REF!</definedName>
    <definedName name="LYSales" localSheetId="23">#REF!</definedName>
    <definedName name="LYSales" localSheetId="6">#REF!</definedName>
    <definedName name="LYSales" localSheetId="10">#REF!</definedName>
    <definedName name="LYSales">#REF!</definedName>
    <definedName name="LYTotal" localSheetId="23">#REF!</definedName>
    <definedName name="LYTotal" localSheetId="6">#REF!</definedName>
    <definedName name="LYTotal" localSheetId="10">#REF!</definedName>
    <definedName name="LYTotal">#REF!</definedName>
    <definedName name="M" localSheetId="23">#REF!</definedName>
    <definedName name="M" localSheetId="6">#REF!</definedName>
    <definedName name="M" localSheetId="10">#REF!</definedName>
    <definedName name="M">#REF!</definedName>
    <definedName name="m___0" localSheetId="23">#REF!</definedName>
    <definedName name="m___0" localSheetId="6">#REF!</definedName>
    <definedName name="m___0" localSheetId="10">#REF!</definedName>
    <definedName name="m___0">#REF!</definedName>
    <definedName name="m___13" localSheetId="23">#REF!</definedName>
    <definedName name="m___13" localSheetId="6">#REF!</definedName>
    <definedName name="m___13" localSheetId="10">#REF!</definedName>
    <definedName name="m___13">#REF!</definedName>
    <definedName name="M_25_box_Culvert" localSheetId="23">#REF!</definedName>
    <definedName name="M_25_box_Culvert" localSheetId="6">#REF!</definedName>
    <definedName name="M_25_box_Culvert" localSheetId="10">#REF!</definedName>
    <definedName name="M_25_box_Culvert">#REF!</definedName>
    <definedName name="M_F">INDEX('[5] '!$B$1:$B$16,MATCH('[5]  '!$K$329,'[5] '!$A$1:$A$16,0))</definedName>
    <definedName name="M_s.MAMTHA_CONTRACTORS" localSheetId="4">#REF!</definedName>
    <definedName name="M_s.MAMTHA_CONTRACTORS" localSheetId="23">#REF!</definedName>
    <definedName name="M_s.MAMTHA_CONTRACTORS" localSheetId="6">#REF!</definedName>
    <definedName name="M_s.MAMTHA_CONTRACTORS" localSheetId="27">#REF!</definedName>
    <definedName name="M_s.MAMTHA_CONTRACTORS" localSheetId="11">#REF!</definedName>
    <definedName name="M_s.MAMTHA_CONTRACTORS" localSheetId="10">#REF!</definedName>
    <definedName name="M_s.MAMTHA_CONTRACTORS" localSheetId="5">#REF!</definedName>
    <definedName name="M_s.MAMTHA_CONTRACTORS">#REF!</definedName>
    <definedName name="M1_" localSheetId="23">#REF!</definedName>
    <definedName name="M1_" localSheetId="6">#REF!</definedName>
    <definedName name="M1_" localSheetId="10">#REF!</definedName>
    <definedName name="M1_">#REF!</definedName>
    <definedName name="M2_" localSheetId="23">#REF!</definedName>
    <definedName name="M2_" localSheetId="6">#REF!</definedName>
    <definedName name="M2_" localSheetId="10">#REF!</definedName>
    <definedName name="M2_">#REF!</definedName>
    <definedName name="m2_bop_f" localSheetId="23">#REF!</definedName>
    <definedName name="m2_bop_f" localSheetId="6">#REF!</definedName>
    <definedName name="m2_bop_f" localSheetId="10">#REF!</definedName>
    <definedName name="m2_bop_f">#REF!</definedName>
    <definedName name="m2_bop_v" localSheetId="23">#REF!</definedName>
    <definedName name="m2_bop_v" localSheetId="6">#REF!</definedName>
    <definedName name="m2_bop_v" localSheetId="10">#REF!</definedName>
    <definedName name="m2_bop_v">#REF!</definedName>
    <definedName name="m2_bop_w" localSheetId="23">#REF!</definedName>
    <definedName name="m2_bop_w" localSheetId="6">#REF!</definedName>
    <definedName name="m2_bop_w" localSheetId="10">#REF!</definedName>
    <definedName name="m2_bop_w">#REF!</definedName>
    <definedName name="m2_civ_f" localSheetId="23">#REF!</definedName>
    <definedName name="m2_civ_f" localSheetId="6">#REF!</definedName>
    <definedName name="m2_civ_f" localSheetId="10">#REF!</definedName>
    <definedName name="m2_civ_f">#REF!</definedName>
    <definedName name="m2_civ_v" localSheetId="23">#REF!</definedName>
    <definedName name="m2_civ_v" localSheetId="6">#REF!</definedName>
    <definedName name="m2_civ_v" localSheetId="10">#REF!</definedName>
    <definedName name="m2_civ_v">#REF!</definedName>
    <definedName name="m2_civ_w" localSheetId="23">#REF!</definedName>
    <definedName name="m2_civ_w" localSheetId="6">#REF!</definedName>
    <definedName name="m2_civ_w" localSheetId="10">#REF!</definedName>
    <definedName name="m2_civ_w">#REF!</definedName>
    <definedName name="m2_cond_f" localSheetId="23">#REF!</definedName>
    <definedName name="m2_cond_f" localSheetId="6">#REF!</definedName>
    <definedName name="m2_cond_f" localSheetId="10">#REF!</definedName>
    <definedName name="m2_cond_f">#REF!</definedName>
    <definedName name="m2_cond_v" localSheetId="23">#REF!</definedName>
    <definedName name="m2_cond_v" localSheetId="6">#REF!</definedName>
    <definedName name="m2_cond_v" localSheetId="10">#REF!</definedName>
    <definedName name="m2_cond_v">#REF!</definedName>
    <definedName name="m2_cond_w" localSheetId="23">#REF!</definedName>
    <definedName name="m2_cond_w" localSheetId="6">#REF!</definedName>
    <definedName name="m2_cond_w" localSheetId="10">#REF!</definedName>
    <definedName name="m2_cond_w">#REF!</definedName>
    <definedName name="m2_ct_f" localSheetId="23">#REF!</definedName>
    <definedName name="m2_ct_f" localSheetId="6">#REF!</definedName>
    <definedName name="m2_ct_f" localSheetId="10">#REF!</definedName>
    <definedName name="m2_ct_f">#REF!</definedName>
    <definedName name="m2_ct_v" localSheetId="23">#REF!</definedName>
    <definedName name="m2_ct_v" localSheetId="6">#REF!</definedName>
    <definedName name="m2_ct_v" localSheetId="10">#REF!</definedName>
    <definedName name="m2_ct_v">#REF!</definedName>
    <definedName name="m2_ct_w" localSheetId="23">#REF!</definedName>
    <definedName name="m2_ct_w" localSheetId="6">#REF!</definedName>
    <definedName name="m2_ct_w" localSheetId="10">#REF!</definedName>
    <definedName name="m2_ct_w">#REF!</definedName>
    <definedName name="m2_e_f" localSheetId="23">#REF!</definedName>
    <definedName name="m2_e_f" localSheetId="6">#REF!</definedName>
    <definedName name="m2_e_f" localSheetId="10">#REF!</definedName>
    <definedName name="m2_e_f">#REF!</definedName>
    <definedName name="m2_e_v" localSheetId="23">#REF!</definedName>
    <definedName name="m2_e_v" localSheetId="6">#REF!</definedName>
    <definedName name="m2_e_v" localSheetId="10">#REF!</definedName>
    <definedName name="m2_e_v">#REF!</definedName>
    <definedName name="m2_e_w" localSheetId="23">#REF!</definedName>
    <definedName name="m2_e_w" localSheetId="6">#REF!</definedName>
    <definedName name="m2_e_w" localSheetId="10">#REF!</definedName>
    <definedName name="m2_e_w">#REF!</definedName>
    <definedName name="m2_ec_f" localSheetId="23">#REF!</definedName>
    <definedName name="m2_ec_f" localSheetId="6">#REF!</definedName>
    <definedName name="m2_ec_f" localSheetId="10">#REF!</definedName>
    <definedName name="m2_ec_f">#REF!</definedName>
    <definedName name="m2_ec_v" localSheetId="23">#REF!</definedName>
    <definedName name="m2_ec_v" localSheetId="6">#REF!</definedName>
    <definedName name="m2_ec_v" localSheetId="10">#REF!</definedName>
    <definedName name="m2_ec_v">#REF!</definedName>
    <definedName name="m2_ec_w" localSheetId="23">#REF!</definedName>
    <definedName name="m2_ec_w" localSheetId="6">#REF!</definedName>
    <definedName name="m2_ec_w" localSheetId="10">#REF!</definedName>
    <definedName name="m2_ec_w">#REF!</definedName>
    <definedName name="m2_fuel_f" localSheetId="23">#REF!</definedName>
    <definedName name="m2_fuel_f" localSheetId="6">#REF!</definedName>
    <definedName name="m2_fuel_f" localSheetId="10">#REF!</definedName>
    <definedName name="m2_fuel_f">#REF!</definedName>
    <definedName name="m2_fuel_v" localSheetId="23">#REF!</definedName>
    <definedName name="m2_fuel_v" localSheetId="6">#REF!</definedName>
    <definedName name="m2_fuel_v" localSheetId="10">#REF!</definedName>
    <definedName name="m2_fuel_v">#REF!</definedName>
    <definedName name="m2_fuel_w" localSheetId="23">#REF!</definedName>
    <definedName name="m2_fuel_w" localSheetId="6">#REF!</definedName>
    <definedName name="m2_fuel_w" localSheetId="10">#REF!</definedName>
    <definedName name="m2_fuel_w">#REF!</definedName>
    <definedName name="m2_geno_f" localSheetId="23">#REF!</definedName>
    <definedName name="m2_geno_f" localSheetId="6">#REF!</definedName>
    <definedName name="m2_geno_f" localSheetId="10">#REF!</definedName>
    <definedName name="m2_geno_f">#REF!</definedName>
    <definedName name="m2_geno_v" localSheetId="23">#REF!</definedName>
    <definedName name="m2_geno_v" localSheetId="6">#REF!</definedName>
    <definedName name="m2_geno_v" localSheetId="10">#REF!</definedName>
    <definedName name="m2_geno_v">#REF!</definedName>
    <definedName name="m2_geno_w" localSheetId="23">#REF!</definedName>
    <definedName name="m2_geno_w" localSheetId="6">#REF!</definedName>
    <definedName name="m2_geno_w" localSheetId="10">#REF!</definedName>
    <definedName name="m2_geno_w">#REF!</definedName>
    <definedName name="m2_gt_f" localSheetId="23">#REF!</definedName>
    <definedName name="m2_gt_f" localSheetId="6">#REF!</definedName>
    <definedName name="m2_gt_f" localSheetId="10">#REF!</definedName>
    <definedName name="m2_gt_f">#REF!</definedName>
    <definedName name="m2_gt_v" localSheetId="23">#REF!</definedName>
    <definedName name="m2_gt_v" localSheetId="6">#REF!</definedName>
    <definedName name="m2_gt_v" localSheetId="10">#REF!</definedName>
    <definedName name="m2_gt_v">#REF!</definedName>
    <definedName name="m2_gt_w" localSheetId="23">#REF!</definedName>
    <definedName name="m2_gt_w" localSheetId="6">#REF!</definedName>
    <definedName name="m2_gt_w" localSheetId="10">#REF!</definedName>
    <definedName name="m2_gt_w">#REF!</definedName>
    <definedName name="m2_gtax_f" localSheetId="23">#REF!</definedName>
    <definedName name="m2_gtax_f" localSheetId="6">#REF!</definedName>
    <definedName name="m2_gtax_f" localSheetId="10">#REF!</definedName>
    <definedName name="m2_gtax_f">#REF!</definedName>
    <definedName name="m2_gtax_v" localSheetId="23">#REF!</definedName>
    <definedName name="m2_gtax_v" localSheetId="6">#REF!</definedName>
    <definedName name="m2_gtax_v" localSheetId="10">#REF!</definedName>
    <definedName name="m2_gtax_v">#REF!</definedName>
    <definedName name="m2_gtax_w" localSheetId="23">#REF!</definedName>
    <definedName name="m2_gtax_w" localSheetId="6">#REF!</definedName>
    <definedName name="m2_gtax_w" localSheetId="10">#REF!</definedName>
    <definedName name="m2_gtax_w">#REF!</definedName>
    <definedName name="m2_hrsg_f" localSheetId="23">#REF!</definedName>
    <definedName name="m2_hrsg_f" localSheetId="6">#REF!</definedName>
    <definedName name="m2_hrsg_f" localSheetId="10">#REF!</definedName>
    <definedName name="m2_hrsg_f">#REF!</definedName>
    <definedName name="m2_hrsg_v" localSheetId="23">#REF!</definedName>
    <definedName name="m2_hrsg_v" localSheetId="6">#REF!</definedName>
    <definedName name="m2_hrsg_v" localSheetId="10">#REF!</definedName>
    <definedName name="m2_hrsg_v">#REF!</definedName>
    <definedName name="m2_hrsg_w" localSheetId="23">#REF!</definedName>
    <definedName name="m2_hrsg_w" localSheetId="6">#REF!</definedName>
    <definedName name="m2_hrsg_w" localSheetId="10">#REF!</definedName>
    <definedName name="m2_hrsg_w">#REF!</definedName>
    <definedName name="m2_ic_f" localSheetId="23">#REF!</definedName>
    <definedName name="m2_ic_f" localSheetId="6">#REF!</definedName>
    <definedName name="m2_ic_f" localSheetId="10">#REF!</definedName>
    <definedName name="m2_ic_f">#REF!</definedName>
    <definedName name="m2_ic_v" localSheetId="23">#REF!</definedName>
    <definedName name="m2_ic_v" localSheetId="6">#REF!</definedName>
    <definedName name="m2_ic_v" localSheetId="10">#REF!</definedName>
    <definedName name="m2_ic_v">#REF!</definedName>
    <definedName name="m2_ic_w" localSheetId="23">#REF!</definedName>
    <definedName name="m2_ic_w" localSheetId="6">#REF!</definedName>
    <definedName name="m2_ic_w" localSheetId="10">#REF!</definedName>
    <definedName name="m2_ic_w">#REF!</definedName>
    <definedName name="m2_st_f" localSheetId="23">#REF!</definedName>
    <definedName name="m2_st_f" localSheetId="6">#REF!</definedName>
    <definedName name="m2_st_f" localSheetId="10">#REF!</definedName>
    <definedName name="m2_st_f">#REF!</definedName>
    <definedName name="m2_st_v" localSheetId="23">#REF!</definedName>
    <definedName name="m2_st_v" localSheetId="6">#REF!</definedName>
    <definedName name="m2_st_v" localSheetId="10">#REF!</definedName>
    <definedName name="m2_st_v">#REF!</definedName>
    <definedName name="m2_st_w" localSheetId="23">#REF!</definedName>
    <definedName name="m2_st_w" localSheetId="6">#REF!</definedName>
    <definedName name="m2_st_w" localSheetId="10">#REF!</definedName>
    <definedName name="m2_st_w">#REF!</definedName>
    <definedName name="M2A_KPI" localSheetId="23">#REF!</definedName>
    <definedName name="M2A_KPI" localSheetId="6">#REF!</definedName>
    <definedName name="M2A_KPI" localSheetId="10">#REF!</definedName>
    <definedName name="M2A_KPI">#REF!</definedName>
    <definedName name="M2A_KPI2" localSheetId="23">#REF!</definedName>
    <definedName name="M2A_KPI2" localSheetId="6">#REF!</definedName>
    <definedName name="M2A_KPI2" localSheetId="10">#REF!</definedName>
    <definedName name="M2A_KPI2">#REF!</definedName>
    <definedName name="m8_bop_f" localSheetId="23">#REF!</definedName>
    <definedName name="m8_bop_f" localSheetId="6">#REF!</definedName>
    <definedName name="m8_bop_f" localSheetId="10">#REF!</definedName>
    <definedName name="m8_bop_f">#REF!</definedName>
    <definedName name="m8_bop_v" localSheetId="23">#REF!</definedName>
    <definedName name="m8_bop_v" localSheetId="6">#REF!</definedName>
    <definedName name="m8_bop_v" localSheetId="10">#REF!</definedName>
    <definedName name="m8_bop_v">#REF!</definedName>
    <definedName name="m8_bop_w" localSheetId="23">#REF!</definedName>
    <definedName name="m8_bop_w" localSheetId="6">#REF!</definedName>
    <definedName name="m8_bop_w" localSheetId="10">#REF!</definedName>
    <definedName name="m8_bop_w">#REF!</definedName>
    <definedName name="m8_civ_f" localSheetId="23">#REF!</definedName>
    <definedName name="m8_civ_f" localSheetId="6">#REF!</definedName>
    <definedName name="m8_civ_f" localSheetId="10">#REF!</definedName>
    <definedName name="m8_civ_f">#REF!</definedName>
    <definedName name="m8_civ_v" localSheetId="23">#REF!</definedName>
    <definedName name="m8_civ_v" localSheetId="6">#REF!</definedName>
    <definedName name="m8_civ_v" localSheetId="10">#REF!</definedName>
    <definedName name="m8_civ_v">#REF!</definedName>
    <definedName name="m8_civ_w" localSheetId="23">#REF!</definedName>
    <definedName name="m8_civ_w" localSheetId="6">#REF!</definedName>
    <definedName name="m8_civ_w" localSheetId="10">#REF!</definedName>
    <definedName name="m8_civ_w">#REF!</definedName>
    <definedName name="m8_cond_f" localSheetId="23">#REF!</definedName>
    <definedName name="m8_cond_f" localSheetId="6">#REF!</definedName>
    <definedName name="m8_cond_f" localSheetId="10">#REF!</definedName>
    <definedName name="m8_cond_f">#REF!</definedName>
    <definedName name="m8_cond_v" localSheetId="23">#REF!</definedName>
    <definedName name="m8_cond_v" localSheetId="6">#REF!</definedName>
    <definedName name="m8_cond_v" localSheetId="10">#REF!</definedName>
    <definedName name="m8_cond_v">#REF!</definedName>
    <definedName name="m8_cond_w" localSheetId="23">#REF!</definedName>
    <definedName name="m8_cond_w" localSheetId="6">#REF!</definedName>
    <definedName name="m8_cond_w" localSheetId="10">#REF!</definedName>
    <definedName name="m8_cond_w">#REF!</definedName>
    <definedName name="m8_ct_f" localSheetId="23">#REF!</definedName>
    <definedName name="m8_ct_f" localSheetId="6">#REF!</definedName>
    <definedName name="m8_ct_f" localSheetId="10">#REF!</definedName>
    <definedName name="m8_ct_f">#REF!</definedName>
    <definedName name="m8_ct_v" localSheetId="23">#REF!</definedName>
    <definedName name="m8_ct_v" localSheetId="6">#REF!</definedName>
    <definedName name="m8_ct_v" localSheetId="10">#REF!</definedName>
    <definedName name="m8_ct_v">#REF!</definedName>
    <definedName name="m8_ct_w" localSheetId="23">#REF!</definedName>
    <definedName name="m8_ct_w" localSheetId="6">#REF!</definedName>
    <definedName name="m8_ct_w" localSheetId="10">#REF!</definedName>
    <definedName name="m8_ct_w">#REF!</definedName>
    <definedName name="m8_e_f" localSheetId="23">#REF!</definedName>
    <definedName name="m8_e_f" localSheetId="6">#REF!</definedName>
    <definedName name="m8_e_f" localSheetId="10">#REF!</definedName>
    <definedName name="m8_e_f">#REF!</definedName>
    <definedName name="m8_e_v" localSheetId="23">#REF!</definedName>
    <definedName name="m8_e_v" localSheetId="6">#REF!</definedName>
    <definedName name="m8_e_v" localSheetId="10">#REF!</definedName>
    <definedName name="m8_e_v">#REF!</definedName>
    <definedName name="m8_e_w" localSheetId="23">#REF!</definedName>
    <definedName name="m8_e_w" localSheetId="6">#REF!</definedName>
    <definedName name="m8_e_w" localSheetId="10">#REF!</definedName>
    <definedName name="m8_e_w">#REF!</definedName>
    <definedName name="m8_ec_f" localSheetId="23">#REF!</definedName>
    <definedName name="m8_ec_f" localSheetId="6">#REF!</definedName>
    <definedName name="m8_ec_f" localSheetId="10">#REF!</definedName>
    <definedName name="m8_ec_f">#REF!</definedName>
    <definedName name="m8_ec_v" localSheetId="23">#REF!</definedName>
    <definedName name="m8_ec_v" localSheetId="6">#REF!</definedName>
    <definedName name="m8_ec_v" localSheetId="10">#REF!</definedName>
    <definedName name="m8_ec_v">#REF!</definedName>
    <definedName name="m8_ec_w" localSheetId="23">#REF!</definedName>
    <definedName name="m8_ec_w" localSheetId="6">#REF!</definedName>
    <definedName name="m8_ec_w" localSheetId="10">#REF!</definedName>
    <definedName name="m8_ec_w">#REF!</definedName>
    <definedName name="m8_fuel_f" localSheetId="23">#REF!</definedName>
    <definedName name="m8_fuel_f" localSheetId="6">#REF!</definedName>
    <definedName name="m8_fuel_f" localSheetId="10">#REF!</definedName>
    <definedName name="m8_fuel_f">#REF!</definedName>
    <definedName name="m8_fuel_v" localSheetId="23">#REF!</definedName>
    <definedName name="m8_fuel_v" localSheetId="6">#REF!</definedName>
    <definedName name="m8_fuel_v" localSheetId="10">#REF!</definedName>
    <definedName name="m8_fuel_v">#REF!</definedName>
    <definedName name="m8_fuel_w" localSheetId="23">#REF!</definedName>
    <definedName name="m8_fuel_w" localSheetId="6">#REF!</definedName>
    <definedName name="m8_fuel_w" localSheetId="10">#REF!</definedName>
    <definedName name="m8_fuel_w">#REF!</definedName>
    <definedName name="m8_geno_f" localSheetId="23">#REF!</definedName>
    <definedName name="m8_geno_f" localSheetId="6">#REF!</definedName>
    <definedName name="m8_geno_f" localSheetId="10">#REF!</definedName>
    <definedName name="m8_geno_f">#REF!</definedName>
    <definedName name="m8_geno_v" localSheetId="23">#REF!</definedName>
    <definedName name="m8_geno_v" localSheetId="6">#REF!</definedName>
    <definedName name="m8_geno_v" localSheetId="10">#REF!</definedName>
    <definedName name="m8_geno_v">#REF!</definedName>
    <definedName name="m8_geno_w" localSheetId="23">#REF!</definedName>
    <definedName name="m8_geno_w" localSheetId="6">#REF!</definedName>
    <definedName name="m8_geno_w" localSheetId="10">#REF!</definedName>
    <definedName name="m8_geno_w">#REF!</definedName>
    <definedName name="m8_gt_f" localSheetId="23">#REF!</definedName>
    <definedName name="m8_gt_f" localSheetId="6">#REF!</definedName>
    <definedName name="m8_gt_f" localSheetId="10">#REF!</definedName>
    <definedName name="m8_gt_f">#REF!</definedName>
    <definedName name="m8_gt_v" localSheetId="23">#REF!</definedName>
    <definedName name="m8_gt_v" localSheetId="6">#REF!</definedName>
    <definedName name="m8_gt_v" localSheetId="10">#REF!</definedName>
    <definedName name="m8_gt_v">#REF!</definedName>
    <definedName name="m8_gt_w" localSheetId="23">#REF!</definedName>
    <definedName name="m8_gt_w" localSheetId="6">#REF!</definedName>
    <definedName name="m8_gt_w" localSheetId="10">#REF!</definedName>
    <definedName name="m8_gt_w">#REF!</definedName>
    <definedName name="m8_gtax_f" localSheetId="23">#REF!</definedName>
    <definedName name="m8_gtax_f" localSheetId="6">#REF!</definedName>
    <definedName name="m8_gtax_f" localSheetId="10">#REF!</definedName>
    <definedName name="m8_gtax_f">#REF!</definedName>
    <definedName name="m8_gtax_v" localSheetId="23">#REF!</definedName>
    <definedName name="m8_gtax_v" localSheetId="6">#REF!</definedName>
    <definedName name="m8_gtax_v" localSheetId="10">#REF!</definedName>
    <definedName name="m8_gtax_v">#REF!</definedName>
    <definedName name="m8_gtax_w" localSheetId="23">#REF!</definedName>
    <definedName name="m8_gtax_w" localSheetId="6">#REF!</definedName>
    <definedName name="m8_gtax_w" localSheetId="10">#REF!</definedName>
    <definedName name="m8_gtax_w">#REF!</definedName>
    <definedName name="m8_hrsg_f" localSheetId="23">#REF!</definedName>
    <definedName name="m8_hrsg_f" localSheetId="6">#REF!</definedName>
    <definedName name="m8_hrsg_f" localSheetId="10">#REF!</definedName>
    <definedName name="m8_hrsg_f">#REF!</definedName>
    <definedName name="m8_hrsg_v" localSheetId="23">#REF!</definedName>
    <definedName name="m8_hrsg_v" localSheetId="6">#REF!</definedName>
    <definedName name="m8_hrsg_v" localSheetId="10">#REF!</definedName>
    <definedName name="m8_hrsg_v">#REF!</definedName>
    <definedName name="m8_hrsg_w" localSheetId="23">#REF!</definedName>
    <definedName name="m8_hrsg_w" localSheetId="6">#REF!</definedName>
    <definedName name="m8_hrsg_w" localSheetId="10">#REF!</definedName>
    <definedName name="m8_hrsg_w">#REF!</definedName>
    <definedName name="m8_ic_f" localSheetId="23">#REF!</definedName>
    <definedName name="m8_ic_f" localSheetId="6">#REF!</definedName>
    <definedName name="m8_ic_f" localSheetId="10">#REF!</definedName>
    <definedName name="m8_ic_f">#REF!</definedName>
    <definedName name="m8_ic_v" localSheetId="23">#REF!</definedName>
    <definedName name="m8_ic_v" localSheetId="6">#REF!</definedName>
    <definedName name="m8_ic_v" localSheetId="10">#REF!</definedName>
    <definedName name="m8_ic_v">#REF!</definedName>
    <definedName name="m8_ic_w" localSheetId="23">#REF!</definedName>
    <definedName name="m8_ic_w" localSheetId="6">#REF!</definedName>
    <definedName name="m8_ic_w" localSheetId="10">#REF!</definedName>
    <definedName name="m8_ic_w">#REF!</definedName>
    <definedName name="m8_st_f" localSheetId="23">#REF!</definedName>
    <definedName name="m8_st_f" localSheetId="6">#REF!</definedName>
    <definedName name="m8_st_f" localSheetId="10">#REF!</definedName>
    <definedName name="m8_st_f">#REF!</definedName>
    <definedName name="m8_st_v" localSheetId="23">#REF!</definedName>
    <definedName name="m8_st_v" localSheetId="6">#REF!</definedName>
    <definedName name="m8_st_v" localSheetId="10">#REF!</definedName>
    <definedName name="m8_st_v">#REF!</definedName>
    <definedName name="m8_st_w" localSheetId="23">#REF!</definedName>
    <definedName name="m8_st_w" localSheetId="6">#REF!</definedName>
    <definedName name="m8_st_w" localSheetId="10">#REF!</definedName>
    <definedName name="m8_st_w">#REF!</definedName>
    <definedName name="M9A_BS" localSheetId="23">#REF!</definedName>
    <definedName name="M9A_BS" localSheetId="6">#REF!</definedName>
    <definedName name="M9A_BS" localSheetId="10">#REF!</definedName>
    <definedName name="M9A_BS">#REF!</definedName>
    <definedName name="M9B_BS" localSheetId="23">#REF!</definedName>
    <definedName name="M9B_BS" localSheetId="6">#REF!</definedName>
    <definedName name="M9B_BS" localSheetId="10">#REF!</definedName>
    <definedName name="M9B_BS">#REF!</definedName>
    <definedName name="MA">INDEX('[5] '!$B$1:$B$16,MATCH('[5]  '!$K$319,'[5] '!$A$1:$A$16,0))</definedName>
    <definedName name="MAACONSTN" localSheetId="4">#REF!</definedName>
    <definedName name="MAACONSTN" localSheetId="23">#REF!</definedName>
    <definedName name="MAACONSTN" localSheetId="6">#REF!</definedName>
    <definedName name="MAACONSTN" localSheetId="27">#REF!</definedName>
    <definedName name="MAACONSTN" localSheetId="11">#REF!</definedName>
    <definedName name="MAACONSTN" localSheetId="10">#REF!</definedName>
    <definedName name="MAACONSTN" localSheetId="5">#REF!</definedName>
    <definedName name="MAACONSTN">#REF!</definedName>
    <definedName name="MADHU" localSheetId="23">#REF!</definedName>
    <definedName name="MADHU" localSheetId="6">#REF!</definedName>
    <definedName name="MADHU" localSheetId="10">#REF!</definedName>
    <definedName name="MADHU">#REF!</definedName>
    <definedName name="Maharastra">[10]Sheet2!$A$1:$A$35</definedName>
    <definedName name="majord" localSheetId="23">#REF!</definedName>
    <definedName name="majord" localSheetId="6">#REF!</definedName>
    <definedName name="majord" localSheetId="10">#REF!</definedName>
    <definedName name="majord">#REF!</definedName>
    <definedName name="majororders" localSheetId="23">#REF!</definedName>
    <definedName name="majororders" localSheetId="6">#REF!</definedName>
    <definedName name="majororders" localSheetId="10">#REF!</definedName>
    <definedName name="majororders">#REF!</definedName>
    <definedName name="man" localSheetId="23">#REF!</definedName>
    <definedName name="man" localSheetId="6">#REF!</definedName>
    <definedName name="man" localSheetId="10">#REF!</definedName>
    <definedName name="man">#REF!</definedName>
    <definedName name="man___0" localSheetId="23">#REF!</definedName>
    <definedName name="man___0" localSheetId="6">#REF!</definedName>
    <definedName name="man___0" localSheetId="10">#REF!</definedName>
    <definedName name="man___0">#REF!</definedName>
    <definedName name="man___11" localSheetId="23">#REF!</definedName>
    <definedName name="man___11" localSheetId="6">#REF!</definedName>
    <definedName name="man___11" localSheetId="10">#REF!</definedName>
    <definedName name="man___11">#REF!</definedName>
    <definedName name="man___12" localSheetId="23">#REF!</definedName>
    <definedName name="man___12" localSheetId="6">#REF!</definedName>
    <definedName name="man___12" localSheetId="10">#REF!</definedName>
    <definedName name="man___12">#REF!</definedName>
    <definedName name="MAN_SALE" localSheetId="23">#REF!</definedName>
    <definedName name="MAN_SALE" localSheetId="6">#REF!</definedName>
    <definedName name="MAN_SALE" localSheetId="10">#REF!</definedName>
    <definedName name="MAN_SALE">#REF!</definedName>
    <definedName name="MAN_SALE_FACT" localSheetId="23">#REF!</definedName>
    <definedName name="MAN_SALE_FACT" localSheetId="6">#REF!</definedName>
    <definedName name="MAN_SALE_FACT" localSheetId="10">#REF!</definedName>
    <definedName name="MAN_SALE_FACT">#REF!</definedName>
    <definedName name="Manday_Rate" localSheetId="23">#REF!</definedName>
    <definedName name="Manday_Rate" localSheetId="6">#REF!</definedName>
    <definedName name="Manday_Rate" localSheetId="10">#REF!</definedName>
    <definedName name="Manday_Rate">#REF!</definedName>
    <definedName name="manday1" localSheetId="23">#REF!</definedName>
    <definedName name="manday1" localSheetId="6">#REF!</definedName>
    <definedName name="manday1" localSheetId="10">#REF!</definedName>
    <definedName name="manday1">#REF!</definedName>
    <definedName name="manday1___0" localSheetId="23">#REF!</definedName>
    <definedName name="manday1___0" localSheetId="6">#REF!</definedName>
    <definedName name="manday1___0" localSheetId="10">#REF!</definedName>
    <definedName name="manday1___0">#REF!</definedName>
    <definedName name="manday1___11" localSheetId="23">#REF!</definedName>
    <definedName name="manday1___11" localSheetId="6">#REF!</definedName>
    <definedName name="manday1___11" localSheetId="10">#REF!</definedName>
    <definedName name="manday1___11">#REF!</definedName>
    <definedName name="manday1___12" localSheetId="23">#REF!</definedName>
    <definedName name="manday1___12" localSheetId="6">#REF!</definedName>
    <definedName name="manday1___12" localSheetId="10">#REF!</definedName>
    <definedName name="manday1___12">#REF!</definedName>
    <definedName name="MANHOUR" localSheetId="23">#REF!</definedName>
    <definedName name="MANHOUR" localSheetId="6">#REF!</definedName>
    <definedName name="MANHOUR" localSheetId="10">#REF!</definedName>
    <definedName name="MANHOUR">#REF!</definedName>
    <definedName name="manpower" localSheetId="23">#REF!</definedName>
    <definedName name="manpower" localSheetId="6">#REF!</definedName>
    <definedName name="manpower" localSheetId="10">#REF!</definedName>
    <definedName name="manpower">#REF!</definedName>
    <definedName name="MANU1" localSheetId="23">#REF!</definedName>
    <definedName name="MANU1" localSheetId="6">#REF!</definedName>
    <definedName name="MANU1" localSheetId="10">#REF!</definedName>
    <definedName name="MANU1">#REF!</definedName>
    <definedName name="MANU11" localSheetId="23">#REF!</definedName>
    <definedName name="MANU11" localSheetId="6">#REF!</definedName>
    <definedName name="MANU11" localSheetId="10">#REF!</definedName>
    <definedName name="MANU11">#REF!</definedName>
    <definedName name="MANU111" localSheetId="23">#REF!</definedName>
    <definedName name="MANU111" localSheetId="6">#REF!</definedName>
    <definedName name="MANU111" localSheetId="10">#REF!</definedName>
    <definedName name="MANU111">#REF!</definedName>
    <definedName name="MANU2" localSheetId="23">#REF!</definedName>
    <definedName name="MANU2" localSheetId="6">#REF!</definedName>
    <definedName name="MANU2" localSheetId="10">#REF!</definedName>
    <definedName name="MANU2">#REF!</definedName>
    <definedName name="MANU22" localSheetId="23">#REF!</definedName>
    <definedName name="MANU22" localSheetId="6">#REF!</definedName>
    <definedName name="MANU22" localSheetId="10">#REF!</definedName>
    <definedName name="MANU22">#REF!</definedName>
    <definedName name="MANU222" localSheetId="23">#REF!</definedName>
    <definedName name="MANU222" localSheetId="6">#REF!</definedName>
    <definedName name="MANU222" localSheetId="10">#REF!</definedName>
    <definedName name="MANU222">#REF!</definedName>
    <definedName name="MANU3" localSheetId="23">#REF!</definedName>
    <definedName name="MANU3" localSheetId="6">#REF!</definedName>
    <definedName name="MANU3" localSheetId="10">#REF!</definedName>
    <definedName name="MANU3">#REF!</definedName>
    <definedName name="MANU33" localSheetId="23">#REF!</definedName>
    <definedName name="MANU33" localSheetId="6">#REF!</definedName>
    <definedName name="MANU33" localSheetId="10">#REF!</definedName>
    <definedName name="MANU33">#REF!</definedName>
    <definedName name="MANU333" localSheetId="23">#REF!</definedName>
    <definedName name="MANU333" localSheetId="6">#REF!</definedName>
    <definedName name="MANU333" localSheetId="10">#REF!</definedName>
    <definedName name="MANU333">#REF!</definedName>
    <definedName name="MANU4" localSheetId="23">#REF!</definedName>
    <definedName name="MANU4" localSheetId="6">#REF!</definedName>
    <definedName name="MANU4" localSheetId="10">#REF!</definedName>
    <definedName name="MANU4">#REF!</definedName>
    <definedName name="MANU44" localSheetId="23">#REF!</definedName>
    <definedName name="MANU44" localSheetId="6">#REF!</definedName>
    <definedName name="MANU44" localSheetId="10">#REF!</definedName>
    <definedName name="MANU44">#REF!</definedName>
    <definedName name="MANU444" localSheetId="23">#REF!</definedName>
    <definedName name="MANU444" localSheetId="6">#REF!</definedName>
    <definedName name="MANU444" localSheetId="10">#REF!</definedName>
    <definedName name="MANU444">#REF!</definedName>
    <definedName name="MANU5" localSheetId="23">#REF!</definedName>
    <definedName name="MANU5" localSheetId="6">#REF!</definedName>
    <definedName name="MANU5" localSheetId="10">#REF!</definedName>
    <definedName name="MANU5">#REF!</definedName>
    <definedName name="MANU55" localSheetId="23">#REF!</definedName>
    <definedName name="MANU55" localSheetId="6">#REF!</definedName>
    <definedName name="MANU55" localSheetId="10">#REF!</definedName>
    <definedName name="MANU55">#REF!</definedName>
    <definedName name="MANU555" localSheetId="23">#REF!</definedName>
    <definedName name="MANU555" localSheetId="6">#REF!</definedName>
    <definedName name="MANU555" localSheetId="10">#REF!</definedName>
    <definedName name="MANU555">#REF!</definedName>
    <definedName name="march_qty" localSheetId="23">#REF!</definedName>
    <definedName name="march_qty" localSheetId="6">#REF!</definedName>
    <definedName name="march_qty" localSheetId="10">#REF!</definedName>
    <definedName name="march_qty">#REF!</definedName>
    <definedName name="MARGIN_MAN" localSheetId="23">#REF!</definedName>
    <definedName name="MARGIN_MAN" localSheetId="6">#REF!</definedName>
    <definedName name="MARGIN_MAN" localSheetId="10">#REF!</definedName>
    <definedName name="MARGIN_MAN">#REF!</definedName>
    <definedName name="MARGIN_MAT" localSheetId="23">#REF!</definedName>
    <definedName name="MARGIN_MAT" localSheetId="6">#REF!</definedName>
    <definedName name="MARGIN_MAT" localSheetId="10">#REF!</definedName>
    <definedName name="MARGIN_MAT">#REF!</definedName>
    <definedName name="MARGIN_MISC" localSheetId="23">#REF!</definedName>
    <definedName name="MARGIN_MISC" localSheetId="6">#REF!</definedName>
    <definedName name="MARGIN_MISC" localSheetId="10">#REF!</definedName>
    <definedName name="MARGIN_MISC">#REF!</definedName>
    <definedName name="MARGIN_SC" localSheetId="23">#REF!</definedName>
    <definedName name="MARGIN_SC" localSheetId="6">#REF!</definedName>
    <definedName name="MARGIN_SC" localSheetId="10">#REF!</definedName>
    <definedName name="MARGIN_SC">#REF!</definedName>
    <definedName name="MARGINPLAN" localSheetId="23">#REF!</definedName>
    <definedName name="MARGINPLAN" localSheetId="6">#REF!</definedName>
    <definedName name="MARGINPLAN" localSheetId="10">#REF!</definedName>
    <definedName name="MARGINPLAN">#REF!</definedName>
    <definedName name="MARGINPROJ" localSheetId="23">#REF!</definedName>
    <definedName name="MARGINPROJ" localSheetId="6">#REF!</definedName>
    <definedName name="MARGINPROJ" localSheetId="10">#REF!</definedName>
    <definedName name="MARGINPROJ">#REF!</definedName>
    <definedName name="MASTER" localSheetId="23">#REF!</definedName>
    <definedName name="MASTER" localSheetId="6">#REF!</definedName>
    <definedName name="MASTER" localSheetId="10">#REF!</definedName>
    <definedName name="MASTER">#REF!</definedName>
    <definedName name="Mat_Percentage" localSheetId="23">#REF!</definedName>
    <definedName name="Mat_Percentage" localSheetId="6">#REF!</definedName>
    <definedName name="Mat_Percentage" localSheetId="10">#REF!</definedName>
    <definedName name="Mat_Percentage">#REF!</definedName>
    <definedName name="MAT_SALE" localSheetId="23">#REF!</definedName>
    <definedName name="MAT_SALE" localSheetId="6">#REF!</definedName>
    <definedName name="MAT_SALE" localSheetId="10">#REF!</definedName>
    <definedName name="MAT_SALE">#REF!</definedName>
    <definedName name="MAT_SALE_FAC" localSheetId="23">#REF!</definedName>
    <definedName name="MAT_SALE_FAC" localSheetId="6">#REF!</definedName>
    <definedName name="MAT_SALE_FAC" localSheetId="10">#REF!</definedName>
    <definedName name="MAT_SALE_FAC">#REF!</definedName>
    <definedName name="Mat_Sales" localSheetId="23">#REF!</definedName>
    <definedName name="Mat_Sales" localSheetId="6">#REF!</definedName>
    <definedName name="Mat_Sales" localSheetId="10">#REF!</definedName>
    <definedName name="Mat_Sales">#REF!</definedName>
    <definedName name="Material" localSheetId="23">#REF!</definedName>
    <definedName name="Material" localSheetId="6">#REF!</definedName>
    <definedName name="Material" localSheetId="10">#REF!</definedName>
    <definedName name="Material">#REF!</definedName>
    <definedName name="MATHS" localSheetId="23">#REF!</definedName>
    <definedName name="MATHS" localSheetId="6">#REF!</definedName>
    <definedName name="MATHS" localSheetId="10">#REF!</definedName>
    <definedName name="MATHS">#REF!</definedName>
    <definedName name="MaxLegDownWard" localSheetId="23">#REF!</definedName>
    <definedName name="MaxLegDownWard" localSheetId="6">#REF!</definedName>
    <definedName name="MaxLegDownWard" localSheetId="10">#REF!</definedName>
    <definedName name="MaxLegDownWard">#REF!</definedName>
    <definedName name="MaxLegShear" localSheetId="23">#REF!</definedName>
    <definedName name="MaxLegShear" localSheetId="6">#REF!</definedName>
    <definedName name="MaxLegShear" localSheetId="10">#REF!</definedName>
    <definedName name="MaxLegShear">#REF!</definedName>
    <definedName name="MaxLegUplift" localSheetId="23">#REF!</definedName>
    <definedName name="MaxLegUplift" localSheetId="6">#REF!</definedName>
    <definedName name="MaxLegUplift" localSheetId="10">#REF!</definedName>
    <definedName name="MaxLegUplift">#REF!</definedName>
    <definedName name="MB">INDEX('[5] '!$B$1:$B$16,MATCH('[5]  '!$K$321,'[5] '!$A$1:$A$16,0))</definedName>
    <definedName name="MC">INDEX('[5] '!$B$1:$B$16,MATCH('[5]  '!$K$323,'[5] '!$A$1:$A$16,0))</definedName>
    <definedName name="MC_ABB_Imp" localSheetId="23">#REF!</definedName>
    <definedName name="MC_ABB_Imp" localSheetId="6">#REF!</definedName>
    <definedName name="MC_ABB_Imp" localSheetId="10">#REF!</definedName>
    <definedName name="MC_ABB_Imp">#REF!</definedName>
    <definedName name="MC_ABB_local" localSheetId="23">#REF!</definedName>
    <definedName name="MC_ABB_local" localSheetId="6">#REF!</definedName>
    <definedName name="MC_ABB_local" localSheetId="10">#REF!</definedName>
    <definedName name="MC_ABB_local">#REF!</definedName>
    <definedName name="MC_ABB_peenya" localSheetId="23">#REF!</definedName>
    <definedName name="MC_ABB_peenya" localSheetId="6">#REF!</definedName>
    <definedName name="MC_ABB_peenya" localSheetId="10">#REF!</definedName>
    <definedName name="MC_ABB_peenya">#REF!</definedName>
    <definedName name="MC_AIC_Imp" localSheetId="23">#REF!</definedName>
    <definedName name="MC_AIC_Imp" localSheetId="6">#REF!</definedName>
    <definedName name="MC_AIC_Imp" localSheetId="10">#REF!</definedName>
    <definedName name="MC_AIC_Imp">#REF!</definedName>
    <definedName name="MC_AIC_local" localSheetId="23">#REF!</definedName>
    <definedName name="MC_AIC_local" localSheetId="6">#REF!</definedName>
    <definedName name="MC_AIC_local" localSheetId="10">#REF!</definedName>
    <definedName name="MC_AIC_local">#REF!</definedName>
    <definedName name="MC_DEMHW" localSheetId="23">#REF!</definedName>
    <definedName name="MC_DEMHW" localSheetId="6">#REF!</definedName>
    <definedName name="MC_DEMHW" localSheetId="10">#REF!</definedName>
    <definedName name="MC_DEMHW">#REF!</definedName>
    <definedName name="MC_DEMSW" localSheetId="23">#REF!</definedName>
    <definedName name="MC_DEMSW" localSheetId="6">#REF!</definedName>
    <definedName name="MC_DEMSW" localSheetId="10">#REF!</definedName>
    <definedName name="MC_DEMSW">#REF!</definedName>
    <definedName name="MC_FFRHW" localSheetId="23">#REF!</definedName>
    <definedName name="MC_FFRHW" localSheetId="6">#REF!</definedName>
    <definedName name="MC_FFRHW" localSheetId="10">#REF!</definedName>
    <definedName name="MC_FFRHW">#REF!</definedName>
    <definedName name="MC_FFRSW" localSheetId="23">#REF!</definedName>
    <definedName name="MC_FFRSW" localSheetId="6">#REF!</definedName>
    <definedName name="MC_FFRSW" localSheetId="10">#REF!</definedName>
    <definedName name="MC_FFRSW">#REF!</definedName>
    <definedName name="MC_FIMHW" localSheetId="23">#REF!</definedName>
    <definedName name="MC_FIMHW" localSheetId="6">#REF!</definedName>
    <definedName name="MC_FIMHW" localSheetId="10">#REF!</definedName>
    <definedName name="MC_FIMHW">#REF!</definedName>
    <definedName name="MC_FIMSW" localSheetId="23">#REF!</definedName>
    <definedName name="MC_FIMSW" localSheetId="6">#REF!</definedName>
    <definedName name="MC_FIMSW" localSheetId="10">#REF!</definedName>
    <definedName name="MC_FIMSW">#REF!</definedName>
    <definedName name="MC_NOKHW" localSheetId="23">#REF!</definedName>
    <definedName name="MC_NOKHW" localSheetId="6">#REF!</definedName>
    <definedName name="MC_NOKHW" localSheetId="10">#REF!</definedName>
    <definedName name="MC_NOKHW">#REF!</definedName>
    <definedName name="MC_NOKSW" localSheetId="23">#REF!</definedName>
    <definedName name="MC_NOKSW" localSheetId="6">#REF!</definedName>
    <definedName name="MC_NOKSW" localSheetId="10">#REF!</definedName>
    <definedName name="MC_NOKSW">#REF!</definedName>
    <definedName name="MC_NonABB_Imp" localSheetId="23">#REF!</definedName>
    <definedName name="MC_NonABB_Imp" localSheetId="6">#REF!</definedName>
    <definedName name="MC_NonABB_Imp" localSheetId="10">#REF!</definedName>
    <definedName name="MC_NonABB_Imp">#REF!</definedName>
    <definedName name="MC_NonABB_local" localSheetId="23">#REF!</definedName>
    <definedName name="MC_NonABB_local" localSheetId="6">#REF!</definedName>
    <definedName name="MC_NonABB_local" localSheetId="10">#REF!</definedName>
    <definedName name="MC_NonABB_local">#REF!</definedName>
    <definedName name="MC_SEKHW" localSheetId="23">#REF!</definedName>
    <definedName name="MC_SEKHW" localSheetId="6">#REF!</definedName>
    <definedName name="MC_SEKHW" localSheetId="10">#REF!</definedName>
    <definedName name="MC_SEKHW">#REF!</definedName>
    <definedName name="MC_SEKSW" localSheetId="23">#REF!</definedName>
    <definedName name="MC_SEKSW" localSheetId="6">#REF!</definedName>
    <definedName name="MC_SEKSW" localSheetId="10">#REF!</definedName>
    <definedName name="MC_SEKSW">#REF!</definedName>
    <definedName name="MC_SFRHW" localSheetId="23">#REF!</definedName>
    <definedName name="MC_SFRHW" localSheetId="6">#REF!</definedName>
    <definedName name="MC_SFRHW" localSheetId="10">#REF!</definedName>
    <definedName name="MC_SFRHW">#REF!</definedName>
    <definedName name="MC_SFRSW" localSheetId="23">#REF!</definedName>
    <definedName name="MC_SFRSW" localSheetId="6">#REF!</definedName>
    <definedName name="MC_SFRSW" localSheetId="10">#REF!</definedName>
    <definedName name="MC_SFRSW">#REF!</definedName>
    <definedName name="MC_UKPHW" localSheetId="23">#REF!</definedName>
    <definedName name="MC_UKPHW" localSheetId="6">#REF!</definedName>
    <definedName name="MC_UKPHW" localSheetId="10">#REF!</definedName>
    <definedName name="MC_UKPHW">#REF!</definedName>
    <definedName name="MC_UKPSW" localSheetId="23">#REF!</definedName>
    <definedName name="MC_UKPSW" localSheetId="6">#REF!</definedName>
    <definedName name="MC_UKPSW" localSheetId="10">#REF!</definedName>
    <definedName name="MC_UKPSW">#REF!</definedName>
    <definedName name="MC_USDHW" localSheetId="23">#REF!</definedName>
    <definedName name="MC_USDHW" localSheetId="6">#REF!</definedName>
    <definedName name="MC_USDHW" localSheetId="10">#REF!</definedName>
    <definedName name="MC_USDHW">#REF!</definedName>
    <definedName name="MC_USDSW" localSheetId="23">#REF!</definedName>
    <definedName name="MC_USDSW" localSheetId="6">#REF!</definedName>
    <definedName name="MC_USDSW" localSheetId="10">#REF!</definedName>
    <definedName name="MC_USDSW">#REF!</definedName>
    <definedName name="MC_YENHW" localSheetId="23">#REF!</definedName>
    <definedName name="MC_YENHW" localSheetId="6">#REF!</definedName>
    <definedName name="MC_YENHW" localSheetId="10">#REF!</definedName>
    <definedName name="MC_YENHW">#REF!</definedName>
    <definedName name="MC_YENSW" localSheetId="23">#REF!</definedName>
    <definedName name="MC_YENSW" localSheetId="6">#REF!</definedName>
    <definedName name="MC_YENSW" localSheetId="10">#REF!</definedName>
    <definedName name="MC_YENSW">#REF!</definedName>
    <definedName name="mcabb3501i5f" localSheetId="23">#REF!</definedName>
    <definedName name="mcabb3501i5f" localSheetId="6">#REF!</definedName>
    <definedName name="mcabb3501i5f" localSheetId="10">#REF!</definedName>
    <definedName name="mcabb3501i5f">#REF!</definedName>
    <definedName name="mcabb3502i1bc8f" localSheetId="23">#REF!</definedName>
    <definedName name="mcabb3502i1bc8f" localSheetId="6">#REF!</definedName>
    <definedName name="mcabb3502i1bc8f" localSheetId="10">#REF!</definedName>
    <definedName name="mcabb3502i1bc8f">#REF!</definedName>
    <definedName name="mcabb5002i1bc8f" localSheetId="23">#REF!</definedName>
    <definedName name="mcabb5002i1bc8f" localSheetId="6">#REF!</definedName>
    <definedName name="mcabb5002i1bc8f" localSheetId="10">#REF!</definedName>
    <definedName name="mcabb5002i1bc8f">#REF!</definedName>
    <definedName name="mcmc1i5f" localSheetId="23">#REF!</definedName>
    <definedName name="mcmc1i5f" localSheetId="6">#REF!</definedName>
    <definedName name="mcmc1i5f" localSheetId="10">#REF!</definedName>
    <definedName name="mcmc1i5f">#REF!</definedName>
    <definedName name="mcmc3502i1bc8f" localSheetId="23">#REF!</definedName>
    <definedName name="mcmc3502i1bc8f" localSheetId="6">#REF!</definedName>
    <definedName name="mcmc3502i1bc8f" localSheetId="10">#REF!</definedName>
    <definedName name="mcmc3502i1bc8f">#REF!</definedName>
    <definedName name="mcmc5002i1bc8f" localSheetId="23">#REF!</definedName>
    <definedName name="mcmc5002i1bc8f" localSheetId="6">#REF!</definedName>
    <definedName name="mcmc5002i1bc8f" localSheetId="10">#REF!</definedName>
    <definedName name="mcmc5002i1bc8f">#REF!</definedName>
    <definedName name="mcpc1i4f" localSheetId="23">#REF!</definedName>
    <definedName name="mcpc1i4f" localSheetId="6">#REF!</definedName>
    <definedName name="mcpc1i4f" localSheetId="10">#REF!</definedName>
    <definedName name="mcpc1i4f">#REF!</definedName>
    <definedName name="MD">INDEX('[5] '!$B$1:$B$16,MATCH('[5]  '!$K$325,'[5] '!$A$1:$A$16,0))</definedName>
    <definedName name="mdp" localSheetId="23">#REF!</definedName>
    <definedName name="mdp" localSheetId="6">#REF!</definedName>
    <definedName name="mdp" localSheetId="10">#REF!</definedName>
    <definedName name="mdp">#REF!</definedName>
    <definedName name="MDVT_ABSP" localSheetId="23">#REF!</definedName>
    <definedName name="MDVT_ABSP" localSheetId="6">#REF!</definedName>
    <definedName name="MDVT_ABSP" localSheetId="10">#REF!</definedName>
    <definedName name="MDVT_ABSP">#REF!</definedName>
    <definedName name="ME">INDEX('[5] '!$B$1:$B$16,MATCH('[5]  '!$K$327,'[5] '!$A$1:$A$16,0))</definedName>
    <definedName name="Meat" localSheetId="23">#REF!</definedName>
    <definedName name="Meat" localSheetId="6">#REF!</definedName>
    <definedName name="Meat" localSheetId="10">#REF!</definedName>
    <definedName name="Meat">#REF!</definedName>
    <definedName name="METTL" localSheetId="23">#REF!</definedName>
    <definedName name="METTL" localSheetId="6">#REF!</definedName>
    <definedName name="METTL" localSheetId="10">#REF!</definedName>
    <definedName name="METTL">#REF!</definedName>
    <definedName name="mf" localSheetId="11" hidden="1">{"'PROFITABILITY'!$A$1:$F$45"}</definedName>
    <definedName name="mf" localSheetId="10" hidden="1">{"'PROFITABILITY'!$A$1:$F$45"}</definedName>
    <definedName name="mf" hidden="1">{"'PROFITABILITY'!$A$1:$F$45"}</definedName>
    <definedName name="MF___0" localSheetId="23">#REF!</definedName>
    <definedName name="MF___0" localSheetId="6">#REF!</definedName>
    <definedName name="MF___0" localSheetId="10">#REF!</definedName>
    <definedName name="MF___0">#REF!</definedName>
    <definedName name="MF___13" localSheetId="23">#REF!</definedName>
    <definedName name="MF___13" localSheetId="6">#REF!</definedName>
    <definedName name="MF___13" localSheetId="10">#REF!</definedName>
    <definedName name="MF___13">#REF!</definedName>
    <definedName name="MF_ABB_local" localSheetId="23">#REF!</definedName>
    <definedName name="MF_ABB_local" localSheetId="6">#REF!</definedName>
    <definedName name="MF_ABB_local" localSheetId="10">#REF!</definedName>
    <definedName name="MF_ABB_local">#REF!</definedName>
    <definedName name="MF_ABB_peenya" localSheetId="23">#REF!</definedName>
    <definedName name="MF_ABB_peenya" localSheetId="6">#REF!</definedName>
    <definedName name="MF_ABB_peenya" localSheetId="10">#REF!</definedName>
    <definedName name="MF_ABB_peenya">#REF!</definedName>
    <definedName name="MF_AIC_Imp" localSheetId="23">#REF!</definedName>
    <definedName name="MF_AIC_Imp" localSheetId="6">#REF!</definedName>
    <definedName name="MF_AIC_Imp" localSheetId="10">#REF!</definedName>
    <definedName name="MF_AIC_Imp">#REF!</definedName>
    <definedName name="MF_AIC_local" localSheetId="23">#REF!</definedName>
    <definedName name="MF_AIC_local" localSheetId="6">#REF!</definedName>
    <definedName name="MF_AIC_local" localSheetId="10">#REF!</definedName>
    <definedName name="MF_AIC_local">#REF!</definedName>
    <definedName name="MF_AUTImp_ABB" localSheetId="23">#REF!</definedName>
    <definedName name="MF_AUTImp_ABB" localSheetId="6">#REF!</definedName>
    <definedName name="MF_AUTImp_ABB" localSheetId="10">#REF!</definedName>
    <definedName name="MF_AUTImp_ABB">#REF!</definedName>
    <definedName name="MF_AUTImp_NonABB" localSheetId="23">#REF!</definedName>
    <definedName name="MF_AUTImp_NonABB" localSheetId="6">#REF!</definedName>
    <definedName name="MF_AUTImp_NonABB" localSheetId="10">#REF!</definedName>
    <definedName name="MF_AUTImp_NonABB">#REF!</definedName>
    <definedName name="MF_NonABB_local" localSheetId="23">#REF!</definedName>
    <definedName name="MF_NonABB_local" localSheetId="6">#REF!</definedName>
    <definedName name="MF_NonABB_local" localSheetId="10">#REF!</definedName>
    <definedName name="MF_NonABB_local">#REF!</definedName>
    <definedName name="mff" localSheetId="23">#REF!</definedName>
    <definedName name="mff" localSheetId="6">#REF!</definedName>
    <definedName name="mff" localSheetId="10">#REF!</definedName>
    <definedName name="mff">#REF!</definedName>
    <definedName name="MFit" localSheetId="23">#REF!</definedName>
    <definedName name="MFit" localSheetId="6">#REF!</definedName>
    <definedName name="MFit" localSheetId="10">#REF!</definedName>
    <definedName name="MFit">#REF!</definedName>
    <definedName name="MG">INDEX('[5] '!$B$1:$B$16,MATCH('[5]  '!$K$331,'[5] '!$A$1:$A$16,0))</definedName>
    <definedName name="MH">INDEX('[5] '!$B$1:$B$16,MATCH('[5]  '!$K$333,'[5] '!$A$1:$A$16,0))</definedName>
    <definedName name="MHR" localSheetId="23">#REF!</definedName>
    <definedName name="MHR" localSheetId="6">#REF!</definedName>
    <definedName name="MHR" localSheetId="10">#REF!</definedName>
    <definedName name="MHR">#REF!</definedName>
    <definedName name="MHs_per_MM" localSheetId="23">#REF!</definedName>
    <definedName name="MHs_per_MM" localSheetId="6">#REF!</definedName>
    <definedName name="MHs_per_MM" localSheetId="10">#REF!</definedName>
    <definedName name="MHs_per_MM">#REF!</definedName>
    <definedName name="MI">INDEX('[5] '!$B$1:$B$16,MATCH('[5]  '!$K$335,'[5] '!$A$1:$A$16,0))</definedName>
    <definedName name="MinSM" localSheetId="23">#REF!</definedName>
    <definedName name="MinSM" localSheetId="6">#REF!</definedName>
    <definedName name="MinSM" localSheetId="10">#REF!</definedName>
    <definedName name="MinSM">#REF!</definedName>
    <definedName name="misc" localSheetId="23">#REF!</definedName>
    <definedName name="misc" localSheetId="6">#REF!</definedName>
    <definedName name="misc" localSheetId="10">#REF!</definedName>
    <definedName name="misc">#REF!</definedName>
    <definedName name="Misc_charges" localSheetId="23">#REF!</definedName>
    <definedName name="Misc_charges" localSheetId="6">#REF!</definedName>
    <definedName name="Misc_charges" localSheetId="10">#REF!</definedName>
    <definedName name="Misc_charges">#REF!</definedName>
    <definedName name="Misc_Sales" localSheetId="23">#REF!</definedName>
    <definedName name="Misc_Sales" localSheetId="6">#REF!</definedName>
    <definedName name="Misc_Sales" localSheetId="10">#REF!</definedName>
    <definedName name="Misc_Sales">#REF!</definedName>
    <definedName name="MJ">INDEX('[5] '!$B$1:$B$16,MATCH('[5]  '!$K$337,'[5] '!$A$1:$A$16,0))</definedName>
    <definedName name="MK">INDEX('[5] '!$B$1:$B$16,MATCH('[5]  '!$K$339,'[5] '!$A$1:$A$16,0))</definedName>
    <definedName name="MKP" localSheetId="23">#REF!</definedName>
    <definedName name="MKP" localSheetId="6">#REF!</definedName>
    <definedName name="MKP" localSheetId="10">#REF!</definedName>
    <definedName name="MKP">#REF!</definedName>
    <definedName name="ML">INDEX('[5] '!$B$1:$B$16,MATCH('[5]  '!$K$341,'[5] '!$A$1:$A$16,0))</definedName>
    <definedName name="MM">INDEX('[5] '!$B$1:$B$16,MATCH('[5]  '!$K$343,'[5] '!$A$1:$A$16,0))</definedName>
    <definedName name="mmm" localSheetId="23">#REF!</definedName>
    <definedName name="mmm" localSheetId="6">#REF!</definedName>
    <definedName name="mmm" localSheetId="10">#REF!</definedName>
    <definedName name="mmm">#REF!</definedName>
    <definedName name="MN" localSheetId="23">#REF!</definedName>
    <definedName name="MN" localSheetId="6">#REF!</definedName>
    <definedName name="MN" localSheetId="10">#REF!</definedName>
    <definedName name="MN">#REF!</definedName>
    <definedName name="mo" localSheetId="23">#REF!</definedName>
    <definedName name="mo" localSheetId="6">#REF!</definedName>
    <definedName name="mo" localSheetId="10">#REF!</definedName>
    <definedName name="mo">#REF!</definedName>
    <definedName name="ModelNo" localSheetId="23">#REF!</definedName>
    <definedName name="ModelNo" localSheetId="6">#REF!</definedName>
    <definedName name="ModelNo" localSheetId="10">#REF!</definedName>
    <definedName name="ModelNo">#REF!</definedName>
    <definedName name="modvat" localSheetId="23">#REF!</definedName>
    <definedName name="modvat" localSheetId="6">#REF!</definedName>
    <definedName name="modvat" localSheetId="10">#REF!</definedName>
    <definedName name="modvat">#REF!</definedName>
    <definedName name="Montagesatz" localSheetId="23">#REF!</definedName>
    <definedName name="Montagesatz" localSheetId="6">#REF!</definedName>
    <definedName name="Montagesatz" localSheetId="10">#REF!</definedName>
    <definedName name="Montagesatz">#REF!</definedName>
    <definedName name="Month" localSheetId="23">#REF!</definedName>
    <definedName name="Month" localSheetId="6">#REF!</definedName>
    <definedName name="Month" localSheetId="10">#REF!</definedName>
    <definedName name="Month">#REF!</definedName>
    <definedName name="Monthly" localSheetId="23">#REF!</definedName>
    <definedName name="Monthly" localSheetId="6">#REF!</definedName>
    <definedName name="Monthly" localSheetId="10">#REF!</definedName>
    <definedName name="Monthly">#REF!</definedName>
    <definedName name="months" localSheetId="23">#REF!</definedName>
    <definedName name="months" localSheetId="6">#REF!</definedName>
    <definedName name="months" localSheetId="10">#REF!</definedName>
    <definedName name="months">#REF!</definedName>
    <definedName name="MoreFruit" localSheetId="23">#REF!</definedName>
    <definedName name="MoreFruit" localSheetId="6">#REF!</definedName>
    <definedName name="MoreFruit" localSheetId="10">#REF!</definedName>
    <definedName name="MoreFruit">#REF!</definedName>
    <definedName name="MoreItem" localSheetId="23">#REF!</definedName>
    <definedName name="MoreItem" localSheetId="6">#REF!</definedName>
    <definedName name="MoreItem" localSheetId="10">#REF!</definedName>
    <definedName name="MoreItem">#REF!</definedName>
    <definedName name="MoreItems" localSheetId="23">#REF!</definedName>
    <definedName name="MoreItems" localSheetId="6">#REF!</definedName>
    <definedName name="MoreItems" localSheetId="10">#REF!</definedName>
    <definedName name="MoreItems">#REF!</definedName>
    <definedName name="MPMOB" localSheetId="23">#REF!</definedName>
    <definedName name="MPMOB" localSheetId="6">#REF!</definedName>
    <definedName name="MPMOB" localSheetId="10">#REF!</definedName>
    <definedName name="MPMOB">#REF!</definedName>
    <definedName name="MPwr_Percent" localSheetId="23">#REF!</definedName>
    <definedName name="MPwr_Percent" localSheetId="6">#REF!</definedName>
    <definedName name="MPwr_Percent" localSheetId="10">#REF!</definedName>
    <definedName name="MPwr_Percent">#REF!</definedName>
    <definedName name="Mpwr_Sales" localSheetId="23">#REF!</definedName>
    <definedName name="Mpwr_Sales" localSheetId="6">#REF!</definedName>
    <definedName name="Mpwr_Sales" localSheetId="10">#REF!</definedName>
    <definedName name="Mpwr_Sales">#REF!</definedName>
    <definedName name="MS.NO" localSheetId="23">#REF!</definedName>
    <definedName name="MS.NO" localSheetId="6">#REF!</definedName>
    <definedName name="MS.NO" localSheetId="10">#REF!</definedName>
    <definedName name="MS.NO">#REF!</definedName>
    <definedName name="MS_Royalty" localSheetId="23">#REF!</definedName>
    <definedName name="MS_Royalty" localSheetId="6">#REF!</definedName>
    <definedName name="MS_Royalty" localSheetId="10">#REF!</definedName>
    <definedName name="MS_Royalty">#REF!</definedName>
    <definedName name="MS200202rev2" localSheetId="23">#REF!</definedName>
    <definedName name="MS200202rev2" localSheetId="6">#REF!</definedName>
    <definedName name="MS200202rev2" localSheetId="10">#REF!</definedName>
    <definedName name="MS200202rev2">#REF!</definedName>
    <definedName name="ms2002may1706" localSheetId="23">#REF!</definedName>
    <definedName name="ms2002may1706" localSheetId="6">#REF!</definedName>
    <definedName name="ms2002may1706" localSheetId="10">#REF!</definedName>
    <definedName name="ms2002may1706">#REF!</definedName>
    <definedName name="msjune1807" localSheetId="23">#REF!</definedName>
    <definedName name="msjune1807" localSheetId="6">#REF!</definedName>
    <definedName name="msjune1807" localSheetId="10">#REF!</definedName>
    <definedName name="msjune1807">#REF!</definedName>
    <definedName name="MSL" localSheetId="23">#REF!</definedName>
    <definedName name="MSL" localSheetId="6">#REF!</definedName>
    <definedName name="MSL" localSheetId="10">#REF!</definedName>
    <definedName name="MSL">#REF!</definedName>
    <definedName name="MTR" localSheetId="23">#REF!</definedName>
    <definedName name="MTR" localSheetId="6">#REF!</definedName>
    <definedName name="MTR" localSheetId="10">#REF!</definedName>
    <definedName name="MTR">#REF!</definedName>
    <definedName name="mu" localSheetId="23">#REF!</definedName>
    <definedName name="mu" localSheetId="6">#REF!</definedName>
    <definedName name="mu" localSheetId="10">#REF!</definedName>
    <definedName name="mu">#REF!</definedName>
    <definedName name="mue" localSheetId="23">#REF!</definedName>
    <definedName name="mue" localSheetId="6">#REF!</definedName>
    <definedName name="mue" localSheetId="10">#REF!</definedName>
    <definedName name="mue">#REF!</definedName>
    <definedName name="mugab" localSheetId="23">#REF!</definedName>
    <definedName name="mugab" localSheetId="6">#REF!</definedName>
    <definedName name="mugab" localSheetId="10">#REF!</definedName>
    <definedName name="mugab">#REF!</definedName>
    <definedName name="MVP_Total" localSheetId="23">#REF!</definedName>
    <definedName name="MVP_Total" localSheetId="6">#REF!</definedName>
    <definedName name="MVP_Total" localSheetId="10">#REF!</definedName>
    <definedName name="MVP_Total">#REF!</definedName>
    <definedName name="N___0" localSheetId="23">#REF!</definedName>
    <definedName name="N___0" localSheetId="6">#REF!</definedName>
    <definedName name="N___0" localSheetId="10">#REF!</definedName>
    <definedName name="N___0">#REF!</definedName>
    <definedName name="N___13" localSheetId="23">#REF!</definedName>
    <definedName name="N___13" localSheetId="6">#REF!</definedName>
    <definedName name="N___13" localSheetId="10">#REF!</definedName>
    <definedName name="N___13">#REF!</definedName>
    <definedName name="n1x" localSheetId="23">#REF!</definedName>
    <definedName name="n1x" localSheetId="6">#REF!</definedName>
    <definedName name="n1x" localSheetId="10">#REF!</definedName>
    <definedName name="n1x">#REF!</definedName>
    <definedName name="n1y" localSheetId="23">#REF!</definedName>
    <definedName name="n1y" localSheetId="6">#REF!</definedName>
    <definedName name="n1y" localSheetId="10">#REF!</definedName>
    <definedName name="n1y">#REF!</definedName>
    <definedName name="n2x" localSheetId="23">#REF!</definedName>
    <definedName name="n2x" localSheetId="6">#REF!</definedName>
    <definedName name="n2x" localSheetId="10">#REF!</definedName>
    <definedName name="n2x">#REF!</definedName>
    <definedName name="n2y" localSheetId="23">#REF!</definedName>
    <definedName name="n2y" localSheetId="6">#REF!</definedName>
    <definedName name="n2y" localSheetId="10">#REF!</definedName>
    <definedName name="n2y">#REF!</definedName>
    <definedName name="NA">INDEX('[5] '!$B$1:$B$16,MATCH('[5]  '!$K$345,'[5] '!$A$1:$A$16,0))</definedName>
    <definedName name="NAAC" localSheetId="23">#REF!</definedName>
    <definedName name="NAAC" localSheetId="6">#REF!</definedName>
    <definedName name="NAAC" localSheetId="10">#REF!</definedName>
    <definedName name="NAAC">#REF!</definedName>
    <definedName name="NAAR" localSheetId="23">#REF!</definedName>
    <definedName name="NAAR" localSheetId="6">#REF!</definedName>
    <definedName name="NAAR" localSheetId="10">#REF!</definedName>
    <definedName name="NAAR">#REF!</definedName>
    <definedName name="name" localSheetId="23">#REF!</definedName>
    <definedName name="name" localSheetId="6">#REF!</definedName>
    <definedName name="name" localSheetId="10">#REF!</definedName>
    <definedName name="name">#REF!</definedName>
    <definedName name="nameofbags" localSheetId="23">#REF!</definedName>
    <definedName name="nameofbags" localSheetId="6">#REF!</definedName>
    <definedName name="nameofbags" localSheetId="10">#REF!</definedName>
    <definedName name="nameofbags">#REF!</definedName>
    <definedName name="Nature" localSheetId="23">#REF!</definedName>
    <definedName name="Nature" localSheetId="6">#REF!</definedName>
    <definedName name="Nature" localSheetId="10">#REF!</definedName>
    <definedName name="Nature">#REF!</definedName>
    <definedName name="NB">INDEX('[5] '!$B$1:$B$16,MATCH('[5]  '!$K$347,'[5] '!$A$1:$A$16,0))</definedName>
    <definedName name="NC">INDEX('[5] '!$B$1:$B$16,MATCH('[5]  '!$K$349,'[5] '!$A$1:$A$16,0))</definedName>
    <definedName name="ND">INDEX('[5] '!$B$1:$B$16,MATCH('[5]  '!$K$351,'[5] '!$A$1:$A$16,0))</definedName>
    <definedName name="ND1VisualChart" localSheetId="4">#REF!</definedName>
    <definedName name="ND1VisualChart" localSheetId="23">#REF!</definedName>
    <definedName name="ND1VisualChart" localSheetId="6">#REF!</definedName>
    <definedName name="ND1VisualChart" localSheetId="27">#REF!</definedName>
    <definedName name="ND1VisualChart" localSheetId="11">#REF!</definedName>
    <definedName name="ND1VisualChart" localSheetId="10">#REF!</definedName>
    <definedName name="ND1VisualChart" localSheetId="5">#REF!</definedName>
    <definedName name="ND1VisualChart">#REF!</definedName>
    <definedName name="NE">INDEX('[5] '!$B$1:$B$16,MATCH('[5]  '!$K$353,'[5] '!$A$1:$A$16,0))</definedName>
    <definedName name="needle" localSheetId="23">#REF!</definedName>
    <definedName name="needle" localSheetId="6">#REF!</definedName>
    <definedName name="needle" localSheetId="10">#REF!</definedName>
    <definedName name="needle">#REF!</definedName>
    <definedName name="Neg_Margin" localSheetId="23">#REF!</definedName>
    <definedName name="Neg_Margin" localSheetId="6">#REF!</definedName>
    <definedName name="Neg_Margin" localSheetId="10">#REF!</definedName>
    <definedName name="Neg_Margin">#REF!</definedName>
    <definedName name="NEng" localSheetId="23">#REF!</definedName>
    <definedName name="NEng" localSheetId="6">#REF!</definedName>
    <definedName name="NEng" localSheetId="10">#REF!</definedName>
    <definedName name="NEng">#REF!</definedName>
    <definedName name="NET" localSheetId="23">#REF!</definedName>
    <definedName name="NET" localSheetId="6">#REF!</definedName>
    <definedName name="NET" localSheetId="10">#REF!</definedName>
    <definedName name="NET">#REF!</definedName>
    <definedName name="New" localSheetId="23">#REF!</definedName>
    <definedName name="New" localSheetId="6">#REF!</definedName>
    <definedName name="New" localSheetId="10">#REF!</definedName>
    <definedName name="New">#REF!</definedName>
    <definedName name="NF">INDEX('[5] '!$B$1:$B$16,MATCH('[5]  '!$K$355,'[5] '!$A$1:$A$16,0))</definedName>
    <definedName name="NG">INDEX('[5] '!$B$1:$B$16,MATCH('[5]  '!$K$357,'[5] '!$A$1:$A$16,0))</definedName>
    <definedName name="ngl4tank" localSheetId="23">#REF!</definedName>
    <definedName name="ngl4tank" localSheetId="6">#REF!</definedName>
    <definedName name="ngl4tank" localSheetId="10">#REF!</definedName>
    <definedName name="ngl4tank">#REF!</definedName>
    <definedName name="NH">INDEX('[5] '!$B$1:$B$16,MATCH('[5]  '!$K$359,'[5] '!$A$1:$A$16,0))</definedName>
    <definedName name="NHGG" localSheetId="23">#REF!</definedName>
    <definedName name="NHGG" localSheetId="6">#REF!</definedName>
    <definedName name="NHGG" localSheetId="10">#REF!</definedName>
    <definedName name="NHGG">#REF!</definedName>
    <definedName name="NHP" localSheetId="23">#REF!</definedName>
    <definedName name="NHP" localSheetId="6">#REF!</definedName>
    <definedName name="NHP" localSheetId="10">#REF!</definedName>
    <definedName name="NHP">#REF!</definedName>
    <definedName name="NI">INDEX('[5] '!$B$1:$B$16,MATCH('[5]  '!$K$361,'[5] '!$A$1:$A$16,0))</definedName>
    <definedName name="nikhil" localSheetId="23">#REF!</definedName>
    <definedName name="nikhil" localSheetId="6">#REF!</definedName>
    <definedName name="nikhil" localSheetId="10">#REF!</definedName>
    <definedName name="nikhil">#REF!</definedName>
    <definedName name="NIL" localSheetId="23">#REF!</definedName>
    <definedName name="NIL" localSheetId="6">#REF!</definedName>
    <definedName name="NIL" localSheetId="10">#REF!</definedName>
    <definedName name="NIL">#REF!</definedName>
    <definedName name="NIPP" localSheetId="23">#REF!</definedName>
    <definedName name="NIPP" localSheetId="6">#REF!</definedName>
    <definedName name="NIPP" localSheetId="10">#REF!</definedName>
    <definedName name="NIPP">#REF!</definedName>
    <definedName name="nitin" localSheetId="23">#REF!</definedName>
    <definedName name="nitin" localSheetId="6">#REF!</definedName>
    <definedName name="nitin" localSheetId="10">#REF!</definedName>
    <definedName name="nitin">#REF!</definedName>
    <definedName name="NJ">INDEX('[5] '!$B$1:$B$16,MATCH('[5]  '!$K$363,'[5] '!$A$1:$A$16,0))</definedName>
    <definedName name="NJPE" localSheetId="23">#REF!</definedName>
    <definedName name="NJPE" localSheetId="6">#REF!</definedName>
    <definedName name="NJPE" localSheetId="10">#REF!</definedName>
    <definedName name="NJPE">#REF!</definedName>
    <definedName name="njspsche" localSheetId="23">#REF!</definedName>
    <definedName name="njspsche" localSheetId="6">#REF!</definedName>
    <definedName name="njspsche" localSheetId="10">#REF!</definedName>
    <definedName name="njspsche">#REF!</definedName>
    <definedName name="NK">INDEX('[5] '!$B$1:$B$16,MATCH('[5]  '!$K$365,'[5] '!$A$1:$A$16,0))</definedName>
    <definedName name="NL">INDEX('[5] '!$B$1:$B$16,MATCH('[5]  '!$K$367,'[5] '!$A$1:$A$16,0))</definedName>
    <definedName name="nlg_cd" localSheetId="23">#REF!</definedName>
    <definedName name="nlg_cd" localSheetId="6">#REF!</definedName>
    <definedName name="nlg_cd" localSheetId="10">#REF!</definedName>
    <definedName name="nlg_cd">#REF!</definedName>
    <definedName name="nlg_er" localSheetId="23">#REF!</definedName>
    <definedName name="nlg_er" localSheetId="6">#REF!</definedName>
    <definedName name="nlg_er" localSheetId="10">#REF!</definedName>
    <definedName name="nlg_er">#REF!</definedName>
    <definedName name="nlg_fi" localSheetId="23">#REF!</definedName>
    <definedName name="nlg_fi" localSheetId="6">#REF!</definedName>
    <definedName name="nlg_fi" localSheetId="10">#REF!</definedName>
    <definedName name="nlg_fi">#REF!</definedName>
    <definedName name="NM">INDEX('[5] '!$B$1:$B$16,MATCH('[5]  '!$K$369,'[5] '!$A$1:$A$16,0))</definedName>
    <definedName name="NN" localSheetId="23">#REF!</definedName>
    <definedName name="NN" localSheetId="6">#REF!</definedName>
    <definedName name="NN" localSheetId="10">#REF!</definedName>
    <definedName name="NN">#REF!</definedName>
    <definedName name="NN___0" localSheetId="23">#REF!</definedName>
    <definedName name="NN___0" localSheetId="6">#REF!</definedName>
    <definedName name="NN___0" localSheetId="10">#REF!</definedName>
    <definedName name="NN___0">#REF!</definedName>
    <definedName name="NN___13" localSheetId="23">#REF!</definedName>
    <definedName name="NN___13" localSheetId="6">#REF!</definedName>
    <definedName name="NN___13" localSheetId="10">#REF!</definedName>
    <definedName name="NN___13">#REF!</definedName>
    <definedName name="NNN" localSheetId="23">#REF!</definedName>
    <definedName name="NNN" localSheetId="6">#REF!</definedName>
    <definedName name="NNN" localSheetId="10">#REF!</definedName>
    <definedName name="NNN">#REF!</definedName>
    <definedName name="no_name" localSheetId="23">#REF!</definedName>
    <definedName name="no_name" localSheetId="6">#REF!</definedName>
    <definedName name="no_name" localSheetId="10">#REF!</definedName>
    <definedName name="no_name">#REF!</definedName>
    <definedName name="NoABolts" localSheetId="23">#REF!</definedName>
    <definedName name="NoABolts" localSheetId="6">#REF!</definedName>
    <definedName name="NoABolts" localSheetId="10">#REF!</definedName>
    <definedName name="NoABolts">#REF!</definedName>
    <definedName name="NOK" localSheetId="23">#REF!</definedName>
    <definedName name="NOK" localSheetId="6">#REF!</definedName>
    <definedName name="NOK" localSheetId="10">#REF!</definedName>
    <definedName name="NOK">#REF!</definedName>
    <definedName name="Nos" localSheetId="23">#REF!</definedName>
    <definedName name="Nos" localSheetId="6">#REF!</definedName>
    <definedName name="Nos" localSheetId="10">#REF!</definedName>
    <definedName name="Nos">#REF!</definedName>
    <definedName name="NOZZLE_PRESS" localSheetId="23">#REF!</definedName>
    <definedName name="NOZZLE_PRESS" localSheetId="6">#REF!</definedName>
    <definedName name="NOZZLE_PRESS" localSheetId="10">#REF!</definedName>
    <definedName name="NOZZLE_PRESS">#REF!</definedName>
    <definedName name="NPS" localSheetId="23">#REF!</definedName>
    <definedName name="NPS" localSheetId="6">#REF!</definedName>
    <definedName name="NPS" localSheetId="10">#REF!</definedName>
    <definedName name="NPS">#REF!</definedName>
    <definedName name="nuclisopgw" localSheetId="23">#REF!</definedName>
    <definedName name="nuclisopgw" localSheetId="6">#REF!</definedName>
    <definedName name="nuclisopgw" localSheetId="10">#REF!</definedName>
    <definedName name="nuclisopgw">#REF!</definedName>
    <definedName name="num" localSheetId="23">#REF!</definedName>
    <definedName name="num" localSheetId="6">#REF!</definedName>
    <definedName name="num" localSheetId="10">#REF!</definedName>
    <definedName name="num">#REF!</definedName>
    <definedName name="num2text">[6]dBase!$A$3:$I$1005</definedName>
    <definedName name="Number" localSheetId="23">#REF!</definedName>
    <definedName name="Number" localSheetId="6">#REF!</definedName>
    <definedName name="Number" localSheetId="10">#REF!</definedName>
    <definedName name="Number">#REF!</definedName>
    <definedName name="numfib" localSheetId="23">#REF!</definedName>
    <definedName name="numfib" localSheetId="6">#REF!</definedName>
    <definedName name="numfib" localSheetId="10">#REF!</definedName>
    <definedName name="numfib">#REF!</definedName>
    <definedName name="NW" localSheetId="23">#REF!</definedName>
    <definedName name="NW" localSheetId="6">#REF!</definedName>
    <definedName name="NW" localSheetId="10">#REF!</definedName>
    <definedName name="NW">#REF!</definedName>
    <definedName name="Nx" localSheetId="23">#REF!</definedName>
    <definedName name="Nx" localSheetId="6">#REF!</definedName>
    <definedName name="Nx" localSheetId="10">#REF!</definedName>
    <definedName name="Nx">#REF!</definedName>
    <definedName name="Nx___0" localSheetId="23">#REF!</definedName>
    <definedName name="Nx___0" localSheetId="6">#REF!</definedName>
    <definedName name="Nx___0" localSheetId="10">#REF!</definedName>
    <definedName name="Nx___0">#REF!</definedName>
    <definedName name="Nx___13" localSheetId="23">#REF!</definedName>
    <definedName name="Nx___13" localSheetId="6">#REF!</definedName>
    <definedName name="Nx___13" localSheetId="10">#REF!</definedName>
    <definedName name="Nx___13">#REF!</definedName>
    <definedName name="nxs" localSheetId="23">#REF!</definedName>
    <definedName name="nxs" localSheetId="6">#REF!</definedName>
    <definedName name="nxs" localSheetId="10">#REF!</definedName>
    <definedName name="nxs">#REF!</definedName>
    <definedName name="Ny" localSheetId="23">#REF!</definedName>
    <definedName name="Ny" localSheetId="6">#REF!</definedName>
    <definedName name="Ny" localSheetId="10">#REF!</definedName>
    <definedName name="Ny">#REF!</definedName>
    <definedName name="Ny___0" localSheetId="23">#REF!</definedName>
    <definedName name="Ny___0" localSheetId="6">#REF!</definedName>
    <definedName name="Ny___0" localSheetId="10">#REF!</definedName>
    <definedName name="Ny___0">#REF!</definedName>
    <definedName name="Ny___13" localSheetId="23">#REF!</definedName>
    <definedName name="Ny___13" localSheetId="6">#REF!</definedName>
    <definedName name="Ny___13" localSheetId="10">#REF!</definedName>
    <definedName name="Ny___13">#REF!</definedName>
    <definedName name="nys" localSheetId="23">#REF!</definedName>
    <definedName name="nys" localSheetId="6">#REF!</definedName>
    <definedName name="nys" localSheetId="10">#REF!</definedName>
    <definedName name="nys">#REF!</definedName>
    <definedName name="o" localSheetId="23">#REF!</definedName>
    <definedName name="o" localSheetId="6">#REF!</definedName>
    <definedName name="o" localSheetId="10">#REF!</definedName>
    <definedName name="o">#REF!</definedName>
    <definedName name="O." localSheetId="23">#REF!</definedName>
    <definedName name="O." localSheetId="6">#REF!</definedName>
    <definedName name="O." localSheetId="10">#REF!</definedName>
    <definedName name="O.">#REF!</definedName>
    <definedName name="OA">INDEX('[5] '!$B$1:$B$16,MATCH('[5]  '!$K$371,'[5] '!$A$1:$A$16,0))</definedName>
    <definedName name="OB">INDEX('[5] '!$B$1:$B$16,MATCH('[5]  '!$K$373,'[5] '!$A$1:$A$16,0))</definedName>
    <definedName name="OBJ" localSheetId="23">#REF!</definedName>
    <definedName name="OBJ" localSheetId="6">#REF!</definedName>
    <definedName name="OBJ" localSheetId="10">#REF!</definedName>
    <definedName name="OBJ">#REF!</definedName>
    <definedName name="OC">INDEX('[5] '!$B$1:$B$16,MATCH('[5]  '!$K$375,'[5] '!$A$1:$A$16,0))</definedName>
    <definedName name="OCTROI" localSheetId="23">#REF!</definedName>
    <definedName name="OCTROI" localSheetId="6">#REF!</definedName>
    <definedName name="OCTROI" localSheetId="10">#REF!</definedName>
    <definedName name="OCTROI">#REF!</definedName>
    <definedName name="OCTROI_HW" localSheetId="23">#REF!</definedName>
    <definedName name="OCTROI_HW" localSheetId="6">#REF!</definedName>
    <definedName name="OCTROI_HW" localSheetId="10">#REF!</definedName>
    <definedName name="OCTROI_HW">#REF!</definedName>
    <definedName name="OCTROI_SW" localSheetId="23">#REF!</definedName>
    <definedName name="OCTROI_SW" localSheetId="6">#REF!</definedName>
    <definedName name="OCTROI_SW" localSheetId="10">#REF!</definedName>
    <definedName name="OCTROI_SW">#REF!</definedName>
    <definedName name="OD">INDEX('[5] '!$B$1:$B$16,MATCH('[5]  '!$K$377,'[5] '!$A$1:$A$16,0))</definedName>
    <definedName name="ODH" localSheetId="23">#REF!</definedName>
    <definedName name="ODH" localSheetId="6">#REF!</definedName>
    <definedName name="ODH" localSheetId="10">#REF!</definedName>
    <definedName name="ODH">#REF!</definedName>
    <definedName name="OE">INDEX('[5] '!$B$1:$B$16,MATCH('[5]  '!$K$379,'[5] '!$A$1:$A$16,0))</definedName>
    <definedName name="OF">INDEX('[5] '!$B$1:$B$16,MATCH('[5]  '!$K$381,'[5] '!$A$1:$A$16,0))</definedName>
    <definedName name="OFFICE_LIGHTING" localSheetId="23">#REF!</definedName>
    <definedName name="OFFICE_LIGHTING" localSheetId="6">#REF!</definedName>
    <definedName name="OFFICE_LIGHTING" localSheetId="10">#REF!</definedName>
    <definedName name="OFFICE_LIGHTING">#REF!</definedName>
    <definedName name="OG">INDEX('[5] '!$B$1:$B$16,MATCH('[5]  '!$K$383,'[5] '!$A$1:$A$16,0))</definedName>
    <definedName name="OH">INDEX('[5] '!$B$1:$B$16,MATCH('[5]  '!$K$385,'[5] '!$A$1:$A$16,0))</definedName>
    <definedName name="oh_work_sept" localSheetId="23">#REF!</definedName>
    <definedName name="oh_work_sept" localSheetId="6">#REF!</definedName>
    <definedName name="oh_work_sept" localSheetId="10">#REF!</definedName>
    <definedName name="oh_work_sept">#REF!</definedName>
    <definedName name="OH_workings_sept" localSheetId="23">#REF!</definedName>
    <definedName name="OH_workings_sept" localSheetId="6">#REF!</definedName>
    <definedName name="OH_workings_sept" localSheetId="10">#REF!</definedName>
    <definedName name="OH_workings_sept">#REF!</definedName>
    <definedName name="ohe" localSheetId="23">#REF!</definedName>
    <definedName name="ohe" localSheetId="6">#REF!</definedName>
    <definedName name="ohe" localSheetId="10">#REF!</definedName>
    <definedName name="ohe">#REF!</definedName>
    <definedName name="OI">INDEX('[5] '!$B$1:$B$16,MATCH('[5]  '!$K$387,'[5] '!$A$1:$A$16,0))</definedName>
    <definedName name="OJ">INDEX('[5] '!$B$1:$B$16,MATCH('[5]  '!$K$389,'[5] '!$A$1:$A$16,0))</definedName>
    <definedName name="ok" localSheetId="4">#REF!</definedName>
    <definedName name="ok" localSheetId="27">#REF!</definedName>
    <definedName name="ok" localSheetId="5">#REF!</definedName>
    <definedName name="OK">INDEX('[5] '!$B$1:$B$16,MATCH('[5]  '!$K$391,'[5] '!$A$1:$A$16,0))</definedName>
    <definedName name="OL">INDEX('[5] '!$B$1:$B$16,MATCH('[5]  '!$K$393,'[5] '!$A$1:$A$16,0))</definedName>
    <definedName name="OM">INDEX('[5] '!$B$1:$B$16,MATCH('[5]  '!$K$395,'[5] '!$A$1:$A$16,0))</definedName>
    <definedName name="OO" localSheetId="23">#REF!</definedName>
    <definedName name="OO" localSheetId="6">#REF!</definedName>
    <definedName name="OO" localSheetId="10">#REF!</definedName>
    <definedName name="OO">#REF!</definedName>
    <definedName name="oper" localSheetId="23">#REF!</definedName>
    <definedName name="oper" localSheetId="6">#REF!</definedName>
    <definedName name="oper" localSheetId="10">#REF!</definedName>
    <definedName name="oper">#REF!</definedName>
    <definedName name="oper." localSheetId="23">#REF!</definedName>
    <definedName name="oper." localSheetId="6">#REF!</definedName>
    <definedName name="oper." localSheetId="10">#REF!</definedName>
    <definedName name="oper.">#REF!</definedName>
    <definedName name="OPEX_BGT7" localSheetId="23">#REF!</definedName>
    <definedName name="OPEX_BGT7" localSheetId="6">#REF!</definedName>
    <definedName name="OPEX_BGT7" localSheetId="10">#REF!</definedName>
    <definedName name="OPEX_BGT7">#REF!</definedName>
    <definedName name="OPEX_M7" localSheetId="23">#REF!</definedName>
    <definedName name="OPEX_M7" localSheetId="6">#REF!</definedName>
    <definedName name="OPEX_M7" localSheetId="10">#REF!</definedName>
    <definedName name="OPEX_M7">#REF!</definedName>
    <definedName name="OPGW" localSheetId="23">#REF!</definedName>
    <definedName name="OPGW" localSheetId="6">#REF!</definedName>
    <definedName name="OPGW" localSheetId="10">#REF!</definedName>
    <definedName name="OPGW">#REF!</definedName>
    <definedName name="ord_musd" localSheetId="23">#REF!</definedName>
    <definedName name="ord_musd" localSheetId="6">#REF!</definedName>
    <definedName name="ord_musd" localSheetId="10">#REF!</definedName>
    <definedName name="ord_musd">#REF!</definedName>
    <definedName name="orderbacklog" localSheetId="23">#REF!</definedName>
    <definedName name="orderbacklog" localSheetId="6">#REF!</definedName>
    <definedName name="orderbacklog" localSheetId="10">#REF!</definedName>
    <definedName name="orderbacklog">#REF!</definedName>
    <definedName name="orderbooked98" localSheetId="23">#REF!</definedName>
    <definedName name="orderbooked98" localSheetId="6">#REF!</definedName>
    <definedName name="orderbooked98" localSheetId="10">#REF!</definedName>
    <definedName name="orderbooked98">#REF!</definedName>
    <definedName name="ORDERSTATUS" localSheetId="23">#REF!</definedName>
    <definedName name="ORDERSTATUS" localSheetId="6">#REF!</definedName>
    <definedName name="ORDERSTATUS" localSheetId="10">#REF!</definedName>
    <definedName name="ORDERSTATUS">#REF!</definedName>
    <definedName name="OrderTable" localSheetId="23">#REF!</definedName>
    <definedName name="OrderTable" localSheetId="6">#REF!</definedName>
    <definedName name="OrderTable" localSheetId="10">#REF!</definedName>
    <definedName name="OrderTable">#REF!</definedName>
    <definedName name="ORDREVCOLL" localSheetId="23">#REF!</definedName>
    <definedName name="ORDREVCOLL" localSheetId="6">#REF!</definedName>
    <definedName name="ORDREVCOLL" localSheetId="10">#REF!</definedName>
    <definedName name="ORDREVCOLL">#REF!</definedName>
    <definedName name="OSF" localSheetId="23">#REF!</definedName>
    <definedName name="OSF" localSheetId="6">#REF!</definedName>
    <definedName name="OSF" localSheetId="10">#REF!</definedName>
    <definedName name="OSF">#REF!</definedName>
    <definedName name="osm" localSheetId="23">#REF!</definedName>
    <definedName name="osm" localSheetId="6">#REF!</definedName>
    <definedName name="osm" localSheetId="10">#REF!</definedName>
    <definedName name="osm">#REF!</definedName>
    <definedName name="OTH" localSheetId="23">#REF!</definedName>
    <definedName name="OTH" localSheetId="6">#REF!</definedName>
    <definedName name="OTH" localSheetId="10">#REF!</definedName>
    <definedName name="OTH">#REF!</definedName>
    <definedName name="OTHERS" localSheetId="23">#REF!</definedName>
    <definedName name="OTHERS" localSheetId="6">#REF!</definedName>
    <definedName name="OTHERS" localSheetId="10">#REF!</definedName>
    <definedName name="OTHERS">#REF!</definedName>
    <definedName name="OTRY" localSheetId="23">#REF!</definedName>
    <definedName name="OTRY" localSheetId="6">#REF!</definedName>
    <definedName name="OTRY" localSheetId="10">#REF!</definedName>
    <definedName name="OTRY">#REF!</definedName>
    <definedName name="OTRY1" localSheetId="23">#REF!</definedName>
    <definedName name="OTRY1" localSheetId="6">#REF!</definedName>
    <definedName name="OTRY1" localSheetId="10">#REF!</definedName>
    <definedName name="OTRY1">#REF!</definedName>
    <definedName name="Overall_Mobi_Mth" localSheetId="23">#REF!</definedName>
    <definedName name="Overall_Mobi_Mth" localSheetId="6">#REF!</definedName>
    <definedName name="Overall_Mobi_Mth" localSheetId="10">#REF!</definedName>
    <definedName name="Overall_Mobi_Mth">#REF!</definedName>
    <definedName name="Overall_Mth" localSheetId="23">#REF!</definedName>
    <definedName name="Overall_Mth" localSheetId="6">#REF!</definedName>
    <definedName name="Overall_Mth" localSheetId="10">#REF!</definedName>
    <definedName name="Overall_Mth">#REF!</definedName>
    <definedName name="p" localSheetId="23">#REF!</definedName>
    <definedName name="p" localSheetId="6">#REF!</definedName>
    <definedName name="p" localSheetId="10">#REF!</definedName>
    <definedName name="p">#REF!</definedName>
    <definedName name="p.s" localSheetId="23">#REF!</definedName>
    <definedName name="p.s" localSheetId="6">#REF!</definedName>
    <definedName name="p.s" localSheetId="10">#REF!</definedName>
    <definedName name="p.s">#REF!</definedName>
    <definedName name="p___0" localSheetId="23">#REF!</definedName>
    <definedName name="p___0" localSheetId="6">#REF!</definedName>
    <definedName name="p___0" localSheetId="10">#REF!</definedName>
    <definedName name="p___0">#REF!</definedName>
    <definedName name="p___13" localSheetId="23">#REF!</definedName>
    <definedName name="p___13" localSheetId="6">#REF!</definedName>
    <definedName name="p___13" localSheetId="10">#REF!</definedName>
    <definedName name="p___13">#REF!</definedName>
    <definedName name="P_1" localSheetId="23">#REF!</definedName>
    <definedName name="P_1" localSheetId="6">#REF!</definedName>
    <definedName name="P_1" localSheetId="10">#REF!</definedName>
    <definedName name="P_1">#REF!</definedName>
    <definedName name="P_3" localSheetId="23">#REF!</definedName>
    <definedName name="P_3" localSheetId="6">#REF!</definedName>
    <definedName name="P_3" localSheetId="10">#REF!</definedName>
    <definedName name="P_3">#REF!</definedName>
    <definedName name="P_4" localSheetId="23">#REF!</definedName>
    <definedName name="P_4" localSheetId="6">#REF!</definedName>
    <definedName name="P_4" localSheetId="10">#REF!</definedName>
    <definedName name="P_4">#REF!</definedName>
    <definedName name="P_5" localSheetId="23">#REF!</definedName>
    <definedName name="P_5" localSheetId="6">#REF!</definedName>
    <definedName name="P_5" localSheetId="10">#REF!</definedName>
    <definedName name="P_5">#REF!</definedName>
    <definedName name="P_6DSO" localSheetId="23">#REF!</definedName>
    <definedName name="P_6DSO" localSheetId="6">#REF!</definedName>
    <definedName name="P_6DSO" localSheetId="10">#REF!</definedName>
    <definedName name="P_6DSO">#REF!</definedName>
    <definedName name="P_7DPO" localSheetId="23">#REF!</definedName>
    <definedName name="P_7DPO" localSheetId="6">#REF!</definedName>
    <definedName name="P_7DPO" localSheetId="10">#REF!</definedName>
    <definedName name="P_7DPO">#REF!</definedName>
    <definedName name="p_shape" localSheetId="23">#REF!</definedName>
    <definedName name="p_shape" localSheetId="6">#REF!</definedName>
    <definedName name="p_shape" localSheetId="10">#REF!</definedName>
    <definedName name="p_shape">#REF!</definedName>
    <definedName name="p11i4f" localSheetId="23">#REF!</definedName>
    <definedName name="p11i4f" localSheetId="6">#REF!</definedName>
    <definedName name="p11i4f" localSheetId="10">#REF!</definedName>
    <definedName name="p11i4f">#REF!</definedName>
    <definedName name="p11i5f" localSheetId="23">#REF!</definedName>
    <definedName name="p11i5f" localSheetId="6">#REF!</definedName>
    <definedName name="p11i5f" localSheetId="10">#REF!</definedName>
    <definedName name="p11i5f">#REF!</definedName>
    <definedName name="p12i1bc8f" localSheetId="23">#REF!</definedName>
    <definedName name="p12i1bc8f" localSheetId="6">#REF!</definedName>
    <definedName name="p12i1bc8f" localSheetId="10">#REF!</definedName>
    <definedName name="p12i1bc8f">#REF!</definedName>
    <definedName name="p1350mcbc" localSheetId="23">#REF!</definedName>
    <definedName name="p1350mcbc" localSheetId="6">#REF!</definedName>
    <definedName name="p1350mcbc" localSheetId="10">#REF!</definedName>
    <definedName name="p1350mcbc">#REF!</definedName>
    <definedName name="p1350mcfdr" localSheetId="23">#REF!</definedName>
    <definedName name="p1350mcfdr" localSheetId="6">#REF!</definedName>
    <definedName name="p1350mcfdr" localSheetId="10">#REF!</definedName>
    <definedName name="p1350mcfdr">#REF!</definedName>
    <definedName name="p1350mcic" localSheetId="23">#REF!</definedName>
    <definedName name="p1350mcic" localSheetId="6">#REF!</definedName>
    <definedName name="p1350mcic" localSheetId="10">#REF!</definedName>
    <definedName name="p1350mcic">#REF!</definedName>
    <definedName name="p1350pcfdr" localSheetId="23">#REF!</definedName>
    <definedName name="p1350pcfdr" localSheetId="6">#REF!</definedName>
    <definedName name="p1350pcfdr" localSheetId="10">#REF!</definedName>
    <definedName name="p1350pcfdr">#REF!</definedName>
    <definedName name="p1350pcic" localSheetId="23">#REF!</definedName>
    <definedName name="p1350pcic" localSheetId="6">#REF!</definedName>
    <definedName name="p1350pcic" localSheetId="10">#REF!</definedName>
    <definedName name="p1350pcic">#REF!</definedName>
    <definedName name="p1500mcbc" localSheetId="23">#REF!</definedName>
    <definedName name="p1500mcbc" localSheetId="6">#REF!</definedName>
    <definedName name="p1500mcbc" localSheetId="10">#REF!</definedName>
    <definedName name="p1500mcbc">#REF!</definedName>
    <definedName name="p1500mcfdr" localSheetId="23">#REF!</definedName>
    <definedName name="p1500mcfdr" localSheetId="6">#REF!</definedName>
    <definedName name="p1500mcfdr" localSheetId="10">#REF!</definedName>
    <definedName name="p1500mcfdr">#REF!</definedName>
    <definedName name="p1500mcic" localSheetId="23">#REF!</definedName>
    <definedName name="p1500mcic" localSheetId="6">#REF!</definedName>
    <definedName name="p1500mcic" localSheetId="10">#REF!</definedName>
    <definedName name="p1500mcic">#REF!</definedName>
    <definedName name="p1abbbc" localSheetId="23">#REF!</definedName>
    <definedName name="p1abbbc" localSheetId="6">#REF!</definedName>
    <definedName name="p1abbbc" localSheetId="10">#REF!</definedName>
    <definedName name="p1abbbc">#REF!</definedName>
    <definedName name="p1abbfdr" localSheetId="23">#REF!</definedName>
    <definedName name="p1abbfdr" localSheetId="6">#REF!</definedName>
    <definedName name="p1abbfdr" localSheetId="10">#REF!</definedName>
    <definedName name="p1abbfdr">#REF!</definedName>
    <definedName name="p1abbic" localSheetId="23">#REF!</definedName>
    <definedName name="p1abbic" localSheetId="6">#REF!</definedName>
    <definedName name="p1abbic" localSheetId="10">#REF!</definedName>
    <definedName name="p1abbic">#REF!</definedName>
    <definedName name="p1accp" localSheetId="23">#REF!</definedName>
    <definedName name="p1accp" localSheetId="6">#REF!</definedName>
    <definedName name="p1accp" localSheetId="10">#REF!</definedName>
    <definedName name="p1accp">#REF!</definedName>
    <definedName name="p1acdb1" localSheetId="23">#REF!</definedName>
    <definedName name="p1acdb1" localSheetId="6">#REF!</definedName>
    <definedName name="p1acdb1" localSheetId="10">#REF!</definedName>
    <definedName name="p1acdb1">#REF!</definedName>
    <definedName name="p1acdb2" localSheetId="23">#REF!</definedName>
    <definedName name="p1acdb2" localSheetId="6">#REF!</definedName>
    <definedName name="p1acdb2" localSheetId="10">#REF!</definedName>
    <definedName name="p1acdb2">#REF!</definedName>
    <definedName name="p1acdb3" localSheetId="23">#REF!</definedName>
    <definedName name="p1acdb3" localSheetId="6">#REF!</definedName>
    <definedName name="p1acdb3" localSheetId="10">#REF!</definedName>
    <definedName name="p1acdb3">#REF!</definedName>
    <definedName name="p1amf" localSheetId="23">#REF!</definedName>
    <definedName name="p1amf" localSheetId="6">#REF!</definedName>
    <definedName name="p1amf" localSheetId="10">#REF!</definedName>
    <definedName name="p1amf">#REF!</definedName>
    <definedName name="p1apcc1" localSheetId="23">#REF!</definedName>
    <definedName name="p1apcc1" localSheetId="6">#REF!</definedName>
    <definedName name="p1apcc1" localSheetId="10">#REF!</definedName>
    <definedName name="p1apcc1">#REF!</definedName>
    <definedName name="p1apcc2" localSheetId="23">#REF!</definedName>
    <definedName name="p1apcc2" localSheetId="6">#REF!</definedName>
    <definedName name="p1apcc2" localSheetId="10">#REF!</definedName>
    <definedName name="p1apcc2">#REF!</definedName>
    <definedName name="p1apcc3" localSheetId="23">#REF!</definedName>
    <definedName name="p1apcc3" localSheetId="6">#REF!</definedName>
    <definedName name="p1apcc3" localSheetId="10">#REF!</definedName>
    <definedName name="p1apcc3">#REF!</definedName>
    <definedName name="p1clp" localSheetId="23">#REF!</definedName>
    <definedName name="p1clp" localSheetId="6">#REF!</definedName>
    <definedName name="p1clp" localSheetId="10">#REF!</definedName>
    <definedName name="p1clp">#REF!</definedName>
    <definedName name="p1csp" localSheetId="23">#REF!</definedName>
    <definedName name="p1csp" localSheetId="6">#REF!</definedName>
    <definedName name="p1csp" localSheetId="10">#REF!</definedName>
    <definedName name="p1csp">#REF!</definedName>
    <definedName name="p1db" localSheetId="23">#REF!</definedName>
    <definedName name="p1db" localSheetId="6">#REF!</definedName>
    <definedName name="p1db" localSheetId="10">#REF!</definedName>
    <definedName name="p1db">#REF!</definedName>
    <definedName name="p1ht" localSheetId="23">#REF!</definedName>
    <definedName name="p1ht" localSheetId="6">#REF!</definedName>
    <definedName name="p1ht" localSheetId="10">#REF!</definedName>
    <definedName name="p1ht">#REF!</definedName>
    <definedName name="p1ksk" localSheetId="23">#REF!</definedName>
    <definedName name="p1ksk" localSheetId="6">#REF!</definedName>
    <definedName name="p1ksk" localSheetId="10">#REF!</definedName>
    <definedName name="p1ksk">#REF!</definedName>
    <definedName name="p1ldb" localSheetId="23">#REF!</definedName>
    <definedName name="p1ldb" localSheetId="6">#REF!</definedName>
    <definedName name="p1ldb" localSheetId="10">#REF!</definedName>
    <definedName name="p1ldb">#REF!</definedName>
    <definedName name="p1lift" localSheetId="23">#REF!</definedName>
    <definedName name="p1lift" localSheetId="6">#REF!</definedName>
    <definedName name="p1lift" localSheetId="10">#REF!</definedName>
    <definedName name="p1lift">#REF!</definedName>
    <definedName name="p1ltsba1" localSheetId="23">#REF!</definedName>
    <definedName name="p1ltsba1" localSheetId="6">#REF!</definedName>
    <definedName name="p1ltsba1" localSheetId="10">#REF!</definedName>
    <definedName name="p1ltsba1">#REF!</definedName>
    <definedName name="p1ltsba2" localSheetId="23">#REF!</definedName>
    <definedName name="p1ltsba2" localSheetId="6">#REF!</definedName>
    <definedName name="p1ltsba2" localSheetId="10">#REF!</definedName>
    <definedName name="p1ltsba2">#REF!</definedName>
    <definedName name="p1ltsbb1" localSheetId="23">#REF!</definedName>
    <definedName name="p1ltsbb1" localSheetId="6">#REF!</definedName>
    <definedName name="p1ltsbb1" localSheetId="10">#REF!</definedName>
    <definedName name="p1ltsbb1">#REF!</definedName>
    <definedName name="p1ltsbb2" localSheetId="23">#REF!</definedName>
    <definedName name="p1ltsbb2" localSheetId="6">#REF!</definedName>
    <definedName name="p1ltsbb2" localSheetId="10">#REF!</definedName>
    <definedName name="p1ltsbb2">#REF!</definedName>
    <definedName name="p1mcc1" localSheetId="23">#REF!</definedName>
    <definedName name="p1mcc1" localSheetId="6">#REF!</definedName>
    <definedName name="p1mcc1" localSheetId="10">#REF!</definedName>
    <definedName name="p1mcc1">#REF!</definedName>
    <definedName name="p1mcc10" localSheetId="23">#REF!</definedName>
    <definedName name="p1mcc10" localSheetId="6">#REF!</definedName>
    <definedName name="p1mcc10" localSheetId="10">#REF!</definedName>
    <definedName name="p1mcc10">#REF!</definedName>
    <definedName name="p1mcc11" localSheetId="23">#REF!</definedName>
    <definedName name="p1mcc11" localSheetId="6">#REF!</definedName>
    <definedName name="p1mcc11" localSheetId="10">#REF!</definedName>
    <definedName name="p1mcc11">#REF!</definedName>
    <definedName name="p1mcc12" localSheetId="23">#REF!</definedName>
    <definedName name="p1mcc12" localSheetId="6">#REF!</definedName>
    <definedName name="p1mcc12" localSheetId="10">#REF!</definedName>
    <definedName name="p1mcc12">#REF!</definedName>
    <definedName name="p1mcc13" localSheetId="23">#REF!</definedName>
    <definedName name="p1mcc13" localSheetId="6">#REF!</definedName>
    <definedName name="p1mcc13" localSheetId="10">#REF!</definedName>
    <definedName name="p1mcc13">#REF!</definedName>
    <definedName name="p1mcc14" localSheetId="23">#REF!</definedName>
    <definedName name="p1mcc14" localSheetId="6">#REF!</definedName>
    <definedName name="p1mcc14" localSheetId="10">#REF!</definedName>
    <definedName name="p1mcc14">#REF!</definedName>
    <definedName name="p1mcc15" localSheetId="23">#REF!</definedName>
    <definedName name="p1mcc15" localSheetId="6">#REF!</definedName>
    <definedName name="p1mcc15" localSheetId="10">#REF!</definedName>
    <definedName name="p1mcc15">#REF!</definedName>
    <definedName name="p1mcc17" localSheetId="23">#REF!</definedName>
    <definedName name="p1mcc17" localSheetId="6">#REF!</definedName>
    <definedName name="p1mcc17" localSheetId="10">#REF!</definedName>
    <definedName name="p1mcc17">#REF!</definedName>
    <definedName name="p1mcc2" localSheetId="23">#REF!</definedName>
    <definedName name="p1mcc2" localSheetId="6">#REF!</definedName>
    <definedName name="p1mcc2" localSheetId="10">#REF!</definedName>
    <definedName name="p1mcc2">#REF!</definedName>
    <definedName name="p1mcc3" localSheetId="23">#REF!</definedName>
    <definedName name="p1mcc3" localSheetId="6">#REF!</definedName>
    <definedName name="p1mcc3" localSheetId="10">#REF!</definedName>
    <definedName name="p1mcc3">#REF!</definedName>
    <definedName name="p1mcc4" localSheetId="23">#REF!</definedName>
    <definedName name="p1mcc4" localSheetId="6">#REF!</definedName>
    <definedName name="p1mcc4" localSheetId="10">#REF!</definedName>
    <definedName name="p1mcc4">#REF!</definedName>
    <definedName name="p1mcc5" localSheetId="23">#REF!</definedName>
    <definedName name="p1mcc5" localSheetId="6">#REF!</definedName>
    <definedName name="p1mcc5" localSheetId="10">#REF!</definedName>
    <definedName name="p1mcc5">#REF!</definedName>
    <definedName name="p1mcc6" localSheetId="23">#REF!</definedName>
    <definedName name="p1mcc6" localSheetId="6">#REF!</definedName>
    <definedName name="p1mcc6" localSheetId="10">#REF!</definedName>
    <definedName name="p1mcc6">#REF!</definedName>
    <definedName name="p1mcc7" localSheetId="23">#REF!</definedName>
    <definedName name="p1mcc7" localSheetId="6">#REF!</definedName>
    <definedName name="p1mcc7" localSheetId="10">#REF!</definedName>
    <definedName name="p1mcc7">#REF!</definedName>
    <definedName name="p1mcc8" localSheetId="23">#REF!</definedName>
    <definedName name="p1mcc8" localSheetId="6">#REF!</definedName>
    <definedName name="p1mcc8" localSheetId="10">#REF!</definedName>
    <definedName name="p1mcc8">#REF!</definedName>
    <definedName name="p1mcc9" localSheetId="23">#REF!</definedName>
    <definedName name="p1mcc9" localSheetId="6">#REF!</definedName>
    <definedName name="p1mcc9" localSheetId="10">#REF!</definedName>
    <definedName name="p1mcc9">#REF!</definedName>
    <definedName name="p1mldb" localSheetId="23">#REF!</definedName>
    <definedName name="p1mldb" localSheetId="6">#REF!</definedName>
    <definedName name="p1mldb" localSheetId="10">#REF!</definedName>
    <definedName name="p1mldb">#REF!</definedName>
    <definedName name="p1mlp" localSheetId="23">#REF!</definedName>
    <definedName name="p1mlp" localSheetId="6">#REF!</definedName>
    <definedName name="p1mlp" localSheetId="10">#REF!</definedName>
    <definedName name="p1mlp">#REF!</definedName>
    <definedName name="p1mltp" localSheetId="23">#REF!</definedName>
    <definedName name="p1mltp" localSheetId="6">#REF!</definedName>
    <definedName name="p1mltp" localSheetId="10">#REF!</definedName>
    <definedName name="p1mltp">#REF!</definedName>
    <definedName name="p1mpcc" localSheetId="23">#REF!</definedName>
    <definedName name="p1mpcc" localSheetId="6">#REF!</definedName>
    <definedName name="p1mpcc" localSheetId="10">#REF!</definedName>
    <definedName name="p1mpcc">#REF!</definedName>
    <definedName name="p1mpdb" localSheetId="23">#REF!</definedName>
    <definedName name="p1mpdb" localSheetId="6">#REF!</definedName>
    <definedName name="p1mpdb" localSheetId="10">#REF!</definedName>
    <definedName name="p1mpdb">#REF!</definedName>
    <definedName name="p1mpdp" localSheetId="23">#REF!</definedName>
    <definedName name="p1mpdp" localSheetId="6">#REF!</definedName>
    <definedName name="p1mpdp" localSheetId="10">#REF!</definedName>
    <definedName name="p1mpdp">#REF!</definedName>
    <definedName name="p1mrlp" localSheetId="23">#REF!</definedName>
    <definedName name="p1mrlp" localSheetId="6">#REF!</definedName>
    <definedName name="p1mrlp" localSheetId="10">#REF!</definedName>
    <definedName name="p1mrlp">#REF!</definedName>
    <definedName name="p1pcc" localSheetId="23">#REF!</definedName>
    <definedName name="p1pcc" localSheetId="6">#REF!</definedName>
    <definedName name="p1pcc" localSheetId="10">#REF!</definedName>
    <definedName name="p1pcc">#REF!</definedName>
    <definedName name="p1pccm" localSheetId="23">#REF!</definedName>
    <definedName name="p1pccm" localSheetId="6">#REF!</definedName>
    <definedName name="p1pccm" localSheetId="10">#REF!</definedName>
    <definedName name="p1pccm">#REF!</definedName>
    <definedName name="p1pdb" localSheetId="23">#REF!</definedName>
    <definedName name="p1pdb" localSheetId="6">#REF!</definedName>
    <definedName name="p1pdb" localSheetId="10">#REF!</definedName>
    <definedName name="p1pdb">#REF!</definedName>
    <definedName name="p1ssb1" localSheetId="23">#REF!</definedName>
    <definedName name="p1ssb1" localSheetId="6">#REF!</definedName>
    <definedName name="p1ssb1" localSheetId="10">#REF!</definedName>
    <definedName name="p1ssb1">#REF!</definedName>
    <definedName name="p1ssb2" localSheetId="23">#REF!</definedName>
    <definedName name="p1ssb2" localSheetId="6">#REF!</definedName>
    <definedName name="p1ssb2" localSheetId="10">#REF!</definedName>
    <definedName name="p1ssb2">#REF!</definedName>
    <definedName name="p1upsdb" localSheetId="23">#REF!</definedName>
    <definedName name="p1upsdb" localSheetId="6">#REF!</definedName>
    <definedName name="p1upsdb" localSheetId="10">#REF!</definedName>
    <definedName name="p1upsdb">#REF!</definedName>
    <definedName name="p1upsip" localSheetId="23">#REF!</definedName>
    <definedName name="p1upsip" localSheetId="6">#REF!</definedName>
    <definedName name="p1upsip" localSheetId="10">#REF!</definedName>
    <definedName name="p1upsip">#REF!</definedName>
    <definedName name="p1upsmdb" localSheetId="23">#REF!</definedName>
    <definedName name="p1upsmdb" localSheetId="6">#REF!</definedName>
    <definedName name="p1upsmdb" localSheetId="10">#REF!</definedName>
    <definedName name="p1upsmdb">#REF!</definedName>
    <definedName name="p1upsop" localSheetId="23">#REF!</definedName>
    <definedName name="p1upsop" localSheetId="6">#REF!</definedName>
    <definedName name="p1upsop" localSheetId="10">#REF!</definedName>
    <definedName name="p1upsop">#REF!</definedName>
    <definedName name="PA">INDEX('[5] '!$B$1:$B$16,MATCH('[5]  '!$K$397,'[5] '!$A$1:$A$16,0))</definedName>
    <definedName name="pa___0" localSheetId="23">#REF!</definedName>
    <definedName name="pa___0" localSheetId="6">#REF!</definedName>
    <definedName name="pa___0" localSheetId="10">#REF!</definedName>
    <definedName name="pa___0">#REF!</definedName>
    <definedName name="pa___13" localSheetId="23">#REF!</definedName>
    <definedName name="pa___13" localSheetId="6">#REF!</definedName>
    <definedName name="pa___13" localSheetId="10">#REF!</definedName>
    <definedName name="pa___13">#REF!</definedName>
    <definedName name="pad_baywise" localSheetId="23">#REF!</definedName>
    <definedName name="pad_baywise" localSheetId="6">#REF!</definedName>
    <definedName name="pad_baywise" localSheetId="10">#REF!</definedName>
    <definedName name="pad_baywise">#REF!</definedName>
    <definedName name="PAGE1" localSheetId="4">#REF!</definedName>
    <definedName name="Page1" localSheetId="23">#REF!</definedName>
    <definedName name="Page1" localSheetId="6">#REF!</definedName>
    <definedName name="PAGE1" localSheetId="27">#REF!</definedName>
    <definedName name="PAGE1" localSheetId="11">#REF!</definedName>
    <definedName name="Page1" localSheetId="10">#REF!</definedName>
    <definedName name="PAGE1" localSheetId="5">#REF!</definedName>
    <definedName name="Page1">#REF!</definedName>
    <definedName name="PAGE10" localSheetId="23">#REF!</definedName>
    <definedName name="PAGE10" localSheetId="6">#REF!</definedName>
    <definedName name="PAGE10" localSheetId="10">#REF!</definedName>
    <definedName name="PAGE10">#REF!</definedName>
    <definedName name="PAGE11" localSheetId="23">#REF!</definedName>
    <definedName name="PAGE11" localSheetId="6">#REF!</definedName>
    <definedName name="PAGE11" localSheetId="10">#REF!</definedName>
    <definedName name="PAGE11">#REF!</definedName>
    <definedName name="PAGE2" localSheetId="23">#REF!</definedName>
    <definedName name="PAGE2" localSheetId="6">#REF!</definedName>
    <definedName name="PAGE2" localSheetId="10">#REF!</definedName>
    <definedName name="PAGE2">#REF!</definedName>
    <definedName name="PAGE3" localSheetId="23">#REF!</definedName>
    <definedName name="PAGE3" localSheetId="6">#REF!</definedName>
    <definedName name="PAGE3" localSheetId="10">#REF!</definedName>
    <definedName name="PAGE3">#REF!</definedName>
    <definedName name="PAGE4" localSheetId="23">#REF!</definedName>
    <definedName name="PAGE4" localSheetId="6">#REF!</definedName>
    <definedName name="PAGE4" localSheetId="10">#REF!</definedName>
    <definedName name="PAGE4">#REF!</definedName>
    <definedName name="PAGE5" localSheetId="23">#REF!</definedName>
    <definedName name="PAGE5" localSheetId="6">#REF!</definedName>
    <definedName name="PAGE5" localSheetId="10">#REF!</definedName>
    <definedName name="PAGE5">#REF!</definedName>
    <definedName name="PAGE6" localSheetId="23">#REF!</definedName>
    <definedName name="PAGE6" localSheetId="6">#REF!</definedName>
    <definedName name="PAGE6" localSheetId="10">#REF!</definedName>
    <definedName name="PAGE6">#REF!</definedName>
    <definedName name="PAGE7" localSheetId="23">#REF!</definedName>
    <definedName name="PAGE7" localSheetId="6">#REF!</definedName>
    <definedName name="PAGE7" localSheetId="10">#REF!</definedName>
    <definedName name="PAGE7">#REF!</definedName>
    <definedName name="PAGE8" localSheetId="23">#REF!</definedName>
    <definedName name="PAGE8" localSheetId="6">#REF!</definedName>
    <definedName name="PAGE8" localSheetId="10">#REF!</definedName>
    <definedName name="PAGE8">#REF!</definedName>
    <definedName name="PAGE9" localSheetId="23">#REF!</definedName>
    <definedName name="PAGE9" localSheetId="6">#REF!</definedName>
    <definedName name="PAGE9" localSheetId="10">#REF!</definedName>
    <definedName name="PAGE9">#REF!</definedName>
    <definedName name="Pal_Workbook_GUID" hidden="1">"E9TT7WTUL973YIQMHP4L53VJ"</definedName>
    <definedName name="Pancham" localSheetId="23">#REF!</definedName>
    <definedName name="Pancham" localSheetId="6">#REF!</definedName>
    <definedName name="Pancham" localSheetId="10">#REF!</definedName>
    <definedName name="Pancham">#REF!</definedName>
    <definedName name="Pane2" localSheetId="23">#REF!</definedName>
    <definedName name="Pane2" localSheetId="6">#REF!</definedName>
    <definedName name="Pane2" localSheetId="10">#REF!</definedName>
    <definedName name="Pane2">#REF!</definedName>
    <definedName name="Pane2___0" localSheetId="23">#REF!</definedName>
    <definedName name="Pane2___0" localSheetId="6">#REF!</definedName>
    <definedName name="Pane2___0" localSheetId="10">#REF!</definedName>
    <definedName name="Pane2___0">#REF!</definedName>
    <definedName name="Pane2___13" localSheetId="23">#REF!</definedName>
    <definedName name="Pane2___13" localSheetId="6">#REF!</definedName>
    <definedName name="Pane2___13" localSheetId="10">#REF!</definedName>
    <definedName name="Pane2___13">#REF!</definedName>
    <definedName name="PAR" localSheetId="23">#REF!</definedName>
    <definedName name="PAR" localSheetId="6">#REF!</definedName>
    <definedName name="PAR" localSheetId="10">#REF!</definedName>
    <definedName name="PAR">#REF!</definedName>
    <definedName name="part" localSheetId="23">#REF!</definedName>
    <definedName name="part" localSheetId="6">#REF!</definedName>
    <definedName name="part" localSheetId="10">#REF!</definedName>
    <definedName name="part">#REF!</definedName>
    <definedName name="PATH1" localSheetId="23">#REF!</definedName>
    <definedName name="PATH1" localSheetId="6">#REF!</definedName>
    <definedName name="PATH1" localSheetId="10">#REF!</definedName>
    <definedName name="PATH1">#REF!</definedName>
    <definedName name="PATH11" localSheetId="23">#REF!</definedName>
    <definedName name="PATH11" localSheetId="6">#REF!</definedName>
    <definedName name="PATH11" localSheetId="10">#REF!</definedName>
    <definedName name="PATH11">#REF!</definedName>
    <definedName name="PATH111" localSheetId="23">#REF!</definedName>
    <definedName name="PATH111" localSheetId="6">#REF!</definedName>
    <definedName name="PATH111" localSheetId="10">#REF!</definedName>
    <definedName name="PATH111">#REF!</definedName>
    <definedName name="PATH2" localSheetId="23">#REF!</definedName>
    <definedName name="PATH2" localSheetId="6">#REF!</definedName>
    <definedName name="PATH2" localSheetId="10">#REF!</definedName>
    <definedName name="PATH2">#REF!</definedName>
    <definedName name="PATH22" localSheetId="23">#REF!</definedName>
    <definedName name="PATH22" localSheetId="6">#REF!</definedName>
    <definedName name="PATH22" localSheetId="10">#REF!</definedName>
    <definedName name="PATH22">#REF!</definedName>
    <definedName name="PATH222" localSheetId="23">#REF!</definedName>
    <definedName name="PATH222" localSheetId="6">#REF!</definedName>
    <definedName name="PATH222" localSheetId="10">#REF!</definedName>
    <definedName name="PATH222">#REF!</definedName>
    <definedName name="PATH3" localSheetId="23">#REF!</definedName>
    <definedName name="PATH3" localSheetId="6">#REF!</definedName>
    <definedName name="PATH3" localSheetId="10">#REF!</definedName>
    <definedName name="PATH3">#REF!</definedName>
    <definedName name="PATH33" localSheetId="23">#REF!</definedName>
    <definedName name="PATH33" localSheetId="6">#REF!</definedName>
    <definedName name="PATH33" localSheetId="10">#REF!</definedName>
    <definedName name="PATH33">#REF!</definedName>
    <definedName name="PATH333" localSheetId="23">#REF!</definedName>
    <definedName name="PATH333" localSheetId="6">#REF!</definedName>
    <definedName name="PATH333" localSheetId="10">#REF!</definedName>
    <definedName name="PATH333">#REF!</definedName>
    <definedName name="PATH4" localSheetId="23">#REF!</definedName>
    <definedName name="PATH4" localSheetId="6">#REF!</definedName>
    <definedName name="PATH4" localSheetId="10">#REF!</definedName>
    <definedName name="PATH4">#REF!</definedName>
    <definedName name="PATH44" localSheetId="23">#REF!</definedName>
    <definedName name="PATH44" localSheetId="6">#REF!</definedName>
    <definedName name="PATH44" localSheetId="10">#REF!</definedName>
    <definedName name="PATH44">#REF!</definedName>
    <definedName name="PATH444" localSheetId="23">#REF!</definedName>
    <definedName name="PATH444" localSheetId="6">#REF!</definedName>
    <definedName name="PATH444" localSheetId="10">#REF!</definedName>
    <definedName name="PATH444">#REF!</definedName>
    <definedName name="PATH5" localSheetId="23">#REF!</definedName>
    <definedName name="PATH5" localSheetId="6">#REF!</definedName>
    <definedName name="PATH5" localSheetId="10">#REF!</definedName>
    <definedName name="PATH5">#REF!</definedName>
    <definedName name="PATH55" localSheetId="23">#REF!</definedName>
    <definedName name="PATH55" localSheetId="6">#REF!</definedName>
    <definedName name="PATH55" localSheetId="10">#REF!</definedName>
    <definedName name="PATH55">#REF!</definedName>
    <definedName name="PATH555" localSheetId="23">#REF!</definedName>
    <definedName name="PATH555" localSheetId="6">#REF!</definedName>
    <definedName name="PATH555" localSheetId="10">#REF!</definedName>
    <definedName name="PATH555">#REF!</definedName>
    <definedName name="PATHAR1" localSheetId="23">#REF!</definedName>
    <definedName name="PATHAR1" localSheetId="6">#REF!</definedName>
    <definedName name="PATHAR1" localSheetId="10">#REF!</definedName>
    <definedName name="PATHAR1">#REF!</definedName>
    <definedName name="PATHAR2" localSheetId="23">#REF!</definedName>
    <definedName name="PATHAR2" localSheetId="6">#REF!</definedName>
    <definedName name="PATHAR2" localSheetId="10">#REF!</definedName>
    <definedName name="PATHAR2">#REF!</definedName>
    <definedName name="PATHAR3" localSheetId="23">#REF!</definedName>
    <definedName name="PATHAR3" localSheetId="6">#REF!</definedName>
    <definedName name="PATHAR3" localSheetId="10">#REF!</definedName>
    <definedName name="PATHAR3">#REF!</definedName>
    <definedName name="PATHJV1" localSheetId="23">#REF!</definedName>
    <definedName name="PATHJV1" localSheetId="6">#REF!</definedName>
    <definedName name="PATHJV1" localSheetId="10">#REF!</definedName>
    <definedName name="PATHJV1">#REF!</definedName>
    <definedName name="PATHJV11" localSheetId="23">#REF!</definedName>
    <definedName name="PATHJV11" localSheetId="6">#REF!</definedName>
    <definedName name="PATHJV11" localSheetId="10">#REF!</definedName>
    <definedName name="PATHJV11">#REF!</definedName>
    <definedName name="PATHJV111" localSheetId="23">#REF!</definedName>
    <definedName name="PATHJV111" localSheetId="6">#REF!</definedName>
    <definedName name="PATHJV111" localSheetId="10">#REF!</definedName>
    <definedName name="PATHJV111">#REF!</definedName>
    <definedName name="PATHJV2" localSheetId="23">#REF!</definedName>
    <definedName name="PATHJV2" localSheetId="6">#REF!</definedName>
    <definedName name="PATHJV2" localSheetId="10">#REF!</definedName>
    <definedName name="PATHJV2">#REF!</definedName>
    <definedName name="PATHJV22" localSheetId="23">#REF!</definedName>
    <definedName name="PATHJV22" localSheetId="6">#REF!</definedName>
    <definedName name="PATHJV22" localSheetId="10">#REF!</definedName>
    <definedName name="PATHJV22">#REF!</definedName>
    <definedName name="PATHJV222" localSheetId="23">#REF!</definedName>
    <definedName name="PATHJV222" localSheetId="6">#REF!</definedName>
    <definedName name="PATHJV222" localSheetId="10">#REF!</definedName>
    <definedName name="PATHJV222">#REF!</definedName>
    <definedName name="PATHJV3" localSheetId="23">#REF!</definedName>
    <definedName name="PATHJV3" localSheetId="6">#REF!</definedName>
    <definedName name="PATHJV3" localSheetId="10">#REF!</definedName>
    <definedName name="PATHJV3">#REF!</definedName>
    <definedName name="PATHJV33" localSheetId="23">#REF!</definedName>
    <definedName name="PATHJV33" localSheetId="6">#REF!</definedName>
    <definedName name="PATHJV33" localSheetId="10">#REF!</definedName>
    <definedName name="PATHJV33">#REF!</definedName>
    <definedName name="PATHJV333" localSheetId="23">#REF!</definedName>
    <definedName name="PATHJV333" localSheetId="6">#REF!</definedName>
    <definedName name="PATHJV333" localSheetId="10">#REF!</definedName>
    <definedName name="PATHJV333">#REF!</definedName>
    <definedName name="PATHJVPR1" localSheetId="23">#REF!</definedName>
    <definedName name="PATHJVPR1" localSheetId="6">#REF!</definedName>
    <definedName name="PATHJVPR1" localSheetId="10">#REF!</definedName>
    <definedName name="PATHJVPR1">#REF!</definedName>
    <definedName name="PATHJVPR11" localSheetId="23">#REF!</definedName>
    <definedName name="PATHJVPR11" localSheetId="6">#REF!</definedName>
    <definedName name="PATHJVPR11" localSheetId="10">#REF!</definedName>
    <definedName name="PATHJVPR11">#REF!</definedName>
    <definedName name="PATHJVPR111" localSheetId="23">#REF!</definedName>
    <definedName name="PATHJVPR111" localSheetId="6">#REF!</definedName>
    <definedName name="PATHJVPR111" localSheetId="10">#REF!</definedName>
    <definedName name="PATHJVPR111">#REF!</definedName>
    <definedName name="PATHJVPR2" localSheetId="23">#REF!</definedName>
    <definedName name="PATHJVPR2" localSheetId="6">#REF!</definedName>
    <definedName name="PATHJVPR2" localSheetId="10">#REF!</definedName>
    <definedName name="PATHJVPR2">#REF!</definedName>
    <definedName name="PATHJVPR22" localSheetId="23">#REF!</definedName>
    <definedName name="PATHJVPR22" localSheetId="6">#REF!</definedName>
    <definedName name="PATHJVPR22" localSheetId="10">#REF!</definedName>
    <definedName name="PATHJVPR22">#REF!</definedName>
    <definedName name="PATHJVPR222" localSheetId="23">#REF!</definedName>
    <definedName name="PATHJVPR222" localSheetId="6">#REF!</definedName>
    <definedName name="PATHJVPR222" localSheetId="10">#REF!</definedName>
    <definedName name="PATHJVPR222">#REF!</definedName>
    <definedName name="PATHLA1" localSheetId="23">#REF!</definedName>
    <definedName name="PATHLA1" localSheetId="6">#REF!</definedName>
    <definedName name="PATHLA1" localSheetId="10">#REF!</definedName>
    <definedName name="PATHLA1">#REF!</definedName>
    <definedName name="PATHLA2" localSheetId="23">#REF!</definedName>
    <definedName name="PATHLA2" localSheetId="6">#REF!</definedName>
    <definedName name="PATHLA2" localSheetId="10">#REF!</definedName>
    <definedName name="PATHLA2">#REF!</definedName>
    <definedName name="PATHLA3" localSheetId="23">#REF!</definedName>
    <definedName name="PATHLA3" localSheetId="6">#REF!</definedName>
    <definedName name="PATHLA3" localSheetId="10">#REF!</definedName>
    <definedName name="PATHLA3">#REF!</definedName>
    <definedName name="PATHLP1" localSheetId="23">#REF!</definedName>
    <definedName name="PATHLP1" localSheetId="6">#REF!</definedName>
    <definedName name="PATHLP1" localSheetId="10">#REF!</definedName>
    <definedName name="PATHLP1">#REF!</definedName>
    <definedName name="PATHLP2" localSheetId="23">#REF!</definedName>
    <definedName name="PATHLP2" localSheetId="6">#REF!</definedName>
    <definedName name="PATHLP2" localSheetId="10">#REF!</definedName>
    <definedName name="PATHLP2">#REF!</definedName>
    <definedName name="PATHLP3" localSheetId="23">#REF!</definedName>
    <definedName name="PATHLP3" localSheetId="6">#REF!</definedName>
    <definedName name="PATHLP3" localSheetId="10">#REF!</definedName>
    <definedName name="PATHLP3">#REF!</definedName>
    <definedName name="PATHPR1" localSheetId="23">#REF!</definedName>
    <definedName name="PATHPR1" localSheetId="6">#REF!</definedName>
    <definedName name="PATHPR1" localSheetId="10">#REF!</definedName>
    <definedName name="PATHPR1">#REF!</definedName>
    <definedName name="PATHPR2" localSheetId="23">#REF!</definedName>
    <definedName name="PATHPR2" localSheetId="6">#REF!</definedName>
    <definedName name="PATHPR2" localSheetId="10">#REF!</definedName>
    <definedName name="PATHPR2">#REF!</definedName>
    <definedName name="PB">INDEX('[5] '!$B$1:$B$16,MATCH('[5]  '!$K$399,'[5] '!$A$1:$A$16,0))</definedName>
    <definedName name="pb___0" localSheetId="23">#REF!</definedName>
    <definedName name="pb___0" localSheetId="6">#REF!</definedName>
    <definedName name="pb___0" localSheetId="10">#REF!</definedName>
    <definedName name="pb___0">#REF!</definedName>
    <definedName name="pb___11" localSheetId="23">#REF!</definedName>
    <definedName name="pb___11" localSheetId="6">#REF!</definedName>
    <definedName name="pb___11" localSheetId="10">#REF!</definedName>
    <definedName name="pb___11">#REF!</definedName>
    <definedName name="pb___12" localSheetId="23">#REF!</definedName>
    <definedName name="pb___12" localSheetId="6">#REF!</definedName>
    <definedName name="pb___12" localSheetId="10">#REF!</definedName>
    <definedName name="pb___12">#REF!</definedName>
    <definedName name="PC">INDEX('[5] '!$B$1:$B$16,MATCH('[5]  '!$K$401,'[5] '!$A$1:$A$16,0))</definedName>
    <definedName name="PC_ED" localSheetId="23">#REF!</definedName>
    <definedName name="PC_ED" localSheetId="6">#REF!</definedName>
    <definedName name="PC_ED" localSheetId="10">#REF!</definedName>
    <definedName name="PC_ED">#REF!</definedName>
    <definedName name="PD">INDEX('[5] '!$B$1:$B$16,MATCH('[5]  '!$K$403,'[5] '!$A$1:$A$16,0))</definedName>
    <definedName name="PDP" localSheetId="23">#REF!</definedName>
    <definedName name="PDP" localSheetId="6">#REF!</definedName>
    <definedName name="PDP" localSheetId="10">#REF!</definedName>
    <definedName name="PDP">#REF!</definedName>
    <definedName name="PE">INDEX('[5] '!$B$1:$B$16,MATCH('[5]  '!$K$405,'[5] '!$A$1:$A$16,0))</definedName>
    <definedName name="ped_no" localSheetId="23">#REF!</definedName>
    <definedName name="ped_no" localSheetId="6">#REF!</definedName>
    <definedName name="ped_no" localSheetId="10">#REF!</definedName>
    <definedName name="ped_no">#REF!</definedName>
    <definedName name="PER" localSheetId="23">#REF!</definedName>
    <definedName name="PER" localSheetId="6">#REF!</definedName>
    <definedName name="PER" localSheetId="10">#REF!</definedName>
    <definedName name="PER">#REF!</definedName>
    <definedName name="PERCENT" localSheetId="23">#REF!</definedName>
    <definedName name="PERCENT" localSheetId="6">#REF!</definedName>
    <definedName name="PERCENT" localSheetId="10">#REF!</definedName>
    <definedName name="PERCENT">#REF!</definedName>
    <definedName name="Personal" localSheetId="23">#REF!</definedName>
    <definedName name="Personal" localSheetId="6">#REF!</definedName>
    <definedName name="Personal" localSheetId="10">#REF!</definedName>
    <definedName name="Personal">#REF!</definedName>
    <definedName name="PERSONAL_TRANSPORT" localSheetId="23">#REF!</definedName>
    <definedName name="PERSONAL_TRANSPORT" localSheetId="6">#REF!</definedName>
    <definedName name="PERSONAL_TRANSPORT" localSheetId="10">#REF!</definedName>
    <definedName name="PERSONAL_TRANSPORT">#REF!</definedName>
    <definedName name="PERSONNEL" localSheetId="23">#REF!</definedName>
    <definedName name="PERSONNEL" localSheetId="6">#REF!</definedName>
    <definedName name="PERSONNEL" localSheetId="10">#REF!</definedName>
    <definedName name="PERSONNEL">#REF!</definedName>
    <definedName name="PF">INDEX('[5] '!$B$1:$B$16,MATCH('[5]  '!$K$407,'[5] '!$A$1:$A$16,0))</definedName>
    <definedName name="PG">INDEX('[5] '!$B$1:$B$16,MATCH('[5]  '!$K$409,'[5] '!$A$1:$A$16,0))</definedName>
    <definedName name="PH">INDEX('[5] '!$B$1:$B$16,MATCH('[5]  '!$K$411,'[5] '!$A$1:$A$16,0))</definedName>
    <definedName name="pH___0" localSheetId="23">#REF!</definedName>
    <definedName name="pH___0" localSheetId="6">#REF!</definedName>
    <definedName name="pH___0" localSheetId="10">#REF!</definedName>
    <definedName name="pH___0">#REF!</definedName>
    <definedName name="pH___13" localSheetId="23">#REF!</definedName>
    <definedName name="pH___13" localSheetId="6">#REF!</definedName>
    <definedName name="pH___13" localSheetId="10">#REF!</definedName>
    <definedName name="pH___13">#REF!</definedName>
    <definedName name="PI">INDEX('[5] '!$B$1:$B$16,MATCH('[5]  '!$K$413,'[5] '!$A$1:$A$16,0))</definedName>
    <definedName name="pIaccp" localSheetId="23">#REF!</definedName>
    <definedName name="pIaccp" localSheetId="6">#REF!</definedName>
    <definedName name="pIaccp" localSheetId="10">#REF!</definedName>
    <definedName name="pIaccp">#REF!</definedName>
    <definedName name="pIecp" localSheetId="23">#REF!</definedName>
    <definedName name="pIecp" localSheetId="6">#REF!</definedName>
    <definedName name="pIecp" localSheetId="10">#REF!</definedName>
    <definedName name="pIecp">#REF!</definedName>
    <definedName name="pile_no" localSheetId="23">#REF!</definedName>
    <definedName name="pile_no" localSheetId="6">#REF!</definedName>
    <definedName name="pile_no" localSheetId="10">#REF!</definedName>
    <definedName name="pile_no">#REF!</definedName>
    <definedName name="pImcc.1" localSheetId="23">#REF!</definedName>
    <definedName name="pImcc.1" localSheetId="6">#REF!</definedName>
    <definedName name="pImcc.1" localSheetId="10">#REF!</definedName>
    <definedName name="pImcc.1">#REF!</definedName>
    <definedName name="pImcc.2" localSheetId="23">#REF!</definedName>
    <definedName name="pImcc.2" localSheetId="6">#REF!</definedName>
    <definedName name="pImcc.2" localSheetId="10">#REF!</definedName>
    <definedName name="pImcc.2">#REF!</definedName>
    <definedName name="pImcc.3" localSheetId="23">#REF!</definedName>
    <definedName name="pImcc.3" localSheetId="6">#REF!</definedName>
    <definedName name="pImcc.3" localSheetId="10">#REF!</definedName>
    <definedName name="pImcc.3">#REF!</definedName>
    <definedName name="pImltsb" localSheetId="23">#REF!</definedName>
    <definedName name="pImltsb" localSheetId="6">#REF!</definedName>
    <definedName name="pImltsb" localSheetId="10">#REF!</definedName>
    <definedName name="pImltsb">#REF!</definedName>
    <definedName name="pImsb.ups" localSheetId="23">#REF!</definedName>
    <definedName name="pImsb.ups" localSheetId="6">#REF!</definedName>
    <definedName name="pImsb.ups" localSheetId="10">#REF!</definedName>
    <definedName name="pImsb.ups">#REF!</definedName>
    <definedName name="PIN" localSheetId="23">#REF!</definedName>
    <definedName name="PIN" localSheetId="6">#REF!</definedName>
    <definedName name="PIN" localSheetId="10">#REF!</definedName>
    <definedName name="PIN">#REF!</definedName>
    <definedName name="PIPE" localSheetId="23">#REF!</definedName>
    <definedName name="PIPE" localSheetId="6">#REF!</definedName>
    <definedName name="PIPE" localSheetId="10">#REF!</definedName>
    <definedName name="PIPE">#REF!</definedName>
    <definedName name="PIPE_ID" localSheetId="23">#REF!</definedName>
    <definedName name="PIPE_ID" localSheetId="6">#REF!</definedName>
    <definedName name="PIPE_ID" localSheetId="10">#REF!</definedName>
    <definedName name="PIPE_ID">#REF!</definedName>
    <definedName name="PIPE_SIZE" localSheetId="23">#REF!</definedName>
    <definedName name="PIPE_SIZE" localSheetId="6">#REF!</definedName>
    <definedName name="PIPE_SIZE" localSheetId="10">#REF!</definedName>
    <definedName name="PIPE_SIZE">#REF!</definedName>
    <definedName name="PIPELENGTH" localSheetId="23">#REF!</definedName>
    <definedName name="PIPELENGTH" localSheetId="6">#REF!</definedName>
    <definedName name="PIPELENGTH" localSheetId="10">#REF!</definedName>
    <definedName name="PIPELENGTH">#REF!</definedName>
    <definedName name="pIsmsb.1" localSheetId="23">#REF!</definedName>
    <definedName name="pIsmsb.1" localSheetId="6">#REF!</definedName>
    <definedName name="pIsmsb.1" localSheetId="10">#REF!</definedName>
    <definedName name="pIsmsb.1">#REF!</definedName>
    <definedName name="pIsmsb.2" localSheetId="23">#REF!</definedName>
    <definedName name="pIsmsb.2" localSheetId="6">#REF!</definedName>
    <definedName name="pIsmsb.2" localSheetId="10">#REF!</definedName>
    <definedName name="pIsmsb.2">#REF!</definedName>
    <definedName name="pIsmsb.3" localSheetId="23">#REF!</definedName>
    <definedName name="pIsmsb.3" localSheetId="6">#REF!</definedName>
    <definedName name="pIsmsb.3" localSheetId="10">#REF!</definedName>
    <definedName name="pIsmsb.3">#REF!</definedName>
    <definedName name="pIsmsb.b" localSheetId="23">#REF!</definedName>
    <definedName name="pIsmsb.b" localSheetId="6">#REF!</definedName>
    <definedName name="pIsmsb.b" localSheetId="10">#REF!</definedName>
    <definedName name="pIsmsb.b">#REF!</definedName>
    <definedName name="pIsmsb.g" localSheetId="23">#REF!</definedName>
    <definedName name="pIsmsb.g" localSheetId="6">#REF!</definedName>
    <definedName name="pIsmsb.g" localSheetId="10">#REF!</definedName>
    <definedName name="pIsmsb.g">#REF!</definedName>
    <definedName name="pIsmsb.lab" localSheetId="23">#REF!</definedName>
    <definedName name="pIsmsb.lab" localSheetId="6">#REF!</definedName>
    <definedName name="pIsmsb.lab" localSheetId="10">#REF!</definedName>
    <definedName name="pIsmsb.lab">#REF!</definedName>
    <definedName name="pIsmsb.main" localSheetId="23">#REF!</definedName>
    <definedName name="pIsmsb.main" localSheetId="6">#REF!</definedName>
    <definedName name="pIsmsb.main" localSheetId="10">#REF!</definedName>
    <definedName name="pIsmsb.main">#REF!</definedName>
    <definedName name="pIsmsb.t" localSheetId="23">#REF!</definedName>
    <definedName name="pIsmsb.t" localSheetId="6">#REF!</definedName>
    <definedName name="pIsmsb.t" localSheetId="10">#REF!</definedName>
    <definedName name="pIsmsb.t">#REF!</definedName>
    <definedName name="pIsmsb.ups" localSheetId="23">#REF!</definedName>
    <definedName name="pIsmsb.ups" localSheetId="6">#REF!</definedName>
    <definedName name="pIsmsb.ups" localSheetId="10">#REF!</definedName>
    <definedName name="pIsmsb.ups">#REF!</definedName>
    <definedName name="pIup.1" localSheetId="23">#REF!</definedName>
    <definedName name="pIup.1" localSheetId="6">#REF!</definedName>
    <definedName name="pIup.1" localSheetId="10">#REF!</definedName>
    <definedName name="pIup.1">#REF!</definedName>
    <definedName name="pIup.2" localSheetId="23">#REF!</definedName>
    <definedName name="pIup.2" localSheetId="6">#REF!</definedName>
    <definedName name="pIup.2" localSheetId="10">#REF!</definedName>
    <definedName name="pIup.2">#REF!</definedName>
    <definedName name="PJ">INDEX('[5] '!$B$1:$B$16,MATCH('[5]  '!$K$415,'[5] '!$A$1:$A$16,0))</definedName>
    <definedName name="PK">INDEX('[5] '!$B$1:$B$16,MATCH('[5]  '!$K$417,'[5] '!$A$1:$A$16,0))</definedName>
    <definedName name="PKGFRD_HW" localSheetId="23">#REF!</definedName>
    <definedName name="PKGFRD_HW" localSheetId="6">#REF!</definedName>
    <definedName name="PKGFRD_HW" localSheetId="10">#REF!</definedName>
    <definedName name="PKGFRD_HW">#REF!</definedName>
    <definedName name="PKGFRD_SW" localSheetId="23">#REF!</definedName>
    <definedName name="PKGFRD_SW" localSheetId="6">#REF!</definedName>
    <definedName name="PKGFRD_SW" localSheetId="10">#REF!</definedName>
    <definedName name="PKGFRD_SW">#REF!</definedName>
    <definedName name="PL">INDEX('[5] '!$B$1:$B$16,MATCH('[5]  '!$K$419,'[5] '!$A$1:$A$16,0))</definedName>
    <definedName name="PLC" localSheetId="23">#REF!</definedName>
    <definedName name="PLC" localSheetId="6">#REF!</definedName>
    <definedName name="PLC" localSheetId="10">#REF!</definedName>
    <definedName name="PLC">#REF!</definedName>
    <definedName name="PLCUM" localSheetId="23">#REF!</definedName>
    <definedName name="PLCUM" localSheetId="6">#REF!</definedName>
    <definedName name="PLCUM" localSheetId="10">#REF!</definedName>
    <definedName name="PLCUM">#REF!</definedName>
    <definedName name="plk" localSheetId="10" hidden="1">{"'Sheet1'!$A$4386:$N$4591"}</definedName>
    <definedName name="plk" hidden="1">{"'Sheet1'!$A$4386:$N$4591"}</definedName>
    <definedName name="PLMON" localSheetId="23">#REF!</definedName>
    <definedName name="PLMON" localSheetId="6">#REF!</definedName>
    <definedName name="PLMON" localSheetId="10">#REF!</definedName>
    <definedName name="PLMON">#REF!</definedName>
    <definedName name="PLR" localSheetId="23">#REF!</definedName>
    <definedName name="PLR" localSheetId="6">#REF!</definedName>
    <definedName name="PLR" localSheetId="10">#REF!</definedName>
    <definedName name="PLR">#REF!</definedName>
    <definedName name="plsdata" localSheetId="4">#REF!</definedName>
    <definedName name="plsdata" localSheetId="23">#REF!</definedName>
    <definedName name="plsdata" localSheetId="6">#REF!</definedName>
    <definedName name="plsdata" localSheetId="27">#REF!</definedName>
    <definedName name="plsdata" localSheetId="11">#REF!</definedName>
    <definedName name="plsdata" localSheetId="10">#REF!</definedName>
    <definedName name="plsdata" localSheetId="5">#REF!</definedName>
    <definedName name="plsdata">#REF!</definedName>
    <definedName name="PLUG" localSheetId="23">#REF!</definedName>
    <definedName name="PLUG" localSheetId="6">#REF!</definedName>
    <definedName name="PLUG" localSheetId="10">#REF!</definedName>
    <definedName name="PLUG">#REF!</definedName>
    <definedName name="PM">INDEX('[5] '!$B$1:$B$16,MATCH('[5]  '!$K$421,'[5] '!$A$1:$A$16,0))</definedName>
    <definedName name="PNum" localSheetId="23">#REF!</definedName>
    <definedName name="PNum" localSheetId="6">#REF!</definedName>
    <definedName name="PNum" localSheetId="10">#REF!</definedName>
    <definedName name="PNum">#REF!</definedName>
    <definedName name="POLU" localSheetId="23">#REF!</definedName>
    <definedName name="POLU" localSheetId="6">#REF!</definedName>
    <definedName name="POLU" localSheetId="10">#REF!</definedName>
    <definedName name="POLU">#REF!</definedName>
    <definedName name="PONDA" localSheetId="23">#REF!</definedName>
    <definedName name="PONDA" localSheetId="6">#REF!</definedName>
    <definedName name="PONDA" localSheetId="10">#REF!</definedName>
    <definedName name="PONDA">#REF!</definedName>
    <definedName name="POR" localSheetId="23">#REF!</definedName>
    <definedName name="POR" localSheetId="6">#REF!</definedName>
    <definedName name="POR" localSheetId="10">#REF!</definedName>
    <definedName name="POR">#REF!</definedName>
    <definedName name="POST" localSheetId="23">#REF!</definedName>
    <definedName name="POST" localSheetId="6">#REF!</definedName>
    <definedName name="POST" localSheetId="10">#REF!</definedName>
    <definedName name="POST">#REF!</definedName>
    <definedName name="pound" localSheetId="23">#REF!</definedName>
    <definedName name="pound" localSheetId="6">#REF!</definedName>
    <definedName name="pound" localSheetId="10">#REF!</definedName>
    <definedName name="pound">#REF!</definedName>
    <definedName name="POUNDS" localSheetId="23">#REF!</definedName>
    <definedName name="POUNDS" localSheetId="6">#REF!</definedName>
    <definedName name="POUNDS" localSheetId="10">#REF!</definedName>
    <definedName name="POUNDS">#REF!</definedName>
    <definedName name="pp" localSheetId="23">#REF!</definedName>
    <definedName name="pp" localSheetId="6">#REF!</definedName>
    <definedName name="pp" localSheetId="10">#REF!</definedName>
    <definedName name="pp">#REF!</definedName>
    <definedName name="ppo" localSheetId="23">#REF!</definedName>
    <definedName name="ppo" localSheetId="6">#REF!</definedName>
    <definedName name="ppo" localSheetId="10">#REF!</definedName>
    <definedName name="ppo">#REF!</definedName>
    <definedName name="ppp" localSheetId="23">#REF!</definedName>
    <definedName name="ppp" localSheetId="6">#REF!</definedName>
    <definedName name="ppp" localSheetId="10">#REF!</definedName>
    <definedName name="ppp">#REF!</definedName>
    <definedName name="pppp" localSheetId="23">#REF!</definedName>
    <definedName name="pppp" localSheetId="6">#REF!</definedName>
    <definedName name="pppp" localSheetId="10">#REF!</definedName>
    <definedName name="pppp">#REF!</definedName>
    <definedName name="PPPPPP" localSheetId="11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3">#REF!</definedName>
    <definedName name="PR_BO" localSheetId="6">#REF!</definedName>
    <definedName name="PR_BO" localSheetId="10">#REF!</definedName>
    <definedName name="PR_BO">#REF!</definedName>
    <definedName name="PR_IDTO" localSheetId="23">#REF!</definedName>
    <definedName name="PR_IDTO" localSheetId="6">#REF!</definedName>
    <definedName name="PR_IDTO" localSheetId="10">#REF!</definedName>
    <definedName name="PR_IDTO">#REF!</definedName>
    <definedName name="PR_IMP" localSheetId="23">#REF!</definedName>
    <definedName name="PR_IMP" localSheetId="6">#REF!</definedName>
    <definedName name="PR_IMP" localSheetId="10">#REF!</definedName>
    <definedName name="PR_IMP">#REF!</definedName>
    <definedName name="PR_TR" localSheetId="23">#REF!</definedName>
    <definedName name="PR_TR" localSheetId="6">#REF!</definedName>
    <definedName name="PR_TR" localSheetId="10">#REF!</definedName>
    <definedName name="PR_TR">#REF!</definedName>
    <definedName name="PRA_DETAILSMAR01" localSheetId="23">#REF!</definedName>
    <definedName name="PRA_DETAILSMAR01" localSheetId="6">#REF!</definedName>
    <definedName name="PRA_DETAILSMAR01" localSheetId="10">#REF!</definedName>
    <definedName name="PRA_DETAILSMAR01">#REF!</definedName>
    <definedName name="PRADETAILS" localSheetId="23">#REF!</definedName>
    <definedName name="PRADETAILS" localSheetId="6">#REF!</definedName>
    <definedName name="PRADETAILS" localSheetId="10">#REF!</definedName>
    <definedName name="PRADETAILS">#REF!</definedName>
    <definedName name="prashant" localSheetId="23">#REF!</definedName>
    <definedName name="prashant" localSheetId="6">#REF!</definedName>
    <definedName name="prashant" localSheetId="10">#REF!</definedName>
    <definedName name="prashant">#REF!</definedName>
    <definedName name="pratap" localSheetId="11" hidden="1">{"'Sheet1'!$A$4386:$N$4591"}</definedName>
    <definedName name="pratap" localSheetId="10" hidden="1">{"'Sheet1'!$A$4386:$N$4591"}</definedName>
    <definedName name="pratap" hidden="1">{"'Sheet1'!$A$4386:$N$4591"}</definedName>
    <definedName name="PRDump" localSheetId="23">#REF!</definedName>
    <definedName name="PRDump" localSheetId="6">#REF!</definedName>
    <definedName name="PRDump" localSheetId="10">#REF!</definedName>
    <definedName name="PRDump">#REF!</definedName>
    <definedName name="PREHE" localSheetId="23">#REF!</definedName>
    <definedName name="PREHE" localSheetId="6">#REF!</definedName>
    <definedName name="PREHE" localSheetId="10">#REF!</definedName>
    <definedName name="PREHE">#REF!</definedName>
    <definedName name="PREHP" localSheetId="23">#REF!</definedName>
    <definedName name="PREHP" localSheetId="6">#REF!</definedName>
    <definedName name="PREHP" localSheetId="10">#REF!</definedName>
    <definedName name="PREHP">#REF!</definedName>
    <definedName name="PREHS" localSheetId="23">#REF!</definedName>
    <definedName name="PREHS" localSheetId="6">#REF!</definedName>
    <definedName name="PREHS" localSheetId="10">#REF!</definedName>
    <definedName name="PREHS">#REF!</definedName>
    <definedName name="PREHT" localSheetId="23">#REF!</definedName>
    <definedName name="PREHT" localSheetId="6">#REF!</definedName>
    <definedName name="PREHT" localSheetId="10">#REF!</definedName>
    <definedName name="PREHT">#REF!</definedName>
    <definedName name="PREP" localSheetId="23">#REF!</definedName>
    <definedName name="PREP" localSheetId="6">#REF!</definedName>
    <definedName name="PREP" localSheetId="10">#REF!</definedName>
    <definedName name="PREP">#REF!</definedName>
    <definedName name="PRICE" localSheetId="23">#REF!</definedName>
    <definedName name="PRICE" localSheetId="6">#REF!</definedName>
    <definedName name="PRICE" localSheetId="10">#REF!</definedName>
    <definedName name="PRICE">#REF!</definedName>
    <definedName name="priced_end" localSheetId="23">#REF!</definedName>
    <definedName name="priced_end" localSheetId="6">#REF!</definedName>
    <definedName name="priced_end" localSheetId="10">#REF!</definedName>
    <definedName name="priced_end">#REF!</definedName>
    <definedName name="_xlnm.Print_Area" localSheetId="16">'CS-220kV TM '!$A$1:$AK$78</definedName>
    <definedName name="_xlnm.Print_Area" localSheetId="4">'DPR Sheet '!$A$1:$F$64</definedName>
    <definedName name="_xlnm.Print_Area" localSheetId="17">'DS-220 KV TM'!$A$1:$AI$92</definedName>
    <definedName name="_xlnm.Print_Area" localSheetId="23">#REF!</definedName>
    <definedName name="_xlnm.Print_Area" localSheetId="21">FDN!$A$1:$E$126</definedName>
    <definedName name="_xlnm.Print_Area" localSheetId="6">'GANG Mapping MAY-26 '!$A$1:$H$119</definedName>
    <definedName name="_xlnm.Print_Area" localSheetId="27">'Power line Crossings '!$A$1:$Z$14</definedName>
    <definedName name="_xlnm.Print_Area" localSheetId="11">'Progress 220KV TM'!$A$1:$M$41</definedName>
    <definedName name="_xlnm.Print_Area" localSheetId="7">'Soil Investigation'!$A$1:$E$159</definedName>
    <definedName name="_xlnm.Print_Area" localSheetId="1">'Summary-'!$A$1:$M$60</definedName>
    <definedName name="_xlnm.Print_Area" localSheetId="13">'VC 220 SZ'!$A$1:$AF$220</definedName>
    <definedName name="_xlnm.Print_Area" localSheetId="5">WIP!$A$1:$J$145</definedName>
    <definedName name="_xlnm.Print_Area">#REF!</definedName>
    <definedName name="Print_Area_1" localSheetId="23">#REF!</definedName>
    <definedName name="Print_Area_1" localSheetId="6">#REF!</definedName>
    <definedName name="Print_Area_1" localSheetId="10">#REF!</definedName>
    <definedName name="Print_Area_1">#REF!</definedName>
    <definedName name="Print_Area_2" localSheetId="23">#REF!</definedName>
    <definedName name="Print_Area_2" localSheetId="6">#REF!</definedName>
    <definedName name="Print_Area_2" localSheetId="10">#REF!</definedName>
    <definedName name="Print_Area_2">#REF!</definedName>
    <definedName name="Print_Area_3" localSheetId="23">#REF!</definedName>
    <definedName name="Print_Area_3" localSheetId="6">#REF!</definedName>
    <definedName name="Print_Area_3" localSheetId="10">#REF!</definedName>
    <definedName name="Print_Area_3">#REF!</definedName>
    <definedName name="PRINT_AREA_MI" localSheetId="4">#REF!</definedName>
    <definedName name="PRINT_AREA_MI" localSheetId="23">#REF!</definedName>
    <definedName name="PRINT_AREA_MI" localSheetId="6">#REF!</definedName>
    <definedName name="PRINT_AREA_MI" localSheetId="27">#REF!</definedName>
    <definedName name="PRINT_AREA_MI" localSheetId="11">#REF!</definedName>
    <definedName name="PRINT_AREA_MI" localSheetId="10">#REF!</definedName>
    <definedName name="PRINT_AREA_MI" localSheetId="5">#REF!</definedName>
    <definedName name="PRINT_AREA_MI">#REF!</definedName>
    <definedName name="PRINT_AREA_MI___0" localSheetId="23">#REF!</definedName>
    <definedName name="PRINT_AREA_MI___0" localSheetId="6">#REF!</definedName>
    <definedName name="PRINT_AREA_MI___0" localSheetId="10">#REF!</definedName>
    <definedName name="PRINT_AREA_MI___0">#REF!</definedName>
    <definedName name="Print_Area_MI1" localSheetId="23">#REF!</definedName>
    <definedName name="Print_Area_MI1" localSheetId="6">#REF!</definedName>
    <definedName name="Print_Area_MI1" localSheetId="10">#REF!</definedName>
    <definedName name="Print_Area_MI1">#REF!</definedName>
    <definedName name="Print_Area_Reset" localSheetId="23">#REF!</definedName>
    <definedName name="Print_Area_Reset" localSheetId="6">#REF!</definedName>
    <definedName name="Print_Area_Reset" localSheetId="10">#REF!</definedName>
    <definedName name="Print_Area_Reset">#REF!</definedName>
    <definedName name="_xlnm.Print_Titles" localSheetId="16">'CS-220kV TM '!$1:$9</definedName>
    <definedName name="_xlnm.Print_Titles" localSheetId="4">#REF!</definedName>
    <definedName name="_xlnm.Print_Titles" localSheetId="19">'DS 400 kV LO'!$1:$9</definedName>
    <definedName name="_xlnm.Print_Titles" localSheetId="18">'DS 400kV LI'!$1:$9</definedName>
    <definedName name="_xlnm.Print_Titles" localSheetId="17">'DS-220 KV TM'!$1:$9</definedName>
    <definedName name="_xlnm.Print_Titles" localSheetId="23">#REF!</definedName>
    <definedName name="_xlnm.Print_Titles" localSheetId="27">#REF!</definedName>
    <definedName name="_xlnm.Print_Titles" localSheetId="11">'Progress 220KV TM'!$1:$5</definedName>
    <definedName name="_xlnm.Print_Titles" localSheetId="1">'Summary-'!$1:$7</definedName>
    <definedName name="_xlnm.Print_Titles" localSheetId="10">'VC 400 KV QM'!$2:$17</definedName>
    <definedName name="_xlnm.Print_Titles">#REF!</definedName>
    <definedName name="Print_Titles_2" localSheetId="23">#REF!</definedName>
    <definedName name="Print_Titles_2" localSheetId="6">#REF!</definedName>
    <definedName name="Print_Titles_2" localSheetId="10">#REF!</definedName>
    <definedName name="Print_Titles_2">#REF!</definedName>
    <definedName name="PRINT_TITLES_MI" localSheetId="4">#REF!</definedName>
    <definedName name="PRINT_TITLES_MI" localSheetId="23">#REF!</definedName>
    <definedName name="PRINT_TITLES_MI" localSheetId="6">#REF!</definedName>
    <definedName name="PRINT_TITLES_MI" localSheetId="27">#REF!</definedName>
    <definedName name="PRINT_TITLES_MI" localSheetId="11">#REF!</definedName>
    <definedName name="PRINT_TITLES_MI" localSheetId="10">#REF!</definedName>
    <definedName name="PRINT_TITLES_MI" localSheetId="5">#REF!</definedName>
    <definedName name="PRINT_TITLES_MI">#REF!</definedName>
    <definedName name="printedname" localSheetId="23">#REF!</definedName>
    <definedName name="printedname" localSheetId="6">#REF!</definedName>
    <definedName name="printedname" localSheetId="10">#REF!</definedName>
    <definedName name="printedname">#REF!</definedName>
    <definedName name="PRMIL_HW" localSheetId="23">#REF!</definedName>
    <definedName name="PRMIL_HW" localSheetId="6">#REF!</definedName>
    <definedName name="PRMIL_HW" localSheetId="10">#REF!</definedName>
    <definedName name="PRMIL_HW">#REF!</definedName>
    <definedName name="PRMIL_SW" localSheetId="23">#REF!</definedName>
    <definedName name="PRMIL_SW" localSheetId="6">#REF!</definedName>
    <definedName name="PRMIL_SW" localSheetId="10">#REF!</definedName>
    <definedName name="PRMIL_SW">#REF!</definedName>
    <definedName name="pro" localSheetId="23">#REF!</definedName>
    <definedName name="pro" localSheetId="6">#REF!</definedName>
    <definedName name="pro" localSheetId="10">#REF!</definedName>
    <definedName name="pro">#REF!</definedName>
    <definedName name="ProdForm" localSheetId="23">#REF!</definedName>
    <definedName name="ProdForm" localSheetId="6">#REF!</definedName>
    <definedName name="ProdForm" localSheetId="10">#REF!</definedName>
    <definedName name="ProdForm">#REF!</definedName>
    <definedName name="Product" localSheetId="23">#REF!</definedName>
    <definedName name="Product" localSheetId="6">#REF!</definedName>
    <definedName name="Product" localSheetId="10">#REF!</definedName>
    <definedName name="Product">#REF!</definedName>
    <definedName name="Professional___Audit_Fees" localSheetId="23">#REF!</definedName>
    <definedName name="Professional___Audit_Fees" localSheetId="6">#REF!</definedName>
    <definedName name="Professional___Audit_Fees" localSheetId="10">#REF!</definedName>
    <definedName name="Professional___Audit_Fees">#REF!</definedName>
    <definedName name="Proffees" localSheetId="23">#REF!</definedName>
    <definedName name="Proffees" localSheetId="6">#REF!</definedName>
    <definedName name="Proffees" localSheetId="10">#REF!</definedName>
    <definedName name="Proffees">#REF!</definedName>
    <definedName name="proj" localSheetId="23">#REF!</definedName>
    <definedName name="proj" localSheetId="6">#REF!</definedName>
    <definedName name="proj" localSheetId="10">#REF!</definedName>
    <definedName name="proj">#REF!</definedName>
    <definedName name="PROJECT" localSheetId="23">#REF!</definedName>
    <definedName name="PROJECT" localSheetId="6">#REF!</definedName>
    <definedName name="PROJECT" localSheetId="10">#REF!</definedName>
    <definedName name="PROJECT">#REF!</definedName>
    <definedName name="PROVISIONS" localSheetId="23">#REF!</definedName>
    <definedName name="PROVISIONS" localSheetId="6">#REF!</definedName>
    <definedName name="PROVISIONS" localSheetId="10">#REF!</definedName>
    <definedName name="PROVISIONS">#REF!</definedName>
    <definedName name="ps" localSheetId="23">#REF!</definedName>
    <definedName name="ps" localSheetId="6">#REF!</definedName>
    <definedName name="ps" localSheetId="10">#REF!</definedName>
    <definedName name="ps">#REF!</definedName>
    <definedName name="PS___0" localSheetId="23">#REF!</definedName>
    <definedName name="PS___0" localSheetId="6">#REF!</definedName>
    <definedName name="PS___0" localSheetId="10">#REF!</definedName>
    <definedName name="PS___0">#REF!</definedName>
    <definedName name="PS___13" localSheetId="23">#REF!</definedName>
    <definedName name="PS___13" localSheetId="6">#REF!</definedName>
    <definedName name="PS___13" localSheetId="10">#REF!</definedName>
    <definedName name="PS___13">#REF!</definedName>
    <definedName name="PublicDocuments" localSheetId="23">#REF!</definedName>
    <definedName name="PublicDocuments" localSheetId="6">#REF!</definedName>
    <definedName name="PublicDocuments" localSheetId="10">#REF!</definedName>
    <definedName name="PublicDocuments">#REF!</definedName>
    <definedName name="PUMPS_DATA" localSheetId="23">#REF!</definedName>
    <definedName name="PUMPS_DATA" localSheetId="6">#REF!</definedName>
    <definedName name="PUMPS_DATA" localSheetId="10">#REF!</definedName>
    <definedName name="PUMPS_DATA">#REF!</definedName>
    <definedName name="q" localSheetId="23">#REF!</definedName>
    <definedName name="q" localSheetId="6">#REF!</definedName>
    <definedName name="q" localSheetId="10">#REF!</definedName>
    <definedName name="q">#REF!</definedName>
    <definedName name="QA">INDEX('[5] '!$B$1:$B$16,MATCH('[5]  '!$K$423,'[5] '!$A$1:$A$16,0))</definedName>
    <definedName name="QB">INDEX('[5] '!$B$1:$B$16,MATCH('[5]  '!$K$425,'[5] '!$A$1:$A$16,0))</definedName>
    <definedName name="QC">INDEX('[5] '!$B$1:$B$16,MATCH('[5]  '!$K$427,'[5] '!$A$1:$A$16,0))</definedName>
    <definedName name="Qc___0" localSheetId="23">#REF!</definedName>
    <definedName name="Qc___0" localSheetId="6">#REF!</definedName>
    <definedName name="Qc___0" localSheetId="10">#REF!</definedName>
    <definedName name="Qc___0">#REF!</definedName>
    <definedName name="Qc___13" localSheetId="23">#REF!</definedName>
    <definedName name="Qc___13" localSheetId="6">#REF!</definedName>
    <definedName name="Qc___13" localSheetId="10">#REF!</definedName>
    <definedName name="Qc___13">#REF!</definedName>
    <definedName name="QD">INDEX('[5] '!$B$1:$B$16,MATCH('[5]  '!$K$429,'[5] '!$A$1:$A$16,0))</definedName>
    <definedName name="QE">INDEX('[5] '!$B$1:$B$16,MATCH('[5]  '!$K$431,'[5] '!$A$1:$A$16,0))</definedName>
    <definedName name="QF">INDEX('[5] '!$B$1:$B$16,MATCH('[5]  '!$K$433,'[5] '!$A$1:$A$16,0))</definedName>
    <definedName name="Qf___0" localSheetId="23">#REF!</definedName>
    <definedName name="Qf___0" localSheetId="6">#REF!</definedName>
    <definedName name="Qf___0" localSheetId="10">#REF!</definedName>
    <definedName name="Qf___0">#REF!</definedName>
    <definedName name="Qf___13" localSheetId="23">#REF!</definedName>
    <definedName name="Qf___13" localSheetId="6">#REF!</definedName>
    <definedName name="Qf___13" localSheetId="10">#REF!</definedName>
    <definedName name="Qf___13">#REF!</definedName>
    <definedName name="qfc" localSheetId="23">#REF!</definedName>
    <definedName name="qfc" localSheetId="6">#REF!</definedName>
    <definedName name="qfc" localSheetId="10">#REF!</definedName>
    <definedName name="qfc">#REF!</definedName>
    <definedName name="QFC_AUDh" localSheetId="23">#REF!</definedName>
    <definedName name="QFC_AUDh" localSheetId="6">#REF!</definedName>
    <definedName name="QFC_AUDh" localSheetId="10">#REF!</definedName>
    <definedName name="QFC_AUDh">#REF!</definedName>
    <definedName name="QFC_AUDs" localSheetId="23">#REF!</definedName>
    <definedName name="QFC_AUDs" localSheetId="6">#REF!</definedName>
    <definedName name="QFC_AUDs" localSheetId="10">#REF!</definedName>
    <definedName name="QFC_AUDs">#REF!</definedName>
    <definedName name="QFC_AUDspa" localSheetId="23">#REF!</definedName>
    <definedName name="QFC_AUDspa" localSheetId="6">#REF!</definedName>
    <definedName name="QFC_AUDspa" localSheetId="10">#REF!</definedName>
    <definedName name="QFC_AUDspa">#REF!</definedName>
    <definedName name="QFC_BO" localSheetId="23">#REF!</definedName>
    <definedName name="QFC_BO" localSheetId="6">#REF!</definedName>
    <definedName name="QFC_BO" localSheetId="10">#REF!</definedName>
    <definedName name="QFC_BO">#REF!</definedName>
    <definedName name="QFC_DEMh" localSheetId="23">#REF!</definedName>
    <definedName name="QFC_DEMh" localSheetId="6">#REF!</definedName>
    <definedName name="QFC_DEMh" localSheetId="10">#REF!</definedName>
    <definedName name="QFC_DEMh">#REF!</definedName>
    <definedName name="QFC_DEMs" localSheetId="23">#REF!</definedName>
    <definedName name="QFC_DEMs" localSheetId="6">#REF!</definedName>
    <definedName name="QFC_DEMs" localSheetId="10">#REF!</definedName>
    <definedName name="QFC_DEMs">#REF!</definedName>
    <definedName name="QFC_DEMspa" localSheetId="23">#REF!</definedName>
    <definedName name="QFC_DEMspa" localSheetId="6">#REF!</definedName>
    <definedName name="QFC_DEMspa" localSheetId="10">#REF!</definedName>
    <definedName name="QFC_DEMspa">#REF!</definedName>
    <definedName name="QFC_FIMh" localSheetId="23">#REF!</definedName>
    <definedName name="QFC_FIMh" localSheetId="6">#REF!</definedName>
    <definedName name="QFC_FIMh" localSheetId="10">#REF!</definedName>
    <definedName name="QFC_FIMh">#REF!</definedName>
    <definedName name="QFC_FIMs" localSheetId="23">#REF!</definedName>
    <definedName name="QFC_FIMs" localSheetId="6">#REF!</definedName>
    <definedName name="QFC_FIMs" localSheetId="10">#REF!</definedName>
    <definedName name="QFC_FIMs">#REF!</definedName>
    <definedName name="QFC_FIMspa" localSheetId="23">#REF!</definedName>
    <definedName name="QFC_FIMspa" localSheetId="6">#REF!</definedName>
    <definedName name="QFC_FIMspa" localSheetId="10">#REF!</definedName>
    <definedName name="QFC_FIMspa">#REF!</definedName>
    <definedName name="QFC_FIs" localSheetId="23">#REF!</definedName>
    <definedName name="QFC_FIs" localSheetId="6">#REF!</definedName>
    <definedName name="QFC_FIs" localSheetId="10">#REF!</definedName>
    <definedName name="QFC_FIs">#REF!</definedName>
    <definedName name="QFC_NOKh" localSheetId="23">#REF!</definedName>
    <definedName name="QFC_NOKh" localSheetId="6">#REF!</definedName>
    <definedName name="QFC_NOKh" localSheetId="10">#REF!</definedName>
    <definedName name="QFC_NOKh">#REF!</definedName>
    <definedName name="QFC_NOKs" localSheetId="23">#REF!</definedName>
    <definedName name="QFC_NOKs" localSheetId="6">#REF!</definedName>
    <definedName name="QFC_NOKs" localSheetId="10">#REF!</definedName>
    <definedName name="QFC_NOKs">#REF!</definedName>
    <definedName name="QFC_NOKspa" localSheetId="23">#REF!</definedName>
    <definedName name="QFC_NOKspa" localSheetId="6">#REF!</definedName>
    <definedName name="QFC_NOKspa" localSheetId="10">#REF!</definedName>
    <definedName name="QFC_NOKspa">#REF!</definedName>
    <definedName name="QFC_OWN" localSheetId="23">#REF!</definedName>
    <definedName name="QFC_OWN" localSheetId="6">#REF!</definedName>
    <definedName name="QFC_OWN" localSheetId="10">#REF!</definedName>
    <definedName name="QFC_OWN">#REF!</definedName>
    <definedName name="qfc_s00" localSheetId="23">#REF!</definedName>
    <definedName name="qfc_s00" localSheetId="6">#REF!</definedName>
    <definedName name="qfc_s00" localSheetId="10">#REF!</definedName>
    <definedName name="qfc_s00">#REF!</definedName>
    <definedName name="QFC_S01" localSheetId="23">#REF!</definedName>
    <definedName name="QFC_S01" localSheetId="6">#REF!</definedName>
    <definedName name="QFC_S01" localSheetId="10">#REF!</definedName>
    <definedName name="QFC_S01">#REF!</definedName>
    <definedName name="QFC_S02" localSheetId="23">#REF!</definedName>
    <definedName name="QFC_S02" localSheetId="6">#REF!</definedName>
    <definedName name="QFC_S02" localSheetId="10">#REF!</definedName>
    <definedName name="QFC_S02">#REF!</definedName>
    <definedName name="QFC_S03" localSheetId="23">#REF!</definedName>
    <definedName name="QFC_S03" localSheetId="6">#REF!</definedName>
    <definedName name="QFC_S03" localSheetId="10">#REF!</definedName>
    <definedName name="QFC_S03">#REF!</definedName>
    <definedName name="qfc_s98" localSheetId="23">#REF!</definedName>
    <definedName name="qfc_s98" localSheetId="6">#REF!</definedName>
    <definedName name="qfc_s98" localSheetId="10">#REF!</definedName>
    <definedName name="qfc_s98">#REF!</definedName>
    <definedName name="qfc_s99" localSheetId="23">#REF!</definedName>
    <definedName name="qfc_s99" localSheetId="6">#REF!</definedName>
    <definedName name="qfc_s99" localSheetId="10">#REF!</definedName>
    <definedName name="qfc_s99">#REF!</definedName>
    <definedName name="QFC_SEKh" localSheetId="23">#REF!</definedName>
    <definedName name="QFC_SEKh" localSheetId="6">#REF!</definedName>
    <definedName name="QFC_SEKh" localSheetId="10">#REF!</definedName>
    <definedName name="QFC_SEKh">#REF!</definedName>
    <definedName name="QFC_SEKs" localSheetId="23">#REF!</definedName>
    <definedName name="QFC_SEKs" localSheetId="6">#REF!</definedName>
    <definedName name="QFC_SEKs" localSheetId="10">#REF!</definedName>
    <definedName name="QFC_SEKs">#REF!</definedName>
    <definedName name="QFC_SFRh" localSheetId="23">#REF!</definedName>
    <definedName name="QFC_SFRh" localSheetId="6">#REF!</definedName>
    <definedName name="QFC_SFRh" localSheetId="10">#REF!</definedName>
    <definedName name="QFC_SFRh">#REF!</definedName>
    <definedName name="QFC_SFRs" localSheetId="23">#REF!</definedName>
    <definedName name="QFC_SFRs" localSheetId="6">#REF!</definedName>
    <definedName name="QFC_SFRs" localSheetId="10">#REF!</definedName>
    <definedName name="QFC_SFRs">#REF!</definedName>
    <definedName name="QFC_SPC" localSheetId="23">#REF!</definedName>
    <definedName name="QFC_SPC" localSheetId="6">#REF!</definedName>
    <definedName name="QFC_SPC" localSheetId="10">#REF!</definedName>
    <definedName name="QFC_SPC">#REF!</definedName>
    <definedName name="QFC_TR" localSheetId="23">#REF!</definedName>
    <definedName name="QFC_TR" localSheetId="6">#REF!</definedName>
    <definedName name="QFC_TR" localSheetId="10">#REF!</definedName>
    <definedName name="QFC_TR">#REF!</definedName>
    <definedName name="QFC_UKPh" localSheetId="23">#REF!</definedName>
    <definedName name="QFC_UKPh" localSheetId="6">#REF!</definedName>
    <definedName name="QFC_UKPh" localSheetId="10">#REF!</definedName>
    <definedName name="QFC_UKPh">#REF!</definedName>
    <definedName name="QFC_UKPs" localSheetId="23">#REF!</definedName>
    <definedName name="QFC_UKPs" localSheetId="6">#REF!</definedName>
    <definedName name="QFC_UKPs" localSheetId="10">#REF!</definedName>
    <definedName name="QFC_UKPs">#REF!</definedName>
    <definedName name="QFC_USDh" localSheetId="23">#REF!</definedName>
    <definedName name="QFC_USDh" localSheetId="6">#REF!</definedName>
    <definedName name="QFC_USDh" localSheetId="10">#REF!</definedName>
    <definedName name="QFC_USDh">#REF!</definedName>
    <definedName name="QFC_USDs" localSheetId="23">#REF!</definedName>
    <definedName name="QFC_USDs" localSheetId="6">#REF!</definedName>
    <definedName name="QFC_USDs" localSheetId="10">#REF!</definedName>
    <definedName name="QFC_USDs">#REF!</definedName>
    <definedName name="QFC_USDspa" localSheetId="23">#REF!</definedName>
    <definedName name="QFC_USDspa" localSheetId="6">#REF!</definedName>
    <definedName name="QFC_USDspa" localSheetId="10">#REF!</definedName>
    <definedName name="QFC_USDspa">#REF!</definedName>
    <definedName name="QG">INDEX('[5] '!$B$1:$B$16,MATCH('[5]  '!$K$435,'[5] '!$A$1:$A$16,0))</definedName>
    <definedName name="QH">INDEX('[5] '!$B$1:$B$16,MATCH('[5]  '!$K$437,'[5] '!$A$1:$A$16,0))</definedName>
    <definedName name="QI">INDEX('[5] '!$B$1:$B$16,MATCH('[5]  '!$K$439,'[5] '!$A$1:$A$16,0))</definedName>
    <definedName name="Qi___0" localSheetId="23">#REF!</definedName>
    <definedName name="Qi___0" localSheetId="6">#REF!</definedName>
    <definedName name="Qi___0" localSheetId="10">#REF!</definedName>
    <definedName name="Qi___0">#REF!</definedName>
    <definedName name="Qi___13" localSheetId="23">#REF!</definedName>
    <definedName name="Qi___13" localSheetId="6">#REF!</definedName>
    <definedName name="Qi___13" localSheetId="10">#REF!</definedName>
    <definedName name="Qi___13">#REF!</definedName>
    <definedName name="QJ">INDEX('[5] '!$B$1:$B$16,MATCH('[5]  '!$K$441,'[5] '!$A$1:$A$16,0))</definedName>
    <definedName name="QK">INDEX('[5] '!$B$1:$B$16,MATCH('[5]  '!$K$443,'[5] '!$A$1:$A$16,0))</definedName>
    <definedName name="QL">INDEX('[5] '!$B$1:$B$16,MATCH('[5]  '!$K$445,'[5] '!$A$1:$A$16,0))</definedName>
    <definedName name="Ql___0" localSheetId="23">#REF!</definedName>
    <definedName name="Ql___0" localSheetId="6">#REF!</definedName>
    <definedName name="Ql___0" localSheetId="10">#REF!</definedName>
    <definedName name="Ql___0">#REF!</definedName>
    <definedName name="Ql___13" localSheetId="23">#REF!</definedName>
    <definedName name="Ql___13" localSheetId="6">#REF!</definedName>
    <definedName name="Ql___13" localSheetId="10">#REF!</definedName>
    <definedName name="Ql___13">#REF!</definedName>
    <definedName name="QM">INDEX('[5] '!$B$1:$B$16,MATCH('[5]  '!$K$447,'[5] '!$A$1:$A$16,0))</definedName>
    <definedName name="qq" localSheetId="23">#REF!</definedName>
    <definedName name="qq" localSheetId="6">#REF!</definedName>
    <definedName name="qq" localSheetId="10">#REF!</definedName>
    <definedName name="qq">#REF!</definedName>
    <definedName name="qqq" localSheetId="23">#REF!</definedName>
    <definedName name="qqq" localSheetId="6">#REF!</definedName>
    <definedName name="qqq" localSheetId="10">#REF!</definedName>
    <definedName name="qqq">#REF!</definedName>
    <definedName name="QQQQQQQQQQ" localSheetId="23">#REF!</definedName>
    <definedName name="QQQQQQQQQQ" localSheetId="6">#REF!</definedName>
    <definedName name="QQQQQQQQQQ" localSheetId="10">#REF!</definedName>
    <definedName name="QQQQQQQQQQ">#REF!</definedName>
    <definedName name="qryEqptOrdDelyETAProfile_byConstrMgr" localSheetId="23">#REF!</definedName>
    <definedName name="qryEqptOrdDelyETAProfile_byConstrMgr" localSheetId="6">#REF!</definedName>
    <definedName name="qryEqptOrdDelyETAProfile_byConstrMgr" localSheetId="10">#REF!</definedName>
    <definedName name="qryEqptOrdDelyETAProfile_byConstrMgr">#REF!</definedName>
    <definedName name="qryEqptOrdPODelProfile_ByConstrMgr" localSheetId="23">#REF!</definedName>
    <definedName name="qryEqptOrdPODelProfile_ByConstrMgr" localSheetId="6">#REF!</definedName>
    <definedName name="qryEqptOrdPODelProfile_ByConstrMgr" localSheetId="10">#REF!</definedName>
    <definedName name="qryEqptOrdPODelProfile_ByConstrMgr">#REF!</definedName>
    <definedName name="Qspan" localSheetId="23">#REF!</definedName>
    <definedName name="Qspan" localSheetId="6">#REF!</definedName>
    <definedName name="Qspan" localSheetId="10">#REF!</definedName>
    <definedName name="Qspan">#REF!</definedName>
    <definedName name="Qt" localSheetId="23">#REF!</definedName>
    <definedName name="Qt" localSheetId="6">#REF!</definedName>
    <definedName name="Qt" localSheetId="10">#REF!</definedName>
    <definedName name="Qt">#REF!</definedName>
    <definedName name="QTY" localSheetId="23">#REF!</definedName>
    <definedName name="QTY" localSheetId="6">#REF!</definedName>
    <definedName name="QTY" localSheetId="10">#REF!</definedName>
    <definedName name="QTY">#REF!</definedName>
    <definedName name="Qty_as_on_apr" localSheetId="23">#REF!</definedName>
    <definedName name="Qty_as_on_apr" localSheetId="6">#REF!</definedName>
    <definedName name="Qty_as_on_apr" localSheetId="10">#REF!</definedName>
    <definedName name="Qty_as_on_apr">#REF!</definedName>
    <definedName name="QUANTITY" localSheetId="4">#REF!</definedName>
    <definedName name="QUANTITY" localSheetId="23">#REF!</definedName>
    <definedName name="QUANTITY" localSheetId="6">#REF!</definedName>
    <definedName name="QUANTITY" localSheetId="27">#REF!</definedName>
    <definedName name="QUANTITY" localSheetId="11">#REF!</definedName>
    <definedName name="QUANTITY" localSheetId="10">#REF!</definedName>
    <definedName name="QUANTITY" localSheetId="5">#REF!</definedName>
    <definedName name="QUANTITY">#REF!</definedName>
    <definedName name="Quote_Rev_No" localSheetId="23">#REF!</definedName>
    <definedName name="Quote_Rev_No" localSheetId="6">#REF!</definedName>
    <definedName name="Quote_Rev_No" localSheetId="10">#REF!</definedName>
    <definedName name="Quote_Rev_No">#REF!</definedName>
    <definedName name="qwer" localSheetId="23">#REF!</definedName>
    <definedName name="qwer" localSheetId="6">#REF!</definedName>
    <definedName name="qwer" localSheetId="10">#REF!</definedName>
    <definedName name="qwer">#REF!</definedName>
    <definedName name="qwerty" localSheetId="23">#REF!</definedName>
    <definedName name="qwerty" localSheetId="6">#REF!</definedName>
    <definedName name="qwerty" localSheetId="10">#REF!</definedName>
    <definedName name="qwerty">#REF!</definedName>
    <definedName name="r_" localSheetId="23">#REF!</definedName>
    <definedName name="r_" localSheetId="6">#REF!</definedName>
    <definedName name="r_" localSheetId="10">#REF!</definedName>
    <definedName name="r_">#REF!</definedName>
    <definedName name="RA">INDEX('[5] '!$B$1:$B$16,MATCH('[5]  '!$K$449,'[5] '!$A$1:$A$16,0))</definedName>
    <definedName name="raaa" localSheetId="11" hidden="1">{"'Sheet1'!$A$4386:$N$4591"}</definedName>
    <definedName name="raaa" localSheetId="10" hidden="1">{"'Sheet1'!$A$4386:$N$4591"}</definedName>
    <definedName name="raaa" hidden="1">{"'Sheet1'!$A$4386:$N$4591"}</definedName>
    <definedName name="RAB_GI_Mranggen" localSheetId="23">#REF!</definedName>
    <definedName name="RAB_GI_Mranggen" localSheetId="6">#REF!</definedName>
    <definedName name="RAB_GI_Mranggen" localSheetId="10">#REF!</definedName>
    <definedName name="RAB_GI_Mranggen">#REF!</definedName>
    <definedName name="Radio" localSheetId="11" hidden="1">{"'PROFITABILITY'!$A$1:$F$45"}</definedName>
    <definedName name="Radio" localSheetId="10" hidden="1">{"'PROFITABILITY'!$A$1:$F$45"}</definedName>
    <definedName name="Radio" hidden="1">{"'PROFITABILITY'!$A$1:$F$45"}</definedName>
    <definedName name="raghu" localSheetId="23">#REF!</definedName>
    <definedName name="raghu" localSheetId="6">#REF!</definedName>
    <definedName name="raghu" localSheetId="10">#REF!</definedName>
    <definedName name="raghu">#REF!</definedName>
    <definedName name="Raj" localSheetId="11" hidden="1">{"'Sheet1'!$A$4386:$N$4591"}</definedName>
    <definedName name="Raj" localSheetId="10" hidden="1">{"'Sheet1'!$A$4386:$N$4591"}</definedName>
    <definedName name="Raj" hidden="1">{"'Sheet1'!$A$4386:$N$4591"}</definedName>
    <definedName name="raja" localSheetId="23">#REF!</definedName>
    <definedName name="raja" localSheetId="6">#REF!</definedName>
    <definedName name="raja" localSheetId="10">#REF!</definedName>
    <definedName name="raja">#REF!</definedName>
    <definedName name="RAJEEV_ERECTORS" localSheetId="4">#REF!</definedName>
    <definedName name="RAJEEV_ERECTORS" localSheetId="23">#REF!</definedName>
    <definedName name="RAJEEV_ERECTORS" localSheetId="6">#REF!</definedName>
    <definedName name="RAJEEV_ERECTORS" localSheetId="27">#REF!</definedName>
    <definedName name="RAJEEV_ERECTORS" localSheetId="11">#REF!</definedName>
    <definedName name="RAJEEV_ERECTORS" localSheetId="10">#REF!</definedName>
    <definedName name="RAJEEV_ERECTORS" localSheetId="5">#REF!</definedName>
    <definedName name="RAJEEV_ERECTORS">#REF!</definedName>
    <definedName name="ram" localSheetId="23">#REF!</definedName>
    <definedName name="ram" localSheetId="6">#REF!</definedName>
    <definedName name="ram" localSheetId="10">#REF!</definedName>
    <definedName name="ram">#REF!</definedName>
    <definedName name="Rango_a_imprimir" localSheetId="23">#REF!</definedName>
    <definedName name="Rango_a_imprimir" localSheetId="6">#REF!</definedName>
    <definedName name="Rango_a_imprimir" localSheetId="10">#REF!</definedName>
    <definedName name="Rango_a_imprimir">#REF!</definedName>
    <definedName name="RARA" localSheetId="4">#REF!</definedName>
    <definedName name="RARA" localSheetId="23">#REF!</definedName>
    <definedName name="RARA" localSheetId="6">#REF!</definedName>
    <definedName name="RARA" localSheetId="27">#REF!</definedName>
    <definedName name="RARA" localSheetId="11">#REF!</definedName>
    <definedName name="RARA" localSheetId="10">#REF!</definedName>
    <definedName name="RARA" localSheetId="5">#REF!</definedName>
    <definedName name="RARA">#REF!</definedName>
    <definedName name="RATEST" localSheetId="23">#REF!</definedName>
    <definedName name="RATEST" localSheetId="6">#REF!</definedName>
    <definedName name="RATEST" localSheetId="10">#REF!</definedName>
    <definedName name="RATEST">#REF!</definedName>
    <definedName name="RAVI" localSheetId="4">#REF!</definedName>
    <definedName name="RAVI" localSheetId="23">#REF!</definedName>
    <definedName name="RAVI" localSheetId="6">#REF!</definedName>
    <definedName name="RAVI" localSheetId="27">#REF!</definedName>
    <definedName name="RAVI" localSheetId="11">#REF!</definedName>
    <definedName name="RAVI" localSheetId="10">#REF!</definedName>
    <definedName name="RAVI" localSheetId="5">#REF!</definedName>
    <definedName name="RAVI">#REF!</definedName>
    <definedName name="RawAgencyPrice" localSheetId="23">#REF!</definedName>
    <definedName name="RawAgencyPrice" localSheetId="6">#REF!</definedName>
    <definedName name="RawAgencyPrice" localSheetId="10">#REF!</definedName>
    <definedName name="RawAgencyPrice">#REF!</definedName>
    <definedName name="RawData" localSheetId="23">#REF!</definedName>
    <definedName name="RawData" localSheetId="6">#REF!</definedName>
    <definedName name="RawData" localSheetId="10">#REF!</definedName>
    <definedName name="RawData">#REF!</definedName>
    <definedName name="RB">INDEX('[5] '!$B$1:$B$16,MATCH('[5]  '!$K$451,'[5] '!$A$1:$A$16,0))</definedName>
    <definedName name="RBData" localSheetId="23">#REF!</definedName>
    <definedName name="RBData" localSheetId="6">#REF!</definedName>
    <definedName name="RBData" localSheetId="10">#REF!</definedName>
    <definedName name="RBData">#REF!</definedName>
    <definedName name="RC_">INDEX('[5] '!$B$1:$B$16,MATCH('[5]  '!$K$453,'[5] '!$A$1:$A$16,0))</definedName>
    <definedName name="RCArea" localSheetId="23">#REF!</definedName>
    <definedName name="RCArea" localSheetId="6">#REF!</definedName>
    <definedName name="RCArea" localSheetId="10">#REF!</definedName>
    <definedName name="RCArea">#REF!</definedName>
    <definedName name="RD">INDEX('[5] '!$B$1:$B$16,MATCH('[5]  '!$K$455,'[5] '!$A$1:$A$16,0))</definedName>
    <definedName name="RE">INDEX('[5] '!$B$1:$B$16,MATCH('[5]  '!$K$457,'[5] '!$A$1:$A$16,0))</definedName>
    <definedName name="Re___0" localSheetId="23">#REF!</definedName>
    <definedName name="Re___0" localSheetId="6">#REF!</definedName>
    <definedName name="Re___0" localSheetId="10">#REF!</definedName>
    <definedName name="Re___0">#REF!</definedName>
    <definedName name="Re___13" localSheetId="23">#REF!</definedName>
    <definedName name="Re___13" localSheetId="6">#REF!</definedName>
    <definedName name="Re___13" localSheetId="10">#REF!</definedName>
    <definedName name="Re___13">#REF!</definedName>
    <definedName name="re_bar" localSheetId="23">#REF!</definedName>
    <definedName name="re_bar" localSheetId="6">#REF!</definedName>
    <definedName name="re_bar" localSheetId="10">#REF!</definedName>
    <definedName name="re_bar">#REF!</definedName>
    <definedName name="RE_SIZE" localSheetId="23">#REF!</definedName>
    <definedName name="RE_SIZE" localSheetId="6">#REF!</definedName>
    <definedName name="RE_SIZE" localSheetId="10">#REF!</definedName>
    <definedName name="RE_SIZE">#REF!</definedName>
    <definedName name="REACT220CTL" localSheetId="23">#REF!</definedName>
    <definedName name="REACT220CTL" localSheetId="6">#REF!</definedName>
    <definedName name="REACT220CTL" localSheetId="10">#REF!</definedName>
    <definedName name="REACT220CTL">#REF!</definedName>
    <definedName name="REACT220FIRE" localSheetId="23">#REF!</definedName>
    <definedName name="REACT220FIRE" localSheetId="6">#REF!</definedName>
    <definedName name="REACT220FIRE" localSheetId="10">#REF!</definedName>
    <definedName name="REACT220FIRE">#REF!</definedName>
    <definedName name="REACT500" localSheetId="23">#REF!</definedName>
    <definedName name="REACT500" localSheetId="6">#REF!</definedName>
    <definedName name="REACT500" localSheetId="10">#REF!</definedName>
    <definedName name="REACT500">#REF!</definedName>
    <definedName name="REACT500CTL" localSheetId="23">#REF!</definedName>
    <definedName name="REACT500CTL" localSheetId="6">#REF!</definedName>
    <definedName name="REACT500CTL" localSheetId="10">#REF!</definedName>
    <definedName name="REACT500CTL">#REF!</definedName>
    <definedName name="REACT500FIRE" localSheetId="23">#REF!</definedName>
    <definedName name="REACT500FIRE" localSheetId="6">#REF!</definedName>
    <definedName name="REACT500FIRE" localSheetId="10">#REF!</definedName>
    <definedName name="REACT500FIRE">#REF!</definedName>
    <definedName name="REC6RD" localSheetId="23">#REF!</definedName>
    <definedName name="REC6RD" localSheetId="6">#REF!</definedName>
    <definedName name="REC6RD" localSheetId="10">#REF!</definedName>
    <definedName name="REC6RD">#REF!</definedName>
    <definedName name="Receivables_yearwise" localSheetId="23">#REF!</definedName>
    <definedName name="Receivables_yearwise" localSheetId="6">#REF!</definedName>
    <definedName name="Receivables_yearwise" localSheetId="10">#REF!</definedName>
    <definedName name="Receivables_yearwise">#REF!</definedName>
    <definedName name="RECORD" localSheetId="23">#REF!</definedName>
    <definedName name="RECORD" localSheetId="6">#REF!</definedName>
    <definedName name="RECORD" localSheetId="10">#REF!</definedName>
    <definedName name="RECORD">#REF!</definedName>
    <definedName name="_xlnm.Recorder" localSheetId="4">#REF!</definedName>
    <definedName name="_xlnm.Recorder" localSheetId="23">#REF!</definedName>
    <definedName name="_xlnm.Recorder" localSheetId="6">#REF!</definedName>
    <definedName name="_xlnm.Recorder" localSheetId="27">#REF!</definedName>
    <definedName name="_xlnm.Recorder" localSheetId="11">#REF!</definedName>
    <definedName name="_xlnm.Recorder" localSheetId="10">#REF!</definedName>
    <definedName name="_xlnm.Recorder" localSheetId="5">#REF!</definedName>
    <definedName name="_xlnm.Recorder">#REF!</definedName>
    <definedName name="RECOUT" localSheetId="23">#REF!</definedName>
    <definedName name="RECOUT" localSheetId="6">#REF!</definedName>
    <definedName name="RECOUT" localSheetId="10">#REF!</definedName>
    <definedName name="RECOUT">#REF!</definedName>
    <definedName name="RED" localSheetId="23">#REF!</definedName>
    <definedName name="RED" localSheetId="6">#REF!</definedName>
    <definedName name="RED" localSheetId="10">#REF!</definedName>
    <definedName name="RED">#REF!</definedName>
    <definedName name="Ref__EUS_632_FDN_001" localSheetId="23">#REF!</definedName>
    <definedName name="Ref__EUS_632_FDN_001" localSheetId="6">#REF!</definedName>
    <definedName name="Ref__EUS_632_FDN_001" localSheetId="10">#REF!</definedName>
    <definedName name="Ref__EUS_632_FDN_001">#REF!</definedName>
    <definedName name="Ref__EUS_632_FDN_002" localSheetId="23">#REF!</definedName>
    <definedName name="Ref__EUS_632_FDN_002" localSheetId="6">#REF!</definedName>
    <definedName name="Ref__EUS_632_FDN_002" localSheetId="10">#REF!</definedName>
    <definedName name="Ref__EUS_632_FDN_002">#REF!</definedName>
    <definedName name="region" localSheetId="23">#REF!</definedName>
    <definedName name="region" localSheetId="6">#REF!</definedName>
    <definedName name="region" localSheetId="10">#REF!</definedName>
    <definedName name="region">#REF!</definedName>
    <definedName name="REN" localSheetId="23">#REF!</definedName>
    <definedName name="REN" localSheetId="6">#REF!</definedName>
    <definedName name="REN" localSheetId="10">#REF!</definedName>
    <definedName name="REN">#REF!</definedName>
    <definedName name="RENT" localSheetId="23">#REF!</definedName>
    <definedName name="RENT" localSheetId="6">#REF!</definedName>
    <definedName name="RENT" localSheetId="10">#REF!</definedName>
    <definedName name="RENT">#REF!</definedName>
    <definedName name="REP" localSheetId="23">#REF!</definedName>
    <definedName name="REP" localSheetId="6">#REF!</definedName>
    <definedName name="REP" localSheetId="10">#REF!</definedName>
    <definedName name="REP">#REF!</definedName>
    <definedName name="Repairs" localSheetId="23">#REF!</definedName>
    <definedName name="Repairs" localSheetId="6">#REF!</definedName>
    <definedName name="Repairs" localSheetId="10">#REF!</definedName>
    <definedName name="Repairs">#REF!</definedName>
    <definedName name="requi" localSheetId="23">#REF!</definedName>
    <definedName name="requi" localSheetId="6">#REF!</definedName>
    <definedName name="requi" localSheetId="10">#REF!</definedName>
    <definedName name="requi">#REF!</definedName>
    <definedName name="Reselects" localSheetId="23">#REF!</definedName>
    <definedName name="Reselects" localSheetId="6">#REF!</definedName>
    <definedName name="Reselects" localSheetId="10">#REF!</definedName>
    <definedName name="Reselects">#REF!</definedName>
    <definedName name="Rev" localSheetId="23">#REF!</definedName>
    <definedName name="Rev" localSheetId="6">#REF!</definedName>
    <definedName name="Rev" localSheetId="10">#REF!</definedName>
    <definedName name="Rev">#REF!</definedName>
    <definedName name="revconstn" localSheetId="23">#REF!</definedName>
    <definedName name="revconstn" localSheetId="6">#REF!</definedName>
    <definedName name="revconstn" localSheetId="10">#REF!</definedName>
    <definedName name="revconstn">#REF!</definedName>
    <definedName name="REVISION" localSheetId="23">#REF!</definedName>
    <definedName name="REVISION" localSheetId="6">#REF!</definedName>
    <definedName name="REVISION" localSheetId="10">#REF!</definedName>
    <definedName name="REVISION">#REF!</definedName>
    <definedName name="REVSTATUS" localSheetId="23">#REF!</definedName>
    <definedName name="REVSTATUS" localSheetId="6">#REF!</definedName>
    <definedName name="REVSTATUS" localSheetId="10">#REF!</definedName>
    <definedName name="REVSTATUS">#REF!</definedName>
    <definedName name="revstatuspage1" localSheetId="23">#REF!</definedName>
    <definedName name="revstatuspage1" localSheetId="6">#REF!</definedName>
    <definedName name="revstatuspage1" localSheetId="10">#REF!</definedName>
    <definedName name="revstatuspage1">#REF!</definedName>
    <definedName name="revstatuspage2" localSheetId="23">#REF!</definedName>
    <definedName name="revstatuspage2" localSheetId="6">#REF!</definedName>
    <definedName name="revstatuspage2" localSheetId="10">#REF!</definedName>
    <definedName name="revstatuspage2">#REF!</definedName>
    <definedName name="RevTable" localSheetId="23">#REF!</definedName>
    <definedName name="RevTable" localSheetId="6">#REF!</definedName>
    <definedName name="RevTable" localSheetId="10">#REF!</definedName>
    <definedName name="RevTable">#REF!</definedName>
    <definedName name="RF">INDEX('[5] '!$B$1:$B$16,MATCH('[5]  '!$K$459,'[5] '!$A$1:$A$16,0))</definedName>
    <definedName name="RFP003A" localSheetId="23">#REF!</definedName>
    <definedName name="RFP003A" localSheetId="6">#REF!</definedName>
    <definedName name="RFP003A" localSheetId="10">#REF!</definedName>
    <definedName name="RFP003A">#REF!</definedName>
    <definedName name="RFP003B" localSheetId="23">#REF!</definedName>
    <definedName name="RFP003B" localSheetId="6">#REF!</definedName>
    <definedName name="RFP003B" localSheetId="10">#REF!</definedName>
    <definedName name="RFP003B">#REF!</definedName>
    <definedName name="RFP003C" localSheetId="23">#REF!</definedName>
    <definedName name="RFP003C" localSheetId="6">#REF!</definedName>
    <definedName name="RFP003C" localSheetId="10">#REF!</definedName>
    <definedName name="RFP003C">#REF!</definedName>
    <definedName name="RFP003D" localSheetId="23">#REF!</definedName>
    <definedName name="RFP003D" localSheetId="6">#REF!</definedName>
    <definedName name="RFP003D" localSheetId="10">#REF!</definedName>
    <definedName name="RFP003D">#REF!</definedName>
    <definedName name="RFP003E" localSheetId="23">#REF!</definedName>
    <definedName name="RFP003E" localSheetId="6">#REF!</definedName>
    <definedName name="RFP003E" localSheetId="10">#REF!</definedName>
    <definedName name="RFP003E">#REF!</definedName>
    <definedName name="RFP003F" localSheetId="23">#REF!</definedName>
    <definedName name="RFP003F" localSheetId="6">#REF!</definedName>
    <definedName name="RFP003F" localSheetId="10">#REF!</definedName>
    <definedName name="RFP003F">#REF!</definedName>
    <definedName name="RFP004Material_Total_LC" localSheetId="23">#REF!</definedName>
    <definedName name="RFP004Material_Total_LC" localSheetId="6">#REF!</definedName>
    <definedName name="RFP004Material_Total_LC" localSheetId="10">#REF!</definedName>
    <definedName name="RFP004Material_Total_LC">#REF!</definedName>
    <definedName name="RFP004Materiall_Total_FC" localSheetId="23">#REF!</definedName>
    <definedName name="RFP004Materiall_Total_FC" localSheetId="6">#REF!</definedName>
    <definedName name="RFP004Materiall_Total_FC" localSheetId="10">#REF!</definedName>
    <definedName name="RFP004Materiall_Total_FC">#REF!</definedName>
    <definedName name="RFP012DL_Total_MM" localSheetId="23">#REF!</definedName>
    <definedName name="RFP012DL_Total_MM" localSheetId="6">#REF!</definedName>
    <definedName name="RFP012DL_Total_MM" localSheetId="10">#REF!</definedName>
    <definedName name="RFP012DL_Total_MM">#REF!</definedName>
    <definedName name="RG">INDEX('[5] '!$B$1:$B$16,MATCH('[5]  '!$K$461,'[5] '!$A$1:$A$16,0))</definedName>
    <definedName name="rgs" localSheetId="23">#REF!</definedName>
    <definedName name="rgs" localSheetId="6">#REF!</definedName>
    <definedName name="rgs" localSheetId="10">#REF!</definedName>
    <definedName name="rgs">#REF!</definedName>
    <definedName name="RH">INDEX('[5] '!$B$1:$B$16,MATCH('[5]  '!$K$463,'[5] '!$A$1:$A$16,0))</definedName>
    <definedName name="RI">INDEX('[5] '!$B$1:$B$16,MATCH('[5]  '!$K$465,'[5] '!$A$1:$A$16,0))</definedName>
    <definedName name="rishraetc" localSheetId="23">#REF!</definedName>
    <definedName name="rishraetc" localSheetId="6">#REF!</definedName>
    <definedName name="rishraetc" localSheetId="10">#REF!</definedName>
    <definedName name="rishraetc">#REF!</definedName>
    <definedName name="risk" localSheetId="23">#REF!</definedName>
    <definedName name="risk" localSheetId="6">#REF!</definedName>
    <definedName name="risk" localSheetId="10">#REF!</definedName>
    <definedName name="risk">#REF!</definedName>
    <definedName name="risk1" localSheetId="23">#REF!</definedName>
    <definedName name="risk1" localSheetId="6">#REF!</definedName>
    <definedName name="risk1" localSheetId="10">#REF!</definedName>
    <definedName name="risk1">#REF!</definedName>
    <definedName name="risk3" localSheetId="23">#REF!</definedName>
    <definedName name="risk3" localSheetId="6">#REF!</definedName>
    <definedName name="risk3" localSheetId="10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">INDEX('[5] '!$B$1:$B$16,MATCH('[5]  '!$K$467,'[5] '!$A$1:$A$16,0))</definedName>
    <definedName name="RK">INDEX('[5] '!$B$1:$B$16,MATCH('[5]  '!$K$469,'[5] '!$A$1:$A$16,0))</definedName>
    <definedName name="RL">INDEX('[5] '!$B$1:$B$16,MATCH('[5]  '!$K$471,'[5] '!$A$1:$A$16,0))</definedName>
    <definedName name="Rl___0" localSheetId="23">#REF!</definedName>
    <definedName name="Rl___0" localSheetId="6">#REF!</definedName>
    <definedName name="Rl___0" localSheetId="10">#REF!</definedName>
    <definedName name="Rl___0">#REF!</definedName>
    <definedName name="Rl___13" localSheetId="23">#REF!</definedName>
    <definedName name="Rl___13" localSheetId="6">#REF!</definedName>
    <definedName name="Rl___13" localSheetId="10">#REF!</definedName>
    <definedName name="Rl___13">#REF!</definedName>
    <definedName name="RM">INDEX('[5] '!$B$1:$B$16,MATCH('[5]  '!$K$473,'[5] '!$A$1:$A$16,0))</definedName>
    <definedName name="rmcaccp" localSheetId="23">#REF!</definedName>
    <definedName name="rmcaccp" localSheetId="6">#REF!</definedName>
    <definedName name="rmcaccp" localSheetId="10">#REF!</definedName>
    <definedName name="rmcaccp">#REF!</definedName>
    <definedName name="rmcecp" localSheetId="23">#REF!</definedName>
    <definedName name="rmcecp" localSheetId="6">#REF!</definedName>
    <definedName name="rmcecp" localSheetId="10">#REF!</definedName>
    <definedName name="rmcecp">#REF!</definedName>
    <definedName name="rmcmcc.1" localSheetId="23">#REF!</definedName>
    <definedName name="rmcmcc.1" localSheetId="6">#REF!</definedName>
    <definedName name="rmcmcc.1" localSheetId="10">#REF!</definedName>
    <definedName name="rmcmcc.1">#REF!</definedName>
    <definedName name="rmcmcc.2" localSheetId="23">#REF!</definedName>
    <definedName name="rmcmcc.2" localSheetId="6">#REF!</definedName>
    <definedName name="rmcmcc.2" localSheetId="10">#REF!</definedName>
    <definedName name="rmcmcc.2">#REF!</definedName>
    <definedName name="rmcmcc.3" localSheetId="23">#REF!</definedName>
    <definedName name="rmcmcc.3" localSheetId="6">#REF!</definedName>
    <definedName name="rmcmcc.3" localSheetId="10">#REF!</definedName>
    <definedName name="rmcmcc.3">#REF!</definedName>
    <definedName name="rmcmltsb" localSheetId="23">#REF!</definedName>
    <definedName name="rmcmltsb" localSheetId="6">#REF!</definedName>
    <definedName name="rmcmltsb" localSheetId="10">#REF!</definedName>
    <definedName name="rmcmltsb">#REF!</definedName>
    <definedName name="rmcmsb.ups" localSheetId="23">#REF!</definedName>
    <definedName name="rmcmsb.ups" localSheetId="6">#REF!</definedName>
    <definedName name="rmcmsb.ups" localSheetId="10">#REF!</definedName>
    <definedName name="rmcmsb.ups">#REF!</definedName>
    <definedName name="rmcsmsb.1" localSheetId="23">#REF!</definedName>
    <definedName name="rmcsmsb.1" localSheetId="6">#REF!</definedName>
    <definedName name="rmcsmsb.1" localSheetId="10">#REF!</definedName>
    <definedName name="rmcsmsb.1">#REF!</definedName>
    <definedName name="rmcsmsb.2" localSheetId="23">#REF!</definedName>
    <definedName name="rmcsmsb.2" localSheetId="6">#REF!</definedName>
    <definedName name="rmcsmsb.2" localSheetId="10">#REF!</definedName>
    <definedName name="rmcsmsb.2">#REF!</definedName>
    <definedName name="rmcsmsb.3" localSheetId="23">#REF!</definedName>
    <definedName name="rmcsmsb.3" localSheetId="6">#REF!</definedName>
    <definedName name="rmcsmsb.3" localSheetId="10">#REF!</definedName>
    <definedName name="rmcsmsb.3">#REF!</definedName>
    <definedName name="rmcsmsb.b" localSheetId="23">#REF!</definedName>
    <definedName name="rmcsmsb.b" localSheetId="6">#REF!</definedName>
    <definedName name="rmcsmsb.b" localSheetId="10">#REF!</definedName>
    <definedName name="rmcsmsb.b">#REF!</definedName>
    <definedName name="rmcsmsb.g" localSheetId="23">#REF!</definedName>
    <definedName name="rmcsmsb.g" localSheetId="6">#REF!</definedName>
    <definedName name="rmcsmsb.g" localSheetId="10">#REF!</definedName>
    <definedName name="rmcsmsb.g">#REF!</definedName>
    <definedName name="rmcsmsb.lab" localSheetId="23">#REF!</definedName>
    <definedName name="rmcsmsb.lab" localSheetId="6">#REF!</definedName>
    <definedName name="rmcsmsb.lab" localSheetId="10">#REF!</definedName>
    <definedName name="rmcsmsb.lab">#REF!</definedName>
    <definedName name="rmcsmsb.main" localSheetId="23">#REF!</definedName>
    <definedName name="rmcsmsb.main" localSheetId="6">#REF!</definedName>
    <definedName name="rmcsmsb.main" localSheetId="10">#REF!</definedName>
    <definedName name="rmcsmsb.main">#REF!</definedName>
    <definedName name="rmcsmsb.t" localSheetId="23">#REF!</definedName>
    <definedName name="rmcsmsb.t" localSheetId="6">#REF!</definedName>
    <definedName name="rmcsmsb.t" localSheetId="10">#REF!</definedName>
    <definedName name="rmcsmsb.t">#REF!</definedName>
    <definedName name="rmcsmsb.ups" localSheetId="23">#REF!</definedName>
    <definedName name="rmcsmsb.ups" localSheetId="6">#REF!</definedName>
    <definedName name="rmcsmsb.ups" localSheetId="10">#REF!</definedName>
    <definedName name="rmcsmsb.ups">#REF!</definedName>
    <definedName name="rmcup.1" localSheetId="23">#REF!</definedName>
    <definedName name="rmcup.1" localSheetId="6">#REF!</definedName>
    <definedName name="rmcup.1" localSheetId="10">#REF!</definedName>
    <definedName name="rmcup.1">#REF!</definedName>
    <definedName name="rmcup.2" localSheetId="23">#REF!</definedName>
    <definedName name="rmcup.2" localSheetId="6">#REF!</definedName>
    <definedName name="rmcup.2" localSheetId="10">#REF!</definedName>
    <definedName name="rmcup.2">#REF!</definedName>
    <definedName name="RODS" localSheetId="23">#REF!</definedName>
    <definedName name="RODS" localSheetId="6">#REF!</definedName>
    <definedName name="RODS" localSheetId="10">#REF!</definedName>
    <definedName name="RODS">#REF!</definedName>
    <definedName name="ROLLFCCASHFLOW" localSheetId="23">#REF!</definedName>
    <definedName name="ROLLFCCASHFLOW" localSheetId="6">#REF!</definedName>
    <definedName name="ROLLFCCASHFLOW" localSheetId="10">#REF!</definedName>
    <definedName name="ROLLFCCASHFLOW">#REF!</definedName>
    <definedName name="ROLLFCWKGS" localSheetId="23">#REF!</definedName>
    <definedName name="ROLLFCWKGS" localSheetId="6">#REF!</definedName>
    <definedName name="ROLLFCWKGS" localSheetId="10">#REF!</definedName>
    <definedName name="ROLLFCWKGS">#REF!</definedName>
    <definedName name="ROLLGFC" localSheetId="23">#REF!</definedName>
    <definedName name="ROLLGFC" localSheetId="6">#REF!</definedName>
    <definedName name="ROLLGFC" localSheetId="10">#REF!</definedName>
    <definedName name="ROLLGFC">#REF!</definedName>
    <definedName name="rorp" localSheetId="23">#REF!</definedName>
    <definedName name="rorp" localSheetId="6">#REF!</definedName>
    <definedName name="rorp" localSheetId="10">#REF!</definedName>
    <definedName name="rorp">#REF!</definedName>
    <definedName name="rousd" localSheetId="23">#REF!</definedName>
    <definedName name="rousd" localSheetId="6">#REF!</definedName>
    <definedName name="rousd" localSheetId="10">#REF!</definedName>
    <definedName name="rousd">#REF!</definedName>
    <definedName name="rout_t" localSheetId="23">#REF!</definedName>
    <definedName name="rout_t" localSheetId="6">#REF!</definedName>
    <definedName name="rout_t" localSheetId="10">#REF!</definedName>
    <definedName name="rout_t">#REF!</definedName>
    <definedName name="Roxy" localSheetId="23">#REF!</definedName>
    <definedName name="Roxy" localSheetId="6">#REF!</definedName>
    <definedName name="Roxy" localSheetId="10">#REF!</definedName>
    <definedName name="Roxy">#REF!</definedName>
    <definedName name="rp" localSheetId="23">#REF!</definedName>
    <definedName name="rp" localSheetId="6">#REF!</definedName>
    <definedName name="rp" localSheetId="10">#REF!</definedName>
    <definedName name="rp">#REF!</definedName>
    <definedName name="RPROT220" localSheetId="23">#REF!</definedName>
    <definedName name="RPROT220" localSheetId="6">#REF!</definedName>
    <definedName name="RPROT220" localSheetId="10">#REF!</definedName>
    <definedName name="RPROT220">#REF!</definedName>
    <definedName name="RPROT500" localSheetId="23">#REF!</definedName>
    <definedName name="RPROT500" localSheetId="6">#REF!</definedName>
    <definedName name="RPROT500" localSheetId="10">#REF!</definedName>
    <definedName name="RPROT500">#REF!</definedName>
    <definedName name="RPRTO500" localSheetId="23">#REF!</definedName>
    <definedName name="RPRTO500" localSheetId="6">#REF!</definedName>
    <definedName name="RPRTO500" localSheetId="10">#REF!</definedName>
    <definedName name="RPRTO500">#REF!</definedName>
    <definedName name="RPRTOT500" localSheetId="23">#REF!</definedName>
    <definedName name="RPRTOT500" localSheetId="6">#REF!</definedName>
    <definedName name="RPRTOT500" localSheetId="10">#REF!</definedName>
    <definedName name="RPRTOT500">#REF!</definedName>
    <definedName name="RRRRRRRRRRRRRRRRRRRRRR" localSheetId="23">#REF!</definedName>
    <definedName name="RRRRRRRRRRRRRRRRRRRRRR" localSheetId="6">#REF!</definedName>
    <definedName name="RRRRRRRRRRRRRRRRRRRRRR" localSheetId="10">#REF!</definedName>
    <definedName name="RRRRRRRRRRRRRRRRRRRRRR">#REF!</definedName>
    <definedName name="Rs___0" localSheetId="23">#REF!</definedName>
    <definedName name="Rs___0" localSheetId="6">#REF!</definedName>
    <definedName name="Rs___0" localSheetId="10">#REF!</definedName>
    <definedName name="Rs___0">#REF!</definedName>
    <definedName name="Rs___13" localSheetId="23">#REF!</definedName>
    <definedName name="Rs___13" localSheetId="6">#REF!</definedName>
    <definedName name="Rs___13" localSheetId="10">#REF!</definedName>
    <definedName name="Rs___13">#REF!</definedName>
    <definedName name="rsat" localSheetId="23">#REF!</definedName>
    <definedName name="rsat" localSheetId="6">#REF!</definedName>
    <definedName name="rsat" localSheetId="10">#REF!</definedName>
    <definedName name="rsat">#REF!</definedName>
    <definedName name="Rse" localSheetId="23">#REF!</definedName>
    <definedName name="Rse" localSheetId="6">#REF!</definedName>
    <definedName name="Rse" localSheetId="10">#REF!</definedName>
    <definedName name="Rse">#REF!</definedName>
    <definedName name="Rse___0" localSheetId="23">#REF!</definedName>
    <definedName name="Rse___0" localSheetId="6">#REF!</definedName>
    <definedName name="Rse___0" localSheetId="10">#REF!</definedName>
    <definedName name="Rse___0">#REF!</definedName>
    <definedName name="Rse___13" localSheetId="23">#REF!</definedName>
    <definedName name="Rse___13" localSheetId="6">#REF!</definedName>
    <definedName name="Rse___13" localSheetId="10">#REF!</definedName>
    <definedName name="Rse___13">#REF!</definedName>
    <definedName name="rts" localSheetId="23">#REF!</definedName>
    <definedName name="rts" localSheetId="6">#REF!</definedName>
    <definedName name="rts" localSheetId="10">#REF!</definedName>
    <definedName name="rts">#REF!</definedName>
    <definedName name="RTU1_AI" localSheetId="23">#REF!</definedName>
    <definedName name="RTU1_AI" localSheetId="6">#REF!</definedName>
    <definedName name="RTU1_AI" localSheetId="10">#REF!</definedName>
    <definedName name="RTU1_AI">#REF!</definedName>
    <definedName name="RTU1_DI" localSheetId="23">#REF!</definedName>
    <definedName name="RTU1_DI" localSheetId="6">#REF!</definedName>
    <definedName name="RTU1_DI" localSheetId="10">#REF!</definedName>
    <definedName name="RTU1_DI">#REF!</definedName>
    <definedName name="RTU1_DO" localSheetId="23">#REF!</definedName>
    <definedName name="RTU1_DO" localSheetId="6">#REF!</definedName>
    <definedName name="RTU1_DO" localSheetId="10">#REF!</definedName>
    <definedName name="RTU1_DO">#REF!</definedName>
    <definedName name="RTU1_PC" localSheetId="23">#REF!</definedName>
    <definedName name="RTU1_PC" localSheetId="6">#REF!</definedName>
    <definedName name="RTU1_PC" localSheetId="10">#REF!</definedName>
    <definedName name="RTU1_PC">#REF!</definedName>
    <definedName name="RTU2_AI" localSheetId="23">#REF!</definedName>
    <definedName name="RTU2_AI" localSheetId="6">#REF!</definedName>
    <definedName name="RTU2_AI" localSheetId="10">#REF!</definedName>
    <definedName name="RTU2_AI">#REF!</definedName>
    <definedName name="RTU2_DI" localSheetId="23">#REF!</definedName>
    <definedName name="RTU2_DI" localSheetId="6">#REF!</definedName>
    <definedName name="RTU2_DI" localSheetId="10">#REF!</definedName>
    <definedName name="RTU2_DI">#REF!</definedName>
    <definedName name="RTU2_DO" localSheetId="23">#REF!</definedName>
    <definedName name="RTU2_DO" localSheetId="6">#REF!</definedName>
    <definedName name="RTU2_DO" localSheetId="10">#REF!</definedName>
    <definedName name="RTU2_DO">#REF!</definedName>
    <definedName name="RTU2_PC" localSheetId="23">#REF!</definedName>
    <definedName name="RTU2_PC" localSheetId="6">#REF!</definedName>
    <definedName name="RTU2_PC" localSheetId="10">#REF!</definedName>
    <definedName name="RTU2_PC">#REF!</definedName>
    <definedName name="RUPEES" localSheetId="23">#REF!</definedName>
    <definedName name="RUPEES" localSheetId="6">#REF!</definedName>
    <definedName name="RUPEES" localSheetId="10">#REF!</definedName>
    <definedName name="RUPEES">#REF!</definedName>
    <definedName name="RUPEES_1" localSheetId="23">#REF!</definedName>
    <definedName name="RUPEES_1" localSheetId="6">#REF!</definedName>
    <definedName name="RUPEES_1" localSheetId="10">#REF!</definedName>
    <definedName name="RUPEES_1">#REF!</definedName>
    <definedName name="S" localSheetId="4">'[11]CFL-KIM'!$G$1</definedName>
    <definedName name="s" localSheetId="23">#REF!</definedName>
    <definedName name="s" localSheetId="6">#REF!</definedName>
    <definedName name="S" localSheetId="27">'[11]CFL-KIM'!$G$1</definedName>
    <definedName name="S" localSheetId="11">'[11]CFL-KIM'!$G$1</definedName>
    <definedName name="s" localSheetId="10">#REF!</definedName>
    <definedName name="S" localSheetId="5">'[11]CFL-KIM'!$G$1</definedName>
    <definedName name="s">#REF!</definedName>
    <definedName name="SA">INDEX('[5] '!$B$1:$B$16,MATCH('[5]  '!$K$475,'[5] '!$A$1:$A$16,0))</definedName>
    <definedName name="SAFAFSDF" localSheetId="4">#REF!</definedName>
    <definedName name="SAFAFSDF" localSheetId="23">#REF!</definedName>
    <definedName name="SAFAFSDF" localSheetId="6">#REF!</definedName>
    <definedName name="SAFAFSDF" localSheetId="27">#REF!</definedName>
    <definedName name="SAFAFSDF" localSheetId="11">#REF!</definedName>
    <definedName name="SAFAFSDF" localSheetId="10">#REF!</definedName>
    <definedName name="SAFAFSDF" localSheetId="5">#REF!</definedName>
    <definedName name="SAFAFSDF">#REF!</definedName>
    <definedName name="sal" localSheetId="23">#REF!</definedName>
    <definedName name="sal" localSheetId="6">#REF!</definedName>
    <definedName name="sal" localSheetId="10">#REF!</definedName>
    <definedName name="sal">#REF!</definedName>
    <definedName name="salar" localSheetId="23">#REF!</definedName>
    <definedName name="salar" localSheetId="6">#REF!</definedName>
    <definedName name="salar" localSheetId="10">#REF!</definedName>
    <definedName name="salar">#REF!</definedName>
    <definedName name="SALARIES___WAGES" localSheetId="23">#REF!</definedName>
    <definedName name="SALARIES___WAGES" localSheetId="6">#REF!</definedName>
    <definedName name="SALARIES___WAGES" localSheetId="10">#REF!</definedName>
    <definedName name="SALARIES___WAGES">#REF!</definedName>
    <definedName name="SALEFACT" localSheetId="23">#REF!</definedName>
    <definedName name="SALEFACT" localSheetId="6">#REF!</definedName>
    <definedName name="SALEFACT" localSheetId="10">#REF!</definedName>
    <definedName name="SALEFACT">#REF!</definedName>
    <definedName name="SALESPLAN" localSheetId="23">#REF!</definedName>
    <definedName name="SALESPLAN" localSheetId="6">#REF!</definedName>
    <definedName name="SALESPLAN" localSheetId="10">#REF!</definedName>
    <definedName name="SALESPLAN">#REF!</definedName>
    <definedName name="SAME" localSheetId="4">#REF!</definedName>
    <definedName name="SAME" localSheetId="23">#REF!</definedName>
    <definedName name="SAME" localSheetId="6">#REF!</definedName>
    <definedName name="SAME" localSheetId="27">#REF!</definedName>
    <definedName name="SAME" localSheetId="11">#REF!</definedName>
    <definedName name="SAME" localSheetId="10">#REF!</definedName>
    <definedName name="SAME" localSheetId="5">#REF!</definedName>
    <definedName name="SAME">#REF!</definedName>
    <definedName name="SandI_Mobi_Mth" localSheetId="23">#REF!</definedName>
    <definedName name="SandI_Mobi_Mth" localSheetId="6">#REF!</definedName>
    <definedName name="SandI_Mobi_Mth" localSheetId="10">#REF!</definedName>
    <definedName name="SandI_Mobi_Mth">#REF!</definedName>
    <definedName name="SandI_Mth" localSheetId="23">#REF!</definedName>
    <definedName name="SandI_Mth" localSheetId="6">#REF!</definedName>
    <definedName name="SandI_Mth" localSheetId="10">#REF!</definedName>
    <definedName name="SandI_Mth">#REF!</definedName>
    <definedName name="SAP_SUMM" localSheetId="23">#REF!</definedName>
    <definedName name="SAP_SUMM" localSheetId="6">#REF!</definedName>
    <definedName name="SAP_SUMM" localSheetId="10">#REF!</definedName>
    <definedName name="SAP_SUMM">#REF!</definedName>
    <definedName name="sarita" localSheetId="23">#REF!</definedName>
    <definedName name="sarita" localSheetId="6">#REF!</definedName>
    <definedName name="sarita" localSheetId="10">#REF!</definedName>
    <definedName name="sarita">#REF!</definedName>
    <definedName name="SB">INDEX('[5] '!$B$1:$B$16,MATCH('[5]  '!$K$477,'[5] '!$A$1:$A$16,0))</definedName>
    <definedName name="SC">INDEX('[5] '!$B$1:$B$16,MATCH('[5]  '!$K$479,'[5] '!$A$1:$A$16,0))</definedName>
    <definedName name="SC_Ave" localSheetId="23">#REF!</definedName>
    <definedName name="SC_Ave" localSheetId="6">#REF!</definedName>
    <definedName name="SC_Ave" localSheetId="10">#REF!</definedName>
    <definedName name="SC_Ave">#REF!</definedName>
    <definedName name="SC_Mobi_Mth" localSheetId="23">#REF!</definedName>
    <definedName name="SC_Mobi_Mth" localSheetId="6">#REF!</definedName>
    <definedName name="SC_Mobi_Mth" localSheetId="10">#REF!</definedName>
    <definedName name="SC_Mobi_Mth">#REF!</definedName>
    <definedName name="SC_MP_Peak" localSheetId="23">#REF!</definedName>
    <definedName name="SC_MP_Peak" localSheetId="6">#REF!</definedName>
    <definedName name="SC_MP_Peak" localSheetId="10">#REF!</definedName>
    <definedName name="SC_MP_Peak">#REF!</definedName>
    <definedName name="SC_Mth" localSheetId="23">#REF!</definedName>
    <definedName name="SC_Mth" localSheetId="6">#REF!</definedName>
    <definedName name="SC_Mth" localSheetId="10">#REF!</definedName>
    <definedName name="SC_Mth">#REF!</definedName>
    <definedName name="SC_percentage" localSheetId="23">#REF!</definedName>
    <definedName name="SC_percentage" localSheetId="6">#REF!</definedName>
    <definedName name="SC_percentage" localSheetId="10">#REF!</definedName>
    <definedName name="SC_percentage">#REF!</definedName>
    <definedName name="SC_SALE_FACT" localSheetId="23">#REF!</definedName>
    <definedName name="SC_SALE_FACT" localSheetId="6">#REF!</definedName>
    <definedName name="SC_SALE_FACT" localSheetId="10">#REF!</definedName>
    <definedName name="SC_SALE_FACT">#REF!</definedName>
    <definedName name="SC_Sales" localSheetId="23">#REF!</definedName>
    <definedName name="SC_Sales" localSheetId="6">#REF!</definedName>
    <definedName name="SC_Sales" localSheetId="10">#REF!</definedName>
    <definedName name="SC_Sales">#REF!</definedName>
    <definedName name="SCADA" localSheetId="23">#REF!</definedName>
    <definedName name="SCADA" localSheetId="6">#REF!</definedName>
    <definedName name="SCADA" localSheetId="10">#REF!</definedName>
    <definedName name="SCADA">#REF!</definedName>
    <definedName name="SCADA220" localSheetId="23">#REF!</definedName>
    <definedName name="SCADA220" localSheetId="6">#REF!</definedName>
    <definedName name="SCADA220" localSheetId="10">#REF!</definedName>
    <definedName name="SCADA220">#REF!</definedName>
    <definedName name="SCADA220SS" localSheetId="23">#REF!</definedName>
    <definedName name="SCADA220SS" localSheetId="6">#REF!</definedName>
    <definedName name="SCADA220SS" localSheetId="10">#REF!</definedName>
    <definedName name="SCADA220SS">#REF!</definedName>
    <definedName name="scale" localSheetId="23">#REF!</definedName>
    <definedName name="scale" localSheetId="6">#REF!</definedName>
    <definedName name="scale" localSheetId="10">#REF!</definedName>
    <definedName name="scale">#REF!</definedName>
    <definedName name="scbwo" localSheetId="23">#REF!</definedName>
    <definedName name="scbwo" localSheetId="6">#REF!</definedName>
    <definedName name="scbwo" localSheetId="10">#REF!</definedName>
    <definedName name="scbwo">#REF!</definedName>
    <definedName name="SCH" localSheetId="23">#REF!</definedName>
    <definedName name="SCH" localSheetId="6">#REF!</definedName>
    <definedName name="SCH" localSheetId="10">#REF!</definedName>
    <definedName name="SCH">#REF!</definedName>
    <definedName name="sch.40" localSheetId="23">#REF!</definedName>
    <definedName name="sch.40" localSheetId="6">#REF!</definedName>
    <definedName name="sch.40" localSheetId="10">#REF!</definedName>
    <definedName name="sch.40">#REF!</definedName>
    <definedName name="SCHEDULE_NO._1" localSheetId="23">#REF!</definedName>
    <definedName name="SCHEDULE_NO._1" localSheetId="6">#REF!</definedName>
    <definedName name="SCHEDULE_NO._1" localSheetId="10">#REF!</definedName>
    <definedName name="SCHEDULE_NO._1">#REF!</definedName>
    <definedName name="SCHEDULE_NO._10___Loans___Advances" localSheetId="23">#REF!</definedName>
    <definedName name="SCHEDULE_NO._10___Loans___Advances" localSheetId="6">#REF!</definedName>
    <definedName name="SCHEDULE_NO._10___Loans___Advances" localSheetId="10">#REF!</definedName>
    <definedName name="SCHEDULE_NO._10___Loans___Advances">#REF!</definedName>
    <definedName name="SCHEDULE_NO._11a___Current_Liabilities" localSheetId="23">#REF!</definedName>
    <definedName name="SCHEDULE_NO._11a___Current_Liabilities" localSheetId="6">#REF!</definedName>
    <definedName name="SCHEDULE_NO._11a___Current_Liabilities" localSheetId="10">#REF!</definedName>
    <definedName name="SCHEDULE_NO._11a___Current_Liabilities">#REF!</definedName>
    <definedName name="SCHEDULE_NO._11b___Provisions" localSheetId="23">#REF!</definedName>
    <definedName name="SCHEDULE_NO._11b___Provisions" localSheetId="6">#REF!</definedName>
    <definedName name="SCHEDULE_NO._11b___Provisions" localSheetId="10">#REF!</definedName>
    <definedName name="SCHEDULE_NO._11b___Provisions">#REF!</definedName>
    <definedName name="SCHEDULE_NO._2___Reserves___Surplus_P__L" localSheetId="23">#REF!</definedName>
    <definedName name="SCHEDULE_NO._2___Reserves___Surplus_P__L" localSheetId="6">#REF!</definedName>
    <definedName name="SCHEDULE_NO._2___Reserves___Surplus_P__L" localSheetId="10">#REF!</definedName>
    <definedName name="SCHEDULE_NO._2___Reserves___Surplus_P__L">#REF!</definedName>
    <definedName name="SCHEDULE_NO._4___UnSecured_Loans" localSheetId="23">#REF!</definedName>
    <definedName name="SCHEDULE_NO._4___UnSecured_Loans" localSheetId="6">#REF!</definedName>
    <definedName name="SCHEDULE_NO._4___UnSecured_Loans" localSheetId="10">#REF!</definedName>
    <definedName name="SCHEDULE_NO._4___UnSecured_Loans">#REF!</definedName>
    <definedName name="SCHEDULE_NO._5___Fixed_Assets" localSheetId="23">#REF!</definedName>
    <definedName name="SCHEDULE_NO._5___Fixed_Assets" localSheetId="6">#REF!</definedName>
    <definedName name="SCHEDULE_NO._5___Fixed_Assets" localSheetId="10">#REF!</definedName>
    <definedName name="SCHEDULE_NO._5___Fixed_Assets">#REF!</definedName>
    <definedName name="SCHEDULE_NO._6___Investments" localSheetId="23">#REF!</definedName>
    <definedName name="SCHEDULE_NO._6___Investments" localSheetId="6">#REF!</definedName>
    <definedName name="SCHEDULE_NO._6___Investments" localSheetId="10">#REF!</definedName>
    <definedName name="SCHEDULE_NO._6___Investments">#REF!</definedName>
    <definedName name="SCHEDULE_NO._6a___Interest_accrued_on_Investments" localSheetId="23">#REF!</definedName>
    <definedName name="SCHEDULE_NO._6a___Interest_accrued_on_Investments" localSheetId="6">#REF!</definedName>
    <definedName name="SCHEDULE_NO._6a___Interest_accrued_on_Investments" localSheetId="10">#REF!</definedName>
    <definedName name="SCHEDULE_NO._6a___Interest_accrued_on_Investments">#REF!</definedName>
    <definedName name="SCHEDULE_NO._7___Inventories" localSheetId="23">#REF!</definedName>
    <definedName name="SCHEDULE_NO._7___Inventories" localSheetId="6">#REF!</definedName>
    <definedName name="SCHEDULE_NO._7___Inventories" localSheetId="10">#REF!</definedName>
    <definedName name="SCHEDULE_NO._7___Inventories">#REF!</definedName>
    <definedName name="SCHEDULE_NO._8___Sundry_Debtors" localSheetId="23">#REF!</definedName>
    <definedName name="SCHEDULE_NO._8___Sundry_Debtors" localSheetId="6">#REF!</definedName>
    <definedName name="SCHEDULE_NO._8___Sundry_Debtors" localSheetId="10">#REF!</definedName>
    <definedName name="SCHEDULE_NO._8___Sundry_Debtors">#REF!</definedName>
    <definedName name="SCHEDULE_NO._9___Bank_Balances" localSheetId="23">#REF!</definedName>
    <definedName name="SCHEDULE_NO._9___Bank_Balances" localSheetId="6">#REF!</definedName>
    <definedName name="SCHEDULE_NO._9___Bank_Balances" localSheetId="10">#REF!</definedName>
    <definedName name="SCHEDULE_NO._9___Bank_Balances">#REF!</definedName>
    <definedName name="SCHEDULE_NO_10" localSheetId="23">#REF!</definedName>
    <definedName name="SCHEDULE_NO_10" localSheetId="6">#REF!</definedName>
    <definedName name="SCHEDULE_NO_10" localSheetId="10">#REF!</definedName>
    <definedName name="SCHEDULE_NO_10">#REF!</definedName>
    <definedName name="SCHEDULE_NO_13" localSheetId="23">#REF!</definedName>
    <definedName name="SCHEDULE_NO_13" localSheetId="6">#REF!</definedName>
    <definedName name="SCHEDULE_NO_13" localSheetId="10">#REF!</definedName>
    <definedName name="SCHEDULE_NO_13">#REF!</definedName>
    <definedName name="SCIENCE" localSheetId="23">#REF!</definedName>
    <definedName name="SCIENCE" localSheetId="6">#REF!</definedName>
    <definedName name="SCIENCE" localSheetId="10">#REF!</definedName>
    <definedName name="SCIENCE">#REF!</definedName>
    <definedName name="sd" localSheetId="4">#REF!</definedName>
    <definedName name="sd" localSheetId="27">#REF!</definedName>
    <definedName name="sd" localSheetId="5">#REF!</definedName>
    <definedName name="SD">INDEX('[5] '!$B$1:$B$16,MATCH('[5]  '!$K$481,'[5] '!$A$1:$A$16,0))</definedName>
    <definedName name="sdf" localSheetId="23">#REF!</definedName>
    <definedName name="sdf" localSheetId="6">#REF!</definedName>
    <definedName name="sdf" localSheetId="10">#REF!</definedName>
    <definedName name="sdf">#REF!</definedName>
    <definedName name="sdif" localSheetId="23">#REF!</definedName>
    <definedName name="sdif" localSheetId="6">#REF!</definedName>
    <definedName name="sdif" localSheetId="10">#REF!</definedName>
    <definedName name="sdif">#REF!</definedName>
    <definedName name="sdjghkkjhg" localSheetId="23">#REF!</definedName>
    <definedName name="sdjghkkjhg" localSheetId="6">#REF!</definedName>
    <definedName name="sdjghkkjhg" localSheetId="10">#REF!</definedName>
    <definedName name="sdjghkkjhg">#REF!</definedName>
    <definedName name="sdsdsd" localSheetId="23">#REF!</definedName>
    <definedName name="sdsdsd" localSheetId="6">#REF!</definedName>
    <definedName name="sdsdsd" localSheetId="10">#REF!</definedName>
    <definedName name="sdsdsd">#REF!</definedName>
    <definedName name="SE">INDEX('[5] '!$B$1:$B$16,MATCH('[5]  '!$K$483,'[5] '!$A$1:$A$16,0))</definedName>
    <definedName name="SEAL" localSheetId="23">#REF!</definedName>
    <definedName name="SEAL" localSheetId="6">#REF!</definedName>
    <definedName name="SEAL" localSheetId="10">#REF!</definedName>
    <definedName name="SEAL">#REF!</definedName>
    <definedName name="SEAL1" localSheetId="23">#REF!</definedName>
    <definedName name="SEAL1" localSheetId="6">#REF!</definedName>
    <definedName name="SEAL1" localSheetId="10">#REF!</definedName>
    <definedName name="SEAL1">#REF!</definedName>
    <definedName name="sek" localSheetId="23">#REF!</definedName>
    <definedName name="sek" localSheetId="6">#REF!</definedName>
    <definedName name="sek" localSheetId="10">#REF!</definedName>
    <definedName name="sek">#REF!</definedName>
    <definedName name="SEK_C" localSheetId="23">#REF!</definedName>
    <definedName name="SEK_C" localSheetId="6">#REF!</definedName>
    <definedName name="SEK_C" localSheetId="10">#REF!</definedName>
    <definedName name="SEK_C">#REF!</definedName>
    <definedName name="SER_TAX" localSheetId="23">#REF!</definedName>
    <definedName name="SER_TAX" localSheetId="6">#REF!</definedName>
    <definedName name="SER_TAX" localSheetId="10">#REF!</definedName>
    <definedName name="SER_TAX">#REF!</definedName>
    <definedName name="SESHA_SAI_CONSTRUCTION" localSheetId="4">#REF!</definedName>
    <definedName name="SESHA_SAI_CONSTRUCTION" localSheetId="23">#REF!</definedName>
    <definedName name="SESHA_SAI_CONSTRUCTION" localSheetId="6">#REF!</definedName>
    <definedName name="SESHA_SAI_CONSTRUCTION" localSheetId="27">#REF!</definedName>
    <definedName name="SESHA_SAI_CONSTRUCTION" localSheetId="11">#REF!</definedName>
    <definedName name="SESHA_SAI_CONSTRUCTION" localSheetId="10">#REF!</definedName>
    <definedName name="SESHA_SAI_CONSTRUCTION" localSheetId="5">#REF!</definedName>
    <definedName name="SESHA_SAI_CONSTRUCTION">#REF!</definedName>
    <definedName name="SF">INDEX('[5] '!$B$1:$B$16,MATCH('[5]  '!$K$503,'[5] '!$A$1:$A$16,0))</definedName>
    <definedName name="sfcon_idr" localSheetId="23">#REF!</definedName>
    <definedName name="sfcon_idr" localSheetId="6">#REF!</definedName>
    <definedName name="sfcon_idr" localSheetId="10">#REF!</definedName>
    <definedName name="sfcon_idr">#REF!</definedName>
    <definedName name="sfcon_usd" localSheetId="23">#REF!</definedName>
    <definedName name="sfcon_usd" localSheetId="6">#REF!</definedName>
    <definedName name="sfcon_usd" localSheetId="10">#REF!</definedName>
    <definedName name="sfcon_usd">#REF!</definedName>
    <definedName name="sfdism" localSheetId="23">#REF!</definedName>
    <definedName name="sfdism" localSheetId="6">#REF!</definedName>
    <definedName name="sfdism" localSheetId="10">#REF!</definedName>
    <definedName name="sfdism">#REF!</definedName>
    <definedName name="sfdism_idr" localSheetId="23">#REF!</definedName>
    <definedName name="sfdism_idr" localSheetId="6">#REF!</definedName>
    <definedName name="sfdism_idr" localSheetId="10">#REF!</definedName>
    <definedName name="sfdism_idr">#REF!</definedName>
    <definedName name="sfdism_usd" localSheetId="23">#REF!</definedName>
    <definedName name="sfdism_usd" localSheetId="6">#REF!</definedName>
    <definedName name="sfdism_usd" localSheetId="10">#REF!</definedName>
    <definedName name="sfdism_usd">#REF!</definedName>
    <definedName name="sfearthing_idr" localSheetId="23">#REF!</definedName>
    <definedName name="sfearthing_idr" localSheetId="6">#REF!</definedName>
    <definedName name="sfearthing_idr" localSheetId="10">#REF!</definedName>
    <definedName name="sfearthing_idr">#REF!</definedName>
    <definedName name="sfearthing_usd" localSheetId="23">#REF!</definedName>
    <definedName name="sfearthing_usd" localSheetId="6">#REF!</definedName>
    <definedName name="sfearthing_usd" localSheetId="10">#REF!</definedName>
    <definedName name="sfearthing_usd">#REF!</definedName>
    <definedName name="sfew_idr" localSheetId="23">#REF!</definedName>
    <definedName name="sfew_idr" localSheetId="6">#REF!</definedName>
    <definedName name="sfew_idr" localSheetId="10">#REF!</definedName>
    <definedName name="sfew_idr">#REF!</definedName>
    <definedName name="sfew_usd" localSheetId="23">#REF!</definedName>
    <definedName name="sfew_usd" localSheetId="6">#REF!</definedName>
    <definedName name="sfew_usd" localSheetId="10">#REF!</definedName>
    <definedName name="sfew_usd">#REF!</definedName>
    <definedName name="sffew_idr" localSheetId="23">#REF!</definedName>
    <definedName name="sffew_idr" localSheetId="6">#REF!</definedName>
    <definedName name="sffew_idr" localSheetId="10">#REF!</definedName>
    <definedName name="sffew_idr">#REF!</definedName>
    <definedName name="sffg" localSheetId="23">#REF!</definedName>
    <definedName name="sffg" localSheetId="6">#REF!</definedName>
    <definedName name="sffg" localSheetId="10">#REF!</definedName>
    <definedName name="sffg">#REF!</definedName>
    <definedName name="sffitting_idr" localSheetId="23">#REF!</definedName>
    <definedName name="sffitting_idr" localSheetId="6">#REF!</definedName>
    <definedName name="sffitting_idr" localSheetId="10">#REF!</definedName>
    <definedName name="sffitting_idr">#REF!</definedName>
    <definedName name="sffitting_usd" localSheetId="23">#REF!</definedName>
    <definedName name="sffitting_usd" localSheetId="6">#REF!</definedName>
    <definedName name="sffitting_usd" localSheetId="10">#REF!</definedName>
    <definedName name="sffitting_usd">#REF!</definedName>
    <definedName name="sffound_idr" localSheetId="23">#REF!</definedName>
    <definedName name="sffound_idr" localSheetId="6">#REF!</definedName>
    <definedName name="sffound_idr" localSheetId="10">#REF!</definedName>
    <definedName name="sffound_idr">#REF!</definedName>
    <definedName name="sffound_usd" localSheetId="23">#REF!</definedName>
    <definedName name="sffound_usd" localSheetId="6">#REF!</definedName>
    <definedName name="sffound_usd" localSheetId="10">#REF!</definedName>
    <definedName name="sffound_usd">#REF!</definedName>
    <definedName name="sfinstall" localSheetId="23">#REF!</definedName>
    <definedName name="sfinstall" localSheetId="6">#REF!</definedName>
    <definedName name="sfinstall" localSheetId="10">#REF!</definedName>
    <definedName name="sfinstall">#REF!</definedName>
    <definedName name="sfinsul_idr" localSheetId="23">#REF!</definedName>
    <definedName name="sfinsul_idr" localSheetId="6">#REF!</definedName>
    <definedName name="sfinsul_idr" localSheetId="10">#REF!</definedName>
    <definedName name="sfinsul_idr">#REF!</definedName>
    <definedName name="sfinsul_usd" localSheetId="23">#REF!</definedName>
    <definedName name="sfinsul_usd" localSheetId="6">#REF!</definedName>
    <definedName name="sfinsul_usd" localSheetId="10">#REF!</definedName>
    <definedName name="sfinsul_usd">#REF!</definedName>
    <definedName name="sfmisc" localSheetId="23">#REF!</definedName>
    <definedName name="sfmisc" localSheetId="6">#REF!</definedName>
    <definedName name="sfmisc" localSheetId="10">#REF!</definedName>
    <definedName name="sfmisc">#REF!</definedName>
    <definedName name="sfmisc_idr" localSheetId="23">#REF!</definedName>
    <definedName name="sfmisc_idr" localSheetId="6">#REF!</definedName>
    <definedName name="sfmisc_idr" localSheetId="10">#REF!</definedName>
    <definedName name="sfmisc_idr">#REF!</definedName>
    <definedName name="sfmisc_usd" localSheetId="23">#REF!</definedName>
    <definedName name="sfmisc_usd" localSheetId="6">#REF!</definedName>
    <definedName name="sfmisc_usd" localSheetId="10">#REF!</definedName>
    <definedName name="sfmisc_usd">#REF!</definedName>
    <definedName name="sfmisce_idr" localSheetId="23">#REF!</definedName>
    <definedName name="sfmisce_idr" localSheetId="6">#REF!</definedName>
    <definedName name="sfmisce_idr" localSheetId="10">#REF!</definedName>
    <definedName name="sfmisce_idr">#REF!</definedName>
    <definedName name="sfnumplate_idr" localSheetId="23">#REF!</definedName>
    <definedName name="sfnumplate_idr" localSheetId="6">#REF!</definedName>
    <definedName name="sfnumplate_idr" localSheetId="10">#REF!</definedName>
    <definedName name="sfnumplate_idr">#REF!</definedName>
    <definedName name="sfnumplate_usd" localSheetId="23">#REF!</definedName>
    <definedName name="sfnumplate_usd" localSheetId="6">#REF!</definedName>
    <definedName name="sfnumplate_usd" localSheetId="10">#REF!</definedName>
    <definedName name="sfnumplate_usd">#REF!</definedName>
    <definedName name="SFR" localSheetId="23">#REF!</definedName>
    <definedName name="SFR" localSheetId="6">#REF!</definedName>
    <definedName name="SFR" localSheetId="10">#REF!</definedName>
    <definedName name="SFR">#REF!</definedName>
    <definedName name="sfsurvey_idr" localSheetId="23">#REF!</definedName>
    <definedName name="sfsurvey_idr" localSheetId="6">#REF!</definedName>
    <definedName name="sfsurvey_idr" localSheetId="10">#REF!</definedName>
    <definedName name="sfsurvey_idr">#REF!</definedName>
    <definedName name="sfsurvey_usd" localSheetId="23">#REF!</definedName>
    <definedName name="sfsurvey_usd" localSheetId="6">#REF!</definedName>
    <definedName name="sfsurvey_usd" localSheetId="10">#REF!</definedName>
    <definedName name="sfsurvey_usd">#REF!</definedName>
    <definedName name="sftest_idr" localSheetId="23">#REF!</definedName>
    <definedName name="sftest_idr" localSheetId="6">#REF!</definedName>
    <definedName name="sftest_idr" localSheetId="10">#REF!</definedName>
    <definedName name="sftest_idr">#REF!</definedName>
    <definedName name="sftest_usd" localSheetId="23">#REF!</definedName>
    <definedName name="sftest_usd" localSheetId="6">#REF!</definedName>
    <definedName name="sftest_usd" localSheetId="10">#REF!</definedName>
    <definedName name="sftest_usd">#REF!</definedName>
    <definedName name="sftower_idr" localSheetId="23">#REF!</definedName>
    <definedName name="sftower_idr" localSheetId="6">#REF!</definedName>
    <definedName name="sftower_idr" localSheetId="10">#REF!</definedName>
    <definedName name="sftower_idr">#REF!</definedName>
    <definedName name="sftower_usd" localSheetId="23">#REF!</definedName>
    <definedName name="sftower_usd" localSheetId="6">#REF!</definedName>
    <definedName name="sftower_usd" localSheetId="10">#REF!</definedName>
    <definedName name="sftower_usd">#REF!</definedName>
    <definedName name="sftransport" localSheetId="23">#REF!</definedName>
    <definedName name="sftransport" localSheetId="6">#REF!</definedName>
    <definedName name="sftransport" localSheetId="10">#REF!</definedName>
    <definedName name="sftransport">#REF!</definedName>
    <definedName name="SG">INDEX('[5] '!$B$1:$B$16,MATCH('[5]  '!$K$485,'[5] '!$A$1:$A$16,0))</definedName>
    <definedName name="SH">INDEX('[5] '!$B$1:$B$16,MATCH('[5]  '!$K$487,'[5] '!$A$1:$A$16,0))</definedName>
    <definedName name="Shakti" localSheetId="23">#REF!</definedName>
    <definedName name="Shakti" localSheetId="6">#REF!</definedName>
    <definedName name="Shakti" localSheetId="10">#REF!</definedName>
    <definedName name="Shakti">#REF!</definedName>
    <definedName name="SHEET" localSheetId="23">#REF!</definedName>
    <definedName name="SHEET" localSheetId="6">#REF!</definedName>
    <definedName name="SHEET" localSheetId="10">#REF!</definedName>
    <definedName name="SHEET">#REF!</definedName>
    <definedName name="sheet1" localSheetId="4">#REF!</definedName>
    <definedName name="sheet1" localSheetId="23">#REF!</definedName>
    <definedName name="sheet1" localSheetId="6">#REF!</definedName>
    <definedName name="sheet1" localSheetId="27">#REF!</definedName>
    <definedName name="sheet1" localSheetId="11">#REF!</definedName>
    <definedName name="sheet1" localSheetId="10">#REF!</definedName>
    <definedName name="sheet1" localSheetId="5">#REF!</definedName>
    <definedName name="sheet1">#REF!</definedName>
    <definedName name="sheet1___0" localSheetId="23">#REF!</definedName>
    <definedName name="sheet1___0" localSheetId="6">#REF!</definedName>
    <definedName name="sheet1___0" localSheetId="10">#REF!</definedName>
    <definedName name="sheet1___0">#REF!</definedName>
    <definedName name="sheet1___13" localSheetId="23">#REF!</definedName>
    <definedName name="sheet1___13" localSheetId="6">#REF!</definedName>
    <definedName name="sheet1___13" localSheetId="10">#REF!</definedName>
    <definedName name="sheet1___13">#REF!</definedName>
    <definedName name="SHEET8" localSheetId="10">'VC 400 KV QM'!SHEET8</definedName>
    <definedName name="SHEET8">SHEET8</definedName>
    <definedName name="SHELL___TUBE_DATA" localSheetId="23">#REF!</definedName>
    <definedName name="SHELL___TUBE_DATA" localSheetId="6">#REF!</definedName>
    <definedName name="SHELL___TUBE_DATA" localSheetId="10">#REF!</definedName>
    <definedName name="SHELL___TUBE_DATA">#REF!</definedName>
    <definedName name="shpe" localSheetId="23">#REF!</definedName>
    <definedName name="shpe" localSheetId="6">#REF!</definedName>
    <definedName name="shpe" localSheetId="10">#REF!</definedName>
    <definedName name="shpe">#REF!</definedName>
    <definedName name="SHS" localSheetId="23">#REF!</definedName>
    <definedName name="SHS" localSheetId="6">#REF!</definedName>
    <definedName name="SHS" localSheetId="10">#REF!</definedName>
    <definedName name="SHS">#REF!</definedName>
    <definedName name="SHTA" localSheetId="23">#REF!</definedName>
    <definedName name="SHTA" localSheetId="6">#REF!</definedName>
    <definedName name="SHTA" localSheetId="10">#REF!</definedName>
    <definedName name="SHTA">#REF!</definedName>
    <definedName name="SHV" localSheetId="23">#REF!</definedName>
    <definedName name="SHV" localSheetId="6">#REF!</definedName>
    <definedName name="SHV" localSheetId="10">#REF!</definedName>
    <definedName name="SHV">#REF!</definedName>
    <definedName name="SI">INDEX('[5] '!$B$1:$B$16,MATCH('[5]  '!$K$489,'[5] '!$A$1:$A$16,0))</definedName>
    <definedName name="Side" localSheetId="23">#REF!</definedName>
    <definedName name="Side" localSheetId="6">#REF!</definedName>
    <definedName name="Side" localSheetId="10">#REF!</definedName>
    <definedName name="Side">#REF!</definedName>
    <definedName name="sigma0.2" localSheetId="23">#REF!</definedName>
    <definedName name="sigma0.2" localSheetId="6">#REF!</definedName>
    <definedName name="sigma0.2" localSheetId="10">#REF!</definedName>
    <definedName name="sigma0.2">#REF!</definedName>
    <definedName name="sigma0_2" localSheetId="23">#REF!</definedName>
    <definedName name="sigma0_2" localSheetId="6">#REF!</definedName>
    <definedName name="sigma0_2" localSheetId="10">#REF!</definedName>
    <definedName name="sigma0_2">#REF!</definedName>
    <definedName name="sigmab" localSheetId="23">#REF!</definedName>
    <definedName name="sigmab" localSheetId="6">#REF!</definedName>
    <definedName name="sigmab" localSheetId="10">#REF!</definedName>
    <definedName name="sigmab">#REF!</definedName>
    <definedName name="sigmah" localSheetId="23">#REF!</definedName>
    <definedName name="sigmah" localSheetId="6">#REF!</definedName>
    <definedName name="sigmah" localSheetId="10">#REF!</definedName>
    <definedName name="sigmah">#REF!</definedName>
    <definedName name="sigmat" localSheetId="23">#REF!</definedName>
    <definedName name="sigmat" localSheetId="6">#REF!</definedName>
    <definedName name="sigmat" localSheetId="10">#REF!</definedName>
    <definedName name="sigmat">#REF!</definedName>
    <definedName name="SINC2" localSheetId="23">#REF!</definedName>
    <definedName name="SINC2" localSheetId="6">#REF!</definedName>
    <definedName name="SINC2" localSheetId="10">#REF!</definedName>
    <definedName name="SINC2">#REF!</definedName>
    <definedName name="SITE" localSheetId="23">#REF!</definedName>
    <definedName name="SITE" localSheetId="6">#REF!</definedName>
    <definedName name="SITE" localSheetId="10">#REF!</definedName>
    <definedName name="SITE">#REF!</definedName>
    <definedName name="Site_est" localSheetId="23">#REF!</definedName>
    <definedName name="Site_est" localSheetId="6">#REF!</definedName>
    <definedName name="Site_est" localSheetId="10">#REF!</definedName>
    <definedName name="Site_est">#REF!</definedName>
    <definedName name="Site_office_rev_24.05.2005" localSheetId="23">#REF!</definedName>
    <definedName name="Site_office_rev_24.05.2005" localSheetId="6">#REF!</definedName>
    <definedName name="Site_office_rev_24.05.2005" localSheetId="10">#REF!</definedName>
    <definedName name="Site_office_rev_24.05.2005">#REF!</definedName>
    <definedName name="SIZE" localSheetId="23">#REF!</definedName>
    <definedName name="SIZE" localSheetId="6">#REF!</definedName>
    <definedName name="SIZE" localSheetId="10">#REF!</definedName>
    <definedName name="SIZE">#REF!</definedName>
    <definedName name="SIZEC" localSheetId="23">#REF!</definedName>
    <definedName name="SIZEC" localSheetId="6">#REF!</definedName>
    <definedName name="SIZEC" localSheetId="10">#REF!</definedName>
    <definedName name="SIZEC">#REF!</definedName>
    <definedName name="SJ">INDEX('[5] '!$B$1:$B$16,MATCH('[5]  '!$K$491,'[5] '!$A$1:$A$16,0))</definedName>
    <definedName name="SK">INDEX('[5] '!$B$1:$B$16,MATCH('[5]  '!$K$493,'[5] '!$A$1:$A$16,0))</definedName>
    <definedName name="SL">INDEX('[5] '!$B$1:$B$16,MATCH('[5]  '!$K$495,'[5] '!$A$1:$A$16,0))</definedName>
    <definedName name="slope" localSheetId="23">#REF!</definedName>
    <definedName name="slope" localSheetId="6">#REF!</definedName>
    <definedName name="slope" localSheetId="10">#REF!</definedName>
    <definedName name="slope">#REF!</definedName>
    <definedName name="SlopeAreaQ" localSheetId="23">#REF!</definedName>
    <definedName name="SlopeAreaQ" localSheetId="6">#REF!</definedName>
    <definedName name="SlopeAreaQ" localSheetId="10">#REF!</definedName>
    <definedName name="SlopeAreaQ">#REF!</definedName>
    <definedName name="SM">INDEX('[5] '!$B$1:$B$16,MATCH('[5]  '!$K$497,'[5] '!$A$1:$A$16,0))</definedName>
    <definedName name="SMP">INDEX('[5] '!$B$1:$B$16,MATCH('[5]  '!$K$499,'[5] '!$A$1:$A$16,0))</definedName>
    <definedName name="SMPL">INDEX('[5] '!$B$1:$B$16,MATCH('[5]  '!$K$501,'[5] '!$A$1:$A$16,0))</definedName>
    <definedName name="smsb" localSheetId="23">#REF!</definedName>
    <definedName name="smsb" localSheetId="6">#REF!</definedName>
    <definedName name="smsb" localSheetId="10">#REF!</definedName>
    <definedName name="smsb">#REF!</definedName>
    <definedName name="SOL" localSheetId="23">#REF!</definedName>
    <definedName name="SOL" localSheetId="6">#REF!</definedName>
    <definedName name="SOL" localSheetId="10">#REF!</definedName>
    <definedName name="SOL">#REF!</definedName>
    <definedName name="SortAREA" localSheetId="23">#REF!</definedName>
    <definedName name="SortAREA" localSheetId="6">#REF!</definedName>
    <definedName name="SortAREA" localSheetId="10">#REF!</definedName>
    <definedName name="SortAREA">#REF!</definedName>
    <definedName name="SpacerDamper" localSheetId="11" hidden="1">{"'PROFITABILITY'!$A$1:$F$45"}</definedName>
    <definedName name="SpacerDamper" localSheetId="10" hidden="1">{"'PROFITABILITY'!$A$1:$F$45"}</definedName>
    <definedName name="SpacerDamper" hidden="1">{"'PROFITABILITY'!$A$1:$F$45"}</definedName>
    <definedName name="SPAN" localSheetId="23">VLOOKUP(#REF!&amp;#REF!,'[5]  '!$B$7:$E$547,4,FALSE)</definedName>
    <definedName name="SPAN" localSheetId="6">VLOOKUP(#REF!&amp;#REF!,'[5]  '!$B$7:$E$547,4,FALSE)</definedName>
    <definedName name="SPAN" localSheetId="11">VLOOKUP(#REF!&amp;#REF!,'[5]  '!$B$7:$E$547,4,FALSE)</definedName>
    <definedName name="SPAN" localSheetId="10">VLOOKUP(#REF!&amp;#REF!,'[5]  '!$B$7:$E$547,4,FALSE)</definedName>
    <definedName name="SPAN">VLOOKUP(#REF!&amp;#REF!,'[5]  '!$B$7:$E$547,4,FALSE)</definedName>
    <definedName name="SPAR" localSheetId="23">#REF!</definedName>
    <definedName name="SPAR" localSheetId="6">#REF!</definedName>
    <definedName name="SPAR" localSheetId="10">#REF!</definedName>
    <definedName name="SPAR">#REF!</definedName>
    <definedName name="Spare" localSheetId="11" hidden="1">{"'PROFITABILITY'!$A$1:$F$45"}</definedName>
    <definedName name="Spare" localSheetId="10" hidden="1">{"'PROFITABILITY'!$A$1:$F$45"}</definedName>
    <definedName name="Spare" hidden="1">{"'PROFITABILITY'!$A$1:$F$45"}</definedName>
    <definedName name="SPEC_13" localSheetId="23">#REF!</definedName>
    <definedName name="SPEC_13" localSheetId="6">#REF!</definedName>
    <definedName name="SPEC_13" localSheetId="10">#REF!</definedName>
    <definedName name="SPEC_13">#REF!</definedName>
    <definedName name="SPEC_14" localSheetId="23">#REF!</definedName>
    <definedName name="SPEC_14" localSheetId="6">#REF!</definedName>
    <definedName name="SPEC_14" localSheetId="10">#REF!</definedName>
    <definedName name="SPEC_14">#REF!</definedName>
    <definedName name="SPEC_15" localSheetId="23">#REF!</definedName>
    <definedName name="SPEC_15" localSheetId="6">#REF!</definedName>
    <definedName name="SPEC_15" localSheetId="10">#REF!</definedName>
    <definedName name="SPEC_15">#REF!</definedName>
    <definedName name="SPEC_16" localSheetId="23">#REF!</definedName>
    <definedName name="SPEC_16" localSheetId="6">#REF!</definedName>
    <definedName name="SPEC_16" localSheetId="10">#REF!</definedName>
    <definedName name="SPEC_16">#REF!</definedName>
    <definedName name="SPEC_17" localSheetId="23">#REF!</definedName>
    <definedName name="SPEC_17" localSheetId="6">#REF!</definedName>
    <definedName name="SPEC_17" localSheetId="10">#REF!</definedName>
    <definedName name="SPEC_17">#REF!</definedName>
    <definedName name="SPEC_18" localSheetId="23">#REF!</definedName>
    <definedName name="SPEC_18" localSheetId="6">#REF!</definedName>
    <definedName name="SPEC_18" localSheetId="10">#REF!</definedName>
    <definedName name="SPEC_18">#REF!</definedName>
    <definedName name="SPEC_19" localSheetId="23">#REF!</definedName>
    <definedName name="SPEC_19" localSheetId="6">#REF!</definedName>
    <definedName name="SPEC_19" localSheetId="10">#REF!</definedName>
    <definedName name="SPEC_19">#REF!</definedName>
    <definedName name="SPEC_20" localSheetId="23">#REF!</definedName>
    <definedName name="SPEC_20" localSheetId="6">#REF!</definedName>
    <definedName name="SPEC_20" localSheetId="10">#REF!</definedName>
    <definedName name="SPEC_20">#REF!</definedName>
    <definedName name="SPEC_21" localSheetId="23">#REF!</definedName>
    <definedName name="SPEC_21" localSheetId="6">#REF!</definedName>
    <definedName name="SPEC_21" localSheetId="10">#REF!</definedName>
    <definedName name="SPEC_21">#REF!</definedName>
    <definedName name="SPEC_22" localSheetId="23">#REF!</definedName>
    <definedName name="SPEC_22" localSheetId="6">#REF!</definedName>
    <definedName name="SPEC_22" localSheetId="10">#REF!</definedName>
    <definedName name="SPEC_22">#REF!</definedName>
    <definedName name="SPEC_23" localSheetId="23">#REF!</definedName>
    <definedName name="SPEC_23" localSheetId="6">#REF!</definedName>
    <definedName name="SPEC_23" localSheetId="10">#REF!</definedName>
    <definedName name="SPEC_23">#REF!</definedName>
    <definedName name="SPEC_24" localSheetId="23">#REF!</definedName>
    <definedName name="SPEC_24" localSheetId="6">#REF!</definedName>
    <definedName name="SPEC_24" localSheetId="10">#REF!</definedName>
    <definedName name="SPEC_24">#REF!</definedName>
    <definedName name="SPEC_25" localSheetId="23">#REF!</definedName>
    <definedName name="SPEC_25" localSheetId="6">#REF!</definedName>
    <definedName name="SPEC_25" localSheetId="10">#REF!</definedName>
    <definedName name="SPEC_25">#REF!</definedName>
    <definedName name="SPEC2" localSheetId="23">#REF!</definedName>
    <definedName name="SPEC2" localSheetId="6">#REF!</definedName>
    <definedName name="SPEC2" localSheetId="10">#REF!</definedName>
    <definedName name="SPEC2">#REF!</definedName>
    <definedName name="SpecialPrice" localSheetId="23">#REF!</definedName>
    <definedName name="SpecialPrice" localSheetId="6">#REF!</definedName>
    <definedName name="SpecialPrice" localSheetId="10">#REF!</definedName>
    <definedName name="SpecialPrice">#REF!</definedName>
    <definedName name="spfactor" localSheetId="23">#REF!</definedName>
    <definedName name="spfactor" localSheetId="6">#REF!</definedName>
    <definedName name="spfactor" localSheetId="10">#REF!</definedName>
    <definedName name="spfactor">#REF!</definedName>
    <definedName name="SQRT__1___0.6___1.0" localSheetId="23">#REF!</definedName>
    <definedName name="SQRT__1___0.6___1.0" localSheetId="6">#REF!</definedName>
    <definedName name="SQRT__1___0.6___1.0" localSheetId="10">#REF!</definedName>
    <definedName name="SQRT__1___0.6___1.0">#REF!</definedName>
    <definedName name="SQRT__1___0_6___1_0" localSheetId="23">#REF!</definedName>
    <definedName name="SQRT__1___0_6___1_0" localSheetId="6">#REF!</definedName>
    <definedName name="SQRT__1___0_6___1_0" localSheetId="10">#REF!</definedName>
    <definedName name="SQRT__1___0_6___1_0">#REF!</definedName>
    <definedName name="SQRT__1___0_6___1_0___0" localSheetId="23">#REF!</definedName>
    <definedName name="SQRT__1___0_6___1_0___0" localSheetId="6">#REF!</definedName>
    <definedName name="SQRT__1___0_6___1_0___0" localSheetId="10">#REF!</definedName>
    <definedName name="SQRT__1___0_6___1_0___0">#REF!</definedName>
    <definedName name="SQRT__1___0_6___1_0___13" localSheetId="23">#REF!</definedName>
    <definedName name="SQRT__1___0_6___1_0___13" localSheetId="6">#REF!</definedName>
    <definedName name="SQRT__1___0_6___1_0___13" localSheetId="10">#REF!</definedName>
    <definedName name="SQRT__1___0_6___1_0___13">#REF!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'[11]CFL-KIM'!$AA$1</definedName>
    <definedName name="ss" localSheetId="23">#REF!</definedName>
    <definedName name="ss" localSheetId="6">#REF!</definedName>
    <definedName name="SS" localSheetId="27">'[11]CFL-KIM'!$AA$1</definedName>
    <definedName name="SS" localSheetId="11">'[11]CFL-KIM'!$AA$1</definedName>
    <definedName name="ss" localSheetId="10">#REF!</definedName>
    <definedName name="SS" localSheetId="5">'[11]CFL-KIM'!$AA$1</definedName>
    <definedName name="ss">#REF!</definedName>
    <definedName name="SS400_401" localSheetId="23">#REF!</definedName>
    <definedName name="SS400_401" localSheetId="6">#REF!</definedName>
    <definedName name="SS400_401" localSheetId="10">#REF!</definedName>
    <definedName name="SS400_401">#REF!</definedName>
    <definedName name="ss401_404" localSheetId="23">#REF!</definedName>
    <definedName name="ss401_404" localSheetId="6">#REF!</definedName>
    <definedName name="ss401_404" localSheetId="10">#REF!</definedName>
    <definedName name="ss401_404">#REF!</definedName>
    <definedName name="ss405_408" localSheetId="23">#REF!</definedName>
    <definedName name="ss405_408" localSheetId="6">#REF!</definedName>
    <definedName name="ss405_408" localSheetId="10">#REF!</definedName>
    <definedName name="ss405_408">#REF!</definedName>
    <definedName name="SS421_422" localSheetId="23">#REF!</definedName>
    <definedName name="SS421_422" localSheetId="6">#REF!</definedName>
    <definedName name="SS421_422" localSheetId="10">#REF!</definedName>
    <definedName name="SS421_422">#REF!</definedName>
    <definedName name="ss421_424" localSheetId="23">#REF!</definedName>
    <definedName name="ss421_424" localSheetId="6">#REF!</definedName>
    <definedName name="ss421_424" localSheetId="10">#REF!</definedName>
    <definedName name="ss421_424">#REF!</definedName>
    <definedName name="ss6_bop_f" localSheetId="23">#REF!</definedName>
    <definedName name="ss6_bop_f" localSheetId="6">#REF!</definedName>
    <definedName name="ss6_bop_f" localSheetId="10">#REF!</definedName>
    <definedName name="ss6_bop_f">#REF!</definedName>
    <definedName name="ss6_bop_v" localSheetId="23">#REF!</definedName>
    <definedName name="ss6_bop_v" localSheetId="6">#REF!</definedName>
    <definedName name="ss6_bop_v" localSheetId="10">#REF!</definedName>
    <definedName name="ss6_bop_v">#REF!</definedName>
    <definedName name="ss6_bop_w" localSheetId="23">#REF!</definedName>
    <definedName name="ss6_bop_w" localSheetId="6">#REF!</definedName>
    <definedName name="ss6_bop_w" localSheetId="10">#REF!</definedName>
    <definedName name="ss6_bop_w">#REF!</definedName>
    <definedName name="ss6_civ_f" localSheetId="23">#REF!</definedName>
    <definedName name="ss6_civ_f" localSheetId="6">#REF!</definedName>
    <definedName name="ss6_civ_f" localSheetId="10">#REF!</definedName>
    <definedName name="ss6_civ_f">#REF!</definedName>
    <definedName name="ss6_civ_v" localSheetId="23">#REF!</definedName>
    <definedName name="ss6_civ_v" localSheetId="6">#REF!</definedName>
    <definedName name="ss6_civ_v" localSheetId="10">#REF!</definedName>
    <definedName name="ss6_civ_v">#REF!</definedName>
    <definedName name="ss6_civ_w" localSheetId="23">#REF!</definedName>
    <definedName name="ss6_civ_w" localSheetId="6">#REF!</definedName>
    <definedName name="ss6_civ_w" localSheetId="10">#REF!</definedName>
    <definedName name="ss6_civ_w">#REF!</definedName>
    <definedName name="ss6_cond_f" localSheetId="23">#REF!</definedName>
    <definedName name="ss6_cond_f" localSheetId="6">#REF!</definedName>
    <definedName name="ss6_cond_f" localSheetId="10">#REF!</definedName>
    <definedName name="ss6_cond_f">#REF!</definedName>
    <definedName name="ss6_cond_v" localSheetId="23">#REF!</definedName>
    <definedName name="ss6_cond_v" localSheetId="6">#REF!</definedName>
    <definedName name="ss6_cond_v" localSheetId="10">#REF!</definedName>
    <definedName name="ss6_cond_v">#REF!</definedName>
    <definedName name="ss6_cond_w" localSheetId="23">#REF!</definedName>
    <definedName name="ss6_cond_w" localSheetId="6">#REF!</definedName>
    <definedName name="ss6_cond_w" localSheetId="10">#REF!</definedName>
    <definedName name="ss6_cond_w">#REF!</definedName>
    <definedName name="ss6_ct_f" localSheetId="23">#REF!</definedName>
    <definedName name="ss6_ct_f" localSheetId="6">#REF!</definedName>
    <definedName name="ss6_ct_f" localSheetId="10">#REF!</definedName>
    <definedName name="ss6_ct_f">#REF!</definedName>
    <definedName name="ss6_ct_v" localSheetId="23">#REF!</definedName>
    <definedName name="ss6_ct_v" localSheetId="6">#REF!</definedName>
    <definedName name="ss6_ct_v" localSheetId="10">#REF!</definedName>
    <definedName name="ss6_ct_v">#REF!</definedName>
    <definedName name="ss6_ct_w" localSheetId="23">#REF!</definedName>
    <definedName name="ss6_ct_w" localSheetId="6">#REF!</definedName>
    <definedName name="ss6_ct_w" localSheetId="10">#REF!</definedName>
    <definedName name="ss6_ct_w">#REF!</definedName>
    <definedName name="ss6_e_f" localSheetId="23">#REF!</definedName>
    <definedName name="ss6_e_f" localSheetId="6">#REF!</definedName>
    <definedName name="ss6_e_f" localSheetId="10">#REF!</definedName>
    <definedName name="ss6_e_f">#REF!</definedName>
    <definedName name="ss6_e_v" localSheetId="23">#REF!</definedName>
    <definedName name="ss6_e_v" localSheetId="6">#REF!</definedName>
    <definedName name="ss6_e_v" localSheetId="10">#REF!</definedName>
    <definedName name="ss6_e_v">#REF!</definedName>
    <definedName name="ss6_e_w" localSheetId="23">#REF!</definedName>
    <definedName name="ss6_e_w" localSheetId="6">#REF!</definedName>
    <definedName name="ss6_e_w" localSheetId="10">#REF!</definedName>
    <definedName name="ss6_e_w">#REF!</definedName>
    <definedName name="ss6_ec_f" localSheetId="23">#REF!</definedName>
    <definedName name="ss6_ec_f" localSheetId="6">#REF!</definedName>
    <definedName name="ss6_ec_f" localSheetId="10">#REF!</definedName>
    <definedName name="ss6_ec_f">#REF!</definedName>
    <definedName name="ss6_ec_v" localSheetId="23">#REF!</definedName>
    <definedName name="ss6_ec_v" localSheetId="6">#REF!</definedName>
    <definedName name="ss6_ec_v" localSheetId="10">#REF!</definedName>
    <definedName name="ss6_ec_v">#REF!</definedName>
    <definedName name="ss6_ec_w" localSheetId="23">#REF!</definedName>
    <definedName name="ss6_ec_w" localSheetId="6">#REF!</definedName>
    <definedName name="ss6_ec_w" localSheetId="10">#REF!</definedName>
    <definedName name="ss6_ec_w">#REF!</definedName>
    <definedName name="ss6_fuel_f" localSheetId="23">#REF!</definedName>
    <definedName name="ss6_fuel_f" localSheetId="6">#REF!</definedName>
    <definedName name="ss6_fuel_f" localSheetId="10">#REF!</definedName>
    <definedName name="ss6_fuel_f">#REF!</definedName>
    <definedName name="ss6_fuel_v" localSheetId="23">#REF!</definedName>
    <definedName name="ss6_fuel_v" localSheetId="6">#REF!</definedName>
    <definedName name="ss6_fuel_v" localSheetId="10">#REF!</definedName>
    <definedName name="ss6_fuel_v">#REF!</definedName>
    <definedName name="ss6_fuel_w" localSheetId="23">#REF!</definedName>
    <definedName name="ss6_fuel_w" localSheetId="6">#REF!</definedName>
    <definedName name="ss6_fuel_w" localSheetId="10">#REF!</definedName>
    <definedName name="ss6_fuel_w">#REF!</definedName>
    <definedName name="ss6_geno_f" localSheetId="23">#REF!</definedName>
    <definedName name="ss6_geno_f" localSheetId="6">#REF!</definedName>
    <definedName name="ss6_geno_f" localSheetId="10">#REF!</definedName>
    <definedName name="ss6_geno_f">#REF!</definedName>
    <definedName name="ss6_geno_v" localSheetId="23">#REF!</definedName>
    <definedName name="ss6_geno_v" localSheetId="6">#REF!</definedName>
    <definedName name="ss6_geno_v" localSheetId="10">#REF!</definedName>
    <definedName name="ss6_geno_v">#REF!</definedName>
    <definedName name="ss6_geno_w" localSheetId="23">#REF!</definedName>
    <definedName name="ss6_geno_w" localSheetId="6">#REF!</definedName>
    <definedName name="ss6_geno_w" localSheetId="10">#REF!</definedName>
    <definedName name="ss6_geno_w">#REF!</definedName>
    <definedName name="ss6_gt_f" localSheetId="23">#REF!</definedName>
    <definedName name="ss6_gt_f" localSheetId="6">#REF!</definedName>
    <definedName name="ss6_gt_f" localSheetId="10">#REF!</definedName>
    <definedName name="ss6_gt_f">#REF!</definedName>
    <definedName name="ss6_gt_v" localSheetId="23">#REF!</definedName>
    <definedName name="ss6_gt_v" localSheetId="6">#REF!</definedName>
    <definedName name="ss6_gt_v" localSheetId="10">#REF!</definedName>
    <definedName name="ss6_gt_v">#REF!</definedName>
    <definedName name="ss6_gt_w" localSheetId="23">#REF!</definedName>
    <definedName name="ss6_gt_w" localSheetId="6">#REF!</definedName>
    <definedName name="ss6_gt_w" localSheetId="10">#REF!</definedName>
    <definedName name="ss6_gt_w">#REF!</definedName>
    <definedName name="ss6_gtax_f" localSheetId="23">#REF!</definedName>
    <definedName name="ss6_gtax_f" localSheetId="6">#REF!</definedName>
    <definedName name="ss6_gtax_f" localSheetId="10">#REF!</definedName>
    <definedName name="ss6_gtax_f">#REF!</definedName>
    <definedName name="ss6_gtax_v" localSheetId="23">#REF!</definedName>
    <definedName name="ss6_gtax_v" localSheetId="6">#REF!</definedName>
    <definedName name="ss6_gtax_v" localSheetId="10">#REF!</definedName>
    <definedName name="ss6_gtax_v">#REF!</definedName>
    <definedName name="ss6_gtax_w" localSheetId="23">#REF!</definedName>
    <definedName name="ss6_gtax_w" localSheetId="6">#REF!</definedName>
    <definedName name="ss6_gtax_w" localSheetId="10">#REF!</definedName>
    <definedName name="ss6_gtax_w">#REF!</definedName>
    <definedName name="ss6_hrsg_f" localSheetId="23">#REF!</definedName>
    <definedName name="ss6_hrsg_f" localSheetId="6">#REF!</definedName>
    <definedName name="ss6_hrsg_f" localSheetId="10">#REF!</definedName>
    <definedName name="ss6_hrsg_f">#REF!</definedName>
    <definedName name="ss6_hrsg_v" localSheetId="23">#REF!</definedName>
    <definedName name="ss6_hrsg_v" localSheetId="6">#REF!</definedName>
    <definedName name="ss6_hrsg_v" localSheetId="10">#REF!</definedName>
    <definedName name="ss6_hrsg_v">#REF!</definedName>
    <definedName name="ss6_hrsg_w" localSheetId="23">#REF!</definedName>
    <definedName name="ss6_hrsg_w" localSheetId="6">#REF!</definedName>
    <definedName name="ss6_hrsg_w" localSheetId="10">#REF!</definedName>
    <definedName name="ss6_hrsg_w">#REF!</definedName>
    <definedName name="ss6_ic_f" localSheetId="23">#REF!</definedName>
    <definedName name="ss6_ic_f" localSheetId="6">#REF!</definedName>
    <definedName name="ss6_ic_f" localSheetId="10">#REF!</definedName>
    <definedName name="ss6_ic_f">#REF!</definedName>
    <definedName name="ss6_ic_v" localSheetId="23">#REF!</definedName>
    <definedName name="ss6_ic_v" localSheetId="6">#REF!</definedName>
    <definedName name="ss6_ic_v" localSheetId="10">#REF!</definedName>
    <definedName name="ss6_ic_v">#REF!</definedName>
    <definedName name="ss6_ic_w" localSheetId="23">#REF!</definedName>
    <definedName name="ss6_ic_w" localSheetId="6">#REF!</definedName>
    <definedName name="ss6_ic_w" localSheetId="10">#REF!</definedName>
    <definedName name="ss6_ic_w">#REF!</definedName>
    <definedName name="ss6_st_f" localSheetId="23">#REF!</definedName>
    <definedName name="ss6_st_f" localSheetId="6">#REF!</definedName>
    <definedName name="ss6_st_f" localSheetId="10">#REF!</definedName>
    <definedName name="ss6_st_f">#REF!</definedName>
    <definedName name="ss6_st_v" localSheetId="23">#REF!</definedName>
    <definedName name="ss6_st_v" localSheetId="6">#REF!</definedName>
    <definedName name="ss6_st_v" localSheetId="10">#REF!</definedName>
    <definedName name="ss6_st_v">#REF!</definedName>
    <definedName name="ss6_st_w" localSheetId="23">#REF!</definedName>
    <definedName name="ss6_st_w" localSheetId="6">#REF!</definedName>
    <definedName name="ss6_st_w" localSheetId="10">#REF!</definedName>
    <definedName name="ss6_st_w">#REF!</definedName>
    <definedName name="ss8_bop_f" localSheetId="23">#REF!</definedName>
    <definedName name="ss8_bop_f" localSheetId="6">#REF!</definedName>
    <definedName name="ss8_bop_f" localSheetId="10">#REF!</definedName>
    <definedName name="ss8_bop_f">#REF!</definedName>
    <definedName name="ss8_bop_v" localSheetId="23">#REF!</definedName>
    <definedName name="ss8_bop_v" localSheetId="6">#REF!</definedName>
    <definedName name="ss8_bop_v" localSheetId="10">#REF!</definedName>
    <definedName name="ss8_bop_v">#REF!</definedName>
    <definedName name="ss8_bop_w" localSheetId="23">#REF!</definedName>
    <definedName name="ss8_bop_w" localSheetId="6">#REF!</definedName>
    <definedName name="ss8_bop_w" localSheetId="10">#REF!</definedName>
    <definedName name="ss8_bop_w">#REF!</definedName>
    <definedName name="ss8_civ_f" localSheetId="23">#REF!</definedName>
    <definedName name="ss8_civ_f" localSheetId="6">#REF!</definedName>
    <definedName name="ss8_civ_f" localSheetId="10">#REF!</definedName>
    <definedName name="ss8_civ_f">#REF!</definedName>
    <definedName name="ss8_civ_v" localSheetId="23">#REF!</definedName>
    <definedName name="ss8_civ_v" localSheetId="6">#REF!</definedName>
    <definedName name="ss8_civ_v" localSheetId="10">#REF!</definedName>
    <definedName name="ss8_civ_v">#REF!</definedName>
    <definedName name="ss8_civ_w" localSheetId="23">#REF!</definedName>
    <definedName name="ss8_civ_w" localSheetId="6">#REF!</definedName>
    <definedName name="ss8_civ_w" localSheetId="10">#REF!</definedName>
    <definedName name="ss8_civ_w">#REF!</definedName>
    <definedName name="ss8_cond_f" localSheetId="23">#REF!</definedName>
    <definedName name="ss8_cond_f" localSheetId="6">#REF!</definedName>
    <definedName name="ss8_cond_f" localSheetId="10">#REF!</definedName>
    <definedName name="ss8_cond_f">#REF!</definedName>
    <definedName name="ss8_cond_v" localSheetId="23">#REF!</definedName>
    <definedName name="ss8_cond_v" localSheetId="6">#REF!</definedName>
    <definedName name="ss8_cond_v" localSheetId="10">#REF!</definedName>
    <definedName name="ss8_cond_v">#REF!</definedName>
    <definedName name="ss8_cond_w" localSheetId="23">#REF!</definedName>
    <definedName name="ss8_cond_w" localSheetId="6">#REF!</definedName>
    <definedName name="ss8_cond_w" localSheetId="10">#REF!</definedName>
    <definedName name="ss8_cond_w">#REF!</definedName>
    <definedName name="ss8_ct_f" localSheetId="23">#REF!</definedName>
    <definedName name="ss8_ct_f" localSheetId="6">#REF!</definedName>
    <definedName name="ss8_ct_f" localSheetId="10">#REF!</definedName>
    <definedName name="ss8_ct_f">#REF!</definedName>
    <definedName name="ss8_ct_v" localSheetId="23">#REF!</definedName>
    <definedName name="ss8_ct_v" localSheetId="6">#REF!</definedName>
    <definedName name="ss8_ct_v" localSheetId="10">#REF!</definedName>
    <definedName name="ss8_ct_v">#REF!</definedName>
    <definedName name="ss8_ct_w" localSheetId="23">#REF!</definedName>
    <definedName name="ss8_ct_w" localSheetId="6">#REF!</definedName>
    <definedName name="ss8_ct_w" localSheetId="10">#REF!</definedName>
    <definedName name="ss8_ct_w">#REF!</definedName>
    <definedName name="ss8_e_f" localSheetId="23">#REF!</definedName>
    <definedName name="ss8_e_f" localSheetId="6">#REF!</definedName>
    <definedName name="ss8_e_f" localSheetId="10">#REF!</definedName>
    <definedName name="ss8_e_f">#REF!</definedName>
    <definedName name="ss8_e_v" localSheetId="23">#REF!</definedName>
    <definedName name="ss8_e_v" localSheetId="6">#REF!</definedName>
    <definedName name="ss8_e_v" localSheetId="10">#REF!</definedName>
    <definedName name="ss8_e_v">#REF!</definedName>
    <definedName name="ss8_e_w" localSheetId="23">#REF!</definedName>
    <definedName name="ss8_e_w" localSheetId="6">#REF!</definedName>
    <definedName name="ss8_e_w" localSheetId="10">#REF!</definedName>
    <definedName name="ss8_e_w">#REF!</definedName>
    <definedName name="ss8_ec_f" localSheetId="23">#REF!</definedName>
    <definedName name="ss8_ec_f" localSheetId="6">#REF!</definedName>
    <definedName name="ss8_ec_f" localSheetId="10">#REF!</definedName>
    <definedName name="ss8_ec_f">#REF!</definedName>
    <definedName name="ss8_ec_v" localSheetId="23">#REF!</definedName>
    <definedName name="ss8_ec_v" localSheetId="6">#REF!</definedName>
    <definedName name="ss8_ec_v" localSheetId="10">#REF!</definedName>
    <definedName name="ss8_ec_v">#REF!</definedName>
    <definedName name="ss8_ec_w" localSheetId="23">#REF!</definedName>
    <definedName name="ss8_ec_w" localSheetId="6">#REF!</definedName>
    <definedName name="ss8_ec_w" localSheetId="10">#REF!</definedName>
    <definedName name="ss8_ec_w">#REF!</definedName>
    <definedName name="ss8_fuel_f" localSheetId="23">#REF!</definedName>
    <definedName name="ss8_fuel_f" localSheetId="6">#REF!</definedName>
    <definedName name="ss8_fuel_f" localSheetId="10">#REF!</definedName>
    <definedName name="ss8_fuel_f">#REF!</definedName>
    <definedName name="ss8_fuel_v" localSheetId="23">#REF!</definedName>
    <definedName name="ss8_fuel_v" localSheetId="6">#REF!</definedName>
    <definedName name="ss8_fuel_v" localSheetId="10">#REF!</definedName>
    <definedName name="ss8_fuel_v">#REF!</definedName>
    <definedName name="ss8_fuel_w" localSheetId="23">#REF!</definedName>
    <definedName name="ss8_fuel_w" localSheetId="6">#REF!</definedName>
    <definedName name="ss8_fuel_w" localSheetId="10">#REF!</definedName>
    <definedName name="ss8_fuel_w">#REF!</definedName>
    <definedName name="ss8_geno_f" localSheetId="23">#REF!</definedName>
    <definedName name="ss8_geno_f" localSheetId="6">#REF!</definedName>
    <definedName name="ss8_geno_f" localSheetId="10">#REF!</definedName>
    <definedName name="ss8_geno_f">#REF!</definedName>
    <definedName name="ss8_geno_v" localSheetId="23">#REF!</definedName>
    <definedName name="ss8_geno_v" localSheetId="6">#REF!</definedName>
    <definedName name="ss8_geno_v" localSheetId="10">#REF!</definedName>
    <definedName name="ss8_geno_v">#REF!</definedName>
    <definedName name="ss8_geno_w" localSheetId="23">#REF!</definedName>
    <definedName name="ss8_geno_w" localSheetId="6">#REF!</definedName>
    <definedName name="ss8_geno_w" localSheetId="10">#REF!</definedName>
    <definedName name="ss8_geno_w">#REF!</definedName>
    <definedName name="ss8_gt_f" localSheetId="23">#REF!</definedName>
    <definedName name="ss8_gt_f" localSheetId="6">#REF!</definedName>
    <definedName name="ss8_gt_f" localSheetId="10">#REF!</definedName>
    <definedName name="ss8_gt_f">#REF!</definedName>
    <definedName name="ss8_gt_v" localSheetId="23">#REF!</definedName>
    <definedName name="ss8_gt_v" localSheetId="6">#REF!</definedName>
    <definedName name="ss8_gt_v" localSheetId="10">#REF!</definedName>
    <definedName name="ss8_gt_v">#REF!</definedName>
    <definedName name="ss8_gt_w" localSheetId="23">#REF!</definedName>
    <definedName name="ss8_gt_w" localSheetId="6">#REF!</definedName>
    <definedName name="ss8_gt_w" localSheetId="10">#REF!</definedName>
    <definedName name="ss8_gt_w">#REF!</definedName>
    <definedName name="ss8_gtax_f" localSheetId="23">#REF!</definedName>
    <definedName name="ss8_gtax_f" localSheetId="6">#REF!</definedName>
    <definedName name="ss8_gtax_f" localSheetId="10">#REF!</definedName>
    <definedName name="ss8_gtax_f">#REF!</definedName>
    <definedName name="ss8_gtax_v" localSheetId="23">#REF!</definedName>
    <definedName name="ss8_gtax_v" localSheetId="6">#REF!</definedName>
    <definedName name="ss8_gtax_v" localSheetId="10">#REF!</definedName>
    <definedName name="ss8_gtax_v">#REF!</definedName>
    <definedName name="ss8_gtax_w" localSheetId="23">#REF!</definedName>
    <definedName name="ss8_gtax_w" localSheetId="6">#REF!</definedName>
    <definedName name="ss8_gtax_w" localSheetId="10">#REF!</definedName>
    <definedName name="ss8_gtax_w">#REF!</definedName>
    <definedName name="ss8_hrsg_f" localSheetId="23">#REF!</definedName>
    <definedName name="ss8_hrsg_f" localSheetId="6">#REF!</definedName>
    <definedName name="ss8_hrsg_f" localSheetId="10">#REF!</definedName>
    <definedName name="ss8_hrsg_f">#REF!</definedName>
    <definedName name="ss8_hrsg_v" localSheetId="23">#REF!</definedName>
    <definedName name="ss8_hrsg_v" localSheetId="6">#REF!</definedName>
    <definedName name="ss8_hrsg_v" localSheetId="10">#REF!</definedName>
    <definedName name="ss8_hrsg_v">#REF!</definedName>
    <definedName name="ss8_hrsg_w" localSheetId="23">#REF!</definedName>
    <definedName name="ss8_hrsg_w" localSheetId="6">#REF!</definedName>
    <definedName name="ss8_hrsg_w" localSheetId="10">#REF!</definedName>
    <definedName name="ss8_hrsg_w">#REF!</definedName>
    <definedName name="ss8_ic_f" localSheetId="23">#REF!</definedName>
    <definedName name="ss8_ic_f" localSheetId="6">#REF!</definedName>
    <definedName name="ss8_ic_f" localSheetId="10">#REF!</definedName>
    <definedName name="ss8_ic_f">#REF!</definedName>
    <definedName name="ss8_ic_v" localSheetId="23">#REF!</definedName>
    <definedName name="ss8_ic_v" localSheetId="6">#REF!</definedName>
    <definedName name="ss8_ic_v" localSheetId="10">#REF!</definedName>
    <definedName name="ss8_ic_v">#REF!</definedName>
    <definedName name="ss8_ic_w" localSheetId="23">#REF!</definedName>
    <definedName name="ss8_ic_w" localSheetId="6">#REF!</definedName>
    <definedName name="ss8_ic_w" localSheetId="10">#REF!</definedName>
    <definedName name="ss8_ic_w">#REF!</definedName>
    <definedName name="ss8_st_f" localSheetId="23">#REF!</definedName>
    <definedName name="ss8_st_f" localSheetId="6">#REF!</definedName>
    <definedName name="ss8_st_f" localSheetId="10">#REF!</definedName>
    <definedName name="ss8_st_f">#REF!</definedName>
    <definedName name="ss8_st_v" localSheetId="23">#REF!</definedName>
    <definedName name="ss8_st_v" localSheetId="6">#REF!</definedName>
    <definedName name="ss8_st_v" localSheetId="10">#REF!</definedName>
    <definedName name="ss8_st_v">#REF!</definedName>
    <definedName name="ss8_st_w" localSheetId="23">#REF!</definedName>
    <definedName name="ss8_st_w" localSheetId="6">#REF!</definedName>
    <definedName name="ss8_st_w" localSheetId="10">#REF!</definedName>
    <definedName name="ss8_st_w">#REF!</definedName>
    <definedName name="ss9_bop_f" localSheetId="23">#REF!</definedName>
    <definedName name="ss9_bop_f" localSheetId="6">#REF!</definedName>
    <definedName name="ss9_bop_f" localSheetId="10">#REF!</definedName>
    <definedName name="ss9_bop_f">#REF!</definedName>
    <definedName name="ss9_bop_v" localSheetId="23">#REF!</definedName>
    <definedName name="ss9_bop_v" localSheetId="6">#REF!</definedName>
    <definedName name="ss9_bop_v" localSheetId="10">#REF!</definedName>
    <definedName name="ss9_bop_v">#REF!</definedName>
    <definedName name="ss9_bop_w" localSheetId="23">#REF!</definedName>
    <definedName name="ss9_bop_w" localSheetId="6">#REF!</definedName>
    <definedName name="ss9_bop_w" localSheetId="10">#REF!</definedName>
    <definedName name="ss9_bop_w">#REF!</definedName>
    <definedName name="ss9_civ_f" localSheetId="23">#REF!</definedName>
    <definedName name="ss9_civ_f" localSheetId="6">#REF!</definedName>
    <definedName name="ss9_civ_f" localSheetId="10">#REF!</definedName>
    <definedName name="ss9_civ_f">#REF!</definedName>
    <definedName name="ss9_civ_v" localSheetId="23">#REF!</definedName>
    <definedName name="ss9_civ_v" localSheetId="6">#REF!</definedName>
    <definedName name="ss9_civ_v" localSheetId="10">#REF!</definedName>
    <definedName name="ss9_civ_v">#REF!</definedName>
    <definedName name="ss9_civ_w" localSheetId="23">#REF!</definedName>
    <definedName name="ss9_civ_w" localSheetId="6">#REF!</definedName>
    <definedName name="ss9_civ_w" localSheetId="10">#REF!</definedName>
    <definedName name="ss9_civ_w">#REF!</definedName>
    <definedName name="ss9_cond_f" localSheetId="23">#REF!</definedName>
    <definedName name="ss9_cond_f" localSheetId="6">#REF!</definedName>
    <definedName name="ss9_cond_f" localSheetId="10">#REF!</definedName>
    <definedName name="ss9_cond_f">#REF!</definedName>
    <definedName name="ss9_cond_v" localSheetId="23">#REF!</definedName>
    <definedName name="ss9_cond_v" localSheetId="6">#REF!</definedName>
    <definedName name="ss9_cond_v" localSheetId="10">#REF!</definedName>
    <definedName name="ss9_cond_v">#REF!</definedName>
    <definedName name="ss9_cond_w" localSheetId="23">#REF!</definedName>
    <definedName name="ss9_cond_w" localSheetId="6">#REF!</definedName>
    <definedName name="ss9_cond_w" localSheetId="10">#REF!</definedName>
    <definedName name="ss9_cond_w">#REF!</definedName>
    <definedName name="ss9_ct_f" localSheetId="23">#REF!</definedName>
    <definedName name="ss9_ct_f" localSheetId="6">#REF!</definedName>
    <definedName name="ss9_ct_f" localSheetId="10">#REF!</definedName>
    <definedName name="ss9_ct_f">#REF!</definedName>
    <definedName name="ss9_ct_v" localSheetId="23">#REF!</definedName>
    <definedName name="ss9_ct_v" localSheetId="6">#REF!</definedName>
    <definedName name="ss9_ct_v" localSheetId="10">#REF!</definedName>
    <definedName name="ss9_ct_v">#REF!</definedName>
    <definedName name="ss9_ct_w" localSheetId="23">#REF!</definedName>
    <definedName name="ss9_ct_w" localSheetId="6">#REF!</definedName>
    <definedName name="ss9_ct_w" localSheetId="10">#REF!</definedName>
    <definedName name="ss9_ct_w">#REF!</definedName>
    <definedName name="ss9_e_f" localSheetId="23">#REF!</definedName>
    <definedName name="ss9_e_f" localSheetId="6">#REF!</definedName>
    <definedName name="ss9_e_f" localSheetId="10">#REF!</definedName>
    <definedName name="ss9_e_f">#REF!</definedName>
    <definedName name="ss9_e_v" localSheetId="23">#REF!</definedName>
    <definedName name="ss9_e_v" localSheetId="6">#REF!</definedName>
    <definedName name="ss9_e_v" localSheetId="10">#REF!</definedName>
    <definedName name="ss9_e_v">#REF!</definedName>
    <definedName name="ss9_e_w" localSheetId="23">#REF!</definedName>
    <definedName name="ss9_e_w" localSheetId="6">#REF!</definedName>
    <definedName name="ss9_e_w" localSheetId="10">#REF!</definedName>
    <definedName name="ss9_e_w">#REF!</definedName>
    <definedName name="ss9_ec_f" localSheetId="23">#REF!</definedName>
    <definedName name="ss9_ec_f" localSheetId="6">#REF!</definedName>
    <definedName name="ss9_ec_f" localSheetId="10">#REF!</definedName>
    <definedName name="ss9_ec_f">#REF!</definedName>
    <definedName name="ss9_ec_v" localSheetId="23">#REF!</definedName>
    <definedName name="ss9_ec_v" localSheetId="6">#REF!</definedName>
    <definedName name="ss9_ec_v" localSheetId="10">#REF!</definedName>
    <definedName name="ss9_ec_v">#REF!</definedName>
    <definedName name="ss9_ec_w" localSheetId="23">#REF!</definedName>
    <definedName name="ss9_ec_w" localSheetId="6">#REF!</definedName>
    <definedName name="ss9_ec_w" localSheetId="10">#REF!</definedName>
    <definedName name="ss9_ec_w">#REF!</definedName>
    <definedName name="ss9_fuel_f" localSheetId="23">#REF!</definedName>
    <definedName name="ss9_fuel_f" localSheetId="6">#REF!</definedName>
    <definedName name="ss9_fuel_f" localSheetId="10">#REF!</definedName>
    <definedName name="ss9_fuel_f">#REF!</definedName>
    <definedName name="ss9_fuel_v" localSheetId="23">#REF!</definedName>
    <definedName name="ss9_fuel_v" localSheetId="6">#REF!</definedName>
    <definedName name="ss9_fuel_v" localSheetId="10">#REF!</definedName>
    <definedName name="ss9_fuel_v">#REF!</definedName>
    <definedName name="ss9_fuel_w" localSheetId="23">#REF!</definedName>
    <definedName name="ss9_fuel_w" localSheetId="6">#REF!</definedName>
    <definedName name="ss9_fuel_w" localSheetId="10">#REF!</definedName>
    <definedName name="ss9_fuel_w">#REF!</definedName>
    <definedName name="ss9_geno_f" localSheetId="23">#REF!</definedName>
    <definedName name="ss9_geno_f" localSheetId="6">#REF!</definedName>
    <definedName name="ss9_geno_f" localSheetId="10">#REF!</definedName>
    <definedName name="ss9_geno_f">#REF!</definedName>
    <definedName name="ss9_geno_v" localSheetId="23">#REF!</definedName>
    <definedName name="ss9_geno_v" localSheetId="6">#REF!</definedName>
    <definedName name="ss9_geno_v" localSheetId="10">#REF!</definedName>
    <definedName name="ss9_geno_v">#REF!</definedName>
    <definedName name="ss9_geno_w" localSheetId="23">#REF!</definedName>
    <definedName name="ss9_geno_w" localSheetId="6">#REF!</definedName>
    <definedName name="ss9_geno_w" localSheetId="10">#REF!</definedName>
    <definedName name="ss9_geno_w">#REF!</definedName>
    <definedName name="ss9_gt_f" localSheetId="23">#REF!</definedName>
    <definedName name="ss9_gt_f" localSheetId="6">#REF!</definedName>
    <definedName name="ss9_gt_f" localSheetId="10">#REF!</definedName>
    <definedName name="ss9_gt_f">#REF!</definedName>
    <definedName name="ss9_gt_v" localSheetId="23">#REF!</definedName>
    <definedName name="ss9_gt_v" localSheetId="6">#REF!</definedName>
    <definedName name="ss9_gt_v" localSheetId="10">#REF!</definedName>
    <definedName name="ss9_gt_v">#REF!</definedName>
    <definedName name="ss9_gt_w" localSheetId="23">#REF!</definedName>
    <definedName name="ss9_gt_w" localSheetId="6">#REF!</definedName>
    <definedName name="ss9_gt_w" localSheetId="10">#REF!</definedName>
    <definedName name="ss9_gt_w">#REF!</definedName>
    <definedName name="ss9_gtax_f" localSheetId="23">#REF!</definedName>
    <definedName name="ss9_gtax_f" localSheetId="6">#REF!</definedName>
    <definedName name="ss9_gtax_f" localSheetId="10">#REF!</definedName>
    <definedName name="ss9_gtax_f">#REF!</definedName>
    <definedName name="ss9_gtax_v" localSheetId="23">#REF!</definedName>
    <definedName name="ss9_gtax_v" localSheetId="6">#REF!</definedName>
    <definedName name="ss9_gtax_v" localSheetId="10">#REF!</definedName>
    <definedName name="ss9_gtax_v">#REF!</definedName>
    <definedName name="ss9_gtax_w" localSheetId="23">#REF!</definedName>
    <definedName name="ss9_gtax_w" localSheetId="6">#REF!</definedName>
    <definedName name="ss9_gtax_w" localSheetId="10">#REF!</definedName>
    <definedName name="ss9_gtax_w">#REF!</definedName>
    <definedName name="ss9_hrsg_f" localSheetId="23">#REF!</definedName>
    <definedName name="ss9_hrsg_f" localSheetId="6">#REF!</definedName>
    <definedName name="ss9_hrsg_f" localSheetId="10">#REF!</definedName>
    <definedName name="ss9_hrsg_f">#REF!</definedName>
    <definedName name="ss9_hrsg_v" localSheetId="23">#REF!</definedName>
    <definedName name="ss9_hrsg_v" localSheetId="6">#REF!</definedName>
    <definedName name="ss9_hrsg_v" localSheetId="10">#REF!</definedName>
    <definedName name="ss9_hrsg_v">#REF!</definedName>
    <definedName name="ss9_hrsg_w" localSheetId="23">#REF!</definedName>
    <definedName name="ss9_hrsg_w" localSheetId="6">#REF!</definedName>
    <definedName name="ss9_hrsg_w" localSheetId="10">#REF!</definedName>
    <definedName name="ss9_hrsg_w">#REF!</definedName>
    <definedName name="ss9_ic_f" localSheetId="23">#REF!</definedName>
    <definedName name="ss9_ic_f" localSheetId="6">#REF!</definedName>
    <definedName name="ss9_ic_f" localSheetId="10">#REF!</definedName>
    <definedName name="ss9_ic_f">#REF!</definedName>
    <definedName name="ss9_ic_v" localSheetId="23">#REF!</definedName>
    <definedName name="ss9_ic_v" localSheetId="6">#REF!</definedName>
    <definedName name="ss9_ic_v" localSheetId="10">#REF!</definedName>
    <definedName name="ss9_ic_v">#REF!</definedName>
    <definedName name="ss9_ic_w" localSheetId="23">#REF!</definedName>
    <definedName name="ss9_ic_w" localSheetId="6">#REF!</definedName>
    <definedName name="ss9_ic_w" localSheetId="10">#REF!</definedName>
    <definedName name="ss9_ic_w">#REF!</definedName>
    <definedName name="ss9_st_f" localSheetId="23">#REF!</definedName>
    <definedName name="ss9_st_f" localSheetId="6">#REF!</definedName>
    <definedName name="ss9_st_f" localSheetId="10">#REF!</definedName>
    <definedName name="ss9_st_f">#REF!</definedName>
    <definedName name="ss9_st_v" localSheetId="23">#REF!</definedName>
    <definedName name="ss9_st_v" localSheetId="6">#REF!</definedName>
    <definedName name="ss9_st_v" localSheetId="10">#REF!</definedName>
    <definedName name="ss9_st_v">#REF!</definedName>
    <definedName name="ss9_st_w" localSheetId="23">#REF!</definedName>
    <definedName name="ss9_st_w" localSheetId="6">#REF!</definedName>
    <definedName name="ss9_st_w" localSheetId="10">#REF!</definedName>
    <definedName name="ss9_st_w">#REF!</definedName>
    <definedName name="ssf" localSheetId="23">#REF!</definedName>
    <definedName name="ssf" localSheetId="6">#REF!</definedName>
    <definedName name="ssf" localSheetId="10">#REF!</definedName>
    <definedName name="ssf">#REF!</definedName>
    <definedName name="SSS" localSheetId="4">#REF!</definedName>
    <definedName name="sss" localSheetId="23">#REF!</definedName>
    <definedName name="sss" localSheetId="6">#REF!</definedName>
    <definedName name="SSS" localSheetId="27">#REF!</definedName>
    <definedName name="SSS" localSheetId="11">#REF!</definedName>
    <definedName name="sss" localSheetId="10">#REF!</definedName>
    <definedName name="SSS" localSheetId="5">#REF!</definedName>
    <definedName name="sss">#REF!</definedName>
    <definedName name="sss_1" localSheetId="23">#REF!</definedName>
    <definedName name="sss_1" localSheetId="6">#REF!</definedName>
    <definedName name="sss_1" localSheetId="10">#REF!</definedName>
    <definedName name="sss_1">#REF!</definedName>
    <definedName name="ssss" localSheetId="23">#REF!</definedName>
    <definedName name="ssss" localSheetId="6">#REF!</definedName>
    <definedName name="ssss" localSheetId="10">#REF!</definedName>
    <definedName name="ssss">#REF!</definedName>
    <definedName name="SSSSSSSSSSSS" localSheetId="23">#REF!</definedName>
    <definedName name="SSSSSSSSSSSS" localSheetId="6">#REF!</definedName>
    <definedName name="SSSSSSSSSSSS" localSheetId="10">#REF!</definedName>
    <definedName name="SSSSSSSSSSSS">#REF!</definedName>
    <definedName name="ST" localSheetId="23">#REF!</definedName>
    <definedName name="ST" localSheetId="6">#REF!</definedName>
    <definedName name="ST" localSheetId="10">#REF!</definedName>
    <definedName name="ST">#REF!</definedName>
    <definedName name="ST220CTL" localSheetId="23">#REF!</definedName>
    <definedName name="ST220CTL" localSheetId="6">#REF!</definedName>
    <definedName name="ST220CTL" localSheetId="10">#REF!</definedName>
    <definedName name="ST220CTL">#REF!</definedName>
    <definedName name="STA22SCADA" localSheetId="23">#REF!</definedName>
    <definedName name="STA22SCADA" localSheetId="6">#REF!</definedName>
    <definedName name="STA22SCADA" localSheetId="10">#REF!</definedName>
    <definedName name="STA22SCADA">#REF!</definedName>
    <definedName name="STA2SCADA" localSheetId="23">#REF!</definedName>
    <definedName name="STA2SCADA" localSheetId="6">#REF!</definedName>
    <definedName name="STA2SCADA" localSheetId="10">#REF!</definedName>
    <definedName name="STA2SCADA">#REF!</definedName>
    <definedName name="STA2STCTL" localSheetId="23">#REF!</definedName>
    <definedName name="STA2STCTL" localSheetId="6">#REF!</definedName>
    <definedName name="STA2STCTL" localSheetId="10">#REF!</definedName>
    <definedName name="STA2STCTL">#REF!</definedName>
    <definedName name="Staff_and_IDL_Ave" localSheetId="23">#REF!</definedName>
    <definedName name="Staff_and_IDL_Ave" localSheetId="6">#REF!</definedName>
    <definedName name="Staff_and_IDL_Ave" localSheetId="10">#REF!</definedName>
    <definedName name="Staff_and_IDL_Ave">#REF!</definedName>
    <definedName name="state">[10]Sheet2!$A$1:$A$35</definedName>
    <definedName name="STATEMENT_1" localSheetId="23">#REF!</definedName>
    <definedName name="STATEMENT_1" localSheetId="6">#REF!</definedName>
    <definedName name="STATEMENT_1" localSheetId="10">#REF!</definedName>
    <definedName name="STATEMENT_1">#REF!</definedName>
    <definedName name="STATEMENT_3" localSheetId="23">#REF!</definedName>
    <definedName name="STATEMENT_3" localSheetId="6">#REF!</definedName>
    <definedName name="STATEMENT_3" localSheetId="10">#REF!</definedName>
    <definedName name="STATEMENT_3">#REF!</definedName>
    <definedName name="STATEMENT_4" localSheetId="23">#REF!</definedName>
    <definedName name="STATEMENT_4" localSheetId="6">#REF!</definedName>
    <definedName name="STATEMENT_4" localSheetId="10">#REF!</definedName>
    <definedName name="STATEMENT_4">#REF!</definedName>
    <definedName name="Status" localSheetId="23">#REF!</definedName>
    <definedName name="Status" localSheetId="6">#REF!</definedName>
    <definedName name="Status" localSheetId="10">#REF!</definedName>
    <definedName name="Status">#REF!</definedName>
    <definedName name="STCTL" localSheetId="23">#REF!</definedName>
    <definedName name="STCTL" localSheetId="6">#REF!</definedName>
    <definedName name="STCTL" localSheetId="10">#REF!</definedName>
    <definedName name="STCTL">#REF!</definedName>
    <definedName name="STCTL2" localSheetId="23">#REF!</definedName>
    <definedName name="STCTL2" localSheetId="6">#REF!</definedName>
    <definedName name="STCTL2" localSheetId="10">#REF!</definedName>
    <definedName name="STCTL2">#REF!</definedName>
    <definedName name="STCTL220" localSheetId="23">#REF!</definedName>
    <definedName name="STCTL220" localSheetId="6">#REF!</definedName>
    <definedName name="STCTL220" localSheetId="10">#REF!</definedName>
    <definedName name="STCTL220">#REF!</definedName>
    <definedName name="STD" localSheetId="23">#REF!</definedName>
    <definedName name="STD" localSheetId="6">#REF!</definedName>
    <definedName name="STD" localSheetId="10">#REF!</definedName>
    <definedName name="STD">#REF!</definedName>
    <definedName name="steam_props" localSheetId="23">#REF!</definedName>
    <definedName name="steam_props" localSheetId="6">#REF!</definedName>
    <definedName name="steam_props" localSheetId="10">#REF!</definedName>
    <definedName name="steam_props">#REF!</definedName>
    <definedName name="steam_trap" localSheetId="23">#REF!</definedName>
    <definedName name="steam_trap" localSheetId="6">#REF!</definedName>
    <definedName name="steam_trap" localSheetId="10">#REF!</definedName>
    <definedName name="steam_trap">#REF!</definedName>
    <definedName name="STEEL" localSheetId="23">#REF!</definedName>
    <definedName name="STEEL" localSheetId="6">#REF!</definedName>
    <definedName name="STEEL" localSheetId="10">#REF!</definedName>
    <definedName name="STEEL">#REF!</definedName>
    <definedName name="STEEL220" localSheetId="23">#REF!</definedName>
    <definedName name="STEEL220" localSheetId="6">#REF!</definedName>
    <definedName name="STEEL220" localSheetId="10">#REF!</definedName>
    <definedName name="STEEL220">#REF!</definedName>
    <definedName name="STR" localSheetId="23">IFERROR(LEFT(INDEX(#REF!,MATCH('[5]  '!$C1,#REF!,0)),3),"")</definedName>
    <definedName name="STR" localSheetId="6">IFERROR(LEFT(INDEX(#REF!,MATCH('[5]  '!$C1,#REF!,0)),3),"")</definedName>
    <definedName name="STR" localSheetId="11">IFERROR(LEFT(INDEX(#REF!,MATCH('[5]  '!$C1,#REF!,0)),3),"")</definedName>
    <definedName name="STR" localSheetId="10">IFERROR(LEFT(INDEX(#REF!,MATCH('[5]  '!$C1,#REF!,0)),3),"")</definedName>
    <definedName name="STR">IFERROR(LEFT(INDEX(#REF!,MATCH('[5]  '!$C1,#REF!,0)),3),"")</definedName>
    <definedName name="Stretch" localSheetId="23">#REF!</definedName>
    <definedName name="Stretch" localSheetId="6">#REF!</definedName>
    <definedName name="Stretch" localSheetId="10">#REF!</definedName>
    <definedName name="Stretch">#REF!</definedName>
    <definedName name="Structure" localSheetId="23">#REF!</definedName>
    <definedName name="Structure" localSheetId="6">#REF!</definedName>
    <definedName name="Structure" localSheetId="10">#REF!</definedName>
    <definedName name="Structure">#REF!</definedName>
    <definedName name="StructureType" localSheetId="23">#REF!</definedName>
    <definedName name="StructureType" localSheetId="6">#REF!</definedName>
    <definedName name="StructureType" localSheetId="10">#REF!</definedName>
    <definedName name="StructureType">#REF!</definedName>
    <definedName name="su" localSheetId="23">#REF!</definedName>
    <definedName name="su" localSheetId="6">#REF!</definedName>
    <definedName name="su" localSheetId="10">#REF!</definedName>
    <definedName name="su">#REF!</definedName>
    <definedName name="Subcontract" localSheetId="23">#REF!</definedName>
    <definedName name="Subcontract" localSheetId="6">#REF!</definedName>
    <definedName name="Subcontract" localSheetId="10">#REF!</definedName>
    <definedName name="Subcontract">#REF!</definedName>
    <definedName name="sum" localSheetId="23">#REF!</definedName>
    <definedName name="sum" localSheetId="6">#REF!</definedName>
    <definedName name="sum" localSheetId="10">#REF!</definedName>
    <definedName name="sum">#REF!</definedName>
    <definedName name="SUMExtraCredit" localSheetId="23">#REF!</definedName>
    <definedName name="SUMExtraCredit" localSheetId="6">#REF!</definedName>
    <definedName name="SUMExtraCredit" localSheetId="10">#REF!</definedName>
    <definedName name="SUMExtraCredit">#REF!</definedName>
    <definedName name="SUMIF" localSheetId="23">#REF!</definedName>
    <definedName name="SUMIF" localSheetId="6">#REF!</definedName>
    <definedName name="SUMIF" localSheetId="10">#REF!</definedName>
    <definedName name="SUMIF">#REF!</definedName>
    <definedName name="SUMIFExtraCredit" localSheetId="23">#REF!</definedName>
    <definedName name="SUMIFExtraCredit" localSheetId="6">#REF!</definedName>
    <definedName name="SUMIFExtraCredit" localSheetId="10">#REF!</definedName>
    <definedName name="SUMIFExtraCredit">#REF!</definedName>
    <definedName name="SUMM">'[12]CFL-KIM'!$Z$1</definedName>
    <definedName name="SUMMARY" localSheetId="23">#REF!</definedName>
    <definedName name="SUMMARY" localSheetId="6">#REF!</definedName>
    <definedName name="SUMMARY" localSheetId="10">#REF!</definedName>
    <definedName name="SUMMARY">#REF!</definedName>
    <definedName name="SUMMARY_OTHER_EXPS" localSheetId="23">#REF!</definedName>
    <definedName name="SUMMARY_OTHER_EXPS" localSheetId="6">#REF!</definedName>
    <definedName name="SUMMARY_OTHER_EXPS" localSheetId="10">#REF!</definedName>
    <definedName name="SUMMARY_OTHER_EXPS">#REF!</definedName>
    <definedName name="SummaryNew" localSheetId="23">#REF!</definedName>
    <definedName name="SummaryNew" localSheetId="6">#REF!</definedName>
    <definedName name="SummaryNew" localSheetId="10">#REF!</definedName>
    <definedName name="SummaryNew">#REF!</definedName>
    <definedName name="SUMMARYR">'[12]CFL-KIM'!$G$1</definedName>
    <definedName name="Supplies" localSheetId="23">#REF!</definedName>
    <definedName name="Supplies" localSheetId="6">#REF!</definedName>
    <definedName name="Supplies" localSheetId="10">#REF!</definedName>
    <definedName name="Supplies">#REF!</definedName>
    <definedName name="SUPPLY" localSheetId="4">#REF!</definedName>
    <definedName name="supply" localSheetId="23">#REF!</definedName>
    <definedName name="supply" localSheetId="6">#REF!</definedName>
    <definedName name="SUPPLY" localSheetId="27">#REF!</definedName>
    <definedName name="SUPPLY" localSheetId="11">#REF!</definedName>
    <definedName name="supply" localSheetId="10">#REF!</definedName>
    <definedName name="SUPPLY" localSheetId="5">#REF!</definedName>
    <definedName name="supply">#REF!</definedName>
    <definedName name="supplysch" localSheetId="23">#REF!</definedName>
    <definedName name="supplysch" localSheetId="6">#REF!</definedName>
    <definedName name="supplysch" localSheetId="10">#REF!</definedName>
    <definedName name="supplysch">#REF!</definedName>
    <definedName name="suresh123" localSheetId="23">#REF!</definedName>
    <definedName name="suresh123" localSheetId="6">#REF!</definedName>
    <definedName name="suresh123" localSheetId="10">#REF!</definedName>
    <definedName name="suresh123">#REF!</definedName>
    <definedName name="swd_Adl_dis" localSheetId="23">#REF!</definedName>
    <definedName name="swd_Adl_dis" localSheetId="6">#REF!</definedName>
    <definedName name="swd_Adl_dis" localSheetId="10">#REF!</definedName>
    <definedName name="swd_Adl_dis">#REF!</definedName>
    <definedName name="swd_cd" localSheetId="23">#REF!</definedName>
    <definedName name="swd_cd" localSheetId="6">#REF!</definedName>
    <definedName name="swd_cd" localSheetId="10">#REF!</definedName>
    <definedName name="swd_cd">#REF!</definedName>
    <definedName name="swd_er" localSheetId="23">#REF!</definedName>
    <definedName name="swd_er" localSheetId="6">#REF!</definedName>
    <definedName name="swd_er" localSheetId="10">#REF!</definedName>
    <definedName name="swd_er">#REF!</definedName>
    <definedName name="swd_fi" localSheetId="23">#REF!</definedName>
    <definedName name="swd_fi" localSheetId="6">#REF!</definedName>
    <definedName name="swd_fi" localSheetId="10">#REF!</definedName>
    <definedName name="swd_fi">#REF!</definedName>
    <definedName name="SWGR12" localSheetId="23">#REF!</definedName>
    <definedName name="SWGR12" localSheetId="6">#REF!</definedName>
    <definedName name="SWGR12" localSheetId="10">#REF!</definedName>
    <definedName name="SWGR12">#REF!</definedName>
    <definedName name="SWGR345" localSheetId="23">#REF!</definedName>
    <definedName name="SWGR345" localSheetId="6">#REF!</definedName>
    <definedName name="SWGR345" localSheetId="10">#REF!</definedName>
    <definedName name="SWGR345">#REF!</definedName>
    <definedName name="swi" localSheetId="23">#REF!</definedName>
    <definedName name="swi" localSheetId="6">#REF!</definedName>
    <definedName name="swi" localSheetId="10">#REF!</definedName>
    <definedName name="swi">#REF!</definedName>
    <definedName name="sws" localSheetId="23">#REF!</definedName>
    <definedName name="sws" localSheetId="6">#REF!</definedName>
    <definedName name="sws" localSheetId="10">#REF!</definedName>
    <definedName name="sws">#REF!</definedName>
    <definedName name="t" localSheetId="23">#REF!</definedName>
    <definedName name="t" localSheetId="6">#REF!</definedName>
    <definedName name="t" localSheetId="10">#REF!</definedName>
    <definedName name="t">#REF!</definedName>
    <definedName name="t___0" localSheetId="23">#REF!</definedName>
    <definedName name="t___0" localSheetId="6">#REF!</definedName>
    <definedName name="t___0" localSheetId="10">#REF!</definedName>
    <definedName name="t___0">#REF!</definedName>
    <definedName name="t___13" localSheetId="23">#REF!</definedName>
    <definedName name="t___13" localSheetId="6">#REF!</definedName>
    <definedName name="t___13" localSheetId="10">#REF!</definedName>
    <definedName name="t___13">#REF!</definedName>
    <definedName name="T_Type" localSheetId="23">IFERROR(VLOOKUP([5]FOUNDATION!$B1,'[5]Crossing Details'!#REF!,2,FALSE)," ")</definedName>
    <definedName name="T_Type" localSheetId="6">IFERROR(VLOOKUP([5]FOUNDATION!$B1,'[5]Crossing Details'!#REF!,2,FALSE)," ")</definedName>
    <definedName name="T_Type" localSheetId="11">IFERROR(VLOOKUP([5]FOUNDATION!$B1,'[5]Crossing Details'!#REF!,2,FALSE)," ")</definedName>
    <definedName name="T_Type" localSheetId="10">IFERROR(VLOOKUP([5]FOUNDATION!$B1,'[5]Crossing Details'!#REF!,2,FALSE)," ")</definedName>
    <definedName name="T_Type">IFERROR(VLOOKUP([5]FOUNDATION!$B1,'[5]Crossing Details'!#REF!,2,FALSE)," ")</definedName>
    <definedName name="T1_" localSheetId="23">#REF!</definedName>
    <definedName name="T1_" localSheetId="6">#REF!</definedName>
    <definedName name="T1_" localSheetId="10">#REF!</definedName>
    <definedName name="T1_">#REF!</definedName>
    <definedName name="T2_" localSheetId="23">#REF!</definedName>
    <definedName name="T2_" localSheetId="6">#REF!</definedName>
    <definedName name="T2_" localSheetId="10">#REF!</definedName>
    <definedName name="T2_">#REF!</definedName>
    <definedName name="T3_" localSheetId="23">#REF!</definedName>
    <definedName name="T3_" localSheetId="6">#REF!</definedName>
    <definedName name="T3_" localSheetId="10">#REF!</definedName>
    <definedName name="T3_">#REF!</definedName>
    <definedName name="T4_" localSheetId="23">#REF!</definedName>
    <definedName name="T4_" localSheetId="6">#REF!</definedName>
    <definedName name="T4_" localSheetId="10">#REF!</definedName>
    <definedName name="T4_">#REF!</definedName>
    <definedName name="TA">INDEX('[5] '!$B$1:$B$16,MATCH('[5]  '!$K$499,'[5] '!$A$1:$A$16,0))</definedName>
    <definedName name="Table" localSheetId="23">#REF!</definedName>
    <definedName name="Table" localSheetId="6">#REF!</definedName>
    <definedName name="Table" localSheetId="10">#REF!</definedName>
    <definedName name="Table">#REF!</definedName>
    <definedName name="Table1" localSheetId="23">#REF!</definedName>
    <definedName name="Table1" localSheetId="6">#REF!</definedName>
    <definedName name="Table1" localSheetId="10">#REF!</definedName>
    <definedName name="Table1">#REF!</definedName>
    <definedName name="tableau1" localSheetId="23">#REF!</definedName>
    <definedName name="tableau1" localSheetId="6">#REF!</definedName>
    <definedName name="tableau1" localSheetId="10">#REF!</definedName>
    <definedName name="tableau1">#REF!</definedName>
    <definedName name="tala" localSheetId="4" hidden="1">[8]A!#REF!</definedName>
    <definedName name="tala" localSheetId="23" hidden="1">[8]A!#REF!</definedName>
    <definedName name="tala" localSheetId="6" hidden="1">[8]A!#REF!</definedName>
    <definedName name="tala" localSheetId="27" hidden="1">[8]A!#REF!</definedName>
    <definedName name="tala" localSheetId="11" hidden="1">[8]A!#REF!</definedName>
    <definedName name="tala" localSheetId="10" hidden="1">[8]A!#REF!</definedName>
    <definedName name="tala" localSheetId="5" hidden="1">[8]A!#REF!</definedName>
    <definedName name="tala" hidden="1">[8]A!#REF!</definedName>
    <definedName name="tala_1" localSheetId="23">#REF!</definedName>
    <definedName name="tala_1" localSheetId="6">#REF!</definedName>
    <definedName name="tala_1" localSheetId="10">#REF!</definedName>
    <definedName name="tala_1">#REF!</definedName>
    <definedName name="tala_2" localSheetId="23">#REF!</definedName>
    <definedName name="tala_2" localSheetId="6">#REF!</definedName>
    <definedName name="tala_2" localSheetId="10">#REF!</definedName>
    <definedName name="tala_2">#REF!</definedName>
    <definedName name="Target" localSheetId="23">#REF!</definedName>
    <definedName name="Target" localSheetId="6">#REF!</definedName>
    <definedName name="Target" localSheetId="10">#REF!</definedName>
    <definedName name="Target">#REF!</definedName>
    <definedName name="Tax" localSheetId="23">#REF!</definedName>
    <definedName name="Tax" localSheetId="6">#REF!</definedName>
    <definedName name="Tax" localSheetId="10">#REF!</definedName>
    <definedName name="Tax">#REF!</definedName>
    <definedName name="TB">INDEX('[5] '!$B$1:$B$16,MATCH('[5]  '!$K$501,'[5] '!$A$1:$A$16,0))</definedName>
    <definedName name="TBL" localSheetId="23">#REF!</definedName>
    <definedName name="TBL" localSheetId="6">#REF!</definedName>
    <definedName name="TBL" localSheetId="10">#REF!</definedName>
    <definedName name="TBL">#REF!</definedName>
    <definedName name="tbl_ProdInfo" localSheetId="23">#REF!</definedName>
    <definedName name="tbl_ProdInfo" localSheetId="6">#REF!</definedName>
    <definedName name="tbl_ProdInfo" localSheetId="10">#REF!</definedName>
    <definedName name="tbl_ProdInfo">#REF!</definedName>
    <definedName name="TC">INDEX('[5] '!$B$1:$B$16,MATCH('[5]  '!$K$503,'[5] '!$A$1:$A$16,0))</definedName>
    <definedName name="TD">INDEX('[5] '!$B$1:$B$16,MATCH('[5]  '!$K$505,'[5] '!$A$1:$A$16,0))</definedName>
    <definedName name="TE">INDEX('[5] '!$B$1:$B$16,MATCH('[5]  '!$K$507,'[5] '!$A$1:$A$16,0))</definedName>
    <definedName name="TE_Rate" localSheetId="23">IFERROR(_xlfn.XLOOKUP(#REF!,#REF!,#REF!),"")</definedName>
    <definedName name="TE_Rate" localSheetId="6">IFERROR(_xlfn.XLOOKUP(#REF!,#REF!,#REF!),"")</definedName>
    <definedName name="TE_Rate" localSheetId="11">IFERROR(_xlfn.XLOOKUP(#REF!,#REF!,#REF!),"")</definedName>
    <definedName name="TE_Rate" localSheetId="10">IFERROR(_xlfn.XLOOKUP(#REF!,#REF!,#REF!),"")</definedName>
    <definedName name="TE_Rate">IFERROR(_xlfn.XLOOKUP(#REF!,#REF!,#REF!),"")</definedName>
    <definedName name="TEC_Inquiry_No" localSheetId="23">#REF!</definedName>
    <definedName name="TEC_Inquiry_No" localSheetId="6">#REF!</definedName>
    <definedName name="TEC_Inquiry_No" localSheetId="10">#REF!</definedName>
    <definedName name="TEC_Inquiry_No">#REF!</definedName>
    <definedName name="TEE" localSheetId="23">#REF!</definedName>
    <definedName name="TEE" localSheetId="6">#REF!</definedName>
    <definedName name="TEE" localSheetId="10">#REF!</definedName>
    <definedName name="TEE">#REF!</definedName>
    <definedName name="tel" localSheetId="23">#REF!</definedName>
    <definedName name="tel" localSheetId="6">#REF!</definedName>
    <definedName name="tel" localSheetId="10">#REF!</definedName>
    <definedName name="tel">#REF!</definedName>
    <definedName name="temp" localSheetId="23">#REF!</definedName>
    <definedName name="temp" localSheetId="6">#REF!</definedName>
    <definedName name="temp" localSheetId="10">#REF!</definedName>
    <definedName name="temp">#REF!</definedName>
    <definedName name="temp_strainer" localSheetId="23">#REF!</definedName>
    <definedName name="temp_strainer" localSheetId="6">#REF!</definedName>
    <definedName name="temp_strainer" localSheetId="10">#REF!</definedName>
    <definedName name="temp_strainer">#REF!</definedName>
    <definedName name="temp1" localSheetId="23">#REF!</definedName>
    <definedName name="temp1" localSheetId="6">#REF!</definedName>
    <definedName name="temp1" localSheetId="10">#REF!</definedName>
    <definedName name="temp1">#REF!</definedName>
    <definedName name="ter_vapi" localSheetId="23">#REF!</definedName>
    <definedName name="ter_vapi" localSheetId="6">#REF!</definedName>
    <definedName name="ter_vapi" localSheetId="10">#REF!</definedName>
    <definedName name="ter_vapi">#REF!</definedName>
    <definedName name="TEs" localSheetId="23">#REF!</definedName>
    <definedName name="TEs" localSheetId="6">#REF!</definedName>
    <definedName name="TEs" localSheetId="10">#REF!</definedName>
    <definedName name="TEs">#REF!</definedName>
    <definedName name="TEs___0" localSheetId="23">#REF!</definedName>
    <definedName name="TEs___0" localSheetId="6">#REF!</definedName>
    <definedName name="TEs___0" localSheetId="10">#REF!</definedName>
    <definedName name="TEs___0">#REF!</definedName>
    <definedName name="TEs___13" localSheetId="23">#REF!</definedName>
    <definedName name="TEs___13" localSheetId="6">#REF!</definedName>
    <definedName name="TEs___13" localSheetId="10">#REF!</definedName>
    <definedName name="TEs___13">#REF!</definedName>
    <definedName name="TEST" localSheetId="4">#REF!</definedName>
    <definedName name="test" localSheetId="23">#REF!</definedName>
    <definedName name="test" localSheetId="6">#REF!</definedName>
    <definedName name="TEST" localSheetId="27">#REF!</definedName>
    <definedName name="TEST" localSheetId="11">#REF!</definedName>
    <definedName name="test" localSheetId="10">#REF!</definedName>
    <definedName name="TEST" localSheetId="5">#REF!</definedName>
    <definedName name="test">#REF!</definedName>
    <definedName name="TEST0" localSheetId="23">#REF!</definedName>
    <definedName name="TEST0" localSheetId="6">#REF!</definedName>
    <definedName name="TEST0" localSheetId="10">#REF!</definedName>
    <definedName name="TEST0">#REF!</definedName>
    <definedName name="TEST1" localSheetId="23">#REF!</definedName>
    <definedName name="TEST1" localSheetId="6">#REF!</definedName>
    <definedName name="TEST1" localSheetId="10">#REF!</definedName>
    <definedName name="TEST1">#REF!</definedName>
    <definedName name="TEST10" localSheetId="23">#REF!</definedName>
    <definedName name="TEST10" localSheetId="6">#REF!</definedName>
    <definedName name="TEST10" localSheetId="10">#REF!</definedName>
    <definedName name="TEST10">#REF!</definedName>
    <definedName name="TEST11" localSheetId="23">#REF!</definedName>
    <definedName name="TEST11" localSheetId="6">#REF!</definedName>
    <definedName name="TEST11" localSheetId="10">#REF!</definedName>
    <definedName name="TEST11">#REF!</definedName>
    <definedName name="TEST12" localSheetId="23">#REF!</definedName>
    <definedName name="TEST12" localSheetId="6">#REF!</definedName>
    <definedName name="TEST12" localSheetId="10">#REF!</definedName>
    <definedName name="TEST12">#REF!</definedName>
    <definedName name="TEST13" localSheetId="23">#REF!</definedName>
    <definedName name="TEST13" localSheetId="6">#REF!</definedName>
    <definedName name="TEST13" localSheetId="10">#REF!</definedName>
    <definedName name="TEST13">#REF!</definedName>
    <definedName name="TEST14" localSheetId="23">#REF!</definedName>
    <definedName name="TEST14" localSheetId="6">#REF!</definedName>
    <definedName name="TEST14" localSheetId="10">#REF!</definedName>
    <definedName name="TEST14">#REF!</definedName>
    <definedName name="TEST2" localSheetId="23">#REF!</definedName>
    <definedName name="TEST2" localSheetId="6">#REF!</definedName>
    <definedName name="TEST2" localSheetId="10">#REF!</definedName>
    <definedName name="TEST2">#REF!</definedName>
    <definedName name="TEST3" localSheetId="23">#REF!</definedName>
    <definedName name="TEST3" localSheetId="6">#REF!</definedName>
    <definedName name="TEST3" localSheetId="10">#REF!</definedName>
    <definedName name="TEST3">#REF!</definedName>
    <definedName name="TEST4" localSheetId="23">#REF!</definedName>
    <definedName name="TEST4" localSheetId="6">#REF!</definedName>
    <definedName name="TEST4" localSheetId="10">#REF!</definedName>
    <definedName name="TEST4">#REF!</definedName>
    <definedName name="TEST5" localSheetId="23">#REF!</definedName>
    <definedName name="TEST5" localSheetId="6">#REF!</definedName>
    <definedName name="TEST5" localSheetId="10">#REF!</definedName>
    <definedName name="TEST5">#REF!</definedName>
    <definedName name="TEST6" localSheetId="23">#REF!</definedName>
    <definedName name="TEST6" localSheetId="6">#REF!</definedName>
    <definedName name="TEST6" localSheetId="10">#REF!</definedName>
    <definedName name="TEST6">#REF!</definedName>
    <definedName name="TEST7" localSheetId="23">#REF!</definedName>
    <definedName name="TEST7" localSheetId="6">#REF!</definedName>
    <definedName name="TEST7" localSheetId="10">#REF!</definedName>
    <definedName name="TEST7">#REF!</definedName>
    <definedName name="TEST8" localSheetId="23">#REF!</definedName>
    <definedName name="TEST8" localSheetId="6">#REF!</definedName>
    <definedName name="TEST8" localSheetId="10">#REF!</definedName>
    <definedName name="TEST8">#REF!</definedName>
    <definedName name="TEST9" localSheetId="23">#REF!</definedName>
    <definedName name="TEST9" localSheetId="6">#REF!</definedName>
    <definedName name="TEST9" localSheetId="10">#REF!</definedName>
    <definedName name="TEST9">#REF!</definedName>
    <definedName name="TESTHKEY" localSheetId="23">#REF!</definedName>
    <definedName name="TESTHKEY" localSheetId="6">#REF!</definedName>
    <definedName name="TESTHKEY" localSheetId="10">#REF!</definedName>
    <definedName name="TESTHKEY">#REF!</definedName>
    <definedName name="TESTKEYS" localSheetId="23">#REF!</definedName>
    <definedName name="TESTKEYS" localSheetId="6">#REF!</definedName>
    <definedName name="TESTKEYS" localSheetId="10">#REF!</definedName>
    <definedName name="TESTKEYS">#REF!</definedName>
    <definedName name="TESTVKEY" localSheetId="23">#REF!</definedName>
    <definedName name="TESTVKEY" localSheetId="6">#REF!</definedName>
    <definedName name="TESTVKEY" localSheetId="10">#REF!</definedName>
    <definedName name="TESTVKEY">#REF!</definedName>
    <definedName name="TEt" localSheetId="23">#REF!</definedName>
    <definedName name="TEt" localSheetId="6">#REF!</definedName>
    <definedName name="TEt" localSheetId="10">#REF!</definedName>
    <definedName name="TEt">#REF!</definedName>
    <definedName name="TEt___0" localSheetId="23">#REF!</definedName>
    <definedName name="TEt___0" localSheetId="6">#REF!</definedName>
    <definedName name="TEt___0" localSheetId="10">#REF!</definedName>
    <definedName name="TEt___0">#REF!</definedName>
    <definedName name="TEt___13" localSheetId="23">#REF!</definedName>
    <definedName name="TEt___13" localSheetId="6">#REF!</definedName>
    <definedName name="TEt___13" localSheetId="10">#REF!</definedName>
    <definedName name="TEt___13">#REF!</definedName>
    <definedName name="TF">INDEX('[5] '!$B$1:$B$16,MATCH('[5]  '!$K$509,'[5] '!$A$1:$A$16,0))</definedName>
    <definedName name="TG">INDEX('[5] '!$B$1:$B$16,MATCH('[5]  '!$K$511,'[5] '!$A$1:$A$16,0))</definedName>
    <definedName name="TH">INDEX('[5] '!$B$1:$B$16,MATCH('[5]  '!$K$513,'[5] '!$A$1:$A$16,0))</definedName>
    <definedName name="THK" localSheetId="23">#REF!</definedName>
    <definedName name="THK" localSheetId="6">#REF!</definedName>
    <definedName name="THK" localSheetId="10">#REF!</definedName>
    <definedName name="THK">#REF!</definedName>
    <definedName name="ThreeD" localSheetId="23">#REF!</definedName>
    <definedName name="ThreeD" localSheetId="6">#REF!</definedName>
    <definedName name="ThreeD" localSheetId="10">#REF!</definedName>
    <definedName name="ThreeD">#REF!</definedName>
    <definedName name="ThreeTd" localSheetId="23">#REF!</definedName>
    <definedName name="ThreeTd" localSheetId="6">#REF!</definedName>
    <definedName name="ThreeTd" localSheetId="10">#REF!</definedName>
    <definedName name="ThreeTd">#REF!</definedName>
    <definedName name="ThreeTn" localSheetId="23">#REF!</definedName>
    <definedName name="ThreeTn" localSheetId="6">#REF!</definedName>
    <definedName name="ThreeTn" localSheetId="10">#REF!</definedName>
    <definedName name="ThreeTn">#REF!</definedName>
    <definedName name="TI">INDEX('[5] '!$B$1:$B$16,MATCH('[5]  '!$K$515,'[5] '!$A$1:$A$16,0))</definedName>
    <definedName name="TITLE" localSheetId="23">#REF!</definedName>
    <definedName name="TITLE" localSheetId="6">#REF!</definedName>
    <definedName name="TITLE" localSheetId="10">#REF!</definedName>
    <definedName name="TITLE">#REF!</definedName>
    <definedName name="TJ">INDEX('[5] '!$B$1:$B$16,MATCH('[5]  '!$K$517,'[5] '!$A$1:$A$16,0))</definedName>
    <definedName name="TK">INDEX('[5] '!$B$1:$B$16,MATCH('[5]  '!$K$519,'[5] '!$A$1:$A$16,0))</definedName>
    <definedName name="TL">INDEX('[5] '!$B$1:$B$16,MATCH('[5]  '!$K$521,'[5] '!$A$1:$A$16,0))</definedName>
    <definedName name="TM">INDEX('[5] '!$B$1:$B$16,MATCH('[5]  '!$K$523,'[5] '!$A$1:$A$16,0))</definedName>
    <definedName name="TNEBJSR" localSheetId="23">#REF!</definedName>
    <definedName name="TNEBJSR" localSheetId="6">#REF!</definedName>
    <definedName name="TNEBJSR" localSheetId="10">#REF!</definedName>
    <definedName name="TNEBJSR">#REF!</definedName>
    <definedName name="TnSWindSpeed" localSheetId="23">#REF!</definedName>
    <definedName name="TnSWindSpeed" localSheetId="6">#REF!</definedName>
    <definedName name="TnSWindSpeed" localSheetId="10">#REF!</definedName>
    <definedName name="TnSWindSpeed">#REF!</definedName>
    <definedName name="TOL" localSheetId="23">#REF!</definedName>
    <definedName name="TOL" localSheetId="6">#REF!</definedName>
    <definedName name="TOL" localSheetId="10">#REF!</definedName>
    <definedName name="TOL">#REF!</definedName>
    <definedName name="TOOL" localSheetId="23">#REF!</definedName>
    <definedName name="TOOL" localSheetId="6">#REF!</definedName>
    <definedName name="TOOL" localSheetId="10">#REF!</definedName>
    <definedName name="TOOL">#REF!</definedName>
    <definedName name="top" localSheetId="23">#REF!</definedName>
    <definedName name="top" localSheetId="6">#REF!</definedName>
    <definedName name="top" localSheetId="10">#REF!</definedName>
    <definedName name="top">#REF!</definedName>
    <definedName name="top_ser" localSheetId="23">#REF!</definedName>
    <definedName name="top_ser" localSheetId="6">#REF!</definedName>
    <definedName name="top_ser" localSheetId="10">#REF!</definedName>
    <definedName name="top_ser">#REF!</definedName>
    <definedName name="TOP_SUP" localSheetId="23">#REF!</definedName>
    <definedName name="TOP_SUP" localSheetId="6">#REF!</definedName>
    <definedName name="TOP_SUP" localSheetId="10">#REF!</definedName>
    <definedName name="TOP_SUP">#REF!</definedName>
    <definedName name="total" localSheetId="23">#REF!</definedName>
    <definedName name="total" localSheetId="6">#REF!</definedName>
    <definedName name="total" localSheetId="10">#REF!</definedName>
    <definedName name="total">#REF!</definedName>
    <definedName name="Total_EB" localSheetId="23">#REF!</definedName>
    <definedName name="Total_EB" localSheetId="6">#REF!</definedName>
    <definedName name="Total_EB" localSheetId="10">#REF!</definedName>
    <definedName name="Total_EB">#REF!</definedName>
    <definedName name="Total_MP_Peak" localSheetId="23">#REF!</definedName>
    <definedName name="Total_MP_Peak" localSheetId="6">#REF!</definedName>
    <definedName name="Total_MP_Peak" localSheetId="10">#REF!</definedName>
    <definedName name="Total_MP_Peak">#REF!</definedName>
    <definedName name="Total_Mth" localSheetId="23">#REF!</definedName>
    <definedName name="Total_Mth" localSheetId="6">#REF!</definedName>
    <definedName name="Total_Mth" localSheetId="10">#REF!</definedName>
    <definedName name="Total_Mth">#REF!</definedName>
    <definedName name="Total_YTD" localSheetId="23">#REF!</definedName>
    <definedName name="Total_YTD" localSheetId="6">#REF!</definedName>
    <definedName name="Total_YTD" localSheetId="10">#REF!</definedName>
    <definedName name="Total_YTD">#REF!</definedName>
    <definedName name="TOTAL1RP" localSheetId="23">#REF!</definedName>
    <definedName name="TOTAL1RP" localSheetId="6">#REF!</definedName>
    <definedName name="TOTAL1RP" localSheetId="10">#REF!</definedName>
    <definedName name="TOTAL1RP">#REF!</definedName>
    <definedName name="TOTAL2RP" localSheetId="23">#REF!</definedName>
    <definedName name="TOTAL2RP" localSheetId="6">#REF!</definedName>
    <definedName name="TOTAL2RP" localSheetId="10">#REF!</definedName>
    <definedName name="TOTAL2RP">#REF!</definedName>
    <definedName name="totalmc" localSheetId="23">#REF!</definedName>
    <definedName name="totalmc" localSheetId="6">#REF!</definedName>
    <definedName name="totalmc" localSheetId="10">#REF!</definedName>
    <definedName name="totalmc">#REF!</definedName>
    <definedName name="totalmc1" localSheetId="23">#REF!</definedName>
    <definedName name="totalmc1" localSheetId="6">#REF!</definedName>
    <definedName name="totalmc1" localSheetId="10">#REF!</definedName>
    <definedName name="totalmc1">#REF!</definedName>
    <definedName name="tower" localSheetId="11" hidden="1">{"'PROFITABILITY'!$A$1:$F$45"}</definedName>
    <definedName name="tower" localSheetId="10" hidden="1">{"'PROFITABILITY'!$A$1:$F$45"}</definedName>
    <definedName name="tower" hidden="1">{"'PROFITABILITY'!$A$1:$F$45"}</definedName>
    <definedName name="TowerBaseShear" localSheetId="23">#REF!</definedName>
    <definedName name="TowerBaseShear" localSheetId="6">#REF!</definedName>
    <definedName name="TowerBaseShear" localSheetId="10">#REF!</definedName>
    <definedName name="TowerBaseShear">#REF!</definedName>
    <definedName name="TowerBaseWeight" localSheetId="23">#REF!</definedName>
    <definedName name="TowerBaseWeight" localSheetId="6">#REF!</definedName>
    <definedName name="TowerBaseWeight" localSheetId="10">#REF!</definedName>
    <definedName name="TowerBaseWeight">#REF!</definedName>
    <definedName name="TowerBottomFaceWidth" localSheetId="23">#REF!</definedName>
    <definedName name="TowerBottomFaceWidth" localSheetId="6">#REF!</definedName>
    <definedName name="TowerBottomFaceWidth" localSheetId="10">#REF!</definedName>
    <definedName name="TowerBottomFaceWidth">#REF!</definedName>
    <definedName name="towercosting" localSheetId="11" hidden="1">{"'PROFITABILITY'!$A$1:$F$45"}</definedName>
    <definedName name="towercosting" localSheetId="10" hidden="1">{"'PROFITABILITY'!$A$1:$F$45"}</definedName>
    <definedName name="towercosting" hidden="1">{"'PROFITABILITY'!$A$1:$F$45"}</definedName>
    <definedName name="TowerOverturningMoment" localSheetId="23">#REF!</definedName>
    <definedName name="TowerOverturningMoment" localSheetId="6">#REF!</definedName>
    <definedName name="TowerOverturningMoment" localSheetId="10">#REF!</definedName>
    <definedName name="TowerOverturningMoment">#REF!</definedName>
    <definedName name="TPROT220" localSheetId="23">#REF!</definedName>
    <definedName name="TPROT220" localSheetId="6">#REF!</definedName>
    <definedName name="TPROT220" localSheetId="10">#REF!</definedName>
    <definedName name="TPROT220">#REF!</definedName>
    <definedName name="TPROT500" localSheetId="23">#REF!</definedName>
    <definedName name="TPROT500" localSheetId="6">#REF!</definedName>
    <definedName name="TPROT500" localSheetId="10">#REF!</definedName>
    <definedName name="TPROT500">#REF!</definedName>
    <definedName name="TR" localSheetId="23">#REF!</definedName>
    <definedName name="TR" localSheetId="6">#REF!</definedName>
    <definedName name="TR" localSheetId="10">#REF!</definedName>
    <definedName name="TR">#REF!</definedName>
    <definedName name="TR220CTL" localSheetId="23">#REF!</definedName>
    <definedName name="TR220CTL" localSheetId="6">#REF!</definedName>
    <definedName name="TR220CTL" localSheetId="10">#REF!</definedName>
    <definedName name="TR220CTL">#REF!</definedName>
    <definedName name="TR220FIRE" localSheetId="23">#REF!</definedName>
    <definedName name="TR220FIRE" localSheetId="6">#REF!</definedName>
    <definedName name="TR220FIRE" localSheetId="10">#REF!</definedName>
    <definedName name="TR220FIRE">#REF!</definedName>
    <definedName name="TR500CTL" localSheetId="23">#REF!</definedName>
    <definedName name="TR500CTL" localSheetId="6">#REF!</definedName>
    <definedName name="TR500CTL" localSheetId="10">#REF!</definedName>
    <definedName name="TR500CTL">#REF!</definedName>
    <definedName name="TR500FIRE" localSheetId="23">#REF!</definedName>
    <definedName name="TR500FIRE" localSheetId="6">#REF!</definedName>
    <definedName name="TR500FIRE" localSheetId="10">#REF!</definedName>
    <definedName name="TR500FIRE">#REF!</definedName>
    <definedName name="TRAV" localSheetId="23">#REF!</definedName>
    <definedName name="TRAV" localSheetId="6">#REF!</definedName>
    <definedName name="TRAV" localSheetId="10">#REF!</definedName>
    <definedName name="TRAV">#REF!</definedName>
    <definedName name="TRAY_DATA" localSheetId="23">#REF!</definedName>
    <definedName name="TRAY_DATA" localSheetId="6">#REF!</definedName>
    <definedName name="TRAY_DATA" localSheetId="10">#REF!</definedName>
    <definedName name="TRAY_DATA">#REF!</definedName>
    <definedName name="try" localSheetId="23">#REF!</definedName>
    <definedName name="try" localSheetId="6">#REF!</definedName>
    <definedName name="try" localSheetId="10">#REF!</definedName>
    <definedName name="try">#REF!</definedName>
    <definedName name="ts" localSheetId="23">#REF!</definedName>
    <definedName name="ts" localSheetId="6">#REF!</definedName>
    <definedName name="ts" localSheetId="10">#REF!</definedName>
    <definedName name="ts">#REF!</definedName>
    <definedName name="tS___0" localSheetId="23">#REF!</definedName>
    <definedName name="tS___0" localSheetId="6">#REF!</definedName>
    <definedName name="tS___0" localSheetId="10">#REF!</definedName>
    <definedName name="tS___0">#REF!</definedName>
    <definedName name="tS___13" localSheetId="23">#REF!</definedName>
    <definedName name="tS___13" localSheetId="6">#REF!</definedName>
    <definedName name="tS___13" localSheetId="10">#REF!</definedName>
    <definedName name="tS___13">#REF!</definedName>
    <definedName name="TSK" localSheetId="23">#REF!</definedName>
    <definedName name="TSK" localSheetId="6">#REF!</definedName>
    <definedName name="TSK" localSheetId="10">#REF!</definedName>
    <definedName name="TSK">#REF!</definedName>
    <definedName name="tt" localSheetId="23">#REF!</definedName>
    <definedName name="tt" localSheetId="6">#REF!</definedName>
    <definedName name="tt" localSheetId="10">#REF!</definedName>
    <definedName name="tt">#REF!</definedName>
    <definedName name="TTA" localSheetId="23">#REF!</definedName>
    <definedName name="TTA" localSheetId="6">#REF!</definedName>
    <definedName name="TTA" localSheetId="10">#REF!</definedName>
    <definedName name="TTA">#REF!</definedName>
    <definedName name="TTB" localSheetId="23">#REF!</definedName>
    <definedName name="TTB" localSheetId="6">#REF!</definedName>
    <definedName name="TTB" localSheetId="10">#REF!</definedName>
    <definedName name="TTB">#REF!</definedName>
    <definedName name="TTDI" localSheetId="23">#REF!</definedName>
    <definedName name="TTDI" localSheetId="6">#REF!</definedName>
    <definedName name="TTDI" localSheetId="10">#REF!</definedName>
    <definedName name="TTDI">#REF!</definedName>
    <definedName name="TTE" localSheetId="23">IFERROR(VLOOKUP(#REF!,[5]FOUNDATION!$B$7:$C$30,2,FALSE)," ")</definedName>
    <definedName name="TTE" localSheetId="6">IFERROR(VLOOKUP(#REF!,[5]FOUNDATION!$B$7:$C$30,2,FALSE)," ")</definedName>
    <definedName name="TTE" localSheetId="11">IFERROR(VLOOKUP(#REF!,[5]FOUNDATION!$B$7:$C$30,2,FALSE)," ")</definedName>
    <definedName name="TTE" localSheetId="10">IFERROR(VLOOKUP(#REF!,[5]FOUNDATION!$B$7:$C$30,2,FALSE)," ")</definedName>
    <definedName name="TTE">IFERROR(VLOOKUP(#REF!,[5]FOUNDATION!$B$7:$C$30,2,FALSE)," ")</definedName>
    <definedName name="TTMH" localSheetId="23">#REF!</definedName>
    <definedName name="TTMH" localSheetId="6">#REF!</definedName>
    <definedName name="TTMH" localSheetId="10">#REF!</definedName>
    <definedName name="TTMH">#REF!</definedName>
    <definedName name="TTMT" localSheetId="23">#REF!</definedName>
    <definedName name="TTMT" localSheetId="6">#REF!</definedName>
    <definedName name="TTMT" localSheetId="10">#REF!</definedName>
    <definedName name="TTMT">#REF!</definedName>
    <definedName name="ttt" localSheetId="23">#REF!</definedName>
    <definedName name="ttt" localSheetId="6">#REF!</definedName>
    <definedName name="ttt" localSheetId="10">#REF!</definedName>
    <definedName name="ttt">#REF!</definedName>
    <definedName name="TTWT" localSheetId="23">#REF!</definedName>
    <definedName name="TTWT" localSheetId="6">#REF!</definedName>
    <definedName name="TTWT" localSheetId="10">#REF!</definedName>
    <definedName name="TTWT">#REF!</definedName>
    <definedName name="TTX" localSheetId="23">#REF!</definedName>
    <definedName name="TTX" localSheetId="6">#REF!</definedName>
    <definedName name="TTX" localSheetId="10">#REF!</definedName>
    <definedName name="TTX">#REF!</definedName>
    <definedName name="tube_test_press1_12" localSheetId="23">#REF!</definedName>
    <definedName name="tube_test_press1_12" localSheetId="6">#REF!</definedName>
    <definedName name="tube_test_press1_12" localSheetId="10">#REF!</definedName>
    <definedName name="tube_test_press1_12">#REF!</definedName>
    <definedName name="TUES1" localSheetId="23">#REF!</definedName>
    <definedName name="TUES1" localSheetId="6">#REF!</definedName>
    <definedName name="TUES1" localSheetId="10">#REF!</definedName>
    <definedName name="TUES1">#REF!</definedName>
    <definedName name="Twr" localSheetId="23">#REF!</definedName>
    <definedName name="Twr" localSheetId="6">#REF!</definedName>
    <definedName name="Twr" localSheetId="10">#REF!</definedName>
    <definedName name="Twr">#REF!</definedName>
    <definedName name="TWR_WT" localSheetId="23">IFERROR(VLOOKUP(#REF!,'[5]TOWER SUPPLY'!$B$17:$C$62,2,FALSE),"")</definedName>
    <definedName name="TWR_WT" localSheetId="6">IFERROR(VLOOKUP(#REF!,'[5]TOWER SUPPLY'!$B$17:$C$62,2,FALSE),"")</definedName>
    <definedName name="TWR_WT" localSheetId="11">IFERROR(VLOOKUP(#REF!,'[5]TOWER SUPPLY'!$B$17:$C$62,2,FALSE),"")</definedName>
    <definedName name="TWR_WT" localSheetId="10">IFERROR(VLOOKUP(#REF!,'[5]TOWER SUPPLY'!$B$17:$C$62,2,FALSE),"")</definedName>
    <definedName name="TWR_WT">IFERROR(VLOOKUP(#REF!,'[5]TOWER SUPPLY'!$B$17:$C$62,2,FALSE),"")</definedName>
    <definedName name="TY" localSheetId="23">#REF!</definedName>
    <definedName name="TY" localSheetId="6">#REF!</definedName>
    <definedName name="TY" localSheetId="10">#REF!</definedName>
    <definedName name="TY">#REF!</definedName>
    <definedName name="type" localSheetId="23">#REF!</definedName>
    <definedName name="type" localSheetId="6">#REF!</definedName>
    <definedName name="type" localSheetId="10">#REF!</definedName>
    <definedName name="type">#REF!</definedName>
    <definedName name="TYPE_OF_LINE" localSheetId="23">#REF!</definedName>
    <definedName name="TYPE_OF_LINE" localSheetId="6">#REF!</definedName>
    <definedName name="TYPE_OF_LINE" localSheetId="10">#REF!</definedName>
    <definedName name="TYPE_OF_LINE">#REF!</definedName>
    <definedName name="typeofbidder" localSheetId="23">#REF!</definedName>
    <definedName name="typeofbidder" localSheetId="6">#REF!</definedName>
    <definedName name="typeofbidder" localSheetId="10">#REF!</definedName>
    <definedName name="typeofbidder">#REF!</definedName>
    <definedName name="Typerate" localSheetId="23">#REF!</definedName>
    <definedName name="Typerate" localSheetId="6">#REF!</definedName>
    <definedName name="Typerate" localSheetId="10">#REF!</definedName>
    <definedName name="Typerate">#REF!</definedName>
    <definedName name="u" localSheetId="23">#REF!</definedName>
    <definedName name="u" localSheetId="6">#REF!</definedName>
    <definedName name="u" localSheetId="10">#REF!</definedName>
    <definedName name="u">#REF!</definedName>
    <definedName name="UA">INDEX('[5] '!$B$1:$B$16,MATCH('[5]  '!$K$525,'[5] '!$A$1:$A$16,0))</definedName>
    <definedName name="UB">INDEX('[5] '!$B$1:$B$16,MATCH('[5]  '!$K$527,'[5] '!$A$1:$A$16,0))</definedName>
    <definedName name="UC">INDEX('[5] '!$B$1:$B$16,MATCH('[5]  '!$K$529,'[5] '!$A$1:$A$16,0))</definedName>
    <definedName name="UD">INDEX('[5] '!$B$1:$B$16,MATCH('[5]  '!$K$531,'[5] '!$A$1:$A$16,0))</definedName>
    <definedName name="UE">INDEX('[5] '!$B$1:$B$16,MATCH('[5]  '!$K$533,'[5] '!$A$1:$A$16,0))</definedName>
    <definedName name="UF">INDEX('[5] '!$B$1:$B$16,MATCH('[5]  '!$K$535,'[5] '!$A$1:$A$16,0))</definedName>
    <definedName name="UG">INDEX('[5] '!$B$1:$B$16,MATCH('[5]  '!$K$537,'[5] '!$A$1:$A$16,0))</definedName>
    <definedName name="UH">INDEX('[5] '!$B$1:$B$16,MATCH('[5]  '!$K$539,'[5] '!$A$1:$A$16,0))</definedName>
    <definedName name="UI">INDEX('[5] '!$B$1:$B$16,MATCH('[5]  '!$K$541,'[5] '!$A$1:$A$16,0))</definedName>
    <definedName name="UJ">INDEX('[5] '!$B$1:$B$16,MATCH('[5]  '!$K$543,'[5] '!$A$1:$A$16,0))</definedName>
    <definedName name="UKP" localSheetId="23">#REF!</definedName>
    <definedName name="UKP" localSheetId="6">#REF!</definedName>
    <definedName name="UKP" localSheetId="10">#REF!</definedName>
    <definedName name="UKP">#REF!</definedName>
    <definedName name="UNION" localSheetId="23">#REF!</definedName>
    <definedName name="UNION" localSheetId="6">#REF!</definedName>
    <definedName name="UNION" localSheetId="10">#REF!</definedName>
    <definedName name="UNION">#REF!</definedName>
    <definedName name="UNIT_PRICE_SCHEDULE" localSheetId="23">#REF!</definedName>
    <definedName name="UNIT_PRICE_SCHEDULE" localSheetId="6">#REF!</definedName>
    <definedName name="UNIT_PRICE_SCHEDULE" localSheetId="10">#REF!</definedName>
    <definedName name="UNIT_PRICE_SCHEDULE">#REF!</definedName>
    <definedName name="unitdisc" localSheetId="23">#REF!</definedName>
    <definedName name="unitdisc" localSheetId="6">#REF!</definedName>
    <definedName name="unitdisc" localSheetId="10">#REF!</definedName>
    <definedName name="unitdisc">#REF!</definedName>
    <definedName name="UNITS" localSheetId="23">#REF!</definedName>
    <definedName name="UNITS" localSheetId="6">#REF!</definedName>
    <definedName name="UNITS" localSheetId="10">#REF!</definedName>
    <definedName name="UNITS">#REF!</definedName>
    <definedName name="unnamed_2" localSheetId="23">#REF!</definedName>
    <definedName name="unnamed_2" localSheetId="6">#REF!</definedName>
    <definedName name="unnamed_2" localSheetId="10">#REF!</definedName>
    <definedName name="unnamed_2">#REF!</definedName>
    <definedName name="unnamed_3" localSheetId="23">#REF!</definedName>
    <definedName name="unnamed_3" localSheetId="6">#REF!</definedName>
    <definedName name="unnamed_3" localSheetId="10">#REF!</definedName>
    <definedName name="unnamed_3">#REF!</definedName>
    <definedName name="unnamed_4" localSheetId="23">#REF!</definedName>
    <definedName name="unnamed_4" localSheetId="6">#REF!</definedName>
    <definedName name="unnamed_4" localSheetId="10">#REF!</definedName>
    <definedName name="unnamed_4">#REF!</definedName>
    <definedName name="UP" localSheetId="23">#REF!</definedName>
    <definedName name="UP" localSheetId="6">#REF!</definedName>
    <definedName name="UP" localSheetId="10">#REF!</definedName>
    <definedName name="UP">#REF!</definedName>
    <definedName name="us_cd" localSheetId="23">#REF!</definedName>
    <definedName name="us_cd" localSheetId="6">#REF!</definedName>
    <definedName name="us_cd" localSheetId="10">#REF!</definedName>
    <definedName name="us_cd">#REF!</definedName>
    <definedName name="us_er" localSheetId="23">#REF!</definedName>
    <definedName name="us_er" localSheetId="6">#REF!</definedName>
    <definedName name="us_er" localSheetId="10">#REF!</definedName>
    <definedName name="us_er">#REF!</definedName>
    <definedName name="us_fi" localSheetId="23">#REF!</definedName>
    <definedName name="us_fi" localSheetId="6">#REF!</definedName>
    <definedName name="us_fi" localSheetId="10">#REF!</definedName>
    <definedName name="us_fi">#REF!</definedName>
    <definedName name="us_n" localSheetId="23">#REF!</definedName>
    <definedName name="us_n" localSheetId="6">#REF!</definedName>
    <definedName name="us_n" localSheetId="10">#REF!</definedName>
    <definedName name="us_n">#REF!</definedName>
    <definedName name="USD" localSheetId="23">#REF!</definedName>
    <definedName name="USD" localSheetId="6">#REF!</definedName>
    <definedName name="USD" localSheetId="10">#REF!</definedName>
    <definedName name="USD">#REF!</definedName>
    <definedName name="USDproEUR" localSheetId="23">#REF!</definedName>
    <definedName name="USDproEUR" localSheetId="6">#REF!</definedName>
    <definedName name="USDproEUR" localSheetId="10">#REF!</definedName>
    <definedName name="USDproEUR">#REF!</definedName>
    <definedName name="usn" localSheetId="23">#REF!</definedName>
    <definedName name="usn" localSheetId="6">#REF!</definedName>
    <definedName name="usn" localSheetId="10">#REF!</definedName>
    <definedName name="usn">#REF!</definedName>
    <definedName name="uuu" localSheetId="23">#REF!</definedName>
    <definedName name="uuu" localSheetId="6">#REF!</definedName>
    <definedName name="uuu" localSheetId="10">#REF!</definedName>
    <definedName name="uuu">#REF!</definedName>
    <definedName name="v" localSheetId="23">#REF!</definedName>
    <definedName name="v" localSheetId="6">#REF!</definedName>
    <definedName name="v" localSheetId="10">#REF!</definedName>
    <definedName name="v">#REF!</definedName>
    <definedName name="va" localSheetId="23">#REF!</definedName>
    <definedName name="va" localSheetId="6">#REF!</definedName>
    <definedName name="va" localSheetId="10">#REF!</definedName>
    <definedName name="va">#REF!</definedName>
    <definedName name="va___0" localSheetId="23">#REF!</definedName>
    <definedName name="va___0" localSheetId="6">#REF!</definedName>
    <definedName name="va___0" localSheetId="10">#REF!</definedName>
    <definedName name="va___0">#REF!</definedName>
    <definedName name="va___13" localSheetId="23">#REF!</definedName>
    <definedName name="va___13" localSheetId="6">#REF!</definedName>
    <definedName name="va___13" localSheetId="10">#REF!</definedName>
    <definedName name="va___13">#REF!</definedName>
    <definedName name="vaib" localSheetId="23">#REF!</definedName>
    <definedName name="vaib" localSheetId="6">#REF!</definedName>
    <definedName name="vaib" localSheetId="10">#REF!</definedName>
    <definedName name="vaib">#REF!</definedName>
    <definedName name="Valn_File" localSheetId="23">#REF!</definedName>
    <definedName name="Valn_File" localSheetId="6">#REF!</definedName>
    <definedName name="Valn_File" localSheetId="10">#REF!</definedName>
    <definedName name="Valn_File">#REF!</definedName>
    <definedName name="Valuation_Date" localSheetId="23">#REF!</definedName>
    <definedName name="Valuation_Date" localSheetId="6">#REF!</definedName>
    <definedName name="Valuation_Date" localSheetId="10">#REF!</definedName>
    <definedName name="Valuation_Date">#REF!</definedName>
    <definedName name="Value0" localSheetId="23">#REF!</definedName>
    <definedName name="Value0" localSheetId="6">#REF!</definedName>
    <definedName name="Value0" localSheetId="10">#REF!</definedName>
    <definedName name="Value0">#REF!</definedName>
    <definedName name="Value1" localSheetId="23">#REF!</definedName>
    <definedName name="Value1" localSheetId="6">#REF!</definedName>
    <definedName name="Value1" localSheetId="10">#REF!</definedName>
    <definedName name="Value1">#REF!</definedName>
    <definedName name="Value10" localSheetId="23">#REF!</definedName>
    <definedName name="Value10" localSheetId="6">#REF!</definedName>
    <definedName name="Value10" localSheetId="10">#REF!</definedName>
    <definedName name="Value10">#REF!</definedName>
    <definedName name="Value11" localSheetId="23">#REF!</definedName>
    <definedName name="Value11" localSheetId="6">#REF!</definedName>
    <definedName name="Value11" localSheetId="10">#REF!</definedName>
    <definedName name="Value11">#REF!</definedName>
    <definedName name="Value12" localSheetId="23">#REF!</definedName>
    <definedName name="Value12" localSheetId="6">#REF!</definedName>
    <definedName name="Value12" localSheetId="10">#REF!</definedName>
    <definedName name="Value12">#REF!</definedName>
    <definedName name="Value13" localSheetId="23">#REF!</definedName>
    <definedName name="Value13" localSheetId="6">#REF!</definedName>
    <definedName name="Value13" localSheetId="10">#REF!</definedName>
    <definedName name="Value13">#REF!</definedName>
    <definedName name="Value14" localSheetId="23">#REF!</definedName>
    <definedName name="Value14" localSheetId="6">#REF!</definedName>
    <definedName name="Value14" localSheetId="10">#REF!</definedName>
    <definedName name="Value14">#REF!</definedName>
    <definedName name="Value15" localSheetId="23">#REF!</definedName>
    <definedName name="Value15" localSheetId="6">#REF!</definedName>
    <definedName name="Value15" localSheetId="10">#REF!</definedName>
    <definedName name="Value15">#REF!</definedName>
    <definedName name="Value16" localSheetId="23">#REF!</definedName>
    <definedName name="Value16" localSheetId="6">#REF!</definedName>
    <definedName name="Value16" localSheetId="10">#REF!</definedName>
    <definedName name="Value16">#REF!</definedName>
    <definedName name="Value17" localSheetId="23">#REF!</definedName>
    <definedName name="Value17" localSheetId="6">#REF!</definedName>
    <definedName name="Value17" localSheetId="10">#REF!</definedName>
    <definedName name="Value17">#REF!</definedName>
    <definedName name="Value18" localSheetId="23">#REF!</definedName>
    <definedName name="Value18" localSheetId="6">#REF!</definedName>
    <definedName name="Value18" localSheetId="10">#REF!</definedName>
    <definedName name="Value18">#REF!</definedName>
    <definedName name="Value19" localSheetId="23">#REF!</definedName>
    <definedName name="Value19" localSheetId="6">#REF!</definedName>
    <definedName name="Value19" localSheetId="10">#REF!</definedName>
    <definedName name="Value19">#REF!</definedName>
    <definedName name="Value2" localSheetId="23">#REF!</definedName>
    <definedName name="Value2" localSheetId="6">#REF!</definedName>
    <definedName name="Value2" localSheetId="10">#REF!</definedName>
    <definedName name="Value2">#REF!</definedName>
    <definedName name="Value20" localSheetId="23">#REF!</definedName>
    <definedName name="Value20" localSheetId="6">#REF!</definedName>
    <definedName name="Value20" localSheetId="10">#REF!</definedName>
    <definedName name="Value20">#REF!</definedName>
    <definedName name="Value21" localSheetId="23">#REF!</definedName>
    <definedName name="Value21" localSheetId="6">#REF!</definedName>
    <definedName name="Value21" localSheetId="10">#REF!</definedName>
    <definedName name="Value21">#REF!</definedName>
    <definedName name="Value22" localSheetId="23">#REF!</definedName>
    <definedName name="Value22" localSheetId="6">#REF!</definedName>
    <definedName name="Value22" localSheetId="10">#REF!</definedName>
    <definedName name="Value22">#REF!</definedName>
    <definedName name="Value23" localSheetId="23">#REF!</definedName>
    <definedName name="Value23" localSheetId="6">#REF!</definedName>
    <definedName name="Value23" localSheetId="10">#REF!</definedName>
    <definedName name="Value23">#REF!</definedName>
    <definedName name="Value24" localSheetId="23">#REF!</definedName>
    <definedName name="Value24" localSheetId="6">#REF!</definedName>
    <definedName name="Value24" localSheetId="10">#REF!</definedName>
    <definedName name="Value24">#REF!</definedName>
    <definedName name="Value25" localSheetId="23">#REF!</definedName>
    <definedName name="Value25" localSheetId="6">#REF!</definedName>
    <definedName name="Value25" localSheetId="10">#REF!</definedName>
    <definedName name="Value25">#REF!</definedName>
    <definedName name="Value26" localSheetId="23">#REF!</definedName>
    <definedName name="Value26" localSheetId="6">#REF!</definedName>
    <definedName name="Value26" localSheetId="10">#REF!</definedName>
    <definedName name="Value26">#REF!</definedName>
    <definedName name="Value27" localSheetId="23">#REF!</definedName>
    <definedName name="Value27" localSheetId="6">#REF!</definedName>
    <definedName name="Value27" localSheetId="10">#REF!</definedName>
    <definedName name="Value27">#REF!</definedName>
    <definedName name="Value28" localSheetId="23">#REF!</definedName>
    <definedName name="Value28" localSheetId="6">#REF!</definedName>
    <definedName name="Value28" localSheetId="10">#REF!</definedName>
    <definedName name="Value28">#REF!</definedName>
    <definedName name="Value29" localSheetId="23">#REF!</definedName>
    <definedName name="Value29" localSheetId="6">#REF!</definedName>
    <definedName name="Value29" localSheetId="10">#REF!</definedName>
    <definedName name="Value29">#REF!</definedName>
    <definedName name="Value3" localSheetId="23">#REF!</definedName>
    <definedName name="Value3" localSheetId="6">#REF!</definedName>
    <definedName name="Value3" localSheetId="10">#REF!</definedName>
    <definedName name="Value3">#REF!</definedName>
    <definedName name="Value30" localSheetId="23">#REF!</definedName>
    <definedName name="Value30" localSheetId="6">#REF!</definedName>
    <definedName name="Value30" localSheetId="10">#REF!</definedName>
    <definedName name="Value30">#REF!</definedName>
    <definedName name="Value31" localSheetId="23">#REF!</definedName>
    <definedName name="Value31" localSheetId="6">#REF!</definedName>
    <definedName name="Value31" localSheetId="10">#REF!</definedName>
    <definedName name="Value31">#REF!</definedName>
    <definedName name="Value32" localSheetId="23">#REF!</definedName>
    <definedName name="Value32" localSheetId="6">#REF!</definedName>
    <definedName name="Value32" localSheetId="10">#REF!</definedName>
    <definedName name="Value32">#REF!</definedName>
    <definedName name="Value33" localSheetId="23">#REF!</definedName>
    <definedName name="Value33" localSheetId="6">#REF!</definedName>
    <definedName name="Value33" localSheetId="10">#REF!</definedName>
    <definedName name="Value33">#REF!</definedName>
    <definedName name="Value34" localSheetId="23">#REF!</definedName>
    <definedName name="Value34" localSheetId="6">#REF!</definedName>
    <definedName name="Value34" localSheetId="10">#REF!</definedName>
    <definedName name="Value34">#REF!</definedName>
    <definedName name="Value35" localSheetId="23">#REF!</definedName>
    <definedName name="Value35" localSheetId="6">#REF!</definedName>
    <definedName name="Value35" localSheetId="10">#REF!</definedName>
    <definedName name="Value35">#REF!</definedName>
    <definedName name="Value36" localSheetId="23">#REF!</definedName>
    <definedName name="Value36" localSheetId="6">#REF!</definedName>
    <definedName name="Value36" localSheetId="10">#REF!</definedName>
    <definedName name="Value36">#REF!</definedName>
    <definedName name="Value37" localSheetId="23">#REF!</definedName>
    <definedName name="Value37" localSheetId="6">#REF!</definedName>
    <definedName name="Value37" localSheetId="10">#REF!</definedName>
    <definedName name="Value37">#REF!</definedName>
    <definedName name="Value38" localSheetId="23">#REF!</definedName>
    <definedName name="Value38" localSheetId="6">#REF!</definedName>
    <definedName name="Value38" localSheetId="10">#REF!</definedName>
    <definedName name="Value38">#REF!</definedName>
    <definedName name="Value39" localSheetId="23">#REF!</definedName>
    <definedName name="Value39" localSheetId="6">#REF!</definedName>
    <definedName name="Value39" localSheetId="10">#REF!</definedName>
    <definedName name="Value39">#REF!</definedName>
    <definedName name="Value4" localSheetId="23">#REF!</definedName>
    <definedName name="Value4" localSheetId="6">#REF!</definedName>
    <definedName name="Value4" localSheetId="10">#REF!</definedName>
    <definedName name="Value4">#REF!</definedName>
    <definedName name="Value40" localSheetId="23">#REF!</definedName>
    <definedName name="Value40" localSheetId="6">#REF!</definedName>
    <definedName name="Value40" localSheetId="10">#REF!</definedName>
    <definedName name="Value40">#REF!</definedName>
    <definedName name="Value41" localSheetId="23">#REF!</definedName>
    <definedName name="Value41" localSheetId="6">#REF!</definedName>
    <definedName name="Value41" localSheetId="10">#REF!</definedName>
    <definedName name="Value41">#REF!</definedName>
    <definedName name="Value42" localSheetId="23">#REF!</definedName>
    <definedName name="Value42" localSheetId="6">#REF!</definedName>
    <definedName name="Value42" localSheetId="10">#REF!</definedName>
    <definedName name="Value42">#REF!</definedName>
    <definedName name="Value43" localSheetId="23">#REF!</definedName>
    <definedName name="Value43" localSheetId="6">#REF!</definedName>
    <definedName name="Value43" localSheetId="10">#REF!</definedName>
    <definedName name="Value43">#REF!</definedName>
    <definedName name="Value44" localSheetId="23">#REF!</definedName>
    <definedName name="Value44" localSheetId="6">#REF!</definedName>
    <definedName name="Value44" localSheetId="10">#REF!</definedName>
    <definedName name="Value44">#REF!</definedName>
    <definedName name="Value45" localSheetId="23">#REF!</definedName>
    <definedName name="Value45" localSheetId="6">#REF!</definedName>
    <definedName name="Value45" localSheetId="10">#REF!</definedName>
    <definedName name="Value45">#REF!</definedName>
    <definedName name="Value46" localSheetId="23">#REF!</definedName>
    <definedName name="Value46" localSheetId="6">#REF!</definedName>
    <definedName name="Value46" localSheetId="10">#REF!</definedName>
    <definedName name="Value46">#REF!</definedName>
    <definedName name="Value47" localSheetId="23">#REF!</definedName>
    <definedName name="Value47" localSheetId="6">#REF!</definedName>
    <definedName name="Value47" localSheetId="10">#REF!</definedName>
    <definedName name="Value47">#REF!</definedName>
    <definedName name="Value48" localSheetId="23">#REF!</definedName>
    <definedName name="Value48" localSheetId="6">#REF!</definedName>
    <definedName name="Value48" localSheetId="10">#REF!</definedName>
    <definedName name="Value48">#REF!</definedName>
    <definedName name="Value49" localSheetId="23">#REF!</definedName>
    <definedName name="Value49" localSheetId="6">#REF!</definedName>
    <definedName name="Value49" localSheetId="10">#REF!</definedName>
    <definedName name="Value49">#REF!</definedName>
    <definedName name="Value5" localSheetId="23">#REF!</definedName>
    <definedName name="Value5" localSheetId="6">#REF!</definedName>
    <definedName name="Value5" localSheetId="10">#REF!</definedName>
    <definedName name="Value5">#REF!</definedName>
    <definedName name="Value50" localSheetId="23">#REF!</definedName>
    <definedName name="Value50" localSheetId="6">#REF!</definedName>
    <definedName name="Value50" localSheetId="10">#REF!</definedName>
    <definedName name="Value50">#REF!</definedName>
    <definedName name="Value51" localSheetId="23">#REF!</definedName>
    <definedName name="Value51" localSheetId="6">#REF!</definedName>
    <definedName name="Value51" localSheetId="10">#REF!</definedName>
    <definedName name="Value51">#REF!</definedName>
    <definedName name="Value52" localSheetId="23">#REF!</definedName>
    <definedName name="Value52" localSheetId="6">#REF!</definedName>
    <definedName name="Value52" localSheetId="10">#REF!</definedName>
    <definedName name="Value52">#REF!</definedName>
    <definedName name="Value53" localSheetId="23">#REF!</definedName>
    <definedName name="Value53" localSheetId="6">#REF!</definedName>
    <definedName name="Value53" localSheetId="10">#REF!</definedName>
    <definedName name="Value53">#REF!</definedName>
    <definedName name="Value54" localSheetId="23">#REF!</definedName>
    <definedName name="Value54" localSheetId="6">#REF!</definedName>
    <definedName name="Value54" localSheetId="10">#REF!</definedName>
    <definedName name="Value54">#REF!</definedName>
    <definedName name="Value55" localSheetId="23">#REF!</definedName>
    <definedName name="Value55" localSheetId="6">#REF!</definedName>
    <definedName name="Value55" localSheetId="10">#REF!</definedName>
    <definedName name="Value55">#REF!</definedName>
    <definedName name="Value6" localSheetId="23">#REF!</definedName>
    <definedName name="Value6" localSheetId="6">#REF!</definedName>
    <definedName name="Value6" localSheetId="10">#REF!</definedName>
    <definedName name="Value6">#REF!</definedName>
    <definedName name="Value7" localSheetId="23">#REF!</definedName>
    <definedName name="Value7" localSheetId="6">#REF!</definedName>
    <definedName name="Value7" localSheetId="10">#REF!</definedName>
    <definedName name="Value7">#REF!</definedName>
    <definedName name="Value8" localSheetId="23">#REF!</definedName>
    <definedName name="Value8" localSheetId="6">#REF!</definedName>
    <definedName name="Value8" localSheetId="10">#REF!</definedName>
    <definedName name="Value8">#REF!</definedName>
    <definedName name="Value9" localSheetId="23">#REF!</definedName>
    <definedName name="Value9" localSheetId="6">#REF!</definedName>
    <definedName name="Value9" localSheetId="10">#REF!</definedName>
    <definedName name="Value9">#REF!</definedName>
    <definedName name="VANDEMATARAM" localSheetId="23">#REF!</definedName>
    <definedName name="VANDEMATARAM" localSheetId="6">#REF!</definedName>
    <definedName name="VANDEMATARAM" localSheetId="10">#REF!</definedName>
    <definedName name="VANDEMATARAM">#REF!</definedName>
    <definedName name="vapi_baywise" localSheetId="23">#REF!</definedName>
    <definedName name="vapi_baywise" localSheetId="6">#REF!</definedName>
    <definedName name="vapi_baywise" localSheetId="10">#REF!</definedName>
    <definedName name="vapi_baywise">#REF!</definedName>
    <definedName name="Var._IGP_M_Dez_00" localSheetId="23">#REF!</definedName>
    <definedName name="Var._IGP_M_Dez_00" localSheetId="6">#REF!</definedName>
    <definedName name="Var._IGP_M_Dez_00" localSheetId="10">#REF!</definedName>
    <definedName name="Var._IGP_M_Dez_00">#REF!</definedName>
    <definedName name="VB" localSheetId="23">#REF!</definedName>
    <definedName name="VB" localSheetId="6">#REF!</definedName>
    <definedName name="VB" localSheetId="10">#REF!</definedName>
    <definedName name="VB">#REF!</definedName>
    <definedName name="vcp" localSheetId="23">#REF!</definedName>
    <definedName name="vcp" localSheetId="6">#REF!</definedName>
    <definedName name="vcp" localSheetId="10">#REF!</definedName>
    <definedName name="vcp">#REF!</definedName>
    <definedName name="vct" localSheetId="23">INDEX('[5]  '!$D$6:$D$547,MATCH(#REF!,'[5]  '!$C$6:$C$547,0))</definedName>
    <definedName name="vct" localSheetId="6">INDEX('[5]  '!$D$6:$D$547,MATCH(#REF!,'[5]  '!$C$6:$C$547,0))</definedName>
    <definedName name="vct">INDEX('[5]  '!$D$6:$D$547,MATCH(#REF!,'[5]  '!$C$6:$C$547,0))</definedName>
    <definedName name="VD" localSheetId="23">#REF!</definedName>
    <definedName name="VD" localSheetId="6">#REF!</definedName>
    <definedName name="VD" localSheetId="10">#REF!</definedName>
    <definedName name="VD">#REF!</definedName>
    <definedName name="Vend" localSheetId="23">#REF!</definedName>
    <definedName name="Vend" localSheetId="6">#REF!</definedName>
    <definedName name="Vend" localSheetId="10">#REF!</definedName>
    <definedName name="Vend">#REF!</definedName>
    <definedName name="vertical_col_and_corner_walls" localSheetId="23">#REF!</definedName>
    <definedName name="vertical_col_and_corner_walls" localSheetId="6">#REF!</definedName>
    <definedName name="vertical_col_and_corner_walls" localSheetId="10">#REF!</definedName>
    <definedName name="vertical_col_and_corner_walls">#REF!</definedName>
    <definedName name="VertPltWt" localSheetId="23">#REF!</definedName>
    <definedName name="VertPltWt" localSheetId="6">#REF!</definedName>
    <definedName name="VertPltWt" localSheetId="10">#REF!</definedName>
    <definedName name="VertPltWt">#REF!</definedName>
    <definedName name="Vf" localSheetId="23">#REF!</definedName>
    <definedName name="Vf" localSheetId="6">#REF!</definedName>
    <definedName name="Vf" localSheetId="10">#REF!</definedName>
    <definedName name="Vf">#REF!</definedName>
    <definedName name="vggfd" localSheetId="11" hidden="1">{"'Sheet1'!$A$4386:$N$4591"}</definedName>
    <definedName name="vggfd" localSheetId="10" hidden="1">{"'Sheet1'!$A$4386:$N$4591"}</definedName>
    <definedName name="vggfd" hidden="1">{"'Sheet1'!$A$4386:$N$4591"}</definedName>
    <definedName name="view" localSheetId="11" hidden="1">{"'PROFITABILITY'!$A$1:$F$45"}</definedName>
    <definedName name="view" localSheetId="10" hidden="1">{"'PROFITABILITY'!$A$1:$F$45"}</definedName>
    <definedName name="view" hidden="1">{"'PROFITABILITY'!$A$1:$F$45"}</definedName>
    <definedName name="VIJAY" localSheetId="4">#REF!</definedName>
    <definedName name="VIJAY" localSheetId="23">#REF!</definedName>
    <definedName name="VIJAY" localSheetId="6">#REF!</definedName>
    <definedName name="VIJAY" localSheetId="27">#REF!</definedName>
    <definedName name="VIJAY" localSheetId="11">#REF!</definedName>
    <definedName name="VIJAY" localSheetId="10">#REF!</definedName>
    <definedName name="VIJAY" localSheetId="5">#REF!</definedName>
    <definedName name="VIJAY">#REF!</definedName>
    <definedName name="VISUAL" localSheetId="4">#REF!</definedName>
    <definedName name="VISUAL" localSheetId="23">#REF!</definedName>
    <definedName name="VISUAL" localSheetId="6">#REF!</definedName>
    <definedName name="VISUAL" localSheetId="27">#REF!</definedName>
    <definedName name="VISUAL" localSheetId="11">#REF!</definedName>
    <definedName name="VISUAL" localSheetId="10">#REF!</definedName>
    <definedName name="VISUAL" localSheetId="5">#REF!</definedName>
    <definedName name="VISUAL">#REF!</definedName>
    <definedName name="Viual_chart" localSheetId="4">#REF!</definedName>
    <definedName name="Viual_chart" localSheetId="23">#REF!</definedName>
    <definedName name="Viual_chart" localSheetId="6">#REF!</definedName>
    <definedName name="Viual_chart" localSheetId="27">#REF!</definedName>
    <definedName name="Viual_chart" localSheetId="11">#REF!</definedName>
    <definedName name="Viual_chart" localSheetId="10">#REF!</definedName>
    <definedName name="Viual_chart" localSheetId="5">#REF!</definedName>
    <definedName name="Viual_chart">#REF!</definedName>
    <definedName name="VIVEKANANDA" localSheetId="23">#REF!</definedName>
    <definedName name="VIVEKANANDA" localSheetId="6">#REF!</definedName>
    <definedName name="VIVEKANANDA" localSheetId="10">#REF!</definedName>
    <definedName name="VIVEKANANDA">#REF!</definedName>
    <definedName name="vo" localSheetId="23">#REF!</definedName>
    <definedName name="vo" localSheetId="6">#REF!</definedName>
    <definedName name="vo" localSheetId="10">#REF!</definedName>
    <definedName name="vo">#REF!</definedName>
    <definedName name="VPer" localSheetId="23">#REF!</definedName>
    <definedName name="VPer" localSheetId="6">#REF!</definedName>
    <definedName name="VPer" localSheetId="10">#REF!</definedName>
    <definedName name="VPer">#REF!</definedName>
    <definedName name="Vsigma" localSheetId="23">#REF!</definedName>
    <definedName name="Vsigma" localSheetId="6">#REF!</definedName>
    <definedName name="Vsigma" localSheetId="10">#REF!</definedName>
    <definedName name="Vsigma">#REF!</definedName>
    <definedName name="vv" localSheetId="23">#REF!</definedName>
    <definedName name="vv" localSheetId="6">#REF!</definedName>
    <definedName name="vv" localSheetId="10">#REF!</definedName>
    <definedName name="vv">#REF!</definedName>
    <definedName name="vvv" localSheetId="23">#REF!</definedName>
    <definedName name="vvv" localSheetId="6">#REF!</definedName>
    <definedName name="vvv" localSheetId="10">#REF!</definedName>
    <definedName name="vvv">#REF!</definedName>
    <definedName name="vwo" localSheetId="23">#REF!</definedName>
    <definedName name="vwo" localSheetId="6">#REF!</definedName>
    <definedName name="vwo" localSheetId="10">#REF!</definedName>
    <definedName name="vwo">#REF!</definedName>
    <definedName name="Vz" localSheetId="23">#REF!</definedName>
    <definedName name="Vz" localSheetId="6">#REF!</definedName>
    <definedName name="Vz" localSheetId="10">#REF!</definedName>
    <definedName name="Vz">#REF!</definedName>
    <definedName name="W" localSheetId="4">#REF!</definedName>
    <definedName name="w" localSheetId="23">#REF!</definedName>
    <definedName name="w" localSheetId="6">#REF!</definedName>
    <definedName name="W" localSheetId="27">#REF!</definedName>
    <definedName name="W" localSheetId="11">#REF!</definedName>
    <definedName name="w" localSheetId="10">#REF!</definedName>
    <definedName name="W" localSheetId="5">#REF!</definedName>
    <definedName name="w">#REF!</definedName>
    <definedName name="w1_w2" localSheetId="23">#REF!</definedName>
    <definedName name="w1_w2" localSheetId="6">#REF!</definedName>
    <definedName name="w1_w2" localSheetId="10">#REF!</definedName>
    <definedName name="w1_w2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 hidden="1">{"'Sheet1'!$A$4386:$N$4591"}</definedName>
    <definedName name="wcl" localSheetId="23">#REF!</definedName>
    <definedName name="wcl" localSheetId="6">#REF!</definedName>
    <definedName name="wcl" localSheetId="10">#REF!</definedName>
    <definedName name="wcl">#REF!</definedName>
    <definedName name="we" localSheetId="4">#REF!</definedName>
    <definedName name="we" localSheetId="23">#REF!</definedName>
    <definedName name="we" localSheetId="6">#REF!</definedName>
    <definedName name="we" localSheetId="27">#REF!</definedName>
    <definedName name="we" localSheetId="11">#REF!</definedName>
    <definedName name="we" localSheetId="10">#REF!</definedName>
    <definedName name="we" localSheetId="5">#REF!</definedName>
    <definedName name="we">#REF!</definedName>
    <definedName name="WEIGHT_FACTORS_drums" localSheetId="23">#REF!</definedName>
    <definedName name="WEIGHT_FACTORS_drums" localSheetId="6">#REF!</definedName>
    <definedName name="WEIGHT_FACTORS_drums" localSheetId="10">#REF!</definedName>
    <definedName name="WEIGHT_FACTORS_drums">#REF!</definedName>
    <definedName name="wer" localSheetId="23">#REF!</definedName>
    <definedName name="wer" localSheetId="6">#REF!</definedName>
    <definedName name="wer" localSheetId="10">#REF!</definedName>
    <definedName name="wer">#REF!</definedName>
    <definedName name="wertt" localSheetId="11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23">#REF!</definedName>
    <definedName name="werw" localSheetId="6">#REF!</definedName>
    <definedName name="werw" localSheetId="10">#REF!</definedName>
    <definedName name="werw">#REF!</definedName>
    <definedName name="werwer" localSheetId="23">#REF!</definedName>
    <definedName name="werwer" localSheetId="6">#REF!</definedName>
    <definedName name="werwer" localSheetId="10">#REF!</definedName>
    <definedName name="werwer">#REF!</definedName>
    <definedName name="wid" localSheetId="23">#REF!</definedName>
    <definedName name="wid" localSheetId="6">#REF!</definedName>
    <definedName name="wid" localSheetId="10">#REF!</definedName>
    <definedName name="wid">#REF!</definedName>
    <definedName name="wind_pressure" localSheetId="23">#REF!</definedName>
    <definedName name="wind_pressure" localSheetId="6">#REF!</definedName>
    <definedName name="wind_pressure" localSheetId="10">#REF!</definedName>
    <definedName name="wind_pressure">#REF!</definedName>
    <definedName name="Winform" localSheetId="23">#REF!</definedName>
    <definedName name="Winform" localSheetId="6">#REF!</definedName>
    <definedName name="Winform" localSheetId="10">#REF!</definedName>
    <definedName name="Winform">#REF!</definedName>
    <definedName name="wkarea" localSheetId="23">#REF!</definedName>
    <definedName name="wkarea" localSheetId="6">#REF!</definedName>
    <definedName name="wkarea" localSheetId="10">#REF!</definedName>
    <definedName name="wkarea">#REF!</definedName>
    <definedName name="wktable" localSheetId="23">#REF!</definedName>
    <definedName name="wktable" localSheetId="6">#REF!</definedName>
    <definedName name="wktable" localSheetId="10">#REF!</definedName>
    <definedName name="wktable">#REF!</definedName>
    <definedName name="WOL" localSheetId="23">#REF!</definedName>
    <definedName name="WOL" localSheetId="6">#REF!</definedName>
    <definedName name="WOL" localSheetId="10">#REF!</definedName>
    <definedName name="WOL">#REF!</definedName>
    <definedName name="wordings" localSheetId="23">#REF!</definedName>
    <definedName name="wordings" localSheetId="6">#REF!</definedName>
    <definedName name="wordings" localSheetId="10">#REF!</definedName>
    <definedName name="wordings">#REF!</definedName>
    <definedName name="WORKCAPTAL_BGT2" localSheetId="23">#REF!</definedName>
    <definedName name="WORKCAPTAL_BGT2" localSheetId="6">#REF!</definedName>
    <definedName name="WORKCAPTAL_BGT2" localSheetId="10">#REF!</definedName>
    <definedName name="WORKCAPTAL_BGT2">#REF!</definedName>
    <definedName name="WORKING_BGT2" localSheetId="23">#REF!</definedName>
    <definedName name="WORKING_BGT2" localSheetId="6">#REF!</definedName>
    <definedName name="WORKING_BGT2" localSheetId="10">#REF!</definedName>
    <definedName name="WORKING_BGT2">#REF!</definedName>
    <definedName name="WP" localSheetId="23">#REF!</definedName>
    <definedName name="WP" localSheetId="6">#REF!</definedName>
    <definedName name="WP" localSheetId="10">#REF!</definedName>
    <definedName name="WP">#REF!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 hidden="1">{#N/A,#N/A,TRUE,"GW-Cond";#N/A,#N/A,TRUE,"HW"}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23">#REF!</definedName>
    <definedName name="WT" localSheetId="6">#REF!</definedName>
    <definedName name="WT" localSheetId="10">#REF!</definedName>
    <definedName name="WT">#REF!</definedName>
    <definedName name="www" localSheetId="23">#REF!</definedName>
    <definedName name="www" localSheetId="6">#REF!</definedName>
    <definedName name="www" localSheetId="10">#REF!</definedName>
    <definedName name="www">#REF!</definedName>
    <definedName name="x" localSheetId="23">#REF!</definedName>
    <definedName name="x" localSheetId="6">#REF!</definedName>
    <definedName name="x" localSheetId="10">#REF!</definedName>
    <definedName name="x">#REF!</definedName>
    <definedName name="Xl" localSheetId="23">#REF!</definedName>
    <definedName name="Xl" localSheetId="6">#REF!</definedName>
    <definedName name="Xl" localSheetId="10">#REF!</definedName>
    <definedName name="Xl">#REF!</definedName>
    <definedName name="Xl___0" localSheetId="23">#REF!</definedName>
    <definedName name="Xl___0" localSheetId="6">#REF!</definedName>
    <definedName name="Xl___0" localSheetId="10">#REF!</definedName>
    <definedName name="Xl___0">#REF!</definedName>
    <definedName name="Xl___13" localSheetId="23">#REF!</definedName>
    <definedName name="Xl___13" localSheetId="6">#REF!</definedName>
    <definedName name="Xl___13" localSheetId="10">#REF!</definedName>
    <definedName name="Xl___13">#REF!</definedName>
    <definedName name="XREF_COLUMN_1" localSheetId="23">#REF!</definedName>
    <definedName name="XREF_COLUMN_1" localSheetId="6">#REF!</definedName>
    <definedName name="XREF_COLUMN_1" localSheetId="10">#REF!</definedName>
    <definedName name="XREF_COLUMN_1">#REF!</definedName>
    <definedName name="XREF_COLUMN_10" localSheetId="23">#REF!</definedName>
    <definedName name="XREF_COLUMN_10" localSheetId="6">#REF!</definedName>
    <definedName name="XREF_COLUMN_10" localSheetId="10">#REF!</definedName>
    <definedName name="XREF_COLUMN_10">#REF!</definedName>
    <definedName name="XREF_COLUMN_11" localSheetId="23">#REF!</definedName>
    <definedName name="XREF_COLUMN_11" localSheetId="6">#REF!</definedName>
    <definedName name="XREF_COLUMN_11" localSheetId="10">#REF!</definedName>
    <definedName name="XREF_COLUMN_11">#REF!</definedName>
    <definedName name="XREF_COLUMN_12" localSheetId="23">#REF!</definedName>
    <definedName name="XREF_COLUMN_12" localSheetId="6">#REF!</definedName>
    <definedName name="XREF_COLUMN_12" localSheetId="10">#REF!</definedName>
    <definedName name="XREF_COLUMN_12">#REF!</definedName>
    <definedName name="XREF_COLUMN_13" localSheetId="23">#REF!</definedName>
    <definedName name="XREF_COLUMN_13" localSheetId="6">#REF!</definedName>
    <definedName name="XREF_COLUMN_13" localSheetId="10">#REF!</definedName>
    <definedName name="XREF_COLUMN_13">#REF!</definedName>
    <definedName name="XREF_COLUMN_14" localSheetId="23">#REF!</definedName>
    <definedName name="XREF_COLUMN_14" localSheetId="6">#REF!</definedName>
    <definedName name="XREF_COLUMN_14" localSheetId="10">#REF!</definedName>
    <definedName name="XREF_COLUMN_14">#REF!</definedName>
    <definedName name="XREF_COLUMN_15" localSheetId="23">#REF!</definedName>
    <definedName name="XREF_COLUMN_15" localSheetId="6">#REF!</definedName>
    <definedName name="XREF_COLUMN_15" localSheetId="10">#REF!</definedName>
    <definedName name="XREF_COLUMN_15">#REF!</definedName>
    <definedName name="XREF_COLUMN_16" localSheetId="23">#REF!</definedName>
    <definedName name="XREF_COLUMN_16" localSheetId="6">#REF!</definedName>
    <definedName name="XREF_COLUMN_16" localSheetId="10">#REF!</definedName>
    <definedName name="XREF_COLUMN_16">#REF!</definedName>
    <definedName name="XREF_COLUMN_17" localSheetId="23">#REF!</definedName>
    <definedName name="XREF_COLUMN_17" localSheetId="6">#REF!</definedName>
    <definedName name="XREF_COLUMN_17" localSheetId="10">#REF!</definedName>
    <definedName name="XREF_COLUMN_17">#REF!</definedName>
    <definedName name="XREF_COLUMN_18" localSheetId="23">#REF!</definedName>
    <definedName name="XREF_COLUMN_18" localSheetId="6">#REF!</definedName>
    <definedName name="XREF_COLUMN_18" localSheetId="10">#REF!</definedName>
    <definedName name="XREF_COLUMN_18">#REF!</definedName>
    <definedName name="XREF_COLUMN_19" localSheetId="23">#REF!</definedName>
    <definedName name="XREF_COLUMN_19" localSheetId="6">#REF!</definedName>
    <definedName name="XREF_COLUMN_19" localSheetId="10">#REF!</definedName>
    <definedName name="XREF_COLUMN_19">#REF!</definedName>
    <definedName name="XREF_COLUMN_1yyyyyyyy" localSheetId="23">#REF!</definedName>
    <definedName name="XREF_COLUMN_1yyyyyyyy" localSheetId="6">#REF!</definedName>
    <definedName name="XREF_COLUMN_1yyyyyyyy" localSheetId="10">#REF!</definedName>
    <definedName name="XREF_COLUMN_1yyyyyyyy">#REF!</definedName>
    <definedName name="XREF_COLUMN_2" localSheetId="23">#REF!</definedName>
    <definedName name="XREF_COLUMN_2" localSheetId="6">#REF!</definedName>
    <definedName name="XREF_COLUMN_2" localSheetId="10">#REF!</definedName>
    <definedName name="XREF_COLUMN_2">#REF!</definedName>
    <definedName name="XREF_COLUMN_20" localSheetId="23">#REF!</definedName>
    <definedName name="XREF_COLUMN_20" localSheetId="6">#REF!</definedName>
    <definedName name="XREF_COLUMN_20" localSheetId="10">#REF!</definedName>
    <definedName name="XREF_COLUMN_20">#REF!</definedName>
    <definedName name="XREF_COLUMN_21" localSheetId="23">#REF!</definedName>
    <definedName name="XREF_COLUMN_21" localSheetId="6">#REF!</definedName>
    <definedName name="XREF_COLUMN_21" localSheetId="10">#REF!</definedName>
    <definedName name="XREF_COLUMN_21">#REF!</definedName>
    <definedName name="XREF_COLUMN_22" localSheetId="23">#REF!</definedName>
    <definedName name="XREF_COLUMN_22" localSheetId="6">#REF!</definedName>
    <definedName name="XREF_COLUMN_22" localSheetId="10">#REF!</definedName>
    <definedName name="XREF_COLUMN_22">#REF!</definedName>
    <definedName name="XREF_COLUMN_3" localSheetId="23">#REF!</definedName>
    <definedName name="XREF_COLUMN_3" localSheetId="6">#REF!</definedName>
    <definedName name="XREF_COLUMN_3" localSheetId="10">#REF!</definedName>
    <definedName name="XREF_COLUMN_3">#REF!</definedName>
    <definedName name="XREF_COLUMN_4" localSheetId="23">#REF!</definedName>
    <definedName name="XREF_COLUMN_4" localSheetId="6">#REF!</definedName>
    <definedName name="XREF_COLUMN_4" localSheetId="10">#REF!</definedName>
    <definedName name="XREF_COLUMN_4">#REF!</definedName>
    <definedName name="XREF_COLUMN_5" localSheetId="23">#REF!</definedName>
    <definedName name="XREF_COLUMN_5" localSheetId="6">#REF!</definedName>
    <definedName name="XREF_COLUMN_5" localSheetId="10">#REF!</definedName>
    <definedName name="XREF_COLUMN_5">#REF!</definedName>
    <definedName name="XREF_COLUMN_6" localSheetId="23">#REF!</definedName>
    <definedName name="XREF_COLUMN_6" localSheetId="6">#REF!</definedName>
    <definedName name="XREF_COLUMN_6" localSheetId="10">#REF!</definedName>
    <definedName name="XREF_COLUMN_6">#REF!</definedName>
    <definedName name="XREF_COLUMN_7" localSheetId="23">#REF!</definedName>
    <definedName name="XREF_COLUMN_7" localSheetId="6">#REF!</definedName>
    <definedName name="XREF_COLUMN_7" localSheetId="10">#REF!</definedName>
    <definedName name="XREF_COLUMN_7">#REF!</definedName>
    <definedName name="XREF_COLUMN_8" localSheetId="23">#REF!</definedName>
    <definedName name="XREF_COLUMN_8" localSheetId="6">#REF!</definedName>
    <definedName name="XREF_COLUMN_8" localSheetId="10">#REF!</definedName>
    <definedName name="XREF_COLUMN_8">#REF!</definedName>
    <definedName name="XREF_COLUMN_9" localSheetId="23">#REF!</definedName>
    <definedName name="XREF_COLUMN_9" localSheetId="6">#REF!</definedName>
    <definedName name="XREF_COLUMN_9" localSheetId="10">#REF!</definedName>
    <definedName name="XREF_COLUMN_9">#REF!</definedName>
    <definedName name="XRefActiveRow" localSheetId="23">#REF!</definedName>
    <definedName name="XRefActiveRow" localSheetId="6">#REF!</definedName>
    <definedName name="XRefActiveRow" localSheetId="10">#REF!</definedName>
    <definedName name="XRefActiveRow">#REF!</definedName>
    <definedName name="XRefCopy1" localSheetId="23">#REF!</definedName>
    <definedName name="XRefCopy1" localSheetId="6">#REF!</definedName>
    <definedName name="XRefCopy1" localSheetId="10">#REF!</definedName>
    <definedName name="XRefCopy1">#REF!</definedName>
    <definedName name="XRefCopy10" localSheetId="23">#REF!</definedName>
    <definedName name="XRefCopy10" localSheetId="6">#REF!</definedName>
    <definedName name="XRefCopy10" localSheetId="10">#REF!</definedName>
    <definedName name="XRefCopy10">#REF!</definedName>
    <definedName name="XRefCopy10Row" localSheetId="23">#REF!</definedName>
    <definedName name="XRefCopy10Row" localSheetId="6">#REF!</definedName>
    <definedName name="XRefCopy10Row" localSheetId="10">#REF!</definedName>
    <definedName name="XRefCopy10Row">#REF!</definedName>
    <definedName name="XRefCopy11" localSheetId="23">#REF!</definedName>
    <definedName name="XRefCopy11" localSheetId="6">#REF!</definedName>
    <definedName name="XRefCopy11" localSheetId="10">#REF!</definedName>
    <definedName name="XRefCopy11">#REF!</definedName>
    <definedName name="XRefCopy11Row" localSheetId="23">#REF!</definedName>
    <definedName name="XRefCopy11Row" localSheetId="6">#REF!</definedName>
    <definedName name="XRefCopy11Row" localSheetId="10">#REF!</definedName>
    <definedName name="XRefCopy11Row">#REF!</definedName>
    <definedName name="XRefCopy12" localSheetId="23">#REF!</definedName>
    <definedName name="XRefCopy12" localSheetId="6">#REF!</definedName>
    <definedName name="XRefCopy12" localSheetId="10">#REF!</definedName>
    <definedName name="XRefCopy12">#REF!</definedName>
    <definedName name="XRefCopy12Row" localSheetId="23">#REF!</definedName>
    <definedName name="XRefCopy12Row" localSheetId="6">#REF!</definedName>
    <definedName name="XRefCopy12Row" localSheetId="10">#REF!</definedName>
    <definedName name="XRefCopy12Row">#REF!</definedName>
    <definedName name="XRefCopy13" localSheetId="23">#REF!</definedName>
    <definedName name="XRefCopy13" localSheetId="6">#REF!</definedName>
    <definedName name="XRefCopy13" localSheetId="10">#REF!</definedName>
    <definedName name="XRefCopy13">#REF!</definedName>
    <definedName name="XRefCopy13Row" localSheetId="23">#REF!</definedName>
    <definedName name="XRefCopy13Row" localSheetId="6">#REF!</definedName>
    <definedName name="XRefCopy13Row" localSheetId="10">#REF!</definedName>
    <definedName name="XRefCopy13Row">#REF!</definedName>
    <definedName name="XRefCopy14" localSheetId="23">#REF!</definedName>
    <definedName name="XRefCopy14" localSheetId="6">#REF!</definedName>
    <definedName name="XRefCopy14" localSheetId="10">#REF!</definedName>
    <definedName name="XRefCopy14">#REF!</definedName>
    <definedName name="XRefCopy14Row" localSheetId="23">#REF!</definedName>
    <definedName name="XRefCopy14Row" localSheetId="6">#REF!</definedName>
    <definedName name="XRefCopy14Row" localSheetId="10">#REF!</definedName>
    <definedName name="XRefCopy14Row">#REF!</definedName>
    <definedName name="XRefCopy15" localSheetId="23">#REF!</definedName>
    <definedName name="XRefCopy15" localSheetId="6">#REF!</definedName>
    <definedName name="XRefCopy15" localSheetId="10">#REF!</definedName>
    <definedName name="XRefCopy15">#REF!</definedName>
    <definedName name="XRefCopy15Row" localSheetId="23">#REF!</definedName>
    <definedName name="XRefCopy15Row" localSheetId="6">#REF!</definedName>
    <definedName name="XRefCopy15Row" localSheetId="10">#REF!</definedName>
    <definedName name="XRefCopy15Row">#REF!</definedName>
    <definedName name="XRefCopy16" localSheetId="23">#REF!</definedName>
    <definedName name="XRefCopy16" localSheetId="6">#REF!</definedName>
    <definedName name="XRefCopy16" localSheetId="10">#REF!</definedName>
    <definedName name="XRefCopy16">#REF!</definedName>
    <definedName name="XRefCopy16Row" localSheetId="23">#REF!</definedName>
    <definedName name="XRefCopy16Row" localSheetId="6">#REF!</definedName>
    <definedName name="XRefCopy16Row" localSheetId="10">#REF!</definedName>
    <definedName name="XRefCopy16Row">#REF!</definedName>
    <definedName name="XRefCopy17" localSheetId="23">#REF!</definedName>
    <definedName name="XRefCopy17" localSheetId="6">#REF!</definedName>
    <definedName name="XRefCopy17" localSheetId="10">#REF!</definedName>
    <definedName name="XRefCopy17">#REF!</definedName>
    <definedName name="XRefCopy17Row" localSheetId="23">#REF!</definedName>
    <definedName name="XRefCopy17Row" localSheetId="6">#REF!</definedName>
    <definedName name="XRefCopy17Row" localSheetId="10">#REF!</definedName>
    <definedName name="XRefCopy17Row">#REF!</definedName>
    <definedName name="XRefCopy18" localSheetId="23">#REF!</definedName>
    <definedName name="XRefCopy18" localSheetId="6">#REF!</definedName>
    <definedName name="XRefCopy18" localSheetId="10">#REF!</definedName>
    <definedName name="XRefCopy18">#REF!</definedName>
    <definedName name="XRefCopy18Row" localSheetId="23">#REF!</definedName>
    <definedName name="XRefCopy18Row" localSheetId="6">#REF!</definedName>
    <definedName name="XRefCopy18Row" localSheetId="10">#REF!</definedName>
    <definedName name="XRefCopy18Row">#REF!</definedName>
    <definedName name="XRefCopy19" localSheetId="23">#REF!</definedName>
    <definedName name="XRefCopy19" localSheetId="6">#REF!</definedName>
    <definedName name="XRefCopy19" localSheetId="10">#REF!</definedName>
    <definedName name="XRefCopy19">#REF!</definedName>
    <definedName name="XRefCopy19Row" localSheetId="23">#REF!</definedName>
    <definedName name="XRefCopy19Row" localSheetId="6">#REF!</definedName>
    <definedName name="XRefCopy19Row" localSheetId="10">#REF!</definedName>
    <definedName name="XRefCopy19Row">#REF!</definedName>
    <definedName name="XRefCopy1Row" localSheetId="23">#REF!</definedName>
    <definedName name="XRefCopy1Row" localSheetId="6">#REF!</definedName>
    <definedName name="XRefCopy1Row" localSheetId="10">#REF!</definedName>
    <definedName name="XRefCopy1Row">#REF!</definedName>
    <definedName name="XRefCopy2" localSheetId="23">#REF!</definedName>
    <definedName name="XRefCopy2" localSheetId="6">#REF!</definedName>
    <definedName name="XRefCopy2" localSheetId="10">#REF!</definedName>
    <definedName name="XRefCopy2">#REF!</definedName>
    <definedName name="XRefCopy20" localSheetId="23">#REF!</definedName>
    <definedName name="XRefCopy20" localSheetId="6">#REF!</definedName>
    <definedName name="XRefCopy20" localSheetId="10">#REF!</definedName>
    <definedName name="XRefCopy20">#REF!</definedName>
    <definedName name="XRefCopy20Row" localSheetId="23">#REF!</definedName>
    <definedName name="XRefCopy20Row" localSheetId="6">#REF!</definedName>
    <definedName name="XRefCopy20Row" localSheetId="10">#REF!</definedName>
    <definedName name="XRefCopy20Row">#REF!</definedName>
    <definedName name="XRefCopy21" localSheetId="23">#REF!</definedName>
    <definedName name="XRefCopy21" localSheetId="6">#REF!</definedName>
    <definedName name="XRefCopy21" localSheetId="10">#REF!</definedName>
    <definedName name="XRefCopy21">#REF!</definedName>
    <definedName name="XRefCopy21Row" localSheetId="23">#REF!</definedName>
    <definedName name="XRefCopy21Row" localSheetId="6">#REF!</definedName>
    <definedName name="XRefCopy21Row" localSheetId="10">#REF!</definedName>
    <definedName name="XRefCopy21Row">#REF!</definedName>
    <definedName name="XRefCopy22" localSheetId="23">#REF!</definedName>
    <definedName name="XRefCopy22" localSheetId="6">#REF!</definedName>
    <definedName name="XRefCopy22" localSheetId="10">#REF!</definedName>
    <definedName name="XRefCopy22">#REF!</definedName>
    <definedName name="XRefCopy22Row" localSheetId="23">#REF!</definedName>
    <definedName name="XRefCopy22Row" localSheetId="6">#REF!</definedName>
    <definedName name="XRefCopy22Row" localSheetId="10">#REF!</definedName>
    <definedName name="XRefCopy22Row">#REF!</definedName>
    <definedName name="XRefCopy23" localSheetId="23">#REF!</definedName>
    <definedName name="XRefCopy23" localSheetId="6">#REF!</definedName>
    <definedName name="XRefCopy23" localSheetId="10">#REF!</definedName>
    <definedName name="XRefCopy23">#REF!</definedName>
    <definedName name="XRefCopy23Row" localSheetId="23">#REF!</definedName>
    <definedName name="XRefCopy23Row" localSheetId="6">#REF!</definedName>
    <definedName name="XRefCopy23Row" localSheetId="10">#REF!</definedName>
    <definedName name="XRefCopy23Row">#REF!</definedName>
    <definedName name="XRefCopy24" localSheetId="23">#REF!</definedName>
    <definedName name="XRefCopy24" localSheetId="6">#REF!</definedName>
    <definedName name="XRefCopy24" localSheetId="10">#REF!</definedName>
    <definedName name="XRefCopy24">#REF!</definedName>
    <definedName name="XRefCopy24Row" localSheetId="23">#REF!</definedName>
    <definedName name="XRefCopy24Row" localSheetId="6">#REF!</definedName>
    <definedName name="XRefCopy24Row" localSheetId="10">#REF!</definedName>
    <definedName name="XRefCopy24Row">#REF!</definedName>
    <definedName name="XRefCopy25" localSheetId="23">#REF!</definedName>
    <definedName name="XRefCopy25" localSheetId="6">#REF!</definedName>
    <definedName name="XRefCopy25" localSheetId="10">#REF!</definedName>
    <definedName name="XRefCopy25">#REF!</definedName>
    <definedName name="XRefCopy25Row" localSheetId="23">#REF!</definedName>
    <definedName name="XRefCopy25Row" localSheetId="6">#REF!</definedName>
    <definedName name="XRefCopy25Row" localSheetId="10">#REF!</definedName>
    <definedName name="XRefCopy25Row">#REF!</definedName>
    <definedName name="XRefCopy26" localSheetId="23">#REF!</definedName>
    <definedName name="XRefCopy26" localSheetId="6">#REF!</definedName>
    <definedName name="XRefCopy26" localSheetId="10">#REF!</definedName>
    <definedName name="XRefCopy26">#REF!</definedName>
    <definedName name="XRefCopy27" localSheetId="23">#REF!</definedName>
    <definedName name="XRefCopy27" localSheetId="6">#REF!</definedName>
    <definedName name="XRefCopy27" localSheetId="10">#REF!</definedName>
    <definedName name="XRefCopy27">#REF!</definedName>
    <definedName name="XRefCopy27Row" localSheetId="23">#REF!</definedName>
    <definedName name="XRefCopy27Row" localSheetId="6">#REF!</definedName>
    <definedName name="XRefCopy27Row" localSheetId="10">#REF!</definedName>
    <definedName name="XRefCopy27Row">#REF!</definedName>
    <definedName name="XRefCopy28" localSheetId="23">#REF!</definedName>
    <definedName name="XRefCopy28" localSheetId="6">#REF!</definedName>
    <definedName name="XRefCopy28" localSheetId="10">#REF!</definedName>
    <definedName name="XRefCopy28">#REF!</definedName>
    <definedName name="XRefCopy28Row" localSheetId="23">#REF!</definedName>
    <definedName name="XRefCopy28Row" localSheetId="6">#REF!</definedName>
    <definedName name="XRefCopy28Row" localSheetId="10">#REF!</definedName>
    <definedName name="XRefCopy28Row">#REF!</definedName>
    <definedName name="XRefCopy29" localSheetId="23">#REF!</definedName>
    <definedName name="XRefCopy29" localSheetId="6">#REF!</definedName>
    <definedName name="XRefCopy29" localSheetId="10">#REF!</definedName>
    <definedName name="XRefCopy29">#REF!</definedName>
    <definedName name="XRefCopy29Row" localSheetId="23">#REF!</definedName>
    <definedName name="XRefCopy29Row" localSheetId="6">#REF!</definedName>
    <definedName name="XRefCopy29Row" localSheetId="10">#REF!</definedName>
    <definedName name="XRefCopy29Row">#REF!</definedName>
    <definedName name="XRefCopy2Row" localSheetId="23">#REF!</definedName>
    <definedName name="XRefCopy2Row" localSheetId="6">#REF!</definedName>
    <definedName name="XRefCopy2Row" localSheetId="10">#REF!</definedName>
    <definedName name="XRefCopy2Row">#REF!</definedName>
    <definedName name="XRefCopy3" localSheetId="23">#REF!</definedName>
    <definedName name="XRefCopy3" localSheetId="6">#REF!</definedName>
    <definedName name="XRefCopy3" localSheetId="10">#REF!</definedName>
    <definedName name="XRefCopy3">#REF!</definedName>
    <definedName name="XRefCopy30" localSheetId="23">#REF!</definedName>
    <definedName name="XRefCopy30" localSheetId="6">#REF!</definedName>
    <definedName name="XRefCopy30" localSheetId="10">#REF!</definedName>
    <definedName name="XRefCopy30">#REF!</definedName>
    <definedName name="XRefCopy30Row" localSheetId="23">#REF!</definedName>
    <definedName name="XRefCopy30Row" localSheetId="6">#REF!</definedName>
    <definedName name="XRefCopy30Row" localSheetId="10">#REF!</definedName>
    <definedName name="XRefCopy30Row">#REF!</definedName>
    <definedName name="XRefCopy31" localSheetId="23">#REF!</definedName>
    <definedName name="XRefCopy31" localSheetId="6">#REF!</definedName>
    <definedName name="XRefCopy31" localSheetId="10">#REF!</definedName>
    <definedName name="XRefCopy31">#REF!</definedName>
    <definedName name="XRefCopy31Row" localSheetId="23">#REF!</definedName>
    <definedName name="XRefCopy31Row" localSheetId="6">#REF!</definedName>
    <definedName name="XRefCopy31Row" localSheetId="10">#REF!</definedName>
    <definedName name="XRefCopy31Row">#REF!</definedName>
    <definedName name="XRefCopy32" localSheetId="23">#REF!</definedName>
    <definedName name="XRefCopy32" localSheetId="6">#REF!</definedName>
    <definedName name="XRefCopy32" localSheetId="10">#REF!</definedName>
    <definedName name="XRefCopy32">#REF!</definedName>
    <definedName name="XRefCopy32Row" localSheetId="23">#REF!</definedName>
    <definedName name="XRefCopy32Row" localSheetId="6">#REF!</definedName>
    <definedName name="XRefCopy32Row" localSheetId="10">#REF!</definedName>
    <definedName name="XRefCopy32Row">#REF!</definedName>
    <definedName name="XRefCopy33" localSheetId="23">#REF!</definedName>
    <definedName name="XRefCopy33" localSheetId="6">#REF!</definedName>
    <definedName name="XRefCopy33" localSheetId="10">#REF!</definedName>
    <definedName name="XRefCopy33">#REF!</definedName>
    <definedName name="XRefCopy33Row" localSheetId="23">#REF!</definedName>
    <definedName name="XRefCopy33Row" localSheetId="6">#REF!</definedName>
    <definedName name="XRefCopy33Row" localSheetId="10">#REF!</definedName>
    <definedName name="XRefCopy33Row">#REF!</definedName>
    <definedName name="XRefCopy34" localSheetId="23">#REF!</definedName>
    <definedName name="XRefCopy34" localSheetId="6">#REF!</definedName>
    <definedName name="XRefCopy34" localSheetId="10">#REF!</definedName>
    <definedName name="XRefCopy34">#REF!</definedName>
    <definedName name="XRefCopy34Row" localSheetId="23">#REF!</definedName>
    <definedName name="XRefCopy34Row" localSheetId="6">#REF!</definedName>
    <definedName name="XRefCopy34Row" localSheetId="10">#REF!</definedName>
    <definedName name="XRefCopy34Row">#REF!</definedName>
    <definedName name="XRefCopy35" localSheetId="23">#REF!</definedName>
    <definedName name="XRefCopy35" localSheetId="6">#REF!</definedName>
    <definedName name="XRefCopy35" localSheetId="10">#REF!</definedName>
    <definedName name="XRefCopy35">#REF!</definedName>
    <definedName name="XRefCopy35Row" localSheetId="23">#REF!</definedName>
    <definedName name="XRefCopy35Row" localSheetId="6">#REF!</definedName>
    <definedName name="XRefCopy35Row" localSheetId="10">#REF!</definedName>
    <definedName name="XRefCopy35Row">#REF!</definedName>
    <definedName name="XRefCopy36" localSheetId="23">#REF!</definedName>
    <definedName name="XRefCopy36" localSheetId="6">#REF!</definedName>
    <definedName name="XRefCopy36" localSheetId="10">#REF!</definedName>
    <definedName name="XRefCopy36">#REF!</definedName>
    <definedName name="XRefCopy36Row" localSheetId="23">#REF!</definedName>
    <definedName name="XRefCopy36Row" localSheetId="6">#REF!</definedName>
    <definedName name="XRefCopy36Row" localSheetId="10">#REF!</definedName>
    <definedName name="XRefCopy36Row">#REF!</definedName>
    <definedName name="XRefCopy37" localSheetId="23">#REF!</definedName>
    <definedName name="XRefCopy37" localSheetId="6">#REF!</definedName>
    <definedName name="XRefCopy37" localSheetId="10">#REF!</definedName>
    <definedName name="XRefCopy37">#REF!</definedName>
    <definedName name="XRefCopy37Row" localSheetId="23">#REF!</definedName>
    <definedName name="XRefCopy37Row" localSheetId="6">#REF!</definedName>
    <definedName name="XRefCopy37Row" localSheetId="10">#REF!</definedName>
    <definedName name="XRefCopy37Row">#REF!</definedName>
    <definedName name="XRefCopy38" localSheetId="23">#REF!</definedName>
    <definedName name="XRefCopy38" localSheetId="6">#REF!</definedName>
    <definedName name="XRefCopy38" localSheetId="10">#REF!</definedName>
    <definedName name="XRefCopy38">#REF!</definedName>
    <definedName name="XRefCopy38Row" localSheetId="23">#REF!</definedName>
    <definedName name="XRefCopy38Row" localSheetId="6">#REF!</definedName>
    <definedName name="XRefCopy38Row" localSheetId="10">#REF!</definedName>
    <definedName name="XRefCopy38Row">#REF!</definedName>
    <definedName name="XRefCopy39" localSheetId="23">#REF!</definedName>
    <definedName name="XRefCopy39" localSheetId="6">#REF!</definedName>
    <definedName name="XRefCopy39" localSheetId="10">#REF!</definedName>
    <definedName name="XRefCopy39">#REF!</definedName>
    <definedName name="XRefCopy39Row" localSheetId="23">#REF!</definedName>
    <definedName name="XRefCopy39Row" localSheetId="6">#REF!</definedName>
    <definedName name="XRefCopy39Row" localSheetId="10">#REF!</definedName>
    <definedName name="XRefCopy39Row">#REF!</definedName>
    <definedName name="XRefCopy3Row" localSheetId="23">#REF!</definedName>
    <definedName name="XRefCopy3Row" localSheetId="6">#REF!</definedName>
    <definedName name="XRefCopy3Row" localSheetId="10">#REF!</definedName>
    <definedName name="XRefCopy3Row">#REF!</definedName>
    <definedName name="XRefCopy40" localSheetId="23">#REF!</definedName>
    <definedName name="XRefCopy40" localSheetId="6">#REF!</definedName>
    <definedName name="XRefCopy40" localSheetId="10">#REF!</definedName>
    <definedName name="XRefCopy40">#REF!</definedName>
    <definedName name="XRefCopy40Row" localSheetId="23">#REF!</definedName>
    <definedName name="XRefCopy40Row" localSheetId="6">#REF!</definedName>
    <definedName name="XRefCopy40Row" localSheetId="10">#REF!</definedName>
    <definedName name="XRefCopy40Row">#REF!</definedName>
    <definedName name="XRefCopy41" localSheetId="23">#REF!</definedName>
    <definedName name="XRefCopy41" localSheetId="6">#REF!</definedName>
    <definedName name="XRefCopy41" localSheetId="10">#REF!</definedName>
    <definedName name="XRefCopy41">#REF!</definedName>
    <definedName name="XRefCopy41Row" localSheetId="23">#REF!</definedName>
    <definedName name="XRefCopy41Row" localSheetId="6">#REF!</definedName>
    <definedName name="XRefCopy41Row" localSheetId="10">#REF!</definedName>
    <definedName name="XRefCopy41Row">#REF!</definedName>
    <definedName name="XRefCopy42" localSheetId="23">#REF!</definedName>
    <definedName name="XRefCopy42" localSheetId="6">#REF!</definedName>
    <definedName name="XRefCopy42" localSheetId="10">#REF!</definedName>
    <definedName name="XRefCopy42">#REF!</definedName>
    <definedName name="XRefCopy42Row" localSheetId="23">#REF!</definedName>
    <definedName name="XRefCopy42Row" localSheetId="6">#REF!</definedName>
    <definedName name="XRefCopy42Row" localSheetId="10">#REF!</definedName>
    <definedName name="XRefCopy42Row">#REF!</definedName>
    <definedName name="XRefCopy43" localSheetId="23">#REF!</definedName>
    <definedName name="XRefCopy43" localSheetId="6">#REF!</definedName>
    <definedName name="XRefCopy43" localSheetId="10">#REF!</definedName>
    <definedName name="XRefCopy43">#REF!</definedName>
    <definedName name="XRefCopy43Row" localSheetId="23">#REF!</definedName>
    <definedName name="XRefCopy43Row" localSheetId="6">#REF!</definedName>
    <definedName name="XRefCopy43Row" localSheetId="10">#REF!</definedName>
    <definedName name="XRefCopy43Row">#REF!</definedName>
    <definedName name="XRefCopy44" localSheetId="23">#REF!</definedName>
    <definedName name="XRefCopy44" localSheetId="6">#REF!</definedName>
    <definedName name="XRefCopy44" localSheetId="10">#REF!</definedName>
    <definedName name="XRefCopy44">#REF!</definedName>
    <definedName name="XRefCopy44Row" localSheetId="23">#REF!</definedName>
    <definedName name="XRefCopy44Row" localSheetId="6">#REF!</definedName>
    <definedName name="XRefCopy44Row" localSheetId="10">#REF!</definedName>
    <definedName name="XRefCopy44Row">#REF!</definedName>
    <definedName name="XRefCopy45" localSheetId="23">#REF!</definedName>
    <definedName name="XRefCopy45" localSheetId="6">#REF!</definedName>
    <definedName name="XRefCopy45" localSheetId="10">#REF!</definedName>
    <definedName name="XRefCopy45">#REF!</definedName>
    <definedName name="XRefCopy45Row" localSheetId="23">#REF!</definedName>
    <definedName name="XRefCopy45Row" localSheetId="6">#REF!</definedName>
    <definedName name="XRefCopy45Row" localSheetId="10">#REF!</definedName>
    <definedName name="XRefCopy45Row">#REF!</definedName>
    <definedName name="XRefCopy46" localSheetId="23">#REF!</definedName>
    <definedName name="XRefCopy46" localSheetId="6">#REF!</definedName>
    <definedName name="XRefCopy46" localSheetId="10">#REF!</definedName>
    <definedName name="XRefCopy46">#REF!</definedName>
    <definedName name="XRefCopy46Row" localSheetId="23">#REF!</definedName>
    <definedName name="XRefCopy46Row" localSheetId="6">#REF!</definedName>
    <definedName name="XRefCopy46Row" localSheetId="10">#REF!</definedName>
    <definedName name="XRefCopy46Row">#REF!</definedName>
    <definedName name="XRefCopy47" localSheetId="23">#REF!</definedName>
    <definedName name="XRefCopy47" localSheetId="6">#REF!</definedName>
    <definedName name="XRefCopy47" localSheetId="10">#REF!</definedName>
    <definedName name="XRefCopy47">#REF!</definedName>
    <definedName name="XRefCopy47Row" localSheetId="23">#REF!</definedName>
    <definedName name="XRefCopy47Row" localSheetId="6">#REF!</definedName>
    <definedName name="XRefCopy47Row" localSheetId="10">#REF!</definedName>
    <definedName name="XRefCopy47Row">#REF!</definedName>
    <definedName name="XRefCopy48" localSheetId="23">#REF!</definedName>
    <definedName name="XRefCopy48" localSheetId="6">#REF!</definedName>
    <definedName name="XRefCopy48" localSheetId="10">#REF!</definedName>
    <definedName name="XRefCopy48">#REF!</definedName>
    <definedName name="XRefCopy48Row" localSheetId="23">#REF!</definedName>
    <definedName name="XRefCopy48Row" localSheetId="6">#REF!</definedName>
    <definedName name="XRefCopy48Row" localSheetId="10">#REF!</definedName>
    <definedName name="XRefCopy48Row">#REF!</definedName>
    <definedName name="XRefCopy49Row" localSheetId="23">#REF!</definedName>
    <definedName name="XRefCopy49Row" localSheetId="6">#REF!</definedName>
    <definedName name="XRefCopy49Row" localSheetId="10">#REF!</definedName>
    <definedName name="XRefCopy49Row">#REF!</definedName>
    <definedName name="XRefCopy4Row" localSheetId="23">#REF!</definedName>
    <definedName name="XRefCopy4Row" localSheetId="6">#REF!</definedName>
    <definedName name="XRefCopy4Row" localSheetId="10">#REF!</definedName>
    <definedName name="XRefCopy4Row">#REF!</definedName>
    <definedName name="XRefCopy5" localSheetId="23">#REF!</definedName>
    <definedName name="XRefCopy5" localSheetId="6">#REF!</definedName>
    <definedName name="XRefCopy5" localSheetId="10">#REF!</definedName>
    <definedName name="XRefCopy5">#REF!</definedName>
    <definedName name="XRefCopy50" localSheetId="23">#REF!</definedName>
    <definedName name="XRefCopy50" localSheetId="6">#REF!</definedName>
    <definedName name="XRefCopy50" localSheetId="10">#REF!</definedName>
    <definedName name="XRefCopy50">#REF!</definedName>
    <definedName name="XRefCopy50Row" localSheetId="23">#REF!</definedName>
    <definedName name="XRefCopy50Row" localSheetId="6">#REF!</definedName>
    <definedName name="XRefCopy50Row" localSheetId="10">#REF!</definedName>
    <definedName name="XRefCopy50Row">#REF!</definedName>
    <definedName name="XRefCopy51" localSheetId="23">#REF!</definedName>
    <definedName name="XRefCopy51" localSheetId="6">#REF!</definedName>
    <definedName name="XRefCopy51" localSheetId="10">#REF!</definedName>
    <definedName name="XRefCopy51">#REF!</definedName>
    <definedName name="XRefCopy51Row" localSheetId="23">#REF!</definedName>
    <definedName name="XRefCopy51Row" localSheetId="6">#REF!</definedName>
    <definedName name="XRefCopy51Row" localSheetId="10">#REF!</definedName>
    <definedName name="XRefCopy51Row">#REF!</definedName>
    <definedName name="XRefCopy52" localSheetId="23">#REF!</definedName>
    <definedName name="XRefCopy52" localSheetId="6">#REF!</definedName>
    <definedName name="XRefCopy52" localSheetId="10">#REF!</definedName>
    <definedName name="XRefCopy52">#REF!</definedName>
    <definedName name="XRefCopy52Row" localSheetId="23">#REF!</definedName>
    <definedName name="XRefCopy52Row" localSheetId="6">#REF!</definedName>
    <definedName name="XRefCopy52Row" localSheetId="10">#REF!</definedName>
    <definedName name="XRefCopy52Row">#REF!</definedName>
    <definedName name="XRefCopy53" localSheetId="23">#REF!</definedName>
    <definedName name="XRefCopy53" localSheetId="6">#REF!</definedName>
    <definedName name="XRefCopy53" localSheetId="10">#REF!</definedName>
    <definedName name="XRefCopy53">#REF!</definedName>
    <definedName name="XRefCopy53Row" localSheetId="23">#REF!</definedName>
    <definedName name="XRefCopy53Row" localSheetId="6">#REF!</definedName>
    <definedName name="XRefCopy53Row" localSheetId="10">#REF!</definedName>
    <definedName name="XRefCopy53Row">#REF!</definedName>
    <definedName name="XRefCopy54" localSheetId="23">#REF!</definedName>
    <definedName name="XRefCopy54" localSheetId="6">#REF!</definedName>
    <definedName name="XRefCopy54" localSheetId="10">#REF!</definedName>
    <definedName name="XRefCopy54">#REF!</definedName>
    <definedName name="XRefCopy54Row" localSheetId="23">#REF!</definedName>
    <definedName name="XRefCopy54Row" localSheetId="6">#REF!</definedName>
    <definedName name="XRefCopy54Row" localSheetId="10">#REF!</definedName>
    <definedName name="XRefCopy54Row">#REF!</definedName>
    <definedName name="XRefCopy55" localSheetId="23">#REF!</definedName>
    <definedName name="XRefCopy55" localSheetId="6">#REF!</definedName>
    <definedName name="XRefCopy55" localSheetId="10">#REF!</definedName>
    <definedName name="XRefCopy55">#REF!</definedName>
    <definedName name="XRefCopy55Row" localSheetId="23">#REF!</definedName>
    <definedName name="XRefCopy55Row" localSheetId="6">#REF!</definedName>
    <definedName name="XRefCopy55Row" localSheetId="10">#REF!</definedName>
    <definedName name="XRefCopy55Row">#REF!</definedName>
    <definedName name="XRefCopy56" localSheetId="23">#REF!</definedName>
    <definedName name="XRefCopy56" localSheetId="6">#REF!</definedName>
    <definedName name="XRefCopy56" localSheetId="10">#REF!</definedName>
    <definedName name="XRefCopy56">#REF!</definedName>
    <definedName name="XRefCopy56Row" localSheetId="23">#REF!</definedName>
    <definedName name="XRefCopy56Row" localSheetId="6">#REF!</definedName>
    <definedName name="XRefCopy56Row" localSheetId="10">#REF!</definedName>
    <definedName name="XRefCopy56Row">#REF!</definedName>
    <definedName name="XRefCopy57" localSheetId="23">#REF!</definedName>
    <definedName name="XRefCopy57" localSheetId="6">#REF!</definedName>
    <definedName name="XRefCopy57" localSheetId="10">#REF!</definedName>
    <definedName name="XRefCopy57">#REF!</definedName>
    <definedName name="XRefCopy57Row" localSheetId="23">#REF!</definedName>
    <definedName name="XRefCopy57Row" localSheetId="6">#REF!</definedName>
    <definedName name="XRefCopy57Row" localSheetId="10">#REF!</definedName>
    <definedName name="XRefCopy57Row">#REF!</definedName>
    <definedName name="XRefCopy58" localSheetId="23">#REF!</definedName>
    <definedName name="XRefCopy58" localSheetId="6">#REF!</definedName>
    <definedName name="XRefCopy58" localSheetId="10">#REF!</definedName>
    <definedName name="XRefCopy58">#REF!</definedName>
    <definedName name="XRefCopy59" localSheetId="23">#REF!</definedName>
    <definedName name="XRefCopy59" localSheetId="6">#REF!</definedName>
    <definedName name="XRefCopy59" localSheetId="10">#REF!</definedName>
    <definedName name="XRefCopy59">#REF!</definedName>
    <definedName name="XRefCopy59Row" localSheetId="23">#REF!</definedName>
    <definedName name="XRefCopy59Row" localSheetId="6">#REF!</definedName>
    <definedName name="XRefCopy59Row" localSheetId="10">#REF!</definedName>
    <definedName name="XRefCopy59Row">#REF!</definedName>
    <definedName name="XRefCopy5Row" localSheetId="23">#REF!</definedName>
    <definedName name="XRefCopy5Row" localSheetId="6">#REF!</definedName>
    <definedName name="XRefCopy5Row" localSheetId="10">#REF!</definedName>
    <definedName name="XRefCopy5Row">#REF!</definedName>
    <definedName name="XRefCopy6" localSheetId="23">#REF!</definedName>
    <definedName name="XRefCopy6" localSheetId="6">#REF!</definedName>
    <definedName name="XRefCopy6" localSheetId="10">#REF!</definedName>
    <definedName name="XRefCopy6">#REF!</definedName>
    <definedName name="XRefCopy60" localSheetId="23">#REF!</definedName>
    <definedName name="XRefCopy60" localSheetId="6">#REF!</definedName>
    <definedName name="XRefCopy60" localSheetId="10">#REF!</definedName>
    <definedName name="XRefCopy60">#REF!</definedName>
    <definedName name="XRefCopy60Row" localSheetId="23">#REF!</definedName>
    <definedName name="XRefCopy60Row" localSheetId="6">#REF!</definedName>
    <definedName name="XRefCopy60Row" localSheetId="10">#REF!</definedName>
    <definedName name="XRefCopy60Row">#REF!</definedName>
    <definedName name="XRefCopy62" localSheetId="23">#REF!</definedName>
    <definedName name="XRefCopy62" localSheetId="6">#REF!</definedName>
    <definedName name="XRefCopy62" localSheetId="10">#REF!</definedName>
    <definedName name="XRefCopy62">#REF!</definedName>
    <definedName name="XRefCopy62Row" localSheetId="23">#REF!</definedName>
    <definedName name="XRefCopy62Row" localSheetId="6">#REF!</definedName>
    <definedName name="XRefCopy62Row" localSheetId="10">#REF!</definedName>
    <definedName name="XRefCopy62Row">#REF!</definedName>
    <definedName name="XRefCopy63" localSheetId="23">#REF!</definedName>
    <definedName name="XRefCopy63" localSheetId="6">#REF!</definedName>
    <definedName name="XRefCopy63" localSheetId="10">#REF!</definedName>
    <definedName name="XRefCopy63">#REF!</definedName>
    <definedName name="XRefCopy63Row" localSheetId="23">#REF!</definedName>
    <definedName name="XRefCopy63Row" localSheetId="6">#REF!</definedName>
    <definedName name="XRefCopy63Row" localSheetId="10">#REF!</definedName>
    <definedName name="XRefCopy63Row">#REF!</definedName>
    <definedName name="XRefCopy64" localSheetId="23">#REF!</definedName>
    <definedName name="XRefCopy64" localSheetId="6">#REF!</definedName>
    <definedName name="XRefCopy64" localSheetId="10">#REF!</definedName>
    <definedName name="XRefCopy64">#REF!</definedName>
    <definedName name="XRefCopy64Row" localSheetId="23">#REF!</definedName>
    <definedName name="XRefCopy64Row" localSheetId="6">#REF!</definedName>
    <definedName name="XRefCopy64Row" localSheetId="10">#REF!</definedName>
    <definedName name="XRefCopy64Row">#REF!</definedName>
    <definedName name="XRefCopy65" localSheetId="23">#REF!</definedName>
    <definedName name="XRefCopy65" localSheetId="6">#REF!</definedName>
    <definedName name="XRefCopy65" localSheetId="10">#REF!</definedName>
    <definedName name="XRefCopy65">#REF!</definedName>
    <definedName name="XRefCopy65Row" localSheetId="23">#REF!</definedName>
    <definedName name="XRefCopy65Row" localSheetId="6">#REF!</definedName>
    <definedName name="XRefCopy65Row" localSheetId="10">#REF!</definedName>
    <definedName name="XRefCopy65Row">#REF!</definedName>
    <definedName name="XRefCopy68" localSheetId="23">#REF!</definedName>
    <definedName name="XRefCopy68" localSheetId="6">#REF!</definedName>
    <definedName name="XRefCopy68" localSheetId="10">#REF!</definedName>
    <definedName name="XRefCopy68">#REF!</definedName>
    <definedName name="XRefCopy68Row" localSheetId="23">#REF!</definedName>
    <definedName name="XRefCopy68Row" localSheetId="6">#REF!</definedName>
    <definedName name="XRefCopy68Row" localSheetId="10">#REF!</definedName>
    <definedName name="XRefCopy68Row">#REF!</definedName>
    <definedName name="XRefCopy69" localSheetId="23">#REF!</definedName>
    <definedName name="XRefCopy69" localSheetId="6">#REF!</definedName>
    <definedName name="XRefCopy69" localSheetId="10">#REF!</definedName>
    <definedName name="XRefCopy69">#REF!</definedName>
    <definedName name="XRefCopy69Row" localSheetId="23">#REF!</definedName>
    <definedName name="XRefCopy69Row" localSheetId="6">#REF!</definedName>
    <definedName name="XRefCopy69Row" localSheetId="10">#REF!</definedName>
    <definedName name="XRefCopy69Row">#REF!</definedName>
    <definedName name="XRefCopy6Row" localSheetId="23">#REF!</definedName>
    <definedName name="XRefCopy6Row" localSheetId="6">#REF!</definedName>
    <definedName name="XRefCopy6Row" localSheetId="10">#REF!</definedName>
    <definedName name="XRefCopy6Row">#REF!</definedName>
    <definedName name="XRefCopy7" localSheetId="23">#REF!</definedName>
    <definedName name="XRefCopy7" localSheetId="6">#REF!</definedName>
    <definedName name="XRefCopy7" localSheetId="10">#REF!</definedName>
    <definedName name="XRefCopy7">#REF!</definedName>
    <definedName name="XRefCopy70" localSheetId="23">#REF!</definedName>
    <definedName name="XRefCopy70" localSheetId="6">#REF!</definedName>
    <definedName name="XRefCopy70" localSheetId="10">#REF!</definedName>
    <definedName name="XRefCopy70">#REF!</definedName>
    <definedName name="XRefCopy70Row" localSheetId="23">#REF!</definedName>
    <definedName name="XRefCopy70Row" localSheetId="6">#REF!</definedName>
    <definedName name="XRefCopy70Row" localSheetId="10">#REF!</definedName>
    <definedName name="XRefCopy70Row">#REF!</definedName>
    <definedName name="XRefCopy7Row" localSheetId="23">#REF!</definedName>
    <definedName name="XRefCopy7Row" localSheetId="6">#REF!</definedName>
    <definedName name="XRefCopy7Row" localSheetId="10">#REF!</definedName>
    <definedName name="XRefCopy7Row">#REF!</definedName>
    <definedName name="XRefCopy8" localSheetId="23">#REF!</definedName>
    <definedName name="XRefCopy8" localSheetId="6">#REF!</definedName>
    <definedName name="XRefCopy8" localSheetId="10">#REF!</definedName>
    <definedName name="XRefCopy8">#REF!</definedName>
    <definedName name="XRefCopy8Row" localSheetId="23">#REF!</definedName>
    <definedName name="XRefCopy8Row" localSheetId="6">#REF!</definedName>
    <definedName name="XRefCopy8Row" localSheetId="10">#REF!</definedName>
    <definedName name="XRefCopy8Row">#REF!</definedName>
    <definedName name="XRefCopy9" localSheetId="23">#REF!</definedName>
    <definedName name="XRefCopy9" localSheetId="6">#REF!</definedName>
    <definedName name="XRefCopy9" localSheetId="10">#REF!</definedName>
    <definedName name="XRefCopy9">#REF!</definedName>
    <definedName name="XRefCopy9Row" localSheetId="23">#REF!</definedName>
    <definedName name="XRefCopy9Row" localSheetId="6">#REF!</definedName>
    <definedName name="XRefCopy9Row" localSheetId="10">#REF!</definedName>
    <definedName name="XRefCopy9Row">#REF!</definedName>
    <definedName name="XRefPaste10" localSheetId="23">#REF!</definedName>
    <definedName name="XRefPaste10" localSheetId="6">#REF!</definedName>
    <definedName name="XRefPaste10" localSheetId="10">#REF!</definedName>
    <definedName name="XRefPaste10">#REF!</definedName>
    <definedName name="XRefPaste10Row" localSheetId="23">#REF!</definedName>
    <definedName name="XRefPaste10Row" localSheetId="6">#REF!</definedName>
    <definedName name="XRefPaste10Row" localSheetId="10">#REF!</definedName>
    <definedName name="XRefPaste10Row">#REF!</definedName>
    <definedName name="XRefPaste11" localSheetId="23">#REF!</definedName>
    <definedName name="XRefPaste11" localSheetId="6">#REF!</definedName>
    <definedName name="XRefPaste11" localSheetId="10">#REF!</definedName>
    <definedName name="XRefPaste11">#REF!</definedName>
    <definedName name="XRefPaste11Row" localSheetId="23">#REF!</definedName>
    <definedName name="XRefPaste11Row" localSheetId="6">#REF!</definedName>
    <definedName name="XRefPaste11Row" localSheetId="10">#REF!</definedName>
    <definedName name="XRefPaste11Row">#REF!</definedName>
    <definedName name="XRefPaste12" localSheetId="23">#REF!</definedName>
    <definedName name="XRefPaste12" localSheetId="6">#REF!</definedName>
    <definedName name="XRefPaste12" localSheetId="10">#REF!</definedName>
    <definedName name="XRefPaste12">#REF!</definedName>
    <definedName name="XRefPaste12Row" localSheetId="23">#REF!</definedName>
    <definedName name="XRefPaste12Row" localSheetId="6">#REF!</definedName>
    <definedName name="XRefPaste12Row" localSheetId="10">#REF!</definedName>
    <definedName name="XRefPaste12Row">#REF!</definedName>
    <definedName name="XRefPaste13" localSheetId="23">#REF!</definedName>
    <definedName name="XRefPaste13" localSheetId="6">#REF!</definedName>
    <definedName name="XRefPaste13" localSheetId="10">#REF!</definedName>
    <definedName name="XRefPaste13">#REF!</definedName>
    <definedName name="XRefPaste13Row" localSheetId="23">#REF!</definedName>
    <definedName name="XRefPaste13Row" localSheetId="6">#REF!</definedName>
    <definedName name="XRefPaste13Row" localSheetId="10">#REF!</definedName>
    <definedName name="XRefPaste13Row">#REF!</definedName>
    <definedName name="XRefPaste14" localSheetId="23">#REF!</definedName>
    <definedName name="XRefPaste14" localSheetId="6">#REF!</definedName>
    <definedName name="XRefPaste14" localSheetId="10">#REF!</definedName>
    <definedName name="XRefPaste14">#REF!</definedName>
    <definedName name="XRefPaste14Row" localSheetId="23">#REF!</definedName>
    <definedName name="XRefPaste14Row" localSheetId="6">#REF!</definedName>
    <definedName name="XRefPaste14Row" localSheetId="10">#REF!</definedName>
    <definedName name="XRefPaste14Row">#REF!</definedName>
    <definedName name="XRefPaste15" localSheetId="23">#REF!</definedName>
    <definedName name="XRefPaste15" localSheetId="6">#REF!</definedName>
    <definedName name="XRefPaste15" localSheetId="10">#REF!</definedName>
    <definedName name="XRefPaste15">#REF!</definedName>
    <definedName name="XRefPaste15Row" localSheetId="23">#REF!</definedName>
    <definedName name="XRefPaste15Row" localSheetId="6">#REF!</definedName>
    <definedName name="XRefPaste15Row" localSheetId="10">#REF!</definedName>
    <definedName name="XRefPaste15Row">#REF!</definedName>
    <definedName name="XRefPaste16" localSheetId="23">#REF!</definedName>
    <definedName name="XRefPaste16" localSheetId="6">#REF!</definedName>
    <definedName name="XRefPaste16" localSheetId="10">#REF!</definedName>
    <definedName name="XRefPaste16">#REF!</definedName>
    <definedName name="XRefPaste16Row" localSheetId="23">#REF!</definedName>
    <definedName name="XRefPaste16Row" localSheetId="6">#REF!</definedName>
    <definedName name="XRefPaste16Row" localSheetId="10">#REF!</definedName>
    <definedName name="XRefPaste16Row">#REF!</definedName>
    <definedName name="XRefPaste17" localSheetId="23">#REF!</definedName>
    <definedName name="XRefPaste17" localSheetId="6">#REF!</definedName>
    <definedName name="XRefPaste17" localSheetId="10">#REF!</definedName>
    <definedName name="XRefPaste17">#REF!</definedName>
    <definedName name="XRefPaste17Row" localSheetId="23">#REF!</definedName>
    <definedName name="XRefPaste17Row" localSheetId="6">#REF!</definedName>
    <definedName name="XRefPaste17Row" localSheetId="10">#REF!</definedName>
    <definedName name="XRefPaste17Row">#REF!</definedName>
    <definedName name="XRefPaste18" localSheetId="23">#REF!</definedName>
    <definedName name="XRefPaste18" localSheetId="6">#REF!</definedName>
    <definedName name="XRefPaste18" localSheetId="10">#REF!</definedName>
    <definedName name="XRefPaste18">#REF!</definedName>
    <definedName name="XRefPaste18Row" localSheetId="23">#REF!</definedName>
    <definedName name="XRefPaste18Row" localSheetId="6">#REF!</definedName>
    <definedName name="XRefPaste18Row" localSheetId="10">#REF!</definedName>
    <definedName name="XRefPaste18Row">#REF!</definedName>
    <definedName name="XRefPaste19" localSheetId="23">#REF!</definedName>
    <definedName name="XRefPaste19" localSheetId="6">#REF!</definedName>
    <definedName name="XRefPaste19" localSheetId="10">#REF!</definedName>
    <definedName name="XRefPaste19">#REF!</definedName>
    <definedName name="XRefPaste19Row" localSheetId="23">#REF!</definedName>
    <definedName name="XRefPaste19Row" localSheetId="6">#REF!</definedName>
    <definedName name="XRefPaste19Row" localSheetId="10">#REF!</definedName>
    <definedName name="XRefPaste19Row">#REF!</definedName>
    <definedName name="XRefPaste1Row" localSheetId="23">#REF!</definedName>
    <definedName name="XRefPaste1Row" localSheetId="6">#REF!</definedName>
    <definedName name="XRefPaste1Row" localSheetId="10">#REF!</definedName>
    <definedName name="XRefPaste1Row">#REF!</definedName>
    <definedName name="XRefPaste2" localSheetId="23">#REF!</definedName>
    <definedName name="XRefPaste2" localSheetId="6">#REF!</definedName>
    <definedName name="XRefPaste2" localSheetId="10">#REF!</definedName>
    <definedName name="XRefPaste2">#REF!</definedName>
    <definedName name="XRefPaste20" localSheetId="23">#REF!</definedName>
    <definedName name="XRefPaste20" localSheetId="6">#REF!</definedName>
    <definedName name="XRefPaste20" localSheetId="10">#REF!</definedName>
    <definedName name="XRefPaste20">#REF!</definedName>
    <definedName name="XRefPaste20Row" localSheetId="23">#REF!</definedName>
    <definedName name="XRefPaste20Row" localSheetId="6">#REF!</definedName>
    <definedName name="XRefPaste20Row" localSheetId="10">#REF!</definedName>
    <definedName name="XRefPaste20Row">#REF!</definedName>
    <definedName name="XRefPaste21" localSheetId="23">#REF!</definedName>
    <definedName name="XRefPaste21" localSheetId="6">#REF!</definedName>
    <definedName name="XRefPaste21" localSheetId="10">#REF!</definedName>
    <definedName name="XRefPaste21">#REF!</definedName>
    <definedName name="XRefPaste21Row" localSheetId="23">#REF!</definedName>
    <definedName name="XRefPaste21Row" localSheetId="6">#REF!</definedName>
    <definedName name="XRefPaste21Row" localSheetId="10">#REF!</definedName>
    <definedName name="XRefPaste21Row">#REF!</definedName>
    <definedName name="XRefPaste22" localSheetId="23">#REF!</definedName>
    <definedName name="XRefPaste22" localSheetId="6">#REF!</definedName>
    <definedName name="XRefPaste22" localSheetId="10">#REF!</definedName>
    <definedName name="XRefPaste22">#REF!</definedName>
    <definedName name="XRefPaste22Row" localSheetId="23">#REF!</definedName>
    <definedName name="XRefPaste22Row" localSheetId="6">#REF!</definedName>
    <definedName name="XRefPaste22Row" localSheetId="10">#REF!</definedName>
    <definedName name="XRefPaste22Row">#REF!</definedName>
    <definedName name="XRefPaste23" localSheetId="23">#REF!</definedName>
    <definedName name="XRefPaste23" localSheetId="6">#REF!</definedName>
    <definedName name="XRefPaste23" localSheetId="10">#REF!</definedName>
    <definedName name="XRefPaste23">#REF!</definedName>
    <definedName name="XRefPaste23Row" localSheetId="23">#REF!</definedName>
    <definedName name="XRefPaste23Row" localSheetId="6">#REF!</definedName>
    <definedName name="XRefPaste23Row" localSheetId="10">#REF!</definedName>
    <definedName name="XRefPaste23Row">#REF!</definedName>
    <definedName name="XRefPaste24" localSheetId="23">#REF!</definedName>
    <definedName name="XRefPaste24" localSheetId="6">#REF!</definedName>
    <definedName name="XRefPaste24" localSheetId="10">#REF!</definedName>
    <definedName name="XRefPaste24">#REF!</definedName>
    <definedName name="XRefPaste24Row" localSheetId="23">#REF!</definedName>
    <definedName name="XRefPaste24Row" localSheetId="6">#REF!</definedName>
    <definedName name="XRefPaste24Row" localSheetId="10">#REF!</definedName>
    <definedName name="XRefPaste24Row">#REF!</definedName>
    <definedName name="XRefPaste25" localSheetId="23">#REF!</definedName>
    <definedName name="XRefPaste25" localSheetId="6">#REF!</definedName>
    <definedName name="XRefPaste25" localSheetId="10">#REF!</definedName>
    <definedName name="XRefPaste25">#REF!</definedName>
    <definedName name="XRefPaste25Row" localSheetId="23">#REF!</definedName>
    <definedName name="XRefPaste25Row" localSheetId="6">#REF!</definedName>
    <definedName name="XRefPaste25Row" localSheetId="10">#REF!</definedName>
    <definedName name="XRefPaste25Row">#REF!</definedName>
    <definedName name="XRefPaste26" localSheetId="23">#REF!</definedName>
    <definedName name="XRefPaste26" localSheetId="6">#REF!</definedName>
    <definedName name="XRefPaste26" localSheetId="10">#REF!</definedName>
    <definedName name="XRefPaste26">#REF!</definedName>
    <definedName name="XRefPaste26Row" localSheetId="23">#REF!</definedName>
    <definedName name="XRefPaste26Row" localSheetId="6">#REF!</definedName>
    <definedName name="XRefPaste26Row" localSheetId="10">#REF!</definedName>
    <definedName name="XRefPaste26Row">#REF!</definedName>
    <definedName name="XRefPaste27" localSheetId="23">#REF!</definedName>
    <definedName name="XRefPaste27" localSheetId="6">#REF!</definedName>
    <definedName name="XRefPaste27" localSheetId="10">#REF!</definedName>
    <definedName name="XRefPaste27">#REF!</definedName>
    <definedName name="XRefPaste27Row" localSheetId="23">#REF!</definedName>
    <definedName name="XRefPaste27Row" localSheetId="6">#REF!</definedName>
    <definedName name="XRefPaste27Row" localSheetId="10">#REF!</definedName>
    <definedName name="XRefPaste27Row">#REF!</definedName>
    <definedName name="XRefPaste28" localSheetId="23">#REF!</definedName>
    <definedName name="XRefPaste28" localSheetId="6">#REF!</definedName>
    <definedName name="XRefPaste28" localSheetId="10">#REF!</definedName>
    <definedName name="XRefPaste28">#REF!</definedName>
    <definedName name="XRefPaste28Row" localSheetId="23">#REF!</definedName>
    <definedName name="XRefPaste28Row" localSheetId="6">#REF!</definedName>
    <definedName name="XRefPaste28Row" localSheetId="10">#REF!</definedName>
    <definedName name="XRefPaste28Row">#REF!</definedName>
    <definedName name="XRefPaste29" localSheetId="23">#REF!</definedName>
    <definedName name="XRefPaste29" localSheetId="6">#REF!</definedName>
    <definedName name="XRefPaste29" localSheetId="10">#REF!</definedName>
    <definedName name="XRefPaste29">#REF!</definedName>
    <definedName name="XRefPaste29Row" localSheetId="23">#REF!</definedName>
    <definedName name="XRefPaste29Row" localSheetId="6">#REF!</definedName>
    <definedName name="XRefPaste29Row" localSheetId="10">#REF!</definedName>
    <definedName name="XRefPaste29Row">#REF!</definedName>
    <definedName name="XRefPaste2Row" localSheetId="23">#REF!</definedName>
    <definedName name="XRefPaste2Row" localSheetId="6">#REF!</definedName>
    <definedName name="XRefPaste2Row" localSheetId="10">#REF!</definedName>
    <definedName name="XRefPaste2Row">#REF!</definedName>
    <definedName name="XRefPaste3" localSheetId="23">#REF!</definedName>
    <definedName name="XRefPaste3" localSheetId="6">#REF!</definedName>
    <definedName name="XRefPaste3" localSheetId="10">#REF!</definedName>
    <definedName name="XRefPaste3">#REF!</definedName>
    <definedName name="XRefPaste30" localSheetId="23">#REF!</definedName>
    <definedName name="XRefPaste30" localSheetId="6">#REF!</definedName>
    <definedName name="XRefPaste30" localSheetId="10">#REF!</definedName>
    <definedName name="XRefPaste30">#REF!</definedName>
    <definedName name="XRefPaste30Row" localSheetId="23">#REF!</definedName>
    <definedName name="XRefPaste30Row" localSheetId="6">#REF!</definedName>
    <definedName name="XRefPaste30Row" localSheetId="10">#REF!</definedName>
    <definedName name="XRefPaste30Row">#REF!</definedName>
    <definedName name="XRefPaste31" localSheetId="23">#REF!</definedName>
    <definedName name="XRefPaste31" localSheetId="6">#REF!</definedName>
    <definedName name="XRefPaste31" localSheetId="10">#REF!</definedName>
    <definedName name="XRefPaste31">#REF!</definedName>
    <definedName name="XRefPaste31Row" localSheetId="23">#REF!</definedName>
    <definedName name="XRefPaste31Row" localSheetId="6">#REF!</definedName>
    <definedName name="XRefPaste31Row" localSheetId="10">#REF!</definedName>
    <definedName name="XRefPaste31Row">#REF!</definedName>
    <definedName name="XRefPaste32" localSheetId="23">#REF!</definedName>
    <definedName name="XRefPaste32" localSheetId="6">#REF!</definedName>
    <definedName name="XRefPaste32" localSheetId="10">#REF!</definedName>
    <definedName name="XRefPaste32">#REF!</definedName>
    <definedName name="XRefPaste32Row" localSheetId="23">#REF!</definedName>
    <definedName name="XRefPaste32Row" localSheetId="6">#REF!</definedName>
    <definedName name="XRefPaste32Row" localSheetId="10">#REF!</definedName>
    <definedName name="XRefPaste32Row">#REF!</definedName>
    <definedName name="XRefPaste33" localSheetId="23">#REF!</definedName>
    <definedName name="XRefPaste33" localSheetId="6">#REF!</definedName>
    <definedName name="XRefPaste33" localSheetId="10">#REF!</definedName>
    <definedName name="XRefPaste33">#REF!</definedName>
    <definedName name="XRefPaste33Row" localSheetId="23">#REF!</definedName>
    <definedName name="XRefPaste33Row" localSheetId="6">#REF!</definedName>
    <definedName name="XRefPaste33Row" localSheetId="10">#REF!</definedName>
    <definedName name="XRefPaste33Row">#REF!</definedName>
    <definedName name="XRefPaste34" localSheetId="23">#REF!</definedName>
    <definedName name="XRefPaste34" localSheetId="6">#REF!</definedName>
    <definedName name="XRefPaste34" localSheetId="10">#REF!</definedName>
    <definedName name="XRefPaste34">#REF!</definedName>
    <definedName name="XRefPaste34Row" localSheetId="23">#REF!</definedName>
    <definedName name="XRefPaste34Row" localSheetId="6">#REF!</definedName>
    <definedName name="XRefPaste34Row" localSheetId="10">#REF!</definedName>
    <definedName name="XRefPaste34Row">#REF!</definedName>
    <definedName name="XRefPaste35" localSheetId="23">#REF!</definedName>
    <definedName name="XRefPaste35" localSheetId="6">#REF!</definedName>
    <definedName name="XRefPaste35" localSheetId="10">#REF!</definedName>
    <definedName name="XRefPaste35">#REF!</definedName>
    <definedName name="XRefPaste35Row" localSheetId="23">#REF!</definedName>
    <definedName name="XRefPaste35Row" localSheetId="6">#REF!</definedName>
    <definedName name="XRefPaste35Row" localSheetId="10">#REF!</definedName>
    <definedName name="XRefPaste35Row">#REF!</definedName>
    <definedName name="XRefPaste36" localSheetId="23">#REF!</definedName>
    <definedName name="XRefPaste36" localSheetId="6">#REF!</definedName>
    <definedName name="XRefPaste36" localSheetId="10">#REF!</definedName>
    <definedName name="XRefPaste36">#REF!</definedName>
    <definedName name="XRefPaste36Row" localSheetId="23">#REF!</definedName>
    <definedName name="XRefPaste36Row" localSheetId="6">#REF!</definedName>
    <definedName name="XRefPaste36Row" localSheetId="10">#REF!</definedName>
    <definedName name="XRefPaste36Row">#REF!</definedName>
    <definedName name="XRefPaste37" localSheetId="23">#REF!</definedName>
    <definedName name="XRefPaste37" localSheetId="6">#REF!</definedName>
    <definedName name="XRefPaste37" localSheetId="10">#REF!</definedName>
    <definedName name="XRefPaste37">#REF!</definedName>
    <definedName name="XRefPaste37Row" localSheetId="23">#REF!</definedName>
    <definedName name="XRefPaste37Row" localSheetId="6">#REF!</definedName>
    <definedName name="XRefPaste37Row" localSheetId="10">#REF!</definedName>
    <definedName name="XRefPaste37Row">#REF!</definedName>
    <definedName name="XRefPaste38" localSheetId="23">#REF!</definedName>
    <definedName name="XRefPaste38" localSheetId="6">#REF!</definedName>
    <definedName name="XRefPaste38" localSheetId="10">#REF!</definedName>
    <definedName name="XRefPaste38">#REF!</definedName>
    <definedName name="XRefPaste38Row" localSheetId="23">#REF!</definedName>
    <definedName name="XRefPaste38Row" localSheetId="6">#REF!</definedName>
    <definedName name="XRefPaste38Row" localSheetId="10">#REF!</definedName>
    <definedName name="XRefPaste38Row">#REF!</definedName>
    <definedName name="XRefPaste39" localSheetId="23">#REF!</definedName>
    <definedName name="XRefPaste39" localSheetId="6">#REF!</definedName>
    <definedName name="XRefPaste39" localSheetId="10">#REF!</definedName>
    <definedName name="XRefPaste39">#REF!</definedName>
    <definedName name="XRefPaste39Row" localSheetId="23">#REF!</definedName>
    <definedName name="XRefPaste39Row" localSheetId="6">#REF!</definedName>
    <definedName name="XRefPaste39Row" localSheetId="10">#REF!</definedName>
    <definedName name="XRefPaste39Row">#REF!</definedName>
    <definedName name="XRefPaste3Row" localSheetId="23">#REF!</definedName>
    <definedName name="XRefPaste3Row" localSheetId="6">#REF!</definedName>
    <definedName name="XRefPaste3Row" localSheetId="10">#REF!</definedName>
    <definedName name="XRefPaste3Row">#REF!</definedName>
    <definedName name="XRefPaste4" localSheetId="23">#REF!</definedName>
    <definedName name="XRefPaste4" localSheetId="6">#REF!</definedName>
    <definedName name="XRefPaste4" localSheetId="10">#REF!</definedName>
    <definedName name="XRefPaste4">#REF!</definedName>
    <definedName name="XRefPaste42" localSheetId="23">#REF!</definedName>
    <definedName name="XRefPaste42" localSheetId="6">#REF!</definedName>
    <definedName name="XRefPaste42" localSheetId="10">#REF!</definedName>
    <definedName name="XRefPaste42">#REF!</definedName>
    <definedName name="XRefPaste42Row" localSheetId="23">#REF!</definedName>
    <definedName name="XRefPaste42Row" localSheetId="6">#REF!</definedName>
    <definedName name="XRefPaste42Row" localSheetId="10">#REF!</definedName>
    <definedName name="XRefPaste42Row">#REF!</definedName>
    <definedName name="XRefPaste43" localSheetId="23">#REF!</definedName>
    <definedName name="XRefPaste43" localSheetId="6">#REF!</definedName>
    <definedName name="XRefPaste43" localSheetId="10">#REF!</definedName>
    <definedName name="XRefPaste43">#REF!</definedName>
    <definedName name="XRefPaste43Row" localSheetId="23">#REF!</definedName>
    <definedName name="XRefPaste43Row" localSheetId="6">#REF!</definedName>
    <definedName name="XRefPaste43Row" localSheetId="10">#REF!</definedName>
    <definedName name="XRefPaste43Row">#REF!</definedName>
    <definedName name="XRefPaste44Row" localSheetId="23">#REF!</definedName>
    <definedName name="XRefPaste44Row" localSheetId="6">#REF!</definedName>
    <definedName name="XRefPaste44Row" localSheetId="10">#REF!</definedName>
    <definedName name="XRefPaste44Row">#REF!</definedName>
    <definedName name="XRefPaste45Row" localSheetId="23">#REF!</definedName>
    <definedName name="XRefPaste45Row" localSheetId="6">#REF!</definedName>
    <definedName name="XRefPaste45Row" localSheetId="10">#REF!</definedName>
    <definedName name="XRefPaste45Row">#REF!</definedName>
    <definedName name="XRefPaste4Row" localSheetId="23">#REF!</definedName>
    <definedName name="XRefPaste4Row" localSheetId="6">#REF!</definedName>
    <definedName name="XRefPaste4Row" localSheetId="10">#REF!</definedName>
    <definedName name="XRefPaste4Row">#REF!</definedName>
    <definedName name="XRefPaste5" localSheetId="23">#REF!</definedName>
    <definedName name="XRefPaste5" localSheetId="6">#REF!</definedName>
    <definedName name="XRefPaste5" localSheetId="10">#REF!</definedName>
    <definedName name="XRefPaste5">#REF!</definedName>
    <definedName name="XRefPaste50" localSheetId="23">#REF!</definedName>
    <definedName name="XRefPaste50" localSheetId="6">#REF!</definedName>
    <definedName name="XRefPaste50" localSheetId="10">#REF!</definedName>
    <definedName name="XRefPaste50">#REF!</definedName>
    <definedName name="XRefPaste50Row" localSheetId="23">#REF!</definedName>
    <definedName name="XRefPaste50Row" localSheetId="6">#REF!</definedName>
    <definedName name="XRefPaste50Row" localSheetId="10">#REF!</definedName>
    <definedName name="XRefPaste50Row">#REF!</definedName>
    <definedName name="XRefPaste51" localSheetId="23">#REF!</definedName>
    <definedName name="XRefPaste51" localSheetId="6">#REF!</definedName>
    <definedName name="XRefPaste51" localSheetId="10">#REF!</definedName>
    <definedName name="XRefPaste51">#REF!</definedName>
    <definedName name="XRefPaste51Row" localSheetId="23">#REF!</definedName>
    <definedName name="XRefPaste51Row" localSheetId="6">#REF!</definedName>
    <definedName name="XRefPaste51Row" localSheetId="10">#REF!</definedName>
    <definedName name="XRefPaste51Row">#REF!</definedName>
    <definedName name="XRefPaste5Row" localSheetId="23">#REF!</definedName>
    <definedName name="XRefPaste5Row" localSheetId="6">#REF!</definedName>
    <definedName name="XRefPaste5Row" localSheetId="10">#REF!</definedName>
    <definedName name="XRefPaste5Row">#REF!</definedName>
    <definedName name="XRefPaste6" localSheetId="23">#REF!</definedName>
    <definedName name="XRefPaste6" localSheetId="6">#REF!</definedName>
    <definedName name="XRefPaste6" localSheetId="10">#REF!</definedName>
    <definedName name="XRefPaste6">#REF!</definedName>
    <definedName name="XRefPaste6Row" localSheetId="23">#REF!</definedName>
    <definedName name="XRefPaste6Row" localSheetId="6">#REF!</definedName>
    <definedName name="XRefPaste6Row" localSheetId="10">#REF!</definedName>
    <definedName name="XRefPaste6Row">#REF!</definedName>
    <definedName name="XRefPaste7" localSheetId="23">#REF!</definedName>
    <definedName name="XRefPaste7" localSheetId="6">#REF!</definedName>
    <definedName name="XRefPaste7" localSheetId="10">#REF!</definedName>
    <definedName name="XRefPaste7">#REF!</definedName>
    <definedName name="XRefPaste7Row" localSheetId="23">#REF!</definedName>
    <definedName name="XRefPaste7Row" localSheetId="6">#REF!</definedName>
    <definedName name="XRefPaste7Row" localSheetId="10">#REF!</definedName>
    <definedName name="XRefPaste7Row">#REF!</definedName>
    <definedName name="XRefPaste8" localSheetId="23">#REF!</definedName>
    <definedName name="XRefPaste8" localSheetId="6">#REF!</definedName>
    <definedName name="XRefPaste8" localSheetId="10">#REF!</definedName>
    <definedName name="XRefPaste8">#REF!</definedName>
    <definedName name="XRefPaste8Row" localSheetId="23">#REF!</definedName>
    <definedName name="XRefPaste8Row" localSheetId="6">#REF!</definedName>
    <definedName name="XRefPaste8Row" localSheetId="10">#REF!</definedName>
    <definedName name="XRefPaste8Row">#REF!</definedName>
    <definedName name="XRefPaste9" localSheetId="23">#REF!</definedName>
    <definedName name="XRefPaste9" localSheetId="6">#REF!</definedName>
    <definedName name="XRefPaste9" localSheetId="10">#REF!</definedName>
    <definedName name="XRefPaste9">#REF!</definedName>
    <definedName name="XRefPaste9Row" localSheetId="23">#REF!</definedName>
    <definedName name="XRefPaste9Row" localSheetId="6">#REF!</definedName>
    <definedName name="XRefPaste9Row" localSheetId="10">#REF!</definedName>
    <definedName name="XRefPaste9Row">#REF!</definedName>
    <definedName name="XX" localSheetId="23">#REF!</definedName>
    <definedName name="XX" localSheetId="6">#REF!</definedName>
    <definedName name="XX" localSheetId="10">#REF!</definedName>
    <definedName name="XX">#REF!</definedName>
    <definedName name="XXX" localSheetId="23">#REF!</definedName>
    <definedName name="XXX" localSheetId="6">#REF!</definedName>
    <definedName name="XXX" localSheetId="10">#REF!</definedName>
    <definedName name="XXX">#REF!</definedName>
    <definedName name="XYZ" localSheetId="23">#REF!</definedName>
    <definedName name="XYZ" localSheetId="6">#REF!</definedName>
    <definedName name="XYZ" localSheetId="10">#REF!</definedName>
    <definedName name="XYZ">#REF!</definedName>
    <definedName name="XZZ" localSheetId="4">#REF!</definedName>
    <definedName name="XZZ" localSheetId="23">#REF!</definedName>
    <definedName name="XZZ" localSheetId="6">#REF!</definedName>
    <definedName name="XZZ" localSheetId="27">#REF!</definedName>
    <definedName name="XZZ" localSheetId="11">#REF!</definedName>
    <definedName name="XZZ" localSheetId="10">#REF!</definedName>
    <definedName name="XZZ" localSheetId="5">#REF!</definedName>
    <definedName name="XZZ">#REF!</definedName>
    <definedName name="y" localSheetId="23">#REF!</definedName>
    <definedName name="y" localSheetId="6">#REF!</definedName>
    <definedName name="y" localSheetId="10">#REF!</definedName>
    <definedName name="y">#REF!</definedName>
    <definedName name="y_strainer" localSheetId="23">#REF!</definedName>
    <definedName name="y_strainer" localSheetId="6">#REF!</definedName>
    <definedName name="y_strainer" localSheetId="10">#REF!</definedName>
    <definedName name="y_strainer">#REF!</definedName>
    <definedName name="Yen" localSheetId="23">#REF!</definedName>
    <definedName name="Yen" localSheetId="6">#REF!</definedName>
    <definedName name="Yen" localSheetId="10">#REF!</definedName>
    <definedName name="Yen">#REF!</definedName>
    <definedName name="YG" localSheetId="23">#REF!</definedName>
    <definedName name="YG" localSheetId="6">#REF!</definedName>
    <definedName name="YG" localSheetId="10">#REF!</definedName>
    <definedName name="YG">#REF!</definedName>
    <definedName name="yy" localSheetId="23">#REF!</definedName>
    <definedName name="yy" localSheetId="6">#REF!</definedName>
    <definedName name="yy" localSheetId="10">#REF!</definedName>
    <definedName name="yy">#REF!</definedName>
    <definedName name="yyyyyyyyyyy" localSheetId="23">#REF!</definedName>
    <definedName name="yyyyyyyyyyy" localSheetId="6">#REF!</definedName>
    <definedName name="yyyyyyyyyyy" localSheetId="10">#REF!</definedName>
    <definedName name="yyyyyyyyyyy">#REF!</definedName>
    <definedName name="zl" localSheetId="23">#REF!</definedName>
    <definedName name="zl" localSheetId="6">#REF!</definedName>
    <definedName name="zl" localSheetId="10">#REF!</definedName>
    <definedName name="zl">#REF!</definedName>
    <definedName name="zl___0" localSheetId="23">#REF!</definedName>
    <definedName name="zl___0" localSheetId="6">#REF!</definedName>
    <definedName name="zl___0" localSheetId="10">#REF!</definedName>
    <definedName name="zl___0">#REF!</definedName>
    <definedName name="zl___13" localSheetId="23">#REF!</definedName>
    <definedName name="zl___13" localSheetId="6">#REF!</definedName>
    <definedName name="zl___13" localSheetId="10">#REF!</definedName>
    <definedName name="zl___13">#REF!</definedName>
    <definedName name="zlpu" localSheetId="23">#REF!</definedName>
    <definedName name="zlpu" localSheetId="6">#REF!</definedName>
    <definedName name="zlpu" localSheetId="10">#REF!</definedName>
    <definedName name="zlpu">#REF!</definedName>
    <definedName name="zlpu___0" localSheetId="23">#REF!</definedName>
    <definedName name="zlpu___0" localSheetId="6">#REF!</definedName>
    <definedName name="zlpu___0" localSheetId="10">#REF!</definedName>
    <definedName name="zlpu___0">#REF!</definedName>
    <definedName name="zlpu___13" localSheetId="23">#REF!</definedName>
    <definedName name="zlpu___13" localSheetId="6">#REF!</definedName>
    <definedName name="zlpu___13" localSheetId="10">#REF!</definedName>
    <definedName name="zlpu___13">#REF!</definedName>
    <definedName name="Zone_impres_MI" localSheetId="23">#REF!</definedName>
    <definedName name="Zone_impres_MI" localSheetId="6">#REF!</definedName>
    <definedName name="Zone_impres_MI" localSheetId="10">#REF!</definedName>
    <definedName name="Zone_impres_MI">#REF!</definedName>
    <definedName name="zs" localSheetId="23">#REF!</definedName>
    <definedName name="zs" localSheetId="6">#REF!</definedName>
    <definedName name="zs" localSheetId="10">#REF!</definedName>
    <definedName name="zs">#REF!</definedName>
    <definedName name="zs___0" localSheetId="23">#REF!</definedName>
    <definedName name="zs___0" localSheetId="6">#REF!</definedName>
    <definedName name="zs___0" localSheetId="10">#REF!</definedName>
    <definedName name="zs___0">#REF!</definedName>
    <definedName name="zs___13" localSheetId="23">#REF!</definedName>
    <definedName name="zs___13" localSheetId="6">#REF!</definedName>
    <definedName name="zs___13" localSheetId="10">#REF!</definedName>
    <definedName name="zs___13">#REF!</definedName>
    <definedName name="zspu" localSheetId="23">#REF!</definedName>
    <definedName name="zspu" localSheetId="6">#REF!</definedName>
    <definedName name="zspu" localSheetId="10">#REF!</definedName>
    <definedName name="zspu">#REF!</definedName>
    <definedName name="zspu___0" localSheetId="23">#REF!</definedName>
    <definedName name="zspu___0" localSheetId="6">#REF!</definedName>
    <definedName name="zspu___0" localSheetId="10">#REF!</definedName>
    <definedName name="zspu___0">#REF!</definedName>
    <definedName name="zspu___13" localSheetId="23">#REF!</definedName>
    <definedName name="zspu___13" localSheetId="6">#REF!</definedName>
    <definedName name="zspu___13" localSheetId="10">#REF!</definedName>
    <definedName name="zspu___13">#REF!</definedName>
    <definedName name="ZSS" localSheetId="23">#REF!</definedName>
    <definedName name="ZSS" localSheetId="6">#REF!</definedName>
    <definedName name="ZSS" localSheetId="10">#REF!</definedName>
    <definedName name="ZSS">#REF!</definedName>
    <definedName name="ZSS___0" localSheetId="23">#REF!</definedName>
    <definedName name="ZSS___0" localSheetId="6">#REF!</definedName>
    <definedName name="ZSS___0" localSheetId="10">#REF!</definedName>
    <definedName name="ZSS___0">#REF!</definedName>
    <definedName name="ZSS___13" localSheetId="23">#REF!</definedName>
    <definedName name="ZSS___13" localSheetId="6">#REF!</definedName>
    <definedName name="ZSS___13" localSheetId="10">#REF!</definedName>
    <definedName name="ZSS___13">#REF!</definedName>
    <definedName name="ztpu" localSheetId="23">#REF!</definedName>
    <definedName name="ztpu" localSheetId="6">#REF!</definedName>
    <definedName name="ztpu" localSheetId="10">#REF!</definedName>
    <definedName name="ztpu">#REF!</definedName>
    <definedName name="ztpu___0" localSheetId="23">#REF!</definedName>
    <definedName name="ztpu___0" localSheetId="6">#REF!</definedName>
    <definedName name="ztpu___0" localSheetId="10">#REF!</definedName>
    <definedName name="ztpu___0">#REF!</definedName>
    <definedName name="ztpu___13" localSheetId="23">#REF!</definedName>
    <definedName name="ztpu___13" localSheetId="6">#REF!</definedName>
    <definedName name="ztpu___13" localSheetId="10">#REF!</definedName>
    <definedName name="ztpu___13">#REF!</definedName>
    <definedName name="Zusammenfassung" localSheetId="23">#REF!</definedName>
    <definedName name="Zusammenfassung" localSheetId="6">#REF!</definedName>
    <definedName name="Zusammenfassung" localSheetId="10">#REF!</definedName>
    <definedName name="Zusammenfassung">#REF!</definedName>
    <definedName name="ZY" localSheetId="23">#REF!</definedName>
    <definedName name="ZY" localSheetId="6">#REF!</definedName>
    <definedName name="ZY" localSheetId="10">#REF!</definedName>
    <definedName name="ZY">#REF!</definedName>
    <definedName name="ZY___0" localSheetId="23">#REF!</definedName>
    <definedName name="ZY___0" localSheetId="6">#REF!</definedName>
    <definedName name="ZY___0" localSheetId="10">#REF!</definedName>
    <definedName name="ZY___0">#REF!</definedName>
    <definedName name="ZY___13" localSheetId="23">#REF!</definedName>
    <definedName name="ZY___13" localSheetId="6">#REF!</definedName>
    <definedName name="ZY___13" localSheetId="10">#REF!</definedName>
    <definedName name="ZY___13">#REF!</definedName>
    <definedName name="zz" localSheetId="23">#REF!</definedName>
    <definedName name="zz" localSheetId="6">#REF!</definedName>
    <definedName name="zz" localSheetId="10">#REF!</definedName>
    <definedName name="zz">#REF!</definedName>
    <definedName name="zzzzzz" localSheetId="23">#REF!</definedName>
    <definedName name="zzzzzz" localSheetId="6">#REF!</definedName>
    <definedName name="zzzzzz" localSheetId="10">#REF!</definedName>
    <definedName name="zzzzzz">#REF!</definedName>
    <definedName name="ガス_灯油混焼" localSheetId="23">#REF!</definedName>
    <definedName name="ガス_灯油混焼" localSheetId="6">#REF!</definedName>
    <definedName name="ガス_灯油混焼" localSheetId="10">#REF!</definedName>
    <definedName name="ガス_灯油混焼">#REF!</definedName>
    <definedName name="صص" localSheetId="23">#REF!</definedName>
    <definedName name="صص" localSheetId="6">#REF!</definedName>
    <definedName name="صص" localSheetId="10">#REF!</definedName>
    <definedName name="صص">#REF!</definedName>
    <definedName name="قغغغ" localSheetId="23">#REF!</definedName>
    <definedName name="قغغغ" localSheetId="6">#REF!</definedName>
    <definedName name="قغغغ" localSheetId="10">#REF!</definedName>
    <definedName name="قغغغ">#REF!</definedName>
    <definedName name="كبرببح" localSheetId="23">#REF!</definedName>
    <definedName name="كبرببح" localSheetId="6">#REF!</definedName>
    <definedName name="كبرببح" localSheetId="10">#REF!</definedName>
    <definedName name="كبرببح">#REF!</definedName>
    <definedName name="محكنج" localSheetId="23">#REF!</definedName>
    <definedName name="محكنج" localSheetId="6">#REF!</definedName>
    <definedName name="محكنج" localSheetId="10">#REF!</definedName>
    <definedName name="محكنج">#REF!</definedName>
    <definedName name="نتمهحت" localSheetId="23">#REF!</definedName>
    <definedName name="نتمهحت" localSheetId="6">#REF!</definedName>
    <definedName name="نتمهحت" localSheetId="10">#REF!</definedName>
    <definedName name="نتمهحت">#REF!</definedName>
    <definedName name="يثظثتكنم" localSheetId="23">#REF!</definedName>
    <definedName name="يثظثتكنم" localSheetId="6">#REF!</definedName>
    <definedName name="يثظثتكنم" localSheetId="10">#REF!</definedName>
    <definedName name="يثظثتكنم">#REF!</definedName>
    <definedName name="ينتثيمنثي" localSheetId="23">#REF!</definedName>
    <definedName name="ينتثيمنثي" localSheetId="6">#REF!</definedName>
    <definedName name="ينتثيمنثي" localSheetId="10">#REF!</definedName>
    <definedName name="ينتثيمنثي">#REF!</definedName>
    <definedName name="ينمتاستا" localSheetId="23">#REF!</definedName>
    <definedName name="ينمتاستا" localSheetId="6">#REF!</definedName>
    <definedName name="ينمتاستا" localSheetId="10">#REF!</definedName>
    <definedName name="ينمتاستا">#REF!</definedName>
    <definedName name="간경1" localSheetId="23">#REF!</definedName>
    <definedName name="간경1" localSheetId="6">#REF!</definedName>
    <definedName name="간경1" localSheetId="10">#REF!</definedName>
    <definedName name="간경1">#REF!</definedName>
    <definedName name="간경2" localSheetId="23">#REF!</definedName>
    <definedName name="간경2" localSheetId="6">#REF!</definedName>
    <definedName name="간경2" localSheetId="10">#REF!</definedName>
    <definedName name="간경2">#REF!</definedName>
    <definedName name="간경3" localSheetId="23">#REF!</definedName>
    <definedName name="간경3" localSheetId="6">#REF!</definedName>
    <definedName name="간경3" localSheetId="10">#REF!</definedName>
    <definedName name="간경3">#REF!</definedName>
    <definedName name="간경4" localSheetId="23">#REF!</definedName>
    <definedName name="간경4" localSheetId="6">#REF!</definedName>
    <definedName name="간경4" localSheetId="10">#REF!</definedName>
    <definedName name="간경4">#REF!</definedName>
    <definedName name="간노1" localSheetId="23">#REF!</definedName>
    <definedName name="간노1" localSheetId="6">#REF!</definedName>
    <definedName name="간노1" localSheetId="10">#REF!</definedName>
    <definedName name="간노1">#REF!</definedName>
    <definedName name="간노2" localSheetId="23">#REF!</definedName>
    <definedName name="간노2" localSheetId="6">#REF!</definedName>
    <definedName name="간노2" localSheetId="10">#REF!</definedName>
    <definedName name="간노2">#REF!</definedName>
    <definedName name="간재" localSheetId="23">#REF!</definedName>
    <definedName name="간재" localSheetId="6">#REF!</definedName>
    <definedName name="간재" localSheetId="10">#REF!</definedName>
    <definedName name="간재">#REF!</definedName>
    <definedName name="감가" localSheetId="23">#REF!</definedName>
    <definedName name="감가" localSheetId="6">#REF!</definedName>
    <definedName name="감가" localSheetId="10">#REF!</definedName>
    <definedName name="감가">#REF!</definedName>
    <definedName name="건축" localSheetId="23">#REF!</definedName>
    <definedName name="건축" localSheetId="6">#REF!</definedName>
    <definedName name="건축" localSheetId="10">#REF!</definedName>
    <definedName name="건축">#REF!</definedName>
    <definedName name="견적비교" localSheetId="23">#REF!</definedName>
    <definedName name="견적비교" localSheetId="6">#REF!</definedName>
    <definedName name="견적비교" localSheetId="10">#REF!</definedName>
    <definedName name="견적비교">#REF!</definedName>
    <definedName name="결산정리" localSheetId="23">#REF!</definedName>
    <definedName name="결산정리" localSheetId="6">#REF!</definedName>
    <definedName name="결산정리" localSheetId="10">#REF!</definedName>
    <definedName name="결산정리">#REF!</definedName>
    <definedName name="결산조정계정" localSheetId="23">#REF!</definedName>
    <definedName name="결산조정계정" localSheetId="6">#REF!</definedName>
    <definedName name="결산조정계정" localSheetId="10">#REF!</definedName>
    <definedName name="결산조정계정">#REF!</definedName>
    <definedName name="계정" localSheetId="23">#REF!</definedName>
    <definedName name="계정" localSheetId="6">#REF!</definedName>
    <definedName name="계정" localSheetId="10">#REF!</definedName>
    <definedName name="계정">#REF!</definedName>
    <definedName name="공" localSheetId="23">#REF!</definedName>
    <definedName name="공" localSheetId="6">#REF!</definedName>
    <definedName name="공" localSheetId="10">#REF!</definedName>
    <definedName name="공">#REF!</definedName>
    <definedName name="공장" localSheetId="23">#REF!</definedName>
    <definedName name="공장" localSheetId="6">#REF!</definedName>
    <definedName name="공장" localSheetId="10">#REF!</definedName>
    <definedName name="공장">#REF!</definedName>
    <definedName name="공종" localSheetId="23">#REF!</definedName>
    <definedName name="공종" localSheetId="6">#REF!</definedName>
    <definedName name="공종" localSheetId="10">#REF!</definedName>
    <definedName name="공종">#REF!</definedName>
    <definedName name="구분" localSheetId="23">#REF!</definedName>
    <definedName name="구분" localSheetId="6">#REF!</definedName>
    <definedName name="구분" localSheetId="10">#REF!</definedName>
    <definedName name="구분">#REF!</definedName>
    <definedName name="기계" localSheetId="23">#REF!</definedName>
    <definedName name="기계" localSheetId="6">#REF!</definedName>
    <definedName name="기계" localSheetId="10">#REF!</definedName>
    <definedName name="기계">#REF!</definedName>
    <definedName name="기타" localSheetId="23">#REF!</definedName>
    <definedName name="기타" localSheetId="6">#REF!</definedName>
    <definedName name="기타" localSheetId="10">#REF!</definedName>
    <definedName name="기타">#REF!</definedName>
    <definedName name="ㄷ1" localSheetId="23">#REF!</definedName>
    <definedName name="ㄷ1" localSheetId="6">#REF!</definedName>
    <definedName name="ㄷ1" localSheetId="10">#REF!</definedName>
    <definedName name="ㄷ1">#REF!</definedName>
    <definedName name="단가비교" localSheetId="23">#REF!</definedName>
    <definedName name="단가비교" localSheetId="6">#REF!</definedName>
    <definedName name="단가비교" localSheetId="10">#REF!</definedName>
    <definedName name="단가비교">#REF!</definedName>
    <definedName name="도면외주" localSheetId="23">#REF!</definedName>
    <definedName name="도면외주" localSheetId="6">#REF!</definedName>
    <definedName name="도면외주" localSheetId="10">#REF!</definedName>
    <definedName name="도면외주">#REF!</definedName>
    <definedName name="도면용역비" localSheetId="23">#REF!</definedName>
    <definedName name="도면용역비" localSheetId="6">#REF!</definedName>
    <definedName name="도면용역비" localSheetId="10">#REF!</definedName>
    <definedName name="도면용역비">#REF!</definedName>
    <definedName name="ㅁ1" localSheetId="23">#REF!</definedName>
    <definedName name="ㅁ1" localSheetId="6">#REF!</definedName>
    <definedName name="ㅁ1" localSheetId="10">#REF!</definedName>
    <definedName name="ㅁ1">#REF!</definedName>
    <definedName name="버티" localSheetId="23">#REF!</definedName>
    <definedName name="버티" localSheetId="6">#REF!</definedName>
    <definedName name="버티" localSheetId="10">#REF!</definedName>
    <definedName name="버티">#REF!</definedName>
    <definedName name="부대공사" localSheetId="23">#REF!</definedName>
    <definedName name="부대공사" localSheetId="6">#REF!</definedName>
    <definedName name="부대공사" localSheetId="10">#REF!</definedName>
    <definedName name="부대공사">#REF!</definedName>
    <definedName name="사외" localSheetId="23">#REF!</definedName>
    <definedName name="사외" localSheetId="6">#REF!</definedName>
    <definedName name="사외" localSheetId="10">#REF!</definedName>
    <definedName name="사외">#REF!</definedName>
    <definedName name="사진" localSheetId="23">#REF!</definedName>
    <definedName name="사진" localSheetId="6">#REF!</definedName>
    <definedName name="사진" localSheetId="10">#REF!</definedName>
    <definedName name="사진">#REF!</definedName>
    <definedName name="소모비" localSheetId="23">#REF!</definedName>
    <definedName name="소모비" localSheetId="6">#REF!</definedName>
    <definedName name="소모비" localSheetId="10">#REF!</definedName>
    <definedName name="소모비">#REF!</definedName>
    <definedName name="ㅇ191" localSheetId="23">#REF!</definedName>
    <definedName name="ㅇ191" localSheetId="6">#REF!</definedName>
    <definedName name="ㅇ191" localSheetId="10">#REF!</definedName>
    <definedName name="ㅇ191">#REF!</definedName>
    <definedName name="약수" localSheetId="23">#REF!</definedName>
    <definedName name="약수" localSheetId="6">#REF!</definedName>
    <definedName name="약수" localSheetId="10">#REF!</definedName>
    <definedName name="약수">#REF!</definedName>
    <definedName name="원가" localSheetId="23">#REF!</definedName>
    <definedName name="원가" localSheetId="6">#REF!</definedName>
    <definedName name="원가" localSheetId="10">#REF!</definedName>
    <definedName name="원가">#REF!</definedName>
    <definedName name="월별영업" localSheetId="23">#REF!</definedName>
    <definedName name="월별영업" localSheetId="6">#REF!</definedName>
    <definedName name="월별영업" localSheetId="10">#REF!</definedName>
    <definedName name="월별영업">#REF!</definedName>
    <definedName name="인원" localSheetId="23">#REF!</definedName>
    <definedName name="인원" localSheetId="6">#REF!</definedName>
    <definedName name="인원" localSheetId="10">#REF!</definedName>
    <definedName name="인원">#REF!</definedName>
    <definedName name="임용태" localSheetId="23">#REF!</definedName>
    <definedName name="임용태" localSheetId="6">#REF!</definedName>
    <definedName name="임용태" localSheetId="10">#REF!</definedName>
    <definedName name="임용태">#REF!</definedName>
    <definedName name="작업계획" localSheetId="23">#REF!</definedName>
    <definedName name="작업계획" localSheetId="6">#REF!</definedName>
    <definedName name="작업계획" localSheetId="10">#REF!</definedName>
    <definedName name="작업계획">#REF!</definedName>
    <definedName name="전" localSheetId="23">#REF!</definedName>
    <definedName name="전" localSheetId="6">#REF!</definedName>
    <definedName name="전" localSheetId="10">#REF!</definedName>
    <definedName name="전">#REF!</definedName>
    <definedName name="전계장금액" localSheetId="23">#REF!</definedName>
    <definedName name="전계장금액" localSheetId="6">#REF!</definedName>
    <definedName name="전계장금액" localSheetId="10">#REF!</definedName>
    <definedName name="전계장금액">#REF!</definedName>
    <definedName name="전기계장" localSheetId="23">#REF!</definedName>
    <definedName name="전기계장" localSheetId="6">#REF!</definedName>
    <definedName name="전기계장" localSheetId="10">#REF!</definedName>
    <definedName name="전기계장">#REF!</definedName>
    <definedName name="전체" localSheetId="4">#REF!</definedName>
    <definedName name="전체" localSheetId="23">#REF!</definedName>
    <definedName name="전체" localSheetId="6">#REF!</definedName>
    <definedName name="전체" localSheetId="27">#REF!</definedName>
    <definedName name="전체" localSheetId="11">#REF!</definedName>
    <definedName name="전체" localSheetId="10">#REF!</definedName>
    <definedName name="전체" localSheetId="5">#REF!</definedName>
    <definedName name="전체">#REF!</definedName>
    <definedName name="조직" localSheetId="23">#REF!</definedName>
    <definedName name="조직" localSheetId="6">#REF!</definedName>
    <definedName name="조직" localSheetId="10">#REF!</definedName>
    <definedName name="조직">#REF!</definedName>
    <definedName name="조직1" localSheetId="23">#REF!</definedName>
    <definedName name="조직1" localSheetId="6">#REF!</definedName>
    <definedName name="조직1" localSheetId="10">#REF!</definedName>
    <definedName name="조직1">#REF!</definedName>
    <definedName name="주택사업본부" localSheetId="23">#REF!</definedName>
    <definedName name="주택사업본부" localSheetId="6">#REF!</definedName>
    <definedName name="주택사업본부" localSheetId="10">#REF!</definedName>
    <definedName name="주택사업본부">#REF!</definedName>
    <definedName name="중기" localSheetId="23">#REF!</definedName>
    <definedName name="중기" localSheetId="6">#REF!</definedName>
    <definedName name="중기" localSheetId="10">#REF!</definedName>
    <definedName name="중기">#REF!</definedName>
    <definedName name="직노" localSheetId="23">#REF!</definedName>
    <definedName name="직노" localSheetId="6">#REF!</definedName>
    <definedName name="직노" localSheetId="10">#REF!</definedName>
    <definedName name="직노">#REF!</definedName>
    <definedName name="철구사업본부" localSheetId="23">#REF!</definedName>
    <definedName name="철구사업본부" localSheetId="6">#REF!</definedName>
    <definedName name="철구사업본부" localSheetId="10">#REF!</definedName>
    <definedName name="철구사업본부">#REF!</definedName>
    <definedName name="토목" localSheetId="23">#REF!</definedName>
    <definedName name="토목" localSheetId="6">#REF!</definedName>
    <definedName name="토목" localSheetId="10">#REF!</definedName>
    <definedName name="토목">#REF!</definedName>
    <definedName name="토목1" localSheetId="23">#REF!</definedName>
    <definedName name="토목1" localSheetId="6">#REF!</definedName>
    <definedName name="토목1" localSheetId="10">#REF!</definedName>
    <definedName name="토목1">#REF!</definedName>
    <definedName name="표지1" localSheetId="23">#REF!</definedName>
    <definedName name="표지1" localSheetId="6">#REF!</definedName>
    <definedName name="표지1" localSheetId="10">#REF!</definedName>
    <definedName name="표지1">#REF!</definedName>
    <definedName name="한강진" localSheetId="23">#REF!</definedName>
    <definedName name="한강진" localSheetId="6">#REF!</definedName>
    <definedName name="한강진" localSheetId="10">#REF!</definedName>
    <definedName name="한강진">#REF!</definedName>
    <definedName name="후_담당간사에게_제출한다." localSheetId="23">#REF!</definedName>
    <definedName name="후_담당간사에게_제출한다." localSheetId="6">#REF!</definedName>
    <definedName name="후_담당간사에게_제출한다." localSheetId="10">#REF!</definedName>
    <definedName name="후_담당간사에게_제출한다.">#REF!</definedName>
    <definedName name="ㅣ814" localSheetId="23">#REF!</definedName>
    <definedName name="ㅣ814" localSheetId="6">#REF!</definedName>
    <definedName name="ㅣ814" localSheetId="10">#REF!</definedName>
    <definedName name="ㅣ814">#REF!</definedName>
    <definedName name="ㅣ833" localSheetId="23">#REF!</definedName>
    <definedName name="ㅣ833" localSheetId="6">#REF!</definedName>
    <definedName name="ㅣ833" localSheetId="10">#REF!</definedName>
    <definedName name="ㅣ833">#REF!</definedName>
    <definedName name="中操ｹｰﾌﾞﾙ処理室" localSheetId="23">#REF!</definedName>
    <definedName name="中操ｹｰﾌﾞﾙ処理室" localSheetId="6">#REF!</definedName>
    <definedName name="中操ｹｰﾌﾞﾙ処理室" localSheetId="10">#REF!</definedName>
    <definedName name="中操ｹｰﾌﾞﾙ処理室">#REF!</definedName>
    <definedName name="合計" localSheetId="23">#REF!</definedName>
    <definedName name="合計" localSheetId="6">#REF!</definedName>
    <definedName name="合計" localSheetId="10">#REF!</definedName>
    <definedName name="合計">#REF!</definedName>
    <definedName name="小計" localSheetId="23">#REF!</definedName>
    <definedName name="小計" localSheetId="6">#REF!</definedName>
    <definedName name="小計" localSheetId="10">#REF!</definedName>
    <definedName name="小計">#REF!</definedName>
    <definedName name="材料費" localSheetId="23">#REF!</definedName>
    <definedName name="材料費" localSheetId="6">#REF!</definedName>
    <definedName name="材料費" localSheetId="10">#REF!</definedName>
    <definedName name="材料費">#REF!</definedName>
    <definedName name="直接経費" localSheetId="23">#REF!</definedName>
    <definedName name="直接経費" localSheetId="6">#REF!</definedName>
    <definedName name="直接経費" localSheetId="10">#REF!</definedName>
    <definedName name="直接経費">#REF!</definedName>
    <definedName name="間接費" localSheetId="23">#REF!</definedName>
    <definedName name="間接費" localSheetId="6">#REF!</definedName>
    <definedName name="間接費" localSheetId="10">#REF!</definedName>
    <definedName name="間接費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5" i="23" l="1"/>
  <c r="B106" i="23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G28" i="23"/>
  <c r="H12" i="23"/>
  <c r="I59" i="5" l="1"/>
  <c r="H11" i="23" l="1"/>
  <c r="H10" i="23" l="1"/>
  <c r="H160" i="7" l="1"/>
  <c r="H139" i="7"/>
  <c r="H9" i="23"/>
  <c r="B73" i="23" l="1"/>
  <c r="H8" i="23" l="1"/>
  <c r="B74" i="23" l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l="1"/>
  <c r="B91" i="23" s="1"/>
  <c r="B92" i="23" s="1"/>
  <c r="B93" i="23" s="1"/>
  <c r="B34" i="23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H7" i="23"/>
  <c r="B94" i="23" l="1"/>
  <c r="J57" i="32"/>
  <c r="D106" i="32"/>
  <c r="J20" i="32"/>
  <c r="D52" i="32"/>
  <c r="J4" i="32"/>
  <c r="D13" i="32"/>
  <c r="B95" i="23" l="1"/>
  <c r="J217" i="2"/>
  <c r="J185" i="2"/>
  <c r="F203" i="2"/>
  <c r="B96" i="23" l="1"/>
  <c r="B97" i="23" s="1"/>
  <c r="B98" i="23" s="1"/>
  <c r="B99" i="23" s="1"/>
  <c r="B100" i="23" s="1"/>
  <c r="B101" i="23" s="1"/>
  <c r="B102" i="23" s="1"/>
  <c r="B103" i="23" s="1"/>
  <c r="B104" i="23" s="1"/>
  <c r="F39" i="5"/>
  <c r="W111" i="38"/>
  <c r="W33" i="38"/>
  <c r="AC38" i="39" l="1"/>
  <c r="AC30" i="39"/>
  <c r="AA162" i="38" l="1"/>
  <c r="Z162" i="38"/>
  <c r="Y162" i="38"/>
  <c r="X162" i="38"/>
  <c r="E118" i="37" l="1"/>
  <c r="I141" i="37" l="1"/>
  <c r="H3" i="7"/>
  <c r="N10" i="38" l="1"/>
  <c r="W119" i="38"/>
  <c r="F199" i="2" l="1"/>
  <c r="AG219" i="40" l="1"/>
  <c r="AF219" i="40"/>
  <c r="AE219" i="40"/>
  <c r="AD219" i="40"/>
  <c r="AC219" i="40"/>
  <c r="AB215" i="40"/>
  <c r="AB208" i="40"/>
  <c r="AB201" i="40"/>
  <c r="AB194" i="40"/>
  <c r="AB186" i="40"/>
  <c r="AB178" i="40"/>
  <c r="AB171" i="40"/>
  <c r="AB164" i="40"/>
  <c r="AB157" i="40"/>
  <c r="AB149" i="40"/>
  <c r="AB142" i="40"/>
  <c r="AB134" i="40"/>
  <c r="AB126" i="40"/>
  <c r="AB118" i="40"/>
  <c r="AB110" i="40"/>
  <c r="AB102" i="40"/>
  <c r="AB95" i="40"/>
  <c r="AB88" i="40"/>
  <c r="AB81" i="40"/>
  <c r="AB74" i="40"/>
  <c r="AB67" i="40"/>
  <c r="AB60" i="40"/>
  <c r="AB53" i="40"/>
  <c r="AB46" i="40"/>
  <c r="AB39" i="40"/>
  <c r="AB32" i="40"/>
  <c r="AH23" i="40"/>
  <c r="AH32" i="40" s="1"/>
  <c r="AH39" i="40" s="1"/>
  <c r="AH46" i="40" s="1"/>
  <c r="AH53" i="40" s="1"/>
  <c r="AH60" i="40" s="1"/>
  <c r="AH67" i="40" s="1"/>
  <c r="AH74" i="40" s="1"/>
  <c r="AH81" i="40" s="1"/>
  <c r="AH88" i="40" s="1"/>
  <c r="AH95" i="40" s="1"/>
  <c r="AH102" i="40" s="1"/>
  <c r="AH110" i="40" s="1"/>
  <c r="AH118" i="40" s="1"/>
  <c r="AH126" i="40" s="1"/>
  <c r="AH134" i="40" s="1"/>
  <c r="AH142" i="40" s="1"/>
  <c r="AH149" i="40" s="1"/>
  <c r="AH157" i="40" s="1"/>
  <c r="AH164" i="40" s="1"/>
  <c r="AH171" i="40" s="1"/>
  <c r="AH178" i="40" s="1"/>
  <c r="AH186" i="40" s="1"/>
  <c r="AH194" i="40" s="1"/>
  <c r="AH201" i="40" s="1"/>
  <c r="AH208" i="40" s="1"/>
  <c r="AH215" i="40" s="1"/>
  <c r="AB23" i="40"/>
  <c r="AI53" i="40" s="1"/>
  <c r="O53" i="39"/>
  <c r="N53" i="39"/>
  <c r="M53" i="39"/>
  <c r="L53" i="39"/>
  <c r="K53" i="39"/>
  <c r="J53" i="39"/>
  <c r="O52" i="39"/>
  <c r="N52" i="39"/>
  <c r="M52" i="39"/>
  <c r="L52" i="39"/>
  <c r="K52" i="39"/>
  <c r="J52" i="39"/>
  <c r="O51" i="39"/>
  <c r="N51" i="39"/>
  <c r="M51" i="39"/>
  <c r="L51" i="39"/>
  <c r="K51" i="39"/>
  <c r="J51" i="39"/>
  <c r="O50" i="39"/>
  <c r="N50" i="39"/>
  <c r="M50" i="39"/>
  <c r="L50" i="39"/>
  <c r="K50" i="39"/>
  <c r="J50" i="39"/>
  <c r="AA45" i="39"/>
  <c r="Z45" i="39"/>
  <c r="Y45" i="39"/>
  <c r="X45" i="39"/>
  <c r="W38" i="39"/>
  <c r="W30" i="39"/>
  <c r="W22" i="39"/>
  <c r="W157" i="38"/>
  <c r="W150" i="38"/>
  <c r="W142" i="38"/>
  <c r="W134" i="38"/>
  <c r="W126" i="38"/>
  <c r="AA86" i="38"/>
  <c r="Z86" i="38"/>
  <c r="Y86" i="38"/>
  <c r="X86" i="38"/>
  <c r="W82" i="38"/>
  <c r="W74" i="38"/>
  <c r="W65" i="38"/>
  <c r="W57" i="38"/>
  <c r="W49" i="38"/>
  <c r="W41" i="38"/>
  <c r="C13" i="38"/>
  <c r="C90" i="38" s="1"/>
  <c r="K54" i="39" l="1"/>
  <c r="L54" i="39"/>
  <c r="P53" i="39"/>
  <c r="N54" i="39"/>
  <c r="W162" i="38"/>
  <c r="W86" i="38"/>
  <c r="M54" i="39"/>
  <c r="O54" i="39"/>
  <c r="P52" i="39"/>
  <c r="P51" i="39"/>
  <c r="P50" i="39"/>
  <c r="W45" i="39"/>
  <c r="AB219" i="40"/>
  <c r="J54" i="39"/>
  <c r="P54" i="39" l="1"/>
  <c r="R86" i="37"/>
  <c r="F86" i="37"/>
  <c r="G86" i="37" s="1"/>
  <c r="M139" i="19" l="1"/>
  <c r="D117" i="37"/>
  <c r="D116" i="37"/>
  <c r="D115" i="37"/>
  <c r="G67" i="37"/>
  <c r="G65" i="37"/>
  <c r="D5" i="37"/>
  <c r="D4" i="37"/>
  <c r="D3" i="37"/>
  <c r="I201" i="37"/>
  <c r="I200" i="37"/>
  <c r="I199" i="37"/>
  <c r="I198" i="37"/>
  <c r="I197" i="37"/>
  <c r="F197" i="37"/>
  <c r="E198" i="37" s="1"/>
  <c r="F198" i="37" s="1"/>
  <c r="E199" i="37" s="1"/>
  <c r="F199" i="37" s="1"/>
  <c r="E200" i="37" s="1"/>
  <c r="F200" i="37" s="1"/>
  <c r="E201" i="37" s="1"/>
  <c r="F201" i="37" s="1"/>
  <c r="I196" i="37"/>
  <c r="I195" i="37"/>
  <c r="I194" i="37"/>
  <c r="I193" i="37"/>
  <c r="I192" i="37"/>
  <c r="F192" i="37"/>
  <c r="E193" i="37" s="1"/>
  <c r="F193" i="37" s="1"/>
  <c r="E194" i="37" s="1"/>
  <c r="F194" i="37" s="1"/>
  <c r="E195" i="37" s="1"/>
  <c r="F195" i="37" s="1"/>
  <c r="E196" i="37" s="1"/>
  <c r="F196" i="37" s="1"/>
  <c r="I191" i="37"/>
  <c r="I190" i="37"/>
  <c r="I189" i="37"/>
  <c r="I188" i="37"/>
  <c r="E188" i="37"/>
  <c r="F188" i="37" s="1"/>
  <c r="E189" i="37" s="1"/>
  <c r="F189" i="37" s="1"/>
  <c r="E190" i="37" s="1"/>
  <c r="F190" i="37" s="1"/>
  <c r="E191" i="37" s="1"/>
  <c r="F191" i="37" s="1"/>
  <c r="I187" i="37"/>
  <c r="F187" i="37"/>
  <c r="I186" i="37"/>
  <c r="I185" i="37"/>
  <c r="I184" i="37"/>
  <c r="I183" i="37"/>
  <c r="I182" i="37"/>
  <c r="I181" i="37"/>
  <c r="I180" i="37"/>
  <c r="I179" i="37"/>
  <c r="I178" i="37"/>
  <c r="I177" i="37"/>
  <c r="F177" i="37"/>
  <c r="E178" i="37" s="1"/>
  <c r="F178" i="37" s="1"/>
  <c r="E179" i="37" s="1"/>
  <c r="F179" i="37" s="1"/>
  <c r="E180" i="37" s="1"/>
  <c r="F180" i="37" s="1"/>
  <c r="E181" i="37" s="1"/>
  <c r="F181" i="37" s="1"/>
  <c r="E182" i="37" s="1"/>
  <c r="F182" i="37" s="1"/>
  <c r="E183" i="37" s="1"/>
  <c r="F183" i="37" s="1"/>
  <c r="E184" i="37" s="1"/>
  <c r="F184" i="37" s="1"/>
  <c r="E185" i="37" s="1"/>
  <c r="F185" i="37" s="1"/>
  <c r="E186" i="37" s="1"/>
  <c r="F186" i="37" s="1"/>
  <c r="I176" i="37"/>
  <c r="I175" i="37"/>
  <c r="I174" i="37"/>
  <c r="I173" i="37"/>
  <c r="E173" i="37"/>
  <c r="F173" i="37" s="1"/>
  <c r="E174" i="37" s="1"/>
  <c r="F174" i="37" s="1"/>
  <c r="E175" i="37" s="1"/>
  <c r="F175" i="37" s="1"/>
  <c r="E176" i="37" s="1"/>
  <c r="F176" i="37" s="1"/>
  <c r="I172" i="37"/>
  <c r="I171" i="37"/>
  <c r="I170" i="37"/>
  <c r="I169" i="37"/>
  <c r="I168" i="37"/>
  <c r="F168" i="37"/>
  <c r="E169" i="37" s="1"/>
  <c r="F169" i="37" s="1"/>
  <c r="E170" i="37" s="1"/>
  <c r="F170" i="37" s="1"/>
  <c r="E171" i="37" s="1"/>
  <c r="F171" i="37" s="1"/>
  <c r="E172" i="37" s="1"/>
  <c r="F172" i="37" s="1"/>
  <c r="I167" i="37"/>
  <c r="I166" i="37"/>
  <c r="I165" i="37"/>
  <c r="I164" i="37"/>
  <c r="I163" i="37"/>
  <c r="I162" i="37"/>
  <c r="I161" i="37"/>
  <c r="I160" i="37"/>
  <c r="I159" i="37"/>
  <c r="F159" i="37"/>
  <c r="E160" i="37" s="1"/>
  <c r="F160" i="37" s="1"/>
  <c r="E161" i="37" s="1"/>
  <c r="F161" i="37" s="1"/>
  <c r="E162" i="37" s="1"/>
  <c r="F162" i="37" s="1"/>
  <c r="E163" i="37" s="1"/>
  <c r="F163" i="37" s="1"/>
  <c r="E164" i="37" s="1"/>
  <c r="F164" i="37" s="1"/>
  <c r="E165" i="37" s="1"/>
  <c r="F165" i="37" s="1"/>
  <c r="E166" i="37" s="1"/>
  <c r="F166" i="37" s="1"/>
  <c r="E167" i="37" s="1"/>
  <c r="F167" i="37" s="1"/>
  <c r="I158" i="37"/>
  <c r="I157" i="37"/>
  <c r="I156" i="37"/>
  <c r="I155" i="37"/>
  <c r="I154" i="37"/>
  <c r="I153" i="37"/>
  <c r="I152" i="37"/>
  <c r="I151" i="37"/>
  <c r="I150" i="37"/>
  <c r="I149" i="37"/>
  <c r="F149" i="37"/>
  <c r="E150" i="37" s="1"/>
  <c r="F150" i="37" s="1"/>
  <c r="E151" i="37" s="1"/>
  <c r="F151" i="37" s="1"/>
  <c r="E152" i="37" s="1"/>
  <c r="F152" i="37" s="1"/>
  <c r="E153" i="37" s="1"/>
  <c r="F153" i="37" s="1"/>
  <c r="E154" i="37" s="1"/>
  <c r="F154" i="37" s="1"/>
  <c r="E155" i="37" s="1"/>
  <c r="F155" i="37" s="1"/>
  <c r="E156" i="37" s="1"/>
  <c r="F156" i="37" s="1"/>
  <c r="E157" i="37" s="1"/>
  <c r="F157" i="37" s="1"/>
  <c r="E158" i="37" s="1"/>
  <c r="F158" i="37" s="1"/>
  <c r="I148" i="37"/>
  <c r="I147" i="37"/>
  <c r="I146" i="37"/>
  <c r="I145" i="37"/>
  <c r="I144" i="37"/>
  <c r="I143" i="37"/>
  <c r="I142" i="37"/>
  <c r="I140" i="37"/>
  <c r="I139" i="37"/>
  <c r="I138" i="37"/>
  <c r="I137" i="37"/>
  <c r="I136" i="37"/>
  <c r="I135" i="37"/>
  <c r="I134" i="37"/>
  <c r="F134" i="37"/>
  <c r="E135" i="37" s="1"/>
  <c r="F135" i="37" s="1"/>
  <c r="E136" i="37" s="1"/>
  <c r="F136" i="37" s="1"/>
  <c r="E137" i="37" s="1"/>
  <c r="F137" i="37" s="1"/>
  <c r="E138" i="37" s="1"/>
  <c r="F138" i="37" s="1"/>
  <c r="E139" i="37" s="1"/>
  <c r="F139" i="37" s="1"/>
  <c r="E140" i="37" s="1"/>
  <c r="F140" i="37" s="1"/>
  <c r="I133" i="37"/>
  <c r="I132" i="37"/>
  <c r="I131" i="37"/>
  <c r="I130" i="37"/>
  <c r="I129" i="37"/>
  <c r="I128" i="37"/>
  <c r="I127" i="37"/>
  <c r="I126" i="37"/>
  <c r="I125" i="37"/>
  <c r="I124" i="37"/>
  <c r="I123" i="37"/>
  <c r="I122" i="37"/>
  <c r="F122" i="37"/>
  <c r="E123" i="37" s="1"/>
  <c r="F123" i="37" s="1"/>
  <c r="E124" i="37" s="1"/>
  <c r="F124" i="37" s="1"/>
  <c r="E125" i="37" s="1"/>
  <c r="F125" i="37" s="1"/>
  <c r="E126" i="37" s="1"/>
  <c r="F126" i="37" s="1"/>
  <c r="E127" i="37" s="1"/>
  <c r="F127" i="37" s="1"/>
  <c r="E128" i="37" s="1"/>
  <c r="F128" i="37" s="1"/>
  <c r="E129" i="37" s="1"/>
  <c r="F129" i="37" s="1"/>
  <c r="E130" i="37" s="1"/>
  <c r="F130" i="37" s="1"/>
  <c r="E131" i="37" s="1"/>
  <c r="F131" i="37" s="1"/>
  <c r="E132" i="37" s="1"/>
  <c r="F132" i="37" s="1"/>
  <c r="E133" i="37" s="1"/>
  <c r="F133" i="37" s="1"/>
  <c r="R109" i="37"/>
  <c r="R108" i="37"/>
  <c r="R107" i="37"/>
  <c r="R106" i="37"/>
  <c r="R105" i="37"/>
  <c r="G105" i="37"/>
  <c r="F106" i="37" s="1"/>
  <c r="G106" i="37" s="1"/>
  <c r="F107" i="37" s="1"/>
  <c r="G107" i="37" s="1"/>
  <c r="F108" i="37" s="1"/>
  <c r="G108" i="37" s="1"/>
  <c r="F109" i="37" s="1"/>
  <c r="G109" i="37" s="1"/>
  <c r="R104" i="37"/>
  <c r="R103" i="37"/>
  <c r="R102" i="37"/>
  <c r="R101" i="37"/>
  <c r="R100" i="37"/>
  <c r="G100" i="37"/>
  <c r="F101" i="37" s="1"/>
  <c r="G101" i="37" s="1"/>
  <c r="F102" i="37" s="1"/>
  <c r="G102" i="37" s="1"/>
  <c r="F103" i="37" s="1"/>
  <c r="G103" i="37" s="1"/>
  <c r="F104" i="37" s="1"/>
  <c r="G104" i="37" s="1"/>
  <c r="R99" i="37"/>
  <c r="R98" i="37"/>
  <c r="R97" i="37"/>
  <c r="R96" i="37"/>
  <c r="R95" i="37"/>
  <c r="G95" i="37"/>
  <c r="F96" i="37" s="1"/>
  <c r="G96" i="37" s="1"/>
  <c r="F97" i="37" s="1"/>
  <c r="G97" i="37" s="1"/>
  <c r="F98" i="37" s="1"/>
  <c r="G98" i="37" s="1"/>
  <c r="F99" i="37" s="1"/>
  <c r="G99" i="37" s="1"/>
  <c r="R94" i="37"/>
  <c r="R93" i="37"/>
  <c r="R92" i="37"/>
  <c r="R91" i="37"/>
  <c r="R90" i="37"/>
  <c r="G90" i="37"/>
  <c r="F91" i="37" s="1"/>
  <c r="G91" i="37" s="1"/>
  <c r="F92" i="37" s="1"/>
  <c r="G92" i="37" s="1"/>
  <c r="F93" i="37" s="1"/>
  <c r="G93" i="37" s="1"/>
  <c r="F94" i="37" s="1"/>
  <c r="G94" i="37" s="1"/>
  <c r="R89" i="37"/>
  <c r="R88" i="37"/>
  <c r="R87" i="37"/>
  <c r="R85" i="37"/>
  <c r="G85" i="37"/>
  <c r="F87" i="37" s="1"/>
  <c r="G87" i="37" s="1"/>
  <c r="F88" i="37" s="1"/>
  <c r="G88" i="37" s="1"/>
  <c r="F89" i="37" s="1"/>
  <c r="G89" i="37" s="1"/>
  <c r="R84" i="37"/>
  <c r="R83" i="37"/>
  <c r="R82" i="37"/>
  <c r="R81" i="37"/>
  <c r="R80" i="37"/>
  <c r="G80" i="37"/>
  <c r="F81" i="37" s="1"/>
  <c r="G81" i="37" s="1"/>
  <c r="F82" i="37" s="1"/>
  <c r="G82" i="37" s="1"/>
  <c r="F83" i="37" s="1"/>
  <c r="G83" i="37" s="1"/>
  <c r="F84" i="37" s="1"/>
  <c r="G84" i="37" s="1"/>
  <c r="R79" i="37"/>
  <c r="R78" i="37"/>
  <c r="R77" i="37"/>
  <c r="R76" i="37"/>
  <c r="R75" i="37"/>
  <c r="G75" i="37"/>
  <c r="F76" i="37" s="1"/>
  <c r="G76" i="37" s="1"/>
  <c r="F77" i="37" s="1"/>
  <c r="G77" i="37" s="1"/>
  <c r="F78" i="37" s="1"/>
  <c r="G78" i="37" s="1"/>
  <c r="F79" i="37" s="1"/>
  <c r="G79" i="37" s="1"/>
  <c r="R74" i="37"/>
  <c r="R73" i="37"/>
  <c r="R72" i="37"/>
  <c r="R71" i="37"/>
  <c r="R70" i="37"/>
  <c r="R69" i="37"/>
  <c r="R68" i="37"/>
  <c r="R67" i="37"/>
  <c r="R66" i="37"/>
  <c r="R65" i="37"/>
  <c r="F66" i="37"/>
  <c r="G66" i="37" s="1"/>
  <c r="F67" i="37" s="1"/>
  <c r="R64" i="37"/>
  <c r="R63" i="37"/>
  <c r="R62" i="37"/>
  <c r="R61" i="37"/>
  <c r="R60" i="37"/>
  <c r="G60" i="37"/>
  <c r="F61" i="37" s="1"/>
  <c r="G61" i="37" s="1"/>
  <c r="F62" i="37" s="1"/>
  <c r="G62" i="37" s="1"/>
  <c r="F63" i="37" s="1"/>
  <c r="G63" i="37" s="1"/>
  <c r="F64" i="37" s="1"/>
  <c r="G64" i="37" s="1"/>
  <c r="R59" i="37"/>
  <c r="R58" i="37"/>
  <c r="R57" i="37"/>
  <c r="R56" i="37"/>
  <c r="R55" i="37"/>
  <c r="G55" i="37"/>
  <c r="F56" i="37" s="1"/>
  <c r="G56" i="37" s="1"/>
  <c r="F57" i="37" s="1"/>
  <c r="G57" i="37" s="1"/>
  <c r="F58" i="37" s="1"/>
  <c r="G58" i="37" s="1"/>
  <c r="F59" i="37" s="1"/>
  <c r="G59" i="37" s="1"/>
  <c r="R54" i="37"/>
  <c r="R53" i="37"/>
  <c r="R52" i="37"/>
  <c r="R51" i="37"/>
  <c r="R50" i="37"/>
  <c r="G50" i="37"/>
  <c r="F51" i="37" s="1"/>
  <c r="G51" i="37" s="1"/>
  <c r="F52" i="37" s="1"/>
  <c r="G52" i="37" s="1"/>
  <c r="F53" i="37" s="1"/>
  <c r="G53" i="37" s="1"/>
  <c r="F54" i="37" s="1"/>
  <c r="G54" i="37" s="1"/>
  <c r="R49" i="37"/>
  <c r="R48" i="37"/>
  <c r="R47" i="37"/>
  <c r="R46" i="37"/>
  <c r="R45" i="37"/>
  <c r="G45" i="37"/>
  <c r="F46" i="37" s="1"/>
  <c r="G46" i="37" s="1"/>
  <c r="F47" i="37" s="1"/>
  <c r="G47" i="37" s="1"/>
  <c r="F48" i="37" s="1"/>
  <c r="G48" i="37" s="1"/>
  <c r="F49" i="37" s="1"/>
  <c r="G49" i="37" s="1"/>
  <c r="R44" i="37"/>
  <c r="R43" i="37"/>
  <c r="R42" i="37"/>
  <c r="R41" i="37"/>
  <c r="R40" i="37"/>
  <c r="G40" i="37"/>
  <c r="F41" i="37" s="1"/>
  <c r="G41" i="37" s="1"/>
  <c r="F42" i="37" s="1"/>
  <c r="G42" i="37" s="1"/>
  <c r="F43" i="37" s="1"/>
  <c r="G43" i="37" s="1"/>
  <c r="F44" i="37" s="1"/>
  <c r="G44" i="37" s="1"/>
  <c r="R39" i="37"/>
  <c r="R38" i="37"/>
  <c r="R37" i="37"/>
  <c r="R36" i="37"/>
  <c r="R35" i="37"/>
  <c r="R34" i="37"/>
  <c r="R33" i="37"/>
  <c r="R32" i="37"/>
  <c r="R31" i="37"/>
  <c r="R30" i="37"/>
  <c r="R29" i="37"/>
  <c r="R28" i="37"/>
  <c r="R27" i="37"/>
  <c r="R26" i="37"/>
  <c r="R25" i="37"/>
  <c r="G25" i="37"/>
  <c r="F26" i="37" s="1"/>
  <c r="G26" i="37" s="1"/>
  <c r="F27" i="37" s="1"/>
  <c r="G27" i="37" s="1"/>
  <c r="F28" i="37" s="1"/>
  <c r="G28" i="37" s="1"/>
  <c r="F29" i="37" s="1"/>
  <c r="G29" i="37" s="1"/>
  <c r="F30" i="37" s="1"/>
  <c r="G30" i="37" s="1"/>
  <c r="F31" i="37" s="1"/>
  <c r="G31" i="37" s="1"/>
  <c r="F32" i="37" s="1"/>
  <c r="G32" i="37" s="1"/>
  <c r="F33" i="37" s="1"/>
  <c r="G33" i="37" s="1"/>
  <c r="F34" i="37" s="1"/>
  <c r="G34" i="37" s="1"/>
  <c r="F35" i="37" s="1"/>
  <c r="G35" i="37" s="1"/>
  <c r="F36" i="37" s="1"/>
  <c r="G36" i="37" s="1"/>
  <c r="F37" i="37" s="1"/>
  <c r="G37" i="37" s="1"/>
  <c r="F38" i="37" s="1"/>
  <c r="G38" i="37" s="1"/>
  <c r="F39" i="37" s="1"/>
  <c r="G39" i="37" s="1"/>
  <c r="R24" i="37"/>
  <c r="R23" i="37"/>
  <c r="R22" i="37"/>
  <c r="R21" i="37"/>
  <c r="R20" i="37"/>
  <c r="R19" i="37"/>
  <c r="R18" i="37"/>
  <c r="R17" i="37"/>
  <c r="R16" i="37"/>
  <c r="G16" i="37"/>
  <c r="F17" i="37" s="1"/>
  <c r="G17" i="37" s="1"/>
  <c r="F18" i="37" s="1"/>
  <c r="G18" i="37" s="1"/>
  <c r="F19" i="37" s="1"/>
  <c r="G19" i="37" s="1"/>
  <c r="F20" i="37" s="1"/>
  <c r="G20" i="37" s="1"/>
  <c r="F21" i="37" s="1"/>
  <c r="G21" i="37" s="1"/>
  <c r="F22" i="37" s="1"/>
  <c r="G22" i="37" s="1"/>
  <c r="F23" i="37" s="1"/>
  <c r="R15" i="37"/>
  <c r="R14" i="37"/>
  <c r="R13" i="37"/>
  <c r="R12" i="37"/>
  <c r="R11" i="37"/>
  <c r="R10" i="37"/>
  <c r="G10" i="37"/>
  <c r="F11" i="37" s="1"/>
  <c r="G11" i="37" s="1"/>
  <c r="F12" i="37" s="1"/>
  <c r="G12" i="37" s="1"/>
  <c r="F13" i="37" s="1"/>
  <c r="G13" i="37" s="1"/>
  <c r="F14" i="37" s="1"/>
  <c r="G14" i="37" s="1"/>
  <c r="F15" i="37" s="1"/>
  <c r="G15" i="37" s="1"/>
  <c r="E142" i="37" l="1"/>
  <c r="F142" i="37" s="1"/>
  <c r="E143" i="37" s="1"/>
  <c r="F143" i="37" s="1"/>
  <c r="E144" i="37" s="1"/>
  <c r="F144" i="37" s="1"/>
  <c r="E145" i="37" s="1"/>
  <c r="F145" i="37" s="1"/>
  <c r="E146" i="37" s="1"/>
  <c r="F146" i="37" s="1"/>
  <c r="E147" i="37" s="1"/>
  <c r="F147" i="37" s="1"/>
  <c r="E148" i="37" s="1"/>
  <c r="F148" i="37" s="1"/>
  <c r="E141" i="37"/>
  <c r="F141" i="37" s="1"/>
  <c r="F68" i="37"/>
  <c r="G68" i="37"/>
  <c r="F69" i="37" s="1"/>
  <c r="G69" i="37" l="1"/>
  <c r="F70" i="37" s="1"/>
  <c r="G70" i="37" l="1"/>
  <c r="F71" i="37" s="1"/>
  <c r="G71" i="37" l="1"/>
  <c r="F72" i="37" s="1"/>
  <c r="G72" i="37" l="1"/>
  <c r="F73" i="37" s="1"/>
  <c r="G73" i="37" l="1"/>
  <c r="F74" i="37" s="1"/>
  <c r="G74" i="37" s="1"/>
  <c r="F278" i="2" l="1"/>
  <c r="F277" i="2" l="1"/>
  <c r="J3" i="2" l="1"/>
  <c r="I57" i="5" l="1"/>
  <c r="K57" i="5" s="1"/>
  <c r="I58" i="5"/>
  <c r="K58" i="5" s="1"/>
  <c r="K59" i="5"/>
  <c r="I60" i="5"/>
  <c r="K60" i="5"/>
  <c r="H21" i="28" l="1"/>
  <c r="E67" i="32" l="1"/>
  <c r="E66" i="32" l="1"/>
  <c r="E64" i="32"/>
  <c r="E60" i="32"/>
  <c r="F118" i="37" l="1"/>
  <c r="D118" i="37"/>
  <c r="C118" i="37"/>
  <c r="B118" i="37"/>
  <c r="G117" i="37"/>
  <c r="G116" i="37"/>
  <c r="G115" i="37"/>
  <c r="F6" i="37"/>
  <c r="E6" i="37"/>
  <c r="C6" i="37"/>
  <c r="B6" i="37"/>
  <c r="G5" i="37"/>
  <c r="G4" i="37"/>
  <c r="G3" i="37"/>
  <c r="D6" i="37"/>
  <c r="J19" i="28"/>
  <c r="G118" i="37" l="1"/>
  <c r="G6" i="37"/>
  <c r="L20" i="28" l="1"/>
  <c r="L21" i="28"/>
  <c r="L19" i="28"/>
  <c r="I14" i="5"/>
  <c r="I12" i="5"/>
  <c r="I13" i="5"/>
  <c r="I15" i="5"/>
  <c r="I16" i="5"/>
  <c r="I17" i="5"/>
  <c r="I18" i="5"/>
  <c r="I19" i="5"/>
  <c r="I20" i="5"/>
  <c r="I21" i="5"/>
  <c r="I22" i="5"/>
  <c r="I23" i="5"/>
  <c r="I24" i="5"/>
  <c r="I11" i="5"/>
  <c r="E26" i="32" l="1"/>
  <c r="E59" i="32"/>
  <c r="G50" i="5" l="1"/>
  <c r="F73" i="2" l="1"/>
  <c r="E10" i="32" l="1"/>
  <c r="F66" i="2" l="1"/>
  <c r="F64" i="2" l="1"/>
  <c r="D39" i="22"/>
  <c r="D38" i="22"/>
  <c r="D37" i="22"/>
  <c r="D33" i="22"/>
  <c r="D32" i="22"/>
  <c r="D31" i="22"/>
  <c r="D27" i="22"/>
  <c r="D26" i="22"/>
  <c r="D25" i="22"/>
  <c r="D21" i="22"/>
  <c r="D20" i="22"/>
  <c r="D19" i="22"/>
  <c r="D14" i="22"/>
  <c r="D15" i="22"/>
  <c r="D13" i="22"/>
  <c r="D9" i="22"/>
  <c r="D8" i="22"/>
  <c r="D7" i="22"/>
  <c r="I48" i="5"/>
  <c r="I49" i="5"/>
  <c r="I50" i="5"/>
  <c r="I51" i="5"/>
  <c r="I52" i="5"/>
  <c r="I53" i="5"/>
  <c r="I54" i="5"/>
  <c r="I55" i="5"/>
  <c r="I56" i="5"/>
  <c r="I47" i="5"/>
  <c r="I41" i="5"/>
  <c r="I40" i="5"/>
  <c r="I38" i="5"/>
  <c r="I37" i="5"/>
  <c r="I36" i="5"/>
  <c r="I35" i="5"/>
  <c r="I34" i="5"/>
  <c r="I33" i="5"/>
  <c r="I32" i="5"/>
  <c r="I31" i="5"/>
  <c r="I30" i="5"/>
  <c r="I29" i="5"/>
  <c r="E9" i="32" l="1"/>
  <c r="E8" i="32" l="1"/>
  <c r="F57" i="2" l="1"/>
  <c r="O142" i="19" l="1"/>
  <c r="O141" i="19"/>
  <c r="O140" i="19"/>
  <c r="O139" i="19"/>
  <c r="O138" i="19"/>
  <c r="O137" i="19"/>
  <c r="M142" i="19"/>
  <c r="M141" i="19"/>
  <c r="M140" i="19"/>
  <c r="M138" i="19"/>
  <c r="M137" i="19"/>
  <c r="J134" i="19"/>
  <c r="I13" i="34" l="1"/>
  <c r="I12" i="34"/>
  <c r="I11" i="34"/>
  <c r="I5" i="34"/>
  <c r="I6" i="34"/>
  <c r="I4" i="34"/>
  <c r="I7" i="34" s="1"/>
  <c r="H14" i="34"/>
  <c r="G14" i="34"/>
  <c r="F14" i="34"/>
  <c r="E14" i="34"/>
  <c r="D14" i="34"/>
  <c r="C14" i="34"/>
  <c r="F6" i="34"/>
  <c r="F5" i="34"/>
  <c r="F4" i="34"/>
  <c r="C7" i="34"/>
  <c r="D7" i="34"/>
  <c r="E7" i="34"/>
  <c r="G7" i="34"/>
  <c r="H7" i="34"/>
  <c r="B14" i="34"/>
  <c r="B7" i="34"/>
  <c r="I14" i="34" l="1"/>
  <c r="F7" i="34"/>
  <c r="J2" i="23" l="1"/>
  <c r="H20" i="28" l="1"/>
  <c r="C39" i="22" l="1"/>
  <c r="E39" i="22" s="1"/>
  <c r="C38" i="22"/>
  <c r="E38" i="22" s="1"/>
  <c r="C37" i="22"/>
  <c r="C33" i="22"/>
  <c r="C32" i="22"/>
  <c r="C26" i="22"/>
  <c r="E26" i="22" s="1"/>
  <c r="C25" i="22"/>
  <c r="C21" i="22"/>
  <c r="C20" i="22"/>
  <c r="C19" i="22"/>
  <c r="C14" i="22"/>
  <c r="E25" i="22" l="1"/>
  <c r="F2" i="22"/>
  <c r="H2" i="3" s="1"/>
  <c r="L3" i="28"/>
  <c r="E17" i="28"/>
  <c r="L22" i="28"/>
  <c r="L24" i="28"/>
  <c r="L12" i="28"/>
  <c r="L13" i="28"/>
  <c r="L14" i="28"/>
  <c r="L15" i="28"/>
  <c r="L16" i="28"/>
  <c r="L17" i="28"/>
  <c r="L18" i="28"/>
  <c r="L11" i="28"/>
  <c r="J18" i="28"/>
  <c r="H19" i="28"/>
  <c r="H18" i="28"/>
  <c r="H17" i="28"/>
  <c r="H16" i="28"/>
  <c r="H15" i="28"/>
  <c r="H14" i="28"/>
  <c r="H13" i="28"/>
  <c r="G20" i="28"/>
  <c r="G19" i="28"/>
  <c r="G18" i="28"/>
  <c r="F24" i="28"/>
  <c r="F23" i="28"/>
  <c r="F21" i="28"/>
  <c r="F20" i="28"/>
  <c r="F19" i="28"/>
  <c r="F18" i="28"/>
  <c r="F17" i="28"/>
  <c r="E21" i="28"/>
  <c r="E20" i="28"/>
  <c r="E19" i="28"/>
  <c r="E18" i="28"/>
  <c r="E16" i="28"/>
  <c r="E15" i="28"/>
  <c r="E14" i="28"/>
  <c r="E13" i="28"/>
  <c r="G53" i="5"/>
  <c r="G17" i="28" s="1"/>
  <c r="G32" i="5"/>
  <c r="I20" i="28"/>
  <c r="G30" i="5" l="1"/>
  <c r="E32" i="22" l="1"/>
  <c r="H24" i="28" l="1"/>
  <c r="H23" i="28"/>
  <c r="H22" i="28"/>
  <c r="H12" i="28"/>
  <c r="G31" i="5"/>
  <c r="D4" i="23"/>
  <c r="F164" i="7" l="1"/>
  <c r="F165" i="7" s="1"/>
  <c r="F197" i="2"/>
  <c r="F223" i="2" l="1"/>
  <c r="J11" i="28" l="1"/>
  <c r="G11" i="28"/>
  <c r="H11" i="28"/>
  <c r="E12" i="28"/>
  <c r="E22" i="28"/>
  <c r="E23" i="28"/>
  <c r="E24" i="28"/>
  <c r="J12" i="28"/>
  <c r="J13" i="28"/>
  <c r="J14" i="28"/>
  <c r="J15" i="28"/>
  <c r="J16" i="28"/>
  <c r="J17" i="28"/>
  <c r="J20" i="28"/>
  <c r="J21" i="28"/>
  <c r="J22" i="28"/>
  <c r="J23" i="28"/>
  <c r="J24" i="28"/>
  <c r="G21" i="28"/>
  <c r="G22" i="28"/>
  <c r="G23" i="28"/>
  <c r="G24" i="28"/>
  <c r="F58" i="5"/>
  <c r="D17" i="28"/>
  <c r="D18" i="28"/>
  <c r="D19" i="28"/>
  <c r="D20" i="28"/>
  <c r="D21" i="28"/>
  <c r="D23" i="28"/>
  <c r="D24" i="28"/>
  <c r="C18" i="28"/>
  <c r="C16" i="28"/>
  <c r="C17" i="28"/>
  <c r="C19" i="28"/>
  <c r="C20" i="28"/>
  <c r="C21" i="28"/>
  <c r="C22" i="28"/>
  <c r="C23" i="28"/>
  <c r="C24" i="28"/>
  <c r="K53" i="5"/>
  <c r="C12" i="28"/>
  <c r="C13" i="28"/>
  <c r="C14" i="28"/>
  <c r="C15" i="28"/>
  <c r="C11" i="28"/>
  <c r="F22" i="28" l="1"/>
  <c r="F222" i="2"/>
  <c r="F196" i="2"/>
  <c r="F195" i="2"/>
  <c r="F194" i="2"/>
  <c r="F26" i="2"/>
  <c r="G26" i="2" s="1"/>
  <c r="F25" i="2"/>
  <c r="G25" i="2" s="1"/>
  <c r="G22" i="2"/>
  <c r="F24" i="2" s="1"/>
  <c r="F22" i="2"/>
  <c r="F27" i="2" l="1"/>
  <c r="G27" i="2" s="1"/>
  <c r="F28" i="2" s="1"/>
  <c r="F30" i="2"/>
  <c r="M40" i="15"/>
  <c r="G28" i="2" l="1"/>
  <c r="F29" i="2"/>
  <c r="E294" i="27" l="1"/>
  <c r="E21" i="22" l="1"/>
  <c r="E20" i="22"/>
  <c r="E14" i="22"/>
  <c r="E33" i="22"/>
  <c r="C148" i="3" l="1"/>
  <c r="I21" i="3" l="1"/>
  <c r="C15" i="22" l="1"/>
  <c r="B15" i="22"/>
  <c r="B14" i="22"/>
  <c r="B13" i="22"/>
  <c r="D16" i="22" l="1"/>
  <c r="E15" i="22"/>
  <c r="F15" i="22" s="1"/>
  <c r="B16" i="22"/>
  <c r="E11" i="28" l="1"/>
  <c r="I28" i="5"/>
  <c r="F14" i="22"/>
  <c r="D62" i="22" l="1"/>
  <c r="D61" i="22"/>
  <c r="D60" i="22"/>
  <c r="D57" i="22"/>
  <c r="D56" i="22"/>
  <c r="D55" i="22"/>
  <c r="D51" i="22"/>
  <c r="D50" i="22"/>
  <c r="D49" i="22"/>
  <c r="D45" i="22"/>
  <c r="D44" i="22"/>
  <c r="D43" i="22"/>
  <c r="C8" i="22"/>
  <c r="C7" i="22"/>
  <c r="C9" i="22"/>
  <c r="C27" i="22"/>
  <c r="C31" i="22"/>
  <c r="E31" i="22" s="1"/>
  <c r="F52" i="10" l="1"/>
  <c r="E52" i="10"/>
  <c r="I14" i="28" l="1"/>
  <c r="K15" i="5"/>
  <c r="K20" i="5"/>
  <c r="K16" i="5" l="1"/>
  <c r="I16" i="28"/>
  <c r="K18" i="5"/>
  <c r="I18" i="28"/>
  <c r="K19" i="5"/>
  <c r="I19" i="28"/>
  <c r="K11" i="5"/>
  <c r="K23" i="5"/>
  <c r="K14" i="5"/>
  <c r="K13" i="5"/>
  <c r="K24" i="5"/>
  <c r="K22" i="5"/>
  <c r="K17" i="5"/>
  <c r="K21" i="5"/>
  <c r="K12" i="5"/>
  <c r="D3" i="23"/>
  <c r="A2" i="23"/>
  <c r="A1" i="23"/>
  <c r="D63" i="22"/>
  <c r="D58" i="22"/>
  <c r="D52" i="22"/>
  <c r="D46" i="22"/>
  <c r="D40" i="22"/>
  <c r="D34" i="22"/>
  <c r="D28" i="22"/>
  <c r="D22" i="22"/>
  <c r="D10" i="22"/>
  <c r="C60" i="22"/>
  <c r="E60" i="22" s="1"/>
  <c r="C61" i="22"/>
  <c r="E61" i="22" s="1"/>
  <c r="C62" i="22"/>
  <c r="E62" i="22" s="1"/>
  <c r="C55" i="22"/>
  <c r="E55" i="22" s="1"/>
  <c r="C56" i="22"/>
  <c r="E56" i="22" s="1"/>
  <c r="C57" i="22"/>
  <c r="E57" i="22" s="1"/>
  <c r="C49" i="22"/>
  <c r="E49" i="22" s="1"/>
  <c r="C50" i="22"/>
  <c r="E50" i="22" s="1"/>
  <c r="C51" i="22"/>
  <c r="E51" i="22" s="1"/>
  <c r="C43" i="22"/>
  <c r="E43" i="22" s="1"/>
  <c r="C44" i="22"/>
  <c r="E44" i="22" s="1"/>
  <c r="C45" i="22"/>
  <c r="E45" i="22" s="1"/>
  <c r="E37" i="22"/>
  <c r="B62" i="22"/>
  <c r="B57" i="22"/>
  <c r="B56" i="22"/>
  <c r="B55" i="22"/>
  <c r="B51" i="22"/>
  <c r="B50" i="22"/>
  <c r="B49" i="22"/>
  <c r="B45" i="22"/>
  <c r="B44" i="22"/>
  <c r="B43" i="22"/>
  <c r="B39" i="22"/>
  <c r="B38" i="22"/>
  <c r="B37" i="22"/>
  <c r="B33" i="22"/>
  <c r="B32" i="22"/>
  <c r="B31" i="22"/>
  <c r="K40" i="5"/>
  <c r="E27" i="22"/>
  <c r="B27" i="22"/>
  <c r="B25" i="22"/>
  <c r="E19" i="22"/>
  <c r="B21" i="22"/>
  <c r="B19" i="22"/>
  <c r="E9" i="22"/>
  <c r="E8" i="22"/>
  <c r="E7" i="22"/>
  <c r="B9" i="22"/>
  <c r="B8" i="22"/>
  <c r="I17" i="28"/>
  <c r="K17" i="28" s="1"/>
  <c r="K36" i="5"/>
  <c r="K38" i="5"/>
  <c r="I22" i="28"/>
  <c r="K41" i="5"/>
  <c r="I13" i="28"/>
  <c r="K56" i="5"/>
  <c r="K54" i="5"/>
  <c r="I12" i="28"/>
  <c r="K47" i="5"/>
  <c r="K29" i="5"/>
  <c r="K30" i="5"/>
  <c r="K31" i="5"/>
  <c r="F51" i="5"/>
  <c r="F15" i="28" s="1"/>
  <c r="F48" i="5"/>
  <c r="F12" i="28" s="1"/>
  <c r="I24" i="28" l="1"/>
  <c r="K24" i="28" s="1"/>
  <c r="I21" i="28"/>
  <c r="K21" i="28" s="1"/>
  <c r="I23" i="28"/>
  <c r="K23" i="28" s="1"/>
  <c r="F52" i="5"/>
  <c r="F16" i="28" s="1"/>
  <c r="K33" i="5"/>
  <c r="K37" i="5"/>
  <c r="K20" i="28"/>
  <c r="K35" i="5"/>
  <c r="K18" i="28"/>
  <c r="K55" i="5"/>
  <c r="K19" i="28"/>
  <c r="K34" i="5"/>
  <c r="C13" i="22"/>
  <c r="C34" i="22"/>
  <c r="B40" i="22"/>
  <c r="E63" i="22"/>
  <c r="B52" i="22"/>
  <c r="B58" i="22"/>
  <c r="C63" i="22"/>
  <c r="E58" i="22"/>
  <c r="C58" i="22"/>
  <c r="E52" i="22"/>
  <c r="E40" i="22"/>
  <c r="E46" i="22"/>
  <c r="C52" i="22"/>
  <c r="B46" i="22"/>
  <c r="C46" i="22"/>
  <c r="C40" i="22"/>
  <c r="F27" i="22"/>
  <c r="F31" i="22"/>
  <c r="E10" i="22"/>
  <c r="E22" i="22"/>
  <c r="B34" i="22"/>
  <c r="E34" i="22"/>
  <c r="C22" i="22"/>
  <c r="F45" i="22"/>
  <c r="F9" i="22"/>
  <c r="F33" i="22"/>
  <c r="F39" i="22"/>
  <c r="F49" i="22"/>
  <c r="F38" i="22"/>
  <c r="F57" i="22"/>
  <c r="F44" i="22"/>
  <c r="F37" i="22"/>
  <c r="F56" i="22"/>
  <c r="C10" i="22"/>
  <c r="F55" i="22"/>
  <c r="F62" i="22"/>
  <c r="F43" i="22"/>
  <c r="F51" i="22"/>
  <c r="F8" i="22"/>
  <c r="F32" i="22"/>
  <c r="F50" i="22"/>
  <c r="F21" i="22"/>
  <c r="F19" i="22"/>
  <c r="F49" i="5"/>
  <c r="F13" i="28" s="1"/>
  <c r="F50" i="5" l="1"/>
  <c r="F14" i="28" s="1"/>
  <c r="E13" i="22"/>
  <c r="C16" i="22"/>
  <c r="F58" i="22"/>
  <c r="F52" i="22"/>
  <c r="F40" i="22"/>
  <c r="F46" i="22"/>
  <c r="F34" i="22"/>
  <c r="F13" i="22" l="1"/>
  <c r="F16" i="22" s="1"/>
  <c r="E16" i="22"/>
  <c r="I11" i="28"/>
  <c r="F11" i="28" l="1"/>
  <c r="A7" i="19" l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O136" i="19" l="1"/>
  <c r="M136" i="19"/>
  <c r="O41" i="15" l="1"/>
  <c r="O40" i="15"/>
  <c r="O39" i="15"/>
  <c r="O38" i="15"/>
  <c r="O37" i="15"/>
  <c r="O36" i="15"/>
  <c r="M38" i="15"/>
  <c r="M39" i="15"/>
  <c r="M37" i="15"/>
  <c r="M36" i="15"/>
  <c r="M41" i="15"/>
  <c r="J34" i="15"/>
  <c r="D28" i="5"/>
  <c r="D11" i="28" s="1"/>
  <c r="K11" i="28" l="1"/>
  <c r="K28" i="5"/>
  <c r="B7" i="22"/>
  <c r="F7" i="22" l="1"/>
  <c r="F10" i="22" s="1"/>
  <c r="B10" i="22"/>
  <c r="A7" i="15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O35" i="15" l="1"/>
  <c r="M35" i="15"/>
  <c r="H91" i="11" l="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G67" i="11"/>
  <c r="I66" i="11"/>
  <c r="I64" i="11"/>
  <c r="I62" i="11"/>
  <c r="I60" i="11"/>
  <c r="I58" i="11"/>
  <c r="I56" i="11"/>
  <c r="I52" i="11"/>
  <c r="I42" i="11"/>
  <c r="I36" i="11"/>
  <c r="I34" i="11"/>
  <c r="I28" i="11"/>
  <c r="I24" i="11"/>
  <c r="I20" i="11"/>
  <c r="I18" i="11"/>
  <c r="I16" i="11"/>
  <c r="I14" i="11"/>
  <c r="I12" i="11"/>
  <c r="H92" i="11" l="1"/>
  <c r="E9" i="10"/>
  <c r="S10" i="9" l="1"/>
  <c r="V10" i="9"/>
  <c r="Y10" i="9"/>
  <c r="G12" i="9"/>
  <c r="G14" i="9" s="1"/>
  <c r="G16" i="9" s="1"/>
  <c r="G18" i="9" s="1"/>
  <c r="G20" i="9" s="1"/>
  <c r="G22" i="9" s="1"/>
  <c r="G24" i="9" s="1"/>
  <c r="G26" i="9" s="1"/>
  <c r="H12" i="9"/>
  <c r="R12" i="9"/>
  <c r="S12" i="9"/>
  <c r="V12" i="9"/>
  <c r="Y12" i="9"/>
  <c r="H14" i="9"/>
  <c r="R14" i="9"/>
  <c r="S14" i="9"/>
  <c r="V14" i="9"/>
  <c r="Y14" i="9"/>
  <c r="H16" i="9"/>
  <c r="R16" i="9"/>
  <c r="S16" i="9"/>
  <c r="V16" i="9"/>
  <c r="Y16" i="9"/>
  <c r="H18" i="9"/>
  <c r="R18" i="9"/>
  <c r="S18" i="9"/>
  <c r="V18" i="9"/>
  <c r="Y18" i="9"/>
  <c r="H20" i="9"/>
  <c r="R20" i="9"/>
  <c r="S20" i="9"/>
  <c r="V20" i="9"/>
  <c r="Y20" i="9"/>
  <c r="H22" i="9"/>
  <c r="R22" i="9"/>
  <c r="S22" i="9"/>
  <c r="V22" i="9"/>
  <c r="Y22" i="9"/>
  <c r="H24" i="9"/>
  <c r="R24" i="9"/>
  <c r="S24" i="9"/>
  <c r="V24" i="9"/>
  <c r="Y24" i="9"/>
  <c r="H26" i="9"/>
  <c r="S26" i="9"/>
  <c r="V26" i="9"/>
  <c r="Y26" i="9"/>
  <c r="S28" i="9"/>
  <c r="V28" i="9"/>
  <c r="Y28" i="9"/>
  <c r="G30" i="9"/>
  <c r="G32" i="9" s="1"/>
  <c r="G34" i="9" s="1"/>
  <c r="G36" i="9" s="1"/>
  <c r="G38" i="9" s="1"/>
  <c r="G40" i="9" s="1"/>
  <c r="G42" i="9" s="1"/>
  <c r="G44" i="9" s="1"/>
  <c r="G46" i="9" s="1"/>
  <c r="G48" i="9" s="1"/>
  <c r="G50" i="9" s="1"/>
  <c r="G52" i="9" s="1"/>
  <c r="G54" i="9" s="1"/>
  <c r="G56" i="9" s="1"/>
  <c r="G58" i="9" s="1"/>
  <c r="G60" i="9" s="1"/>
  <c r="G62" i="9" s="1"/>
  <c r="G64" i="9" s="1"/>
  <c r="H30" i="9"/>
  <c r="R30" i="9"/>
  <c r="S30" i="9"/>
  <c r="V30" i="9"/>
  <c r="Y30" i="9"/>
  <c r="R32" i="9"/>
  <c r="S32" i="9"/>
  <c r="V32" i="9"/>
  <c r="Y32" i="9"/>
  <c r="H34" i="9"/>
  <c r="R34" i="9"/>
  <c r="S34" i="9"/>
  <c r="V34" i="9"/>
  <c r="Y34" i="9"/>
  <c r="R36" i="9"/>
  <c r="S36" i="9"/>
  <c r="V36" i="9"/>
  <c r="Y36" i="9"/>
  <c r="R38" i="9"/>
  <c r="S38" i="9"/>
  <c r="V38" i="9"/>
  <c r="Y38" i="9"/>
  <c r="R40" i="9"/>
  <c r="S40" i="9"/>
  <c r="V40" i="9"/>
  <c r="Y40" i="9"/>
  <c r="H42" i="9"/>
  <c r="R42" i="9"/>
  <c r="S42" i="9"/>
  <c r="V42" i="9"/>
  <c r="Y42" i="9"/>
  <c r="R44" i="9"/>
  <c r="S44" i="9"/>
  <c r="V44" i="9"/>
  <c r="Y44" i="9"/>
  <c r="H46" i="9"/>
  <c r="R46" i="9"/>
  <c r="S46" i="9"/>
  <c r="V46" i="9"/>
  <c r="Y46" i="9"/>
  <c r="R48" i="9"/>
  <c r="S48" i="9"/>
  <c r="V48" i="9"/>
  <c r="Y48" i="9"/>
  <c r="H50" i="9"/>
  <c r="R50" i="9"/>
  <c r="S50" i="9"/>
  <c r="V50" i="9"/>
  <c r="Y50" i="9"/>
  <c r="H52" i="9"/>
  <c r="R52" i="9"/>
  <c r="S52" i="9"/>
  <c r="V52" i="9"/>
  <c r="Y52" i="9"/>
  <c r="R54" i="9"/>
  <c r="S54" i="9"/>
  <c r="V54" i="9"/>
  <c r="Y54" i="9"/>
  <c r="H56" i="9"/>
  <c r="R56" i="9"/>
  <c r="S56" i="9"/>
  <c r="V56" i="9"/>
  <c r="Y56" i="9"/>
  <c r="H58" i="9"/>
  <c r="R58" i="9"/>
  <c r="S58" i="9"/>
  <c r="V58" i="9"/>
  <c r="Y58" i="9"/>
  <c r="H60" i="9"/>
  <c r="R60" i="9"/>
  <c r="S60" i="9"/>
  <c r="V60" i="9"/>
  <c r="Y60" i="9"/>
  <c r="H62" i="9"/>
  <c r="R62" i="9"/>
  <c r="S62" i="9"/>
  <c r="V62" i="9"/>
  <c r="Y62" i="9"/>
  <c r="H64" i="9"/>
  <c r="S64" i="9"/>
  <c r="V64" i="9"/>
  <c r="Y64" i="9"/>
  <c r="S66" i="9"/>
  <c r="V66" i="9"/>
  <c r="Y66" i="9"/>
  <c r="G68" i="9"/>
  <c r="G70" i="9" s="1"/>
  <c r="G72" i="9" s="1"/>
  <c r="G74" i="9" s="1"/>
  <c r="G76" i="9" s="1"/>
  <c r="G78" i="9" s="1"/>
  <c r="G80" i="9" s="1"/>
  <c r="G82" i="9" s="1"/>
  <c r="G84" i="9" s="1"/>
  <c r="G86" i="9" s="1"/>
  <c r="G88" i="9" s="1"/>
  <c r="G90" i="9" s="1"/>
  <c r="G92" i="9" s="1"/>
  <c r="G94" i="9" s="1"/>
  <c r="H68" i="9"/>
  <c r="R68" i="9"/>
  <c r="S68" i="9"/>
  <c r="V68" i="9"/>
  <c r="Y68" i="9"/>
  <c r="H70" i="9"/>
  <c r="R70" i="9"/>
  <c r="S70" i="9"/>
  <c r="V70" i="9"/>
  <c r="Y70" i="9"/>
  <c r="R72" i="9"/>
  <c r="S72" i="9"/>
  <c r="V72" i="9"/>
  <c r="Y72" i="9"/>
  <c r="R74" i="9"/>
  <c r="S74" i="9"/>
  <c r="V74" i="9"/>
  <c r="Y74" i="9"/>
  <c r="R76" i="9"/>
  <c r="S76" i="9"/>
  <c r="V76" i="9"/>
  <c r="Y76" i="9"/>
  <c r="R78" i="9"/>
  <c r="S78" i="9"/>
  <c r="V78" i="9"/>
  <c r="Y78" i="9"/>
  <c r="R80" i="9"/>
  <c r="S80" i="9"/>
  <c r="V80" i="9"/>
  <c r="Y80" i="9"/>
  <c r="H82" i="9"/>
  <c r="R82" i="9"/>
  <c r="S82" i="9"/>
  <c r="V82" i="9"/>
  <c r="Y82" i="9"/>
  <c r="H84" i="9"/>
  <c r="R84" i="9"/>
  <c r="S84" i="9"/>
  <c r="V84" i="9"/>
  <c r="Y84" i="9"/>
  <c r="R86" i="9"/>
  <c r="S86" i="9"/>
  <c r="V86" i="9"/>
  <c r="Y86" i="9"/>
  <c r="H88" i="9"/>
  <c r="R88" i="9"/>
  <c r="S88" i="9"/>
  <c r="V88" i="9"/>
  <c r="Y88" i="9"/>
  <c r="H90" i="9"/>
  <c r="R90" i="9"/>
  <c r="S90" i="9"/>
  <c r="V90" i="9"/>
  <c r="Y90" i="9"/>
  <c r="H92" i="9"/>
  <c r="R92" i="9"/>
  <c r="S92" i="9"/>
  <c r="V92" i="9"/>
  <c r="Y92" i="9"/>
  <c r="H94" i="9"/>
  <c r="S94" i="9"/>
  <c r="V94" i="9"/>
  <c r="Y94" i="9"/>
  <c r="F95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L53" i="8"/>
  <c r="N52" i="8"/>
  <c r="N50" i="8"/>
  <c r="N48" i="8"/>
  <c r="N44" i="8"/>
  <c r="N34" i="8"/>
  <c r="N28" i="8"/>
  <c r="N26" i="8"/>
  <c r="N20" i="8"/>
  <c r="N16" i="8"/>
  <c r="N12" i="8"/>
  <c r="M12" i="8"/>
  <c r="M14" i="8" s="1"/>
  <c r="M16" i="8" s="1"/>
  <c r="M18" i="8" s="1"/>
  <c r="M20" i="8" s="1"/>
  <c r="M22" i="8" s="1"/>
  <c r="M24" i="8" s="1"/>
  <c r="M26" i="8" s="1"/>
  <c r="M28" i="8" s="1"/>
  <c r="M30" i="8" s="1"/>
  <c r="M32" i="8" s="1"/>
  <c r="M34" i="8" s="1"/>
  <c r="M36" i="8" s="1"/>
  <c r="M38" i="8" s="1"/>
  <c r="M40" i="8" s="1"/>
  <c r="M42" i="8" s="1"/>
  <c r="M44" i="8" s="1"/>
  <c r="M46" i="8" s="1"/>
  <c r="M48" i="8" s="1"/>
  <c r="M50" i="8" s="1"/>
  <c r="M52" i="8" s="1"/>
  <c r="G12" i="8"/>
  <c r="G14" i="8" s="1"/>
  <c r="G16" i="8" s="1"/>
  <c r="G18" i="8" s="1"/>
  <c r="G20" i="8" s="1"/>
  <c r="G22" i="8" s="1"/>
  <c r="G24" i="8" s="1"/>
  <c r="G26" i="8" s="1"/>
  <c r="G28" i="8" s="1"/>
  <c r="G30" i="8" s="1"/>
  <c r="G32" i="8" s="1"/>
  <c r="G34" i="8" s="1"/>
  <c r="G36" i="8" s="1"/>
  <c r="G38" i="8" s="1"/>
  <c r="G40" i="8" s="1"/>
  <c r="G42" i="8" s="1"/>
  <c r="G44" i="8" s="1"/>
  <c r="G46" i="8" s="1"/>
  <c r="G48" i="8" s="1"/>
  <c r="G50" i="8" s="1"/>
  <c r="G52" i="8" s="1"/>
  <c r="G120" i="9" l="1"/>
  <c r="M78" i="8"/>
  <c r="G135" i="6" l="1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Z134" i="6"/>
  <c r="W134" i="6"/>
  <c r="T134" i="6"/>
  <c r="S134" i="6"/>
  <c r="H134" i="6"/>
  <c r="Z132" i="6"/>
  <c r="W132" i="6"/>
  <c r="T132" i="6"/>
  <c r="S132" i="6"/>
  <c r="H132" i="6"/>
  <c r="Z130" i="6"/>
  <c r="W130" i="6"/>
  <c r="T130" i="6"/>
  <c r="S130" i="6"/>
  <c r="Z128" i="6"/>
  <c r="W128" i="6"/>
  <c r="T128" i="6"/>
  <c r="S128" i="6"/>
  <c r="H128" i="6"/>
  <c r="Z126" i="6"/>
  <c r="W126" i="6"/>
  <c r="T126" i="6"/>
  <c r="S126" i="6"/>
  <c r="H126" i="6"/>
  <c r="Z124" i="6"/>
  <c r="W124" i="6"/>
  <c r="T124" i="6"/>
  <c r="S124" i="6"/>
  <c r="H124" i="6"/>
  <c r="Z122" i="6"/>
  <c r="W122" i="6"/>
  <c r="T122" i="6"/>
  <c r="S122" i="6"/>
  <c r="Z120" i="6"/>
  <c r="W120" i="6"/>
  <c r="T120" i="6"/>
  <c r="S120" i="6"/>
  <c r="H120" i="6"/>
  <c r="Z118" i="6"/>
  <c r="W118" i="6"/>
  <c r="T118" i="6"/>
  <c r="S118" i="6"/>
  <c r="Z116" i="6"/>
  <c r="W116" i="6"/>
  <c r="T116" i="6"/>
  <c r="S116" i="6"/>
  <c r="H116" i="6"/>
  <c r="Z114" i="6"/>
  <c r="W114" i="6"/>
  <c r="T114" i="6"/>
  <c r="S114" i="6"/>
  <c r="Z112" i="6"/>
  <c r="W112" i="6"/>
  <c r="T112" i="6"/>
  <c r="S112" i="6"/>
  <c r="Z110" i="6"/>
  <c r="W110" i="6"/>
  <c r="T110" i="6"/>
  <c r="S110" i="6"/>
  <c r="Z108" i="6"/>
  <c r="W108" i="6"/>
  <c r="T108" i="6"/>
  <c r="S108" i="6"/>
  <c r="Z106" i="6"/>
  <c r="W106" i="6"/>
  <c r="T106" i="6"/>
  <c r="S106" i="6"/>
  <c r="H106" i="6"/>
  <c r="Z104" i="6"/>
  <c r="W104" i="6"/>
  <c r="T104" i="6"/>
  <c r="S104" i="6"/>
  <c r="Z102" i="6"/>
  <c r="W102" i="6"/>
  <c r="T102" i="6"/>
  <c r="S102" i="6"/>
  <c r="Z100" i="6"/>
  <c r="W100" i="6"/>
  <c r="T100" i="6"/>
  <c r="S100" i="6"/>
  <c r="H100" i="6"/>
  <c r="Z98" i="6"/>
  <c r="W98" i="6"/>
  <c r="T98" i="6"/>
  <c r="S98" i="6"/>
  <c r="Z96" i="6"/>
  <c r="W96" i="6"/>
  <c r="T96" i="6"/>
  <c r="S96" i="6"/>
  <c r="H96" i="6"/>
  <c r="Z94" i="6"/>
  <c r="W94" i="6"/>
  <c r="T94" i="6"/>
  <c r="S94" i="6"/>
  <c r="H94" i="6"/>
  <c r="Z92" i="6"/>
  <c r="W92" i="6"/>
  <c r="T92" i="6"/>
  <c r="S92" i="6"/>
  <c r="H92" i="6"/>
  <c r="Z90" i="6"/>
  <c r="W90" i="6"/>
  <c r="T90" i="6"/>
  <c r="S90" i="6"/>
  <c r="Z88" i="6"/>
  <c r="W88" i="6"/>
  <c r="T88" i="6"/>
  <c r="S88" i="6"/>
  <c r="H88" i="6"/>
  <c r="Z86" i="6"/>
  <c r="W86" i="6"/>
  <c r="T86" i="6"/>
  <c r="S86" i="6"/>
  <c r="H86" i="6"/>
  <c r="Z84" i="6"/>
  <c r="W84" i="6"/>
  <c r="T84" i="6"/>
  <c r="S84" i="6"/>
  <c r="Z82" i="6"/>
  <c r="W82" i="6"/>
  <c r="T82" i="6"/>
  <c r="S82" i="6"/>
  <c r="H82" i="6"/>
  <c r="Z80" i="6"/>
  <c r="W80" i="6"/>
  <c r="T80" i="6"/>
  <c r="S80" i="6"/>
  <c r="Z78" i="6"/>
  <c r="W78" i="6"/>
  <c r="T78" i="6"/>
  <c r="S78" i="6"/>
  <c r="Z76" i="6"/>
  <c r="W76" i="6"/>
  <c r="T76" i="6"/>
  <c r="S76" i="6"/>
  <c r="Z74" i="6"/>
  <c r="W74" i="6"/>
  <c r="T74" i="6"/>
  <c r="S74" i="6"/>
  <c r="Z72" i="6"/>
  <c r="W72" i="6"/>
  <c r="T72" i="6"/>
  <c r="S72" i="6"/>
  <c r="H72" i="6"/>
  <c r="Z70" i="6"/>
  <c r="W70" i="6"/>
  <c r="T70" i="6"/>
  <c r="S70" i="6"/>
  <c r="Z68" i="6"/>
  <c r="W68" i="6"/>
  <c r="T68" i="6"/>
  <c r="S68" i="6"/>
  <c r="Z66" i="6"/>
  <c r="W66" i="6"/>
  <c r="T66" i="6"/>
  <c r="S66" i="6"/>
  <c r="H66" i="6"/>
  <c r="Z64" i="6"/>
  <c r="W64" i="6"/>
  <c r="T64" i="6"/>
  <c r="S64" i="6"/>
  <c r="H64" i="6"/>
  <c r="Z62" i="6"/>
  <c r="W62" i="6"/>
  <c r="T62" i="6"/>
  <c r="S62" i="6"/>
  <c r="H62" i="6"/>
  <c r="Z60" i="6"/>
  <c r="W60" i="6"/>
  <c r="T60" i="6"/>
  <c r="S60" i="6"/>
  <c r="Z58" i="6"/>
  <c r="W58" i="6"/>
  <c r="T58" i="6"/>
  <c r="S58" i="6"/>
  <c r="H58" i="6"/>
  <c r="Z56" i="6"/>
  <c r="W56" i="6"/>
  <c r="T56" i="6"/>
  <c r="S56" i="6"/>
  <c r="H56" i="6"/>
  <c r="Z54" i="6"/>
  <c r="W54" i="6"/>
  <c r="T54" i="6"/>
  <c r="S54" i="6"/>
  <c r="H54" i="6"/>
  <c r="Z52" i="6"/>
  <c r="W52" i="6"/>
  <c r="T52" i="6"/>
  <c r="S52" i="6"/>
  <c r="Z50" i="6"/>
  <c r="W50" i="6"/>
  <c r="T50" i="6"/>
  <c r="S50" i="6"/>
  <c r="H50" i="6"/>
  <c r="Z48" i="6"/>
  <c r="W48" i="6"/>
  <c r="T48" i="6"/>
  <c r="S48" i="6"/>
  <c r="Z46" i="6"/>
  <c r="W46" i="6"/>
  <c r="T46" i="6"/>
  <c r="S46" i="6"/>
  <c r="Z44" i="6"/>
  <c r="W44" i="6"/>
  <c r="T44" i="6"/>
  <c r="S44" i="6"/>
  <c r="Z42" i="6"/>
  <c r="W42" i="6"/>
  <c r="T42" i="6"/>
  <c r="S42" i="6"/>
  <c r="H42" i="6"/>
  <c r="Z40" i="6"/>
  <c r="W40" i="6"/>
  <c r="T40" i="6"/>
  <c r="S40" i="6"/>
  <c r="H40" i="6"/>
  <c r="Z38" i="6"/>
  <c r="W38" i="6"/>
  <c r="T38" i="6"/>
  <c r="S38" i="6"/>
  <c r="H38" i="6"/>
  <c r="Z36" i="6"/>
  <c r="W36" i="6"/>
  <c r="T36" i="6"/>
  <c r="S36" i="6"/>
  <c r="H36" i="6"/>
  <c r="Z34" i="6"/>
  <c r="W34" i="6"/>
  <c r="T34" i="6"/>
  <c r="S34" i="6"/>
  <c r="Z32" i="6"/>
  <c r="W32" i="6"/>
  <c r="T32" i="6"/>
  <c r="S32" i="6"/>
  <c r="Z30" i="6"/>
  <c r="W30" i="6"/>
  <c r="T30" i="6"/>
  <c r="S30" i="6"/>
  <c r="H30" i="6"/>
  <c r="Z28" i="6"/>
  <c r="W28" i="6"/>
  <c r="T28" i="6"/>
  <c r="S28" i="6"/>
  <c r="Z26" i="6"/>
  <c r="W26" i="6"/>
  <c r="T26" i="6"/>
  <c r="S26" i="6"/>
  <c r="H26" i="6"/>
  <c r="Z24" i="6"/>
  <c r="W24" i="6"/>
  <c r="T24" i="6"/>
  <c r="S24" i="6"/>
  <c r="H24" i="6"/>
  <c r="Z22" i="6"/>
  <c r="W22" i="6"/>
  <c r="T22" i="6"/>
  <c r="S22" i="6"/>
  <c r="H22" i="6"/>
  <c r="Z20" i="6"/>
  <c r="W20" i="6"/>
  <c r="T20" i="6"/>
  <c r="S20" i="6"/>
  <c r="Z18" i="6"/>
  <c r="W18" i="6"/>
  <c r="T18" i="6"/>
  <c r="S18" i="6"/>
  <c r="Z16" i="6"/>
  <c r="W16" i="6"/>
  <c r="T16" i="6"/>
  <c r="S16" i="6"/>
  <c r="Z14" i="6"/>
  <c r="W14" i="6"/>
  <c r="T14" i="6"/>
  <c r="S14" i="6"/>
  <c r="H14" i="6"/>
  <c r="Z12" i="6"/>
  <c r="W12" i="6"/>
  <c r="T12" i="6"/>
  <c r="S12" i="6"/>
  <c r="I12" i="6"/>
  <c r="I14" i="6" s="1"/>
  <c r="I16" i="6" s="1"/>
  <c r="I18" i="6" s="1"/>
  <c r="I20" i="6" s="1"/>
  <c r="I22" i="6" s="1"/>
  <c r="I24" i="6" s="1"/>
  <c r="I26" i="6" s="1"/>
  <c r="I28" i="6" s="1"/>
  <c r="I30" i="6" s="1"/>
  <c r="I32" i="6" s="1"/>
  <c r="I34" i="6" s="1"/>
  <c r="I36" i="6" s="1"/>
  <c r="I38" i="6" s="1"/>
  <c r="I40" i="6" s="1"/>
  <c r="I42" i="6" s="1"/>
  <c r="I44" i="6" s="1"/>
  <c r="I46" i="6" s="1"/>
  <c r="I48" i="6" s="1"/>
  <c r="I50" i="6" s="1"/>
  <c r="I52" i="6" s="1"/>
  <c r="I54" i="6" s="1"/>
  <c r="I56" i="6" s="1"/>
  <c r="I58" i="6" s="1"/>
  <c r="I60" i="6" s="1"/>
  <c r="I62" i="6" s="1"/>
  <c r="I64" i="6" s="1"/>
  <c r="I66" i="6" s="1"/>
  <c r="I68" i="6" s="1"/>
  <c r="I70" i="6" s="1"/>
  <c r="I72" i="6" s="1"/>
  <c r="I74" i="6" s="1"/>
  <c r="I76" i="6" s="1"/>
  <c r="I78" i="6" s="1"/>
  <c r="I80" i="6" s="1"/>
  <c r="I82" i="6" s="1"/>
  <c r="I84" i="6" s="1"/>
  <c r="I86" i="6" s="1"/>
  <c r="I88" i="6" s="1"/>
  <c r="I90" i="6" s="1"/>
  <c r="I92" i="6" s="1"/>
  <c r="I94" i="6" s="1"/>
  <c r="I96" i="6" s="1"/>
  <c r="I98" i="6" s="1"/>
  <c r="I100" i="6" s="1"/>
  <c r="I102" i="6" s="1"/>
  <c r="I104" i="6" s="1"/>
  <c r="I106" i="6" s="1"/>
  <c r="I108" i="6" s="1"/>
  <c r="I110" i="6" s="1"/>
  <c r="I112" i="6" s="1"/>
  <c r="I114" i="6" s="1"/>
  <c r="I116" i="6" s="1"/>
  <c r="I118" i="6" s="1"/>
  <c r="I120" i="6" s="1"/>
  <c r="I122" i="6" s="1"/>
  <c r="I124" i="6" s="1"/>
  <c r="I126" i="6" s="1"/>
  <c r="I128" i="6" s="1"/>
  <c r="I130" i="6" s="1"/>
  <c r="I132" i="6" s="1"/>
  <c r="I134" i="6" s="1"/>
  <c r="H12" i="6"/>
  <c r="Z10" i="6"/>
  <c r="W10" i="6"/>
  <c r="S10" i="6"/>
  <c r="C7" i="6"/>
  <c r="H160" i="6" l="1"/>
  <c r="C44" i="3"/>
  <c r="C159" i="3"/>
  <c r="D58" i="5" l="1"/>
  <c r="D51" i="5"/>
  <c r="D48" i="5"/>
  <c r="G48" i="5" s="1"/>
  <c r="G12" i="28" s="1"/>
  <c r="D39" i="5"/>
  <c r="D15" i="28" l="1"/>
  <c r="G15" i="28"/>
  <c r="K39" i="5"/>
  <c r="D22" i="28"/>
  <c r="K22" i="28" s="1"/>
  <c r="K48" i="5"/>
  <c r="D12" i="28"/>
  <c r="K12" i="28" s="1"/>
  <c r="B60" i="22"/>
  <c r="F60" i="22" s="1"/>
  <c r="B61" i="22"/>
  <c r="D52" i="5"/>
  <c r="G16" i="28" s="1"/>
  <c r="D49" i="5"/>
  <c r="G49" i="5" s="1"/>
  <c r="G13" i="28" s="1"/>
  <c r="K49" i="5" l="1"/>
  <c r="D13" i="28"/>
  <c r="K13" i="28" s="1"/>
  <c r="K52" i="5"/>
  <c r="D16" i="28"/>
  <c r="K16" i="28" s="1"/>
  <c r="F61" i="22"/>
  <c r="F63" i="22" s="1"/>
  <c r="B63" i="22"/>
  <c r="B26" i="22"/>
  <c r="D50" i="5"/>
  <c r="G14" i="28" s="1"/>
  <c r="K50" i="5" l="1"/>
  <c r="D14" i="28"/>
  <c r="K14" i="28" s="1"/>
  <c r="F26" i="22"/>
  <c r="B28" i="22"/>
  <c r="B20" i="22"/>
  <c r="B22" i="22" s="1"/>
  <c r="F20" i="22" l="1"/>
  <c r="F22" i="22" s="1"/>
  <c r="K32" i="5" l="1"/>
  <c r="F25" i="22" l="1"/>
  <c r="F28" i="22" s="1"/>
  <c r="E28" i="22"/>
  <c r="C28" i="22"/>
  <c r="K51" i="5" l="1"/>
  <c r="I15" i="28"/>
  <c r="K15" i="28" s="1"/>
</calcChain>
</file>

<file path=xl/sharedStrings.xml><?xml version="1.0" encoding="utf-8"?>
<sst xmlns="http://schemas.openxmlformats.org/spreadsheetml/2006/main" count="12019" uniqueCount="2218">
  <si>
    <t>Activity</t>
  </si>
  <si>
    <t>Estimated</t>
  </si>
  <si>
    <t>Remarks</t>
  </si>
  <si>
    <t>Route Alignment (Km)</t>
  </si>
  <si>
    <t>Detailed Survey (Km)</t>
  </si>
  <si>
    <t>Detailed Survey Profiling (Km)</t>
  </si>
  <si>
    <t>Check Survey (Km)</t>
  </si>
  <si>
    <t>Soil Investigation (Nos)</t>
  </si>
  <si>
    <t>Excavation (Nos)</t>
  </si>
  <si>
    <t>Foundation (Nos)</t>
  </si>
  <si>
    <t>Earthing (Nos)</t>
  </si>
  <si>
    <t>Tower Erection (Nos)</t>
  </si>
  <si>
    <t>Tack Welding (Nos)</t>
  </si>
  <si>
    <t>Stringing (Km)</t>
  </si>
  <si>
    <t xml:space="preserve"> </t>
  </si>
  <si>
    <t>Contractual Start Date</t>
  </si>
  <si>
    <t>Contractual Finish Date</t>
  </si>
  <si>
    <t>Client</t>
  </si>
  <si>
    <t>Daily Progress Report</t>
  </si>
  <si>
    <t>27/12/2023</t>
  </si>
  <si>
    <t xml:space="preserve">Project </t>
  </si>
  <si>
    <t>Bihar State Power Transmission corporation Limited</t>
  </si>
  <si>
    <t>NOA Supply:</t>
  </si>
  <si>
    <t>18.  Dated -</t>
  </si>
  <si>
    <t>19. Dated -</t>
  </si>
  <si>
    <t>Sr</t>
  </si>
  <si>
    <t xml:space="preserve">LOA </t>
  </si>
  <si>
    <t>Sr no.</t>
  </si>
  <si>
    <t>220 KV D/C Chhapra -Gopalganj  TL</t>
  </si>
  <si>
    <t>Completed</t>
  </si>
  <si>
    <t>Nav Durga Traders</t>
  </si>
  <si>
    <t>WET</t>
  </si>
  <si>
    <t>DA+3</t>
  </si>
  <si>
    <t>completed</t>
  </si>
  <si>
    <t>DA+0</t>
  </si>
  <si>
    <t>Status</t>
  </si>
  <si>
    <t>Agency</t>
  </si>
  <si>
    <t>Classification</t>
  </si>
  <si>
    <t>Tower Type</t>
  </si>
  <si>
    <t>DB+6</t>
  </si>
  <si>
    <t>38/0</t>
  </si>
  <si>
    <t>Dharmendra Mishra</t>
  </si>
  <si>
    <t>PS</t>
  </si>
  <si>
    <t>DC+3</t>
  </si>
  <si>
    <t>37/0</t>
  </si>
  <si>
    <t>DD+6</t>
  </si>
  <si>
    <t>19/0</t>
  </si>
  <si>
    <t>21/0</t>
  </si>
  <si>
    <t>DA+6</t>
  </si>
  <si>
    <t>DA+9</t>
  </si>
  <si>
    <t>DD+3</t>
  </si>
  <si>
    <t>44/0</t>
  </si>
  <si>
    <t>Wet</t>
  </si>
  <si>
    <t>DC+0</t>
  </si>
  <si>
    <t>40/0</t>
  </si>
  <si>
    <t>16/0</t>
  </si>
  <si>
    <t>14/0</t>
  </si>
  <si>
    <t>DC+6</t>
  </si>
  <si>
    <t>18/0</t>
  </si>
  <si>
    <t>17/0</t>
  </si>
  <si>
    <t>15/0</t>
  </si>
  <si>
    <t>FS</t>
  </si>
  <si>
    <t>Sr No.</t>
  </si>
  <si>
    <t>Tower No.</t>
  </si>
  <si>
    <t>7/0</t>
  </si>
  <si>
    <t>8/0</t>
  </si>
  <si>
    <t>10/0</t>
  </si>
  <si>
    <t>12/0</t>
  </si>
  <si>
    <t>13/0</t>
  </si>
  <si>
    <t>22/0</t>
  </si>
  <si>
    <t>26/0</t>
  </si>
  <si>
    <t>29/0</t>
  </si>
  <si>
    <t>32/0</t>
  </si>
  <si>
    <t>34/0</t>
  </si>
  <si>
    <t>39/0</t>
  </si>
  <si>
    <t>42/0</t>
  </si>
  <si>
    <t>45/0</t>
  </si>
  <si>
    <t>46/0</t>
  </si>
  <si>
    <t>47/0</t>
  </si>
  <si>
    <t>Total Completed</t>
  </si>
  <si>
    <t>Soil Investigation Status</t>
  </si>
  <si>
    <t>Soil Investigation 
date</t>
  </si>
  <si>
    <t>SL.No.</t>
  </si>
  <si>
    <t>Earthing Type</t>
  </si>
  <si>
    <t>Date of Earthing</t>
  </si>
  <si>
    <t xml:space="preserve">220 KV D/C Chapra -Gopalganj Transmission Line with ACSR Zebra Conductor </t>
  </si>
  <si>
    <t xml:space="preserve">  220 KV  Chhapra(NEW) to Amnour DCDS Transmission Line with Twin Moose</t>
  </si>
  <si>
    <t>NAME OF LINE : LILO of 400 KV Barh (NTPC) Motihari (DMTCL) D/C (Quad Moose) Transmission Line at Chhapra (New) (Loop In)</t>
  </si>
  <si>
    <t>Name of Client : BIHAR STATE POWER TRANSMISSION COMPANY LIMITED (BSPTCL)</t>
  </si>
  <si>
    <t>Executing Agency : M/S KEC INTERNATIONAL LIMITED</t>
  </si>
  <si>
    <t>W.O.TB 412</t>
  </si>
  <si>
    <t>NIT No. : 23/PR/BSPTCL/2023</t>
  </si>
  <si>
    <t>DT :30.07.2020</t>
  </si>
  <si>
    <t>NOA No. : 18(Supply), 19(Service)  Dated. 27.12.2023</t>
  </si>
  <si>
    <t>REV-00</t>
  </si>
  <si>
    <t>Details Survey Report (AP 1 to AP 34) 20.778KM</t>
  </si>
  <si>
    <t>REV-02</t>
  </si>
  <si>
    <t>Sl.No</t>
  </si>
  <si>
    <t>AP NO.</t>
  </si>
  <si>
    <t>TOWER NO.</t>
  </si>
  <si>
    <t>TYPE OF TOWER</t>
  </si>
  <si>
    <t>HT of Tower (Mtr)</t>
  </si>
  <si>
    <t>SPAN
(Mtr)</t>
  </si>
  <si>
    <t>SECTION LENGTH</t>
  </si>
  <si>
    <t>CUMULATIVE SPAN</t>
  </si>
  <si>
    <t>LEG EXTENSION</t>
  </si>
  <si>
    <t>RAISED CHIMNEY</t>
  </si>
  <si>
    <t>BENCHING VOLUME (Cum)</t>
  </si>
  <si>
    <t>REVETMENT VOLUME (Cum)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</si>
  <si>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</si>
  <si>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</si>
  <si>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</si>
  <si>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</si>
  <si>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</si>
  <si>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</si>
  <si>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LONGITUDE (E)</t>
  </si>
  <si>
    <t>LATITUDE (N)</t>
  </si>
  <si>
    <t>UTM Coordinates</t>
  </si>
  <si>
    <t>CROSSING DETAILS</t>
  </si>
  <si>
    <t>NAME OF VILLAGE</t>
  </si>
  <si>
    <t>NAME OF TEHSIL</t>
  </si>
  <si>
    <t>NAME OF POLICE STATION</t>
  </si>
  <si>
    <t>REMARKS</t>
  </si>
  <si>
    <t>A</t>
  </si>
  <si>
    <t>B</t>
  </si>
  <si>
    <t>C</t>
  </si>
  <si>
    <t>Left</t>
  </si>
  <si>
    <t>Right</t>
  </si>
  <si>
    <t>Total</t>
  </si>
  <si>
    <t xml:space="preserve"> Easting (m)</t>
  </si>
  <si>
    <t>Northing (m)</t>
  </si>
  <si>
    <t>AP 1</t>
  </si>
  <si>
    <t>1/0</t>
  </si>
  <si>
    <t>4DD+0</t>
  </si>
  <si>
    <t/>
  </si>
  <si>
    <t xml:space="preserve"> 45° 33' 45"RT</t>
  </si>
  <si>
    <t>84d54'16.634"E</t>
  </si>
  <si>
    <t>25d53'19.85"N</t>
  </si>
  <si>
    <t>ARNA</t>
  </si>
  <si>
    <t>Hut</t>
  </si>
  <si>
    <t>AP 2</t>
  </si>
  <si>
    <t>2/0</t>
  </si>
  <si>
    <t xml:space="preserve"> 35° 58' 12"RT</t>
  </si>
  <si>
    <t>84d54'19.095"E</t>
  </si>
  <si>
    <t>25d53'22.76"N</t>
  </si>
  <si>
    <t>SANDALPUR</t>
  </si>
  <si>
    <t>AP 3</t>
  </si>
  <si>
    <t>3/0</t>
  </si>
  <si>
    <t xml:space="preserve"> 30° 18' 41"RT</t>
  </si>
  <si>
    <t>84d54'24.555"E</t>
  </si>
  <si>
    <t>25d53'24.235"N</t>
  </si>
  <si>
    <t>Cart track, Nala, LT line, Hut, Borewell</t>
  </si>
  <si>
    <t>3/1</t>
  </si>
  <si>
    <t>4DA+0</t>
  </si>
  <si>
    <t>84d54'34.885"E</t>
  </si>
  <si>
    <t>25d53'21.959"N</t>
  </si>
  <si>
    <t>3/2</t>
  </si>
  <si>
    <t>84d54'46.472"E</t>
  </si>
  <si>
    <t>25d53'19.405"N</t>
  </si>
  <si>
    <t>Cart track, Nala, 11kV line</t>
  </si>
  <si>
    <t>3/3</t>
  </si>
  <si>
    <t>84d54'56.138"E</t>
  </si>
  <si>
    <t>25d53'17.275"N</t>
  </si>
  <si>
    <t>MOLNAPUR</t>
  </si>
  <si>
    <t>2No's Pond</t>
  </si>
  <si>
    <t>AP 4</t>
  </si>
  <si>
    <t>4/0</t>
  </si>
  <si>
    <t>4DC+0</t>
  </si>
  <si>
    <t xml:space="preserve"> 18° 12' 5"RT</t>
  </si>
  <si>
    <t>84d55'8.027"E</t>
  </si>
  <si>
    <t>25d53'14.655"N</t>
  </si>
  <si>
    <t>NH - 722, 2 No's 11kV lines</t>
  </si>
  <si>
    <t>11kV  line to be diverted</t>
  </si>
  <si>
    <t>AP 5</t>
  </si>
  <si>
    <t>5/0</t>
  </si>
  <si>
    <t xml:space="preserve"> 50° 6' 30"LT</t>
  </si>
  <si>
    <t>84d55'15.036"E</t>
  </si>
  <si>
    <t>25d53'10.709"N</t>
  </si>
  <si>
    <t>GANESHPATTI</t>
  </si>
  <si>
    <t>2No's Cart track, 2No's 11kV lines, Well</t>
  </si>
  <si>
    <t>AP 6</t>
  </si>
  <si>
    <t>6/0</t>
  </si>
  <si>
    <t xml:space="preserve"> 53° 5' 45"RT</t>
  </si>
  <si>
    <t>84d55'24.485"E</t>
  </si>
  <si>
    <t>25d53'13.521"N</t>
  </si>
  <si>
    <t>11kV lines, Well</t>
  </si>
  <si>
    <t>6/1</t>
  </si>
  <si>
    <t>4DA+3</t>
  </si>
  <si>
    <t>84d55'35.003"E</t>
  </si>
  <si>
    <t>25d53'6.887"N</t>
  </si>
  <si>
    <t>BASAUTI</t>
  </si>
  <si>
    <t>Nala</t>
  </si>
  <si>
    <t>AP 7</t>
  </si>
  <si>
    <t>4DB+0</t>
  </si>
  <si>
    <t xml:space="preserve"> 8° 59' 29"RT</t>
  </si>
  <si>
    <t>84d55'42.185"E</t>
  </si>
  <si>
    <t>25d53'2.357"N</t>
  </si>
  <si>
    <t>Cart track, Tar road, Nala, 11kV line,Hand pump</t>
  </si>
  <si>
    <t>7/1</t>
  </si>
  <si>
    <t>84d55'50.936"E</t>
  </si>
  <si>
    <t>25d52'54.745"N</t>
  </si>
  <si>
    <t>MURLI SIRSIA</t>
  </si>
  <si>
    <t>3No's LT lines, Cart track</t>
  </si>
  <si>
    <t>7/2</t>
  </si>
  <si>
    <t>84d55'58.935"E</t>
  </si>
  <si>
    <t>25d52'47.785"N</t>
  </si>
  <si>
    <t>Tar road, Bargad tree</t>
  </si>
  <si>
    <t>AP 8</t>
  </si>
  <si>
    <t xml:space="preserve"> 5° 20' 56"LT</t>
  </si>
  <si>
    <t>84d56'8.812"E</t>
  </si>
  <si>
    <t>25d52'39.193"N</t>
  </si>
  <si>
    <t>2No's 11kV lines, Cart track</t>
  </si>
  <si>
    <t>AP 9</t>
  </si>
  <si>
    <t>9/0</t>
  </si>
  <si>
    <t xml:space="preserve"> 18° 23' 40"LT</t>
  </si>
  <si>
    <t>84d56'18.136"E</t>
  </si>
  <si>
    <t>25d52'32.475"N</t>
  </si>
  <si>
    <t>11kV line</t>
  </si>
  <si>
    <t>AP 10</t>
  </si>
  <si>
    <t xml:space="preserve"> 2° 36' 19"LT</t>
  </si>
  <si>
    <t>84d56'29.641"E</t>
  </si>
  <si>
    <t>25d52'28.658"N</t>
  </si>
  <si>
    <t>Tar road, LT line</t>
  </si>
  <si>
    <t>AP 11</t>
  </si>
  <si>
    <t>11/0</t>
  </si>
  <si>
    <t xml:space="preserve"> 30° 45' 23"LT</t>
  </si>
  <si>
    <t>84d56'37.98"E</t>
  </si>
  <si>
    <t>25d52'26.274"N</t>
  </si>
  <si>
    <t>JAGARNATHPUR</t>
  </si>
  <si>
    <t>2No's LT lines, Well</t>
  </si>
  <si>
    <t>11/1</t>
  </si>
  <si>
    <t>84d56'49.029"E</t>
  </si>
  <si>
    <t>25d52'28.622"N</t>
  </si>
  <si>
    <t>Pond, Tar road</t>
  </si>
  <si>
    <t>11/2</t>
  </si>
  <si>
    <t>84d57'0.392"E</t>
  </si>
  <si>
    <t>25d52'31.036"N</t>
  </si>
  <si>
    <t>BARKI SIRSIA</t>
  </si>
  <si>
    <t>Cart track, 11kV lie, LT line</t>
  </si>
  <si>
    <t>11/3</t>
  </si>
  <si>
    <t>84d57'9.797"E</t>
  </si>
  <si>
    <t>25d52'33.034"N</t>
  </si>
  <si>
    <t>2No's LT line</t>
  </si>
  <si>
    <t>LT line to be diverted</t>
  </si>
  <si>
    <t>AP 12</t>
  </si>
  <si>
    <t>4DB+3</t>
  </si>
  <si>
    <t xml:space="preserve"> 7° 1' 5"LT</t>
  </si>
  <si>
    <t>84d57'19.651"E</t>
  </si>
  <si>
    <t>25d52'35.127"N</t>
  </si>
  <si>
    <t>Cart track, 2No's 11kV lie, LT line, Tar road, Hand pump</t>
  </si>
  <si>
    <t>12/1</t>
  </si>
  <si>
    <t>4DA+9</t>
  </si>
  <si>
    <t>84d57'33.907"E</t>
  </si>
  <si>
    <t>25d52'39.88"N</t>
  </si>
  <si>
    <t>BHIMA BANDH</t>
  </si>
  <si>
    <t>State highway, 11kV lins, Nala</t>
  </si>
  <si>
    <t>AP 13</t>
  </si>
  <si>
    <t>4DD+6</t>
  </si>
  <si>
    <t xml:space="preserve"> 53° 3' 22"LT</t>
  </si>
  <si>
    <t>84d57'46.581"E</t>
  </si>
  <si>
    <t>25d52'44.106"N</t>
  </si>
  <si>
    <t>PIROZPUR</t>
  </si>
  <si>
    <t>LT line, Semal garden, Sagwan garden, 33kV line, Cart track, Nala, Tar road, 11kV line, Mango garden, Foot track</t>
  </si>
  <si>
    <t>AP 14</t>
  </si>
  <si>
    <t>4DC+6</t>
  </si>
  <si>
    <t xml:space="preserve"> 28° 21' 50"LT</t>
  </si>
  <si>
    <t>84d57'51.117"E</t>
  </si>
  <si>
    <t>25d52'57.769"N</t>
  </si>
  <si>
    <t>PACHRUKHI</t>
  </si>
  <si>
    <t>Mango garden, Foot track, Tar road</t>
  </si>
  <si>
    <t>AP 15</t>
  </si>
  <si>
    <t xml:space="preserve"> 22° 22' 10"LT</t>
  </si>
  <si>
    <t>84d57'48.811"E</t>
  </si>
  <si>
    <t>25d53'7.888"N</t>
  </si>
  <si>
    <t>2No's 11kV lines, LT line, Damage pump house</t>
  </si>
  <si>
    <t>15/1</t>
  </si>
  <si>
    <t>84d57'41.778"E</t>
  </si>
  <si>
    <t>25d53'17.314"N</t>
  </si>
  <si>
    <t>LANGARPURA</t>
  </si>
  <si>
    <t>4No's 11kV lines</t>
  </si>
  <si>
    <t>AP 16</t>
  </si>
  <si>
    <t>4DD+18</t>
  </si>
  <si>
    <t xml:space="preserve"> 42° 12' 40"RT</t>
  </si>
  <si>
    <t>84d57'33.053"E</t>
  </si>
  <si>
    <t>25d53'29.005"N</t>
  </si>
  <si>
    <t>220kV D/C OHTL BGCL (HJP- CHP), LT line</t>
  </si>
  <si>
    <t>AP 17</t>
  </si>
  <si>
    <t>4DD+25</t>
  </si>
  <si>
    <t xml:space="preserve"> 51° 38' 13"RT</t>
  </si>
  <si>
    <t>84d57'34.44"E</t>
  </si>
  <si>
    <t>25d53'37.721"N</t>
  </si>
  <si>
    <t>AP 18</t>
  </si>
  <si>
    <t xml:space="preserve"> 16° 4' 36"RT</t>
  </si>
  <si>
    <t>84d57'40.369"E</t>
  </si>
  <si>
    <t>25d53'40.838"N</t>
  </si>
  <si>
    <t>LT line, Cart track</t>
  </si>
  <si>
    <t>18/1</t>
  </si>
  <si>
    <t>84d57'54.688"E</t>
  </si>
  <si>
    <t>25d53'44.09"N</t>
  </si>
  <si>
    <t>11kV line, LT line, Pond</t>
  </si>
  <si>
    <t>18/2</t>
  </si>
  <si>
    <t>4DA+6</t>
  </si>
  <si>
    <t>84d58'8.172"E</t>
  </si>
  <si>
    <t>25d53'47.151"N</t>
  </si>
  <si>
    <t>2No's 11kV lines, 2No's Tar road</t>
  </si>
  <si>
    <t>AP 19</t>
  </si>
  <si>
    <t xml:space="preserve"> 12° 30' 39"RT</t>
  </si>
  <si>
    <t>84d58'21.319"E</t>
  </si>
  <si>
    <t>25d53'50.136"N</t>
  </si>
  <si>
    <t>11kV line, Cart track, Pump</t>
  </si>
  <si>
    <t>19/1</t>
  </si>
  <si>
    <t>84d58'35.396"E</t>
  </si>
  <si>
    <t>25d53'50.487"N</t>
  </si>
  <si>
    <t>LT line</t>
  </si>
  <si>
    <t>19/2</t>
  </si>
  <si>
    <t>84d58'46.635"E</t>
  </si>
  <si>
    <t>25d53'50.767"N</t>
  </si>
  <si>
    <t>BANKERWA BHAW</t>
  </si>
  <si>
    <t>19/3</t>
  </si>
  <si>
    <t>84d58'58.054"E</t>
  </si>
  <si>
    <t>25d53'51.051"N</t>
  </si>
  <si>
    <t>Pond</t>
  </si>
  <si>
    <t>19/4</t>
  </si>
  <si>
    <t>84d59'10.515"E</t>
  </si>
  <si>
    <t>25d53'51.36"N</t>
  </si>
  <si>
    <t>AP 20</t>
  </si>
  <si>
    <t>20/0</t>
  </si>
  <si>
    <t xml:space="preserve"> 16° 3' 32"LT</t>
  </si>
  <si>
    <t>84d59'24.43"E</t>
  </si>
  <si>
    <t>25d53'51.706"N</t>
  </si>
  <si>
    <t>BAKSANDA</t>
  </si>
  <si>
    <t>2No's 11kV lines, Tar road</t>
  </si>
  <si>
    <t>20/1</t>
  </si>
  <si>
    <t>84d59'36.242"E</t>
  </si>
  <si>
    <t>25d53'55.101"N</t>
  </si>
  <si>
    <t>11kV line, LT line, Cart track</t>
  </si>
  <si>
    <t>AP 21</t>
  </si>
  <si>
    <t>4DB+6</t>
  </si>
  <si>
    <t xml:space="preserve"> 12° 27' 57"RT</t>
  </si>
  <si>
    <t>84d59'50.289"E</t>
  </si>
  <si>
    <t>25d53'59.138"N</t>
  </si>
  <si>
    <t>BISHUNPURA</t>
  </si>
  <si>
    <t>2No's 11kV lines</t>
  </si>
  <si>
    <t>AP 22</t>
  </si>
  <si>
    <t>4DD+3</t>
  </si>
  <si>
    <t xml:space="preserve"> 48° 46' 50"LT</t>
  </si>
  <si>
    <t>85d0'4.304"E</t>
  </si>
  <si>
    <t>25d54'0.283"N</t>
  </si>
  <si>
    <t>Cart track, 2No's Nala, Tar road, 11kV line</t>
  </si>
  <si>
    <t>22/1</t>
  </si>
  <si>
    <t>85d0'10.648"E</t>
  </si>
  <si>
    <t>25d54'8.162"N</t>
  </si>
  <si>
    <t>UTTIMPUR</t>
  </si>
  <si>
    <t>2No's Nala, 2No's Tar road, 33kV line, 11kV line</t>
  </si>
  <si>
    <t>11kV line to be diverted</t>
  </si>
  <si>
    <t>AP 23</t>
  </si>
  <si>
    <t>23/0</t>
  </si>
  <si>
    <t>4DD+9</t>
  </si>
  <si>
    <t xml:space="preserve"> 57° 37' 41"RT</t>
  </si>
  <si>
    <t>85d0'20.347"E</t>
  </si>
  <si>
    <t>25d54'20.208"N</t>
  </si>
  <si>
    <t>LALAPUR</t>
  </si>
  <si>
    <t>Tar road, 2No's Nala, 11kV lines</t>
  </si>
  <si>
    <t>AP 24</t>
  </si>
  <si>
    <t>24/0</t>
  </si>
  <si>
    <t xml:space="preserve"> 46° 55' 37"RT</t>
  </si>
  <si>
    <t>85d0'31.324"E</t>
  </si>
  <si>
    <t>25d54'19.568"N</t>
  </si>
  <si>
    <t>PARSA BAZAR (NP)</t>
  </si>
  <si>
    <t>11kV lins, Pond</t>
  </si>
  <si>
    <t>AP 25</t>
  </si>
  <si>
    <t>25/0</t>
  </si>
  <si>
    <t xml:space="preserve"> 49° 55' 28"LT</t>
  </si>
  <si>
    <t>85d0'40.116"E</t>
  </si>
  <si>
    <t>25d54'9.88"N</t>
  </si>
  <si>
    <t>11kV line, LT line, House, Nala, Tar road</t>
  </si>
  <si>
    <t>25/1</t>
  </si>
  <si>
    <t>85d0'52.33"E</t>
  </si>
  <si>
    <t>25d54'9.746"N</t>
  </si>
  <si>
    <t>AP 26</t>
  </si>
  <si>
    <t xml:space="preserve"> 41° 0' 20"LT</t>
  </si>
  <si>
    <t>85d1'6.97"E</t>
  </si>
  <si>
    <t>25d54'9.585"N</t>
  </si>
  <si>
    <t>11kV line, LT line, Cart track, Nala, Tar road</t>
  </si>
  <si>
    <t>26/1</t>
  </si>
  <si>
    <t>85d1'15.847"E</t>
  </si>
  <si>
    <t>25d54'16.395"N</t>
  </si>
  <si>
    <t>Nala, Tar road, 33kV line, 2No's 11kV line, LT line</t>
  </si>
  <si>
    <t>26/2</t>
  </si>
  <si>
    <t>85d1'26.285"E</t>
  </si>
  <si>
    <t>25d54'24.403"N</t>
  </si>
  <si>
    <t>2No's 11kV lines, 2No's LT lines, Nala, Cart track</t>
  </si>
  <si>
    <t>AP 27</t>
  </si>
  <si>
    <t>27/0</t>
  </si>
  <si>
    <t xml:space="preserve"> 4° 8' 7"LT</t>
  </si>
  <si>
    <t>85d1'36.399"E</t>
  </si>
  <si>
    <t>25d54'32.162"N</t>
  </si>
  <si>
    <t>FATEHPUR</t>
  </si>
  <si>
    <t>3No's 11kV lines, Cart track</t>
  </si>
  <si>
    <t>27/1</t>
  </si>
  <si>
    <t>85d1'47.019"E</t>
  </si>
  <si>
    <t>25d54'41.58"N</t>
  </si>
  <si>
    <t>11kV line, Cart track</t>
  </si>
  <si>
    <t>27/2</t>
  </si>
  <si>
    <t>85d1'56.511"E</t>
  </si>
  <si>
    <t>25d54'49.997"N</t>
  </si>
  <si>
    <t>BANAUTA MAKUND</t>
  </si>
  <si>
    <t>27/3</t>
  </si>
  <si>
    <t>85d2'4.387"E</t>
  </si>
  <si>
    <t>25d54'56.981"N</t>
  </si>
  <si>
    <t>2No's LT lines, 11kV line</t>
  </si>
  <si>
    <t>27/4</t>
  </si>
  <si>
    <t>85d2'11.852"E</t>
  </si>
  <si>
    <t>25d55'3.6"N</t>
  </si>
  <si>
    <t>3No's 11kV lines, LT line, Cart track</t>
  </si>
  <si>
    <t>AP 28</t>
  </si>
  <si>
    <t>28/0</t>
  </si>
  <si>
    <t xml:space="preserve"> 36° 17' 57"RT</t>
  </si>
  <si>
    <t>85d2'20.422"E</t>
  </si>
  <si>
    <t>25d55'11.199"N</t>
  </si>
  <si>
    <t>2No's LT lines</t>
  </si>
  <si>
    <t>28/1</t>
  </si>
  <si>
    <t>85d2'29.884"E</t>
  </si>
  <si>
    <t>25d55'12.422"N</t>
  </si>
  <si>
    <t>Tar road, Cart track</t>
  </si>
  <si>
    <t>AP 29</t>
  </si>
  <si>
    <t xml:space="preserve"> 37° 36' 50"RT</t>
  </si>
  <si>
    <t>85d2'38.97"E</t>
  </si>
  <si>
    <t>25d55'13.596"N</t>
  </si>
  <si>
    <t>2No's Tar road, 11kV line, LT line</t>
  </si>
  <si>
    <t>29/1</t>
  </si>
  <si>
    <t>85d2'49.948"E</t>
  </si>
  <si>
    <t>25d55'7.983"N</t>
  </si>
  <si>
    <t>MUJAUNA</t>
  </si>
  <si>
    <t>Tar road, Cart track, 11kV line</t>
  </si>
  <si>
    <t>AP 30</t>
  </si>
  <si>
    <t>30/0</t>
  </si>
  <si>
    <t>4DC+3</t>
  </si>
  <si>
    <t xml:space="preserve"> 15° 4' 15"LT</t>
  </si>
  <si>
    <t>85d3'3.148"E</t>
  </si>
  <si>
    <t>25d55'1.234"N</t>
  </si>
  <si>
    <t>PATTI MUJAUNA</t>
  </si>
  <si>
    <t>AP 31</t>
  </si>
  <si>
    <t>31/0</t>
  </si>
  <si>
    <t xml:space="preserve"> 53° 31' 11"LT</t>
  </si>
  <si>
    <t>85d3'16.514"E</t>
  </si>
  <si>
    <t>25d54'58.127"N</t>
  </si>
  <si>
    <t>4No's 11kV line, Tar road</t>
  </si>
  <si>
    <t>AP 32</t>
  </si>
  <si>
    <t xml:space="preserve"> 10° 20' 48"LT</t>
  </si>
  <si>
    <t>85d3'26.723"E</t>
  </si>
  <si>
    <t>25d55'5.631"N</t>
  </si>
  <si>
    <t>32/1</t>
  </si>
  <si>
    <t>85d3'35.085"E</t>
  </si>
  <si>
    <t>25d55'14.47"N</t>
  </si>
  <si>
    <t>3No's LT lines, 11kV lines, Cart track, Nala</t>
  </si>
  <si>
    <t>AP 33</t>
  </si>
  <si>
    <t>33/0</t>
  </si>
  <si>
    <t xml:space="preserve"> 39° 19' 42"RT</t>
  </si>
  <si>
    <t>85d3'44.535"E</t>
  </si>
  <si>
    <t>25d55'24.456"N</t>
  </si>
  <si>
    <t>SULTANPUR</t>
  </si>
  <si>
    <t>11kV line, 2No's Nala, 2No's Cart track</t>
  </si>
  <si>
    <t>AP 34</t>
  </si>
  <si>
    <t xml:space="preserve"> 57° 41' 28"RT</t>
  </si>
  <si>
    <t>85d3'56.532"E</t>
  </si>
  <si>
    <t>25d55'26.393"N</t>
  </si>
  <si>
    <t>ARIAEN</t>
  </si>
  <si>
    <t xml:space="preserve">Total length = </t>
  </si>
  <si>
    <t>Km</t>
  </si>
  <si>
    <t>For KEC International Ltd</t>
  </si>
  <si>
    <t>BIHAR STATE POWER TRANSMISSION COMPANY LIMITED, PATNA (WHOLLY OWNED SUBSIDIARY OF POWERGRID)</t>
  </si>
  <si>
    <t>Surveyed By</t>
  </si>
  <si>
    <t>Checked By</t>
  </si>
  <si>
    <t>Submitted By</t>
  </si>
  <si>
    <t>Recommended By</t>
  </si>
  <si>
    <t>Approved By</t>
  </si>
  <si>
    <t>Structure Summary</t>
  </si>
  <si>
    <t>=</t>
  </si>
  <si>
    <t>4DB+9</t>
  </si>
  <si>
    <t>4DC+9</t>
  </si>
  <si>
    <t>220 KV D/C Chhapra - Gopalganj Transmission Line with ACSR Zebra Conductor</t>
  </si>
  <si>
    <t>AP 9A</t>
  </si>
  <si>
    <t>AP 48</t>
  </si>
  <si>
    <t>AP 49</t>
  </si>
  <si>
    <t>AP 51</t>
  </si>
  <si>
    <t>AP 54</t>
  </si>
  <si>
    <t>AP 55</t>
  </si>
  <si>
    <t>AP 57</t>
  </si>
  <si>
    <t>AP 59</t>
  </si>
  <si>
    <t>AP 60</t>
  </si>
  <si>
    <t>AP 61</t>
  </si>
  <si>
    <t>AP 62</t>
  </si>
  <si>
    <t>AP 63</t>
  </si>
  <si>
    <t>AP 64</t>
  </si>
  <si>
    <t>AP 65</t>
  </si>
  <si>
    <t>AP 67</t>
  </si>
  <si>
    <t>AP 69</t>
  </si>
  <si>
    <t>AP 71</t>
  </si>
  <si>
    <t>AP 72</t>
  </si>
  <si>
    <t>AP 73</t>
  </si>
  <si>
    <t>AP 74</t>
  </si>
  <si>
    <t>AP 76</t>
  </si>
  <si>
    <t>AP 78</t>
  </si>
  <si>
    <t>AP 80</t>
  </si>
  <si>
    <t>AP 81</t>
  </si>
  <si>
    <t>AP 83</t>
  </si>
  <si>
    <t>AP 85</t>
  </si>
  <si>
    <t>AP 87</t>
  </si>
  <si>
    <t>AP 89</t>
  </si>
  <si>
    <t>AP 92</t>
  </si>
  <si>
    <t>AP 93</t>
  </si>
  <si>
    <t>AP 95</t>
  </si>
  <si>
    <t>AP 97</t>
  </si>
  <si>
    <t>AP 98</t>
  </si>
  <si>
    <t>AP 100</t>
  </si>
  <si>
    <t>AP 101</t>
  </si>
  <si>
    <t>AP 102</t>
  </si>
  <si>
    <t>AP 103</t>
  </si>
  <si>
    <t>AP 105</t>
  </si>
  <si>
    <t>AP 106</t>
  </si>
  <si>
    <t>AP 107</t>
  </si>
  <si>
    <t>AP 109</t>
  </si>
  <si>
    <t>AP 110</t>
  </si>
  <si>
    <t>AP 111</t>
  </si>
  <si>
    <t>AP 112</t>
  </si>
  <si>
    <t>AP 114</t>
  </si>
  <si>
    <t>AP 117</t>
  </si>
  <si>
    <t>AP 119</t>
  </si>
  <si>
    <t>AP 121</t>
  </si>
  <si>
    <t>AP 122</t>
  </si>
  <si>
    <t>AP 125</t>
  </si>
  <si>
    <t>AP 128</t>
  </si>
  <si>
    <t>AP 129</t>
  </si>
  <si>
    <t>AP 131</t>
  </si>
  <si>
    <t>AP 132</t>
  </si>
  <si>
    <t>AP 133</t>
  </si>
  <si>
    <t>AP 134</t>
  </si>
  <si>
    <t>AP 136</t>
  </si>
  <si>
    <t>AP 138</t>
  </si>
  <si>
    <t>AP 139</t>
  </si>
  <si>
    <t>AP 141</t>
  </si>
  <si>
    <t>AP 142</t>
  </si>
  <si>
    <t>AP 146</t>
  </si>
  <si>
    <t>AP 148</t>
  </si>
  <si>
    <t>AP 149</t>
  </si>
  <si>
    <t>AP 152</t>
  </si>
  <si>
    <t>AP 153</t>
  </si>
  <si>
    <t>AP 154</t>
  </si>
  <si>
    <t>AP 156</t>
  </si>
  <si>
    <t xml:space="preserve">AP 68 </t>
  </si>
  <si>
    <t>Location No.</t>
  </si>
  <si>
    <t>AP7</t>
  </si>
  <si>
    <t>AP 7A</t>
  </si>
  <si>
    <t>LOOP IN</t>
  </si>
  <si>
    <t>LOOP OUT</t>
  </si>
  <si>
    <t>AP 3A</t>
  </si>
  <si>
    <t>AP 5A</t>
  </si>
  <si>
    <t>AP 8A</t>
  </si>
  <si>
    <t>AP 15 A</t>
  </si>
  <si>
    <t>AP 37</t>
  </si>
  <si>
    <t>14/1</t>
  </si>
  <si>
    <t>PIPE TYPE EARTHING</t>
  </si>
  <si>
    <t>13/2</t>
  </si>
  <si>
    <t>13/1</t>
  </si>
  <si>
    <t>17/1</t>
  </si>
  <si>
    <t>NAME OF LINE : 220kV Chhapra(New) Amnour DCDS with Twin Moose Conductor</t>
  </si>
  <si>
    <t>DATE :09.09.2025</t>
  </si>
  <si>
    <t>Check Survey Report (AP 5 to AP 15) 5.539KM</t>
  </si>
  <si>
    <t>AS PER DETAILS SURVEY</t>
  </si>
  <si>
    <t>AS PER CHECK SURVEY</t>
  </si>
  <si>
    <t>UTM Coordinates 
(Zone-45R)</t>
  </si>
  <si>
    <t>CROSSING DETAILS &amp; REMARKS</t>
  </si>
  <si>
    <t>2TDC+0</t>
  </si>
  <si>
    <r>
      <t xml:space="preserve"> 16° 36' 15"LT
</t>
    </r>
    <r>
      <rPr>
        <b/>
        <sz val="12"/>
        <color rgb="FFFF0000"/>
        <rFont val="Calibri"/>
        <family val="2"/>
      </rPr>
      <t>TENTATIVE</t>
    </r>
  </si>
  <si>
    <t>84d53'57.126"E</t>
  </si>
  <si>
    <t>25d52'56.338"N</t>
  </si>
  <si>
    <t>KASTA</t>
  </si>
  <si>
    <t>Cart track</t>
  </si>
  <si>
    <t xml:space="preserve"> 24° 37' 47"RT</t>
  </si>
  <si>
    <t>84d53'46.659"E</t>
  </si>
  <si>
    <t>25d52'52.472"N</t>
  </si>
  <si>
    <t>2TDA+3</t>
  </si>
  <si>
    <t>84d53'37.581"E</t>
  </si>
  <si>
    <t>25d52'52.818"N</t>
  </si>
  <si>
    <t>Cart track, LT line, Dabra river</t>
  </si>
  <si>
    <t>2TDD+0</t>
  </si>
  <si>
    <t xml:space="preserve"> 32° 58' 11"RT</t>
  </si>
  <si>
    <t>84d53'25.71"E</t>
  </si>
  <si>
    <t>25d52'53.271"N</t>
  </si>
  <si>
    <t>MADARPUR</t>
  </si>
  <si>
    <t>2TDA+0</t>
  </si>
  <si>
    <t>84d53'19.327"E</t>
  </si>
  <si>
    <t>25d52'57.373"N</t>
  </si>
  <si>
    <t>GOSI CHHAPRA</t>
  </si>
  <si>
    <t xml:space="preserve"> 23° 15' 49"LT</t>
  </si>
  <si>
    <t>84d53'12.874"E</t>
  </si>
  <si>
    <t>25d53'1.518"N</t>
  </si>
  <si>
    <t>8/1</t>
  </si>
  <si>
    <t>84d53'6.202"E</t>
  </si>
  <si>
    <t>25d53'2.814"N</t>
  </si>
  <si>
    <t xml:space="preserve">(+3m Extension used to maintain minimum weight span of 200m limit as per Tower spotting Data) </t>
  </si>
  <si>
    <t>8/2</t>
  </si>
  <si>
    <t>2TDA+6</t>
  </si>
  <si>
    <t>84d52'57.072"E</t>
  </si>
  <si>
    <t>25d53'4.587"N</t>
  </si>
  <si>
    <t>Dabra river, Tar road, Bridge</t>
  </si>
  <si>
    <t>2TDC+6</t>
  </si>
  <si>
    <t xml:space="preserve"> 28° 36' 34"RT</t>
  </si>
  <si>
    <t>84d52'45.727"E</t>
  </si>
  <si>
    <t>25d53'6.79"N</t>
  </si>
  <si>
    <t xml:space="preserve"> 32° 7' 44"RT</t>
  </si>
  <si>
    <t>84d52'39.03"E</t>
  </si>
  <si>
    <t>25d53'12.006"N</t>
  </si>
  <si>
    <t>GAWANDRI</t>
  </si>
  <si>
    <t>Dabra river</t>
  </si>
  <si>
    <t>10/1</t>
  </si>
  <si>
    <t>84d52'36.33"E</t>
  </si>
  <si>
    <t>25d53'19.922"N</t>
  </si>
  <si>
    <t>MALAHI</t>
  </si>
  <si>
    <t>Cart track, 11kV line</t>
  </si>
  <si>
    <t>10/2</t>
  </si>
  <si>
    <t>84d52'34.72"E</t>
  </si>
  <si>
    <t>25d53'24.641"N</t>
  </si>
  <si>
    <t>11kV line, Dabra river</t>
  </si>
  <si>
    <t xml:space="preserve"> 22° 19' 24"RT</t>
  </si>
  <si>
    <t>84d52'31.602"E</t>
  </si>
  <si>
    <t>25d53'33.784"N</t>
  </si>
  <si>
    <t>HAKMA</t>
  </si>
  <si>
    <t>84d52'32.473"E</t>
  </si>
  <si>
    <t>25d53'42.488"N</t>
  </si>
  <si>
    <t>84d52'33.552"E</t>
  </si>
  <si>
    <t>25d53'53.263"N</t>
  </si>
  <si>
    <t>Trar road, LT line</t>
  </si>
  <si>
    <t>84d52'34.385"E</t>
  </si>
  <si>
    <t>25d54'1.579"N</t>
  </si>
  <si>
    <t>SHIKARPUR</t>
  </si>
  <si>
    <t>11/4</t>
  </si>
  <si>
    <t>84d52'35.348"E</t>
  </si>
  <si>
    <t>25d54'11.189"N</t>
  </si>
  <si>
    <t xml:space="preserve"> 31° 35' 34"LT</t>
  </si>
  <si>
    <t>84d52'36.291"E</t>
  </si>
  <si>
    <t>25d54'20.608"N</t>
  </si>
  <si>
    <t>TARWAR</t>
  </si>
  <si>
    <t>Cart track, 33kV line</t>
  </si>
  <si>
    <t>84d52'32.535"E</t>
  </si>
  <si>
    <t>25d54'27.446"N</t>
  </si>
  <si>
    <t>33kV line, Tar road, 11kV line, Nala</t>
  </si>
  <si>
    <t>2TDD+18</t>
  </si>
  <si>
    <t xml:space="preserve"> 1° 10' 58"RT</t>
  </si>
  <si>
    <t>84d52'26.805"E</t>
  </si>
  <si>
    <t>25d54'37.877"N</t>
  </si>
  <si>
    <t>220kV D/C OHTL BGCL HJP-CHP</t>
  </si>
  <si>
    <t>2TDD+25</t>
  </si>
  <si>
    <t xml:space="preserve"> 31° 48' 49"LT</t>
  </si>
  <si>
    <t>84d52'23.257"E</t>
  </si>
  <si>
    <t>25d54'44.686"N</t>
  </si>
  <si>
    <t>220kV D/C OHTL BSPTCL ANR-MZP</t>
  </si>
  <si>
    <t>2TDD+9</t>
  </si>
  <si>
    <r>
      <t xml:space="preserve"> 59° 5' 38"LT
</t>
    </r>
    <r>
      <rPr>
        <b/>
        <sz val="12"/>
        <color rgb="FFFF0000"/>
        <rFont val="Calibri"/>
        <family val="2"/>
      </rPr>
      <t>TENTATIVE</t>
    </r>
  </si>
  <si>
    <t>84d52'16.943"E</t>
  </si>
  <si>
    <t>25d54'48.387"N</t>
  </si>
  <si>
    <t>RC = 2m</t>
  </si>
  <si>
    <t>BIHAR STATE POWER TRANSMISSION COMPANY LIMITED, PATNA 
(WHOLLY OWNED SUBSIDIARY OF POWERGRID)</t>
  </si>
  <si>
    <t>2TDA+9</t>
  </si>
  <si>
    <t>2TDB+0</t>
  </si>
  <si>
    <t>2TDB+3</t>
  </si>
  <si>
    <t>2TDB+6</t>
  </si>
  <si>
    <t>2TDB+9</t>
  </si>
  <si>
    <t>2TDC+3</t>
  </si>
  <si>
    <t>2TDC+9</t>
  </si>
  <si>
    <t>2TDD+3</t>
  </si>
  <si>
    <t>2TDD+6</t>
  </si>
  <si>
    <t>TENTATIVE</t>
  </si>
  <si>
    <t>KOHRA</t>
  </si>
  <si>
    <t>25d55'51.212"N</t>
  </si>
  <si>
    <t>85d3'24.997"E</t>
  </si>
  <si>
    <t xml:space="preserve"> 56° 35' 11"LT</t>
  </si>
  <si>
    <t>AP 45</t>
  </si>
  <si>
    <t>Pond, Tar Road, Bore Pump</t>
  </si>
  <si>
    <t>25d55'57.22"N</t>
  </si>
  <si>
    <t>85d3'14.706"E</t>
  </si>
  <si>
    <t xml:space="preserve"> 35° 35' 57"LT</t>
  </si>
  <si>
    <t>AP 44</t>
  </si>
  <si>
    <t>Tar Road</t>
  </si>
  <si>
    <t>EKDERWA MASURIYA</t>
  </si>
  <si>
    <t>25d56'7.679"N</t>
  </si>
  <si>
    <t>85d3'10.136"E</t>
  </si>
  <si>
    <t xml:space="preserve"> 55° 59' 58"RT</t>
  </si>
  <si>
    <t>43/0</t>
  </si>
  <si>
    <t>AP 43</t>
  </si>
  <si>
    <t>LT Line, Pond, Cart Track</t>
  </si>
  <si>
    <t>BANAUTA</t>
  </si>
  <si>
    <t>25d56'10.319"N</t>
  </si>
  <si>
    <t>85d2'56.905"E</t>
  </si>
  <si>
    <t xml:space="preserve"> 53° 20' 50"RT</t>
  </si>
  <si>
    <t>AP 42</t>
  </si>
  <si>
    <t>25d56'3.582"N</t>
  </si>
  <si>
    <t>85d2'48.305"E</t>
  </si>
  <si>
    <t>41/1</t>
  </si>
  <si>
    <t>LT Line</t>
  </si>
  <si>
    <t>25d55'56.88"N</t>
  </si>
  <si>
    <t>85d2'39.75"E</t>
  </si>
  <si>
    <t xml:space="preserve"> 21° 51' 59"RT</t>
  </si>
  <si>
    <t>41/0</t>
  </si>
  <si>
    <t>AP 41</t>
  </si>
  <si>
    <t>11KV Line, 3No's Tar Road, Nala</t>
  </si>
  <si>
    <t>25d55'47.141"N</t>
  </si>
  <si>
    <t>85d2'34.208"E</t>
  </si>
  <si>
    <t xml:space="preserve"> 8° 19' 26"LT</t>
  </si>
  <si>
    <t>AP 40</t>
  </si>
  <si>
    <t>25d55'35.701"N</t>
  </si>
  <si>
    <t>85d2'25.167"E</t>
  </si>
  <si>
    <t>39/5</t>
  </si>
  <si>
    <t>LT Line, 11KV Line, Tar Road, Bore Pump</t>
  </si>
  <si>
    <t>ANJNI</t>
  </si>
  <si>
    <t>25d55'25.999"N</t>
  </si>
  <si>
    <t>85d2'17.5"E</t>
  </si>
  <si>
    <t>39/4</t>
  </si>
  <si>
    <t>Cart Track</t>
  </si>
  <si>
    <t>25d55'15.398"N</t>
  </si>
  <si>
    <t>85d2'9.123"E</t>
  </si>
  <si>
    <t>39/3</t>
  </si>
  <si>
    <t>11KV Line</t>
  </si>
  <si>
    <t>25d55'4.876"N</t>
  </si>
  <si>
    <t>85d2'0.809"E</t>
  </si>
  <si>
    <t>39/2</t>
  </si>
  <si>
    <t>25d54'54.671"N</t>
  </si>
  <si>
    <t>85d1'52.747"E</t>
  </si>
  <si>
    <t>39/1</t>
  </si>
  <si>
    <t>2No's LT Lines, 11KV Line, Cart Track</t>
  </si>
  <si>
    <t>25d54'43.752"N</t>
  </si>
  <si>
    <t>85d1'44.12"E</t>
  </si>
  <si>
    <t xml:space="preserve"> 11° 2' 36"LT</t>
  </si>
  <si>
    <t>AP 39</t>
  </si>
  <si>
    <t>3No's LT Lines, 11KV Line, Cart Track</t>
  </si>
  <si>
    <t>25d54'35.301"N</t>
  </si>
  <si>
    <t>85d1'34.243"E</t>
  </si>
  <si>
    <t xml:space="preserve"> 33° 13' 52"LT</t>
  </si>
  <si>
    <t>AP 38</t>
  </si>
  <si>
    <t>LT Line, 2No's 11KV Lines, Tar Road Pond, Cart Track</t>
  </si>
  <si>
    <t>25d54'33.088"N</t>
  </si>
  <si>
    <t>85d1'20.622"E</t>
  </si>
  <si>
    <t xml:space="preserve"> 56° 10' 21"LT</t>
  </si>
  <si>
    <t>SAGUNI</t>
  </si>
  <si>
    <t>25d54'28.526"N</t>
  </si>
  <si>
    <t>85d0'11.327"E</t>
  </si>
  <si>
    <t xml:space="preserve"> 45° 21' 58"RT</t>
  </si>
  <si>
    <t>11kV Line Available in 3.53 meter.</t>
  </si>
  <si>
    <t>11KV Lines, 33KV Line, Tar Road</t>
  </si>
  <si>
    <t>RC = 1M</t>
  </si>
  <si>
    <t>25d54'22.884"N</t>
  </si>
  <si>
    <t>85d0'5.183"E</t>
  </si>
  <si>
    <t xml:space="preserve"> 42° 22' 50"LT</t>
  </si>
  <si>
    <t>11kV Line Available in 7.96 meter.</t>
  </si>
  <si>
    <t>11KV Lines</t>
  </si>
  <si>
    <t>25d54'22.512"N</t>
  </si>
  <si>
    <t>84d59'57.508"E</t>
  </si>
  <si>
    <t xml:space="preserve"> 56° 43' 6"RT</t>
  </si>
  <si>
    <t>3No's 11KV Lines, Tar Road, Nala, House</t>
  </si>
  <si>
    <t>25d54'14.692"N</t>
  </si>
  <si>
    <t>84d59'52.471"E</t>
  </si>
  <si>
    <t xml:space="preserve"> 41° 49' 34"LT</t>
  </si>
  <si>
    <t>25d54'11.206"N</t>
  </si>
  <si>
    <t>84d59'40.577"E</t>
  </si>
  <si>
    <t xml:space="preserve"> 32° 6' 47"RT</t>
  </si>
  <si>
    <t>11KV Line, Tar Road</t>
  </si>
  <si>
    <t>25d54'1.681"N</t>
  </si>
  <si>
    <t>84d59'31.762"E</t>
  </si>
  <si>
    <t>Tar Road, Hand Pump</t>
  </si>
  <si>
    <t>25d53'54.231"N</t>
  </si>
  <si>
    <t>84d59'24.868"E</t>
  </si>
  <si>
    <t xml:space="preserve"> 57° 18' 15"LT</t>
  </si>
  <si>
    <t>HandPump Available in 19.73 meter.</t>
  </si>
  <si>
    <t>11KV Line,Hand Pump</t>
  </si>
  <si>
    <t>25d53'55.858"N</t>
  </si>
  <si>
    <t>84d59'10.691"E</t>
  </si>
  <si>
    <t xml:space="preserve"> 14° 17' 42"RT</t>
  </si>
  <si>
    <t>LT Line, Cart Track</t>
  </si>
  <si>
    <t>25d53'54.431"N</t>
  </si>
  <si>
    <t>84d58'57.963"E</t>
  </si>
  <si>
    <t>11kV Available in 15.42 meter.</t>
  </si>
  <si>
    <t>25d53'53.029"N</t>
  </si>
  <si>
    <t>84d58'45.45"E</t>
  </si>
  <si>
    <t xml:space="preserve"> 25° 56' 57"LT</t>
  </si>
  <si>
    <t>11kV Available in 1.22 meter.</t>
  </si>
  <si>
    <t>3No's LT Lines, Cart Track</t>
  </si>
  <si>
    <t>25d53'55.554"N</t>
  </si>
  <si>
    <t>84d58'37.288"E</t>
  </si>
  <si>
    <t>2No's LT Lines, 11KV Line, Hand Pump</t>
  </si>
  <si>
    <t>25d53'58.382"N</t>
  </si>
  <si>
    <t>84d58'28.145"E</t>
  </si>
  <si>
    <t xml:space="preserve"> 38° 17' 16"RT</t>
  </si>
  <si>
    <t>25d53'54.954"N</t>
  </si>
  <si>
    <t>84d58'17.387"E</t>
  </si>
  <si>
    <t>24/3</t>
  </si>
  <si>
    <t>LT Line, Pond, 2No's Tar Road</t>
  </si>
  <si>
    <t>25d53'51.088"N</t>
  </si>
  <si>
    <t>84d58'5.257"E</t>
  </si>
  <si>
    <t>24/2</t>
  </si>
  <si>
    <t>LT Line, 11KV Line</t>
  </si>
  <si>
    <t>25d53'47.244"N</t>
  </si>
  <si>
    <t>84d57'53.196"E</t>
  </si>
  <si>
    <t>24/1</t>
  </si>
  <si>
    <t>25d53'42.709"N</t>
  </si>
  <si>
    <t>84d57'38.966"E</t>
  </si>
  <si>
    <t xml:space="preserve"> 32° 37' 58"LT</t>
  </si>
  <si>
    <t>11kV Available in 19.27 meter.</t>
  </si>
  <si>
    <t>6No's 11KV Lines, 33KV Line</t>
  </si>
  <si>
    <t>25d53'44.922"N</t>
  </si>
  <si>
    <t>84d57'28.549"E</t>
  </si>
  <si>
    <t>23/1</t>
  </si>
  <si>
    <t>11kV Available in 11.82 meter.</t>
  </si>
  <si>
    <t>2No's 11KV Lines, Cart Track, Houses</t>
  </si>
  <si>
    <t>BHELDI G.P.</t>
  </si>
  <si>
    <t>25d53'47.262"N</t>
  </si>
  <si>
    <t>84d57'17.534"E</t>
  </si>
  <si>
    <t xml:space="preserve"> 10° 6' 21"RT</t>
  </si>
  <si>
    <t>25d53'47.709"N</t>
  </si>
  <si>
    <t>84d57'8.444"E</t>
  </si>
  <si>
    <t xml:space="preserve"> 4° 22' 25"RT</t>
  </si>
  <si>
    <t>BARIARPUR</t>
  </si>
  <si>
    <t>25d53'42.563"N</t>
  </si>
  <si>
    <t>84d56'18.494"E</t>
  </si>
  <si>
    <t xml:space="preserve"> 27° 22' 26"RT</t>
  </si>
  <si>
    <t>LT Line, Tar Road</t>
  </si>
  <si>
    <t>25d53'40.392"N</t>
  </si>
  <si>
    <t>84d56'14.215"E</t>
  </si>
  <si>
    <t xml:space="preserve"> 46° 36' 23"LT</t>
  </si>
  <si>
    <t>25d53'42.373"N</t>
  </si>
  <si>
    <t>84d56'7.184"E</t>
  </si>
  <si>
    <t xml:space="preserve"> 24° 18' 58"RT</t>
  </si>
  <si>
    <t>Poultry Farm Available in 21.74 meter.</t>
  </si>
  <si>
    <t>LT Line, Tar Road, Cart Track, Poultry Farm, Hand Pump</t>
  </si>
  <si>
    <t>HELA</t>
  </si>
  <si>
    <t>25d53'41.107"N</t>
  </si>
  <si>
    <t>84d55'55.817"E</t>
  </si>
  <si>
    <t xml:space="preserve"> 43° 40' 22"LT</t>
  </si>
  <si>
    <t>LT Line Available in 17.48 meter.</t>
  </si>
  <si>
    <t>LT Line, 33KV Line, Tar Road</t>
  </si>
  <si>
    <t>25d53'43.643"N</t>
  </si>
  <si>
    <t>84d55'52.051"E</t>
  </si>
  <si>
    <t xml:space="preserve"> 6° 16' 34"LT</t>
  </si>
  <si>
    <t>LT Line, Pond, Tar Road</t>
  </si>
  <si>
    <t>UMARPUR</t>
  </si>
  <si>
    <t>25d53'48.977"N</t>
  </si>
  <si>
    <t>84d55'45.712"E</t>
  </si>
  <si>
    <t xml:space="preserve"> 44° 45' 6"RT</t>
  </si>
  <si>
    <t>11kV Available in 11.07 meter.</t>
  </si>
  <si>
    <t>2No's 11KV Lines.</t>
  </si>
  <si>
    <t>25d53'48.655"N</t>
  </si>
  <si>
    <t>84d55'34.527"E</t>
  </si>
  <si>
    <t xml:space="preserve"> 53° 51' 6"RT</t>
  </si>
  <si>
    <t>11KV Line, 33KV Line, Pond, 2No's Cart Track, Nala</t>
  </si>
  <si>
    <t>BASAUTA</t>
  </si>
  <si>
    <t>25d53'43.129"N</t>
  </si>
  <si>
    <t>84d55'30.355"E</t>
  </si>
  <si>
    <t xml:space="preserve"> 7° 53' 54"LT</t>
  </si>
  <si>
    <t>House Available in 21.64 meter and 17.60 meter.</t>
  </si>
  <si>
    <t>LT Line, 11KV Line, Tar Road, Houses</t>
  </si>
  <si>
    <t>25d53'38.769"N</t>
  </si>
  <si>
    <t>84d55'25.98"E</t>
  </si>
  <si>
    <t xml:space="preserve"> 48° 49' 53"LT</t>
  </si>
  <si>
    <t>Details Survey Report (AP 8 to AP 16) 1.731KM &amp; (AP 22 to AP 33) 5.698KM  &amp; (AP 37 to AP 45) 5.194KM</t>
  </si>
  <si>
    <t>DATE :01.10.2025</t>
  </si>
  <si>
    <t>NAME OF LINE : LILO of 400 KV Barh (NTPC) Motihari (DMTCL) D/C (Quad Moose) Transmission Line at Chhapra (New) (Loop OUT)</t>
  </si>
  <si>
    <t>TB412 BSPTCL - Survey Status</t>
  </si>
  <si>
    <t>Sl</t>
  </si>
  <si>
    <t>Line Name</t>
  </si>
  <si>
    <t>Length</t>
  </si>
  <si>
    <t>Location</t>
  </si>
  <si>
    <t>Remarks / Plan for completion</t>
  </si>
  <si>
    <t>km</t>
  </si>
  <si>
    <t>Nos.</t>
  </si>
  <si>
    <t>LILO of 400 kv Barh (NTPC)- Motihari (DMTCL) D/C ( QUAD) Transmission line at Chhapra (New)</t>
  </si>
  <si>
    <t>NOA</t>
  </si>
  <si>
    <t>-</t>
  </si>
  <si>
    <t>Route Alignment</t>
  </si>
  <si>
    <t>Submitted</t>
  </si>
  <si>
    <t>Approved</t>
  </si>
  <si>
    <t>Detailed Survey</t>
  </si>
  <si>
    <t>Loop Out Detail survey 7.869 km PLS data Sended to KEC H.O For Profiling and Tower Shedule.</t>
  </si>
  <si>
    <t>Check Survey</t>
  </si>
  <si>
    <t>Check Survey Under progress.</t>
  </si>
  <si>
    <t>220 KV D/C Chapra - Gopalganj Transmission Line with ACSR Zebra Conductor</t>
  </si>
  <si>
    <t>NoA</t>
  </si>
  <si>
    <t>Balance Detail survey PLS data Sended to KEC H.O For Profiling and Tower Shedule.</t>
  </si>
  <si>
    <t>Construction of 220 KV D/C Twin Moose Chhapra- Amnaur Transmission line-</t>
  </si>
  <si>
    <t>6.475 km Approved by Client, balance 0.200 km is hold due to both side gantry co-ordinate fixing.</t>
  </si>
  <si>
    <t>DATE :21.08.2025</t>
  </si>
  <si>
    <t>Details Survey Report (AP 1 to AP 18) 6.475KM</t>
  </si>
  <si>
    <t xml:space="preserve"> 4° 59' 40"RT</t>
  </si>
  <si>
    <t>84d54'15.934"E</t>
  </si>
  <si>
    <t>25d53'5.602"N</t>
  </si>
  <si>
    <t>Substation boundary, Nala</t>
  </si>
  <si>
    <t xml:space="preserve"> 29° 43' 51"RT</t>
  </si>
  <si>
    <t>84d54'15.225"E</t>
  </si>
  <si>
    <t>25d53'1.994"N</t>
  </si>
  <si>
    <t xml:space="preserve"> 29° 2' 31"RT</t>
  </si>
  <si>
    <t>84d54'12.623"E</t>
  </si>
  <si>
    <t>25d52'59.17"N</t>
  </si>
  <si>
    <t>Tar road, Nala, 11kV line</t>
  </si>
  <si>
    <t xml:space="preserve"> 15° 32' 23"RT</t>
  </si>
  <si>
    <t>84d54'7.047"E</t>
  </si>
  <si>
    <t>25d52'57.219"N</t>
  </si>
  <si>
    <t xml:space="preserve"> 16° 36' 15"LT</t>
  </si>
  <si>
    <t xml:space="preserve"> 59° 5' 38"LT</t>
  </si>
  <si>
    <t xml:space="preserve"> 59° 0' 51"LT</t>
  </si>
  <si>
    <t>84d52'13.571"E</t>
  </si>
  <si>
    <t>25d54'46.89"N</t>
  </si>
  <si>
    <t xml:space="preserve"> 39° 49' 50"RT</t>
  </si>
  <si>
    <t>84d52'13.304"E</t>
  </si>
  <si>
    <t>25d54'44.039"N</t>
  </si>
  <si>
    <t xml:space="preserve"> 54° 21' 38"RT</t>
  </si>
  <si>
    <t>84d52'11.463"E</t>
  </si>
  <si>
    <t>25d54'42.355"N</t>
  </si>
  <si>
    <t>Progress Visual Chart</t>
  </si>
  <si>
    <t>LEGENDS</t>
  </si>
  <si>
    <t>TE Dt</t>
  </si>
  <si>
    <t>STG</t>
  </si>
  <si>
    <t>Major Power Line Crossing</t>
  </si>
  <si>
    <t>Railway Crossing</t>
  </si>
  <si>
    <t>River Crossing</t>
  </si>
  <si>
    <t>Highway Crossing (EH &amp; NH)</t>
  </si>
  <si>
    <t xml:space="preserve">Foundation Cumulative </t>
  </si>
  <si>
    <t>Dt</t>
  </si>
  <si>
    <t>STG UP</t>
  </si>
  <si>
    <t xml:space="preserve">Earthing Cumulative </t>
  </si>
  <si>
    <t>ERECTION</t>
  </si>
  <si>
    <t xml:space="preserve">Erection Cumulative </t>
  </si>
  <si>
    <t>Date</t>
  </si>
  <si>
    <t>SPAN</t>
  </si>
  <si>
    <t>Stringing Payingout (RS)</t>
  </si>
  <si>
    <t>Km.</t>
  </si>
  <si>
    <t>FOUNDATION</t>
  </si>
  <si>
    <t>Type</t>
  </si>
  <si>
    <t xml:space="preserve">Stringing Final sag Cumulative </t>
  </si>
  <si>
    <t>`</t>
  </si>
  <si>
    <t>Tower+Extn</t>
  </si>
  <si>
    <t>X+Y</t>
  </si>
  <si>
    <t>Earthing</t>
  </si>
  <si>
    <t>U/P</t>
  </si>
  <si>
    <t>Suspn Tower</t>
  </si>
  <si>
    <t>Angle Tower</t>
  </si>
  <si>
    <t>TOWER NO</t>
  </si>
  <si>
    <t>YY</t>
  </si>
  <si>
    <t>Cum Length</t>
  </si>
  <si>
    <t>Fdn Comp</t>
  </si>
  <si>
    <t>Ear Comp</t>
  </si>
  <si>
    <t>TE Comp</t>
  </si>
  <si>
    <t>STG Comp</t>
  </si>
  <si>
    <t>HOLD</t>
  </si>
  <si>
    <t>2 MRC</t>
  </si>
  <si>
    <t>Gantry</t>
  </si>
  <si>
    <t>TOTAL</t>
  </si>
  <si>
    <t>220kV Chhapra(New) Amnour DCDS with Twin Moose Conductor</t>
  </si>
  <si>
    <t>M/S KEC INTERNATIONAL LIMITED</t>
  </si>
  <si>
    <t>23.09.25</t>
  </si>
  <si>
    <t>18.09.25</t>
  </si>
  <si>
    <t>Approved detail survey (Km)</t>
  </si>
  <si>
    <t>Approved check survey ( Km)</t>
  </si>
  <si>
    <t xml:space="preserve"> LILO of 400 KV Barh (NTPC) Motihari (DMTCL) D/C (Quad Moose) Transmission Line at Chhapra (New) LOOP IN</t>
  </si>
  <si>
    <t>Ext.TWR</t>
  </si>
  <si>
    <t>Client:-</t>
  </si>
  <si>
    <t>S.NO.</t>
  </si>
  <si>
    <t>LOC. NO.</t>
  </si>
  <si>
    <t xml:space="preserve"> TYPE OF TOWER</t>
  </si>
  <si>
    <t>ANGLE OF DEVATION</t>
  </si>
  <si>
    <t>Crossing Detail/Statutary</t>
  </si>
  <si>
    <t>ROW Status</t>
  </si>
  <si>
    <t>Foundation Status</t>
  </si>
  <si>
    <t>Contractor Name</t>
  </si>
  <si>
    <t>Earthing Status</t>
  </si>
  <si>
    <t>Erection Status</t>
  </si>
  <si>
    <t>Tack Welding Status</t>
  </si>
  <si>
    <t>VILLAGES</t>
  </si>
  <si>
    <t>D</t>
  </si>
  <si>
    <t>ROW</t>
  </si>
  <si>
    <t>WIP</t>
  </si>
  <si>
    <t>FOUNDATION SUMMARY</t>
  </si>
  <si>
    <t>ERECTION SUMMARY</t>
  </si>
  <si>
    <t>Balance</t>
  </si>
  <si>
    <t>Hold</t>
  </si>
  <si>
    <t>Earthing Completed</t>
  </si>
  <si>
    <t>Tack Welding Completed</t>
  </si>
  <si>
    <t>BIHAR STATE POWER TRANSMISSION COMPANY LIMITED (BSPTCL)</t>
  </si>
  <si>
    <t>Line Name:-</t>
  </si>
  <si>
    <t>KEC International Limited</t>
  </si>
  <si>
    <t>EPC:-</t>
  </si>
  <si>
    <t>TOT</t>
  </si>
  <si>
    <t xml:space="preserve">Dabra </t>
  </si>
  <si>
    <t>River</t>
  </si>
  <si>
    <t>33kV line</t>
  </si>
  <si>
    <t>ok</t>
  </si>
  <si>
    <t>Survey Clearance for FDN</t>
  </si>
  <si>
    <t>OK</t>
  </si>
  <si>
    <t>Ext TWR</t>
  </si>
  <si>
    <t>4DD+`8</t>
  </si>
  <si>
    <t>3 MRC</t>
  </si>
  <si>
    <t>NH - 722</t>
  </si>
  <si>
    <t>220kV D/C OHTL BGCL (HJP- CHP)</t>
  </si>
  <si>
    <t xml:space="preserve"> LILO of 400 KV Barh (NTPC) Motihari (DMTCL) D/C (Quad Moose) Transmission Line at Chhapra (New) LOOP OUT</t>
  </si>
  <si>
    <t>1 MRC</t>
  </si>
  <si>
    <t xml:space="preserve"> LILO of 400 KV Barh (NTPC) Motihari (DMTCL) D/C (Quad Moose) Transmission Line at Chhapra (New) LOOP IN &amp; LOOP OUT</t>
  </si>
  <si>
    <t>Highway Crossing (SH &amp; NH)</t>
  </si>
  <si>
    <t>X/Y</t>
  </si>
  <si>
    <t>Scope</t>
  </si>
  <si>
    <t>COMPLETED</t>
  </si>
  <si>
    <t xml:space="preserve"> 220kV Chhapra(New) Amnour DCDS with Twin Moose Conductor</t>
  </si>
  <si>
    <t>Dabra River</t>
  </si>
  <si>
    <t>SL NO</t>
  </si>
  <si>
    <t>NORMAL TOWER WITH EXTENSION</t>
  </si>
  <si>
    <t>TOTAL TOWER</t>
  </si>
  <si>
    <t xml:space="preserve"> +3M</t>
  </si>
  <si>
    <t xml:space="preserve"> +6M</t>
  </si>
  <si>
    <t xml:space="preserve"> +9M</t>
  </si>
  <si>
    <t xml:space="preserve"> +18M</t>
  </si>
  <si>
    <t xml:space="preserve"> +25M</t>
  </si>
  <si>
    <t>Total Tower</t>
  </si>
  <si>
    <t xml:space="preserve"> 0M</t>
  </si>
  <si>
    <t>2TDA</t>
  </si>
  <si>
    <t>2TDB</t>
  </si>
  <si>
    <t>2TDC</t>
  </si>
  <si>
    <t>2TDD</t>
  </si>
  <si>
    <t>TOWER ABSTRACT 220kV D/C TM CHAP-AMNR</t>
  </si>
  <si>
    <t>NH-722</t>
  </si>
  <si>
    <t xml:space="preserve">  LILO of 400 KV Barh (NTPC) Motihari (DMTCL) D/C (Quad Moose) Transmission Line at Chhapra (New) LOOP IN &amp; LOOP OUT</t>
  </si>
  <si>
    <t>LOOP IN (21.266RKM)</t>
  </si>
  <si>
    <t>LOOP OUT (20.007RKM)</t>
  </si>
  <si>
    <t>Total Quantity</t>
  </si>
  <si>
    <t>Cumulative Progress</t>
  </si>
  <si>
    <t>No of Gangs</t>
  </si>
  <si>
    <t>Remark</t>
  </si>
  <si>
    <t>TOE</t>
  </si>
  <si>
    <t xml:space="preserve">DAILY PROGRESS REPORT : STATUS AS ON 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</si>
  <si>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</si>
  <si>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</si>
  <si>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</si>
  <si>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</si>
  <si>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</si>
  <si>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</si>
  <si>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</si>
  <si>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</si>
  <si>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</si>
  <si>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</si>
  <si>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</si>
  <si>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</si>
  <si>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TOWER ERECTION PROGRESS SUMMARY</t>
  </si>
  <si>
    <t>STRINGING PROGRESS SUMMARY</t>
  </si>
  <si>
    <t>OPGW STRINGING PROGRESS SUMMARY</t>
  </si>
  <si>
    <t>TACK WELDING PROGRESS SUMMARY</t>
  </si>
  <si>
    <t>KEC INTERNATIONAL LIMITED</t>
  </si>
  <si>
    <t>TB-412 T/L</t>
  </si>
  <si>
    <t>NOA Supply/Service-18,19, Dated 27.12.2023</t>
  </si>
  <si>
    <t>T/L Name</t>
  </si>
  <si>
    <t>400kV D/C QM LILO</t>
  </si>
  <si>
    <t>220 D/C SZ Chapra-Gopalganj</t>
  </si>
  <si>
    <t>220 D/C TM Chapra-Amnour</t>
  </si>
  <si>
    <t>OPGW Stringing (Km)</t>
  </si>
  <si>
    <t xml:space="preserve">TOTAL </t>
  </si>
  <si>
    <t>Contract No. &amp; Date :</t>
  </si>
  <si>
    <t xml:space="preserve">FOUNDATION </t>
  </si>
  <si>
    <t>SR.NO.</t>
  </si>
  <si>
    <t>GANG NAME</t>
  </si>
  <si>
    <t>T.O.T</t>
  </si>
  <si>
    <t>T.O.CL</t>
  </si>
  <si>
    <t>D.O.S</t>
  </si>
  <si>
    <t>D.O.C</t>
  </si>
  <si>
    <t xml:space="preserve">ERECTION </t>
  </si>
  <si>
    <t>GANG</t>
  </si>
  <si>
    <t>Navdurga Traders-1</t>
  </si>
  <si>
    <t>220 TM Chapra-Amnour</t>
  </si>
  <si>
    <t>220 SZ Chapra-Gopalganj</t>
  </si>
  <si>
    <t>Navdurga Traders-2</t>
  </si>
  <si>
    <t>Under Progress</t>
  </si>
  <si>
    <t>11.11.25</t>
  </si>
  <si>
    <t>Nav Durga Traders-1</t>
  </si>
  <si>
    <t>Frount Available</t>
  </si>
  <si>
    <t xml:space="preserve">  WET  16.11.25</t>
  </si>
  <si>
    <t>Balanced Detail Survey Under progress</t>
  </si>
  <si>
    <t>Check Survey Under progress</t>
  </si>
  <si>
    <t>72.752 km to be submitted to BSPTCL HO for approval  from 17.11.2025</t>
  </si>
  <si>
    <t>12.623 km submitted to BSPSTL H.O. for approval from 04.11.2025</t>
  </si>
  <si>
    <t> Submitted to KEC HO for Profiling</t>
  </si>
  <si>
    <t>1.575KM Pendig at KEC HO Engineering</t>
  </si>
  <si>
    <t>20.11.25</t>
  </si>
  <si>
    <t>Type of Soil</t>
  </si>
  <si>
    <t>GPS Co-ordinates (in degree)</t>
  </si>
  <si>
    <t xml:space="preserve">Latitude </t>
  </si>
  <si>
    <t xml:space="preserve">Longitude </t>
  </si>
  <si>
    <t>26°14'50.9"</t>
  </si>
  <si>
    <t>84°33'51.9"</t>
  </si>
  <si>
    <t>26°14'17.5"</t>
  </si>
  <si>
    <t>84°34'9.6"</t>
  </si>
  <si>
    <t>26°13'56.9"</t>
  </si>
  <si>
    <t>84°34'40.8"</t>
  </si>
  <si>
    <t>26°13'32"</t>
  </si>
  <si>
    <t>84°35'20.1"</t>
  </si>
  <si>
    <t>26°12'9.6"</t>
  </si>
  <si>
    <t>84°35'24.2"</t>
  </si>
  <si>
    <t>26°12'2.6"</t>
  </si>
  <si>
    <t>84°35'24.5"</t>
  </si>
  <si>
    <t>26°11'7"</t>
  </si>
  <si>
    <t>84°35'19"</t>
  </si>
  <si>
    <t>26°10'37.2"</t>
  </si>
  <si>
    <t>84°35'35.6"</t>
  </si>
  <si>
    <t>26°10'21.2"</t>
  </si>
  <si>
    <t>84°36'6.6"</t>
  </si>
  <si>
    <t>26°10'24.8"</t>
  </si>
  <si>
    <t>84°36'44.8"</t>
  </si>
  <si>
    <t>26°9'58.2"</t>
  </si>
  <si>
    <t>84°36'53.3"</t>
  </si>
  <si>
    <t>26°9'25.1"</t>
  </si>
  <si>
    <t>84°36'43.7"</t>
  </si>
  <si>
    <t>26°9'19.3"</t>
  </si>
  <si>
    <t>84°36'41.9"</t>
  </si>
  <si>
    <t>26°8'26.3"</t>
  </si>
  <si>
    <t>84°36'37.2"</t>
  </si>
  <si>
    <t>26°8'17"</t>
  </si>
  <si>
    <t>84°36'33.2"</t>
  </si>
  <si>
    <t>26°8'10.9"</t>
  </si>
  <si>
    <t>84°36'36.4"</t>
  </si>
  <si>
    <t>26°7'28"</t>
  </si>
  <si>
    <t>84°36'34.1"</t>
  </si>
  <si>
    <t>26°6'58.1"</t>
  </si>
  <si>
    <t>84°36'18.9"</t>
  </si>
  <si>
    <t>26°6'32.1"</t>
  </si>
  <si>
    <t>84°36'38.3"</t>
  </si>
  <si>
    <t>26°6'21.7"</t>
  </si>
  <si>
    <t>84°36'54.9"</t>
  </si>
  <si>
    <t>26°5'42.3"</t>
  </si>
  <si>
    <t>84°36'47"</t>
  </si>
  <si>
    <t>26°5'11.7"</t>
  </si>
  <si>
    <t>84°36'58.6"</t>
  </si>
  <si>
    <t>26°4'43"</t>
  </si>
  <si>
    <t>84°37'8.9"</t>
  </si>
  <si>
    <t>26°4'43.5"</t>
  </si>
  <si>
    <t>84°37'44.3"</t>
  </si>
  <si>
    <t>26°4'1.7"</t>
  </si>
  <si>
    <t>84°38'18.1"</t>
  </si>
  <si>
    <t>26°3'5.9"</t>
  </si>
  <si>
    <t>84°39'0.9"</t>
  </si>
  <si>
    <t>26°2'57.1"</t>
  </si>
  <si>
    <t>84°38'55.3"</t>
  </si>
  <si>
    <t>800kV HVDC (GPJ_GKP)</t>
  </si>
  <si>
    <t>400kV D/C (BAR_GKP)</t>
  </si>
  <si>
    <t xml:space="preserve">132kV D/C (CHO_SWN) </t>
  </si>
  <si>
    <t>Remarks/Crossings</t>
  </si>
  <si>
    <t>AP 22 (NEW)</t>
  </si>
  <si>
    <t>AP 34 (NEW)</t>
  </si>
  <si>
    <t>24.11.25</t>
  </si>
  <si>
    <t xml:space="preserve">  PS  30.11.25</t>
  </si>
  <si>
    <t>220 KV D/C Chhapra - Gopalganj T L with ACSR Zebra Conductor</t>
  </si>
  <si>
    <t xml:space="preserve">  LILO of 400 KV Barh (NTPC) Motihari (DMTCL) D/C (Quad Moose) TL at Chhapra (New) </t>
  </si>
  <si>
    <t>LINE NAME</t>
  </si>
  <si>
    <t xml:space="preserve">SCOPE </t>
  </si>
  <si>
    <t>Report Submiteed</t>
  </si>
  <si>
    <t>Balanced</t>
  </si>
  <si>
    <t>Report Approved</t>
  </si>
  <si>
    <t>Discription</t>
  </si>
  <si>
    <t xml:space="preserve"> LILO of 400 KV Barh (NTPC) Motihari (DMTCL) D/C (Quad Moose) TL at Chhapra (New) </t>
  </si>
  <si>
    <t>Qty</t>
  </si>
  <si>
    <t xml:space="preserve"> 220 KV D/C Chhapra - Gopalganj Transmission Line with ACSR Zebra Conductor</t>
  </si>
  <si>
    <t>Report Awaited</t>
  </si>
  <si>
    <t>SOIL INVESTIGATION PROGRESS SUMMARY</t>
  </si>
  <si>
    <t>Amit Srivastava</t>
  </si>
  <si>
    <t>97/2</t>
  </si>
  <si>
    <t>2SDA+3</t>
  </si>
  <si>
    <t>35/0</t>
  </si>
  <si>
    <t>98/0</t>
  </si>
  <si>
    <t>2SDC+3</t>
  </si>
  <si>
    <t>2SDD+0</t>
  </si>
  <si>
    <t>96/1</t>
  </si>
  <si>
    <t>96/2</t>
  </si>
  <si>
    <t>97/0</t>
  </si>
  <si>
    <t>DB+3</t>
  </si>
  <si>
    <t>97/1</t>
  </si>
  <si>
    <t>End</t>
  </si>
  <si>
    <t>99/1</t>
  </si>
  <si>
    <t>99/2</t>
  </si>
  <si>
    <t>100/0</t>
  </si>
  <si>
    <t>DD+0</t>
  </si>
  <si>
    <t>38/1</t>
  </si>
  <si>
    <t>90/1</t>
  </si>
  <si>
    <t>91/0</t>
  </si>
  <si>
    <t>91/1</t>
  </si>
  <si>
    <t>Rajeshwar Singh</t>
  </si>
  <si>
    <t>Total Man Power (Nos)</t>
  </si>
  <si>
    <t>Report Submited</t>
  </si>
  <si>
    <t>Total Gang Deployed (Nos)</t>
  </si>
  <si>
    <t>100/1</t>
  </si>
  <si>
    <t>100/2</t>
  </si>
  <si>
    <t>89/1</t>
  </si>
  <si>
    <t>87/0</t>
  </si>
  <si>
    <t>86/0</t>
  </si>
  <si>
    <t>85/1</t>
  </si>
  <si>
    <t>100/3</t>
  </si>
  <si>
    <t>100/4</t>
  </si>
  <si>
    <t>101/0</t>
  </si>
  <si>
    <t>101/1</t>
  </si>
  <si>
    <t>101/2</t>
  </si>
  <si>
    <t>Status as on</t>
  </si>
  <si>
    <t>102/1</t>
  </si>
  <si>
    <t>102/2</t>
  </si>
  <si>
    <t>PS 03.12.25</t>
  </si>
  <si>
    <t>2SDA+0</t>
  </si>
  <si>
    <t>36/0</t>
  </si>
  <si>
    <t>07.12.25</t>
  </si>
  <si>
    <t>220 KV DC Twin Moose Chhapra - Amnour TL</t>
  </si>
  <si>
    <t xml:space="preserve">LILO 400 KV DC  QUAD ACSR </t>
  </si>
  <si>
    <t>99/0</t>
  </si>
  <si>
    <t>9/1</t>
  </si>
  <si>
    <t>9A/0</t>
  </si>
  <si>
    <t>Gan-1</t>
  </si>
  <si>
    <t>GANTRY</t>
  </si>
  <si>
    <t>Gan-2</t>
  </si>
  <si>
    <t>Gan-3</t>
  </si>
  <si>
    <t>Gan-4</t>
  </si>
  <si>
    <t>31/1</t>
  </si>
  <si>
    <t>31/2</t>
  </si>
  <si>
    <t>38/2</t>
  </si>
  <si>
    <t>38/3</t>
  </si>
  <si>
    <t>38/4</t>
  </si>
  <si>
    <t>38/5</t>
  </si>
  <si>
    <t>44/1</t>
  </si>
  <si>
    <t>44/2</t>
  </si>
  <si>
    <t>45/1</t>
  </si>
  <si>
    <t>45/2</t>
  </si>
  <si>
    <t>45/3</t>
  </si>
  <si>
    <t>45/4</t>
  </si>
  <si>
    <t>46/1</t>
  </si>
  <si>
    <t>46/2</t>
  </si>
  <si>
    <t>63/0</t>
  </si>
  <si>
    <t>63/1</t>
  </si>
  <si>
    <t>63/2</t>
  </si>
  <si>
    <t>64/0</t>
  </si>
  <si>
    <t>64/1</t>
  </si>
  <si>
    <t>64/2</t>
  </si>
  <si>
    <t>65/0</t>
  </si>
  <si>
    <t>66/0</t>
  </si>
  <si>
    <t>66/1</t>
  </si>
  <si>
    <t>66/2</t>
  </si>
  <si>
    <t>67/0</t>
  </si>
  <si>
    <t>67/1</t>
  </si>
  <si>
    <t>67/2</t>
  </si>
  <si>
    <t>68/0</t>
  </si>
  <si>
    <t>68/1</t>
  </si>
  <si>
    <t>68/2</t>
  </si>
  <si>
    <t>69/0</t>
  </si>
  <si>
    <t>70/0</t>
  </si>
  <si>
    <t>70/1</t>
  </si>
  <si>
    <t>70/2</t>
  </si>
  <si>
    <t>70/3</t>
  </si>
  <si>
    <t>71/0</t>
  </si>
  <si>
    <t>71A/0</t>
  </si>
  <si>
    <t>71B/0</t>
  </si>
  <si>
    <t>71C/0</t>
  </si>
  <si>
    <t>72/0</t>
  </si>
  <si>
    <t>GANTRY 220KV</t>
  </si>
  <si>
    <t>73/0</t>
  </si>
  <si>
    <t>73/1</t>
  </si>
  <si>
    <t>73/2</t>
  </si>
  <si>
    <t>73/3</t>
  </si>
  <si>
    <t>74/0</t>
  </si>
  <si>
    <t>74/1</t>
  </si>
  <si>
    <t>75/0</t>
  </si>
  <si>
    <t>75/1</t>
  </si>
  <si>
    <t>76/0</t>
  </si>
  <si>
    <t>76/1</t>
  </si>
  <si>
    <t>77/0</t>
  </si>
  <si>
    <t>78/0</t>
  </si>
  <si>
    <t>79/0</t>
  </si>
  <si>
    <t>80/0</t>
  </si>
  <si>
    <t>80/1</t>
  </si>
  <si>
    <t>80/2</t>
  </si>
  <si>
    <t>80/3</t>
  </si>
  <si>
    <t>81/0</t>
  </si>
  <si>
    <t>81/1</t>
  </si>
  <si>
    <t>82/0</t>
  </si>
  <si>
    <t>83/0</t>
  </si>
  <si>
    <t>83/1</t>
  </si>
  <si>
    <t>84/0</t>
  </si>
  <si>
    <t>85/0</t>
  </si>
  <si>
    <t>86/1</t>
  </si>
  <si>
    <t>87/1</t>
  </si>
  <si>
    <t>87/2</t>
  </si>
  <si>
    <t>88/0</t>
  </si>
  <si>
    <t>88/1</t>
  </si>
  <si>
    <t>89/0</t>
  </si>
  <si>
    <t>90/0</t>
  </si>
  <si>
    <t>90/2</t>
  </si>
  <si>
    <t>92/0</t>
  </si>
  <si>
    <t>93/0</t>
  </si>
  <si>
    <t>93/1</t>
  </si>
  <si>
    <t>94/0</t>
  </si>
  <si>
    <t>95/0</t>
  </si>
  <si>
    <t>95/1</t>
  </si>
  <si>
    <t>95/2</t>
  </si>
  <si>
    <t>95/3</t>
  </si>
  <si>
    <t>95/4</t>
  </si>
  <si>
    <t>96/0</t>
  </si>
  <si>
    <t>99/3</t>
  </si>
  <si>
    <t>101/3</t>
  </si>
  <si>
    <t>101/4</t>
  </si>
  <si>
    <t>102/0</t>
  </si>
  <si>
    <t>102/3</t>
  </si>
  <si>
    <t>102/4</t>
  </si>
  <si>
    <t>103/0</t>
  </si>
  <si>
    <t>104/0</t>
  </si>
  <si>
    <t>104/1</t>
  </si>
  <si>
    <t>104/2</t>
  </si>
  <si>
    <t>104/3</t>
  </si>
  <si>
    <t>104/4</t>
  </si>
  <si>
    <t>104/5</t>
  </si>
  <si>
    <t>105/0</t>
  </si>
  <si>
    <t>105/1</t>
  </si>
  <si>
    <t>105/2</t>
  </si>
  <si>
    <t>106/0</t>
  </si>
  <si>
    <t>106/1</t>
  </si>
  <si>
    <t>106/2</t>
  </si>
  <si>
    <t>106/3</t>
  </si>
  <si>
    <t>107/0</t>
  </si>
  <si>
    <t>107/1</t>
  </si>
  <si>
    <t>108/0</t>
  </si>
  <si>
    <t>108/1</t>
  </si>
  <si>
    <t>109/0</t>
  </si>
  <si>
    <t>110/0</t>
  </si>
  <si>
    <t>110/1</t>
  </si>
  <si>
    <t>110/2</t>
  </si>
  <si>
    <t>111/0</t>
  </si>
  <si>
    <t>111A/0</t>
  </si>
  <si>
    <t>112/0</t>
  </si>
  <si>
    <t>113/0</t>
  </si>
  <si>
    <t>113/1</t>
  </si>
  <si>
    <t>113/2</t>
  </si>
  <si>
    <t>113/3</t>
  </si>
  <si>
    <t>114/0</t>
  </si>
  <si>
    <t>114/1</t>
  </si>
  <si>
    <t>115/0</t>
  </si>
  <si>
    <t>115/1</t>
  </si>
  <si>
    <t>116/0</t>
  </si>
  <si>
    <t>116/1</t>
  </si>
  <si>
    <t>116/2</t>
  </si>
  <si>
    <t>116/3</t>
  </si>
  <si>
    <t>116/4</t>
  </si>
  <si>
    <t>117/0</t>
  </si>
  <si>
    <t>117/1</t>
  </si>
  <si>
    <t>118/0</t>
  </si>
  <si>
    <t>118/1</t>
  </si>
  <si>
    <t>118/2</t>
  </si>
  <si>
    <t>118/3</t>
  </si>
  <si>
    <t>119/0</t>
  </si>
  <si>
    <t>120/0</t>
  </si>
  <si>
    <t>120/1</t>
  </si>
  <si>
    <t>121/0</t>
  </si>
  <si>
    <t>122/0</t>
  </si>
  <si>
    <t>123/0</t>
  </si>
  <si>
    <t>123/1</t>
  </si>
  <si>
    <t>124/0</t>
  </si>
  <si>
    <t>124/1</t>
  </si>
  <si>
    <t>125/0</t>
  </si>
  <si>
    <t>126/0</t>
  </si>
  <si>
    <t>127/0</t>
  </si>
  <si>
    <t>127/1</t>
  </si>
  <si>
    <t>128/0</t>
  </si>
  <si>
    <t>129/0</t>
  </si>
  <si>
    <t>130/0</t>
  </si>
  <si>
    <t>130/1</t>
  </si>
  <si>
    <t>130/2</t>
  </si>
  <si>
    <t>131/0</t>
  </si>
  <si>
    <t>131/1</t>
  </si>
  <si>
    <t>131/2</t>
  </si>
  <si>
    <t>132/0</t>
  </si>
  <si>
    <t>132/1</t>
  </si>
  <si>
    <t>132/2</t>
  </si>
  <si>
    <t>132/3</t>
  </si>
  <si>
    <t>132/4</t>
  </si>
  <si>
    <t>132/5</t>
  </si>
  <si>
    <t>132/6</t>
  </si>
  <si>
    <t>133/0</t>
  </si>
  <si>
    <t>133/1</t>
  </si>
  <si>
    <t>133/2</t>
  </si>
  <si>
    <t>134/0</t>
  </si>
  <si>
    <t>135/0</t>
  </si>
  <si>
    <t>136/0</t>
  </si>
  <si>
    <t>136/1</t>
  </si>
  <si>
    <t>136/2</t>
  </si>
  <si>
    <t>137/0</t>
  </si>
  <si>
    <t>137/1</t>
  </si>
  <si>
    <t>139/0</t>
  </si>
  <si>
    <t>140/0</t>
  </si>
  <si>
    <t>141/0</t>
  </si>
  <si>
    <t>142/1</t>
  </si>
  <si>
    <t>143/0</t>
  </si>
  <si>
    <t>144/0</t>
  </si>
  <si>
    <t>145/0</t>
  </si>
  <si>
    <t>145/1</t>
  </si>
  <si>
    <t>145/2</t>
  </si>
  <si>
    <t>146/0</t>
  </si>
  <si>
    <t>147/0</t>
  </si>
  <si>
    <t>AP147A/0</t>
  </si>
  <si>
    <t>148/0</t>
  </si>
  <si>
    <t>148/1</t>
  </si>
  <si>
    <t>148/2</t>
  </si>
  <si>
    <t>148/3</t>
  </si>
  <si>
    <t>149/0</t>
  </si>
  <si>
    <t>149/1</t>
  </si>
  <si>
    <t>150/0</t>
  </si>
  <si>
    <t>150/1</t>
  </si>
  <si>
    <t>151/0</t>
  </si>
  <si>
    <t>151/1</t>
  </si>
  <si>
    <t>151/2</t>
  </si>
  <si>
    <t>152/0</t>
  </si>
  <si>
    <t>152/1</t>
  </si>
  <si>
    <t>152/2</t>
  </si>
  <si>
    <t>152/3</t>
  </si>
  <si>
    <t>153/0</t>
  </si>
  <si>
    <t>154/0</t>
  </si>
  <si>
    <t>154/1</t>
  </si>
  <si>
    <t>154/2</t>
  </si>
  <si>
    <t>154/3</t>
  </si>
  <si>
    <t>155/0</t>
  </si>
  <si>
    <t>156/0</t>
  </si>
  <si>
    <t>DD+9</t>
  </si>
  <si>
    <t>DB+0</t>
  </si>
  <si>
    <t>DC+9</t>
  </si>
  <si>
    <t>DD+18</t>
  </si>
  <si>
    <t>DD+25</t>
  </si>
  <si>
    <t>138/0</t>
  </si>
  <si>
    <t>11.12.25</t>
  </si>
  <si>
    <t xml:space="preserve">  PS                        11.12.25</t>
  </si>
  <si>
    <t>11-12-025</t>
  </si>
  <si>
    <t>10-12-025</t>
  </si>
  <si>
    <t>142/0</t>
  </si>
  <si>
    <t>AP147/0</t>
  </si>
  <si>
    <t>2SDD+6</t>
  </si>
  <si>
    <t>2SDA+6</t>
  </si>
  <si>
    <t>2SDA+9</t>
  </si>
  <si>
    <t>2SDD+3</t>
  </si>
  <si>
    <t>Sections</t>
  </si>
  <si>
    <t>Span</t>
  </si>
  <si>
    <t>Foundation</t>
  </si>
  <si>
    <t>Erection</t>
  </si>
  <si>
    <t>Stringing</t>
  </si>
  <si>
    <t>Ap-9</t>
  </si>
  <si>
    <t>AP-9A</t>
  </si>
  <si>
    <t>AP -10</t>
  </si>
  <si>
    <t>AP 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</si>
  <si>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</si>
  <si>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</si>
  <si>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</si>
  <si>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</si>
  <si>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</si>
  <si>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</si>
  <si>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</si>
  <si>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</si>
  <si>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</si>
  <si>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</si>
  <si>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</si>
  <si>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</si>
  <si>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</si>
  <si>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</si>
  <si>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</si>
  <si>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</si>
  <si>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</si>
  <si>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</si>
  <si>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</si>
  <si>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AP-33</t>
  </si>
  <si>
    <t>AP-34</t>
  </si>
  <si>
    <t>AP-35</t>
  </si>
  <si>
    <t>AP-36</t>
  </si>
  <si>
    <t>AP-37</t>
  </si>
  <si>
    <t>AP-38</t>
  </si>
  <si>
    <t>AP-39</t>
  </si>
  <si>
    <t>AP-40</t>
  </si>
  <si>
    <t>AP-41</t>
  </si>
  <si>
    <t>AP-42</t>
  </si>
  <si>
    <t>AP-43</t>
  </si>
  <si>
    <t>AP-44</t>
  </si>
  <si>
    <t>AP-45</t>
  </si>
  <si>
    <t>AP-46</t>
  </si>
  <si>
    <t>AP-47</t>
  </si>
  <si>
    <t>AP-63</t>
  </si>
  <si>
    <t>Ap-64</t>
  </si>
  <si>
    <t>AP-65</t>
  </si>
  <si>
    <t>AP-66</t>
  </si>
  <si>
    <t>AP-67</t>
  </si>
  <si>
    <t>AP-68</t>
  </si>
  <si>
    <t>AP-69</t>
  </si>
  <si>
    <t>AP-70</t>
  </si>
  <si>
    <t>2SDB+3</t>
  </si>
  <si>
    <t>AP-71</t>
  </si>
  <si>
    <t>AP-71 A</t>
  </si>
  <si>
    <t>AP - 71 B</t>
  </si>
  <si>
    <t>AP 71C</t>
  </si>
  <si>
    <t>AP-72</t>
  </si>
  <si>
    <t>AP-73</t>
  </si>
  <si>
    <t>2SDD+9</t>
  </si>
  <si>
    <t>AP-74</t>
  </si>
  <si>
    <t>AP-75</t>
  </si>
  <si>
    <t>2SDC+0</t>
  </si>
  <si>
    <t>AP-76</t>
  </si>
  <si>
    <t>AP-77</t>
  </si>
  <si>
    <t>2SDC+6</t>
  </si>
  <si>
    <t>AP-78</t>
  </si>
  <si>
    <t>AP-79</t>
  </si>
  <si>
    <t>AP-80</t>
  </si>
  <si>
    <t>AP-81</t>
  </si>
  <si>
    <t>AP-82</t>
  </si>
  <si>
    <t>AP-83</t>
  </si>
  <si>
    <t>AP-84</t>
  </si>
  <si>
    <t>AP-85</t>
  </si>
  <si>
    <t>AP-86</t>
  </si>
  <si>
    <t>AP-87</t>
  </si>
  <si>
    <t>AP-88</t>
  </si>
  <si>
    <t>AP-89</t>
  </si>
  <si>
    <t>2SDB+0</t>
  </si>
  <si>
    <t>AP-90</t>
  </si>
  <si>
    <t>AP-93</t>
  </si>
  <si>
    <t>AP-94</t>
  </si>
  <si>
    <t>AP-95</t>
  </si>
  <si>
    <t>AP-96</t>
  </si>
  <si>
    <t>AP-97</t>
  </si>
  <si>
    <t>AP-98</t>
  </si>
  <si>
    <t>AP-99</t>
  </si>
  <si>
    <t>AP-100</t>
  </si>
  <si>
    <t>AP-102</t>
  </si>
  <si>
    <t>AP-103</t>
  </si>
  <si>
    <t>AP-104</t>
  </si>
  <si>
    <t>AP-105</t>
  </si>
  <si>
    <t>AP-106</t>
  </si>
  <si>
    <t>AP-107</t>
  </si>
  <si>
    <t>AP-108</t>
  </si>
  <si>
    <t>AP-109</t>
  </si>
  <si>
    <t>AP-110</t>
  </si>
  <si>
    <t>AP-111</t>
  </si>
  <si>
    <t>AP-111A</t>
  </si>
  <si>
    <t>AP-112</t>
  </si>
  <si>
    <t>AP-113</t>
  </si>
  <si>
    <t>AP-114</t>
  </si>
  <si>
    <t>AP-115</t>
  </si>
  <si>
    <t>AP-116</t>
  </si>
  <si>
    <t>AP-117</t>
  </si>
  <si>
    <t>AP-118</t>
  </si>
  <si>
    <t>AP-119</t>
  </si>
  <si>
    <t>AP-120</t>
  </si>
  <si>
    <t>AP-121</t>
  </si>
  <si>
    <t>AP-122</t>
  </si>
  <si>
    <t>AP-123</t>
  </si>
  <si>
    <t>AP-124</t>
  </si>
  <si>
    <t>AP-125</t>
  </si>
  <si>
    <t>AP-126</t>
  </si>
  <si>
    <t>AP-127</t>
  </si>
  <si>
    <t>AP-128</t>
  </si>
  <si>
    <t>AP-129</t>
  </si>
  <si>
    <t>AP-130</t>
  </si>
  <si>
    <t>2SDC+9</t>
  </si>
  <si>
    <t>AP-131</t>
  </si>
  <si>
    <t>AP-132</t>
  </si>
  <si>
    <t>AP-133</t>
  </si>
  <si>
    <t>AP-134</t>
  </si>
  <si>
    <t>AP-135</t>
  </si>
  <si>
    <t>AP-136</t>
  </si>
  <si>
    <t>AP-137</t>
  </si>
  <si>
    <t>AP-138</t>
  </si>
  <si>
    <t>AP-139</t>
  </si>
  <si>
    <t>AP-140</t>
  </si>
  <si>
    <t>AP-141</t>
  </si>
  <si>
    <t>AP-142</t>
  </si>
  <si>
    <t>AP-143</t>
  </si>
  <si>
    <t>AP-144</t>
  </si>
  <si>
    <t>AP-145</t>
  </si>
  <si>
    <t>AP-147</t>
  </si>
  <si>
    <t>AP-147A</t>
  </si>
  <si>
    <t>AP-148</t>
  </si>
  <si>
    <t>AP-149</t>
  </si>
  <si>
    <t>AP-150</t>
  </si>
  <si>
    <t>AP-151</t>
  </si>
  <si>
    <t>AP-152</t>
  </si>
  <si>
    <t>AP-153</t>
  </si>
  <si>
    <t>AP-154</t>
  </si>
  <si>
    <t>AP-155</t>
  </si>
  <si>
    <t>AP-156</t>
  </si>
  <si>
    <t>2TNMD+0</t>
  </si>
  <si>
    <t>0.00/6.61</t>
  </si>
  <si>
    <t>Report Submitted to BSPTCL Site Office</t>
  </si>
  <si>
    <t>Approved from BSPTCL</t>
  </si>
  <si>
    <t>PS 15.12.25</t>
  </si>
  <si>
    <t>PS 17.12.25</t>
  </si>
  <si>
    <t>Jun'2024</t>
  </si>
  <si>
    <t>Jul'2024</t>
  </si>
  <si>
    <t>Aug'2024</t>
  </si>
  <si>
    <t>Sep'2024</t>
  </si>
  <si>
    <t>Oct'2024</t>
  </si>
  <si>
    <t>Completion Month</t>
  </si>
  <si>
    <t>Dec'25</t>
  </si>
  <si>
    <t>Sep'25</t>
  </si>
  <si>
    <t>Nov'25</t>
  </si>
  <si>
    <t xml:space="preserve">Daily Progress Report  Summary </t>
  </si>
  <si>
    <t>TB-412 TL</t>
  </si>
  <si>
    <t xml:space="preserve">TB-412 Chhapra- TL </t>
  </si>
  <si>
    <t>NOA Service:</t>
  </si>
  <si>
    <t>21  Loc Approved</t>
  </si>
  <si>
    <t xml:space="preserve"> U/P</t>
  </si>
  <si>
    <t>PS 19.12.25</t>
  </si>
  <si>
    <t>PS 23.12.25</t>
  </si>
  <si>
    <t>24.12.25</t>
  </si>
  <si>
    <t>ps</t>
  </si>
  <si>
    <t>29-2-25</t>
  </si>
  <si>
    <t>31-12-25</t>
  </si>
  <si>
    <t>02-12-25</t>
  </si>
  <si>
    <t>04-12-25</t>
  </si>
  <si>
    <t>07-12-25</t>
  </si>
  <si>
    <t>9-12-25</t>
  </si>
  <si>
    <t>14-12-25</t>
  </si>
  <si>
    <t>16-12-25</t>
  </si>
  <si>
    <t>1-12-25</t>
  </si>
  <si>
    <t>18-12-25</t>
  </si>
  <si>
    <t>20-12-25</t>
  </si>
  <si>
    <t>11-12-25</t>
  </si>
  <si>
    <t>25-12-25</t>
  </si>
  <si>
    <t>20-9-25</t>
  </si>
  <si>
    <t>06-10-24</t>
  </si>
  <si>
    <t>26-10-25</t>
  </si>
  <si>
    <t>26-1024</t>
  </si>
  <si>
    <t>18-10-24</t>
  </si>
  <si>
    <t>23-1024</t>
  </si>
  <si>
    <t>03-8-24</t>
  </si>
  <si>
    <t>24-08-24</t>
  </si>
  <si>
    <t>5-7-24</t>
  </si>
  <si>
    <t>23-6-24</t>
  </si>
  <si>
    <t>22-9-24</t>
  </si>
  <si>
    <t>11-10-24</t>
  </si>
  <si>
    <t>26-9-24</t>
  </si>
  <si>
    <t>Jan'26</t>
  </si>
  <si>
    <t>08-08-2024</t>
  </si>
  <si>
    <t>Maa Construction</t>
  </si>
  <si>
    <t>Raajeshwar Singh</t>
  </si>
  <si>
    <t>Rajeswar Singh</t>
  </si>
  <si>
    <t>Navdurga Traders</t>
  </si>
  <si>
    <t>55/1</t>
  </si>
  <si>
    <t xml:space="preserve">  PS       30.11.25</t>
  </si>
  <si>
    <t>PS 05.01.26</t>
  </si>
  <si>
    <t>PS 15.01.26</t>
  </si>
  <si>
    <t>PS 09.01.26</t>
  </si>
  <si>
    <t>PS 28.12.25</t>
  </si>
  <si>
    <t>PS 24.12.25</t>
  </si>
  <si>
    <t>PS 06.01.26</t>
  </si>
  <si>
    <t>30.12.25</t>
  </si>
  <si>
    <t>FS 30.12.25</t>
  </si>
  <si>
    <t>FS 12.01.26</t>
  </si>
  <si>
    <t>05.1.26</t>
  </si>
  <si>
    <t>27.12.25</t>
  </si>
  <si>
    <t>09.01.26</t>
  </si>
  <si>
    <t>18.01.26</t>
  </si>
  <si>
    <t>15.01.26</t>
  </si>
  <si>
    <t>1.051 km profile submitted to BSPTCL HO from 15.12.2025</t>
  </si>
  <si>
    <t>PS 22.01.26</t>
  </si>
  <si>
    <t>DOS</t>
  </si>
  <si>
    <t>DOC</t>
  </si>
  <si>
    <t>Cumm.</t>
  </si>
  <si>
    <t>46/3</t>
  </si>
  <si>
    <t>46/4</t>
  </si>
  <si>
    <t>47/1</t>
  </si>
  <si>
    <t>47/2</t>
  </si>
  <si>
    <t>47/3</t>
  </si>
  <si>
    <t>48/0</t>
  </si>
  <si>
    <t>44/0 (New)</t>
  </si>
  <si>
    <t>44/1 New</t>
  </si>
  <si>
    <t>45/0 New</t>
  </si>
  <si>
    <t>45/1 New</t>
  </si>
  <si>
    <t>45/2 New</t>
  </si>
  <si>
    <t>44A/0</t>
  </si>
  <si>
    <t>44B/0</t>
  </si>
  <si>
    <t>44C/0</t>
  </si>
  <si>
    <t>48/1</t>
  </si>
  <si>
    <t>48/2</t>
  </si>
  <si>
    <t>49/0</t>
  </si>
  <si>
    <t>50/0</t>
  </si>
  <si>
    <t>50/1</t>
  </si>
  <si>
    <t>51/0</t>
  </si>
  <si>
    <t>52/0</t>
  </si>
  <si>
    <t>53/0</t>
  </si>
  <si>
    <t>54/0</t>
  </si>
  <si>
    <t>54/1</t>
  </si>
  <si>
    <t>54/2</t>
  </si>
  <si>
    <t>54/3</t>
  </si>
  <si>
    <t>55/0</t>
  </si>
  <si>
    <t>56/0</t>
  </si>
  <si>
    <t>56/1</t>
  </si>
  <si>
    <t>57/0</t>
  </si>
  <si>
    <t>57/1</t>
  </si>
  <si>
    <t>58/0</t>
  </si>
  <si>
    <t>58/1</t>
  </si>
  <si>
    <t>59/0</t>
  </si>
  <si>
    <t>59/1</t>
  </si>
  <si>
    <t>59/2</t>
  </si>
  <si>
    <t>59/3</t>
  </si>
  <si>
    <t>59/4</t>
  </si>
  <si>
    <t>59/5</t>
  </si>
  <si>
    <t>60/0</t>
  </si>
  <si>
    <t>60A/0</t>
  </si>
  <si>
    <t>60B/0</t>
  </si>
  <si>
    <t>61/0</t>
  </si>
  <si>
    <t>61/1</t>
  </si>
  <si>
    <t>61/2</t>
  </si>
  <si>
    <t>61/3</t>
  </si>
  <si>
    <t>61/4</t>
  </si>
  <si>
    <t>61/5</t>
  </si>
  <si>
    <t>61/6</t>
  </si>
  <si>
    <t>62/0</t>
  </si>
  <si>
    <t>62A/0</t>
  </si>
  <si>
    <t>62/2</t>
  </si>
  <si>
    <t>NMB+0</t>
  </si>
  <si>
    <t>156/1</t>
  </si>
  <si>
    <t>157/0</t>
  </si>
  <si>
    <t>158/0</t>
  </si>
  <si>
    <t>159/0</t>
  </si>
  <si>
    <t>400 kV BARH-MOTIHARI TL</t>
  </si>
  <si>
    <t>132KV D/C (MSK-SIW)
PGCIL</t>
  </si>
  <si>
    <t>400KV D/C (BAR-GKP)</t>
  </si>
  <si>
    <t>800KV HVDC (GPJ-GKP)</t>
  </si>
  <si>
    <t>RLY X-ING</t>
  </si>
  <si>
    <t xml:space="preserve">132KV D/C (CHO-SWN) BGCIL </t>
  </si>
  <si>
    <t>132KV D/C BSPTCL CPRN-EKMA</t>
  </si>
  <si>
    <t xml:space="preserve"> NH-331</t>
  </si>
  <si>
    <t>SH-90</t>
  </si>
  <si>
    <t>132KV D/C OHTL BSPTCL</t>
  </si>
  <si>
    <t>Rly-Xing</t>
  </si>
  <si>
    <t>132KV D/C OHTL BGCL</t>
  </si>
  <si>
    <t>220KV D/C OHTL BSPTCL</t>
  </si>
  <si>
    <t>220KV D/C CPR-VSL BSPTCL</t>
  </si>
  <si>
    <t>400 kV TL</t>
  </si>
  <si>
    <t>PS 25.01.26</t>
  </si>
  <si>
    <t>Indra Contruction</t>
  </si>
  <si>
    <t>PS 27.01.26</t>
  </si>
  <si>
    <t xml:space="preserve">DETAILS OF POWER LINE CROSSING </t>
  </si>
  <si>
    <t>Sr. No.</t>
  </si>
  <si>
    <t>Crossing Location</t>
  </si>
  <si>
    <t>Crossing Span</t>
  </si>
  <si>
    <t>Details of crossing</t>
  </si>
  <si>
    <t>Owner</t>
  </si>
  <si>
    <t>Status of proposal</t>
  </si>
  <si>
    <t>Remarks/ Critical Needs</t>
  </si>
  <si>
    <t>Target</t>
  </si>
  <si>
    <t>Requirement</t>
  </si>
  <si>
    <t>Material Availability</t>
  </si>
  <si>
    <t>From</t>
  </si>
  <si>
    <t>To</t>
  </si>
  <si>
    <t>Submission</t>
  </si>
  <si>
    <t>Approval</t>
  </si>
  <si>
    <t>Start</t>
  </si>
  <si>
    <t>Stub</t>
  </si>
  <si>
    <t>Steel</t>
  </si>
  <si>
    <t>Cement</t>
  </si>
  <si>
    <t>Gang</t>
  </si>
  <si>
    <t>Tower</t>
  </si>
  <si>
    <t>BNA</t>
  </si>
  <si>
    <t>Conductor</t>
  </si>
  <si>
    <t>Insulator</t>
  </si>
  <si>
    <t>H/ware</t>
  </si>
  <si>
    <t>220 kV D/C Bansur 220 Kv Sub Station - Khelana T/L</t>
  </si>
  <si>
    <t>RVPNL</t>
  </si>
  <si>
    <t>Approved by RVPNL</t>
  </si>
  <si>
    <t>Comp</t>
  </si>
  <si>
    <t>MANTU YADAV</t>
  </si>
  <si>
    <t>132 Kv S/C Bansur 132 kv Sub Station- Bansur 220 kv Sub Station TL</t>
  </si>
  <si>
    <t>INDADUL</t>
  </si>
  <si>
    <t>132 kv D/C 1:- CktI Bansur 220 kv Sub Station - Bansur 132 kv Sub Station T/L, 2:- CktII Bansur 220 kv Sub Station -Narayanpur T/L</t>
  </si>
  <si>
    <t>U.K. Enterprise</t>
  </si>
  <si>
    <t>220 kv S/C Alwar - Bansur 220 kv Sub Station T/L</t>
  </si>
  <si>
    <t>132 KV S/C Khairthal - Mundawar T/L</t>
  </si>
  <si>
    <t>AP-166</t>
  </si>
  <si>
    <t>AP-167</t>
  </si>
  <si>
    <t>132 KV S/C Kishangarh - Pur Kot Kasim T/L</t>
  </si>
  <si>
    <t>AP-168</t>
  </si>
  <si>
    <t>220 KV D/C  1.Ckt-Kishangarh-Khushkhera &amp; 2.Ckt- Alwar-Bhiwandi T/L</t>
  </si>
  <si>
    <t>AP-169</t>
  </si>
  <si>
    <t>SH-25 &amp; 132 KV S/C Kishangarh- Tijara T/L</t>
  </si>
  <si>
    <t>S. No.</t>
  </si>
  <si>
    <t>Name of NH being crossed</t>
  </si>
  <si>
    <t>between AP nos.</t>
  </si>
  <si>
    <t>Railway Line Crossings</t>
  </si>
  <si>
    <t>Name of Powerline being crossed</t>
  </si>
  <si>
    <t>Between AP nos.</t>
  </si>
  <si>
    <t>TL Name</t>
  </si>
  <si>
    <t>Proposal to be submitted by M/s KEC on dated</t>
  </si>
  <si>
    <t>AP4-AP5 (LOOP IN)</t>
  </si>
  <si>
    <t>AP12-AP13 (LOOP OUT)</t>
  </si>
  <si>
    <t>AP16-AP17 (LOOP IN)</t>
  </si>
  <si>
    <t>AP17-AP18 (LOOP OUT)</t>
  </si>
  <si>
    <t>220SZ CHP-GOP</t>
  </si>
  <si>
    <t>220TM CHP-AMN</t>
  </si>
  <si>
    <t>400 KV DC MTH-Gorakhpur TL Tow.No.179-180 DMTCL</t>
  </si>
  <si>
    <t>AP61-AP61/1</t>
  </si>
  <si>
    <t>71A/0-71B/0</t>
  </si>
  <si>
    <t>68/1-68/2</t>
  </si>
  <si>
    <t>AP-72 to AP-73</t>
  </si>
  <si>
    <t>AP92-AP93</t>
  </si>
  <si>
    <t>NH-331</t>
  </si>
  <si>
    <t>132KV D/C BSPTCL CPRN-EKMA Line TWE - 71 &amp; 70</t>
  </si>
  <si>
    <t>AP111A-AP112</t>
  </si>
  <si>
    <t>132KV D/C OHTL BSPTCL TWR-34/2 &amp; 35/0</t>
  </si>
  <si>
    <t>AP121-AP122</t>
  </si>
  <si>
    <t>Foundation Completed</t>
  </si>
  <si>
    <t>Railway Track</t>
  </si>
  <si>
    <t>AP-128 to AP-129</t>
  </si>
  <si>
    <t>132KV D/C OHTL BGCL TWR- 47&amp;48</t>
  </si>
  <si>
    <t>Railway Crossing, OHE Pole - 17/31 &amp; 17/29</t>
  </si>
  <si>
    <t>AP138-AP139</t>
  </si>
  <si>
    <t>220KV D/C OHTL BSPTCL TWR- 37&amp;38</t>
  </si>
  <si>
    <t>AP141-AP142</t>
  </si>
  <si>
    <t>220KV D/C CPR-VSL BSPTCL Line TWR- 23&amp;24</t>
  </si>
  <si>
    <t>AP153-AP154</t>
  </si>
  <si>
    <t>400 KV DC Barh-MTH TL Tow.30-31 DMTCL</t>
  </si>
  <si>
    <t>SH &amp; NH Crossings</t>
  </si>
  <si>
    <t>400KV D/C (BAR-GKP) TWR No - 430, 431 PGCIL</t>
  </si>
  <si>
    <t>132KV D/C (CHO-SWN) BGCL Line TWR No - 92 &amp; 93, 66kV S/C H.F.</t>
  </si>
  <si>
    <t>61/6-AP-62/0</t>
  </si>
  <si>
    <t>SH-47 Siwan-Barharia (Under Construction NH-227A)</t>
  </si>
  <si>
    <t>Responsible Person</t>
  </si>
  <si>
    <t>Swarasish</t>
  </si>
  <si>
    <t>Ravi Ranjan</t>
  </si>
  <si>
    <t>PS 30.01.26</t>
  </si>
  <si>
    <t>FS 31.01.26</t>
  </si>
  <si>
    <t>Pipe Line Crossings</t>
  </si>
  <si>
    <t>AP-60A to AP-60B</t>
  </si>
  <si>
    <t>PS 31.01.26</t>
  </si>
  <si>
    <t>Shakti Construction-2</t>
  </si>
  <si>
    <t>Feb'26</t>
  </si>
  <si>
    <t>PS 03.02.26</t>
  </si>
  <si>
    <t>Tower Weight (MT)</t>
  </si>
  <si>
    <t>Start Date</t>
  </si>
  <si>
    <t>Completion Date</t>
  </si>
  <si>
    <t>ERECTION PROGRESS STATUS</t>
  </si>
  <si>
    <t>Revised 0.33 KM Profile Submitted to BSPTCL HO  from 23.12.2025</t>
  </si>
  <si>
    <t>S R Enterprises</t>
  </si>
  <si>
    <t>Pinki Devi</t>
  </si>
  <si>
    <t>SR Enterprises</t>
  </si>
  <si>
    <t>LOOPOUT</t>
  </si>
  <si>
    <t>Proposal Submitted to BSPTCL SIte 09.02.2026</t>
  </si>
  <si>
    <t>1.575KM Pending at BSPTCL HO  MC TSD Required </t>
  </si>
  <si>
    <t>Balance Check Survey Under progress</t>
  </si>
  <si>
    <t>0.33 Revised Profile Submitted to BSPTCL site office from 15.12.2025</t>
  </si>
  <si>
    <t>400kV LILO</t>
  </si>
  <si>
    <t>220kV Gopalganj</t>
  </si>
  <si>
    <t>220kV Amnour</t>
  </si>
  <si>
    <t>Total Nos</t>
  </si>
  <si>
    <t>Comp Till Jan-26</t>
  </si>
  <si>
    <t>Comp Till Feb-26</t>
  </si>
  <si>
    <t>Plan Feb-26</t>
  </si>
  <si>
    <t>Actual Feb-26</t>
  </si>
  <si>
    <t>PROGRESS SUMMARY PLAN VS ACTUAL</t>
  </si>
  <si>
    <t>34/1</t>
  </si>
  <si>
    <t>MP</t>
  </si>
  <si>
    <t>Hetansh</t>
  </si>
  <si>
    <t xml:space="preserve">UKC </t>
  </si>
  <si>
    <t>23/0 To 24/0 GANTRY1-GANTY2</t>
  </si>
  <si>
    <t>26/0 TO 27/0 GANTRY3-GANTY4</t>
  </si>
  <si>
    <t>5/1</t>
  </si>
  <si>
    <t>4DD+0(Aux)</t>
  </si>
  <si>
    <t xml:space="preserve"> 33° 21' 33"RT</t>
  </si>
  <si>
    <t xml:space="preserve"> 43° 35' 18"RT</t>
  </si>
  <si>
    <t xml:space="preserve"> 12° 23' 41"RT</t>
  </si>
  <si>
    <t xml:space="preserve"> 1° 46' 30"LT</t>
  </si>
  <si>
    <t xml:space="preserve"> 52° 53' 51"LT</t>
  </si>
  <si>
    <t xml:space="preserve"> 65° 12' 29"RT</t>
  </si>
  <si>
    <t xml:space="preserve"> 4° 47' 11"LT</t>
  </si>
  <si>
    <t xml:space="preserve"> 43° 34' 28"LT</t>
  </si>
  <si>
    <t xml:space="preserve"> 52° 35' 58"RT</t>
  </si>
  <si>
    <t xml:space="preserve"> 27° 52' 30"RT</t>
  </si>
  <si>
    <t xml:space="preserve"> 61° 28' 55"LT</t>
  </si>
  <si>
    <t xml:space="preserve"> 25° 14' 32"RT</t>
  </si>
  <si>
    <t>33/1</t>
  </si>
  <si>
    <t>36/1</t>
  </si>
  <si>
    <t xml:space="preserve"> 58° 46' 47"LT</t>
  </si>
  <si>
    <t xml:space="preserve"> 58° 34' 27"RT</t>
  </si>
  <si>
    <t xml:space="preserve"> 46° 15' 39"RT</t>
  </si>
  <si>
    <t xml:space="preserve"> 50° 14' 1"LT</t>
  </si>
  <si>
    <t xml:space="preserve"> 46° 58' 38"LT</t>
  </si>
  <si>
    <t>HOLD MC</t>
  </si>
  <si>
    <t>UKC</t>
  </si>
  <si>
    <t>Date-</t>
  </si>
  <si>
    <t>PJOJECT SUMMARY</t>
  </si>
  <si>
    <t>Kutir Vihar</t>
  </si>
  <si>
    <t>Pendig for MC tower</t>
  </si>
  <si>
    <t>Rajeshwar</t>
  </si>
  <si>
    <t>400 KV LOOP OUT</t>
  </si>
  <si>
    <t>AR Construction</t>
  </si>
  <si>
    <t>Mar'26</t>
  </si>
  <si>
    <t>Rang Construction</t>
  </si>
  <si>
    <t>Shakti Construction</t>
  </si>
  <si>
    <t xml:space="preserve">AR </t>
  </si>
  <si>
    <t>Sanjeev Kumar</t>
  </si>
  <si>
    <t>Rang</t>
  </si>
  <si>
    <t>rang</t>
  </si>
  <si>
    <t>02 Leg Com</t>
  </si>
  <si>
    <t xml:space="preserve"> 220 KV D/C Chapra -Gopalganj Transmission Line with ACSR Zebra Conductor </t>
  </si>
  <si>
    <t>Sanjiv Kumar</t>
  </si>
  <si>
    <t>18-03-206</t>
  </si>
  <si>
    <t>DC+3 (1MRC)</t>
  </si>
  <si>
    <t>Navdurga-2</t>
  </si>
  <si>
    <t>19-03-206</t>
  </si>
  <si>
    <t>22-03-206</t>
  </si>
  <si>
    <t>Swarasish &amp; Uttam</t>
  </si>
  <si>
    <t>23-03-206</t>
  </si>
  <si>
    <t>DA+6 (1MRC)</t>
  </si>
  <si>
    <t>DD+3 (1MRC)</t>
  </si>
  <si>
    <t xml:space="preserve">1.051 km profile submitted to BSPTCL HO </t>
  </si>
  <si>
    <t>Apr'26</t>
  </si>
  <si>
    <t>Dhuvika</t>
  </si>
  <si>
    <t>DA+0 1MRC</t>
  </si>
  <si>
    <t>132KV D/C (MSK-SIW) BSPTCL</t>
  </si>
  <si>
    <t>Railway Crossing (Under Construction) LOOP OUT</t>
  </si>
  <si>
    <t>Railway Crossing (Under Construction) LOOP IN</t>
  </si>
  <si>
    <t>AP-14 to AP-15</t>
  </si>
  <si>
    <t>DD+6 1MRC</t>
  </si>
  <si>
    <t>25/0 LO</t>
  </si>
  <si>
    <t>26/1 LO</t>
  </si>
  <si>
    <t>Pinki</t>
  </si>
  <si>
    <t>Dhruvika</t>
  </si>
  <si>
    <t>ZFAPL</t>
  </si>
  <si>
    <t>33/1 LO</t>
  </si>
  <si>
    <t>11/1 LI</t>
  </si>
  <si>
    <t>11/3 LI</t>
  </si>
  <si>
    <t>Navdurga-1</t>
  </si>
  <si>
    <t>Dharmendra</t>
  </si>
  <si>
    <t>Maa</t>
  </si>
  <si>
    <t>Shakti</t>
  </si>
  <si>
    <t>DA+3 1MRC</t>
  </si>
  <si>
    <t>Exel Power</t>
  </si>
  <si>
    <t xml:space="preserve">DC+3 </t>
  </si>
  <si>
    <t>DA+6 1MRC</t>
  </si>
  <si>
    <t xml:space="preserve">DC+0 1MRC </t>
  </si>
  <si>
    <t>26/2 LI</t>
  </si>
  <si>
    <t>220 KV  Chhapra(NEW) to Amnour DCDS Transmission Line with Twin Moose</t>
  </si>
  <si>
    <t>Jan'2026</t>
  </si>
  <si>
    <t>Feb'2026</t>
  </si>
  <si>
    <t>DD+3 1MRC</t>
  </si>
  <si>
    <t>Key Challenges-</t>
  </si>
  <si>
    <t>ERCTION</t>
  </si>
  <si>
    <t xml:space="preserve">DA+3 </t>
  </si>
  <si>
    <t>Druvika</t>
  </si>
  <si>
    <t>Route diverted due to pond,Detail survey pending due to ROW</t>
  </si>
  <si>
    <t>19/3 LI</t>
  </si>
  <si>
    <t xml:space="preserve">DA+3 1MRC </t>
  </si>
  <si>
    <t xml:space="preserve">DC+6 </t>
  </si>
  <si>
    <t xml:space="preserve">DC+0  </t>
  </si>
  <si>
    <t>Construction Wala</t>
  </si>
  <si>
    <t>AP-6-1 to AP-7</t>
  </si>
  <si>
    <t>wip</t>
  </si>
  <si>
    <t>39/1 LO</t>
  </si>
  <si>
    <t>Navdurga</t>
  </si>
  <si>
    <t>DA+0 (1MRC)</t>
  </si>
  <si>
    <t>l</t>
  </si>
  <si>
    <t>New Proposed Railway</t>
  </si>
  <si>
    <t>1 MRC HOLD</t>
  </si>
  <si>
    <t xml:space="preserve">Anmol </t>
  </si>
  <si>
    <t>Anmol</t>
  </si>
  <si>
    <t xml:space="preserve">DA+0 </t>
  </si>
  <si>
    <t xml:space="preserve">DD+18 1MRC </t>
  </si>
  <si>
    <t>MAA</t>
  </si>
  <si>
    <t>S.n</t>
  </si>
  <si>
    <t>LOC N.</t>
  </si>
  <si>
    <t>RC</t>
  </si>
  <si>
    <t>CLASSIFICATION</t>
  </si>
  <si>
    <t>START DATE</t>
  </si>
  <si>
    <t>COMPLETION DATE</t>
  </si>
  <si>
    <t>Exc. Volume (In CUM)</t>
  </si>
  <si>
    <t>M10 In CUM</t>
  </si>
  <si>
    <t>M20 In CUM</t>
  </si>
  <si>
    <t>Steel in MT</t>
  </si>
  <si>
    <t>Excavation/CUM</t>
  </si>
  <si>
    <t>M10/CUM</t>
  </si>
  <si>
    <t>M20/CUM</t>
  </si>
  <si>
    <t>Steel Per MT</t>
  </si>
  <si>
    <t>Revenue</t>
  </si>
  <si>
    <t xml:space="preserve">2TDD+9 </t>
  </si>
  <si>
    <t>39/4 LO</t>
  </si>
  <si>
    <t>8/0 LI</t>
  </si>
  <si>
    <t>20/1 LI</t>
  </si>
  <si>
    <t>39/5 LO</t>
  </si>
  <si>
    <t>12/0 LI</t>
  </si>
  <si>
    <t>26/0 LI</t>
  </si>
  <si>
    <t>9/0 LO</t>
  </si>
  <si>
    <t>Hold for DS</t>
  </si>
  <si>
    <t>10/0 LO</t>
  </si>
  <si>
    <t>36/1 LO</t>
  </si>
  <si>
    <t>37/0 LO</t>
  </si>
  <si>
    <t>39/0 LO</t>
  </si>
  <si>
    <t>7/0 LO</t>
  </si>
  <si>
    <t>8/0 LO</t>
  </si>
  <si>
    <t>25/1 LI</t>
  </si>
  <si>
    <t>26/1 LI</t>
  </si>
  <si>
    <t>27/1 LI</t>
  </si>
  <si>
    <t>27/2 LI</t>
  </si>
  <si>
    <t>27/3 LI</t>
  </si>
  <si>
    <t>15/1 LI</t>
  </si>
  <si>
    <t>13/0 LI</t>
  </si>
  <si>
    <t>14/0 LI</t>
  </si>
  <si>
    <t>15/0 LI</t>
  </si>
  <si>
    <t>20/0 LI</t>
  </si>
  <si>
    <t>Foundation Plan of May-2026  for TB-412 TL</t>
  </si>
  <si>
    <t>Man Power</t>
  </si>
  <si>
    <t>SL N.</t>
  </si>
  <si>
    <t>LOC. N.</t>
  </si>
  <si>
    <t>SANJEEV</t>
  </si>
  <si>
    <t>New Gang-4</t>
  </si>
  <si>
    <t>GANG DEPLOYED BY 05.05.2026</t>
  </si>
  <si>
    <t>New Gang-5</t>
  </si>
  <si>
    <t>Erection Plan of  May-2026  for TB-412 T/L</t>
  </si>
  <si>
    <t>26/0 LO</t>
  </si>
  <si>
    <t>33/0 LO</t>
  </si>
  <si>
    <t>19/2 LI</t>
  </si>
  <si>
    <t>New Gang Deployed by 05.05.2026</t>
  </si>
  <si>
    <t>35/0 LO</t>
  </si>
  <si>
    <t>36/0 LO</t>
  </si>
  <si>
    <t>Total Planned Locations for May'26</t>
  </si>
  <si>
    <t>Total Completed Locations for May'26</t>
  </si>
  <si>
    <t>Balanced Locations for May'26 as per planned</t>
  </si>
  <si>
    <t xml:space="preserve">Suman Kumar Singh moblized by 03.05.2026 </t>
  </si>
  <si>
    <t>Gang-5 Moblized by 08.05.2026</t>
  </si>
  <si>
    <t>Stub NA</t>
  </si>
  <si>
    <t>fdn Drawing NA</t>
  </si>
  <si>
    <t>May'2026</t>
  </si>
  <si>
    <t>RANG</t>
  </si>
  <si>
    <t>400 KV LOOP IN</t>
  </si>
  <si>
    <t>Kumar K2</t>
  </si>
  <si>
    <t>MC,Design and Special Tower &amp; DS</t>
  </si>
  <si>
    <t>Statutary</t>
  </si>
  <si>
    <t>RLY XING</t>
  </si>
  <si>
    <t>NH</t>
  </si>
  <si>
    <t>PL</t>
  </si>
  <si>
    <t>IOCL</t>
  </si>
  <si>
    <t>HOLD NH</t>
  </si>
  <si>
    <t>HOLD RLW</t>
  </si>
  <si>
    <t>HOLD Design</t>
  </si>
  <si>
    <t>ROW 02 Pit RCC Done</t>
  </si>
  <si>
    <t>HOLD Spl Tower</t>
  </si>
  <si>
    <t>HOLD NH/RLY</t>
  </si>
  <si>
    <t>HOLD RLY</t>
  </si>
  <si>
    <t>BREDA HOLD</t>
  </si>
  <si>
    <t>1.5 MRC</t>
  </si>
  <si>
    <t>02 Leg RCC Done</t>
  </si>
  <si>
    <t>NH-227A</t>
  </si>
  <si>
    <t>SURVEY HOLD</t>
  </si>
  <si>
    <t>kumar k2</t>
  </si>
  <si>
    <t>AR</t>
  </si>
  <si>
    <t xml:space="preserve">DA+0  </t>
  </si>
  <si>
    <t>45/0 LO</t>
  </si>
  <si>
    <t>Submitted to BSPTCL Site on 11-05-2026</t>
  </si>
  <si>
    <t>Proposal Submitted to BSPTCL Site 09.02.2026</t>
  </si>
  <si>
    <t>28/0 LO</t>
  </si>
  <si>
    <t>Sub contractor</t>
  </si>
  <si>
    <t>Clasification</t>
  </si>
  <si>
    <t>SL No.</t>
  </si>
  <si>
    <t>FDN Comp Date</t>
  </si>
  <si>
    <t xml:space="preserve">220 TM Chhapra-Amnour TL </t>
  </si>
  <si>
    <t>400 KV LILO</t>
  </si>
  <si>
    <t>220 kV Chhapra-Gopalganj TL</t>
  </si>
  <si>
    <t>19/4 LI</t>
  </si>
  <si>
    <t>11/2 LI</t>
  </si>
  <si>
    <t>28/1 LO</t>
  </si>
  <si>
    <t>39/3 LO</t>
  </si>
  <si>
    <t>23/0 LO</t>
  </si>
  <si>
    <t>22/0 LO</t>
  </si>
  <si>
    <t>20/0 LO</t>
  </si>
  <si>
    <t>23/1 LO</t>
  </si>
  <si>
    <t>12/1 LI</t>
  </si>
  <si>
    <t>39/2 LO</t>
  </si>
  <si>
    <t>21/0 LO</t>
  </si>
  <si>
    <t>Tarush Projects</t>
  </si>
  <si>
    <t>18A/0</t>
  </si>
  <si>
    <t xml:space="preserve">DA+0 1MRC </t>
  </si>
  <si>
    <t>DD+9 1MRC</t>
  </si>
  <si>
    <t>DC+0 1MRC</t>
  </si>
  <si>
    <t>Details of  SH,NH &amp; Railway Line crossing Proposals of TB-412 TL</t>
  </si>
  <si>
    <t>400 LILO </t>
  </si>
  <si>
    <t>Profile prepared; will be submitted to BSPTCL on 20.05.2026 </t>
  </si>
  <si>
    <t>Ravi Ranjan &amp; Umashankar </t>
  </si>
  <si>
    <t>Submitted on NH-Chapra as on 25.03.2026; Revised proposal under discussion with BSPTCL.</t>
  </si>
  <si>
    <t>AP37-AP38 </t>
  </si>
  <si>
    <t> Under Construction NH-227A</t>
  </si>
  <si>
    <t>AP109-AP110 </t>
  </si>
  <si>
    <t>Name of name Railway line  being crossed</t>
  </si>
  <si>
    <t>Proposal not required to be submitted as discussed with BSPTCL. Detailed survey profile submitted</t>
  </si>
  <si>
    <t>Corridore details are received from Railway  on 17.03.2026 Revise detailed survey submitted to BSPTCL site office on 08.05.2026</t>
  </si>
  <si>
    <t>In M/C section</t>
  </si>
  <si>
    <t>Swarashish </t>
  </si>
  <si>
    <t>IOCL </t>
  </si>
  <si>
    <t>Details of  Power Line Crossing Proposals of TB-412 TL</t>
  </si>
  <si>
    <t>AP13- AP14 </t>
  </si>
  <si>
    <t>AP14-AP15 </t>
  </si>
  <si>
    <t>800KV HVDC (GPJ-GKP) TWR No-86,87 </t>
  </si>
  <si>
    <t>Submitted to PGCIL Muzzafarpur on 02.04.2026 </t>
  </si>
  <si>
    <t>Uttam </t>
  </si>
  <si>
    <t>Proposal Signed by BSPTCL EEE and Letter issue to DRM Varanasi Division</t>
  </si>
  <si>
    <t>Right of Way Issues</t>
  </si>
  <si>
    <t>Sl No.</t>
  </si>
  <si>
    <t>Districts</t>
  </si>
  <si>
    <t>Issues</t>
  </si>
  <si>
    <t>220 KV D/C Chhapra -Gopalganj TL Single Zebra</t>
  </si>
  <si>
    <t>Gopalganj</t>
  </si>
  <si>
    <t>Location No. 13/0 – Dhankhar village, Majha, Gopalganj Sadar – Dharmendra S/o Khedu Prasad (Mob: 9031470755) asking for line diversion.</t>
  </si>
  <si>
    <t>Location No. 31/2 – Ahirawlia village, Majha, Gopalganj Sadar – Bittu Singh S/o Jaswant Singh (Mob: 9852021237) asking for line diversion. SDM Gopalganj Sadar issued letter to C.O. Manjha.</t>
  </si>
  <si>
    <t>Siwan</t>
  </si>
  <si>
    <t>Location No. 38/4 – Puraina village, Barhariya, Siwan – Amin Gaddi S/o Raja Gaddi (Mob: 6200734293) asking for line diversion. Letter issued to SDM Siwan.</t>
  </si>
  <si>
    <t>Location No. 41/0 – Puraina village, Barhariya, Siwan – Bablu Singh S/o Mukhlal Singh (Mob: 9835999788) asking for line diversion.</t>
  </si>
  <si>
    <t>Location No. 44/1 – Paltuhasa village, Jamo Bazar, Siwan – Ramnath Singh S/o Vikram Singh (Mob: 9810866758) asking for line diversion.</t>
  </si>
  <si>
    <t>Location No. 45/2 – Jogapur village, Jamo Bazar, Siwan – Navsad Alam S/o Dr. Noor Alam (Mob: 9006174820) asking for line diversion.</t>
  </si>
  <si>
    <t>Location No. 66/2 – Chorma village, Bhagwanpur Hat, Maharajganj – Abhishek Singh @ Tuntun S/o Vishundev Singh (Mob: 9473062695) demanding higher crop compensation. Letter issued from SDM Maharajganj to Goriyakothi &amp; Bhagwanpur BDO and police station on 03.02.2026.</t>
  </si>
  <si>
    <t>Location No. 74/1 – Mora Khas village, Bhagwanpur Hat, Maharajganj – Ratnesh Singh @ Sonu S/o Late Surendra Singh (Mob: 8481000021) asking for line diversion.</t>
  </si>
  <si>
    <t>Location No. 75/0 – Banpur village, Bhagwanpur Hat, Maharajganj – Sunil Singh S/o Dinanath Singh (Mob: 9931838464) asking for line diversion.</t>
  </si>
  <si>
    <t>Location No. 57/1 – Chainpur village, Goreyakothi, Maharajganj – Shrinivas Singh asking for land compensation.</t>
  </si>
  <si>
    <t>Location No. 57/0 – Chainpur village, Goreyakothi, Maharajganj – Taukir Miya S/o Serajuddin Ahmad (Mob: 7070530148) asking for land compensation.</t>
  </si>
  <si>
    <t>Location No. 57/0 – Govindapur village, Goreyakothi, Maharajganj – MD Anish S/o Fajelhaq (Mob: 7549177807) asking for land compensation.</t>
  </si>
  <si>
    <t>Saran</t>
  </si>
  <si>
    <t>Location No. 94/0 – Basahi village, Janta Bazar, Chapra Sadar – Chandrashekar Pandey S/o Sailendra Pandey (Mob: 8617254343) asking for land compensation.</t>
  </si>
  <si>
    <t>Location No. 95/0 – Basahi village, Janta Bazar, Chapra Sadar – Nagendra Mahto S/o Shivjee Mahto (Mob: 9814664078) asking for land compensation.</t>
  </si>
  <si>
    <t>Location No. 78/0 – Tarwar village, Bhagwanpur Hat, Maharajganj – Harendra Thakur (Mob: 7258083557) asking for land compensation. Letter issued from SDM Maharajganj to Bhagwanpur Hat and Jalalpur police station on 09.04.2026.</t>
  </si>
  <si>
    <t>Location No. 86/1 – Rasulpur village, Bhagwanpur Hat, Maharajganj – Atul Kumar S/o Debilal Prasad (Mob: 9771645284) asking for line diversion.</t>
  </si>
  <si>
    <t>Location No. 131/0 – Mayatola village, Khaira, Chapra Sadar – Rajesh Ray S/o Late Bukhan Ray (Mob: 7324007820) asking for land compensation. KEC Letter Ref-187 issued to BSPTCL on 11.02.2026.</t>
  </si>
  <si>
    <t>Location No. 131/0-132/0 – Mayatola village, Khaira, Chapra Sadar – Birendra Rai (Mob: 9661849386) asking for land compensation.</t>
  </si>
  <si>
    <t>Location No. 137/1 – Madhopur village, Garkha, Chapra Sadar – Nagendra Mahto S/o Sartaj Singh (Mob: 9798101771) asking for line diversion. Letter issued from BSPTCL to Police Station Garkha on 07.04.2026.</t>
  </si>
  <si>
    <t>Location No. 102/0 – Sahpur village, Baniyapur, Chapra Sadar – Virendra Singh S/o Satyanarayan Singh (Mob: 9134411094), Vijay Singh S/o Satyanarayan Singh (Mob: 8757101652) and Bheem Singh S/o Vijay Singh (Mob: 8981904772) asking for land compensation. Letter issued from BSPTCL to Police Station Baniyapur on 07.04.2026.</t>
  </si>
  <si>
    <t>Location No. 102/2 – Chorawan village, Baniyapur, Chapra Sadar – Sunil Prasad S/o Rishidev Prasad (Mob: 7827182297) asking for land compensation.</t>
  </si>
  <si>
    <t>Location No. 118/1 – Chhitarauli village, Khaira, Chapra Sadar – Vikash Singh C/o JK Engicon Pvt. Ltd. (Mob: 9572376580) asking for line diversion.</t>
  </si>
  <si>
    <t>Location No. 136/0 – Fulwariya Tola Jorani village, Garkha, Chapra Sadar – Dharmendra Ray S/o Avdesh Ray asking for line diversion.</t>
  </si>
  <si>
    <t>FOR 220 KV D/C Chhapra - Amnour TL Twin Moose</t>
  </si>
  <si>
    <t>Location No. 12/0 – Tarwar village, Madaura Sub Division – Raju Singh &amp; Mrigendra Singh (Mob: 7464007290) asking for line diversion. Letter issued from SDM Madaura to BDO Amnor on 21.02.2026.</t>
  </si>
  <si>
    <t>Location No. 17/0 – Mura village, Madaura Sub Division – Arun Pandey S/o Janakdev Pandey reported ROW issue at location.</t>
  </si>
  <si>
    <t>Location No. 18/0 – Mura village, Madaura Sub Division – Bijendra Pandey S/o Kesav Pandey reported ROW issue at location.</t>
  </si>
  <si>
    <t xml:space="preserve">LILO of 400 KV Barh (NTPC) - Motihari (DMTCL) D/C (Quad Moose) transmission line at Chhapra (New) 
</t>
  </si>
  <si>
    <t>Location No. 26 LI – Babhanganwa village, Parsa, Chapra Sadar – Janak Singh S/o Late Rupak Singh (Mob: 9852671518) raised issue regarding shifting of tower. 02 Leg RCC done and letter issued from SDM Chapra to BDO Parsa on 13.02.2026.</t>
  </si>
  <si>
    <t>Location No. 20 LI – Baksanda village, Parsa – Kameshwar Singh S/o Satyanarayan Singh (Mob: 7277175252 / 7519311278) reported ROW issue at location.</t>
  </si>
  <si>
    <t>Location No. 13/0 LI – Pirozpur village, Parsa – Gopaleshwar Singh (Mob: 9097745422) reported ROW issue. Letter issued from BSPTCL to SDM Chapra on 15.04.2026.</t>
  </si>
  <si>
    <t>Location No. 15/0 LI – Bhima Bandh village, Parsa – Bablu Singh (Mob: 9801016674) reported ROW issue at location.</t>
  </si>
  <si>
    <t>Location No. 12/0 LI PIT A &amp; PIT B – Firojpur village, Pachrukhi, Parsa – Suresh Singh S/o Terash Singh (Mob: 7488054101) reported ROW issue. Letter issued from BSPTCL to SDM Chapra on 07.05.2026.</t>
  </si>
  <si>
    <t>Location No. 12/0 LI PIT D – Bhima Bandh village, Pachrukhi, Parsa – Bageshwar Mahto reported ROW issue at location.</t>
  </si>
  <si>
    <t>Location No. 15/1 LI – Laganpura village, Pachrukhi, Parsa – Rajeshwar Rai (Mob: 9199649156) reported ROW issue at location.</t>
  </si>
  <si>
    <t>Cumm. Progress up to Last Month (May'26)</t>
  </si>
  <si>
    <t>Target as per L2 Schedule Cummulative (upto June'26)</t>
  </si>
  <si>
    <t>Target of Month for (June'2026)</t>
  </si>
  <si>
    <t>Comp This Month (June'2026)</t>
  </si>
  <si>
    <t>May'26</t>
  </si>
  <si>
    <t>15</t>
  </si>
  <si>
    <t>K2 KUMAR</t>
  </si>
  <si>
    <t>2</t>
  </si>
  <si>
    <t>11</t>
  </si>
  <si>
    <t>20</t>
  </si>
  <si>
    <t>01 Nos store assistant required</t>
  </si>
  <si>
    <t>02 Nos Gang required urgently</t>
  </si>
  <si>
    <t>STRINGING</t>
  </si>
  <si>
    <t>RCC WIP</t>
  </si>
  <si>
    <t xml:space="preserve">DD+0 1MRC </t>
  </si>
  <si>
    <t>Excavation WIP</t>
  </si>
  <si>
    <t>Suman Kumar Singh</t>
  </si>
  <si>
    <t>Sanjeev</t>
  </si>
  <si>
    <t>Nirajan</t>
  </si>
  <si>
    <t>Anjum Construction</t>
  </si>
  <si>
    <t>FROM</t>
  </si>
  <si>
    <t>TO</t>
  </si>
  <si>
    <t>Section  (Km)</t>
  </si>
  <si>
    <t>Insulatour Hoisting</t>
  </si>
  <si>
    <t>RABISH</t>
  </si>
  <si>
    <t>0.00/41.381</t>
  </si>
  <si>
    <t>0.00/21.279</t>
  </si>
  <si>
    <t>0.00/20.102</t>
  </si>
  <si>
    <t>Reyansh</t>
  </si>
  <si>
    <t>2nd Section WIP</t>
  </si>
  <si>
    <t>SGSE India Pvt  Ltd</t>
  </si>
  <si>
    <t>DB+3 1MRC</t>
  </si>
  <si>
    <t>40/63</t>
  </si>
  <si>
    <t>Ground Assembly WIP</t>
  </si>
  <si>
    <t xml:space="preserve">DD+6 1MRC </t>
  </si>
  <si>
    <t>PROP SETTING WIP</t>
  </si>
  <si>
    <t>HOLD DRW</t>
  </si>
  <si>
    <t>Tarush</t>
  </si>
  <si>
    <t>shakti</t>
  </si>
  <si>
    <t>Suman Singh</t>
  </si>
  <si>
    <t>Sub Contractor Name</t>
  </si>
  <si>
    <t>5/0 LO</t>
  </si>
  <si>
    <t>Yashoda Devi</t>
  </si>
  <si>
    <t>0.00/101.101</t>
  </si>
  <si>
    <t>Final Sag Completed</t>
  </si>
  <si>
    <t>SGSE</t>
  </si>
  <si>
    <t>YASHODA DEVI</t>
  </si>
  <si>
    <t>138/336</t>
  </si>
  <si>
    <t>147A/0</t>
  </si>
  <si>
    <t>Middle  Section WIP</t>
  </si>
  <si>
    <t>21/63</t>
  </si>
  <si>
    <t>02 Leg ROW</t>
  </si>
  <si>
    <t>Conductor Paying Out,Rough Sag &amp; Final Sag</t>
  </si>
  <si>
    <t>AP-6/0 to AP-7</t>
  </si>
  <si>
    <t>184/336</t>
  </si>
  <si>
    <t>Date-24/06/2026</t>
  </si>
  <si>
    <t>03 Nos Supervisors required</t>
  </si>
  <si>
    <t>Prop Setting WIP</t>
  </si>
  <si>
    <t>86/129</t>
  </si>
  <si>
    <t>43/129</t>
  </si>
  <si>
    <t>46/66</t>
  </si>
  <si>
    <t>Top Section WIP</t>
  </si>
  <si>
    <t>22/66</t>
  </si>
  <si>
    <t>31/63</t>
  </si>
  <si>
    <t>30/66</t>
  </si>
  <si>
    <t>61/129</t>
  </si>
  <si>
    <t>Gang Reached at store</t>
  </si>
  <si>
    <t>Material Shifting WIP</t>
  </si>
  <si>
    <t>23/28</t>
  </si>
  <si>
    <t>11/28</t>
  </si>
  <si>
    <t>15/28</t>
  </si>
  <si>
    <t>24.06.2026</t>
  </si>
  <si>
    <t>After Visit of Project director NHAI revised proposal submition required</t>
  </si>
  <si>
    <t>Joint Site Visit with NHAI schedule by 28.06.2026</t>
  </si>
  <si>
    <t>Submitted to Chapra NHAI office ON 11-06-2026</t>
  </si>
  <si>
    <t>Swarashish Sasmal &amp; Uttam Rai</t>
  </si>
  <si>
    <t>71/336</t>
  </si>
  <si>
    <t>Will be submitted by 30.06.2026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</si>
</sst>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0.000"/>
    <numFmt numFmtId="165" formatCode="d/m/yyyy"/>
    <numFmt numFmtId="166" formatCode="[$-409]d/mmm/yy;@"/>
    <numFmt numFmtId="167" formatCode="_(* #,##0.000_);_(* \(#,##0.000\);_(* &quot;-&quot;???_);_(@_)"/>
    <numFmt numFmtId="168" formatCode="[$-409]d\-mmm\-yyyy;@"/>
    <numFmt numFmtId="169" formatCode="[$-F800]dddd\,\ mmmm\ dd\,\ yyyy"/>
    <numFmt numFmtId="170" formatCode="_(* #,##0_);_(* \(#,##0\);_(* &quot;-&quot;???_);_(@_)"/>
    <numFmt numFmtId="171" formatCode="0.0000"/>
    <numFmt numFmtId="172" formatCode="_ * #,##0.000_ ;_ * \-#,##0.000_ ;_ * &quot;-&quot;??_ ;_ @_ "/>
    <numFmt numFmtId="173" formatCode="0.0"/>
  </numFmts>
  <fonts count="11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6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color indexed="12"/>
      <name val="Tahoma"/>
      <family val="2"/>
    </font>
    <font>
      <b/>
      <sz val="11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9"/>
      <name val="Tahoma"/>
      <family val="2"/>
    </font>
    <font>
      <b/>
      <sz val="12"/>
      <name val="Tahoma"/>
      <family val="2"/>
    </font>
    <font>
      <b/>
      <sz val="11"/>
      <name val="Tahoma"/>
      <family val="2"/>
    </font>
    <font>
      <b/>
      <sz val="1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name val="Tahoma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b/>
      <sz val="16"/>
      <name val="Tahoma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u/>
      <sz val="12"/>
      <name val="Arial"/>
      <family val="2"/>
    </font>
    <font>
      <b/>
      <sz val="16"/>
      <color rgb="FFFF0000"/>
      <name val="Calibri"/>
      <family val="2"/>
      <scheme val="minor"/>
    </font>
    <font>
      <b/>
      <sz val="10"/>
      <name val="Tahoma"/>
      <family val="2"/>
    </font>
    <font>
      <b/>
      <sz val="11"/>
      <color rgb="FF000000"/>
      <name val="Arial"/>
      <family val="2"/>
    </font>
    <font>
      <sz val="12"/>
      <color rgb="FF222222"/>
      <name val="Arial"/>
      <family val="2"/>
    </font>
    <font>
      <sz val="11"/>
      <color rgb="FF222222"/>
      <name val="Arial"/>
      <family val="2"/>
    </font>
    <font>
      <b/>
      <sz val="11"/>
      <color rgb="FF222222"/>
      <name val="Arial"/>
      <family val="2"/>
    </font>
    <font>
      <b/>
      <sz val="9"/>
      <name val="Tahoma"/>
      <family val="2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4"/>
      <name val="Arial"/>
      <family val="2"/>
    </font>
    <font>
      <b/>
      <sz val="18"/>
      <color rgb="FFFF0000"/>
      <name val="Arial"/>
      <family val="2"/>
    </font>
    <font>
      <sz val="10"/>
      <color rgb="FF000000"/>
      <name val="Calibri"/>
      <family val="2"/>
      <scheme val="minor"/>
    </font>
    <font>
      <sz val="1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Book Antiqua"/>
      <family val="1"/>
    </font>
    <font>
      <b/>
      <sz val="14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Inherit"/>
    </font>
    <font>
      <sz val="11"/>
      <color theme="1"/>
      <name val="Cambria"/>
      <family val="1"/>
    </font>
    <font>
      <b/>
      <sz val="11"/>
      <name val="Cambria"/>
      <family val="1"/>
    </font>
    <font>
      <b/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0"/>
      <name val="Times New Roman"/>
      <family val="1"/>
    </font>
    <font>
      <sz val="10"/>
      <color rgb="FF000000"/>
      <name val="Calibri"/>
      <family val="2"/>
    </font>
    <font>
      <b/>
      <sz val="10"/>
      <color rgb="FF000000"/>
      <name val="Inherit"/>
    </font>
    <font>
      <b/>
      <sz val="16"/>
      <color rgb="FF000000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b/>
      <sz val="12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</font>
    <font>
      <sz val="13"/>
      <name val="Calibri"/>
      <family val="2"/>
      <scheme val="minor"/>
    </font>
    <font>
      <b/>
      <sz val="8"/>
      <name val="Times New Roman"/>
      <family val="1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2"/>
      <color theme="1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Tahoma"/>
      <family val="2"/>
    </font>
    <font>
      <sz val="11"/>
      <color theme="1"/>
      <name val="Segoe UI"/>
      <family val="2"/>
    </font>
    <font>
      <b/>
      <sz val="16"/>
      <color theme="1"/>
      <name val="Tahoma"/>
      <family val="2"/>
    </font>
    <font>
      <b/>
      <sz val="16"/>
      <color rgb="FFFF0000"/>
      <name val="Tahoma"/>
      <family val="2"/>
    </font>
    <font>
      <b/>
      <sz val="22"/>
      <name val="Arial"/>
      <family val="2"/>
    </font>
    <font>
      <b/>
      <sz val="16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ECFFD5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2060"/>
        <b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rgb="FFB4C6E7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rgb="FFD0CECE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rgb="FFF2F2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</fills>
  <borders count="1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/>
      <diagonal style="thick">
        <color rgb="FF00B0F0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/>
      <bottom style="medium">
        <color indexed="64"/>
      </bottom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/>
      <right/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/>
      <top style="medium">
        <color rgb="FFABABAB"/>
      </top>
      <bottom/>
      <diagonal/>
    </border>
    <border>
      <left/>
      <right style="medium">
        <color rgb="FFABABAB"/>
      </right>
      <top style="medium">
        <color rgb="FFABABAB"/>
      </top>
      <bottom/>
      <diagonal/>
    </border>
    <border>
      <left style="medium">
        <color rgb="FFABABAB"/>
      </left>
      <right/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thick">
        <color rgb="FF00B0F0"/>
      </diagonal>
    </border>
    <border diagonalUp="1" diagonalDown="1">
      <left style="medium">
        <color indexed="64"/>
      </left>
      <right style="thin">
        <color indexed="64"/>
      </right>
      <top/>
      <bottom style="thin">
        <color indexed="64"/>
      </bottom>
      <diagonal style="thick">
        <color rgb="FF00B0F0"/>
      </diagonal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ABABAB"/>
      </left>
      <right/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ck">
        <color rgb="FF00B0F0"/>
      </diagonal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2">
    <xf numFmtId="0" fontId="0" fillId="0" borderId="0"/>
    <xf numFmtId="0" fontId="18" fillId="0" borderId="0"/>
    <xf numFmtId="0" fontId="18" fillId="0" borderId="0"/>
    <xf numFmtId="0" fontId="57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5" fillId="0" borderId="0"/>
    <xf numFmtId="166" fontId="18" fillId="0" borderId="0"/>
    <xf numFmtId="166" fontId="35" fillId="0" borderId="0"/>
    <xf numFmtId="9" fontId="3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8" fillId="0" borderId="0"/>
    <xf numFmtId="0" fontId="35" fillId="0" borderId="0"/>
    <xf numFmtId="0" fontId="35" fillId="0" borderId="0"/>
    <xf numFmtId="0" fontId="35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2018">
    <xf numFmtId="0" fontId="0" fillId="0" borderId="0" xfId="0"/>
    <xf numFmtId="0" fontId="0" fillId="0" borderId="1" xfId="0" applyBorder="1"/>
    <xf numFmtId="0" fontId="3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164" fontId="8" fillId="2" borderId="1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5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center"/>
    </xf>
    <xf numFmtId="165" fontId="15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16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right" vertical="center" wrapText="1"/>
    </xf>
    <xf numFmtId="0" fontId="21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25" fillId="0" borderId="29" xfId="0" applyFont="1" applyBorder="1" applyAlignment="1">
      <alignment horizontal="right" vertical="center"/>
    </xf>
    <xf numFmtId="0" fontId="26" fillId="0" borderId="39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27" fillId="0" borderId="32" xfId="0" applyFon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2" fillId="0" borderId="31" xfId="0" applyFont="1" applyBorder="1"/>
    <xf numFmtId="0" fontId="28" fillId="0" borderId="42" xfId="0" applyFont="1" applyBorder="1" applyAlignment="1">
      <alignment vertical="center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8" fillId="0" borderId="44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9" fillId="0" borderId="16" xfId="0" applyFont="1" applyBorder="1" applyAlignment="1">
      <alignment horizontal="center" vertical="center" wrapText="1"/>
    </xf>
    <xf numFmtId="0" fontId="0" fillId="0" borderId="44" xfId="0" applyBorder="1"/>
    <xf numFmtId="0" fontId="28" fillId="0" borderId="44" xfId="0" applyFont="1" applyBorder="1" applyAlignment="1">
      <alignment vertical="top" wrapText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27" fillId="0" borderId="46" xfId="0" applyFon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8" fillId="0" borderId="48" xfId="0" applyFont="1" applyBorder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left"/>
    </xf>
    <xf numFmtId="2" fontId="0" fillId="0" borderId="27" xfId="0" applyNumberFormat="1" applyBorder="1" applyAlignment="1">
      <alignment horizontal="center"/>
    </xf>
    <xf numFmtId="0" fontId="0" fillId="0" borderId="27" xfId="0" applyBorder="1"/>
    <xf numFmtId="1" fontId="0" fillId="0" borderId="2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32" fillId="0" borderId="29" xfId="0" applyFont="1" applyBorder="1" applyAlignment="1">
      <alignment vertical="center" wrapText="1"/>
    </xf>
    <xf numFmtId="0" fontId="33" fillId="0" borderId="50" xfId="0" applyFont="1" applyBorder="1" applyAlignment="1">
      <alignment vertical="center"/>
    </xf>
    <xf numFmtId="0" fontId="26" fillId="0" borderId="51" xfId="0" applyFont="1" applyBorder="1" applyAlignment="1">
      <alignment vertic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/>
    <xf numFmtId="0" fontId="34" fillId="0" borderId="0" xfId="0" applyFont="1"/>
    <xf numFmtId="0" fontId="29" fillId="0" borderId="0" xfId="0" applyFont="1"/>
    <xf numFmtId="0" fontId="2" fillId="0" borderId="41" xfId="0" applyFont="1" applyBorder="1"/>
    <xf numFmtId="0" fontId="29" fillId="0" borderId="32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/>
    <xf numFmtId="0" fontId="29" fillId="0" borderId="1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34" fillId="0" borderId="45" xfId="0" applyFont="1" applyBorder="1" applyAlignment="1">
      <alignment horizontal="center"/>
    </xf>
    <xf numFmtId="0" fontId="35" fillId="0" borderId="46" xfId="0" applyFont="1" applyBorder="1" applyAlignment="1">
      <alignment horizontal="center"/>
    </xf>
    <xf numFmtId="0" fontId="34" fillId="0" borderId="48" xfId="0" applyFont="1" applyBorder="1" applyAlignment="1">
      <alignment horizontal="center"/>
    </xf>
    <xf numFmtId="0" fontId="0" fillId="0" borderId="29" xfId="0" applyBorder="1"/>
    <xf numFmtId="0" fontId="15" fillId="0" borderId="6" xfId="0" applyFont="1" applyBorder="1" applyAlignment="1">
      <alignment horizontal="center" vertical="center"/>
    </xf>
    <xf numFmtId="14" fontId="15" fillId="0" borderId="8" xfId="0" applyNumberFormat="1" applyFont="1" applyBorder="1" applyAlignment="1">
      <alignment horizontal="center" vertical="center" wrapText="1"/>
    </xf>
    <xf numFmtId="0" fontId="19" fillId="13" borderId="23" xfId="0" applyFont="1" applyFill="1" applyBorder="1" applyAlignment="1">
      <alignment vertical="center"/>
    </xf>
    <xf numFmtId="0" fontId="19" fillId="13" borderId="21" xfId="0" applyFont="1" applyFill="1" applyBorder="1" applyAlignment="1">
      <alignment vertical="center"/>
    </xf>
    <xf numFmtId="0" fontId="25" fillId="0" borderId="25" xfId="0" applyFont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19" fillId="0" borderId="25" xfId="0" applyFont="1" applyBorder="1" applyAlignment="1">
      <alignment vertical="center"/>
    </xf>
    <xf numFmtId="0" fontId="23" fillId="0" borderId="29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25" xfId="0" applyFont="1" applyBorder="1" applyAlignment="1">
      <alignment vertical="center"/>
    </xf>
    <xf numFmtId="0" fontId="37" fillId="0" borderId="51" xfId="0" applyFont="1" applyBorder="1" applyAlignment="1">
      <alignment vertical="center"/>
    </xf>
    <xf numFmtId="0" fontId="37" fillId="0" borderId="52" xfId="0" applyFont="1" applyBorder="1" applyAlignment="1">
      <alignment vertical="center"/>
    </xf>
    <xf numFmtId="0" fontId="38" fillId="0" borderId="49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40" fillId="14" borderId="41" xfId="0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horizontal="center" vertical="center"/>
    </xf>
    <xf numFmtId="0" fontId="41" fillId="14" borderId="32" xfId="0" applyFont="1" applyFill="1" applyBorder="1" applyAlignment="1">
      <alignment horizontal="center" vertical="center"/>
    </xf>
    <xf numFmtId="2" fontId="40" fillId="14" borderId="32" xfId="0" applyNumberFormat="1" applyFont="1" applyFill="1" applyBorder="1" applyAlignment="1">
      <alignment horizontal="center" vertical="center"/>
    </xf>
    <xf numFmtId="2" fontId="40" fillId="14" borderId="42" xfId="0" applyNumberFormat="1" applyFont="1" applyFill="1" applyBorder="1" applyAlignment="1">
      <alignment horizontal="center" vertical="center"/>
    </xf>
    <xf numFmtId="0" fontId="40" fillId="14" borderId="32" xfId="0" applyFont="1" applyFill="1" applyBorder="1" applyAlignment="1">
      <alignment vertical="center"/>
    </xf>
    <xf numFmtId="0" fontId="41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vertical="center"/>
    </xf>
    <xf numFmtId="0" fontId="40" fillId="14" borderId="33" xfId="0" applyFont="1" applyFill="1" applyBorder="1" applyAlignment="1">
      <alignment vertical="center"/>
    </xf>
    <xf numFmtId="2" fontId="40" fillId="14" borderId="41" xfId="0" applyNumberFormat="1" applyFont="1" applyFill="1" applyBorder="1" applyAlignment="1">
      <alignment horizontal="center" vertical="center"/>
    </xf>
    <xf numFmtId="0" fontId="40" fillId="14" borderId="42" xfId="0" applyFont="1" applyFill="1" applyBorder="1" applyAlignment="1">
      <alignment horizontal="center" vertical="center" wrapText="1"/>
    </xf>
    <xf numFmtId="0" fontId="40" fillId="14" borderId="42" xfId="0" applyFont="1" applyFill="1" applyBorder="1" applyAlignment="1">
      <alignment horizontal="center" vertical="center"/>
    </xf>
    <xf numFmtId="0" fontId="40" fillId="14" borderId="31" xfId="0" applyFont="1" applyFill="1" applyBorder="1" applyAlignment="1">
      <alignment horizontal="center" vertical="center"/>
    </xf>
    <xf numFmtId="0" fontId="40" fillId="14" borderId="33" xfId="0" applyFont="1" applyFill="1" applyBorder="1" applyAlignment="1">
      <alignment horizontal="center" vertical="center"/>
    </xf>
    <xf numFmtId="164" fontId="40" fillId="14" borderId="30" xfId="0" applyNumberFormat="1" applyFont="1" applyFill="1" applyBorder="1" applyAlignment="1">
      <alignment horizontal="center" vertical="center"/>
    </xf>
    <xf numFmtId="0" fontId="38" fillId="14" borderId="30" xfId="0" applyFont="1" applyFill="1" applyBorder="1" applyAlignment="1">
      <alignment horizontal="center" vertical="center" wrapText="1"/>
    </xf>
    <xf numFmtId="0" fontId="40" fillId="14" borderId="30" xfId="0" applyFont="1" applyFill="1" applyBorder="1" applyAlignment="1">
      <alignment horizontal="left" vertical="center"/>
    </xf>
    <xf numFmtId="0" fontId="4" fillId="0" borderId="1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40" fillId="0" borderId="43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40" fillId="0" borderId="1" xfId="0" applyNumberFormat="1" applyFont="1" applyBorder="1" applyAlignment="1">
      <alignment horizontal="center" vertical="center"/>
    </xf>
    <xf numFmtId="0" fontId="40" fillId="0" borderId="44" xfId="0" applyFont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41" fillId="0" borderId="44" xfId="0" applyFont="1" applyBorder="1" applyAlignment="1">
      <alignment horizontal="center" vertical="center"/>
    </xf>
    <xf numFmtId="0" fontId="40" fillId="0" borderId="16" xfId="0" applyFont="1" applyBorder="1" applyAlignment="1">
      <alignment vertical="center"/>
    </xf>
    <xf numFmtId="0" fontId="40" fillId="0" borderId="14" xfId="0" applyFont="1" applyBorder="1" applyAlignment="1">
      <alignment vertical="center"/>
    </xf>
    <xf numFmtId="2" fontId="40" fillId="0" borderId="43" xfId="0" applyNumberFormat="1" applyFont="1" applyBorder="1" applyAlignment="1">
      <alignment horizontal="center" vertical="center"/>
    </xf>
    <xf numFmtId="2" fontId="40" fillId="0" borderId="44" xfId="0" applyNumberFormat="1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4" xfId="0" applyFont="1" applyBorder="1" applyAlignment="1">
      <alignment horizontal="center" vertical="center"/>
    </xf>
    <xf numFmtId="164" fontId="40" fillId="0" borderId="57" xfId="0" applyNumberFormat="1" applyFont="1" applyBorder="1" applyAlignment="1">
      <alignment horizontal="center" vertical="center"/>
    </xf>
    <xf numFmtId="0" fontId="40" fillId="0" borderId="57" xfId="0" applyFont="1" applyBorder="1" applyAlignment="1">
      <alignment horizontal="center" vertical="center" wrapText="1"/>
    </xf>
    <xf numFmtId="0" fontId="40" fillId="0" borderId="57" xfId="0" applyFont="1" applyBorder="1" applyAlignment="1">
      <alignment horizontal="left" vertical="center"/>
    </xf>
    <xf numFmtId="0" fontId="40" fillId="14" borderId="43" xfId="0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2" fontId="40" fillId="14" borderId="1" xfId="0" applyNumberFormat="1" applyFont="1" applyFill="1" applyBorder="1" applyAlignment="1">
      <alignment horizontal="center" vertical="center"/>
    </xf>
    <xf numFmtId="2" fontId="40" fillId="14" borderId="44" xfId="0" applyNumberFormat="1" applyFont="1" applyFill="1" applyBorder="1" applyAlignment="1">
      <alignment horizontal="center" vertical="center"/>
    </xf>
    <xf numFmtId="0" fontId="40" fillId="14" borderId="1" xfId="0" applyFont="1" applyFill="1" applyBorder="1" applyAlignment="1">
      <alignment vertical="center"/>
    </xf>
    <xf numFmtId="0" fontId="41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vertical="center"/>
    </xf>
    <xf numFmtId="0" fontId="40" fillId="14" borderId="14" xfId="0" applyFont="1" applyFill="1" applyBorder="1" applyAlignment="1">
      <alignment vertical="center"/>
    </xf>
    <xf numFmtId="2" fontId="40" fillId="14" borderId="43" xfId="0" applyNumberFormat="1" applyFont="1" applyFill="1" applyBorder="1" applyAlignment="1">
      <alignment horizontal="center" vertical="center"/>
    </xf>
    <xf numFmtId="0" fontId="40" fillId="14" borderId="44" xfId="0" applyFont="1" applyFill="1" applyBorder="1" applyAlignment="1">
      <alignment horizontal="center" vertical="center"/>
    </xf>
    <xf numFmtId="0" fontId="40" fillId="14" borderId="16" xfId="0" applyFont="1" applyFill="1" applyBorder="1" applyAlignment="1">
      <alignment horizontal="center" vertical="center"/>
    </xf>
    <xf numFmtId="0" fontId="40" fillId="14" borderId="14" xfId="0" applyFont="1" applyFill="1" applyBorder="1" applyAlignment="1">
      <alignment horizontal="center" vertical="center"/>
    </xf>
    <xf numFmtId="164" fontId="40" fillId="14" borderId="57" xfId="0" applyNumberFormat="1" applyFont="1" applyFill="1" applyBorder="1" applyAlignment="1">
      <alignment horizontal="center" vertical="center"/>
    </xf>
    <xf numFmtId="0" fontId="40" fillId="14" borderId="57" xfId="0" applyFont="1" applyFill="1" applyBorder="1" applyAlignment="1">
      <alignment horizontal="center" vertical="center" wrapText="1"/>
    </xf>
    <xf numFmtId="0" fontId="40" fillId="14" borderId="57" xfId="0" applyFont="1" applyFill="1" applyBorder="1" applyAlignment="1">
      <alignment horizontal="left" vertical="center"/>
    </xf>
    <xf numFmtId="0" fontId="38" fillId="0" borderId="57" xfId="0" applyFont="1" applyBorder="1" applyAlignment="1">
      <alignment horizontal="center" vertical="center" wrapText="1"/>
    </xf>
    <xf numFmtId="0" fontId="41" fillId="0" borderId="57" xfId="0" applyFont="1" applyBorder="1" applyAlignment="1">
      <alignment horizontal="center" vertical="center" wrapText="1"/>
    </xf>
    <xf numFmtId="0" fontId="40" fillId="14" borderId="45" xfId="0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horizontal="center" vertical="center"/>
    </xf>
    <xf numFmtId="0" fontId="41" fillId="14" borderId="46" xfId="0" applyFont="1" applyFill="1" applyBorder="1" applyAlignment="1">
      <alignment horizontal="center" vertical="center"/>
    </xf>
    <xf numFmtId="2" fontId="40" fillId="14" borderId="46" xfId="0" applyNumberFormat="1" applyFont="1" applyFill="1" applyBorder="1" applyAlignment="1">
      <alignment horizontal="center" vertical="center"/>
    </xf>
    <xf numFmtId="2" fontId="40" fillId="14" borderId="48" xfId="0" applyNumberFormat="1" applyFont="1" applyFill="1" applyBorder="1" applyAlignment="1">
      <alignment horizontal="center" vertical="center"/>
    </xf>
    <xf numFmtId="0" fontId="40" fillId="14" borderId="46" xfId="0" applyFont="1" applyFill="1" applyBorder="1" applyAlignment="1">
      <alignment vertical="center"/>
    </xf>
    <xf numFmtId="0" fontId="41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vertical="center"/>
    </xf>
    <xf numFmtId="0" fontId="40" fillId="14" borderId="47" xfId="0" applyFont="1" applyFill="1" applyBorder="1" applyAlignment="1">
      <alignment vertical="center"/>
    </xf>
    <xf numFmtId="2" fontId="40" fillId="14" borderId="45" xfId="0" applyNumberFormat="1" applyFont="1" applyFill="1" applyBorder="1" applyAlignment="1">
      <alignment horizontal="center" vertical="center"/>
    </xf>
    <xf numFmtId="0" fontId="40" fillId="14" borderId="48" xfId="0" applyFont="1" applyFill="1" applyBorder="1" applyAlignment="1">
      <alignment horizontal="center" vertical="center" wrapText="1"/>
    </xf>
    <xf numFmtId="0" fontId="40" fillId="14" borderId="48" xfId="0" applyFont="1" applyFill="1" applyBorder="1" applyAlignment="1">
      <alignment horizontal="center" vertical="center"/>
    </xf>
    <xf numFmtId="0" fontId="40" fillId="14" borderId="49" xfId="0" applyFont="1" applyFill="1" applyBorder="1" applyAlignment="1">
      <alignment horizontal="center" vertical="center"/>
    </xf>
    <xf numFmtId="0" fontId="40" fillId="14" borderId="47" xfId="0" applyFont="1" applyFill="1" applyBorder="1" applyAlignment="1">
      <alignment horizontal="center" vertical="center"/>
    </xf>
    <xf numFmtId="164" fontId="40" fillId="14" borderId="54" xfId="0" applyNumberFormat="1" applyFont="1" applyFill="1" applyBorder="1" applyAlignment="1">
      <alignment horizontal="center" vertical="center"/>
    </xf>
    <xf numFmtId="0" fontId="41" fillId="14" borderId="54" xfId="0" applyFont="1" applyFill="1" applyBorder="1" applyAlignment="1">
      <alignment horizontal="center" vertical="center" wrapText="1"/>
    </xf>
    <xf numFmtId="0" fontId="40" fillId="14" borderId="54" xfId="0" applyFont="1" applyFill="1" applyBorder="1" applyAlignment="1">
      <alignment horizontal="left" vertical="center"/>
    </xf>
    <xf numFmtId="0" fontId="0" fillId="0" borderId="50" xfId="0" applyBorder="1"/>
    <xf numFmtId="0" fontId="0" fillId="0" borderId="51" xfId="0" applyBorder="1"/>
    <xf numFmtId="164" fontId="5" fillId="0" borderId="35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/>
    </xf>
    <xf numFmtId="2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164" fontId="0" fillId="0" borderId="51" xfId="0" applyNumberFormat="1" applyBorder="1" applyAlignment="1">
      <alignment horizontal="center"/>
    </xf>
    <xf numFmtId="0" fontId="0" fillId="0" borderId="51" xfId="0" applyBorder="1" applyAlignment="1">
      <alignment horizontal="center" vertical="top" wrapText="1"/>
    </xf>
    <xf numFmtId="0" fontId="0" fillId="0" borderId="52" xfId="0" applyBorder="1"/>
    <xf numFmtId="1" fontId="33" fillId="0" borderId="51" xfId="0" applyNumberFormat="1" applyFont="1" applyBorder="1" applyAlignment="1">
      <alignment vertical="center" wrapText="1"/>
    </xf>
    <xf numFmtId="1" fontId="33" fillId="0" borderId="52" xfId="0" applyNumberFormat="1" applyFont="1" applyBorder="1" applyAlignment="1">
      <alignment vertical="center" wrapText="1"/>
    </xf>
    <xf numFmtId="1" fontId="33" fillId="0" borderId="51" xfId="0" applyNumberFormat="1" applyFont="1" applyBorder="1" applyAlignment="1">
      <alignment vertical="center"/>
    </xf>
    <xf numFmtId="1" fontId="33" fillId="0" borderId="52" xfId="0" applyNumberFormat="1" applyFont="1" applyBorder="1" applyAlignment="1">
      <alignment vertical="center"/>
    </xf>
    <xf numFmtId="1" fontId="26" fillId="0" borderId="51" xfId="0" applyNumberFormat="1" applyFont="1" applyBorder="1" applyAlignment="1">
      <alignment vertical="center"/>
    </xf>
    <xf numFmtId="1" fontId="26" fillId="0" borderId="52" xfId="0" applyNumberFormat="1" applyFont="1" applyBorder="1" applyAlignment="1">
      <alignment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0" fillId="0" borderId="41" xfId="0" applyBorder="1"/>
    <xf numFmtId="0" fontId="35" fillId="0" borderId="33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3" xfId="0" applyBorder="1"/>
    <xf numFmtId="0" fontId="35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35" fillId="0" borderId="47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46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42" fillId="0" borderId="0" xfId="0" applyFont="1"/>
    <xf numFmtId="0" fontId="32" fillId="0" borderId="25" xfId="0" applyFont="1" applyBorder="1" applyAlignment="1">
      <alignment vertical="center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5" fillId="0" borderId="19" xfId="0" applyNumberFormat="1" applyFont="1" applyBorder="1" applyAlignment="1">
      <alignment horizontal="left"/>
    </xf>
    <xf numFmtId="164" fontId="5" fillId="0" borderId="19" xfId="0" applyNumberFormat="1" applyFont="1" applyBorder="1" applyAlignment="1">
      <alignment horizontal="center"/>
    </xf>
    <xf numFmtId="0" fontId="0" fillId="0" borderId="24" xfId="0" applyBorder="1"/>
    <xf numFmtId="0" fontId="0" fillId="0" borderId="49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57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22" xfId="0" applyBorder="1"/>
    <xf numFmtId="0" fontId="43" fillId="0" borderId="32" xfId="0" applyFont="1" applyBorder="1" applyAlignment="1">
      <alignment horizontal="center" vertical="center"/>
    </xf>
    <xf numFmtId="0" fontId="28" fillId="0" borderId="60" xfId="0" applyFont="1" applyBorder="1" applyAlignment="1">
      <alignment vertical="center" wrapText="1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60" xfId="0" applyNumberFormat="1" applyBorder="1" applyAlignment="1">
      <alignment horizontal="center" vertical="center"/>
    </xf>
    <xf numFmtId="164" fontId="0" fillId="0" borderId="63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2" fontId="0" fillId="0" borderId="64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0" fontId="44" fillId="0" borderId="4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right" vertical="center"/>
    </xf>
    <xf numFmtId="0" fontId="23" fillId="0" borderId="2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6" fillId="16" borderId="0" xfId="0" applyFont="1" applyFill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left" vertical="center" wrapText="1"/>
    </xf>
    <xf numFmtId="0" fontId="48" fillId="16" borderId="1" xfId="0" applyFont="1" applyFill="1" applyBorder="1" applyAlignment="1">
      <alignment horizontal="center" vertical="center"/>
    </xf>
    <xf numFmtId="0" fontId="48" fillId="16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vertical="center" wrapText="1"/>
    </xf>
    <xf numFmtId="0" fontId="49" fillId="0" borderId="24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44" fillId="0" borderId="46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50" fillId="0" borderId="32" xfId="0" applyFon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30" xfId="0" applyBorder="1"/>
    <xf numFmtId="0" fontId="28" fillId="0" borderId="42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8" fillId="0" borderId="44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top" wrapText="1"/>
    </xf>
    <xf numFmtId="0" fontId="0" fillId="0" borderId="6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50" fillId="0" borderId="12" xfId="0" applyFont="1" applyBorder="1" applyAlignment="1">
      <alignment horizontal="center" vertical="center"/>
    </xf>
    <xf numFmtId="2" fontId="0" fillId="0" borderId="68" xfId="0" applyNumberForma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6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vertical="center"/>
    </xf>
    <xf numFmtId="0" fontId="28" fillId="0" borderId="68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5" fillId="13" borderId="0" xfId="0" applyFont="1" applyFill="1"/>
    <xf numFmtId="1" fontId="35" fillId="13" borderId="0" xfId="0" applyNumberFormat="1" applyFont="1" applyFill="1"/>
    <xf numFmtId="0" fontId="35" fillId="13" borderId="20" xfId="0" applyFont="1" applyFill="1" applyBorder="1"/>
    <xf numFmtId="0" fontId="35" fillId="13" borderId="24" xfId="0" applyFont="1" applyFill="1" applyBorder="1"/>
    <xf numFmtId="0" fontId="22" fillId="13" borderId="26" xfId="0" applyFont="1" applyFill="1" applyBorder="1"/>
    <xf numFmtId="0" fontId="22" fillId="13" borderId="27" xfId="0" applyFont="1" applyFill="1" applyBorder="1"/>
    <xf numFmtId="0" fontId="34" fillId="13" borderId="27" xfId="0" applyFont="1" applyFill="1" applyBorder="1"/>
    <xf numFmtId="0" fontId="34" fillId="13" borderId="29" xfId="0" applyFont="1" applyFill="1" applyBorder="1"/>
    <xf numFmtId="0" fontId="34" fillId="13" borderId="19" xfId="0" applyFont="1" applyFill="1" applyBorder="1" applyAlignment="1">
      <alignment horizontal="center"/>
    </xf>
    <xf numFmtId="0" fontId="29" fillId="13" borderId="61" xfId="0" applyFont="1" applyFill="1" applyBorder="1" applyAlignment="1">
      <alignment horizontal="left"/>
    </xf>
    <xf numFmtId="0" fontId="29" fillId="13" borderId="0" xfId="0" applyFont="1" applyFill="1"/>
    <xf numFmtId="0" fontId="34" fillId="13" borderId="0" xfId="0" applyFont="1" applyFill="1" applyAlignment="1">
      <alignment horizontal="center" vertical="top" wrapText="1"/>
    </xf>
    <xf numFmtId="1" fontId="34" fillId="13" borderId="0" xfId="0" applyNumberFormat="1" applyFont="1" applyFill="1" applyAlignment="1">
      <alignment vertical="top" wrapText="1"/>
    </xf>
    <xf numFmtId="1" fontId="29" fillId="13" borderId="0" xfId="0" applyNumberFormat="1" applyFont="1" applyFill="1"/>
    <xf numFmtId="1" fontId="22" fillId="13" borderId="24" xfId="0" applyNumberFormat="1" applyFont="1" applyFill="1" applyBorder="1"/>
    <xf numFmtId="0" fontId="21" fillId="13" borderId="0" xfId="0" applyFont="1" applyFill="1" applyAlignment="1">
      <alignment horizontal="left"/>
    </xf>
    <xf numFmtId="0" fontId="21" fillId="13" borderId="24" xfId="0" applyFont="1" applyFill="1" applyBorder="1" applyAlignment="1">
      <alignment horizontal="left"/>
    </xf>
    <xf numFmtId="16" fontId="34" fillId="13" borderId="0" xfId="0" quotePrefix="1" applyNumberFormat="1" applyFont="1" applyFill="1"/>
    <xf numFmtId="0" fontId="34" fillId="13" borderId="0" xfId="0" applyFont="1" applyFill="1" applyAlignment="1">
      <alignment vertical="center"/>
    </xf>
    <xf numFmtId="0" fontId="34" fillId="13" borderId="0" xfId="0" applyFont="1" applyFill="1"/>
    <xf numFmtId="0" fontId="52" fillId="13" borderId="0" xfId="0" applyFont="1" applyFill="1" applyAlignment="1">
      <alignment horizontal="center" vertical="top"/>
    </xf>
    <xf numFmtId="0" fontId="53" fillId="13" borderId="24" xfId="0" applyFont="1" applyFill="1" applyBorder="1"/>
    <xf numFmtId="0" fontId="34" fillId="13" borderId="24" xfId="0" applyFont="1" applyFill="1" applyBorder="1"/>
    <xf numFmtId="0" fontId="34" fillId="18" borderId="40" xfId="0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vertical="top" wrapText="1"/>
    </xf>
    <xf numFmtId="0" fontId="34" fillId="13" borderId="19" xfId="0" applyFont="1" applyFill="1" applyBorder="1"/>
    <xf numFmtId="0" fontId="34" fillId="13" borderId="60" xfId="0" applyFont="1" applyFill="1" applyBorder="1"/>
    <xf numFmtId="0" fontId="53" fillId="13" borderId="0" xfId="0" applyFont="1" applyFill="1"/>
    <xf numFmtId="0" fontId="34" fillId="18" borderId="71" xfId="0" applyFont="1" applyFill="1" applyBorder="1" applyAlignment="1">
      <alignment horizontal="center"/>
    </xf>
    <xf numFmtId="0" fontId="34" fillId="13" borderId="69" xfId="0" applyFont="1" applyFill="1" applyBorder="1" applyAlignment="1">
      <alignment vertical="center"/>
    </xf>
    <xf numFmtId="0" fontId="21" fillId="13" borderId="0" xfId="0" applyFont="1" applyFill="1" applyAlignment="1">
      <alignment horizontal="center"/>
    </xf>
    <xf numFmtId="1" fontId="34" fillId="13" borderId="19" xfId="0" applyNumberFormat="1" applyFont="1" applyFill="1" applyBorder="1"/>
    <xf numFmtId="0" fontId="21" fillId="13" borderId="24" xfId="0" applyFont="1" applyFill="1" applyBorder="1"/>
    <xf numFmtId="0" fontId="34" fillId="13" borderId="26" xfId="0" applyFont="1" applyFill="1" applyBorder="1"/>
    <xf numFmtId="0" fontId="34" fillId="13" borderId="27" xfId="0" applyFont="1" applyFill="1" applyBorder="1" applyAlignment="1">
      <alignment horizontal="center"/>
    </xf>
    <xf numFmtId="1" fontId="53" fillId="13" borderId="24" xfId="0" applyNumberFormat="1" applyFont="1" applyFill="1" applyBorder="1" applyAlignment="1">
      <alignment vertical="top"/>
    </xf>
    <xf numFmtId="1" fontId="53" fillId="13" borderId="0" xfId="0" applyNumberFormat="1" applyFont="1" applyFill="1"/>
    <xf numFmtId="1" fontId="53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/>
    </xf>
    <xf numFmtId="1" fontId="35" fillId="13" borderId="0" xfId="0" applyNumberFormat="1" applyFont="1" applyFill="1" applyAlignment="1">
      <alignment horizontal="center" vertical="top"/>
    </xf>
    <xf numFmtId="0" fontId="53" fillId="13" borderId="19" xfId="0" applyFont="1" applyFill="1" applyBorder="1"/>
    <xf numFmtId="0" fontId="53" fillId="13" borderId="60" xfId="0" applyFont="1" applyFill="1" applyBorder="1"/>
    <xf numFmtId="1" fontId="35" fillId="13" borderId="17" xfId="0" applyNumberFormat="1" applyFont="1" applyFill="1" applyBorder="1" applyAlignment="1">
      <alignment horizontal="center"/>
    </xf>
    <xf numFmtId="2" fontId="35" fillId="13" borderId="0" xfId="0" applyNumberFormat="1" applyFont="1" applyFill="1" applyAlignment="1">
      <alignment horizontal="center"/>
    </xf>
    <xf numFmtId="1" fontId="35" fillId="13" borderId="19" xfId="0" applyNumberFormat="1" applyFont="1" applyFill="1" applyBorder="1" applyAlignment="1">
      <alignment horizontal="center" vertical="center"/>
    </xf>
    <xf numFmtId="2" fontId="35" fillId="13" borderId="60" xfId="0" applyNumberFormat="1" applyFont="1" applyFill="1" applyBorder="1" applyAlignment="1">
      <alignment horizontal="center" vertical="center"/>
    </xf>
    <xf numFmtId="1" fontId="29" fillId="7" borderId="13" xfId="0" applyNumberFormat="1" applyFont="1" applyFill="1" applyBorder="1" applyAlignment="1">
      <alignment vertical="center"/>
    </xf>
    <xf numFmtId="1" fontId="35" fillId="13" borderId="0" xfId="0" applyNumberFormat="1" applyFont="1" applyFill="1" applyAlignment="1">
      <alignment horizontal="center" vertical="center"/>
    </xf>
    <xf numFmtId="1" fontId="55" fillId="13" borderId="74" xfId="0" applyNumberFormat="1" applyFont="1" applyFill="1" applyBorder="1" applyAlignment="1">
      <alignment horizontal="center" vertical="center"/>
    </xf>
    <xf numFmtId="0" fontId="35" fillId="13" borderId="19" xfId="0" applyFont="1" applyFill="1" applyBorder="1" applyAlignment="1">
      <alignment horizontal="center" vertical="center"/>
    </xf>
    <xf numFmtId="0" fontId="35" fillId="13" borderId="60" xfId="0" applyFont="1" applyFill="1" applyBorder="1" applyAlignment="1">
      <alignment horizontal="center" vertical="center"/>
    </xf>
    <xf numFmtId="1" fontId="35" fillId="13" borderId="0" xfId="0" quotePrefix="1" applyNumberFormat="1" applyFont="1" applyFill="1" applyAlignment="1">
      <alignment horizontal="center" vertical="top"/>
    </xf>
    <xf numFmtId="49" fontId="35" fillId="13" borderId="0" xfId="0" applyNumberFormat="1" applyFont="1" applyFill="1" applyAlignment="1">
      <alignment horizontal="center" vertical="top"/>
    </xf>
    <xf numFmtId="1" fontId="35" fillId="13" borderId="24" xfId="0" applyNumberFormat="1" applyFont="1" applyFill="1" applyBorder="1" applyAlignment="1">
      <alignment horizontal="center" vertical="top"/>
    </xf>
    <xf numFmtId="1" fontId="35" fillId="13" borderId="17" xfId="0" applyNumberFormat="1" applyFont="1" applyFill="1" applyBorder="1" applyAlignment="1">
      <alignment horizontal="left"/>
    </xf>
    <xf numFmtId="0" fontId="56" fillId="13" borderId="0" xfId="0" applyFont="1" applyFill="1"/>
    <xf numFmtId="164" fontId="22" fillId="13" borderId="12" xfId="0" applyNumberFormat="1" applyFont="1" applyFill="1" applyBorder="1" applyAlignment="1">
      <alignment horizontal="center" vertical="center"/>
    </xf>
    <xf numFmtId="1" fontId="22" fillId="13" borderId="12" xfId="0" applyNumberFormat="1" applyFont="1" applyFill="1" applyBorder="1" applyAlignment="1">
      <alignment horizontal="center" vertical="center"/>
    </xf>
    <xf numFmtId="164" fontId="22" fillId="13" borderId="48" xfId="0" applyNumberFormat="1" applyFont="1" applyFill="1" applyBorder="1" applyAlignment="1">
      <alignment horizontal="center" vertical="center"/>
    </xf>
    <xf numFmtId="0" fontId="35" fillId="13" borderId="21" xfId="0" applyFont="1" applyFill="1" applyBorder="1"/>
    <xf numFmtId="1" fontId="53" fillId="13" borderId="0" xfId="0" applyNumberFormat="1" applyFont="1" applyFill="1" applyAlignment="1">
      <alignment vertical="top"/>
    </xf>
    <xf numFmtId="0" fontId="26" fillId="0" borderId="51" xfId="0" applyFont="1" applyBorder="1" applyAlignment="1">
      <alignment horizontal="center" vertical="center"/>
    </xf>
    <xf numFmtId="1" fontId="58" fillId="13" borderId="24" xfId="0" applyNumberFormat="1" applyFont="1" applyFill="1" applyBorder="1" applyAlignment="1">
      <alignment vertical="top"/>
    </xf>
    <xf numFmtId="0" fontId="6" fillId="13" borderId="0" xfId="0" applyFont="1" applyFill="1"/>
    <xf numFmtId="0" fontId="6" fillId="13" borderId="1" xfId="0" applyFont="1" applyFill="1" applyBorder="1" applyAlignment="1">
      <alignment horizontal="center" vertical="center"/>
    </xf>
    <xf numFmtId="0" fontId="64" fillId="13" borderId="14" xfId="0" applyFont="1" applyFill="1" applyBorder="1" applyAlignment="1">
      <alignment horizontal="center" vertical="center"/>
    </xf>
    <xf numFmtId="1" fontId="51" fillId="13" borderId="1" xfId="0" applyNumberFormat="1" applyFont="1" applyFill="1" applyBorder="1" applyAlignment="1">
      <alignment horizontal="center" vertical="center"/>
    </xf>
    <xf numFmtId="1" fontId="65" fillId="13" borderId="1" xfId="0" applyNumberFormat="1" applyFont="1" applyFill="1" applyBorder="1" applyAlignment="1">
      <alignment horizontal="center" vertical="center"/>
    </xf>
    <xf numFmtId="0" fontId="64" fillId="13" borderId="1" xfId="0" applyFont="1" applyFill="1" applyBorder="1" applyAlignment="1">
      <alignment horizontal="center" vertical="center"/>
    </xf>
    <xf numFmtId="0" fontId="64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0" borderId="1" xfId="0" applyFont="1" applyBorder="1"/>
    <xf numFmtId="0" fontId="66" fillId="1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3" fillId="13" borderId="0" xfId="0" applyFont="1" applyFill="1" applyAlignment="1">
      <alignment horizontal="center" vertical="center"/>
    </xf>
    <xf numFmtId="0" fontId="66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" fontId="65" fillId="0" borderId="0" xfId="0" applyNumberFormat="1" applyFont="1" applyAlignment="1">
      <alignment horizontal="center" vertical="center"/>
    </xf>
    <xf numFmtId="0" fontId="6" fillId="0" borderId="0" xfId="0" applyFont="1"/>
    <xf numFmtId="0" fontId="61" fillId="0" borderId="0" xfId="0" applyFont="1"/>
    <xf numFmtId="0" fontId="61" fillId="13" borderId="1" xfId="0" applyFont="1" applyFill="1" applyBorder="1"/>
    <xf numFmtId="0" fontId="62" fillId="13" borderId="1" xfId="0" applyFont="1" applyFill="1" applyBorder="1" applyAlignment="1">
      <alignment horizontal="center"/>
    </xf>
    <xf numFmtId="0" fontId="62" fillId="13" borderId="1" xfId="0" applyFont="1" applyFill="1" applyBorder="1" applyAlignment="1">
      <alignment horizontal="center" vertical="center"/>
    </xf>
    <xf numFmtId="0" fontId="67" fillId="0" borderId="0" xfId="0" applyFont="1" applyAlignment="1">
      <alignment horizontal="center"/>
    </xf>
    <xf numFmtId="0" fontId="61" fillId="13" borderId="1" xfId="0" applyFont="1" applyFill="1" applyBorder="1" applyAlignment="1">
      <alignment wrapText="1"/>
    </xf>
    <xf numFmtId="0" fontId="67" fillId="13" borderId="0" xfId="0" applyFont="1" applyFill="1" applyAlignment="1">
      <alignment horizontal="center"/>
    </xf>
    <xf numFmtId="1" fontId="0" fillId="13" borderId="0" xfId="0" applyNumberFormat="1" applyFill="1" applyAlignment="1">
      <alignment horizontal="center" vertical="center"/>
    </xf>
    <xf numFmtId="0" fontId="67" fillId="13" borderId="0" xfId="0" applyFont="1" applyFill="1"/>
    <xf numFmtId="166" fontId="67" fillId="13" borderId="0" xfId="0" applyNumberFormat="1" applyFont="1" applyFill="1" applyAlignment="1">
      <alignment horizontal="center"/>
    </xf>
    <xf numFmtId="1" fontId="35" fillId="13" borderId="17" xfId="0" applyNumberFormat="1" applyFont="1" applyFill="1" applyBorder="1" applyAlignment="1">
      <alignment horizontal="right"/>
    </xf>
    <xf numFmtId="1" fontId="29" fillId="13" borderId="0" xfId="0" applyNumberFormat="1" applyFont="1" applyFill="1" applyAlignment="1">
      <alignment wrapText="1"/>
    </xf>
    <xf numFmtId="1" fontId="54" fillId="13" borderId="0" xfId="0" applyNumberFormat="1" applyFont="1" applyFill="1" applyAlignment="1">
      <alignment horizontal="center" vertical="top"/>
    </xf>
    <xf numFmtId="164" fontId="61" fillId="0" borderId="0" xfId="0" applyNumberFormat="1" applyFont="1" applyAlignment="1">
      <alignment horizontal="center" vertical="center"/>
    </xf>
    <xf numFmtId="1" fontId="29" fillId="13" borderId="0" xfId="0" applyNumberFormat="1" applyFont="1" applyFill="1" applyAlignment="1">
      <alignment horizontal="right" vertical="top"/>
    </xf>
    <xf numFmtId="1" fontId="6" fillId="13" borderId="12" xfId="0" applyNumberFormat="1" applyFont="1" applyFill="1" applyBorder="1" applyAlignment="1">
      <alignment vertical="center"/>
    </xf>
    <xf numFmtId="1" fontId="67" fillId="13" borderId="1" xfId="0" applyNumberFormat="1" applyFont="1" applyFill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164" fontId="22" fillId="13" borderId="29" xfId="0" applyNumberFormat="1" applyFont="1" applyFill="1" applyBorder="1" applyAlignment="1">
      <alignment horizontal="center" vertical="center"/>
    </xf>
    <xf numFmtId="1" fontId="29" fillId="13" borderId="26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vertical="top"/>
    </xf>
    <xf numFmtId="1" fontId="29" fillId="13" borderId="27" xfId="0" applyNumberFormat="1" applyFont="1" applyFill="1" applyBorder="1" applyAlignment="1">
      <alignment horizontal="center" wrapText="1"/>
    </xf>
    <xf numFmtId="49" fontId="29" fillId="13" borderId="27" xfId="0" applyNumberFormat="1" applyFont="1" applyFill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64" fillId="13" borderId="66" xfId="0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65" fillId="13" borderId="13" xfId="0" applyNumberFormat="1" applyFont="1" applyFill="1" applyBorder="1" applyAlignment="1">
      <alignment horizontal="center" vertical="center"/>
    </xf>
    <xf numFmtId="0" fontId="61" fillId="22" borderId="46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6" xfId="0" applyFont="1" applyFill="1" applyBorder="1" applyAlignment="1">
      <alignment horizontal="center" vertical="center" wrapText="1"/>
    </xf>
    <xf numFmtId="0" fontId="59" fillId="13" borderId="39" xfId="0" applyFont="1" applyFill="1" applyBorder="1" applyAlignment="1">
      <alignment horizontal="center" vertical="center"/>
    </xf>
    <xf numFmtId="0" fontId="64" fillId="13" borderId="18" xfId="0" applyFont="1" applyFill="1" applyBorder="1" applyAlignment="1">
      <alignment horizontal="center" vertical="center"/>
    </xf>
    <xf numFmtId="0" fontId="6" fillId="13" borderId="12" xfId="0" applyFont="1" applyFill="1" applyBorder="1" applyAlignment="1">
      <alignment horizontal="center" vertical="center"/>
    </xf>
    <xf numFmtId="0" fontId="64" fillId="13" borderId="12" xfId="0" applyFont="1" applyFill="1" applyBorder="1" applyAlignment="1">
      <alignment horizontal="center" vertical="center"/>
    </xf>
    <xf numFmtId="0" fontId="70" fillId="0" borderId="8" xfId="0" applyFont="1" applyBorder="1" applyAlignment="1">
      <alignment horizontal="center" vertical="top" wrapText="1"/>
    </xf>
    <xf numFmtId="167" fontId="6" fillId="23" borderId="1" xfId="4" applyNumberFormat="1" applyFont="1" applyFill="1" applyBorder="1" applyAlignment="1">
      <alignment horizontal="center" vertical="center" wrapText="1"/>
    </xf>
    <xf numFmtId="164" fontId="61" fillId="23" borderId="1" xfId="4" applyNumberFormat="1" applyFont="1" applyFill="1" applyBorder="1" applyAlignment="1">
      <alignment horizontal="center" vertical="center" wrapText="1"/>
    </xf>
    <xf numFmtId="2" fontId="61" fillId="23" borderId="1" xfId="4" applyNumberFormat="1" applyFont="1" applyFill="1" applyBorder="1" applyAlignment="1">
      <alignment horizontal="center" vertical="center" wrapText="1"/>
    </xf>
    <xf numFmtId="1" fontId="61" fillId="23" borderId="1" xfId="4" applyNumberFormat="1" applyFont="1" applyFill="1" applyBorder="1" applyAlignment="1">
      <alignment horizontal="center" vertical="center" wrapText="1"/>
    </xf>
    <xf numFmtId="0" fontId="61" fillId="0" borderId="43" xfId="4" applyFont="1" applyBorder="1" applyAlignment="1">
      <alignment horizontal="center" vertical="center"/>
    </xf>
    <xf numFmtId="0" fontId="61" fillId="0" borderId="1" xfId="4" applyFont="1" applyBorder="1" applyAlignment="1">
      <alignment horizontal="center" vertical="center"/>
    </xf>
    <xf numFmtId="164" fontId="61" fillId="0" borderId="1" xfId="4" applyNumberFormat="1" applyFont="1" applyBorder="1" applyAlignment="1">
      <alignment horizontal="center" vertical="center"/>
    </xf>
    <xf numFmtId="0" fontId="61" fillId="0" borderId="67" xfId="4" applyFont="1" applyBorder="1" applyAlignment="1">
      <alignment horizontal="center" vertical="center"/>
    </xf>
    <xf numFmtId="0" fontId="61" fillId="0" borderId="85" xfId="4" applyFont="1" applyBorder="1" applyAlignment="1">
      <alignment horizontal="center" vertical="center" wrapText="1"/>
    </xf>
    <xf numFmtId="0" fontId="61" fillId="0" borderId="13" xfId="4" applyFont="1" applyBorder="1" applyAlignment="1">
      <alignment horizontal="center" vertical="center" wrapText="1"/>
    </xf>
    <xf numFmtId="0" fontId="61" fillId="0" borderId="45" xfId="4" applyFont="1" applyBorder="1" applyAlignment="1">
      <alignment horizontal="center" vertical="center"/>
    </xf>
    <xf numFmtId="0" fontId="61" fillId="0" borderId="12" xfId="4" applyFont="1" applyBorder="1" applyAlignment="1">
      <alignment horizontal="center" vertical="center"/>
    </xf>
    <xf numFmtId="0" fontId="61" fillId="0" borderId="46" xfId="4" applyFont="1" applyBorder="1" applyAlignment="1">
      <alignment horizontal="center" vertical="center"/>
    </xf>
    <xf numFmtId="0" fontId="61" fillId="0" borderId="41" xfId="4" applyFont="1" applyBorder="1" applyAlignment="1">
      <alignment horizontal="center" vertical="center" wrapText="1"/>
    </xf>
    <xf numFmtId="0" fontId="61" fillId="0" borderId="32" xfId="4" applyFont="1" applyBorder="1" applyAlignment="1">
      <alignment horizontal="center" vertical="center" wrapText="1"/>
    </xf>
    <xf numFmtId="0" fontId="61" fillId="17" borderId="34" xfId="4" applyFont="1" applyFill="1" applyBorder="1" applyAlignment="1">
      <alignment horizontal="center" vertical="center" wrapText="1"/>
    </xf>
    <xf numFmtId="0" fontId="61" fillId="17" borderId="35" xfId="4" applyFont="1" applyFill="1" applyBorder="1" applyAlignment="1">
      <alignment horizontal="center" vertical="center" wrapText="1"/>
    </xf>
    <xf numFmtId="0" fontId="61" fillId="17" borderId="36" xfId="4" applyFont="1" applyFill="1" applyBorder="1" applyAlignment="1">
      <alignment horizontal="center" vertical="center" wrapText="1"/>
    </xf>
    <xf numFmtId="2" fontId="61" fillId="0" borderId="1" xfId="4" applyNumberFormat="1" applyFont="1" applyBorder="1" applyAlignment="1">
      <alignment horizontal="center" vertical="center"/>
    </xf>
    <xf numFmtId="2" fontId="61" fillId="0" borderId="46" xfId="4" applyNumberFormat="1" applyFont="1" applyBorder="1" applyAlignment="1">
      <alignment horizontal="center" vertical="center"/>
    </xf>
    <xf numFmtId="0" fontId="61" fillId="0" borderId="84" xfId="4" applyFont="1" applyBorder="1" applyAlignment="1">
      <alignment horizontal="center" vertical="center"/>
    </xf>
    <xf numFmtId="0" fontId="61" fillId="0" borderId="42" xfId="4" applyFont="1" applyBorder="1" applyAlignment="1">
      <alignment horizontal="center" vertical="center"/>
    </xf>
    <xf numFmtId="0" fontId="61" fillId="0" borderId="79" xfId="4" applyFont="1" applyBorder="1" applyAlignment="1">
      <alignment horizontal="center" vertical="center"/>
    </xf>
    <xf numFmtId="1" fontId="61" fillId="0" borderId="13" xfId="4" applyNumberFormat="1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/>
    </xf>
    <xf numFmtId="2" fontId="61" fillId="0" borderId="13" xfId="4" applyNumberFormat="1" applyFont="1" applyBorder="1" applyAlignment="1">
      <alignment horizontal="center" vertical="center" wrapText="1"/>
    </xf>
    <xf numFmtId="164" fontId="61" fillId="0" borderId="32" xfId="4" applyNumberFormat="1" applyFont="1" applyBorder="1" applyAlignment="1">
      <alignment horizontal="center" vertical="center" wrapText="1"/>
    </xf>
    <xf numFmtId="164" fontId="61" fillId="0" borderId="42" xfId="4" applyNumberFormat="1" applyFont="1" applyBorder="1" applyAlignment="1">
      <alignment horizontal="center" vertical="center"/>
    </xf>
    <xf numFmtId="164" fontId="61" fillId="0" borderId="84" xfId="4" applyNumberFormat="1" applyFont="1" applyBorder="1" applyAlignment="1">
      <alignment horizontal="center" vertical="center"/>
    </xf>
    <xf numFmtId="164" fontId="61" fillId="0" borderId="46" xfId="4" applyNumberFormat="1" applyFont="1" applyBorder="1" applyAlignment="1">
      <alignment horizontal="center" vertical="center"/>
    </xf>
    <xf numFmtId="164" fontId="61" fillId="0" borderId="79" xfId="4" applyNumberFormat="1" applyFont="1" applyBorder="1" applyAlignment="1">
      <alignment horizontal="center" vertical="center"/>
    </xf>
    <xf numFmtId="2" fontId="61" fillId="0" borderId="12" xfId="4" applyNumberFormat="1" applyFont="1" applyBorder="1" applyAlignment="1">
      <alignment horizontal="center" vertical="center"/>
    </xf>
    <xf numFmtId="0" fontId="61" fillId="0" borderId="60" xfId="4" applyFont="1" applyBorder="1" applyAlignment="1">
      <alignment horizontal="center" vertical="center"/>
    </xf>
    <xf numFmtId="0" fontId="61" fillId="24" borderId="34" xfId="4" applyFont="1" applyFill="1" applyBorder="1" applyAlignment="1">
      <alignment horizontal="center" vertical="center"/>
    </xf>
    <xf numFmtId="164" fontId="61" fillId="24" borderId="36" xfId="4" applyNumberFormat="1" applyFont="1" applyFill="1" applyBorder="1" applyAlignment="1">
      <alignment horizontal="center" vertical="center"/>
    </xf>
    <xf numFmtId="164" fontId="61" fillId="24" borderId="35" xfId="4" applyNumberFormat="1" applyFont="1" applyFill="1" applyBorder="1" applyAlignment="1">
      <alignment horizontal="center" vertical="center"/>
    </xf>
    <xf numFmtId="1" fontId="61" fillId="24" borderId="35" xfId="4" applyNumberFormat="1" applyFont="1" applyFill="1" applyBorder="1" applyAlignment="1">
      <alignment horizontal="center" vertical="center"/>
    </xf>
    <xf numFmtId="1" fontId="61" fillId="24" borderId="36" xfId="4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65" fontId="15" fillId="0" borderId="10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2" fillId="0" borderId="0" xfId="4" applyFont="1" applyAlignment="1">
      <alignment horizontal="center" vertical="center"/>
    </xf>
    <xf numFmtId="0" fontId="17" fillId="13" borderId="0" xfId="4" applyFont="1" applyFill="1" applyAlignment="1">
      <alignment horizontal="center" vertical="center"/>
    </xf>
    <xf numFmtId="0" fontId="2" fillId="13" borderId="43" xfId="4" applyFont="1" applyFill="1" applyBorder="1" applyAlignment="1">
      <alignment horizontal="center" vertical="center" wrapText="1"/>
    </xf>
    <xf numFmtId="0" fontId="2" fillId="13" borderId="1" xfId="4" applyFont="1" applyFill="1" applyBorder="1" applyAlignment="1">
      <alignment horizontal="center" vertical="center"/>
    </xf>
    <xf numFmtId="0" fontId="2" fillId="13" borderId="1" xfId="4" applyFont="1" applyFill="1" applyBorder="1" applyAlignment="1">
      <alignment horizontal="center" vertical="center" wrapText="1"/>
    </xf>
    <xf numFmtId="0" fontId="2" fillId="13" borderId="44" xfId="4" applyFont="1" applyFill="1" applyBorder="1" applyAlignment="1">
      <alignment horizontal="center" vertical="center" wrapText="1"/>
    </xf>
    <xf numFmtId="0" fontId="59" fillId="13" borderId="0" xfId="4" applyFont="1" applyFill="1" applyAlignment="1">
      <alignment horizontal="center" vertical="center"/>
    </xf>
    <xf numFmtId="0" fontId="18" fillId="13" borderId="43" xfId="4" applyFont="1" applyFill="1" applyBorder="1" applyAlignment="1">
      <alignment horizontal="center" vertical="center" wrapText="1"/>
    </xf>
    <xf numFmtId="49" fontId="0" fillId="0" borderId="1" xfId="4" quotePrefix="1" applyNumberFormat="1" applyFont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/>
    </xf>
    <xf numFmtId="168" fontId="18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0" fontId="0" fillId="13" borderId="44" xfId="4" applyFont="1" applyFill="1" applyBorder="1" applyAlignment="1">
      <alignment horizontal="center" vertical="center" wrapText="1"/>
    </xf>
    <xf numFmtId="0" fontId="17" fillId="13" borderId="0" xfId="4" applyFont="1" applyFill="1" applyAlignment="1">
      <alignment horizontal="left" vertical="center"/>
    </xf>
    <xf numFmtId="168" fontId="0" fillId="0" borderId="1" xfId="0" applyNumberForma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72" fillId="13" borderId="0" xfId="4" applyFont="1" applyFill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 wrapText="1"/>
    </xf>
    <xf numFmtId="169" fontId="2" fillId="0" borderId="1" xfId="4" applyNumberFormat="1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8" fillId="0" borderId="1" xfId="4" applyFont="1" applyBorder="1" applyAlignment="1">
      <alignment horizontal="center" vertical="center"/>
    </xf>
    <xf numFmtId="0" fontId="72" fillId="0" borderId="0" xfId="4" applyFont="1" applyAlignment="1">
      <alignment horizontal="center" vertical="center" wrapText="1"/>
    </xf>
    <xf numFmtId="0" fontId="60" fillId="0" borderId="14" xfId="4" applyFont="1" applyBorder="1" applyAlignment="1">
      <alignment vertical="center"/>
    </xf>
    <xf numFmtId="0" fontId="60" fillId="0" borderId="15" xfId="4" applyFont="1" applyBorder="1" applyAlignment="1">
      <alignment vertical="center"/>
    </xf>
    <xf numFmtId="0" fontId="60" fillId="0" borderId="76" xfId="4" applyFont="1" applyBorder="1" applyAlignment="1">
      <alignment vertical="center"/>
    </xf>
    <xf numFmtId="0" fontId="60" fillId="0" borderId="20" xfId="4" applyFont="1" applyBorder="1" applyAlignment="1">
      <alignment vertical="center"/>
    </xf>
    <xf numFmtId="0" fontId="60" fillId="0" borderId="21" xfId="4" applyFont="1" applyBorder="1" applyAlignment="1">
      <alignment vertical="center"/>
    </xf>
    <xf numFmtId="0" fontId="60" fillId="0" borderId="23" xfId="4" applyFont="1" applyBorder="1" applyAlignment="1">
      <alignment vertical="center"/>
    </xf>
    <xf numFmtId="0" fontId="60" fillId="0" borderId="26" xfId="4" applyFont="1" applyBorder="1" applyAlignment="1">
      <alignment vertical="center"/>
    </xf>
    <xf numFmtId="0" fontId="60" fillId="0" borderId="27" xfId="4" applyFont="1" applyBorder="1" applyAlignment="1">
      <alignment vertical="center"/>
    </xf>
    <xf numFmtId="0" fontId="60" fillId="0" borderId="29" xfId="4" applyFont="1" applyBorder="1" applyAlignment="1">
      <alignment vertical="center"/>
    </xf>
    <xf numFmtId="0" fontId="2" fillId="13" borderId="16" xfId="4" applyFont="1" applyFill="1" applyBorder="1" applyAlignment="1">
      <alignment horizontal="center" vertical="center" wrapText="1"/>
    </xf>
    <xf numFmtId="0" fontId="18" fillId="13" borderId="16" xfId="4" applyFont="1" applyFill="1" applyBorder="1" applyAlignment="1">
      <alignment horizontal="center" vertical="center" wrapText="1"/>
    </xf>
    <xf numFmtId="0" fontId="0" fillId="13" borderId="43" xfId="4" applyFont="1" applyFill="1" applyBorder="1" applyAlignment="1">
      <alignment horizontal="center" vertical="center" wrapText="1"/>
    </xf>
    <xf numFmtId="164" fontId="29" fillId="13" borderId="34" xfId="0" applyNumberFormat="1" applyFont="1" applyFill="1" applyBorder="1" applyAlignment="1">
      <alignment horizontal="center" vertical="center"/>
    </xf>
    <xf numFmtId="1" fontId="29" fillId="13" borderId="35" xfId="0" applyNumberFormat="1" applyFont="1" applyFill="1" applyBorder="1" applyAlignment="1">
      <alignment horizontal="center" vertical="center"/>
    </xf>
    <xf numFmtId="0" fontId="29" fillId="13" borderId="36" xfId="0" applyFont="1" applyFill="1" applyBorder="1" applyAlignment="1">
      <alignment horizontal="center" vertical="center"/>
    </xf>
    <xf numFmtId="170" fontId="6" fillId="23" borderId="1" xfId="4" applyNumberFormat="1" applyFont="1" applyFill="1" applyBorder="1" applyAlignment="1">
      <alignment horizontal="center" vertical="center" wrapText="1"/>
    </xf>
    <xf numFmtId="0" fontId="15" fillId="13" borderId="8" xfId="0" applyFont="1" applyFill="1" applyBorder="1" applyAlignment="1">
      <alignment horizontal="center" vertical="center"/>
    </xf>
    <xf numFmtId="0" fontId="73" fillId="16" borderId="93" xfId="0" applyFont="1" applyFill="1" applyBorder="1" applyAlignment="1">
      <alignment horizontal="center" vertical="center" wrapText="1"/>
    </xf>
    <xf numFmtId="0" fontId="74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center" vertical="center" wrapText="1"/>
    </xf>
    <xf numFmtId="0" fontId="73" fillId="16" borderId="89" xfId="0" applyFont="1" applyFill="1" applyBorder="1" applyAlignment="1">
      <alignment horizontal="left" vertical="center" wrapText="1"/>
    </xf>
    <xf numFmtId="0" fontId="73" fillId="16" borderId="93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2" fillId="17" borderId="4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5" fillId="0" borderId="32" xfId="0" applyFont="1" applyBorder="1" applyAlignment="1">
      <alignment horizontal="center" vertical="center"/>
    </xf>
    <xf numFmtId="165" fontId="15" fillId="0" borderId="32" xfId="0" applyNumberFormat="1" applyFont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 applyAlignment="1">
      <alignment horizontal="center"/>
    </xf>
    <xf numFmtId="0" fontId="76" fillId="13" borderId="44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5" fillId="13" borderId="46" xfId="0" applyFont="1" applyFill="1" applyBorder="1" applyAlignment="1">
      <alignment horizontal="center" vertical="center"/>
    </xf>
    <xf numFmtId="165" fontId="15" fillId="13" borderId="46" xfId="0" applyNumberFormat="1" applyFont="1" applyFill="1" applyBorder="1" applyAlignment="1">
      <alignment horizontal="center" vertical="center"/>
    </xf>
    <xf numFmtId="0" fontId="75" fillId="0" borderId="46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6" xfId="0" applyBorder="1" applyAlignment="1">
      <alignment horizontal="center"/>
    </xf>
    <xf numFmtId="1" fontId="61" fillId="0" borderId="46" xfId="4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167" fontId="6" fillId="13" borderId="1" xfId="4" applyNumberFormat="1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77" fillId="0" borderId="1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0" applyFont="1" applyBorder="1" applyAlignment="1">
      <alignment horizontal="center" wrapText="1"/>
    </xf>
    <xf numFmtId="0" fontId="78" fillId="0" borderId="1" xfId="0" applyFont="1" applyBorder="1" applyAlignment="1">
      <alignment horizontal="center" vertical="center"/>
    </xf>
    <xf numFmtId="0" fontId="77" fillId="17" borderId="1" xfId="0" applyFont="1" applyFill="1" applyBorder="1" applyAlignment="1">
      <alignment horizontal="center" vertical="center"/>
    </xf>
    <xf numFmtId="0" fontId="78" fillId="17" borderId="1" xfId="0" applyFont="1" applyFill="1" applyBorder="1" applyAlignment="1">
      <alignment horizontal="center" vertical="center"/>
    </xf>
    <xf numFmtId="0" fontId="77" fillId="0" borderId="16" xfId="0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70" fontId="6" fillId="13" borderId="1" xfId="4" applyNumberFormat="1" applyFont="1" applyFill="1" applyBorder="1" applyAlignment="1">
      <alignment horizontal="center" vertical="center" wrapText="1"/>
    </xf>
    <xf numFmtId="1" fontId="61" fillId="0" borderId="32" xfId="4" applyNumberFormat="1" applyFont="1" applyBorder="1" applyAlignment="1">
      <alignment horizontal="center" vertical="center" wrapText="1"/>
    </xf>
    <xf numFmtId="1" fontId="61" fillId="0" borderId="12" xfId="4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61" fillId="0" borderId="1" xfId="4" applyFont="1" applyBorder="1" applyAlignment="1">
      <alignment horizontal="center" vertical="center" wrapText="1"/>
    </xf>
    <xf numFmtId="0" fontId="61" fillId="24" borderId="1" xfId="4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7" fontId="6" fillId="23" borderId="46" xfId="4" applyNumberFormat="1" applyFont="1" applyFill="1" applyBorder="1" applyAlignment="1">
      <alignment horizontal="center" vertical="center" wrapText="1"/>
    </xf>
    <xf numFmtId="168" fontId="18" fillId="13" borderId="0" xfId="4" applyNumberFormat="1" applyFont="1" applyFill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80" fillId="13" borderId="14" xfId="0" applyFont="1" applyFill="1" applyBorder="1" applyAlignment="1">
      <alignment horizontal="center" vertical="center"/>
    </xf>
    <xf numFmtId="0" fontId="79" fillId="13" borderId="1" xfId="0" applyFont="1" applyFill="1" applyBorder="1" applyAlignment="1">
      <alignment horizontal="center" vertical="center"/>
    </xf>
    <xf numFmtId="0" fontId="22" fillId="13" borderId="0" xfId="0" applyFont="1" applyFill="1"/>
    <xf numFmtId="0" fontId="22" fillId="13" borderId="25" xfId="0" applyFont="1" applyFill="1" applyBorder="1"/>
    <xf numFmtId="0" fontId="22" fillId="13" borderId="29" xfId="0" applyFont="1" applyFill="1" applyBorder="1"/>
    <xf numFmtId="1" fontId="29" fillId="13" borderId="19" xfId="0" applyNumberFormat="1" applyFont="1" applyFill="1" applyBorder="1" applyAlignment="1">
      <alignment horizontal="center" vertical="center"/>
    </xf>
    <xf numFmtId="2" fontId="29" fillId="13" borderId="60" xfId="0" applyNumberFormat="1" applyFont="1" applyFill="1" applyBorder="1" applyAlignment="1">
      <alignment horizontal="center" vertical="center"/>
    </xf>
    <xf numFmtId="0" fontId="29" fillId="13" borderId="19" xfId="0" applyFont="1" applyFill="1" applyBorder="1" applyAlignment="1">
      <alignment horizontal="center" vertical="center"/>
    </xf>
    <xf numFmtId="0" fontId="29" fillId="13" borderId="60" xfId="0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34" fillId="13" borderId="83" xfId="0" applyFont="1" applyFill="1" applyBorder="1"/>
    <xf numFmtId="0" fontId="34" fillId="13" borderId="78" xfId="0" applyFont="1" applyFill="1" applyBorder="1"/>
    <xf numFmtId="0" fontId="34" fillId="13" borderId="79" xfId="0" applyFont="1" applyFill="1" applyBorder="1"/>
    <xf numFmtId="0" fontId="29" fillId="13" borderId="25" xfId="0" applyFont="1" applyFill="1" applyBorder="1" applyAlignment="1">
      <alignment horizontal="center" vertical="center" wrapText="1"/>
    </xf>
    <xf numFmtId="0" fontId="34" fillId="13" borderId="25" xfId="0" applyFont="1" applyFill="1" applyBorder="1"/>
    <xf numFmtId="0" fontId="34" fillId="13" borderId="0" xfId="0" applyFont="1" applyFill="1" applyAlignment="1">
      <alignment horizontal="left"/>
    </xf>
    <xf numFmtId="0" fontId="21" fillId="13" borderId="0" xfId="0" applyFont="1" applyFill="1" applyAlignment="1">
      <alignment horizontal="left" vertical="top"/>
    </xf>
    <xf numFmtId="1" fontId="6" fillId="13" borderId="12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vertical="center"/>
    </xf>
    <xf numFmtId="0" fontId="0" fillId="29" borderId="1" xfId="0" applyFill="1" applyBorder="1"/>
    <xf numFmtId="0" fontId="81" fillId="0" borderId="1" xfId="0" applyFont="1" applyBorder="1" applyAlignment="1">
      <alignment horizontal="center" vertical="center" wrapText="1"/>
    </xf>
    <xf numFmtId="0" fontId="81" fillId="0" borderId="13" xfId="0" applyFont="1" applyBorder="1" applyAlignment="1">
      <alignment horizontal="center" vertical="center" wrapText="1"/>
    </xf>
    <xf numFmtId="0" fontId="81" fillId="0" borderId="14" xfId="0" applyFont="1" applyBorder="1" applyAlignment="1">
      <alignment horizontal="center" vertical="center" wrapText="1"/>
    </xf>
    <xf numFmtId="17" fontId="0" fillId="0" borderId="13" xfId="0" quotePrefix="1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6" fontId="15" fillId="0" borderId="1" xfId="0" applyNumberFormat="1" applyFont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49" fontId="0" fillId="15" borderId="1" xfId="4" quotePrefix="1" applyNumberFormat="1" applyFont="1" applyFill="1" applyBorder="1" applyAlignment="1">
      <alignment horizontal="center" vertical="center" wrapText="1"/>
    </xf>
    <xf numFmtId="0" fontId="0" fillId="15" borderId="1" xfId="0" quotePrefix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5" fillId="0" borderId="1" xfId="0" applyFont="1" applyBorder="1" applyAlignment="1">
      <alignment horizontal="center" wrapText="1"/>
    </xf>
    <xf numFmtId="1" fontId="34" fillId="13" borderId="24" xfId="0" applyNumberFormat="1" applyFont="1" applyFill="1" applyBorder="1" applyAlignment="1">
      <alignment vertical="top"/>
    </xf>
    <xf numFmtId="1" fontId="34" fillId="13" borderId="0" xfId="0" applyNumberFormat="1" applyFont="1" applyFill="1" applyAlignment="1">
      <alignment vertical="top"/>
    </xf>
    <xf numFmtId="1" fontId="34" fillId="13" borderId="0" xfId="0" applyNumberFormat="1" applyFont="1" applyFill="1"/>
    <xf numFmtId="1" fontId="34" fillId="13" borderId="0" xfId="0" applyNumberFormat="1" applyFont="1" applyFill="1" applyAlignment="1">
      <alignment horizontal="center"/>
    </xf>
    <xf numFmtId="1" fontId="29" fillId="13" borderId="0" xfId="0" applyNumberFormat="1" applyFont="1" applyFill="1" applyAlignment="1">
      <alignment horizontal="center"/>
    </xf>
    <xf numFmtId="1" fontId="29" fillId="13" borderId="17" xfId="0" applyNumberFormat="1" applyFont="1" applyFill="1" applyBorder="1" applyAlignment="1">
      <alignment horizontal="center"/>
    </xf>
    <xf numFmtId="1" fontId="29" fillId="13" borderId="17" xfId="0" applyNumberFormat="1" applyFont="1" applyFill="1" applyBorder="1" applyAlignment="1">
      <alignment horizontal="left"/>
    </xf>
    <xf numFmtId="2" fontId="29" fillId="13" borderId="0" xfId="0" applyNumberFormat="1" applyFont="1" applyFill="1" applyAlignment="1">
      <alignment horizontal="center"/>
    </xf>
    <xf numFmtId="1" fontId="22" fillId="13" borderId="74" xfId="0" applyNumberFormat="1" applyFont="1" applyFill="1" applyBorder="1" applyAlignment="1">
      <alignment horizontal="center" vertical="center"/>
    </xf>
    <xf numFmtId="1" fontId="29" fillId="13" borderId="0" xfId="0" quotePrefix="1" applyNumberFormat="1" applyFont="1" applyFill="1" applyAlignment="1">
      <alignment horizontal="center" vertical="top"/>
    </xf>
    <xf numFmtId="49" fontId="29" fillId="13" borderId="0" xfId="0" applyNumberFormat="1" applyFont="1" applyFill="1" applyAlignment="1">
      <alignment horizontal="center" vertical="top"/>
    </xf>
    <xf numFmtId="1" fontId="29" fillId="13" borderId="17" xfId="0" applyNumberFormat="1" applyFont="1" applyFill="1" applyBorder="1" applyAlignment="1">
      <alignment horizontal="right"/>
    </xf>
    <xf numFmtId="0" fontId="29" fillId="13" borderId="25" xfId="0" applyFont="1" applyFill="1" applyBorder="1" applyAlignment="1">
      <alignment horizontal="center" vertical="center"/>
    </xf>
    <xf numFmtId="0" fontId="29" fillId="13" borderId="24" xfId="0" applyFont="1" applyFill="1" applyBorder="1"/>
    <xf numFmtId="1" fontId="29" fillId="13" borderId="0" xfId="0" applyNumberFormat="1" applyFont="1" applyFill="1" applyAlignment="1">
      <alignment horizontal="left" vertical="center"/>
    </xf>
    <xf numFmtId="0" fontId="0" fillId="0" borderId="82" xfId="0" applyBorder="1"/>
    <xf numFmtId="0" fontId="0" fillId="0" borderId="67" xfId="0" applyBorder="1"/>
    <xf numFmtId="0" fontId="15" fillId="0" borderId="0" xfId="0" applyFont="1"/>
    <xf numFmtId="0" fontId="15" fillId="2" borderId="43" xfId="0" applyFont="1" applyFill="1" applyBorder="1" applyAlignment="1">
      <alignment horizontal="center" vertical="center" wrapText="1"/>
    </xf>
    <xf numFmtId="164" fontId="15" fillId="2" borderId="1" xfId="0" applyNumberFormat="1" applyFont="1" applyFill="1" applyBorder="1" applyAlignment="1">
      <alignment horizontal="center" vertical="center"/>
    </xf>
    <xf numFmtId="164" fontId="84" fillId="23" borderId="1" xfId="4" applyNumberFormat="1" applyFont="1" applyFill="1" applyBorder="1" applyAlignment="1">
      <alignment horizontal="center" vertical="center" wrapText="1"/>
    </xf>
    <xf numFmtId="1" fontId="15" fillId="2" borderId="44" xfId="0" applyNumberFormat="1" applyFont="1" applyFill="1" applyBorder="1" applyAlignment="1">
      <alignment horizontal="left" vertical="center" wrapText="1"/>
    </xf>
    <xf numFmtId="172" fontId="15" fillId="2" borderId="44" xfId="5" applyNumberFormat="1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center" vertical="center"/>
    </xf>
    <xf numFmtId="1" fontId="15" fillId="2" borderId="44" xfId="0" applyNumberFormat="1" applyFont="1" applyFill="1" applyBorder="1" applyAlignment="1">
      <alignment horizontal="center" vertical="center" wrapText="1"/>
    </xf>
    <xf numFmtId="0" fontId="15" fillId="2" borderId="45" xfId="0" applyFont="1" applyFill="1" applyBorder="1" applyAlignment="1">
      <alignment horizontal="center" vertical="center" wrapText="1"/>
    </xf>
    <xf numFmtId="2" fontId="84" fillId="23" borderId="46" xfId="4" applyNumberFormat="1" applyFont="1" applyFill="1" applyBorder="1" applyAlignment="1">
      <alignment horizontal="center" vertical="center" wrapText="1"/>
    </xf>
    <xf numFmtId="1" fontId="15" fillId="2" borderId="48" xfId="0" applyNumberFormat="1" applyFont="1" applyFill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 wrapText="1"/>
    </xf>
    <xf numFmtId="0" fontId="15" fillId="0" borderId="67" xfId="0" applyFont="1" applyBorder="1"/>
    <xf numFmtId="0" fontId="1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center"/>
    </xf>
    <xf numFmtId="0" fontId="14" fillId="0" borderId="76" xfId="0" applyFont="1" applyBorder="1" applyAlignment="1">
      <alignment horizontal="right" indent="1"/>
    </xf>
    <xf numFmtId="0" fontId="15" fillId="0" borderId="45" xfId="0" applyFont="1" applyBorder="1"/>
    <xf numFmtId="1" fontId="14" fillId="2" borderId="1" xfId="0" applyNumberFormat="1" applyFont="1" applyFill="1" applyBorder="1" applyAlignment="1">
      <alignment horizontal="center" vertical="center"/>
    </xf>
    <xf numFmtId="0" fontId="14" fillId="0" borderId="15" xfId="0" applyFont="1" applyBorder="1"/>
    <xf numFmtId="0" fontId="14" fillId="0" borderId="76" xfId="0" applyFont="1" applyBorder="1"/>
    <xf numFmtId="0" fontId="14" fillId="0" borderId="17" xfId="0" applyFont="1" applyBorder="1" applyAlignment="1">
      <alignment horizontal="right"/>
    </xf>
    <xf numFmtId="0" fontId="14" fillId="0" borderId="17" xfId="0" applyFont="1" applyBorder="1" applyAlignment="1">
      <alignment horizontal="left"/>
    </xf>
    <xf numFmtId="0" fontId="14" fillId="0" borderId="17" xfId="0" applyFont="1" applyBorder="1" applyAlignment="1">
      <alignment horizontal="center"/>
    </xf>
    <xf numFmtId="0" fontId="14" fillId="0" borderId="59" xfId="0" applyFont="1" applyBorder="1"/>
    <xf numFmtId="0" fontId="14" fillId="0" borderId="27" xfId="0" applyFont="1" applyBorder="1" applyAlignment="1">
      <alignment horizontal="right"/>
    </xf>
    <xf numFmtId="0" fontId="14" fillId="0" borderId="27" xfId="0" applyFont="1" applyBorder="1" applyAlignment="1">
      <alignment horizontal="center"/>
    </xf>
    <xf numFmtId="0" fontId="14" fillId="0" borderId="27" xfId="0" applyFont="1" applyBorder="1"/>
    <xf numFmtId="0" fontId="14" fillId="0" borderId="29" xfId="0" applyFont="1" applyBorder="1" applyAlignment="1">
      <alignment horizontal="left"/>
    </xf>
    <xf numFmtId="164" fontId="14" fillId="2" borderId="1" xfId="0" applyNumberFormat="1" applyFont="1" applyFill="1" applyBorder="1" applyAlignment="1">
      <alignment horizontal="center" vertical="center"/>
    </xf>
    <xf numFmtId="167" fontId="61" fillId="23" borderId="1" xfId="4" applyNumberFormat="1" applyFont="1" applyFill="1" applyBorder="1" applyAlignment="1">
      <alignment horizontal="center" vertical="center" wrapText="1"/>
    </xf>
    <xf numFmtId="1" fontId="15" fillId="0" borderId="46" xfId="0" applyNumberFormat="1" applyFont="1" applyBorder="1" applyAlignment="1">
      <alignment horizontal="center" vertical="center"/>
    </xf>
    <xf numFmtId="167" fontId="61" fillId="23" borderId="46" xfId="4" applyNumberFormat="1" applyFont="1" applyFill="1" applyBorder="1" applyAlignment="1">
      <alignment horizontal="center" vertical="center" wrapText="1"/>
    </xf>
    <xf numFmtId="14" fontId="14" fillId="0" borderId="15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0" fillId="0" borderId="68" xfId="0" applyBorder="1"/>
    <xf numFmtId="0" fontId="14" fillId="0" borderId="48" xfId="0" applyFont="1" applyBorder="1"/>
    <xf numFmtId="0" fontId="14" fillId="0" borderId="68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168" fontId="18" fillId="13" borderId="14" xfId="4" applyNumberFormat="1" applyFont="1" applyFill="1" applyBorder="1" applyAlignment="1">
      <alignment horizontal="center" vertical="center"/>
    </xf>
    <xf numFmtId="0" fontId="69" fillId="13" borderId="8" xfId="0" applyFont="1" applyFill="1" applyBorder="1" applyAlignment="1">
      <alignment horizontal="center" vertical="center"/>
    </xf>
    <xf numFmtId="165" fontId="69" fillId="13" borderId="8" xfId="0" applyNumberFormat="1" applyFont="1" applyFill="1" applyBorder="1" applyAlignment="1">
      <alignment horizontal="center" vertical="center"/>
    </xf>
    <xf numFmtId="165" fontId="69" fillId="13" borderId="7" xfId="0" applyNumberFormat="1" applyFont="1" applyFill="1" applyBorder="1" applyAlignment="1">
      <alignment horizontal="center" vertical="center"/>
    </xf>
    <xf numFmtId="165" fontId="69" fillId="13" borderId="6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9" fillId="13" borderId="1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14" fontId="14" fillId="0" borderId="27" xfId="0" applyNumberFormat="1" applyFont="1" applyBorder="1" applyAlignment="1">
      <alignment horizontal="left"/>
    </xf>
    <xf numFmtId="173" fontId="61" fillId="0" borderId="46" xfId="4" applyNumberFormat="1" applyFont="1" applyBorder="1" applyAlignment="1">
      <alignment horizontal="center" vertical="center"/>
    </xf>
    <xf numFmtId="14" fontId="32" fillId="15" borderId="44" xfId="4" applyNumberFormat="1" applyFont="1" applyFill="1" applyBorder="1" applyAlignment="1">
      <alignment horizontal="right" vertical="center"/>
    </xf>
    <xf numFmtId="0" fontId="15" fillId="13" borderId="8" xfId="0" applyFont="1" applyFill="1" applyBorder="1" applyAlignment="1">
      <alignment horizontal="center" vertical="center" wrapText="1"/>
    </xf>
    <xf numFmtId="0" fontId="0" fillId="13" borderId="0" xfId="0" applyFill="1"/>
    <xf numFmtId="0" fontId="16" fillId="13" borderId="1" xfId="0" applyFont="1" applyFill="1" applyBorder="1" applyAlignment="1">
      <alignment horizontal="center" vertical="center" wrapText="1"/>
    </xf>
    <xf numFmtId="16" fontId="15" fillId="13" borderId="1" xfId="0" applyNumberFormat="1" applyFont="1" applyFill="1" applyBorder="1" applyAlignment="1">
      <alignment horizontal="center" vertical="center" wrapText="1"/>
    </xf>
    <xf numFmtId="14" fontId="15" fillId="13" borderId="9" xfId="0" applyNumberFormat="1" applyFont="1" applyFill="1" applyBorder="1" applyAlignment="1">
      <alignment horizontal="center" vertical="center" wrapText="1"/>
    </xf>
    <xf numFmtId="14" fontId="15" fillId="13" borderId="8" xfId="0" applyNumberFormat="1" applyFont="1" applyFill="1" applyBorder="1" applyAlignment="1">
      <alignment horizontal="center" vertical="center" wrapText="1"/>
    </xf>
    <xf numFmtId="14" fontId="15" fillId="13" borderId="6" xfId="0" applyNumberFormat="1" applyFont="1" applyFill="1" applyBorder="1" applyAlignment="1">
      <alignment horizontal="center" vertical="center" wrapText="1"/>
    </xf>
    <xf numFmtId="16" fontId="15" fillId="13" borderId="8" xfId="0" applyNumberFormat="1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16" fontId="15" fillId="13" borderId="7" xfId="0" applyNumberFormat="1" applyFont="1" applyFill="1" applyBorder="1" applyAlignment="1">
      <alignment horizontal="center" vertical="center" wrapText="1"/>
    </xf>
    <xf numFmtId="14" fontId="15" fillId="13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wrapText="1"/>
    </xf>
    <xf numFmtId="0" fontId="0" fillId="13" borderId="0" xfId="0" applyFill="1" applyAlignment="1">
      <alignment horizontal="center" vertical="center"/>
    </xf>
    <xf numFmtId="0" fontId="3" fillId="13" borderId="1" xfId="0" applyFont="1" applyFill="1" applyBorder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85" fillId="13" borderId="1" xfId="0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14" fillId="15" borderId="52" xfId="0" applyFont="1" applyFill="1" applyBorder="1" applyAlignment="1">
      <alignment horizontal="right"/>
    </xf>
    <xf numFmtId="164" fontId="15" fillId="0" borderId="1" xfId="0" applyNumberFormat="1" applyFont="1" applyBorder="1" applyAlignment="1">
      <alignment horizontal="center" vertical="center"/>
    </xf>
    <xf numFmtId="164" fontId="6" fillId="23" borderId="1" xfId="4" applyNumberFormat="1" applyFont="1" applyFill="1" applyBorder="1" applyAlignment="1">
      <alignment horizontal="center" vertical="center" wrapText="1"/>
    </xf>
    <xf numFmtId="164" fontId="15" fillId="0" borderId="46" xfId="0" applyNumberFormat="1" applyFont="1" applyBorder="1" applyAlignment="1">
      <alignment horizontal="center" vertical="center"/>
    </xf>
    <xf numFmtId="164" fontId="6" fillId="23" borderId="46" xfId="4" applyNumberFormat="1" applyFont="1" applyFill="1" applyBorder="1" applyAlignment="1">
      <alignment horizontal="center" vertical="center" wrapText="1"/>
    </xf>
    <xf numFmtId="0" fontId="0" fillId="0" borderId="80" xfId="0" applyBorder="1"/>
    <xf numFmtId="0" fontId="0" fillId="0" borderId="76" xfId="0" applyBorder="1"/>
    <xf numFmtId="0" fontId="2" fillId="0" borderId="76" xfId="0" applyFont="1" applyBorder="1" applyAlignment="1">
      <alignment horizontal="right"/>
    </xf>
    <xf numFmtId="0" fontId="61" fillId="0" borderId="80" xfId="4" applyFont="1" applyBorder="1" applyAlignment="1">
      <alignment horizontal="center" vertical="center" wrapText="1"/>
    </xf>
    <xf numFmtId="1" fontId="61" fillId="0" borderId="1" xfId="4" applyNumberFormat="1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165" fontId="69" fillId="13" borderId="10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69" fillId="13" borderId="9" xfId="0" applyFont="1" applyFill="1" applyBorder="1" applyAlignment="1">
      <alignment horizontal="center" vertical="center"/>
    </xf>
    <xf numFmtId="165" fontId="69" fillId="13" borderId="9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69" fillId="13" borderId="1" xfId="0" applyFont="1" applyFill="1" applyBorder="1" applyAlignment="1">
      <alignment horizontal="center" vertical="center"/>
    </xf>
    <xf numFmtId="165" fontId="69" fillId="1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/>
    </xf>
    <xf numFmtId="14" fontId="18" fillId="0" borderId="1" xfId="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6" xfId="0" applyFont="1" applyBorder="1" applyAlignment="1">
      <alignment horizontal="center" vertical="center"/>
    </xf>
    <xf numFmtId="0" fontId="0" fillId="18" borderId="41" xfId="0" applyFill="1" applyBorder="1" applyAlignment="1">
      <alignment horizontal="center" vertical="center"/>
    </xf>
    <xf numFmtId="0" fontId="0" fillId="18" borderId="32" xfId="0" applyFill="1" applyBorder="1" applyAlignment="1">
      <alignment horizontal="center" vertical="center"/>
    </xf>
    <xf numFmtId="0" fontId="0" fillId="18" borderId="32" xfId="0" applyFill="1" applyBorder="1" applyAlignment="1">
      <alignment horizontal="left" vertical="center"/>
    </xf>
    <xf numFmtId="0" fontId="0" fillId="18" borderId="32" xfId="0" applyFill="1" applyBorder="1" applyAlignment="1">
      <alignment vertical="center" wrapText="1"/>
    </xf>
    <xf numFmtId="0" fontId="9" fillId="18" borderId="32" xfId="7" applyFont="1" applyFill="1" applyBorder="1" applyAlignment="1">
      <alignment horizontal="center" vertical="center" wrapText="1"/>
    </xf>
    <xf numFmtId="0" fontId="0" fillId="18" borderId="32" xfId="0" applyFill="1" applyBorder="1" applyAlignment="1">
      <alignment horizontal="center" vertical="center" wrapText="1"/>
    </xf>
    <xf numFmtId="0" fontId="0" fillId="18" borderId="80" xfId="0" applyFill="1" applyBorder="1" applyAlignment="1">
      <alignment horizontal="center" vertical="center" wrapText="1"/>
    </xf>
    <xf numFmtId="0" fontId="0" fillId="18" borderId="42" xfId="0" applyFill="1" applyBorder="1" applyAlignment="1">
      <alignment vertical="center" wrapText="1"/>
    </xf>
    <xf numFmtId="0" fontId="0" fillId="18" borderId="43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/>
    </xf>
    <xf numFmtId="0" fontId="0" fillId="18" borderId="1" xfId="0" applyFill="1" applyBorder="1" applyAlignment="1">
      <alignment vertical="center" wrapText="1"/>
    </xf>
    <xf numFmtId="0" fontId="9" fillId="18" borderId="1" xfId="7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/>
    </xf>
    <xf numFmtId="0" fontId="0" fillId="18" borderId="44" xfId="0" applyFill="1" applyBorder="1" applyAlignment="1">
      <alignment vertical="center" wrapText="1"/>
    </xf>
    <xf numFmtId="0" fontId="0" fillId="18" borderId="44" xfId="0" applyFill="1" applyBorder="1" applyAlignment="1">
      <alignment vertical="center"/>
    </xf>
    <xf numFmtId="0" fontId="0" fillId="18" borderId="45" xfId="0" applyFill="1" applyBorder="1" applyAlignment="1">
      <alignment horizontal="center" vertical="center"/>
    </xf>
    <xf numFmtId="0" fontId="0" fillId="18" borderId="46" xfId="0" applyFill="1" applyBorder="1" applyAlignment="1">
      <alignment horizontal="center" vertical="center"/>
    </xf>
    <xf numFmtId="0" fontId="0" fillId="18" borderId="46" xfId="0" applyFill="1" applyBorder="1" applyAlignment="1">
      <alignment horizontal="left" vertical="center"/>
    </xf>
    <xf numFmtId="0" fontId="0" fillId="18" borderId="46" xfId="0" applyFill="1" applyBorder="1" applyAlignment="1">
      <alignment vertical="center" wrapText="1"/>
    </xf>
    <xf numFmtId="0" fontId="9" fillId="18" borderId="46" xfId="7" applyFont="1" applyFill="1" applyBorder="1" applyAlignment="1">
      <alignment horizontal="center" vertical="center" wrapText="1"/>
    </xf>
    <xf numFmtId="0" fontId="0" fillId="18" borderId="46" xfId="0" applyFill="1" applyBorder="1" applyAlignment="1">
      <alignment horizontal="center" vertical="center" wrapText="1"/>
    </xf>
    <xf numFmtId="0" fontId="0" fillId="18" borderId="48" xfId="0" applyFill="1" applyBorder="1" applyAlignment="1">
      <alignment vertical="center"/>
    </xf>
    <xf numFmtId="1" fontId="6" fillId="13" borderId="1" xfId="0" applyNumberFormat="1" applyFont="1" applyFill="1" applyBorder="1" applyAlignment="1">
      <alignment vertical="center"/>
    </xf>
    <xf numFmtId="0" fontId="1" fillId="8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86" fillId="16" borderId="1" xfId="0" applyFont="1" applyFill="1" applyBorder="1" applyAlignment="1">
      <alignment horizontal="center" vertical="center" wrapText="1" readingOrder="1"/>
    </xf>
    <xf numFmtId="0" fontId="86" fillId="16" borderId="1" xfId="0" applyFont="1" applyFill="1" applyBorder="1" applyAlignment="1">
      <alignment horizontal="center" vertical="center" readingOrder="1"/>
    </xf>
    <xf numFmtId="0" fontId="86" fillId="16" borderId="1" xfId="0" applyFont="1" applyFill="1" applyBorder="1" applyAlignment="1">
      <alignment horizontal="left" vertical="center" wrapText="1" readingOrder="1"/>
    </xf>
    <xf numFmtId="0" fontId="86" fillId="16" borderId="1" xfId="0" applyFont="1" applyFill="1" applyBorder="1" applyAlignment="1">
      <alignment vertical="center" wrapText="1" readingOrder="1"/>
    </xf>
    <xf numFmtId="0" fontId="86" fillId="16" borderId="1" xfId="0" applyFont="1" applyFill="1" applyBorder="1" applyAlignment="1">
      <alignment horizontal="left" wrapText="1" readingOrder="1"/>
    </xf>
    <xf numFmtId="0" fontId="89" fillId="0" borderId="0" xfId="0" applyFont="1"/>
    <xf numFmtId="0" fontId="90" fillId="0" borderId="8" xfId="0" applyFont="1" applyBorder="1" applyAlignment="1">
      <alignment horizontal="center" vertical="center" wrapText="1" readingOrder="1"/>
    </xf>
    <xf numFmtId="0" fontId="88" fillId="0" borderId="34" xfId="0" applyFont="1" applyBorder="1" applyAlignment="1">
      <alignment horizontal="left" vertical="center" wrapText="1" indent="5" readingOrder="1"/>
    </xf>
    <xf numFmtId="0" fontId="88" fillId="0" borderId="35" xfId="0" applyFont="1" applyBorder="1" applyAlignment="1">
      <alignment horizontal="center" vertical="center" wrapText="1" readingOrder="1"/>
    </xf>
    <xf numFmtId="0" fontId="88" fillId="0" borderId="36" xfId="0" applyFont="1" applyBorder="1" applyAlignment="1">
      <alignment horizontal="center" vertical="center" wrapText="1" readingOrder="1"/>
    </xf>
    <xf numFmtId="0" fontId="90" fillId="0" borderId="10" xfId="0" applyFont="1" applyBorder="1" applyAlignment="1">
      <alignment horizontal="center" vertical="center" wrapText="1" readingOrder="1"/>
    </xf>
    <xf numFmtId="0" fontId="90" fillId="0" borderId="104" xfId="0" applyFont="1" applyBorder="1" applyAlignment="1">
      <alignment vertical="center" wrapText="1" readingOrder="1"/>
    </xf>
    <xf numFmtId="0" fontId="90" fillId="0" borderId="101" xfId="0" applyFont="1" applyBorder="1" applyAlignment="1">
      <alignment horizontal="center" vertical="center" wrapText="1" readingOrder="1"/>
    </xf>
    <xf numFmtId="0" fontId="90" fillId="0" borderId="105" xfId="0" applyFont="1" applyBorder="1" applyAlignment="1">
      <alignment horizontal="center" vertical="center" wrapText="1" readingOrder="1"/>
    </xf>
    <xf numFmtId="0" fontId="90" fillId="0" borderId="127" xfId="0" applyFont="1" applyBorder="1" applyAlignment="1">
      <alignment vertical="center" wrapText="1" readingOrder="1"/>
    </xf>
    <xf numFmtId="0" fontId="90" fillId="0" borderId="106" xfId="0" applyFont="1" applyBorder="1" applyAlignment="1">
      <alignment horizontal="center" vertical="center" wrapText="1" readingOrder="1"/>
    </xf>
    <xf numFmtId="0" fontId="90" fillId="0" borderId="128" xfId="0" applyFont="1" applyBorder="1" applyAlignment="1">
      <alignment vertical="center" wrapText="1" readingOrder="1"/>
    </xf>
    <xf numFmtId="0" fontId="90" fillId="0" borderId="102" xfId="0" applyFont="1" applyBorder="1" applyAlignment="1">
      <alignment horizontal="center" vertical="center" wrapText="1" readingOrder="1"/>
    </xf>
    <xf numFmtId="0" fontId="90" fillId="0" borderId="108" xfId="0" applyFont="1" applyBorder="1" applyAlignment="1">
      <alignment horizontal="center" vertical="center" wrapText="1" readingOrder="1"/>
    </xf>
    <xf numFmtId="0" fontId="90" fillId="0" borderId="130" xfId="0" applyFont="1" applyBorder="1" applyAlignment="1">
      <alignment horizontal="center" vertical="center" wrapText="1" readingOrder="1"/>
    </xf>
    <xf numFmtId="0" fontId="90" fillId="0" borderId="124" xfId="0" applyFont="1" applyBorder="1" applyAlignment="1">
      <alignment horizontal="center" vertical="center" wrapText="1" readingOrder="1"/>
    </xf>
    <xf numFmtId="0" fontId="90" fillId="0" borderId="6" xfId="0" applyFont="1" applyBorder="1" applyAlignment="1">
      <alignment horizontal="center" vertical="center" wrapText="1" readingOrder="1"/>
    </xf>
    <xf numFmtId="0" fontId="90" fillId="0" borderId="129" xfId="0" applyFont="1" applyBorder="1" applyAlignment="1">
      <alignment horizontal="center" vertical="center" wrapText="1" readingOrder="1"/>
    </xf>
    <xf numFmtId="0" fontId="90" fillId="0" borderId="131" xfId="0" applyFont="1" applyBorder="1" applyAlignment="1">
      <alignment horizontal="center" vertical="center" wrapText="1" readingOrder="1"/>
    </xf>
    <xf numFmtId="0" fontId="90" fillId="0" borderId="132" xfId="0" applyFont="1" applyBorder="1" applyAlignment="1">
      <alignment horizontal="center" vertical="center" wrapText="1" readingOrder="1"/>
    </xf>
    <xf numFmtId="0" fontId="90" fillId="0" borderId="133" xfId="0" applyFont="1" applyBorder="1" applyAlignment="1">
      <alignment horizontal="center" vertical="center" wrapText="1" readingOrder="1"/>
    </xf>
    <xf numFmtId="0" fontId="88" fillId="15" borderId="78" xfId="0" applyFont="1" applyFill="1" applyBorder="1" applyAlignment="1">
      <alignment horizontal="center" vertical="center" wrapText="1" readingOrder="1"/>
    </xf>
    <xf numFmtId="0" fontId="90" fillId="0" borderId="1" xfId="0" applyFont="1" applyBorder="1" applyAlignment="1">
      <alignment horizontal="center" vertical="center" wrapText="1" readingOrder="1"/>
    </xf>
    <xf numFmtId="0" fontId="88" fillId="0" borderId="83" xfId="0" applyFont="1" applyBorder="1" applyAlignment="1">
      <alignment horizontal="center" vertical="center" wrapText="1" readingOrder="1"/>
    </xf>
    <xf numFmtId="0" fontId="88" fillId="0" borderId="78" xfId="0" applyFont="1" applyBorder="1" applyAlignment="1">
      <alignment horizontal="center" vertical="center" wrapText="1" readingOrder="1"/>
    </xf>
    <xf numFmtId="0" fontId="88" fillId="0" borderId="79" xfId="0" applyFont="1" applyBorder="1" applyAlignment="1">
      <alignment horizontal="center" vertical="center" wrapText="1" readingOrder="1"/>
    </xf>
    <xf numFmtId="0" fontId="90" fillId="0" borderId="32" xfId="0" applyFont="1" applyBorder="1" applyAlignment="1">
      <alignment horizontal="center" vertical="center" wrapText="1" readingOrder="1"/>
    </xf>
    <xf numFmtId="0" fontId="90" fillId="0" borderId="46" xfId="0" applyFont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2" fillId="13" borderId="14" xfId="4" applyFont="1" applyFill="1" applyBorder="1" applyAlignment="1">
      <alignment horizontal="center" vertical="center"/>
    </xf>
    <xf numFmtId="0" fontId="18" fillId="13" borderId="14" xfId="4" applyFont="1" applyFill="1" applyBorder="1" applyAlignment="1">
      <alignment horizontal="center" vertical="center"/>
    </xf>
    <xf numFmtId="0" fontId="0" fillId="0" borderId="1" xfId="4" applyFont="1" applyBorder="1" applyAlignment="1">
      <alignment vertical="center" wrapText="1"/>
    </xf>
    <xf numFmtId="0" fontId="7" fillId="10" borderId="12" xfId="0" applyFont="1" applyFill="1" applyBorder="1" applyAlignment="1">
      <alignment horizontal="center" vertical="center" wrapText="1"/>
    </xf>
    <xf numFmtId="171" fontId="8" fillId="2" borderId="1" xfId="0" applyNumberFormat="1" applyFont="1" applyFill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64" fillId="13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5" fillId="13" borderId="0" xfId="0" applyNumberFormat="1" applyFont="1" applyFill="1" applyAlignment="1">
      <alignment horizontal="center" vertical="center"/>
    </xf>
    <xf numFmtId="1" fontId="91" fillId="13" borderId="24" xfId="0" applyNumberFormat="1" applyFont="1" applyFill="1" applyBorder="1" applyAlignment="1">
      <alignment vertical="top"/>
    </xf>
    <xf numFmtId="1" fontId="91" fillId="13" borderId="0" xfId="0" applyNumberFormat="1" applyFont="1" applyFill="1" applyAlignment="1">
      <alignment vertical="top"/>
    </xf>
    <xf numFmtId="49" fontId="54" fillId="13" borderId="0" xfId="0" applyNumberFormat="1" applyFont="1" applyFill="1" applyAlignment="1">
      <alignment horizontal="center" vertical="top"/>
    </xf>
    <xf numFmtId="0" fontId="54" fillId="13" borderId="19" xfId="0" applyFont="1" applyFill="1" applyBorder="1" applyAlignment="1">
      <alignment horizontal="center" vertical="center"/>
    </xf>
    <xf numFmtId="1" fontId="54" fillId="13" borderId="19" xfId="0" applyNumberFormat="1" applyFont="1" applyFill="1" applyBorder="1" applyAlignment="1">
      <alignment horizontal="center" vertical="center"/>
    </xf>
    <xf numFmtId="0" fontId="54" fillId="13" borderId="60" xfId="0" applyFont="1" applyFill="1" applyBorder="1" applyAlignment="1">
      <alignment horizontal="center" vertical="center"/>
    </xf>
    <xf numFmtId="0" fontId="91" fillId="13" borderId="0" xfId="0" applyFont="1" applyFill="1"/>
    <xf numFmtId="0" fontId="0" fillId="13" borderId="1" xfId="0" quotePrefix="1" applyFill="1" applyBorder="1" applyAlignment="1">
      <alignment horizontal="center" vertical="center"/>
    </xf>
    <xf numFmtId="16" fontId="15" fillId="13" borderId="16" xfId="0" applyNumberFormat="1" applyFont="1" applyFill="1" applyBorder="1" applyAlignment="1">
      <alignment horizontal="center" vertical="center" wrapText="1"/>
    </xf>
    <xf numFmtId="0" fontId="15" fillId="7" borderId="8" xfId="0" applyFont="1" applyFill="1" applyBorder="1" applyAlignment="1">
      <alignment horizontal="center" vertical="center"/>
    </xf>
    <xf numFmtId="165" fontId="15" fillId="7" borderId="8" xfId="0" applyNumberFormat="1" applyFont="1" applyFill="1" applyBorder="1" applyAlignment="1">
      <alignment horizontal="center" vertical="center"/>
    </xf>
    <xf numFmtId="0" fontId="69" fillId="7" borderId="8" xfId="0" applyFont="1" applyFill="1" applyBorder="1" applyAlignment="1">
      <alignment horizontal="center" vertical="center"/>
    </xf>
    <xf numFmtId="165" fontId="69" fillId="7" borderId="8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84" fillId="0" borderId="1" xfId="4" applyFont="1" applyBorder="1" applyAlignment="1">
      <alignment horizontal="center" vertical="center" wrapText="1"/>
    </xf>
    <xf numFmtId="0" fontId="84" fillId="0" borderId="1" xfId="4" applyFont="1" applyBorder="1" applyAlignment="1">
      <alignment horizontal="center" vertical="center"/>
    </xf>
    <xf numFmtId="0" fontId="84" fillId="17" borderId="1" xfId="4" applyFont="1" applyFill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" fontId="69" fillId="0" borderId="1" xfId="4" applyNumberFormat="1" applyFont="1" applyBorder="1" applyAlignment="1">
      <alignment horizontal="center" vertical="center" wrapText="1"/>
    </xf>
    <xf numFmtId="16" fontId="15" fillId="0" borderId="1" xfId="0" quotePrefix="1" applyNumberFormat="1" applyFont="1" applyBorder="1" applyAlignment="1">
      <alignment horizontal="center" vertical="center" wrapText="1"/>
    </xf>
    <xf numFmtId="0" fontId="69" fillId="0" borderId="1" xfId="4" applyFont="1" applyBorder="1" applyAlignment="1">
      <alignment horizontal="center" vertical="center"/>
    </xf>
    <xf numFmtId="0" fontId="6" fillId="24" borderId="1" xfId="4" applyFont="1" applyFill="1" applyBorder="1" applyAlignment="1">
      <alignment horizontal="center" vertical="center"/>
    </xf>
    <xf numFmtId="0" fontId="6" fillId="13" borderId="39" xfId="4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left" vertical="center" wrapText="1"/>
    </xf>
    <xf numFmtId="172" fontId="0" fillId="2" borderId="1" xfId="5" applyNumberFormat="1" applyFont="1" applyFill="1" applyBorder="1" applyAlignment="1">
      <alignment horizontal="left" vertical="center" wrapText="1"/>
    </xf>
    <xf numFmtId="1" fontId="8" fillId="2" borderId="1" xfId="0" applyNumberFormat="1" applyFont="1" applyFill="1" applyBorder="1" applyAlignment="1">
      <alignment horizontal="left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left" vertical="center"/>
    </xf>
    <xf numFmtId="0" fontId="22" fillId="13" borderId="0" xfId="0" applyFont="1" applyFill="1" applyAlignment="1"/>
    <xf numFmtId="0" fontId="4" fillId="13" borderId="1" xfId="0" applyFont="1" applyFill="1" applyBorder="1" applyAlignment="1">
      <alignment horizontal="center" vertical="center"/>
    </xf>
    <xf numFmtId="0" fontId="0" fillId="13" borderId="12" xfId="0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" fontId="15" fillId="0" borderId="0" xfId="0" quotePrefix="1" applyNumberFormat="1" applyFont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9" fillId="13" borderId="9" xfId="0" applyFont="1" applyFill="1" applyBorder="1" applyAlignment="1">
      <alignment horizontal="center" vertical="top" wrapText="1"/>
    </xf>
    <xf numFmtId="0" fontId="0" fillId="13" borderId="9" xfId="0" applyFill="1" applyBorder="1" applyAlignment="1">
      <alignment horizontal="center" vertical="top" wrapText="1"/>
    </xf>
    <xf numFmtId="165" fontId="0" fillId="13" borderId="9" xfId="0" applyNumberFormat="1" applyFill="1" applyBorder="1" applyAlignment="1">
      <alignment horizontal="center" vertical="top" wrapText="1"/>
    </xf>
    <xf numFmtId="168" fontId="0" fillId="13" borderId="12" xfId="0" applyNumberForma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 wrapText="1"/>
    </xf>
    <xf numFmtId="0" fontId="70" fillId="13" borderId="9" xfId="0" applyFont="1" applyFill="1" applyBorder="1" applyAlignment="1">
      <alignment horizontal="center" vertical="top" wrapText="1"/>
    </xf>
    <xf numFmtId="16" fontId="15" fillId="13" borderId="1" xfId="0" quotePrefix="1" applyNumberFormat="1" applyFont="1" applyFill="1" applyBorder="1" applyAlignment="1">
      <alignment horizontal="center" vertical="center" wrapText="1"/>
    </xf>
    <xf numFmtId="49" fontId="15" fillId="13" borderId="1" xfId="0" applyNumberFormat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15" fillId="0" borderId="9" xfId="0" applyFont="1" applyBorder="1" applyAlignment="1">
      <alignment horizontal="center" vertical="center" wrapText="1"/>
    </xf>
    <xf numFmtId="14" fontId="15" fillId="0" borderId="9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wrapText="1"/>
    </xf>
    <xf numFmtId="0" fontId="0" fillId="13" borderId="16" xfId="0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0" fontId="72" fillId="0" borderId="0" xfId="4" applyFont="1" applyBorder="1" applyAlignment="1">
      <alignment horizontal="center" vertical="center"/>
    </xf>
    <xf numFmtId="0" fontId="72" fillId="0" borderId="0" xfId="4" applyFont="1" applyBorder="1" applyAlignment="1">
      <alignment horizontal="center" vertical="center" wrapText="1"/>
    </xf>
    <xf numFmtId="0" fontId="72" fillId="13" borderId="0" xfId="4" applyFont="1" applyFill="1" applyBorder="1" applyAlignment="1">
      <alignment horizontal="center" vertical="center"/>
    </xf>
    <xf numFmtId="0" fontId="0" fillId="0" borderId="0" xfId="0" applyBorder="1"/>
    <xf numFmtId="0" fontId="15" fillId="15" borderId="8" xfId="0" applyFont="1" applyFill="1" applyBorder="1" applyAlignment="1">
      <alignment horizontal="center" vertical="center"/>
    </xf>
    <xf numFmtId="0" fontId="69" fillId="15" borderId="8" xfId="0" applyFont="1" applyFill="1" applyBorder="1" applyAlignment="1">
      <alignment horizontal="center" vertical="center"/>
    </xf>
    <xf numFmtId="165" fontId="69" fillId="15" borderId="8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64" fontId="34" fillId="13" borderId="12" xfId="0" applyNumberFormat="1" applyFont="1" applyFill="1" applyBorder="1" applyAlignment="1">
      <alignment horizontal="center" vertical="center"/>
    </xf>
    <xf numFmtId="1" fontId="34" fillId="13" borderId="12" xfId="0" applyNumberFormat="1" applyFont="1" applyFill="1" applyBorder="1" applyAlignment="1">
      <alignment horizontal="center" vertical="center"/>
    </xf>
    <xf numFmtId="0" fontId="2" fillId="0" borderId="1" xfId="4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horizontal="center" wrapText="1"/>
    </xf>
    <xf numFmtId="14" fontId="0" fillId="13" borderId="16" xfId="0" applyNumberFormat="1" applyFill="1" applyBorder="1" applyAlignment="1">
      <alignment horizontal="center" vertical="center"/>
    </xf>
    <xf numFmtId="0" fontId="94" fillId="13" borderId="1" xfId="0" quotePrefix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3" borderId="13" xfId="3" applyFont="1" applyFill="1" applyBorder="1" applyAlignment="1">
      <alignment horizontal="center"/>
    </xf>
    <xf numFmtId="0" fontId="0" fillId="13" borderId="1" xfId="3" applyFont="1" applyFill="1" applyBorder="1" applyAlignment="1">
      <alignment horizontal="center"/>
    </xf>
    <xf numFmtId="0" fontId="4" fillId="13" borderId="12" xfId="3" applyFont="1" applyFill="1" applyBorder="1" applyAlignment="1">
      <alignment horizontal="center"/>
    </xf>
    <xf numFmtId="0" fontId="4" fillId="13" borderId="1" xfId="3" applyFont="1" applyFill="1" applyBorder="1" applyAlignment="1">
      <alignment horizontal="center"/>
    </xf>
    <xf numFmtId="0" fontId="4" fillId="0" borderId="1" xfId="3" applyFont="1" applyBorder="1" applyAlignment="1">
      <alignment horizontal="center"/>
    </xf>
    <xf numFmtId="0" fontId="2" fillId="13" borderId="0" xfId="0" applyFont="1" applyFill="1"/>
    <xf numFmtId="0" fontId="15" fillId="13" borderId="9" xfId="0" applyFont="1" applyFill="1" applyBorder="1" applyAlignment="1">
      <alignment horizontal="center" vertical="center" wrapText="1"/>
    </xf>
    <xf numFmtId="0" fontId="35" fillId="13" borderId="0" xfId="0" applyFont="1" applyFill="1" applyBorder="1"/>
    <xf numFmtId="0" fontId="29" fillId="13" borderId="0" xfId="0" applyFont="1" applyFill="1" applyBorder="1"/>
    <xf numFmtId="0" fontId="34" fillId="13" borderId="0" xfId="0" applyFont="1" applyFill="1" applyBorder="1" applyAlignment="1">
      <alignment horizontal="center" vertical="top" wrapText="1"/>
    </xf>
    <xf numFmtId="1" fontId="34" fillId="13" borderId="0" xfId="0" applyNumberFormat="1" applyFont="1" applyFill="1" applyBorder="1" applyAlignment="1">
      <alignment vertical="top" wrapText="1"/>
    </xf>
    <xf numFmtId="1" fontId="29" fillId="13" borderId="0" xfId="0" applyNumberFormat="1" applyFont="1" applyFill="1" applyBorder="1"/>
    <xf numFmtId="0" fontId="21" fillId="13" borderId="0" xfId="0" applyFont="1" applyFill="1" applyBorder="1" applyAlignment="1">
      <alignment horizontal="left"/>
    </xf>
    <xf numFmtId="16" fontId="34" fillId="13" borderId="0" xfId="0" quotePrefix="1" applyNumberFormat="1" applyFont="1" applyFill="1" applyBorder="1"/>
    <xf numFmtId="0" fontId="34" fillId="13" borderId="0" xfId="0" applyFont="1" applyFill="1" applyBorder="1" applyAlignment="1">
      <alignment vertical="center"/>
    </xf>
    <xf numFmtId="0" fontId="34" fillId="13" borderId="0" xfId="0" applyFont="1" applyFill="1" applyBorder="1"/>
    <xf numFmtId="0" fontId="52" fillId="13" borderId="0" xfId="0" applyFont="1" applyFill="1" applyBorder="1" applyAlignment="1">
      <alignment horizontal="center" vertical="top"/>
    </xf>
    <xf numFmtId="0" fontId="53" fillId="13" borderId="0" xfId="0" applyFont="1" applyFill="1" applyBorder="1"/>
    <xf numFmtId="0" fontId="21" fillId="13" borderId="0" xfId="0" applyFont="1" applyFill="1" applyBorder="1" applyAlignment="1">
      <alignment horizontal="center"/>
    </xf>
    <xf numFmtId="1" fontId="53" fillId="13" borderId="0" xfId="0" applyNumberFormat="1" applyFont="1" applyFill="1" applyBorder="1" applyAlignment="1">
      <alignment vertical="top"/>
    </xf>
    <xf numFmtId="1" fontId="53" fillId="13" borderId="0" xfId="0" applyNumberFormat="1" applyFont="1" applyFill="1" applyBorder="1"/>
    <xf numFmtId="1" fontId="53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/>
    <xf numFmtId="1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top"/>
    </xf>
    <xf numFmtId="2" fontId="35" fillId="13" borderId="0" xfId="0" applyNumberFormat="1" applyFont="1" applyFill="1" applyBorder="1" applyAlignment="1">
      <alignment horizontal="center"/>
    </xf>
    <xf numFmtId="1" fontId="35" fillId="13" borderId="0" xfId="0" applyNumberFormat="1" applyFont="1" applyFill="1" applyBorder="1" applyAlignment="1">
      <alignment horizontal="center" vertical="center"/>
    </xf>
    <xf numFmtId="1" fontId="35" fillId="13" borderId="0" xfId="0" quotePrefix="1" applyNumberFormat="1" applyFont="1" applyFill="1" applyBorder="1" applyAlignment="1">
      <alignment horizontal="center" vertical="top"/>
    </xf>
    <xf numFmtId="1" fontId="29" fillId="13" borderId="0" xfId="0" applyNumberFormat="1" applyFont="1" applyFill="1" applyBorder="1" applyAlignment="1">
      <alignment horizontal="center" vertical="top"/>
    </xf>
    <xf numFmtId="49" fontId="35" fillId="13" borderId="0" xfId="0" applyNumberFormat="1" applyFont="1" applyFill="1" applyBorder="1" applyAlignment="1">
      <alignment horizontal="center" vertical="top"/>
    </xf>
    <xf numFmtId="1" fontId="91" fillId="13" borderId="0" xfId="0" applyNumberFormat="1" applyFont="1" applyFill="1" applyBorder="1" applyAlignment="1">
      <alignment vertical="top"/>
    </xf>
    <xf numFmtId="1" fontId="54" fillId="13" borderId="0" xfId="0" applyNumberFormat="1" applyFont="1" applyFill="1" applyBorder="1" applyAlignment="1">
      <alignment horizontal="center" vertical="top"/>
    </xf>
    <xf numFmtId="49" fontId="54" fillId="13" borderId="0" xfId="0" applyNumberFormat="1" applyFont="1" applyFill="1" applyBorder="1" applyAlignment="1">
      <alignment horizontal="center" vertical="top"/>
    </xf>
    <xf numFmtId="1" fontId="53" fillId="13" borderId="26" xfId="0" applyNumberFormat="1" applyFont="1" applyFill="1" applyBorder="1" applyAlignment="1">
      <alignment vertical="top"/>
    </xf>
    <xf numFmtId="1" fontId="53" fillId="13" borderId="27" xfId="0" applyNumberFormat="1" applyFont="1" applyFill="1" applyBorder="1" applyAlignment="1">
      <alignment vertical="top"/>
    </xf>
    <xf numFmtId="1" fontId="35" fillId="13" borderId="27" xfId="0" applyNumberFormat="1" applyFont="1" applyFill="1" applyBorder="1" applyAlignment="1">
      <alignment horizontal="center" vertical="top"/>
    </xf>
    <xf numFmtId="49" fontId="35" fillId="13" borderId="27" xfId="0" applyNumberFormat="1" applyFont="1" applyFill="1" applyBorder="1" applyAlignment="1">
      <alignment horizontal="center" vertical="top"/>
    </xf>
    <xf numFmtId="0" fontId="35" fillId="13" borderId="78" xfId="0" applyFont="1" applyFill="1" applyBorder="1" applyAlignment="1">
      <alignment horizontal="center" vertical="center"/>
    </xf>
    <xf numFmtId="1" fontId="35" fillId="13" borderId="78" xfId="0" applyNumberFormat="1" applyFont="1" applyFill="1" applyBorder="1" applyAlignment="1">
      <alignment horizontal="center" vertical="center"/>
    </xf>
    <xf numFmtId="0" fontId="35" fillId="13" borderId="79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8" fontId="18" fillId="13" borderId="12" xfId="4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wrapText="1"/>
    </xf>
    <xf numFmtId="14" fontId="15" fillId="13" borderId="1" xfId="0" applyNumberFormat="1" applyFont="1" applyFill="1" applyBorder="1" applyAlignment="1">
      <alignment vertical="center" wrapText="1"/>
    </xf>
    <xf numFmtId="0" fontId="15" fillId="13" borderId="1" xfId="0" applyFont="1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2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14" fontId="22" fillId="13" borderId="25" xfId="0" applyNumberFormat="1" applyFont="1" applyFill="1" applyBorder="1" applyAlignment="1">
      <alignment horizontal="right"/>
    </xf>
    <xf numFmtId="0" fontId="22" fillId="13" borderId="0" xfId="0" applyFont="1" applyFill="1" applyAlignment="1">
      <alignment horizontal="right"/>
    </xf>
    <xf numFmtId="0" fontId="14" fillId="0" borderId="0" xfId="0" applyFont="1" applyBorder="1" applyAlignment="1">
      <alignment horizontal="center" vertical="center" wrapText="1"/>
    </xf>
    <xf numFmtId="0" fontId="61" fillId="13" borderId="1" xfId="0" applyFont="1" applyFill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16" fontId="0" fillId="13" borderId="16" xfId="0" quotePrefix="1" applyNumberFormat="1" applyFill="1" applyBorder="1" applyAlignment="1">
      <alignment horizontal="center" vertical="center"/>
    </xf>
    <xf numFmtId="16" fontId="0" fillId="13" borderId="39" xfId="0" quotePrefix="1" applyNumberFormat="1" applyFill="1" applyBorder="1" applyAlignment="1">
      <alignment horizontal="center" vertical="center"/>
    </xf>
    <xf numFmtId="0" fontId="15" fillId="2" borderId="85" xfId="0" applyFont="1" applyFill="1" applyBorder="1" applyAlignment="1">
      <alignment horizontal="center" vertical="center" wrapText="1"/>
    </xf>
    <xf numFmtId="1" fontId="15" fillId="0" borderId="13" xfId="0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64" fontId="15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vertical="center" wrapText="1"/>
    </xf>
    <xf numFmtId="164" fontId="14" fillId="2" borderId="13" xfId="0" applyNumberFormat="1" applyFont="1" applyFill="1" applyBorder="1" applyAlignment="1">
      <alignment horizontal="center" vertical="center"/>
    </xf>
    <xf numFmtId="167" fontId="6" fillId="23" borderId="13" xfId="4" applyNumberFormat="1" applyFont="1" applyFill="1" applyBorder="1" applyAlignment="1">
      <alignment horizontal="center" vertical="center" wrapText="1"/>
    </xf>
    <xf numFmtId="1" fontId="15" fillId="2" borderId="84" xfId="0" applyNumberFormat="1" applyFont="1" applyFill="1" applyBorder="1" applyAlignment="1">
      <alignment horizontal="center" vertical="center" wrapText="1"/>
    </xf>
    <xf numFmtId="0" fontId="57" fillId="2" borderId="13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57" fillId="2" borderId="46" xfId="0" applyFont="1" applyFill="1" applyBorder="1" applyAlignment="1">
      <alignment horizontal="left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95" fillId="1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97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14" fontId="15" fillId="0" borderId="1" xfId="0" applyNumberFormat="1" applyFont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/>
    </xf>
    <xf numFmtId="0" fontId="9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69" fillId="13" borderId="8" xfId="0" applyFont="1" applyFill="1" applyBorder="1" applyAlignment="1">
      <alignment horizontal="center" vertical="center" wrapText="1"/>
    </xf>
    <xf numFmtId="14" fontId="15" fillId="0" borderId="14" xfId="0" applyNumberFormat="1" applyFont="1" applyBorder="1" applyAlignment="1">
      <alignment horizontal="center" vertical="center" wrapText="1"/>
    </xf>
    <xf numFmtId="16" fontId="15" fillId="13" borderId="4" xfId="0" applyNumberFormat="1" applyFont="1" applyFill="1" applyBorder="1" applyAlignment="1">
      <alignment horizontal="center" vertical="center" wrapText="1"/>
    </xf>
    <xf numFmtId="0" fontId="0" fillId="13" borderId="0" xfId="0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0" fillId="13" borderId="0" xfId="0" applyFill="1" applyAlignment="1">
      <alignment horizontal="center"/>
    </xf>
    <xf numFmtId="0" fontId="15" fillId="15" borderId="1" xfId="0" applyFont="1" applyFill="1" applyBorder="1" applyAlignment="1">
      <alignment horizontal="center" vertical="center" wrapText="1"/>
    </xf>
    <xf numFmtId="0" fontId="99" fillId="13" borderId="1" xfId="0" applyFont="1" applyFill="1" applyBorder="1" applyAlignment="1">
      <alignment horizontal="center" wrapText="1"/>
    </xf>
    <xf numFmtId="0" fontId="69" fillId="13" borderId="1" xfId="0" applyFont="1" applyFill="1" applyBorder="1" applyAlignment="1">
      <alignment horizontal="center" vertical="center" wrapText="1"/>
    </xf>
    <xf numFmtId="14" fontId="69" fillId="13" borderId="1" xfId="0" applyNumberFormat="1" applyFont="1" applyFill="1" applyBorder="1" applyAlignment="1">
      <alignment horizontal="center" vertical="center" wrapText="1"/>
    </xf>
    <xf numFmtId="16" fontId="69" fillId="13" borderId="1" xfId="0" applyNumberFormat="1" applyFont="1" applyFill="1" applyBorder="1" applyAlignment="1">
      <alignment horizontal="center" vertical="center" wrapText="1"/>
    </xf>
    <xf numFmtId="1" fontId="54" fillId="13" borderId="0" xfId="0" applyNumberFormat="1" applyFont="1" applyFill="1" applyBorder="1" applyAlignment="1">
      <alignment vertical="top"/>
    </xf>
    <xf numFmtId="0" fontId="101" fillId="13" borderId="1" xfId="0" applyFont="1" applyFill="1" applyBorder="1" applyAlignment="1">
      <alignment horizontal="center" vertical="center" wrapText="1"/>
    </xf>
    <xf numFmtId="0" fontId="100" fillId="13" borderId="1" xfId="0" applyFont="1" applyFill="1" applyBorder="1" applyAlignment="1">
      <alignment horizontal="center" vertical="center"/>
    </xf>
    <xf numFmtId="0" fontId="69" fillId="13" borderId="9" xfId="0" applyFont="1" applyFill="1" applyBorder="1" applyAlignment="1">
      <alignment horizontal="center" vertical="center" wrapText="1"/>
    </xf>
    <xf numFmtId="16" fontId="15" fillId="13" borderId="12" xfId="0" applyNumberFormat="1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0" fillId="13" borderId="65" xfId="0" applyFill="1" applyBorder="1" applyAlignment="1">
      <alignment horizontal="center" vertical="center"/>
    </xf>
    <xf numFmtId="14" fontId="0" fillId="13" borderId="39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69" fillId="0" borderId="0" xfId="4" applyFont="1" applyAlignment="1">
      <alignment horizontal="center" vertical="center"/>
    </xf>
    <xf numFmtId="0" fontId="69" fillId="0" borderId="0" xfId="4" applyFont="1" applyAlignment="1">
      <alignment horizontal="center" vertical="center" wrapText="1"/>
    </xf>
    <xf numFmtId="0" fontId="69" fillId="13" borderId="0" xfId="4" applyFont="1" applyFill="1" applyAlignment="1">
      <alignment horizontal="center" vertical="center"/>
    </xf>
    <xf numFmtId="14" fontId="69" fillId="0" borderId="0" xfId="4" applyNumberFormat="1" applyFont="1" applyAlignment="1">
      <alignment horizontal="center" vertical="center"/>
    </xf>
    <xf numFmtId="0" fontId="102" fillId="13" borderId="1" xfId="3" applyFont="1" applyFill="1" applyBorder="1" applyAlignment="1">
      <alignment horizontal="center" vertical="center" wrapText="1"/>
    </xf>
    <xf numFmtId="0" fontId="102" fillId="13" borderId="1" xfId="3" applyFon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/>
    </xf>
    <xf numFmtId="0" fontId="83" fillId="13" borderId="1" xfId="0" applyFont="1" applyFill="1" applyBorder="1" applyAlignment="1">
      <alignment vertical="center"/>
    </xf>
    <xf numFmtId="1" fontId="103" fillId="13" borderId="4" xfId="3" applyNumberFormat="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>
      <alignment horizontal="center"/>
    </xf>
    <xf numFmtId="0" fontId="83" fillId="13" borderId="12" xfId="0" applyFont="1" applyFill="1" applyBorder="1" applyAlignment="1">
      <alignment vertical="center"/>
    </xf>
    <xf numFmtId="0" fontId="0" fillId="13" borderId="12" xfId="3" applyFont="1" applyFill="1" applyBorder="1" applyAlignment="1">
      <alignment horizontal="center"/>
    </xf>
    <xf numFmtId="0" fontId="0" fillId="13" borderId="1" xfId="0" applyFill="1" applyBorder="1"/>
    <xf numFmtId="0" fontId="0" fillId="13" borderId="13" xfId="0" applyFill="1" applyBorder="1" applyAlignment="1">
      <alignment horizontal="center"/>
    </xf>
    <xf numFmtId="14" fontId="0" fillId="13" borderId="13" xfId="0" applyNumberFormat="1" applyFill="1" applyBorder="1" applyAlignment="1">
      <alignment horizontal="center"/>
    </xf>
    <xf numFmtId="0" fontId="83" fillId="13" borderId="13" xfId="0" applyFont="1" applyFill="1" applyBorder="1" applyAlignment="1">
      <alignment vertical="center"/>
    </xf>
    <xf numFmtId="0" fontId="4" fillId="13" borderId="13" xfId="3" applyFont="1" applyFill="1" applyBorder="1" applyAlignment="1">
      <alignment horizontal="center"/>
    </xf>
    <xf numFmtId="1" fontId="103" fillId="13" borderId="114" xfId="3" applyNumberFormat="1" applyFont="1" applyFill="1" applyBorder="1" applyAlignment="1">
      <alignment horizontal="center" vertical="center"/>
    </xf>
    <xf numFmtId="1" fontId="103" fillId="13" borderId="1" xfId="3" applyNumberFormat="1" applyFont="1" applyFill="1" applyBorder="1" applyAlignment="1">
      <alignment horizontal="center" vertical="center"/>
    </xf>
    <xf numFmtId="0" fontId="0" fillId="13" borderId="0" xfId="0" applyFill="1" applyBorder="1" applyAlignment="1">
      <alignment horizontal="center"/>
    </xf>
    <xf numFmtId="0" fontId="83" fillId="13" borderId="0" xfId="0" applyFont="1" applyFill="1" applyBorder="1" applyAlignment="1">
      <alignment horizontal="center" vertical="center"/>
    </xf>
    <xf numFmtId="14" fontId="0" fillId="13" borderId="0" xfId="0" applyNumberFormat="1" applyFill="1" applyBorder="1" applyAlignment="1">
      <alignment horizontal="center"/>
    </xf>
    <xf numFmtId="0" fontId="83" fillId="13" borderId="0" xfId="0" applyFont="1" applyFill="1" applyBorder="1" applyAlignment="1">
      <alignment vertical="center"/>
    </xf>
    <xf numFmtId="0" fontId="69" fillId="13" borderId="0" xfId="0" applyFont="1" applyFill="1" applyBorder="1" applyAlignment="1">
      <alignment horizontal="center" vertical="center" wrapText="1"/>
    </xf>
    <xf numFmtId="0" fontId="0" fillId="13" borderId="0" xfId="3" applyFont="1" applyFill="1" applyBorder="1" applyAlignment="1">
      <alignment horizontal="center"/>
    </xf>
    <xf numFmtId="0" fontId="4" fillId="13" borderId="0" xfId="3" applyFont="1" applyFill="1" applyBorder="1" applyAlignment="1">
      <alignment horizontal="center"/>
    </xf>
    <xf numFmtId="1" fontId="103" fillId="13" borderId="0" xfId="3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1" fontId="103" fillId="0" borderId="39" xfId="3" applyNumberFormat="1" applyFont="1" applyBorder="1" applyAlignment="1">
      <alignment horizontal="center" vertical="center"/>
    </xf>
    <xf numFmtId="1" fontId="103" fillId="0" borderId="137" xfId="3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103" fillId="0" borderId="138" xfId="3" applyNumberFormat="1" applyFont="1" applyBorder="1" applyAlignment="1">
      <alignment horizontal="center" vertical="center"/>
    </xf>
    <xf numFmtId="1" fontId="103" fillId="0" borderId="1" xfId="3" applyNumberFormat="1" applyFont="1" applyBorder="1" applyAlignment="1">
      <alignment horizontal="center" vertical="center"/>
    </xf>
    <xf numFmtId="1" fontId="103" fillId="0" borderId="65" xfId="3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98" fillId="13" borderId="1" xfId="0" applyNumberFormat="1" applyFont="1" applyFill="1" applyBorder="1" applyAlignment="1">
      <alignment horizontal="center"/>
    </xf>
    <xf numFmtId="49" fontId="69" fillId="13" borderId="8" xfId="0" applyNumberFormat="1" applyFont="1" applyFill="1" applyBorder="1" applyAlignment="1">
      <alignment horizontal="center" vertical="center" wrapText="1"/>
    </xf>
    <xf numFmtId="0" fontId="15" fillId="13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center" vertical="center" wrapText="1"/>
    </xf>
    <xf numFmtId="16" fontId="94" fillId="13" borderId="1" xfId="0" quotePrefix="1" applyNumberFormat="1" applyFont="1" applyFill="1" applyBorder="1" applyAlignment="1">
      <alignment horizontal="center" vertical="center"/>
    </xf>
    <xf numFmtId="0" fontId="98" fillId="0" borderId="0" xfId="0" quotePrefix="1" applyFont="1" applyAlignment="1">
      <alignment horizontal="center" vertical="center"/>
    </xf>
    <xf numFmtId="14" fontId="57" fillId="0" borderId="1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" fontId="103" fillId="0" borderId="1" xfId="3" applyNumberFormat="1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1" fontId="103" fillId="0" borderId="1" xfId="3" applyNumberFormat="1" applyFont="1" applyBorder="1" applyAlignment="1">
      <alignment horizontal="center" vertical="center" wrapText="1"/>
    </xf>
    <xf numFmtId="16" fontId="0" fillId="0" borderId="15" xfId="0" quotePrefix="1" applyNumberFormat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104" fillId="13" borderId="7" xfId="3" applyNumberFormat="1" applyFont="1" applyFill="1" applyBorder="1" applyAlignment="1">
      <alignment horizontal="center" vertical="center"/>
    </xf>
    <xf numFmtId="0" fontId="61" fillId="13" borderId="0" xfId="4" applyFont="1" applyFill="1" applyBorder="1" applyAlignment="1">
      <alignment horizontal="center" vertical="center"/>
    </xf>
    <xf numFmtId="0" fontId="69" fillId="13" borderId="7" xfId="0" applyFont="1" applyFill="1" applyBorder="1" applyAlignment="1">
      <alignment horizontal="center" vertical="center" wrapText="1"/>
    </xf>
    <xf numFmtId="0" fontId="0" fillId="13" borderId="16" xfId="3" applyFont="1" applyFill="1" applyBorder="1" applyAlignment="1">
      <alignment horizontal="center"/>
    </xf>
    <xf numFmtId="0" fontId="69" fillId="13" borderId="4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69" fillId="13" borderId="16" xfId="0" applyFont="1" applyFill="1" applyBorder="1" applyAlignment="1">
      <alignment horizontal="center" vertical="center" wrapText="1"/>
    </xf>
    <xf numFmtId="0" fontId="15" fillId="30" borderId="8" xfId="0" applyFont="1" applyFill="1" applyBorder="1" applyAlignment="1">
      <alignment horizontal="center" vertical="center"/>
    </xf>
    <xf numFmtId="165" fontId="15" fillId="30" borderId="8" xfId="0" applyNumberFormat="1" applyFont="1" applyFill="1" applyBorder="1" applyAlignment="1">
      <alignment horizontal="center" vertical="center"/>
    </xf>
    <xf numFmtId="0" fontId="15" fillId="0" borderId="65" xfId="0" applyFont="1" applyBorder="1" applyAlignment="1">
      <alignment horizontal="center" wrapText="1"/>
    </xf>
    <xf numFmtId="0" fontId="69" fillId="0" borderId="0" xfId="4" quotePrefix="1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wrapText="1"/>
    </xf>
    <xf numFmtId="0" fontId="34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21" fillId="13" borderId="27" xfId="0" applyFont="1" applyFill="1" applyBorder="1" applyAlignment="1">
      <alignment horizontal="center" vertical="center" wrapText="1"/>
    </xf>
    <xf numFmtId="0" fontId="22" fillId="13" borderId="20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3" fillId="13" borderId="1" xfId="0" applyFont="1" applyFill="1" applyBorder="1" applyAlignment="1">
      <alignment horizontal="center" vertical="center"/>
    </xf>
    <xf numFmtId="0" fontId="105" fillId="33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05" fillId="15" borderId="0" xfId="0" applyFont="1" applyFill="1" applyBorder="1" applyAlignment="1">
      <alignment horizontal="center" vertical="center" wrapText="1"/>
    </xf>
    <xf numFmtId="1" fontId="106" fillId="22" borderId="0" xfId="0" applyNumberFormat="1" applyFont="1" applyFill="1" applyBorder="1" applyAlignment="1">
      <alignment horizontal="center" vertical="top"/>
    </xf>
    <xf numFmtId="1" fontId="106" fillId="13" borderId="0" xfId="0" applyNumberFormat="1" applyFont="1" applyFill="1" applyBorder="1" applyAlignment="1">
      <alignment horizontal="center" vertical="top"/>
    </xf>
    <xf numFmtId="1" fontId="103" fillId="13" borderId="0" xfId="0" applyNumberFormat="1" applyFont="1" applyFill="1" applyBorder="1" applyAlignment="1">
      <alignment horizontal="center" vertical="top"/>
    </xf>
    <xf numFmtId="1" fontId="53" fillId="13" borderId="24" xfId="0" applyNumberFormat="1" applyFont="1" applyFill="1" applyBorder="1" applyAlignment="1">
      <alignment vertical="center"/>
    </xf>
    <xf numFmtId="1" fontId="53" fillId="13" borderId="0" xfId="0" applyNumberFormat="1" applyFont="1" applyFill="1" applyBorder="1" applyAlignment="1">
      <alignment vertical="center"/>
    </xf>
    <xf numFmtId="1" fontId="106" fillId="15" borderId="0" xfId="0" applyNumberFormat="1" applyFont="1" applyFill="1" applyBorder="1" applyAlignment="1">
      <alignment horizontal="center" vertical="center"/>
    </xf>
    <xf numFmtId="1" fontId="54" fillId="13" borderId="0" xfId="0" applyNumberFormat="1" applyFont="1" applyFill="1" applyBorder="1" applyAlignment="1">
      <alignment horizontal="center" vertical="center"/>
    </xf>
    <xf numFmtId="0" fontId="107" fillId="33" borderId="0" xfId="0" applyFont="1" applyFill="1" applyBorder="1" applyAlignment="1">
      <alignment horizontal="center" vertical="center" wrapText="1"/>
    </xf>
    <xf numFmtId="49" fontId="35" fillId="13" borderId="0" xfId="0" applyNumberFormat="1" applyFont="1" applyFill="1" applyBorder="1" applyAlignment="1">
      <alignment horizontal="center" vertical="center"/>
    </xf>
    <xf numFmtId="0" fontId="53" fillId="13" borderId="0" xfId="0" applyFont="1" applyFill="1" applyAlignment="1">
      <alignment vertical="center"/>
    </xf>
    <xf numFmtId="1" fontId="54" fillId="13" borderId="0" xfId="0" applyNumberFormat="1" applyFont="1" applyFill="1" applyAlignment="1">
      <alignment horizontal="center" vertical="center"/>
    </xf>
    <xf numFmtId="1" fontId="103" fillId="13" borderId="0" xfId="0" applyNumberFormat="1" applyFont="1" applyFill="1" applyAlignment="1">
      <alignment horizontal="center" vertical="top"/>
    </xf>
    <xf numFmtId="1" fontId="106" fillId="13" borderId="0" xfId="0" applyNumberFormat="1" applyFont="1" applyFill="1" applyAlignment="1">
      <alignment horizontal="left" vertical="center"/>
    </xf>
    <xf numFmtId="1" fontId="106" fillId="22" borderId="0" xfId="0" applyNumberFormat="1" applyFont="1" applyFill="1" applyBorder="1" applyAlignment="1">
      <alignment horizontal="right" vertical="top"/>
    </xf>
    <xf numFmtId="49" fontId="35" fillId="13" borderId="0" xfId="0" applyNumberFormat="1" applyFont="1" applyFill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14" fontId="15" fillId="13" borderId="2" xfId="0" applyNumberFormat="1" applyFont="1" applyFill="1" applyBorder="1" applyAlignment="1">
      <alignment horizontal="center" vertical="center" wrapText="1"/>
    </xf>
    <xf numFmtId="0" fontId="15" fillId="13" borderId="114" xfId="0" applyFont="1" applyFill="1" applyBorder="1" applyAlignment="1">
      <alignment horizontal="center" wrapText="1"/>
    </xf>
    <xf numFmtId="0" fontId="15" fillId="13" borderId="17" xfId="0" applyFont="1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14" fontId="15" fillId="13" borderId="17" xfId="0" applyNumberFormat="1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14" fontId="0" fillId="13" borderId="16" xfId="0" applyNumberFormat="1" applyFill="1" applyBorder="1" applyAlignment="1">
      <alignment horizontal="center"/>
    </xf>
    <xf numFmtId="14" fontId="15" fillId="13" borderId="10" xfId="0" applyNumberFormat="1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wrapText="1"/>
    </xf>
    <xf numFmtId="0" fontId="15" fillId="13" borderId="1" xfId="0" applyFont="1" applyFill="1" applyBorder="1" applyAlignment="1">
      <alignment horizontal="center" wrapText="1"/>
    </xf>
    <xf numFmtId="168" fontId="0" fillId="13" borderId="16" xfId="4" applyNumberFormat="1" applyFont="1" applyFill="1" applyBorder="1" applyAlignment="1">
      <alignment horizontal="center" vertical="center"/>
    </xf>
    <xf numFmtId="168" fontId="0" fillId="13" borderId="1" xfId="4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5" fillId="13" borderId="1" xfId="0" quotePrefix="1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1" fontId="29" fillId="13" borderId="0" xfId="0" applyNumberFormat="1" applyFont="1" applyFill="1" applyAlignment="1">
      <alignment horizontal="center" vertical="top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74" fillId="16" borderId="10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readingOrder="1"/>
    </xf>
    <xf numFmtId="0" fontId="74" fillId="16" borderId="139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readingOrder="1"/>
    </xf>
    <xf numFmtId="0" fontId="73" fillId="16" borderId="0" xfId="0" applyFont="1" applyFill="1" applyAlignment="1">
      <alignment horizontal="center" vertical="center" readingOrder="1"/>
    </xf>
    <xf numFmtId="0" fontId="73" fillId="16" borderId="0" xfId="0" applyFont="1" applyFill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wrapText="1" readingOrder="1"/>
    </xf>
    <xf numFmtId="0" fontId="73" fillId="16" borderId="139" xfId="0" applyFont="1" applyFill="1" applyBorder="1" applyAlignment="1">
      <alignment horizontal="center" vertical="center" readingOrder="1"/>
    </xf>
    <xf numFmtId="0" fontId="73" fillId="16" borderId="139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wrapText="1" readingOrder="1"/>
    </xf>
    <xf numFmtId="0" fontId="73" fillId="16" borderId="114" xfId="0" applyFont="1" applyFill="1" applyBorder="1" applyAlignment="1">
      <alignment vertical="center" readingOrder="1"/>
    </xf>
    <xf numFmtId="0" fontId="74" fillId="16" borderId="10" xfId="0" applyFont="1" applyFill="1" applyBorder="1" applyAlignment="1">
      <alignment horizontal="center" vertical="center" wrapText="1" readingOrder="1"/>
    </xf>
    <xf numFmtId="0" fontId="108" fillId="0" borderId="0" xfId="0" applyFont="1" applyAlignment="1">
      <alignment readingOrder="1"/>
    </xf>
    <xf numFmtId="0" fontId="73" fillId="16" borderId="11" xfId="0" applyFont="1" applyFill="1" applyBorder="1" applyAlignment="1">
      <alignment vertical="center" wrapText="1" readingOrder="1"/>
    </xf>
    <xf numFmtId="0" fontId="73" fillId="0" borderId="139" xfId="0" applyFont="1" applyBorder="1" applyAlignment="1">
      <alignment vertical="center" readingOrder="1"/>
    </xf>
    <xf numFmtId="0" fontId="73" fillId="16" borderId="7" xfId="0" applyFont="1" applyFill="1" applyBorder="1" applyAlignment="1">
      <alignment vertical="center" wrapText="1" readingOrder="1"/>
    </xf>
    <xf numFmtId="0" fontId="18" fillId="13" borderId="1" xfId="0" quotePrefix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0" fontId="0" fillId="13" borderId="12" xfId="0" quotePrefix="1" applyFont="1" applyFill="1" applyBorder="1" applyAlignment="1">
      <alignment horizontal="center" vertical="center"/>
    </xf>
    <xf numFmtId="1" fontId="29" fillId="13" borderId="0" xfId="0" applyNumberFormat="1" applyFont="1" applyFill="1" applyAlignment="1">
      <alignment horizontal="center" vertical="top"/>
    </xf>
    <xf numFmtId="0" fontId="52" fillId="35" borderId="143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center" vertical="center" wrapText="1"/>
    </xf>
    <xf numFmtId="0" fontId="52" fillId="0" borderId="144" xfId="0" applyFont="1" applyBorder="1" applyAlignment="1">
      <alignment wrapText="1"/>
    </xf>
    <xf numFmtId="0" fontId="51" fillId="0" borderId="144" xfId="0" applyFont="1" applyBorder="1" applyAlignment="1">
      <alignment wrapText="1"/>
    </xf>
    <xf numFmtId="0" fontId="14" fillId="0" borderId="17" xfId="0" applyFont="1" applyBorder="1" applyAlignment="1">
      <alignment horizontal="left"/>
    </xf>
    <xf numFmtId="0" fontId="7" fillId="10" borderId="46" xfId="0" applyFont="1" applyFill="1" applyBorder="1" applyAlignment="1">
      <alignment horizontal="center"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14" fontId="15" fillId="13" borderId="1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53" fillId="13" borderId="0" xfId="0" applyNumberFormat="1" applyFont="1" applyFill="1"/>
    <xf numFmtId="0" fontId="14" fillId="0" borderId="27" xfId="0" applyFont="1" applyBorder="1" applyAlignment="1">
      <alignment horizontal="left"/>
    </xf>
    <xf numFmtId="0" fontId="15" fillId="1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15" fillId="13" borderId="0" xfId="0" applyNumberFormat="1" applyFont="1" applyFill="1" applyBorder="1" applyAlignment="1">
      <alignment horizontal="center" vertical="center" wrapText="1"/>
    </xf>
    <xf numFmtId="17" fontId="15" fillId="13" borderId="0" xfId="0" applyNumberFormat="1" applyFont="1" applyFill="1" applyBorder="1" applyAlignment="1">
      <alignment horizontal="center" vertical="center" wrapText="1"/>
    </xf>
    <xf numFmtId="16" fontId="15" fillId="13" borderId="0" xfId="0" applyNumberFormat="1" applyFont="1" applyFill="1" applyBorder="1" applyAlignment="1">
      <alignment horizontal="center" vertical="center" wrapText="1"/>
    </xf>
    <xf numFmtId="16" fontId="69" fillId="13" borderId="7" xfId="0" applyNumberFormat="1" applyFont="1" applyFill="1" applyBorder="1" applyAlignment="1">
      <alignment horizontal="center" vertical="center" wrapText="1"/>
    </xf>
    <xf numFmtId="0" fontId="84" fillId="13" borderId="8" xfId="0" applyFont="1" applyFill="1" applyBorder="1" applyAlignment="1">
      <alignment horizontal="center" vertical="center" wrapText="1"/>
    </xf>
    <xf numFmtId="49" fontId="0" fillId="13" borderId="1" xfId="0" quotePrefix="1" applyNumberFormat="1" applyFill="1" applyBorder="1" applyAlignment="1">
      <alignment horizontal="center" vertical="center"/>
    </xf>
    <xf numFmtId="14" fontId="0" fillId="0" borderId="1" xfId="4" applyNumberFormat="1" applyFont="1" applyBorder="1" applyAlignment="1">
      <alignment horizontal="center" vertical="center"/>
    </xf>
    <xf numFmtId="0" fontId="15" fillId="13" borderId="17" xfId="0" quotePrefix="1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/>
    </xf>
    <xf numFmtId="0" fontId="15" fillId="13" borderId="65" xfId="0" applyFont="1" applyFill="1" applyBorder="1" applyAlignment="1">
      <alignment horizontal="center" wrapText="1"/>
    </xf>
    <xf numFmtId="0" fontId="96" fillId="2" borderId="0" xfId="0" applyFont="1" applyFill="1" applyBorder="1" applyAlignment="1">
      <alignment horizontal="right" vertical="center" wrapText="1"/>
    </xf>
    <xf numFmtId="0" fontId="0" fillId="0" borderId="1" xfId="4" quotePrefix="1" applyFont="1" applyBorder="1" applyAlignment="1">
      <alignment horizontal="center" vertical="center"/>
    </xf>
    <xf numFmtId="0" fontId="18" fillId="0" borderId="1" xfId="4" applyNumberFormat="1" applyFont="1" applyBorder="1" applyAlignment="1">
      <alignment horizontal="center" vertical="center"/>
    </xf>
    <xf numFmtId="0" fontId="2" fillId="0" borderId="1" xfId="4" applyFont="1" applyBorder="1" applyAlignment="1">
      <alignment vertical="center" wrapText="1"/>
    </xf>
    <xf numFmtId="0" fontId="18" fillId="0" borderId="1" xfId="4" applyFont="1" applyBorder="1" applyAlignment="1">
      <alignment horizontal="center" vertical="center" wrapText="1"/>
    </xf>
    <xf numFmtId="0" fontId="103" fillId="0" borderId="143" xfId="0" applyFont="1" applyBorder="1" applyAlignment="1">
      <alignment horizontal="center" vertical="center" wrapText="1"/>
    </xf>
    <xf numFmtId="0" fontId="51" fillId="0" borderId="143" xfId="0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52" fillId="35" borderId="144" xfId="0" applyFont="1" applyFill="1" applyBorder="1" applyAlignment="1">
      <alignment horizontal="left" vertical="center" wrapText="1"/>
    </xf>
    <xf numFmtId="0" fontId="103" fillId="0" borderId="144" xfId="0" applyFont="1" applyBorder="1" applyAlignment="1">
      <alignment horizontal="left" vertical="center" wrapText="1"/>
    </xf>
    <xf numFmtId="0" fontId="51" fillId="0" borderId="14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8" fontId="0" fillId="13" borderId="1" xfId="4" applyNumberFormat="1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" fontId="0" fillId="13" borderId="1" xfId="0" quotePrefix="1" applyNumberForma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9" fillId="13" borderId="19" xfId="0" applyFont="1" applyFill="1" applyBorder="1" applyAlignment="1">
      <alignment horizontal="center" vertical="center"/>
    </xf>
    <xf numFmtId="0" fontId="19" fillId="13" borderId="6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" fontId="19" fillId="13" borderId="19" xfId="0" applyNumberFormat="1" applyFont="1" applyFill="1" applyBorder="1" applyAlignment="1">
      <alignment horizontal="center" vertical="center"/>
    </xf>
    <xf numFmtId="2" fontId="19" fillId="13" borderId="60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109" fillId="33" borderId="0" xfId="0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 wrapText="1"/>
    </xf>
    <xf numFmtId="0" fontId="109" fillId="15" borderId="0" xfId="0" applyFont="1" applyFill="1" applyBorder="1" applyAlignment="1">
      <alignment horizontal="center" vertical="center" wrapText="1"/>
    </xf>
    <xf numFmtId="0" fontId="5" fillId="0" borderId="75" xfId="0" applyFont="1" applyBorder="1" applyAlignment="1">
      <alignment horizontal="center" vertical="center"/>
    </xf>
    <xf numFmtId="0" fontId="5" fillId="0" borderId="109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 indent="1"/>
    </xf>
    <xf numFmtId="1" fontId="5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19" fillId="13" borderId="0" xfId="0" applyNumberFormat="1" applyFont="1" applyFill="1" applyAlignment="1">
      <alignment horizontal="center"/>
    </xf>
    <xf numFmtId="0" fontId="110" fillId="0" borderId="17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109" fillId="22" borderId="0" xfId="0" applyFont="1" applyFill="1" applyBorder="1" applyAlignment="1">
      <alignment horizontal="center" vertical="center" wrapText="1"/>
    </xf>
    <xf numFmtId="0" fontId="19" fillId="13" borderId="61" xfId="0" applyFont="1" applyFill="1" applyBorder="1" applyAlignment="1">
      <alignment horizontal="center" vertical="center"/>
    </xf>
    <xf numFmtId="1" fontId="19" fillId="13" borderId="61" xfId="0" applyNumberFormat="1" applyFont="1" applyFill="1" applyBorder="1" applyAlignment="1">
      <alignment horizontal="center" vertical="center"/>
    </xf>
    <xf numFmtId="2" fontId="5" fillId="0" borderId="84" xfId="0" applyNumberFormat="1" applyFont="1" applyBorder="1" applyAlignment="1">
      <alignment horizontal="center" vertical="center"/>
    </xf>
    <xf numFmtId="0" fontId="5" fillId="15" borderId="25" xfId="0" applyFont="1" applyFill="1" applyBorder="1" applyAlignment="1">
      <alignment horizontal="right" vertical="center"/>
    </xf>
    <xf numFmtId="2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2" fontId="5" fillId="0" borderId="66" xfId="0" applyNumberFormat="1" applyFont="1" applyBorder="1" applyAlignment="1">
      <alignment horizontal="right" vertical="center"/>
    </xf>
    <xf numFmtId="0" fontId="5" fillId="13" borderId="0" xfId="0" applyFont="1" applyFill="1" applyAlignment="1">
      <alignment horizontal="center" vertical="center"/>
    </xf>
    <xf numFmtId="2" fontId="19" fillId="13" borderId="19" xfId="0" applyNumberFormat="1" applyFont="1" applyFill="1" applyBorder="1" applyAlignment="1">
      <alignment horizontal="center" vertical="center"/>
    </xf>
    <xf numFmtId="0" fontId="5" fillId="15" borderId="0" xfId="0" applyFont="1" applyFill="1" applyAlignment="1">
      <alignment horizontal="right" vertical="center" wrapText="1"/>
    </xf>
    <xf numFmtId="0" fontId="5" fillId="0" borderId="27" xfId="0" applyFont="1" applyBorder="1" applyAlignment="1">
      <alignment horizontal="center" vertical="center"/>
    </xf>
    <xf numFmtId="164" fontId="5" fillId="0" borderId="27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right"/>
    </xf>
    <xf numFmtId="0" fontId="14" fillId="0" borderId="76" xfId="0" applyFont="1" applyBorder="1" applyAlignment="1">
      <alignment horizontal="right"/>
    </xf>
    <xf numFmtId="0" fontId="71" fillId="10" borderId="80" xfId="4" applyFont="1" applyFill="1" applyBorder="1" applyAlignment="1">
      <alignment horizontal="center" vertical="center" wrapText="1"/>
    </xf>
    <xf numFmtId="0" fontId="71" fillId="10" borderId="78" xfId="4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/>
    </xf>
    <xf numFmtId="0" fontId="13" fillId="6" borderId="50" xfId="0" applyFont="1" applyFill="1" applyBorder="1" applyAlignment="1">
      <alignment horizontal="center"/>
    </xf>
    <xf numFmtId="0" fontId="13" fillId="6" borderId="51" xfId="0" applyFont="1" applyFill="1" applyBorder="1" applyAlignment="1">
      <alignment horizontal="center"/>
    </xf>
    <xf numFmtId="0" fontId="13" fillId="6" borderId="52" xfId="0" applyFont="1" applyFill="1" applyBorder="1" applyAlignment="1">
      <alignment horizontal="center"/>
    </xf>
    <xf numFmtId="0" fontId="71" fillId="10" borderId="81" xfId="4" applyFont="1" applyFill="1" applyBorder="1" applyAlignment="1">
      <alignment horizontal="center" vertical="center" wrapText="1"/>
    </xf>
    <xf numFmtId="0" fontId="71" fillId="10" borderId="79" xfId="4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left"/>
    </xf>
    <xf numFmtId="0" fontId="14" fillId="0" borderId="77" xfId="0" applyFont="1" applyBorder="1" applyAlignment="1">
      <alignment horizontal="left"/>
    </xf>
    <xf numFmtId="0" fontId="82" fillId="5" borderId="20" xfId="0" applyFont="1" applyFill="1" applyBorder="1" applyAlignment="1">
      <alignment horizontal="center" vertical="center" wrapText="1"/>
    </xf>
    <xf numFmtId="0" fontId="82" fillId="5" borderId="21" xfId="0" applyFont="1" applyFill="1" applyBorder="1" applyAlignment="1">
      <alignment horizontal="center" vertical="center" wrapText="1"/>
    </xf>
    <xf numFmtId="0" fontId="82" fillId="5" borderId="2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0" borderId="78" xfId="0" applyFont="1" applyFill="1" applyBorder="1" applyAlignment="1">
      <alignment horizontal="center" vertical="center" wrapText="1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1" xfId="0" applyFont="1" applyFill="1" applyBorder="1" applyAlignment="1">
      <alignment horizontal="center" vertical="center" wrapText="1"/>
    </xf>
    <xf numFmtId="0" fontId="7" fillId="10" borderId="80" xfId="0" applyFont="1" applyFill="1" applyBorder="1" applyAlignment="1">
      <alignment horizontal="center" vertical="center" wrapText="1"/>
    </xf>
    <xf numFmtId="0" fontId="7" fillId="10" borderId="78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13" fillId="6" borderId="53" xfId="0" applyFont="1" applyFill="1" applyBorder="1" applyAlignment="1">
      <alignment horizontal="center"/>
    </xf>
    <xf numFmtId="0" fontId="71" fillId="10" borderId="19" xfId="4" applyFont="1" applyFill="1" applyBorder="1" applyAlignment="1">
      <alignment horizontal="center" vertical="center" wrapText="1"/>
    </xf>
    <xf numFmtId="0" fontId="71" fillId="10" borderId="60" xfId="4" applyFont="1" applyFill="1" applyBorder="1" applyAlignment="1">
      <alignment horizontal="center" vertical="center" wrapText="1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1" xfId="0" applyBorder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center" vertical="center" wrapText="1"/>
    </xf>
    <xf numFmtId="0" fontId="10" fillId="5" borderId="34" xfId="0" applyFont="1" applyFill="1" applyBorder="1" applyAlignment="1">
      <alignment horizontal="center" vertical="center" wrapText="1"/>
    </xf>
    <xf numFmtId="0" fontId="11" fillId="5" borderId="35" xfId="0" applyFont="1" applyFill="1" applyBorder="1"/>
    <xf numFmtId="0" fontId="11" fillId="5" borderId="36" xfId="0" applyFont="1" applyFill="1" applyBorder="1"/>
    <xf numFmtId="0" fontId="10" fillId="5" borderId="26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9" xfId="0" applyFont="1" applyFill="1" applyBorder="1" applyAlignment="1">
      <alignment horizontal="center" vertical="center" wrapText="1"/>
    </xf>
    <xf numFmtId="0" fontId="86" fillId="16" borderId="1" xfId="0" applyFont="1" applyFill="1" applyBorder="1" applyAlignment="1">
      <alignment horizontal="center" vertical="center" wrapText="1" readingOrder="1"/>
    </xf>
    <xf numFmtId="0" fontId="87" fillId="30" borderId="1" xfId="0" applyFont="1" applyFill="1" applyBorder="1" applyAlignment="1">
      <alignment horizontal="center" vertical="center" wrapText="1" readingOrder="1"/>
    </xf>
    <xf numFmtId="0" fontId="86" fillId="16" borderId="120" xfId="0" applyFont="1" applyFill="1" applyBorder="1" applyAlignment="1">
      <alignment horizontal="center" vertical="center" wrapText="1" readingOrder="1"/>
    </xf>
    <xf numFmtId="0" fontId="86" fillId="16" borderId="0" xfId="0" applyFont="1" applyFill="1" applyAlignment="1">
      <alignment horizontal="center" vertical="center" wrapText="1" readingOrder="1"/>
    </xf>
    <xf numFmtId="0" fontId="86" fillId="16" borderId="121" xfId="0" applyFont="1" applyFill="1" applyBorder="1" applyAlignment="1">
      <alignment horizontal="center" vertical="center" wrapText="1" readingOrder="1"/>
    </xf>
    <xf numFmtId="0" fontId="88" fillId="32" borderId="122" xfId="0" applyFont="1" applyFill="1" applyBorder="1" applyAlignment="1">
      <alignment horizontal="center" vertical="center" wrapText="1" readingOrder="1"/>
    </xf>
    <xf numFmtId="0" fontId="88" fillId="32" borderId="107" xfId="0" applyFont="1" applyFill="1" applyBorder="1" applyAlignment="1">
      <alignment horizontal="center" vertical="center" wrapText="1" readingOrder="1"/>
    </xf>
    <xf numFmtId="0" fontId="88" fillId="32" borderId="123" xfId="0" applyFont="1" applyFill="1" applyBorder="1" applyAlignment="1">
      <alignment horizontal="center" vertical="center" wrapText="1" readingOrder="1"/>
    </xf>
    <xf numFmtId="0" fontId="88" fillId="32" borderId="100" xfId="0" applyFont="1" applyFill="1" applyBorder="1" applyAlignment="1">
      <alignment horizontal="center" vertical="center" wrapText="1" readingOrder="1"/>
    </xf>
    <xf numFmtId="0" fontId="88" fillId="32" borderId="11" xfId="0" applyFont="1" applyFill="1" applyBorder="1" applyAlignment="1">
      <alignment horizontal="center" vertical="center" wrapText="1" readingOrder="1"/>
    </xf>
    <xf numFmtId="0" fontId="12" fillId="0" borderId="50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88" fillId="32" borderId="125" xfId="0" applyFont="1" applyFill="1" applyBorder="1" applyAlignment="1">
      <alignment horizontal="center" vertical="center" wrapText="1" readingOrder="1"/>
    </xf>
    <xf numFmtId="0" fontId="88" fillId="32" borderId="126" xfId="0" applyFont="1" applyFill="1" applyBorder="1" applyAlignment="1">
      <alignment horizontal="center" vertical="center" wrapText="1" readingOrder="1"/>
    </xf>
    <xf numFmtId="0" fontId="88" fillId="32" borderId="135" xfId="0" applyFont="1" applyFill="1" applyBorder="1" applyAlignment="1">
      <alignment horizontal="center" vertical="center" wrapText="1" readingOrder="1"/>
    </xf>
    <xf numFmtId="0" fontId="88" fillId="32" borderId="134" xfId="0" applyFont="1" applyFill="1" applyBorder="1" applyAlignment="1">
      <alignment horizontal="center" vertical="center" wrapText="1" readingOrder="1"/>
    </xf>
    <xf numFmtId="0" fontId="61" fillId="15" borderId="34" xfId="4" applyFont="1" applyFill="1" applyBorder="1" applyAlignment="1">
      <alignment horizontal="center" vertical="center"/>
    </xf>
    <xf numFmtId="0" fontId="61" fillId="15" borderId="58" xfId="4" applyFont="1" applyFill="1" applyBorder="1" applyAlignment="1">
      <alignment horizontal="center" vertical="center"/>
    </xf>
    <xf numFmtId="0" fontId="61" fillId="15" borderId="35" xfId="4" applyFont="1" applyFill="1" applyBorder="1" applyAlignment="1">
      <alignment horizontal="center" vertical="center"/>
    </xf>
    <xf numFmtId="0" fontId="61" fillId="15" borderId="36" xfId="4" applyFont="1" applyFill="1" applyBorder="1" applyAlignment="1">
      <alignment horizontal="center" vertical="center"/>
    </xf>
    <xf numFmtId="0" fontId="61" fillId="15" borderId="50" xfId="4" applyFont="1" applyFill="1" applyBorder="1" applyAlignment="1">
      <alignment horizontal="center" vertical="center"/>
    </xf>
    <xf numFmtId="0" fontId="61" fillId="15" borderId="51" xfId="4" applyFont="1" applyFill="1" applyBorder="1" applyAlignment="1">
      <alignment horizontal="center" vertical="center"/>
    </xf>
    <xf numFmtId="0" fontId="61" fillId="15" borderId="52" xfId="4" applyFont="1" applyFill="1" applyBorder="1" applyAlignment="1">
      <alignment horizontal="center" vertical="center"/>
    </xf>
    <xf numFmtId="0" fontId="61" fillId="15" borderId="20" xfId="4" applyFont="1" applyFill="1" applyBorder="1" applyAlignment="1">
      <alignment horizontal="center" vertical="center"/>
    </xf>
    <xf numFmtId="0" fontId="61" fillId="15" borderId="21" xfId="4" applyFont="1" applyFill="1" applyBorder="1" applyAlignment="1">
      <alignment horizontal="center" vertical="center"/>
    </xf>
    <xf numFmtId="0" fontId="61" fillId="15" borderId="24" xfId="4" applyFont="1" applyFill="1" applyBorder="1" applyAlignment="1">
      <alignment horizontal="center" vertical="center"/>
    </xf>
    <xf numFmtId="0" fontId="61" fillId="15" borderId="0" xfId="4" applyFont="1" applyFill="1" applyAlignment="1">
      <alignment horizontal="center" vertical="center"/>
    </xf>
    <xf numFmtId="0" fontId="61" fillId="15" borderId="25" xfId="4" applyFont="1" applyFill="1" applyBorder="1" applyAlignment="1">
      <alignment horizontal="center" vertical="center"/>
    </xf>
    <xf numFmtId="0" fontId="61" fillId="15" borderId="26" xfId="4" applyFont="1" applyFill="1" applyBorder="1" applyAlignment="1">
      <alignment horizontal="center" vertical="center"/>
    </xf>
    <xf numFmtId="0" fontId="61" fillId="15" borderId="27" xfId="4" applyFont="1" applyFill="1" applyBorder="1" applyAlignment="1">
      <alignment horizontal="center" vertical="center"/>
    </xf>
    <xf numFmtId="0" fontId="61" fillId="15" borderId="29" xfId="4" applyFont="1" applyFill="1" applyBorder="1" applyAlignment="1">
      <alignment horizontal="center" vertical="center"/>
    </xf>
    <xf numFmtId="0" fontId="72" fillId="0" borderId="82" xfId="4" applyFont="1" applyBorder="1" applyAlignment="1">
      <alignment horizontal="center" vertical="center"/>
    </xf>
    <xf numFmtId="0" fontId="72" fillId="0" borderId="110" xfId="4" applyFont="1" applyBorder="1" applyAlignment="1">
      <alignment horizontal="center" vertical="center"/>
    </xf>
    <xf numFmtId="0" fontId="72" fillId="0" borderId="80" xfId="4" applyFont="1" applyBorder="1" applyAlignment="1">
      <alignment horizontal="center" vertical="center"/>
    </xf>
    <xf numFmtId="0" fontId="72" fillId="0" borderId="81" xfId="4" applyFont="1" applyBorder="1" applyAlignment="1">
      <alignment horizontal="center" vertical="center"/>
    </xf>
    <xf numFmtId="0" fontId="60" fillId="15" borderId="50" xfId="4" applyFont="1" applyFill="1" applyBorder="1" applyAlignment="1">
      <alignment horizontal="center" vertical="center"/>
    </xf>
    <xf numFmtId="0" fontId="60" fillId="15" borderId="51" xfId="4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0" fontId="72" fillId="0" borderId="41" xfId="4" applyFont="1" applyBorder="1" applyAlignment="1">
      <alignment horizontal="center" vertical="center"/>
    </xf>
    <xf numFmtId="0" fontId="72" fillId="0" borderId="31" xfId="4" applyFont="1" applyBorder="1" applyAlignment="1">
      <alignment horizontal="center" vertical="center"/>
    </xf>
    <xf numFmtId="0" fontId="72" fillId="0" borderId="32" xfId="4" applyFont="1" applyBorder="1" applyAlignment="1">
      <alignment horizontal="center" vertical="center"/>
    </xf>
    <xf numFmtId="0" fontId="72" fillId="0" borderId="33" xfId="4" applyFont="1" applyBorder="1" applyAlignment="1">
      <alignment horizontal="center" vertical="center"/>
    </xf>
    <xf numFmtId="0" fontId="72" fillId="0" borderId="42" xfId="4" applyFont="1" applyBorder="1" applyAlignment="1">
      <alignment horizontal="center" vertical="center"/>
    </xf>
    <xf numFmtId="0" fontId="60" fillId="0" borderId="86" xfId="4" applyFont="1" applyBorder="1" applyAlignment="1">
      <alignment horizontal="center" vertical="center"/>
    </xf>
    <xf numFmtId="0" fontId="60" fillId="0" borderId="15" xfId="4" applyFont="1" applyBorder="1" applyAlignment="1">
      <alignment horizontal="center" vertical="center"/>
    </xf>
    <xf numFmtId="0" fontId="60" fillId="0" borderId="16" xfId="4" applyFont="1" applyBorder="1" applyAlignment="1">
      <alignment horizontal="center" vertical="center"/>
    </xf>
    <xf numFmtId="0" fontId="60" fillId="0" borderId="14" xfId="4" applyFont="1" applyBorder="1" applyAlignment="1">
      <alignment horizontal="left" vertical="center"/>
    </xf>
    <xf numFmtId="0" fontId="60" fillId="0" borderId="15" xfId="4" applyFont="1" applyBorder="1" applyAlignment="1">
      <alignment horizontal="left" vertical="center"/>
    </xf>
    <xf numFmtId="0" fontId="60" fillId="0" borderId="76" xfId="4" applyFont="1" applyBorder="1" applyAlignment="1">
      <alignment horizontal="left" vertical="center"/>
    </xf>
    <xf numFmtId="0" fontId="2" fillId="15" borderId="43" xfId="4" applyFont="1" applyFill="1" applyBorder="1" applyAlignment="1">
      <alignment horizontal="center" vertical="center"/>
    </xf>
    <xf numFmtId="0" fontId="2" fillId="15" borderId="16" xfId="4" applyFont="1" applyFill="1" applyBorder="1" applyAlignment="1">
      <alignment horizontal="center" vertical="center"/>
    </xf>
    <xf numFmtId="0" fontId="2" fillId="15" borderId="1" xfId="4" applyFont="1" applyFill="1" applyBorder="1" applyAlignment="1">
      <alignment horizontal="center" vertical="center"/>
    </xf>
    <xf numFmtId="0" fontId="2" fillId="15" borderId="14" xfId="4" applyFont="1" applyFill="1" applyBorder="1" applyAlignment="1">
      <alignment horizontal="center" vertical="center"/>
    </xf>
    <xf numFmtId="0" fontId="2" fillId="15" borderId="44" xfId="4" applyFont="1" applyFill="1" applyBorder="1" applyAlignment="1">
      <alignment horizontal="center" vertical="center"/>
    </xf>
    <xf numFmtId="0" fontId="60" fillId="15" borderId="86" xfId="4" applyFont="1" applyFill="1" applyBorder="1" applyAlignment="1">
      <alignment horizontal="center" vertical="center"/>
    </xf>
    <xf numFmtId="0" fontId="60" fillId="15" borderId="15" xfId="4" applyFont="1" applyFill="1" applyBorder="1" applyAlignment="1">
      <alignment horizontal="center" vertical="center"/>
    </xf>
    <xf numFmtId="0" fontId="60" fillId="15" borderId="16" xfId="4" applyFont="1" applyFill="1" applyBorder="1" applyAlignment="1">
      <alignment horizontal="center" vertical="center"/>
    </xf>
    <xf numFmtId="0" fontId="2" fillId="15" borderId="86" xfId="4" applyFont="1" applyFill="1" applyBorder="1" applyAlignment="1">
      <alignment horizontal="center" vertical="center"/>
    </xf>
    <xf numFmtId="0" fontId="2" fillId="15" borderId="15" xfId="4" applyFont="1" applyFill="1" applyBorder="1" applyAlignment="1">
      <alignment horizontal="center" vertical="center"/>
    </xf>
    <xf numFmtId="0" fontId="2" fillId="15" borderId="76" xfId="4" applyFont="1" applyFill="1" applyBorder="1" applyAlignment="1">
      <alignment horizontal="center" vertical="center"/>
    </xf>
    <xf numFmtId="0" fontId="2" fillId="0" borderId="14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61" fillId="0" borderId="75" xfId="4" applyFont="1" applyBorder="1" applyAlignment="1">
      <alignment horizontal="center" vertical="center"/>
    </xf>
    <xf numFmtId="0" fontId="2" fillId="17" borderId="1" xfId="0" applyFont="1" applyFill="1" applyBorder="1" applyAlignment="1">
      <alignment horizontal="center"/>
    </xf>
    <xf numFmtId="0" fontId="98" fillId="13" borderId="14" xfId="0" applyFont="1" applyFill="1" applyBorder="1" applyAlignment="1">
      <alignment horizontal="center" vertical="center" wrapText="1"/>
    </xf>
    <xf numFmtId="0" fontId="98" fillId="13" borderId="15" xfId="0" applyFont="1" applyFill="1" applyBorder="1" applyAlignment="1">
      <alignment horizontal="center" vertical="center" wrapText="1"/>
    </xf>
    <xf numFmtId="0" fontId="98" fillId="13" borderId="16" xfId="0" applyFont="1" applyFill="1" applyBorder="1" applyAlignment="1">
      <alignment horizontal="center" vertical="center" wrapText="1"/>
    </xf>
    <xf numFmtId="0" fontId="83" fillId="13" borderId="1" xfId="0" applyFont="1" applyFill="1" applyBorder="1" applyAlignment="1">
      <alignment horizontal="center" vertical="center"/>
    </xf>
    <xf numFmtId="0" fontId="98" fillId="1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/>
    </xf>
    <xf numFmtId="0" fontId="2" fillId="17" borderId="15" xfId="0" applyFont="1" applyFill="1" applyBorder="1" applyAlignment="1">
      <alignment horizontal="center"/>
    </xf>
    <xf numFmtId="0" fontId="2" fillId="17" borderId="16" xfId="0" applyFont="1" applyFill="1" applyBorder="1" applyAlignment="1">
      <alignment horizontal="center"/>
    </xf>
    <xf numFmtId="0" fontId="83" fillId="13" borderId="18" xfId="0" applyFont="1" applyFill="1" applyBorder="1" applyAlignment="1">
      <alignment horizontal="center" vertical="center"/>
    </xf>
    <xf numFmtId="0" fontId="83" fillId="13" borderId="64" xfId="0" applyFont="1" applyFill="1" applyBorder="1" applyAlignment="1">
      <alignment horizontal="center" vertical="center"/>
    </xf>
    <xf numFmtId="0" fontId="83" fillId="13" borderId="66" xfId="0" applyFont="1" applyFill="1" applyBorder="1" applyAlignment="1">
      <alignment horizontal="center" vertical="center"/>
    </xf>
    <xf numFmtId="0" fontId="83" fillId="13" borderId="12" xfId="0" applyFont="1" applyFill="1" applyBorder="1" applyAlignment="1">
      <alignment horizontal="center" vertical="center" wrapText="1"/>
    </xf>
    <xf numFmtId="0" fontId="83" fillId="13" borderId="19" xfId="0" applyFont="1" applyFill="1" applyBorder="1" applyAlignment="1">
      <alignment horizontal="center" vertical="center" wrapText="1"/>
    </xf>
    <xf numFmtId="0" fontId="83" fillId="13" borderId="13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3" fillId="13" borderId="12" xfId="0" applyFont="1" applyFill="1" applyBorder="1" applyAlignment="1">
      <alignment horizontal="center" vertical="center"/>
    </xf>
    <xf numFmtId="0" fontId="83" fillId="13" borderId="19" xfId="0" applyFont="1" applyFill="1" applyBorder="1" applyAlignment="1">
      <alignment horizontal="center" vertical="center"/>
    </xf>
    <xf numFmtId="0" fontId="83" fillId="13" borderId="13" xfId="0" applyFont="1" applyFill="1" applyBorder="1" applyAlignment="1">
      <alignment horizontal="center" vertical="center"/>
    </xf>
    <xf numFmtId="0" fontId="94" fillId="13" borderId="12" xfId="0" applyFont="1" applyFill="1" applyBorder="1" applyAlignment="1">
      <alignment horizontal="center" vertical="center" wrapText="1"/>
    </xf>
    <xf numFmtId="0" fontId="94" fillId="13" borderId="19" xfId="0" applyFont="1" applyFill="1" applyBorder="1" applyAlignment="1">
      <alignment horizontal="center" vertical="center" wrapText="1"/>
    </xf>
    <xf numFmtId="0" fontId="94" fillId="13" borderId="13" xfId="0" applyFont="1" applyFill="1" applyBorder="1" applyAlignment="1">
      <alignment horizontal="center" vertical="center" wrapText="1"/>
    </xf>
    <xf numFmtId="0" fontId="77" fillId="0" borderId="12" xfId="0" applyFont="1" applyBorder="1" applyAlignment="1">
      <alignment horizontal="center" vertical="center" wrapText="1"/>
    </xf>
    <xf numFmtId="0" fontId="77" fillId="0" borderId="19" xfId="0" applyFont="1" applyBorder="1" applyAlignment="1">
      <alignment horizontal="center" vertical="center" wrapText="1"/>
    </xf>
    <xf numFmtId="0" fontId="77" fillId="0" borderId="13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6" fillId="0" borderId="7" xfId="0" applyFont="1" applyBorder="1"/>
    <xf numFmtId="0" fontId="93" fillId="12" borderId="1" xfId="0" applyFont="1" applyFill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15" fontId="5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76" fillId="13" borderId="44" xfId="0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 vertical="center"/>
    </xf>
    <xf numFmtId="0" fontId="2" fillId="13" borderId="48" xfId="0" applyFont="1" applyFill="1" applyBorder="1" applyAlignment="1">
      <alignment horizontal="center" vertical="center"/>
    </xf>
    <xf numFmtId="0" fontId="2" fillId="17" borderId="42" xfId="0" applyFont="1" applyFill="1" applyBorder="1" applyAlignment="1">
      <alignment horizontal="center" vertical="center"/>
    </xf>
    <xf numFmtId="0" fontId="2" fillId="17" borderId="48" xfId="0" applyFont="1" applyFill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2" fillId="25" borderId="41" xfId="0" applyFont="1" applyFill="1" applyBorder="1" applyAlignment="1">
      <alignment horizontal="center" vertical="center"/>
    </xf>
    <xf numFmtId="0" fontId="2" fillId="25" borderId="45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/>
    </xf>
    <xf numFmtId="0" fontId="2" fillId="25" borderId="46" xfId="0" applyFont="1" applyFill="1" applyBorder="1" applyAlignment="1">
      <alignment horizontal="center" vertical="center"/>
    </xf>
    <xf numFmtId="0" fontId="2" fillId="25" borderId="32" xfId="0" applyFont="1" applyFill="1" applyBorder="1" applyAlignment="1">
      <alignment horizontal="center" vertical="center" wrapText="1"/>
    </xf>
    <xf numFmtId="0" fontId="2" fillId="25" borderId="46" xfId="0" applyFont="1" applyFill="1" applyBorder="1" applyAlignment="1">
      <alignment horizontal="center" vertical="center" wrapText="1"/>
    </xf>
    <xf numFmtId="0" fontId="61" fillId="22" borderId="33" xfId="0" applyFont="1" applyFill="1" applyBorder="1" applyAlignment="1">
      <alignment horizontal="center" vertical="center" wrapText="1"/>
    </xf>
    <xf numFmtId="0" fontId="61" fillId="22" borderId="22" xfId="0" applyFont="1" applyFill="1" applyBorder="1" applyAlignment="1">
      <alignment horizontal="center" vertical="center" wrapText="1"/>
    </xf>
    <xf numFmtId="0" fontId="61" fillId="22" borderId="3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vertical="center"/>
    </xf>
    <xf numFmtId="0" fontId="60" fillId="13" borderId="42" xfId="0" applyFont="1" applyFill="1" applyBorder="1" applyAlignment="1">
      <alignment vertical="center"/>
    </xf>
    <xf numFmtId="0" fontId="60" fillId="13" borderId="41" xfId="0" applyFont="1" applyFill="1" applyBorder="1" applyAlignment="1">
      <alignment horizontal="left" vertical="center"/>
    </xf>
    <xf numFmtId="0" fontId="60" fillId="0" borderId="31" xfId="0" applyFont="1" applyBorder="1" applyAlignment="1">
      <alignment horizontal="left" vertical="center"/>
    </xf>
    <xf numFmtId="0" fontId="60" fillId="0" borderId="33" xfId="0" applyFont="1" applyBorder="1" applyAlignment="1">
      <alignment horizontal="left" vertical="center"/>
    </xf>
    <xf numFmtId="0" fontId="60" fillId="13" borderId="32" xfId="0" applyFont="1" applyFill="1" applyBorder="1" applyAlignment="1">
      <alignment horizontal="left" vertical="center"/>
    </xf>
    <xf numFmtId="166" fontId="60" fillId="13" borderId="32" xfId="0" applyNumberFormat="1" applyFont="1" applyFill="1" applyBorder="1" applyAlignment="1">
      <alignment horizontal="left" vertical="center"/>
    </xf>
    <xf numFmtId="0" fontId="60" fillId="13" borderId="32" xfId="0" applyFont="1" applyFill="1" applyBorder="1" applyAlignment="1">
      <alignment horizontal="center" vertical="center"/>
    </xf>
    <xf numFmtId="0" fontId="60" fillId="13" borderId="42" xfId="0" applyFont="1" applyFill="1" applyBorder="1" applyAlignment="1">
      <alignment horizontal="center" vertical="center"/>
    </xf>
    <xf numFmtId="0" fontId="59" fillId="13" borderId="1" xfId="0" applyFont="1" applyFill="1" applyBorder="1" applyAlignment="1">
      <alignment horizontal="center" vertical="center"/>
    </xf>
    <xf numFmtId="0" fontId="59" fillId="13" borderId="12" xfId="0" applyFont="1" applyFill="1" applyBorder="1" applyAlignment="1">
      <alignment horizontal="center" vertical="center"/>
    </xf>
    <xf numFmtId="0" fontId="60" fillId="13" borderId="43" xfId="0" applyFont="1" applyFill="1" applyBorder="1" applyAlignment="1">
      <alignment vertical="center"/>
    </xf>
    <xf numFmtId="0" fontId="60" fillId="13" borderId="44" xfId="0" applyFont="1" applyFill="1" applyBorder="1" applyAlignment="1">
      <alignment vertical="center"/>
    </xf>
    <xf numFmtId="0" fontId="60" fillId="13" borderId="43" xfId="0" applyFont="1" applyFill="1" applyBorder="1" applyAlignment="1">
      <alignment horizontal="left" vertical="center" wrapText="1"/>
    </xf>
    <xf numFmtId="0" fontId="60" fillId="0" borderId="16" xfId="0" applyFont="1" applyBorder="1" applyAlignment="1">
      <alignment horizontal="left" vertical="center" wrapText="1"/>
    </xf>
    <xf numFmtId="0" fontId="60" fillId="0" borderId="14" xfId="0" applyFont="1" applyBorder="1" applyAlignment="1">
      <alignment horizontal="left" vertical="center" wrapText="1"/>
    </xf>
    <xf numFmtId="0" fontId="60" fillId="13" borderId="1" xfId="0" applyFont="1" applyFill="1" applyBorder="1" applyAlignment="1">
      <alignment horizontal="left" vertical="center" wrapText="1"/>
    </xf>
    <xf numFmtId="166" fontId="60" fillId="13" borderId="1" xfId="0" applyNumberFormat="1" applyFont="1" applyFill="1" applyBorder="1" applyAlignment="1">
      <alignment horizontal="left" vertical="center" wrapText="1"/>
    </xf>
    <xf numFmtId="0" fontId="60" fillId="13" borderId="1" xfId="0" applyFont="1" applyFill="1" applyBorder="1" applyAlignment="1">
      <alignment horizontal="center" vertical="center" wrapText="1"/>
    </xf>
    <xf numFmtId="0" fontId="60" fillId="13" borderId="44" xfId="0" applyFont="1" applyFill="1" applyBorder="1" applyAlignment="1">
      <alignment horizontal="center" vertical="center" wrapText="1"/>
    </xf>
    <xf numFmtId="0" fontId="60" fillId="13" borderId="45" xfId="0" applyFont="1" applyFill="1" applyBorder="1" applyAlignment="1">
      <alignment vertical="center" wrapText="1"/>
    </xf>
    <xf numFmtId="0" fontId="60" fillId="13" borderId="48" xfId="0" applyFont="1" applyFill="1" applyBorder="1" applyAlignment="1">
      <alignment vertical="center" wrapText="1"/>
    </xf>
    <xf numFmtId="0" fontId="60" fillId="13" borderId="45" xfId="0" applyFont="1" applyFill="1" applyBorder="1" applyAlignment="1">
      <alignment horizontal="left" vertical="center"/>
    </xf>
    <xf numFmtId="0" fontId="60" fillId="0" borderId="49" xfId="0" applyFont="1" applyBorder="1" applyAlignment="1">
      <alignment horizontal="left" vertical="center"/>
    </xf>
    <xf numFmtId="0" fontId="60" fillId="0" borderId="47" xfId="0" applyFont="1" applyBorder="1" applyAlignment="1">
      <alignment horizontal="left" vertical="center"/>
    </xf>
    <xf numFmtId="0" fontId="60" fillId="13" borderId="46" xfId="0" applyFont="1" applyFill="1" applyBorder="1" applyAlignment="1">
      <alignment horizontal="left" vertical="center"/>
    </xf>
    <xf numFmtId="166" fontId="60" fillId="13" borderId="46" xfId="0" applyNumberFormat="1" applyFont="1" applyFill="1" applyBorder="1" applyAlignment="1">
      <alignment horizontal="left" vertical="center"/>
    </xf>
    <xf numFmtId="0" fontId="60" fillId="13" borderId="46" xfId="0" applyFont="1" applyFill="1" applyBorder="1" applyAlignment="1">
      <alignment horizontal="center" vertical="center"/>
    </xf>
    <xf numFmtId="0" fontId="60" fillId="13" borderId="48" xfId="0" applyFont="1" applyFill="1" applyBorder="1" applyAlignment="1">
      <alignment horizontal="center" vertical="center"/>
    </xf>
    <xf numFmtId="0" fontId="62" fillId="20" borderId="41" xfId="0" applyFont="1" applyFill="1" applyBorder="1" applyAlignment="1">
      <alignment horizontal="center" vertical="center" wrapText="1"/>
    </xf>
    <xf numFmtId="0" fontId="62" fillId="20" borderId="45" xfId="0" applyFont="1" applyFill="1" applyBorder="1" applyAlignment="1">
      <alignment horizontal="center" vertical="center" wrapText="1"/>
    </xf>
    <xf numFmtId="0" fontId="62" fillId="20" borderId="31" xfId="0" applyFont="1" applyFill="1" applyBorder="1" applyAlignment="1">
      <alignment horizontal="center" vertical="center" wrapText="1"/>
    </xf>
    <xf numFmtId="0" fontId="62" fillId="20" borderId="49" xfId="0" applyFont="1" applyFill="1" applyBorder="1" applyAlignment="1">
      <alignment horizontal="center" vertical="center" wrapText="1"/>
    </xf>
    <xf numFmtId="0" fontId="62" fillId="20" borderId="33" xfId="0" applyFont="1" applyFill="1" applyBorder="1" applyAlignment="1">
      <alignment horizontal="center" vertical="center" wrapText="1"/>
    </xf>
    <xf numFmtId="0" fontId="62" fillId="20" borderId="47" xfId="0" applyFont="1" applyFill="1" applyBorder="1" applyAlignment="1">
      <alignment horizontal="center" vertical="center" wrapText="1"/>
    </xf>
    <xf numFmtId="0" fontId="61" fillId="22" borderId="32" xfId="0" applyFont="1" applyFill="1" applyBorder="1" applyAlignment="1">
      <alignment horizontal="center" vertical="center" wrapText="1"/>
    </xf>
    <xf numFmtId="0" fontId="61" fillId="22" borderId="46" xfId="0" applyFont="1" applyFill="1" applyBorder="1" applyAlignment="1">
      <alignment horizontal="center" vertical="center" wrapText="1"/>
    </xf>
    <xf numFmtId="14" fontId="59" fillId="13" borderId="1" xfId="0" applyNumberFormat="1" applyFont="1" applyFill="1" applyBorder="1" applyAlignment="1">
      <alignment horizontal="center" vertical="center"/>
    </xf>
    <xf numFmtId="0" fontId="61" fillId="22" borderId="42" xfId="0" applyFont="1" applyFill="1" applyBorder="1" applyAlignment="1">
      <alignment horizontal="center" vertical="center" wrapText="1"/>
    </xf>
    <xf numFmtId="0" fontId="61" fillId="22" borderId="48" xfId="0" applyFont="1" applyFill="1" applyBorder="1" applyAlignment="1">
      <alignment horizontal="center" vertical="center" wrapText="1"/>
    </xf>
    <xf numFmtId="0" fontId="61" fillId="15" borderId="13" xfId="0" applyFont="1" applyFill="1" applyBorder="1" applyAlignment="1">
      <alignment horizontal="center"/>
    </xf>
    <xf numFmtId="1" fontId="6" fillId="13" borderId="12" xfId="0" applyNumberFormat="1" applyFont="1" applyFill="1" applyBorder="1" applyAlignment="1">
      <alignment horizontal="center" vertical="center" wrapText="1"/>
    </xf>
    <xf numFmtId="1" fontId="6" fillId="13" borderId="13" xfId="0" applyNumberFormat="1" applyFont="1" applyFill="1" applyBorder="1" applyAlignment="1">
      <alignment horizontal="center" vertical="center" wrapText="1"/>
    </xf>
    <xf numFmtId="1" fontId="6" fillId="13" borderId="12" xfId="0" applyNumberFormat="1" applyFont="1" applyFill="1" applyBorder="1" applyAlignment="1">
      <alignment horizontal="center" vertical="center"/>
    </xf>
    <xf numFmtId="1" fontId="6" fillId="13" borderId="1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/>
    </xf>
    <xf numFmtId="14" fontId="22" fillId="13" borderId="21" xfId="0" applyNumberFormat="1" applyFont="1" applyFill="1" applyBorder="1" applyAlignment="1">
      <alignment horizontal="right"/>
    </xf>
    <xf numFmtId="0" fontId="22" fillId="13" borderId="21" xfId="0" applyFont="1" applyFill="1" applyBorder="1" applyAlignment="1">
      <alignment horizontal="right"/>
    </xf>
    <xf numFmtId="0" fontId="22" fillId="13" borderId="23" xfId="0" applyFont="1" applyFill="1" applyBorder="1" applyAlignment="1">
      <alignment horizontal="right"/>
    </xf>
    <xf numFmtId="0" fontId="22" fillId="13" borderId="24" xfId="0" applyFont="1" applyFill="1" applyBorder="1" applyAlignment="1">
      <alignment horizontal="center"/>
    </xf>
    <xf numFmtId="0" fontId="22" fillId="13" borderId="0" xfId="0" applyFont="1" applyFill="1" applyBorder="1" applyAlignment="1">
      <alignment horizontal="center"/>
    </xf>
    <xf numFmtId="0" fontId="22" fillId="13" borderId="25" xfId="0" applyFont="1" applyFill="1" applyBorder="1" applyAlignment="1">
      <alignment horizontal="center"/>
    </xf>
    <xf numFmtId="0" fontId="22" fillId="13" borderId="24" xfId="0" applyFont="1" applyFill="1" applyBorder="1" applyAlignment="1">
      <alignment horizontal="center" vertical="center"/>
    </xf>
    <xf numFmtId="0" fontId="22" fillId="13" borderId="0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19" fillId="13" borderId="41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 vertical="center"/>
    </xf>
    <xf numFmtId="0" fontId="19" fillId="13" borderId="32" xfId="0" applyFont="1" applyFill="1" applyBorder="1" applyAlignment="1">
      <alignment horizontal="center"/>
    </xf>
    <xf numFmtId="0" fontId="19" fillId="13" borderId="32" xfId="0" quotePrefix="1" applyFont="1" applyFill="1" applyBorder="1" applyAlignment="1">
      <alignment horizontal="center"/>
    </xf>
    <xf numFmtId="0" fontId="19" fillId="13" borderId="42" xfId="0" applyFont="1" applyFill="1" applyBorder="1" applyAlignment="1">
      <alignment horizontal="center"/>
    </xf>
    <xf numFmtId="0" fontId="105" fillId="22" borderId="0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 vertical="center"/>
    </xf>
    <xf numFmtId="0" fontId="19" fillId="13" borderId="1" xfId="0" applyFont="1" applyFill="1" applyBorder="1" applyAlignment="1">
      <alignment horizontal="center"/>
    </xf>
    <xf numFmtId="0" fontId="19" fillId="13" borderId="44" xfId="0" applyFont="1" applyFill="1" applyBorder="1" applyAlignment="1">
      <alignment horizontal="center"/>
    </xf>
    <xf numFmtId="0" fontId="19" fillId="13" borderId="45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 vertical="center"/>
    </xf>
    <xf numFmtId="0" fontId="19" fillId="13" borderId="46" xfId="0" applyFont="1" applyFill="1" applyBorder="1" applyAlignment="1">
      <alignment horizontal="center"/>
    </xf>
    <xf numFmtId="0" fontId="19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left" vertical="center"/>
    </xf>
    <xf numFmtId="0" fontId="34" fillId="13" borderId="0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/>
    </xf>
    <xf numFmtId="0" fontId="51" fillId="13" borderId="21" xfId="0" applyFont="1" applyFill="1" applyBorder="1"/>
    <xf numFmtId="0" fontId="51" fillId="13" borderId="23" xfId="0" applyFont="1" applyFill="1" applyBorder="1"/>
    <xf numFmtId="2" fontId="29" fillId="13" borderId="70" xfId="0" applyNumberFormat="1" applyFont="1" applyFill="1" applyBorder="1" applyAlignment="1">
      <alignment horizontal="center"/>
    </xf>
    <xf numFmtId="2" fontId="29" fillId="13" borderId="72" xfId="0" applyNumberFormat="1" applyFont="1" applyFill="1" applyBorder="1" applyAlignment="1">
      <alignment horizontal="center"/>
    </xf>
    <xf numFmtId="0" fontId="34" fillId="13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22" fillId="13" borderId="14" xfId="0" applyFont="1" applyFill="1" applyBorder="1" applyAlignment="1">
      <alignment horizontal="center"/>
    </xf>
    <xf numFmtId="1" fontId="52" fillId="13" borderId="19" xfId="0" applyNumberFormat="1" applyFont="1" applyFill="1" applyBorder="1" applyAlignment="1">
      <alignment horizontal="center" vertical="center" wrapText="1"/>
    </xf>
    <xf numFmtId="0" fontId="29" fillId="13" borderId="60" xfId="0" applyFont="1" applyFill="1" applyBorder="1" applyAlignment="1">
      <alignment horizontal="center" vertical="center" wrapText="1"/>
    </xf>
    <xf numFmtId="0" fontId="22" fillId="13" borderId="1" xfId="0" quotePrefix="1" applyFont="1" applyFill="1" applyBorder="1" applyAlignment="1">
      <alignment horizontal="center"/>
    </xf>
    <xf numFmtId="0" fontId="34" fillId="13" borderId="0" xfId="0" applyFont="1" applyFill="1" applyBorder="1" applyAlignment="1">
      <alignment horizontal="center" vertical="center"/>
    </xf>
    <xf numFmtId="0" fontId="34" fillId="13" borderId="64" xfId="0" applyFont="1" applyFill="1" applyBorder="1" applyAlignment="1">
      <alignment horizontal="center"/>
    </xf>
    <xf numFmtId="0" fontId="34" fillId="13" borderId="64" xfId="0" applyFont="1" applyFill="1" applyBorder="1" applyAlignment="1">
      <alignment horizontal="center" vertical="top" wrapText="1"/>
    </xf>
    <xf numFmtId="0" fontId="34" fillId="13" borderId="61" xfId="0" applyFont="1" applyFill="1" applyBorder="1" applyAlignment="1">
      <alignment horizontal="center" vertical="top" wrapText="1"/>
    </xf>
    <xf numFmtId="1" fontId="34" fillId="13" borderId="19" xfId="0" applyNumberFormat="1" applyFont="1" applyFill="1" applyBorder="1" applyAlignment="1">
      <alignment horizontal="center" vertical="top" wrapText="1"/>
    </xf>
    <xf numFmtId="0" fontId="29" fillId="13" borderId="24" xfId="0" applyFont="1" applyFill="1" applyBorder="1" applyAlignment="1">
      <alignment horizontal="center" vertical="center"/>
    </xf>
    <xf numFmtId="0" fontId="29" fillId="13" borderId="69" xfId="0" applyFont="1" applyFill="1" applyBorder="1" applyAlignment="1">
      <alignment horizontal="center" vertical="center"/>
    </xf>
    <xf numFmtId="1" fontId="35" fillId="13" borderId="136" xfId="0" applyNumberFormat="1" applyFont="1" applyFill="1" applyBorder="1" applyAlignment="1">
      <alignment horizontal="center"/>
    </xf>
    <xf numFmtId="1" fontId="54" fillId="13" borderId="73" xfId="0" applyNumberFormat="1" applyFont="1" applyFill="1" applyBorder="1" applyAlignment="1">
      <alignment horizontal="center" vertical="center"/>
    </xf>
    <xf numFmtId="1" fontId="35" fillId="13" borderId="73" xfId="0" applyNumberFormat="1" applyFont="1" applyFill="1" applyBorder="1" applyAlignment="1">
      <alignment horizontal="center" vertical="center"/>
    </xf>
    <xf numFmtId="2" fontId="29" fillId="13" borderId="12" xfId="0" applyNumberFormat="1" applyFont="1" applyFill="1" applyBorder="1" applyAlignment="1">
      <alignment horizontal="center"/>
    </xf>
    <xf numFmtId="2" fontId="29" fillId="13" borderId="13" xfId="0" applyNumberFormat="1" applyFont="1" applyFill="1" applyBorder="1" applyAlignment="1">
      <alignment horizontal="center"/>
    </xf>
    <xf numFmtId="0" fontId="34" fillId="15" borderId="61" xfId="0" applyFont="1" applyFill="1" applyBorder="1" applyAlignment="1">
      <alignment horizontal="center" vertical="center"/>
    </xf>
    <xf numFmtId="0" fontId="21" fillId="13" borderId="19" xfId="0" applyFont="1" applyFill="1" applyBorder="1" applyAlignment="1">
      <alignment horizontal="center" wrapText="1"/>
    </xf>
    <xf numFmtId="0" fontId="21" fillId="13" borderId="19" xfId="0" applyFont="1" applyFill="1" applyBorder="1" applyAlignment="1">
      <alignment wrapText="1"/>
    </xf>
    <xf numFmtId="2" fontId="29" fillId="13" borderId="61" xfId="0" applyNumberFormat="1" applyFont="1" applyFill="1" applyBorder="1" applyAlignment="1">
      <alignment horizontal="center" wrapText="1"/>
    </xf>
    <xf numFmtId="2" fontId="29" fillId="7" borderId="12" xfId="0" applyNumberFormat="1" applyFont="1" applyFill="1" applyBorder="1" applyAlignment="1">
      <alignment horizontal="center"/>
    </xf>
    <xf numFmtId="2" fontId="29" fillId="7" borderId="13" xfId="0" applyNumberFormat="1" applyFont="1" applyFill="1" applyBorder="1" applyAlignment="1">
      <alignment horizontal="center"/>
    </xf>
    <xf numFmtId="1" fontId="92" fillId="7" borderId="73" xfId="0" applyNumberFormat="1" applyFont="1" applyFill="1" applyBorder="1" applyAlignment="1">
      <alignment horizontal="center"/>
    </xf>
    <xf numFmtId="1" fontId="34" fillId="13" borderId="19" xfId="0" applyNumberFormat="1" applyFont="1" applyFill="1" applyBorder="1" applyAlignment="1">
      <alignment horizontal="center" wrapText="1"/>
    </xf>
    <xf numFmtId="1" fontId="34" fillId="13" borderId="19" xfId="0" applyNumberFormat="1" applyFont="1" applyFill="1" applyBorder="1" applyAlignment="1">
      <alignment horizontal="center" vertical="center" wrapText="1"/>
    </xf>
    <xf numFmtId="0" fontId="34" fillId="13" borderId="60" xfId="0" applyFont="1" applyFill="1" applyBorder="1" applyAlignment="1">
      <alignment horizontal="center" vertical="center" wrapText="1"/>
    </xf>
    <xf numFmtId="0" fontId="34" fillId="13" borderId="19" xfId="0" applyFont="1" applyFill="1" applyBorder="1" applyAlignment="1">
      <alignment horizontal="center" wrapText="1"/>
    </xf>
    <xf numFmtId="1" fontId="54" fillId="15" borderId="73" xfId="0" applyNumberFormat="1" applyFont="1" applyFill="1" applyBorder="1" applyAlignment="1">
      <alignment horizontal="center" vertical="center"/>
    </xf>
    <xf numFmtId="1" fontId="35" fillId="15" borderId="73" xfId="0" applyNumberFormat="1" applyFont="1" applyFill="1" applyBorder="1" applyAlignment="1">
      <alignment horizontal="center" vertical="center"/>
    </xf>
    <xf numFmtId="2" fontId="29" fillId="18" borderId="12" xfId="0" applyNumberFormat="1" applyFont="1" applyFill="1" applyBorder="1" applyAlignment="1">
      <alignment horizontal="center"/>
    </xf>
    <xf numFmtId="2" fontId="29" fillId="18" borderId="13" xfId="0" applyNumberFormat="1" applyFont="1" applyFill="1" applyBorder="1" applyAlignment="1">
      <alignment horizontal="center"/>
    </xf>
    <xf numFmtId="1" fontId="35" fillId="13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center" wrapText="1"/>
    </xf>
    <xf numFmtId="49" fontId="29" fillId="7" borderId="13" xfId="0" applyNumberFormat="1" applyFont="1" applyFill="1" applyBorder="1" applyAlignment="1">
      <alignment horizontal="center" vertical="center" wrapText="1"/>
    </xf>
    <xf numFmtId="1" fontId="68" fillId="13" borderId="75" xfId="0" applyNumberFormat="1" applyFont="1" applyFill="1" applyBorder="1" applyAlignment="1">
      <alignment horizontal="center" vertical="top" wrapText="1"/>
    </xf>
    <xf numFmtId="1" fontId="68" fillId="13" borderId="0" xfId="0" applyNumberFormat="1" applyFont="1" applyFill="1" applyBorder="1" applyAlignment="1">
      <alignment horizontal="center" vertical="top" wrapText="1"/>
    </xf>
    <xf numFmtId="1" fontId="35" fillId="26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/>
    </xf>
    <xf numFmtId="49" fontId="29" fillId="7" borderId="13" xfId="0" applyNumberFormat="1" applyFont="1" applyFill="1" applyBorder="1" applyAlignment="1">
      <alignment horizontal="center"/>
    </xf>
    <xf numFmtId="1" fontId="29" fillId="7" borderId="73" xfId="0" applyNumberFormat="1" applyFont="1" applyFill="1" applyBorder="1" applyAlignment="1">
      <alignment horizontal="center" vertical="center" wrapText="1"/>
    </xf>
    <xf numFmtId="1" fontId="35" fillId="15" borderId="73" xfId="0" applyNumberFormat="1" applyFont="1" applyFill="1" applyBorder="1" applyAlignment="1">
      <alignment horizontal="center"/>
    </xf>
    <xf numFmtId="49" fontId="29" fillId="7" borderId="12" xfId="0" applyNumberFormat="1" applyFont="1" applyFill="1" applyBorder="1" applyAlignment="1">
      <alignment horizontal="center" vertical="top" wrapText="1"/>
    </xf>
    <xf numFmtId="49" fontId="29" fillId="7" borderId="13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top" wrapText="1"/>
    </xf>
    <xf numFmtId="2" fontId="29" fillId="7" borderId="13" xfId="0" applyNumberFormat="1" applyFont="1" applyFill="1" applyBorder="1" applyAlignment="1">
      <alignment horizontal="center" vertical="top" wrapText="1"/>
    </xf>
    <xf numFmtId="1" fontId="106" fillId="15" borderId="0" xfId="0" applyNumberFormat="1" applyFont="1" applyFill="1" applyBorder="1" applyAlignment="1">
      <alignment horizontal="center" vertical="top" wrapText="1"/>
    </xf>
    <xf numFmtId="2" fontId="29" fillId="7" borderId="12" xfId="0" applyNumberFormat="1" applyFont="1" applyFill="1" applyBorder="1" applyAlignment="1">
      <alignment horizontal="center" vertical="center" wrapText="1"/>
    </xf>
    <xf numFmtId="2" fontId="29" fillId="7" borderId="13" xfId="0" applyNumberFormat="1" applyFont="1" applyFill="1" applyBorder="1" applyAlignment="1">
      <alignment horizontal="center" vertical="center" wrapText="1"/>
    </xf>
    <xf numFmtId="49" fontId="29" fillId="7" borderId="73" xfId="0" applyNumberFormat="1" applyFont="1" applyFill="1" applyBorder="1" applyAlignment="1">
      <alignment horizontal="center" vertical="center" wrapText="1"/>
    </xf>
    <xf numFmtId="0" fontId="35" fillId="19" borderId="50" xfId="0" applyFont="1" applyFill="1" applyBorder="1" applyAlignment="1">
      <alignment horizontal="center"/>
    </xf>
    <xf numFmtId="0" fontId="35" fillId="19" borderId="51" xfId="0" applyFont="1" applyFill="1" applyBorder="1" applyAlignment="1">
      <alignment horizontal="center"/>
    </xf>
    <xf numFmtId="0" fontId="35" fillId="19" borderId="52" xfId="0" applyFont="1" applyFill="1" applyBorder="1" applyAlignment="1">
      <alignment horizontal="center"/>
    </xf>
    <xf numFmtId="1" fontId="29" fillId="18" borderId="87" xfId="0" applyNumberFormat="1" applyFont="1" applyFill="1" applyBorder="1" applyAlignment="1">
      <alignment horizontal="center" vertical="center" wrapText="1"/>
    </xf>
    <xf numFmtId="1" fontId="29" fillId="18" borderId="88" xfId="0" applyNumberFormat="1" applyFont="1" applyFill="1" applyBorder="1" applyAlignment="1">
      <alignment horizontal="center" vertical="center" wrapText="1"/>
    </xf>
    <xf numFmtId="1" fontId="29" fillId="13" borderId="75" xfId="0" applyNumberFormat="1" applyFont="1" applyFill="1" applyBorder="1" applyAlignment="1">
      <alignment horizontal="center" wrapText="1"/>
    </xf>
    <xf numFmtId="1" fontId="29" fillId="13" borderId="0" xfId="0" applyNumberFormat="1" applyFont="1" applyFill="1" applyAlignment="1">
      <alignment horizontal="center" wrapText="1"/>
    </xf>
    <xf numFmtId="0" fontId="22" fillId="13" borderId="0" xfId="0" applyFont="1" applyFill="1" applyAlignment="1">
      <alignment horizontal="center"/>
    </xf>
    <xf numFmtId="0" fontId="22" fillId="13" borderId="0" xfId="0" applyFont="1" applyFill="1" applyAlignment="1">
      <alignment horizontal="center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center"/>
    </xf>
    <xf numFmtId="0" fontId="34" fillId="13" borderId="0" xfId="0" applyFont="1" applyFill="1" applyAlignment="1">
      <alignment horizontal="center" vertical="center"/>
    </xf>
    <xf numFmtId="1" fontId="54" fillId="7" borderId="73" xfId="0" applyNumberFormat="1" applyFont="1" applyFill="1" applyBorder="1" applyAlignment="1">
      <alignment horizontal="center" vertical="center"/>
    </xf>
    <xf numFmtId="1" fontId="35" fillId="7" borderId="73" xfId="0" applyNumberFormat="1" applyFont="1" applyFill="1" applyBorder="1" applyAlignment="1">
      <alignment horizontal="center" vertical="center"/>
    </xf>
    <xf numFmtId="1" fontId="54" fillId="7" borderId="87" xfId="0" applyNumberFormat="1" applyFont="1" applyFill="1" applyBorder="1" applyAlignment="1">
      <alignment horizontal="center" vertical="center"/>
    </xf>
    <xf numFmtId="1" fontId="54" fillId="7" borderId="88" xfId="0" applyNumberFormat="1" applyFont="1" applyFill="1" applyBorder="1" applyAlignment="1">
      <alignment horizontal="center" vertical="center"/>
    </xf>
    <xf numFmtId="1" fontId="54" fillId="26" borderId="87" xfId="0" applyNumberFormat="1" applyFont="1" applyFill="1" applyBorder="1" applyAlignment="1">
      <alignment horizontal="center" vertical="center"/>
    </xf>
    <xf numFmtId="1" fontId="54" fillId="26" borderId="88" xfId="0" applyNumberFormat="1" applyFont="1" applyFill="1" applyBorder="1" applyAlignment="1">
      <alignment horizontal="center" vertical="center"/>
    </xf>
    <xf numFmtId="1" fontId="54" fillId="13" borderId="87" xfId="0" applyNumberFormat="1" applyFont="1" applyFill="1" applyBorder="1" applyAlignment="1">
      <alignment horizontal="center" vertical="center"/>
    </xf>
    <xf numFmtId="1" fontId="54" fillId="13" borderId="88" xfId="0" applyNumberFormat="1" applyFont="1" applyFill="1" applyBorder="1" applyAlignment="1">
      <alignment horizontal="center" vertical="center"/>
    </xf>
    <xf numFmtId="1" fontId="35" fillId="13" borderId="87" xfId="0" applyNumberFormat="1" applyFont="1" applyFill="1" applyBorder="1" applyAlignment="1">
      <alignment horizontal="center"/>
    </xf>
    <xf numFmtId="1" fontId="35" fillId="13" borderId="88" xfId="0" applyNumberFormat="1" applyFont="1" applyFill="1" applyBorder="1" applyAlignment="1">
      <alignment horizontal="center"/>
    </xf>
    <xf numFmtId="1" fontId="35" fillId="15" borderId="87" xfId="0" applyNumberFormat="1" applyFont="1" applyFill="1" applyBorder="1" applyAlignment="1">
      <alignment horizontal="center"/>
    </xf>
    <xf numFmtId="1" fontId="35" fillId="15" borderId="88" xfId="0" applyNumberFormat="1" applyFont="1" applyFill="1" applyBorder="1" applyAlignment="1">
      <alignment horizontal="center"/>
    </xf>
    <xf numFmtId="1" fontId="68" fillId="13" borderId="0" xfId="0" applyNumberFormat="1" applyFont="1" applyFill="1" applyAlignment="1">
      <alignment horizontal="center" vertical="top" wrapText="1"/>
    </xf>
    <xf numFmtId="2" fontId="29" fillId="13" borderId="0" xfId="0" applyNumberFormat="1" applyFont="1" applyFill="1" applyBorder="1" applyAlignment="1">
      <alignment horizontal="center" wrapText="1"/>
    </xf>
    <xf numFmtId="2" fontId="29" fillId="18" borderId="12" xfId="0" applyNumberFormat="1" applyFont="1" applyFill="1" applyBorder="1" applyAlignment="1">
      <alignment horizontal="center" vertical="center" wrapText="1"/>
    </xf>
    <xf numFmtId="2" fontId="29" fillId="18" borderId="13" xfId="0" applyNumberFormat="1" applyFont="1" applyFill="1" applyBorder="1" applyAlignment="1">
      <alignment horizontal="center" vertical="center" wrapText="1"/>
    </xf>
    <xf numFmtId="1" fontId="54" fillId="7" borderId="73" xfId="0" applyNumberFormat="1" applyFont="1" applyFill="1" applyBorder="1" applyAlignment="1">
      <alignment horizontal="center"/>
    </xf>
    <xf numFmtId="1" fontId="35" fillId="7" borderId="87" xfId="0" applyNumberFormat="1" applyFont="1" applyFill="1" applyBorder="1" applyAlignment="1">
      <alignment horizontal="center"/>
    </xf>
    <xf numFmtId="1" fontId="35" fillId="7" borderId="88" xfId="0" applyNumberFormat="1" applyFont="1" applyFill="1" applyBorder="1" applyAlignment="1">
      <alignment horizontal="center"/>
    </xf>
    <xf numFmtId="1" fontId="54" fillId="13" borderId="87" xfId="0" applyNumberFormat="1" applyFont="1" applyFill="1" applyBorder="1" applyAlignment="1">
      <alignment horizontal="center"/>
    </xf>
    <xf numFmtId="1" fontId="54" fillId="13" borderId="88" xfId="0" applyNumberFormat="1" applyFont="1" applyFill="1" applyBorder="1" applyAlignment="1">
      <alignment horizontal="center"/>
    </xf>
    <xf numFmtId="0" fontId="61" fillId="15" borderId="1" xfId="0" applyFont="1" applyFill="1" applyBorder="1" applyAlignment="1">
      <alignment horizontal="center"/>
    </xf>
    <xf numFmtId="1" fontId="69" fillId="13" borderId="12" xfId="0" applyNumberFormat="1" applyFont="1" applyFill="1" applyBorder="1" applyAlignment="1">
      <alignment horizontal="center" vertical="center" wrapText="1"/>
    </xf>
    <xf numFmtId="1" fontId="69" fillId="13" borderId="13" xfId="0" applyNumberFormat="1" applyFont="1" applyFill="1" applyBorder="1" applyAlignment="1">
      <alignment horizontal="center" vertical="center" wrapText="1"/>
    </xf>
    <xf numFmtId="0" fontId="61" fillId="22" borderId="1" xfId="0" applyFont="1" applyFill="1" applyBorder="1" applyAlignment="1">
      <alignment horizontal="center" vertical="center" wrapText="1"/>
    </xf>
    <xf numFmtId="0" fontId="60" fillId="13" borderId="41" xfId="0" applyFont="1" applyFill="1" applyBorder="1" applyAlignment="1">
      <alignment horizontal="right" vertical="center"/>
    </xf>
    <xf numFmtId="0" fontId="60" fillId="13" borderId="42" xfId="0" applyFont="1" applyFill="1" applyBorder="1" applyAlignment="1">
      <alignment horizontal="right" vertical="center"/>
    </xf>
    <xf numFmtId="0" fontId="62" fillId="20" borderId="1" xfId="0" applyFont="1" applyFill="1" applyBorder="1" applyAlignment="1">
      <alignment horizontal="center" vertical="center" wrapText="1"/>
    </xf>
    <xf numFmtId="0" fontId="60" fillId="13" borderId="43" xfId="0" applyFont="1" applyFill="1" applyBorder="1" applyAlignment="1">
      <alignment horizontal="right" vertical="center"/>
    </xf>
    <xf numFmtId="0" fontId="60" fillId="13" borderId="44" xfId="0" applyFont="1" applyFill="1" applyBorder="1" applyAlignment="1">
      <alignment horizontal="right" vertical="center"/>
    </xf>
    <xf numFmtId="0" fontId="60" fillId="13" borderId="67" xfId="0" applyFont="1" applyFill="1" applyBorder="1" applyAlignment="1">
      <alignment horizontal="right" vertical="center" wrapText="1"/>
    </xf>
    <xf numFmtId="0" fontId="60" fillId="13" borderId="68" xfId="0" applyFont="1" applyFill="1" applyBorder="1" applyAlignment="1">
      <alignment horizontal="right" vertical="center" wrapText="1"/>
    </xf>
    <xf numFmtId="0" fontId="60" fillId="13" borderId="67" xfId="0" applyFont="1" applyFill="1" applyBorder="1" applyAlignment="1">
      <alignment horizontal="left" vertical="center"/>
    </xf>
    <xf numFmtId="0" fontId="60" fillId="0" borderId="39" xfId="0" applyFont="1" applyBorder="1" applyAlignment="1">
      <alignment horizontal="left" vertical="center"/>
    </xf>
    <xf numFmtId="0" fontId="60" fillId="0" borderId="18" xfId="0" applyFont="1" applyBorder="1" applyAlignment="1">
      <alignment horizontal="left" vertical="center"/>
    </xf>
    <xf numFmtId="0" fontId="60" fillId="13" borderId="12" xfId="0" applyFont="1" applyFill="1" applyBorder="1" applyAlignment="1">
      <alignment horizontal="left" vertical="center"/>
    </xf>
    <xf numFmtId="166" fontId="60" fillId="13" borderId="12" xfId="0" applyNumberFormat="1" applyFont="1" applyFill="1" applyBorder="1" applyAlignment="1">
      <alignment horizontal="left" vertical="center"/>
    </xf>
    <xf numFmtId="0" fontId="60" fillId="13" borderId="12" xfId="0" applyFont="1" applyFill="1" applyBorder="1" applyAlignment="1">
      <alignment horizontal="center" vertical="center"/>
    </xf>
    <xf numFmtId="0" fontId="60" fillId="13" borderId="68" xfId="0" applyFont="1" applyFill="1" applyBorder="1" applyAlignment="1">
      <alignment horizontal="center" vertical="center"/>
    </xf>
    <xf numFmtId="0" fontId="34" fillId="13" borderId="21" xfId="0" applyFont="1" applyFill="1" applyBorder="1" applyAlignment="1">
      <alignment horizontal="left" vertical="center"/>
    </xf>
    <xf numFmtId="0" fontId="34" fillId="13" borderId="21" xfId="0" applyFont="1" applyFill="1" applyBorder="1" applyAlignment="1">
      <alignment horizontal="center"/>
    </xf>
    <xf numFmtId="0" fontId="22" fillId="13" borderId="23" xfId="0" applyFont="1" applyFill="1" applyBorder="1" applyAlignment="1">
      <alignment horizontal="center"/>
    </xf>
    <xf numFmtId="0" fontId="22" fillId="13" borderId="20" xfId="0" applyFont="1" applyFill="1" applyBorder="1" applyAlignment="1">
      <alignment horizontal="center"/>
    </xf>
    <xf numFmtId="0" fontId="19" fillId="13" borderId="14" xfId="0" applyFont="1" applyFill="1" applyBorder="1" applyAlignment="1">
      <alignment horizontal="center" vertical="center"/>
    </xf>
    <xf numFmtId="0" fontId="19" fillId="13" borderId="15" xfId="0" applyFont="1" applyFill="1" applyBorder="1" applyAlignment="1">
      <alignment horizontal="center" vertical="center"/>
    </xf>
    <xf numFmtId="0" fontId="19" fillId="13" borderId="16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13" borderId="14" xfId="0" quotePrefix="1" applyFont="1" applyFill="1" applyBorder="1" applyAlignment="1">
      <alignment horizontal="center"/>
    </xf>
    <xf numFmtId="0" fontId="19" fillId="13" borderId="15" xfId="0" quotePrefix="1" applyFont="1" applyFill="1" applyBorder="1" applyAlignment="1">
      <alignment horizontal="center"/>
    </xf>
    <xf numFmtId="0" fontId="19" fillId="13" borderId="76" xfId="0" quotePrefix="1" applyFont="1" applyFill="1" applyBorder="1" applyAlignment="1">
      <alignment horizontal="center"/>
    </xf>
    <xf numFmtId="0" fontId="34" fillId="13" borderId="17" xfId="0" applyFont="1" applyFill="1" applyBorder="1" applyAlignment="1">
      <alignment horizontal="left" vertical="center"/>
    </xf>
    <xf numFmtId="0" fontId="34" fillId="13" borderId="17" xfId="0" applyFont="1" applyFill="1" applyBorder="1" applyAlignment="1">
      <alignment horizontal="center"/>
    </xf>
    <xf numFmtId="0" fontId="22" fillId="13" borderId="17" xfId="0" applyFont="1" applyFill="1" applyBorder="1" applyAlignment="1">
      <alignment horizontal="center"/>
    </xf>
    <xf numFmtId="0" fontId="22" fillId="13" borderId="77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21" fillId="13" borderId="0" xfId="0" applyFont="1" applyFill="1" applyAlignment="1">
      <alignment horizontal="center" vertical="center" wrapText="1"/>
    </xf>
    <xf numFmtId="0" fontId="21" fillId="13" borderId="27" xfId="0" applyFont="1" applyFill="1" applyBorder="1" applyAlignment="1">
      <alignment horizontal="center" vertical="center" wrapText="1"/>
    </xf>
    <xf numFmtId="1" fontId="29" fillId="13" borderId="73" xfId="0" applyNumberFormat="1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/>
    </xf>
    <xf numFmtId="1" fontId="29" fillId="15" borderId="73" xfId="0" applyNumberFormat="1" applyFont="1" applyFill="1" applyBorder="1" applyAlignment="1">
      <alignment horizontal="center" vertical="center"/>
    </xf>
    <xf numFmtId="1" fontId="29" fillId="13" borderId="73" xfId="0" applyNumberFormat="1" applyFont="1" applyFill="1" applyBorder="1" applyAlignment="1">
      <alignment horizontal="center"/>
    </xf>
    <xf numFmtId="0" fontId="60" fillId="21" borderId="1" xfId="0" applyFont="1" applyFill="1" applyBorder="1" applyAlignment="1">
      <alignment horizontal="center" vertical="center"/>
    </xf>
    <xf numFmtId="1" fontId="29" fillId="13" borderId="24" xfId="0" applyNumberFormat="1" applyFont="1" applyFill="1" applyBorder="1" applyAlignment="1">
      <alignment horizontal="center" vertical="top"/>
    </xf>
    <xf numFmtId="1" fontId="29" fillId="13" borderId="0" xfId="0" applyNumberFormat="1" applyFont="1" applyFill="1" applyAlignment="1">
      <alignment horizontal="center" vertical="top"/>
    </xf>
    <xf numFmtId="0" fontId="60" fillId="21" borderId="1" xfId="0" applyFont="1" applyFill="1" applyBorder="1" applyAlignment="1">
      <alignment horizontal="center" vertical="center" wrapText="1"/>
    </xf>
    <xf numFmtId="0" fontId="111" fillId="13" borderId="33" xfId="0" quotePrefix="1" applyFont="1" applyFill="1" applyBorder="1" applyAlignment="1">
      <alignment horizontal="center"/>
    </xf>
    <xf numFmtId="0" fontId="111" fillId="13" borderId="22" xfId="0" quotePrefix="1" applyFont="1" applyFill="1" applyBorder="1" applyAlignment="1">
      <alignment horizontal="center"/>
    </xf>
    <xf numFmtId="0" fontId="111" fillId="13" borderId="53" xfId="0" quotePrefix="1" applyFont="1" applyFill="1" applyBorder="1" applyAlignment="1">
      <alignment horizontal="center"/>
    </xf>
    <xf numFmtId="0" fontId="111" fillId="13" borderId="86" xfId="0" applyFont="1" applyFill="1" applyBorder="1" applyAlignment="1">
      <alignment horizontal="center" vertical="center"/>
    </xf>
    <xf numFmtId="0" fontId="111" fillId="13" borderId="15" xfId="0" applyFont="1" applyFill="1" applyBorder="1" applyAlignment="1">
      <alignment horizontal="center" vertical="center"/>
    </xf>
    <xf numFmtId="0" fontId="111" fillId="13" borderId="16" xfId="0" applyFont="1" applyFill="1" applyBorder="1" applyAlignment="1">
      <alignment horizontal="center" vertical="center"/>
    </xf>
    <xf numFmtId="0" fontId="111" fillId="13" borderId="14" xfId="0" applyFont="1" applyFill="1" applyBorder="1" applyAlignment="1">
      <alignment horizontal="center"/>
    </xf>
    <xf numFmtId="0" fontId="111" fillId="13" borderId="16" xfId="0" applyFont="1" applyFill="1" applyBorder="1" applyAlignment="1">
      <alignment horizontal="center"/>
    </xf>
    <xf numFmtId="0" fontId="111" fillId="13" borderId="14" xfId="0" quotePrefix="1" applyFont="1" applyFill="1" applyBorder="1" applyAlignment="1">
      <alignment horizontal="center"/>
    </xf>
    <xf numFmtId="0" fontId="111" fillId="13" borderId="15" xfId="0" quotePrefix="1" applyFont="1" applyFill="1" applyBorder="1" applyAlignment="1">
      <alignment horizontal="center"/>
    </xf>
    <xf numFmtId="0" fontId="111" fillId="13" borderId="76" xfId="0" quotePrefix="1" applyFont="1" applyFill="1" applyBorder="1" applyAlignment="1">
      <alignment horizontal="center"/>
    </xf>
    <xf numFmtId="0" fontId="22" fillId="27" borderId="21" xfId="0" applyFont="1" applyFill="1" applyBorder="1" applyAlignment="1">
      <alignment horizontal="center"/>
    </xf>
    <xf numFmtId="0" fontId="22" fillId="27" borderId="23" xfId="0" applyFont="1" applyFill="1" applyBorder="1" applyAlignment="1">
      <alignment horizontal="center"/>
    </xf>
    <xf numFmtId="0" fontId="111" fillId="13" borderId="21" xfId="0" applyFont="1" applyFill="1" applyBorder="1" applyAlignment="1">
      <alignment horizontal="center" vertical="center"/>
    </xf>
    <xf numFmtId="0" fontId="111" fillId="13" borderId="23" xfId="0" applyFont="1" applyFill="1" applyBorder="1" applyAlignment="1">
      <alignment horizontal="center" vertical="center"/>
    </xf>
    <xf numFmtId="0" fontId="111" fillId="13" borderId="27" xfId="0" applyFont="1" applyFill="1" applyBorder="1" applyAlignment="1">
      <alignment horizontal="center" vertical="center"/>
    </xf>
    <xf numFmtId="0" fontId="111" fillId="13" borderId="29" xfId="0" applyFont="1" applyFill="1" applyBorder="1" applyAlignment="1">
      <alignment horizontal="center" vertical="center"/>
    </xf>
    <xf numFmtId="0" fontId="34" fillId="13" borderId="19" xfId="0" applyFont="1" applyFill="1" applyBorder="1" applyAlignment="1">
      <alignment horizontal="center" vertical="top" wrapText="1"/>
    </xf>
    <xf numFmtId="0" fontId="111" fillId="13" borderId="103" xfId="0" applyFont="1" applyFill="1" applyBorder="1" applyAlignment="1">
      <alignment horizontal="center" vertical="center"/>
    </xf>
    <xf numFmtId="0" fontId="111" fillId="13" borderId="22" xfId="0" applyFont="1" applyFill="1" applyBorder="1" applyAlignment="1">
      <alignment horizontal="center" vertical="center"/>
    </xf>
    <xf numFmtId="0" fontId="111" fillId="13" borderId="31" xfId="0" applyFont="1" applyFill="1" applyBorder="1" applyAlignment="1">
      <alignment horizontal="center" vertical="center"/>
    </xf>
    <xf numFmtId="0" fontId="111" fillId="13" borderId="33" xfId="0" applyFont="1" applyFill="1" applyBorder="1" applyAlignment="1">
      <alignment horizontal="center"/>
    </xf>
    <xf numFmtId="0" fontId="111" fillId="13" borderId="31" xfId="0" applyFont="1" applyFill="1" applyBorder="1" applyAlignment="1">
      <alignment horizontal="center"/>
    </xf>
    <xf numFmtId="0" fontId="21" fillId="13" borderId="24" xfId="0" applyFont="1" applyFill="1" applyBorder="1" applyAlignment="1">
      <alignment horizontal="right"/>
    </xf>
    <xf numFmtId="0" fontId="21" fillId="13" borderId="0" xfId="0" applyFont="1" applyFill="1" applyAlignment="1">
      <alignment horizontal="right"/>
    </xf>
    <xf numFmtId="0" fontId="34" fillId="13" borderId="82" xfId="0" applyFont="1" applyFill="1" applyBorder="1" applyAlignment="1">
      <alignment horizontal="center" wrapText="1"/>
    </xf>
    <xf numFmtId="0" fontId="34" fillId="13" borderId="63" xfId="0" applyFont="1" applyFill="1" applyBorder="1" applyAlignment="1">
      <alignment horizontal="center" wrapText="1"/>
    </xf>
    <xf numFmtId="0" fontId="111" fillId="13" borderId="43" xfId="0" applyFont="1" applyFill="1" applyBorder="1" applyAlignment="1">
      <alignment horizontal="center" vertical="center"/>
    </xf>
    <xf numFmtId="0" fontId="111" fillId="13" borderId="1" xfId="0" applyFont="1" applyFill="1" applyBorder="1" applyAlignment="1">
      <alignment horizontal="center" vertical="center"/>
    </xf>
    <xf numFmtId="0" fontId="111" fillId="13" borderId="1" xfId="0" applyFont="1" applyFill="1" applyBorder="1" applyAlignment="1">
      <alignment horizontal="center"/>
    </xf>
    <xf numFmtId="0" fontId="111" fillId="13" borderId="44" xfId="0" applyFont="1" applyFill="1" applyBorder="1" applyAlignment="1">
      <alignment horizontal="center"/>
    </xf>
    <xf numFmtId="0" fontId="111" fillId="13" borderId="45" xfId="0" applyFont="1" applyFill="1" applyBorder="1" applyAlignment="1">
      <alignment horizontal="center" vertical="center"/>
    </xf>
    <xf numFmtId="0" fontId="111" fillId="13" borderId="46" xfId="0" applyFont="1" applyFill="1" applyBorder="1" applyAlignment="1">
      <alignment horizontal="center" vertical="center"/>
    </xf>
    <xf numFmtId="0" fontId="111" fillId="13" borderId="46" xfId="0" applyFont="1" applyFill="1" applyBorder="1" applyAlignment="1">
      <alignment horizontal="center"/>
    </xf>
    <xf numFmtId="0" fontId="111" fillId="13" borderId="47" xfId="0" applyFont="1" applyFill="1" applyBorder="1" applyAlignment="1">
      <alignment horizontal="center"/>
    </xf>
    <xf numFmtId="0" fontId="111" fillId="13" borderId="59" xfId="0" applyFont="1" applyFill="1" applyBorder="1" applyAlignment="1">
      <alignment horizontal="center"/>
    </xf>
    <xf numFmtId="0" fontId="111" fillId="13" borderId="56" xfId="0" applyFont="1" applyFill="1" applyBorder="1" applyAlignment="1">
      <alignment horizontal="center"/>
    </xf>
    <xf numFmtId="1" fontId="34" fillId="13" borderId="80" xfId="0" applyNumberFormat="1" applyFont="1" applyFill="1" applyBorder="1" applyAlignment="1">
      <alignment horizontal="center" wrapText="1"/>
    </xf>
    <xf numFmtId="1" fontId="34" fillId="13" borderId="80" xfId="0" applyNumberFormat="1" applyFont="1" applyFill="1" applyBorder="1" applyAlignment="1">
      <alignment horizontal="center" vertical="center" wrapText="1"/>
    </xf>
    <xf numFmtId="0" fontId="34" fillId="13" borderId="81" xfId="0" applyFont="1" applyFill="1" applyBorder="1" applyAlignment="1">
      <alignment horizontal="center" vertical="center" wrapText="1"/>
    </xf>
    <xf numFmtId="2" fontId="19" fillId="31" borderId="87" xfId="0" applyNumberFormat="1" applyFont="1" applyFill="1" applyBorder="1" applyAlignment="1">
      <alignment horizontal="center"/>
    </xf>
    <xf numFmtId="2" fontId="19" fillId="31" borderId="88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2" fontId="19" fillId="13" borderId="87" xfId="0" applyNumberFormat="1" applyFont="1" applyFill="1" applyBorder="1" applyAlignment="1">
      <alignment horizontal="center"/>
    </xf>
    <xf numFmtId="2" fontId="19" fillId="13" borderId="88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/>
    </xf>
    <xf numFmtId="49" fontId="19" fillId="7" borderId="88" xfId="0" applyNumberFormat="1" applyFont="1" applyFill="1" applyBorder="1" applyAlignment="1">
      <alignment horizontal="center"/>
    </xf>
    <xf numFmtId="49" fontId="5" fillId="26" borderId="12" xfId="0" applyNumberFormat="1" applyFont="1" applyFill="1" applyBorder="1" applyAlignment="1">
      <alignment horizontal="center" vertical="center"/>
    </xf>
    <xf numFmtId="49" fontId="5" fillId="26" borderId="78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top" wrapText="1"/>
    </xf>
    <xf numFmtId="0" fontId="5" fillId="0" borderId="61" xfId="0" applyFont="1" applyBorder="1" applyAlignment="1">
      <alignment horizontal="left" vertical="top" wrapText="1"/>
    </xf>
    <xf numFmtId="49" fontId="5" fillId="26" borderId="13" xfId="0" applyNumberFormat="1" applyFont="1" applyFill="1" applyBorder="1" applyAlignment="1">
      <alignment horizontal="center" vertical="center"/>
    </xf>
    <xf numFmtId="2" fontId="19" fillId="7" borderId="87" xfId="0" applyNumberFormat="1" applyFont="1" applyFill="1" applyBorder="1" applyAlignment="1">
      <alignment horizontal="center"/>
    </xf>
    <xf numFmtId="2" fontId="19" fillId="7" borderId="88" xfId="0" applyNumberFormat="1" applyFont="1" applyFill="1" applyBorder="1" applyAlignment="1">
      <alignment horizontal="center"/>
    </xf>
    <xf numFmtId="49" fontId="5" fillId="7" borderId="12" xfId="0" applyNumberFormat="1" applyFont="1" applyFill="1" applyBorder="1" applyAlignment="1">
      <alignment horizontal="center" vertical="center"/>
    </xf>
    <xf numFmtId="49" fontId="5" fillId="7" borderId="13" xfId="0" applyNumberFormat="1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center" vertical="center" wrapText="1"/>
    </xf>
    <xf numFmtId="0" fontId="5" fillId="33" borderId="13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2" fontId="19" fillId="18" borderId="87" xfId="0" applyNumberFormat="1" applyFont="1" applyFill="1" applyBorder="1" applyAlignment="1">
      <alignment horizontal="center"/>
    </xf>
    <xf numFmtId="2" fontId="19" fillId="18" borderId="88" xfId="0" applyNumberFormat="1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 vertical="center"/>
    </xf>
    <xf numFmtId="0" fontId="5" fillId="18" borderId="13" xfId="0" applyFont="1" applyFill="1" applyBorder="1" applyAlignment="1">
      <alignment horizontal="center" vertical="center"/>
    </xf>
    <xf numFmtId="0" fontId="5" fillId="26" borderId="12" xfId="0" applyFont="1" applyFill="1" applyBorder="1" applyAlignment="1">
      <alignment horizontal="center" vertical="center"/>
    </xf>
    <xf numFmtId="0" fontId="5" fillId="26" borderId="13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75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17" xfId="0" applyFont="1" applyBorder="1" applyAlignment="1">
      <alignment horizontal="right" vertical="center" wrapText="1"/>
    </xf>
    <xf numFmtId="2" fontId="112" fillId="15" borderId="115" xfId="0" applyNumberFormat="1" applyFont="1" applyFill="1" applyBorder="1" applyAlignment="1">
      <alignment horizontal="center"/>
    </xf>
    <xf numFmtId="2" fontId="112" fillId="15" borderId="116" xfId="0" applyNumberFormat="1" applyFont="1" applyFill="1" applyBorder="1" applyAlignment="1">
      <alignment horizontal="center"/>
    </xf>
    <xf numFmtId="49" fontId="19" fillId="7" borderId="87" xfId="0" applyNumberFormat="1" applyFont="1" applyFill="1" applyBorder="1" applyAlignment="1">
      <alignment horizontal="center" vertical="center"/>
    </xf>
    <xf numFmtId="49" fontId="19" fillId="7" borderId="88" xfId="0" applyNumberFormat="1" applyFont="1" applyFill="1" applyBorder="1" applyAlignment="1">
      <alignment horizontal="center" vertical="center"/>
    </xf>
    <xf numFmtId="2" fontId="19" fillId="13" borderId="115" xfId="0" applyNumberFormat="1" applyFont="1" applyFill="1" applyBorder="1" applyAlignment="1">
      <alignment horizontal="center"/>
    </xf>
    <xf numFmtId="2" fontId="19" fillId="13" borderId="116" xfId="0" applyNumberFormat="1" applyFont="1" applyFill="1" applyBorder="1" applyAlignment="1">
      <alignment horizontal="center"/>
    </xf>
    <xf numFmtId="2" fontId="19" fillId="15" borderId="87" xfId="0" applyNumberFormat="1" applyFont="1" applyFill="1" applyBorder="1" applyAlignment="1">
      <alignment horizontal="center"/>
    </xf>
    <xf numFmtId="2" fontId="19" fillId="15" borderId="88" xfId="0" applyNumberFormat="1" applyFont="1" applyFill="1" applyBorder="1" applyAlignment="1">
      <alignment horizontal="center"/>
    </xf>
    <xf numFmtId="0" fontId="5" fillId="15" borderId="12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2" fontId="19" fillId="26" borderId="87" xfId="0" applyNumberFormat="1" applyFont="1" applyFill="1" applyBorder="1" applyAlignment="1">
      <alignment horizontal="center" vertical="center" wrapText="1"/>
    </xf>
    <xf numFmtId="2" fontId="19" fillId="26" borderId="88" xfId="0" applyNumberFormat="1" applyFont="1" applyFill="1" applyBorder="1" applyAlignment="1">
      <alignment horizontal="center" vertical="center" wrapText="1"/>
    </xf>
    <xf numFmtId="2" fontId="19" fillId="26" borderId="87" xfId="0" applyNumberFormat="1" applyFont="1" applyFill="1" applyBorder="1" applyAlignment="1">
      <alignment horizontal="center"/>
    </xf>
    <xf numFmtId="2" fontId="19" fillId="26" borderId="88" xfId="0" applyNumberFormat="1" applyFont="1" applyFill="1" applyBorder="1" applyAlignment="1">
      <alignment horizontal="center"/>
    </xf>
    <xf numFmtId="0" fontId="5" fillId="13" borderId="12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5" fillId="7" borderId="67" xfId="0" applyFont="1" applyFill="1" applyBorder="1" applyAlignment="1">
      <alignment horizontal="center" vertical="center"/>
    </xf>
    <xf numFmtId="0" fontId="5" fillId="7" borderId="85" xfId="0" applyFont="1" applyFill="1" applyBorder="1" applyAlignment="1">
      <alignment horizontal="center" vertical="center"/>
    </xf>
    <xf numFmtId="49" fontId="19" fillId="7" borderId="87" xfId="0" applyNumberFormat="1" applyFont="1" applyFill="1" applyBorder="1" applyAlignment="1">
      <alignment horizontal="center" vertical="top"/>
    </xf>
    <xf numFmtId="49" fontId="19" fillId="7" borderId="88" xfId="0" applyNumberFormat="1" applyFont="1" applyFill="1" applyBorder="1" applyAlignment="1">
      <alignment horizontal="center" vertical="top"/>
    </xf>
    <xf numFmtId="2" fontId="19" fillId="7" borderId="87" xfId="0" applyNumberFormat="1" applyFont="1" applyFill="1" applyBorder="1" applyAlignment="1">
      <alignment horizontal="center" vertical="center" wrapText="1"/>
    </xf>
    <xf numFmtId="2" fontId="19" fillId="7" borderId="88" xfId="0" applyNumberFormat="1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2" fontId="5" fillId="0" borderId="64" xfId="0" applyNumberFormat="1" applyFont="1" applyBorder="1" applyAlignment="1">
      <alignment horizontal="right" vertical="center"/>
    </xf>
    <xf numFmtId="2" fontId="5" fillId="0" borderId="66" xfId="0" applyNumberFormat="1" applyFont="1" applyBorder="1" applyAlignment="1">
      <alignment horizontal="right" vertical="center"/>
    </xf>
    <xf numFmtId="0" fontId="5" fillId="0" borderId="75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75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15" borderId="75" xfId="0" applyFont="1" applyFill="1" applyBorder="1" applyAlignment="1">
      <alignment horizontal="right" vertical="center" wrapText="1"/>
    </xf>
    <xf numFmtId="0" fontId="5" fillId="15" borderId="0" xfId="0" applyFont="1" applyFill="1" applyAlignment="1">
      <alignment horizontal="right" vertical="center" wrapText="1"/>
    </xf>
    <xf numFmtId="2" fontId="19" fillId="7" borderId="87" xfId="0" applyNumberFormat="1" applyFont="1" applyFill="1" applyBorder="1" applyAlignment="1">
      <alignment horizontal="center" wrapText="1"/>
    </xf>
    <xf numFmtId="2" fontId="19" fillId="7" borderId="88" xfId="0" applyNumberFormat="1" applyFont="1" applyFill="1" applyBorder="1" applyAlignment="1">
      <alignment horizontal="center" wrapText="1"/>
    </xf>
    <xf numFmtId="0" fontId="5" fillId="0" borderId="27" xfId="0" applyFont="1" applyBorder="1" applyAlignment="1">
      <alignment horizontal="right" vertical="center" wrapText="1"/>
    </xf>
    <xf numFmtId="0" fontId="91" fillId="13" borderId="21" xfId="0" applyFont="1" applyFill="1" applyBorder="1" applyAlignment="1">
      <alignment horizontal="right" vertical="center"/>
    </xf>
    <xf numFmtId="0" fontId="91" fillId="13" borderId="110" xfId="0" applyFont="1" applyFill="1" applyBorder="1" applyAlignment="1">
      <alignment horizontal="right" vertical="center"/>
    </xf>
    <xf numFmtId="0" fontId="34" fillId="19" borderId="0" xfId="0" applyFont="1" applyFill="1" applyAlignment="1">
      <alignment horizontal="center" vertical="center"/>
    </xf>
    <xf numFmtId="0" fontId="52" fillId="34" borderId="140" xfId="0" applyFont="1" applyFill="1" applyBorder="1" applyAlignment="1">
      <alignment horizontal="center" vertical="center" wrapText="1"/>
    </xf>
    <xf numFmtId="0" fontId="52" fillId="34" borderId="141" xfId="0" applyFont="1" applyFill="1" applyBorder="1" applyAlignment="1">
      <alignment horizontal="center" vertical="center" wrapText="1"/>
    </xf>
    <xf numFmtId="0" fontId="52" fillId="34" borderId="142" xfId="0" applyFont="1" applyFill="1" applyBorder="1" applyAlignment="1">
      <alignment horizontal="center" vertical="center" wrapText="1"/>
    </xf>
    <xf numFmtId="0" fontId="0" fillId="29" borderId="1" xfId="0" applyFill="1" applyBorder="1" applyAlignment="1">
      <alignment horizontal="center" vertical="center"/>
    </xf>
    <xf numFmtId="0" fontId="81" fillId="28" borderId="1" xfId="0" applyFont="1" applyFill="1" applyBorder="1" applyAlignment="1">
      <alignment horizontal="center" vertical="center" wrapText="1"/>
    </xf>
    <xf numFmtId="0" fontId="81" fillId="28" borderId="19" xfId="0" applyFont="1" applyFill="1" applyBorder="1" applyAlignment="1">
      <alignment horizontal="center" vertical="center" wrapText="1"/>
    </xf>
    <xf numFmtId="0" fontId="81" fillId="28" borderId="13" xfId="0" applyFont="1" applyFill="1" applyBorder="1" applyAlignment="1">
      <alignment horizontal="center" vertical="center" wrapText="1"/>
    </xf>
    <xf numFmtId="0" fontId="81" fillId="29" borderId="35" xfId="0" applyFont="1" applyFill="1" applyBorder="1" applyAlignment="1">
      <alignment horizontal="center" vertical="center" wrapText="1"/>
    </xf>
    <xf numFmtId="0" fontId="81" fillId="29" borderId="32" xfId="0" applyFont="1" applyFill="1" applyBorder="1" applyAlignment="1">
      <alignment horizontal="center" vertical="center" wrapText="1"/>
    </xf>
    <xf numFmtId="0" fontId="81" fillId="28" borderId="14" xfId="0" applyFont="1" applyFill="1" applyBorder="1" applyAlignment="1">
      <alignment horizontal="center" vertical="center" wrapText="1"/>
    </xf>
    <xf numFmtId="0" fontId="0" fillId="29" borderId="14" xfId="0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0" fontId="19" fillId="13" borderId="21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0" fillId="0" borderId="37" xfId="0" applyFont="1" applyBorder="1" applyAlignment="1">
      <alignment horizontal="right"/>
    </xf>
    <xf numFmtId="0" fontId="30" fillId="0" borderId="51" xfId="0" applyFont="1" applyBorder="1" applyAlignment="1">
      <alignment horizontal="right"/>
    </xf>
    <xf numFmtId="0" fontId="30" fillId="0" borderId="58" xfId="0" applyFont="1" applyBorder="1" applyAlignment="1">
      <alignment horizontal="right"/>
    </xf>
    <xf numFmtId="0" fontId="38" fillId="0" borderId="30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52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8" fillId="0" borderId="56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9" fillId="0" borderId="42" xfId="0" applyFont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33" fillId="0" borderId="50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1" fontId="33" fillId="0" borderId="50" xfId="0" applyNumberFormat="1" applyFont="1" applyBorder="1" applyAlignment="1">
      <alignment horizontal="center" vertical="center" wrapText="1"/>
    </xf>
    <xf numFmtId="1" fontId="33" fillId="0" borderId="51" xfId="0" applyNumberFormat="1" applyFont="1" applyBorder="1" applyAlignment="1">
      <alignment horizontal="center" vertical="center" wrapText="1"/>
    </xf>
    <xf numFmtId="1" fontId="33" fillId="0" borderId="52" xfId="0" applyNumberFormat="1" applyFont="1" applyBorder="1" applyAlignment="1">
      <alignment horizontal="center" vertical="center" wrapText="1"/>
    </xf>
    <xf numFmtId="1" fontId="33" fillId="0" borderId="50" xfId="0" applyNumberFormat="1" applyFont="1" applyBorder="1" applyAlignment="1">
      <alignment horizontal="center" vertical="center"/>
    </xf>
    <xf numFmtId="1" fontId="33" fillId="0" borderId="5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64" xfId="0" applyFont="1" applyBorder="1" applyAlignment="1">
      <alignment horizontal="right" vertical="center"/>
    </xf>
    <xf numFmtId="0" fontId="25" fillId="0" borderId="25" xfId="0" applyFont="1" applyBorder="1" applyAlignment="1">
      <alignment horizontal="right" vertical="center"/>
    </xf>
    <xf numFmtId="0" fontId="44" fillId="0" borderId="30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7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44" fillId="0" borderId="34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/>
    </xf>
    <xf numFmtId="0" fontId="44" fillId="0" borderId="38" xfId="0" applyFont="1" applyBorder="1" applyAlignment="1">
      <alignment horizontal="center" vertical="center"/>
    </xf>
    <xf numFmtId="0" fontId="44" fillId="0" borderId="46" xfId="0" applyFont="1" applyBorder="1" applyAlignment="1">
      <alignment horizontal="center" vertical="center" wrapText="1"/>
    </xf>
    <xf numFmtId="0" fontId="44" fillId="0" borderId="54" xfId="0" applyFont="1" applyBorder="1" applyAlignment="1">
      <alignment horizontal="center" vertical="center"/>
    </xf>
    <xf numFmtId="1" fontId="26" fillId="0" borderId="50" xfId="0" applyNumberFormat="1" applyFont="1" applyBorder="1" applyAlignment="1">
      <alignment horizontal="center" vertical="center"/>
    </xf>
    <xf numFmtId="1" fontId="26" fillId="0" borderId="51" xfId="0" applyNumberFormat="1" applyFont="1" applyBorder="1" applyAlignment="1">
      <alignment horizontal="center" vertical="center"/>
    </xf>
    <xf numFmtId="1" fontId="26" fillId="0" borderId="52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1" fontId="33" fillId="0" borderId="26" xfId="0" applyNumberFormat="1" applyFont="1" applyBorder="1" applyAlignment="1">
      <alignment horizontal="center" vertical="center" wrapText="1"/>
    </xf>
    <xf numFmtId="1" fontId="33" fillId="0" borderId="27" xfId="0" applyNumberFormat="1" applyFont="1" applyBorder="1" applyAlignment="1">
      <alignment horizontal="center" vertical="center" wrapText="1"/>
    </xf>
    <xf numFmtId="1" fontId="33" fillId="0" borderId="29" xfId="0" applyNumberFormat="1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25" fillId="0" borderId="28" xfId="0" applyFont="1" applyBorder="1" applyAlignment="1">
      <alignment horizontal="right" vertical="center"/>
    </xf>
    <xf numFmtId="0" fontId="25" fillId="0" borderId="29" xfId="0" applyFont="1" applyBorder="1" applyAlignment="1">
      <alignment horizontal="right" vertical="center"/>
    </xf>
    <xf numFmtId="0" fontId="30" fillId="0" borderId="19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33" fillId="0" borderId="3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3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44" fillId="0" borderId="39" xfId="0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25" fillId="0" borderId="0" xfId="0" applyFont="1" applyAlignment="1">
      <alignment horizontal="right" vertical="center"/>
    </xf>
    <xf numFmtId="0" fontId="25" fillId="0" borderId="33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73" fillId="16" borderId="90" xfId="0" applyFont="1" applyFill="1" applyBorder="1" applyAlignment="1">
      <alignment horizontal="center" vertical="center" wrapText="1"/>
    </xf>
    <xf numFmtId="0" fontId="73" fillId="16" borderId="91" xfId="0" applyFont="1" applyFill="1" applyBorder="1" applyAlignment="1">
      <alignment horizontal="center" vertical="center" wrapText="1"/>
    </xf>
    <xf numFmtId="0" fontId="73" fillId="16" borderId="92" xfId="0" applyFont="1" applyFill="1" applyBorder="1" applyAlignment="1">
      <alignment horizontal="center" vertical="center" wrapText="1"/>
    </xf>
    <xf numFmtId="0" fontId="73" fillId="16" borderId="93" xfId="0" applyFont="1" applyFill="1" applyBorder="1" applyAlignment="1">
      <alignment horizontal="center" vertical="center" wrapText="1"/>
    </xf>
    <xf numFmtId="0" fontId="73" fillId="16" borderId="99" xfId="0" applyFont="1" applyFill="1" applyBorder="1" applyAlignment="1">
      <alignment horizontal="center" vertical="center" wrapText="1"/>
    </xf>
    <xf numFmtId="0" fontId="73" fillId="16" borderId="94" xfId="0" applyFont="1" applyFill="1" applyBorder="1" applyAlignment="1">
      <alignment horizontal="center" vertical="center" wrapText="1"/>
    </xf>
    <xf numFmtId="0" fontId="74" fillId="16" borderId="93" xfId="0" applyFont="1" applyFill="1" applyBorder="1" applyAlignment="1">
      <alignment horizontal="center" vertical="center" wrapText="1"/>
    </xf>
    <xf numFmtId="0" fontId="74" fillId="16" borderId="94" xfId="0" applyFont="1" applyFill="1" applyBorder="1" applyAlignment="1">
      <alignment horizontal="center" vertical="center" wrapText="1"/>
    </xf>
    <xf numFmtId="0" fontId="74" fillId="16" borderId="95" xfId="0" applyFont="1" applyFill="1" applyBorder="1" applyAlignment="1">
      <alignment horizontal="center" vertical="center" wrapText="1"/>
    </xf>
    <xf numFmtId="0" fontId="74" fillId="16" borderId="96" xfId="0" applyFont="1" applyFill="1" applyBorder="1" applyAlignment="1">
      <alignment horizontal="center" vertical="center" wrapText="1"/>
    </xf>
    <xf numFmtId="0" fontId="74" fillId="16" borderId="97" xfId="0" applyFont="1" applyFill="1" applyBorder="1" applyAlignment="1">
      <alignment horizontal="center" vertical="center" wrapText="1"/>
    </xf>
    <xf numFmtId="0" fontId="74" fillId="16" borderId="98" xfId="0" applyFont="1" applyFill="1" applyBorder="1" applyAlignment="1">
      <alignment horizontal="center" vertical="center" wrapText="1"/>
    </xf>
    <xf numFmtId="0" fontId="74" fillId="16" borderId="90" xfId="0" applyFont="1" applyFill="1" applyBorder="1" applyAlignment="1">
      <alignment horizontal="center" vertical="center" wrapText="1"/>
    </xf>
    <xf numFmtId="0" fontId="74" fillId="16" borderId="91" xfId="0" applyFont="1" applyFill="1" applyBorder="1" applyAlignment="1">
      <alignment horizontal="center" vertical="center" wrapText="1"/>
    </xf>
    <xf numFmtId="0" fontId="74" fillId="16" borderId="92" xfId="0" applyFont="1" applyFill="1" applyBorder="1" applyAlignment="1">
      <alignment horizontal="center" vertical="center" wrapText="1"/>
    </xf>
    <xf numFmtId="0" fontId="47" fillId="16" borderId="1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center" vertical="center" wrapText="1"/>
    </xf>
    <xf numFmtId="0" fontId="45" fillId="15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/>
    </xf>
    <xf numFmtId="0" fontId="45" fillId="17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/>
    <xf numFmtId="0" fontId="12" fillId="13" borderId="66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2" fillId="13" borderId="65" xfId="0" applyFont="1" applyFill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168" fontId="0" fillId="13" borderId="1" xfId="4" applyNumberFormat="1" applyFont="1" applyFill="1" applyBorder="1" applyAlignment="1">
      <alignment horizontal="center" vertical="center"/>
    </xf>
    <xf numFmtId="0" fontId="18" fillId="13" borderId="1" xfId="4" applyFont="1" applyFill="1" applyBorder="1" applyAlignment="1">
      <alignment horizontal="center" vertical="center"/>
    </xf>
    <xf numFmtId="14" fontId="15" fillId="13" borderId="1" xfId="0" applyNumberFormat="1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8" fontId="0" fillId="13" borderId="12" xfId="4" applyNumberFormat="1" applyFont="1" applyFill="1" applyBorder="1" applyAlignment="1">
      <alignment horizontal="center" vertical="center"/>
    </xf>
    <xf numFmtId="168" fontId="0" fillId="13" borderId="19" xfId="4" applyNumberFormat="1" applyFont="1" applyFill="1" applyBorder="1" applyAlignment="1">
      <alignment horizontal="center" vertical="center"/>
    </xf>
    <xf numFmtId="0" fontId="0" fillId="13" borderId="12" xfId="4" applyNumberFormat="1" applyFont="1" applyFill="1" applyBorder="1" applyAlignment="1">
      <alignment horizontal="center" vertical="center"/>
    </xf>
    <xf numFmtId="0" fontId="0" fillId="13" borderId="19" xfId="4" applyNumberFormat="1" applyFont="1" applyFill="1" applyBorder="1" applyAlignment="1">
      <alignment horizontal="center" vertical="center"/>
    </xf>
    <xf numFmtId="0" fontId="0" fillId="13" borderId="1" xfId="4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12" xfId="0" applyFont="1" applyFill="1" applyBorder="1" applyAlignment="1">
      <alignment horizontal="center" vertical="center" wrapText="1"/>
    </xf>
    <xf numFmtId="17" fontId="3" fillId="13" borderId="1" xfId="0" applyNumberFormat="1" applyFont="1" applyFill="1" applyBorder="1" applyAlignment="1">
      <alignment horizontal="center" vertical="center" wrapText="1"/>
    </xf>
    <xf numFmtId="17" fontId="15" fillId="13" borderId="1" xfId="0" applyNumberFormat="1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19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3" fillId="13" borderId="19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2" xfId="0" quotePrefix="1" applyFont="1" applyFill="1" applyBorder="1" applyAlignment="1">
      <alignment horizontal="center" vertical="center" wrapText="1"/>
    </xf>
    <xf numFmtId="0" fontId="15" fillId="13" borderId="19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14" fontId="69" fillId="13" borderId="12" xfId="0" applyNumberFormat="1" applyFont="1" applyFill="1" applyBorder="1" applyAlignment="1">
      <alignment horizontal="center" vertical="center" wrapText="1"/>
    </xf>
    <xf numFmtId="14" fontId="69" fillId="13" borderId="19" xfId="0" applyNumberFormat="1" applyFont="1" applyFill="1" applyBorder="1" applyAlignment="1">
      <alignment horizontal="center" vertical="center" wrapText="1"/>
    </xf>
    <xf numFmtId="14" fontId="69" fillId="13" borderId="13" xfId="0" applyNumberFormat="1" applyFont="1" applyFill="1" applyBorder="1" applyAlignment="1">
      <alignment horizontal="center" vertical="center" wrapText="1"/>
    </xf>
    <xf numFmtId="0" fontId="69" fillId="13" borderId="12" xfId="0" applyFont="1" applyFill="1" applyBorder="1" applyAlignment="1">
      <alignment horizontal="center" vertical="center" wrapText="1"/>
    </xf>
    <xf numFmtId="0" fontId="69" fillId="13" borderId="19" xfId="0" applyFont="1" applyFill="1" applyBorder="1" applyAlignment="1">
      <alignment horizontal="center" vertical="center" wrapText="1"/>
    </xf>
    <xf numFmtId="0" fontId="69" fillId="1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15" fillId="0" borderId="12" xfId="0" applyNumberFormat="1" applyFont="1" applyBorder="1" applyAlignment="1">
      <alignment horizontal="center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4" fontId="15" fillId="0" borderId="13" xfId="0" applyNumberFormat="1" applyFont="1" applyBorder="1" applyAlignment="1">
      <alignment horizontal="center" vertical="center" wrapText="1"/>
    </xf>
    <xf numFmtId="0" fontId="15" fillId="0" borderId="12" xfId="0" applyNumberFormat="1" applyFont="1" applyBorder="1" applyAlignment="1">
      <alignment horizontal="center" vertical="center" wrapText="1"/>
    </xf>
    <xf numFmtId="0" fontId="15" fillId="0" borderId="19" xfId="0" applyNumberFormat="1" applyFont="1" applyBorder="1" applyAlignment="1">
      <alignment horizontal="center" vertical="center" wrapText="1"/>
    </xf>
    <xf numFmtId="0" fontId="15" fillId="0" borderId="13" xfId="0" applyNumberFormat="1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/>
    <xf numFmtId="0" fontId="17" fillId="10" borderId="4" xfId="0" applyFont="1" applyFill="1" applyBorder="1"/>
    <xf numFmtId="14" fontId="15" fillId="0" borderId="1" xfId="0" quotePrefix="1" applyNumberFormat="1" applyFont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168" fontId="0" fillId="13" borderId="1" xfId="4" quotePrefix="1" applyNumberFormat="1" applyFont="1" applyFill="1" applyBorder="1" applyAlignment="1">
      <alignment horizontal="center" vertical="center"/>
    </xf>
    <xf numFmtId="0" fontId="81" fillId="0" borderId="117" xfId="0" applyFont="1" applyBorder="1" applyAlignment="1">
      <alignment horizontal="center" vertical="center" wrapText="1"/>
    </xf>
    <xf numFmtId="0" fontId="81" fillId="0" borderId="118" xfId="0" applyFont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11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69" fillId="10" borderId="3" xfId="0" applyFont="1" applyFill="1" applyBorder="1"/>
    <xf numFmtId="0" fontId="69" fillId="10" borderId="4" xfId="0" applyFont="1" applyFill="1" applyBorder="1"/>
    <xf numFmtId="14" fontId="15" fillId="13" borderId="12" xfId="0" applyNumberFormat="1" applyFont="1" applyFill="1" applyBorder="1" applyAlignment="1">
      <alignment horizontal="center" vertical="center" wrapText="1"/>
    </xf>
    <xf numFmtId="14" fontId="15" fillId="13" borderId="19" xfId="0" applyNumberFormat="1" applyFont="1" applyFill="1" applyBorder="1" applyAlignment="1">
      <alignment horizontal="center" vertical="center" wrapText="1"/>
    </xf>
    <xf numFmtId="14" fontId="15" fillId="13" borderId="13" xfId="0" applyNumberFormat="1" applyFont="1" applyFill="1" applyBorder="1" applyAlignment="1">
      <alignment horizontal="center" vertical="center" wrapText="1"/>
    </xf>
    <xf numFmtId="14" fontId="15" fillId="0" borderId="12" xfId="0" quotePrefix="1" applyNumberFormat="1" applyFont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119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/>
    </xf>
    <xf numFmtId="0" fontId="17" fillId="10" borderId="15" xfId="0" applyFont="1" applyFill="1" applyBorder="1" applyAlignment="1">
      <alignment horizontal="center"/>
    </xf>
    <xf numFmtId="0" fontId="17" fillId="10" borderId="1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73" fillId="16" borderId="9" xfId="0" applyFont="1" applyFill="1" applyBorder="1" applyAlignment="1">
      <alignment horizontal="center" vertical="center" wrapText="1" readingOrder="1"/>
    </xf>
    <xf numFmtId="0" fontId="73" fillId="16" borderId="11" xfId="0" applyFont="1" applyFill="1" applyBorder="1" applyAlignment="1">
      <alignment horizontal="center" vertical="center" wrapText="1" readingOrder="1"/>
    </xf>
    <xf numFmtId="0" fontId="73" fillId="16" borderId="10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center" vertical="center" readingOrder="1"/>
    </xf>
    <xf numFmtId="0" fontId="73" fillId="16" borderId="10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readingOrder="1"/>
    </xf>
    <xf numFmtId="0" fontId="74" fillId="16" borderId="119" xfId="0" applyFont="1" applyFill="1" applyBorder="1" applyAlignment="1">
      <alignment horizontal="center" vertical="center" readingOrder="1"/>
    </xf>
    <xf numFmtId="0" fontId="74" fillId="16" borderId="7" xfId="0" applyFont="1" applyFill="1" applyBorder="1" applyAlignment="1">
      <alignment horizontal="center" vertical="center" readingOrder="1"/>
    </xf>
    <xf numFmtId="0" fontId="74" fillId="16" borderId="6" xfId="0" applyFont="1" applyFill="1" applyBorder="1" applyAlignment="1">
      <alignment horizontal="center" vertical="center" wrapText="1" readingOrder="1"/>
    </xf>
    <xf numFmtId="0" fontId="74" fillId="16" borderId="119" xfId="0" applyFont="1" applyFill="1" applyBorder="1" applyAlignment="1">
      <alignment horizontal="center" vertical="center" wrapText="1" readingOrder="1"/>
    </xf>
    <xf numFmtId="0" fontId="74" fillId="16" borderId="7" xfId="0" applyFont="1" applyFill="1" applyBorder="1" applyAlignment="1">
      <alignment horizontal="center" vertical="center" wrapText="1" readingOrder="1"/>
    </xf>
    <xf numFmtId="0" fontId="73" fillId="16" borderId="9" xfId="0" applyFont="1" applyFill="1" applyBorder="1" applyAlignment="1">
      <alignment horizontal="left" vertical="center" wrapText="1" readingOrder="1"/>
    </xf>
    <xf numFmtId="0" fontId="73" fillId="16" borderId="10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/>
    </xf>
    <xf numFmtId="0" fontId="81" fillId="0" borderId="41" xfId="0" applyFont="1" applyBorder="1" applyAlignment="1">
      <alignment horizontal="center" vertical="center" wrapText="1"/>
    </xf>
    <xf numFmtId="0" fontId="81" fillId="0" borderId="43" xfId="0" applyFont="1" applyBorder="1" applyAlignment="1">
      <alignment horizontal="center" vertical="center" wrapText="1"/>
    </xf>
    <xf numFmtId="0" fontId="81" fillId="0" borderId="45" xfId="0" applyFont="1" applyBorder="1" applyAlignment="1">
      <alignment horizontal="center" vertical="center" wrapText="1"/>
    </xf>
    <xf numFmtId="0" fontId="81" fillId="0" borderId="3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1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17" fillId="7" borderId="0" xfId="4" applyFont="1" applyFill="1" applyAlignment="1">
      <alignment horizontal="left" vertical="center"/>
    </xf>
    <xf numFmtId="0" fontId="17" fillId="7" borderId="0" xfId="4" applyFont="1" applyFill="1" applyAlignment="1">
      <alignment horizontal="center" vertical="center"/>
    </xf>
    <xf numFmtId="14" fontId="18" fillId="13" borderId="1" xfId="4" applyNumberFormat="1" applyFont="1" applyFill="1" applyBorder="1" applyAlignment="1">
      <alignment horizontal="center" vertical="center"/>
    </xf>
    <xf numFmtId="0" fontId="0" fillId="13" borderId="1" xfId="4" applyFont="1" applyFill="1" applyBorder="1" applyAlignment="1">
      <alignment vertical="center" wrapText="1"/>
    </xf>
    <xf numFmtId="0" fontId="0" fillId="13" borderId="1" xfId="4" applyFont="1" applyFill="1" applyBorder="1" applyAlignment="1">
      <alignment horizontal="center" vertical="center" wrapText="1"/>
    </xf>
    <xf numFmtId="0" fontId="72" fillId="13" borderId="1" xfId="4" applyFont="1" applyFill="1" applyBorder="1" applyAlignment="1">
      <alignment horizontal="center" vertical="center"/>
    </xf>
    <xf numFmtId="1" fontId="29" fillId="7" borderId="73" xfId="0" applyNumberFormat="1" applyFont="1" applyFill="1" applyBorder="1" applyAlignment="1">
      <alignment horizontal="center" vertical="center"/>
    </xf>
  </cellXfs>
  <cellStyles count="32">
    <cellStyle name="Comma" xfId="5" builtinId="3"/>
    <cellStyle name="Comma 2" xfId="11"/>
    <cellStyle name="Comma 2 2" xfId="31"/>
    <cellStyle name="Comma 3" xfId="6"/>
    <cellStyle name="Comma 4" xfId="30"/>
    <cellStyle name="Excel Built-in Normal" xfId="28"/>
    <cellStyle name="Normal" xfId="0" builtinId="0"/>
    <cellStyle name="Normal 103" xfId="26"/>
    <cellStyle name="Normal 11" xfId="8"/>
    <cellStyle name="Normal 12" xfId="29"/>
    <cellStyle name="Normal 120" xfId="23"/>
    <cellStyle name="Normal 17" xfId="12"/>
    <cellStyle name="Normal 188" xfId="14"/>
    <cellStyle name="Normal 191" xfId="24"/>
    <cellStyle name="Normal 192" xfId="13"/>
    <cellStyle name="Normal 195" xfId="22"/>
    <cellStyle name="Normal 196" xfId="17"/>
    <cellStyle name="Normal 2" xfId="2"/>
    <cellStyle name="Normal 2 10 2 5 2" xfId="9"/>
    <cellStyle name="Normal 2 10 2 6" xfId="7"/>
    <cellStyle name="Normal 2 2" xfId="4"/>
    <cellStyle name="Normal 201 2" xfId="21"/>
    <cellStyle name="Normal 207" xfId="16"/>
    <cellStyle name="Normal 211" xfId="15"/>
    <cellStyle name="Normal 218" xfId="19"/>
    <cellStyle name="Normal 219" xfId="20"/>
    <cellStyle name="Normal 222" xfId="18"/>
    <cellStyle name="Normal 3" xfId="1"/>
    <cellStyle name="Normal 3 2" xfId="27"/>
    <cellStyle name="Normal 4" xfId="3"/>
    <cellStyle name="Normal 5" xfId="25"/>
    <cellStyle name="Percent 2" xfId="10"/>
  </cellStyles>
  <dxfs count="5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  -style" pivot="0" count="3">
      <tableStyleElement type="headerRow" dxfId="550"/>
      <tableStyleElement type="firstRowStripe" dxfId="549"/>
      <tableStyleElement type="secondRowStripe" dxfId="548"/>
    </tableStyle>
  </tableStyles>
  <colors>
    <mruColors>
      <color rgb="FFECFFD5"/>
      <color rgb="FF33CCCC"/>
      <color rgb="FFFF00FF"/>
      <color rgb="FF000099"/>
      <color rgb="FF0129BB"/>
      <color rgb="FFE4F0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30</xdr:row>
      <xdr:rowOff>-1</xdr:rowOff>
    </xdr:from>
    <xdr:to>
      <xdr:col>7</xdr:col>
      <xdr:colOff>-1</xdr:colOff>
      <xdr:row>31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298644" y="68484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30</xdr:row>
      <xdr:rowOff>28575</xdr:rowOff>
    </xdr:from>
    <xdr:to>
      <xdr:col>15</xdr:col>
      <xdr:colOff>0</xdr:colOff>
      <xdr:row>32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>
          <a:spLocks noChangeArrowheads="1"/>
        </xdr:cNvSpPr>
      </xdr:nvSpPr>
      <xdr:spPr bwMode="auto">
        <a:xfrm>
          <a:off x="10432012" y="6877050"/>
          <a:ext cx="76938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7" name="AutoShape 38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8" name="Line 385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9" name="Line 386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10" name="Freeform 2236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11" name="Freeform 232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12" name="Elbow Connector 55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13" name="Line 386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30</xdr:row>
      <xdr:rowOff>23811</xdr:rowOff>
    </xdr:from>
    <xdr:to>
      <xdr:col>3</xdr:col>
      <xdr:colOff>12336</xdr:colOff>
      <xdr:row>31</xdr:row>
      <xdr:rowOff>198874</xdr:rowOff>
    </xdr:to>
    <xdr:sp macro="" textlink="">
      <xdr:nvSpPr>
        <xdr:cNvPr id="14" name="AutoShape 17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>
          <a:spLocks noChangeArrowheads="1"/>
        </xdr:cNvSpPr>
      </xdr:nvSpPr>
      <xdr:spPr bwMode="auto">
        <a:xfrm>
          <a:off x="1281461" y="68722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29</xdr:row>
      <xdr:rowOff>161061</xdr:rowOff>
    </xdr:from>
    <xdr:to>
      <xdr:col>5</xdr:col>
      <xdr:colOff>9524</xdr:colOff>
      <xdr:row>32</xdr:row>
      <xdr:rowOff>2197</xdr:rowOff>
    </xdr:to>
    <xdr:sp macro="" textlink="">
      <xdr:nvSpPr>
        <xdr:cNvPr id="15" name="AutoShape 17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>
          <a:spLocks noChangeArrowheads="1"/>
        </xdr:cNvSpPr>
      </xdr:nvSpPr>
      <xdr:spPr bwMode="auto">
        <a:xfrm>
          <a:off x="2612231" y="68190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30</xdr:row>
      <xdr:rowOff>9281</xdr:rowOff>
    </xdr:from>
    <xdr:to>
      <xdr:col>21</xdr:col>
      <xdr:colOff>9525</xdr:colOff>
      <xdr:row>31</xdr:row>
      <xdr:rowOff>195385</xdr:rowOff>
    </xdr:to>
    <xdr:sp macro="" textlink="">
      <xdr:nvSpPr>
        <xdr:cNvPr id="16" name="AutoShape 20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>
          <a:spLocks noChangeArrowheads="1"/>
        </xdr:cNvSpPr>
      </xdr:nvSpPr>
      <xdr:spPr bwMode="auto">
        <a:xfrm>
          <a:off x="14639925" y="685775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29</xdr:row>
      <xdr:rowOff>184717</xdr:rowOff>
    </xdr:from>
    <xdr:to>
      <xdr:col>17</xdr:col>
      <xdr:colOff>0</xdr:colOff>
      <xdr:row>31</xdr:row>
      <xdr:rowOff>190499</xdr:rowOff>
    </xdr:to>
    <xdr:sp macro="" textlink="">
      <xdr:nvSpPr>
        <xdr:cNvPr id="17" name="AutoShape 26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>
          <a:spLocks noChangeArrowheads="1"/>
        </xdr:cNvSpPr>
      </xdr:nvSpPr>
      <xdr:spPr bwMode="auto">
        <a:xfrm>
          <a:off x="11892453" y="6842692"/>
          <a:ext cx="766272" cy="3963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18" name="CustGemo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19" name="Line 385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20" name="Line 385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21" name="Group 22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22" name="Line 220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0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20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25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26" name="AutoShape 104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19</xdr:row>
      <xdr:rowOff>38100</xdr:rowOff>
    </xdr:from>
    <xdr:to>
      <xdr:col>17</xdr:col>
      <xdr:colOff>266701</xdr:colOff>
      <xdr:row>19</xdr:row>
      <xdr:rowOff>219075</xdr:rowOff>
    </xdr:to>
    <xdr:sp macro="" textlink="">
      <xdr:nvSpPr>
        <xdr:cNvPr id="27" name="Freeform 369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>
          <a:spLocks/>
        </xdr:cNvSpPr>
      </xdr:nvSpPr>
      <xdr:spPr bwMode="auto">
        <a:xfrm>
          <a:off x="10696576" y="4495800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28" name="AutoShape 381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30" name="Line 386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31" name="Freeform 2236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32" name="Freeform 232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33" name="Elbow Connector 5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35" name="CustGemo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36" name="Line 385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38" name="Group 2201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39" name="Line 2202">
            <a:extLst>
              <a:ext uri="{FF2B5EF4-FFF2-40B4-BE49-F238E27FC236}">
                <a16:creationId xmlns:a16="http://schemas.microsoft.com/office/drawing/2014/main" id="{00000000-0008-0000-08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203">
            <a:extLst>
              <a:ext uri="{FF2B5EF4-FFF2-40B4-BE49-F238E27FC236}">
                <a16:creationId xmlns:a16="http://schemas.microsoft.com/office/drawing/2014/main" id="{00000000-0008-0000-0800-00002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04">
            <a:extLst>
              <a:ext uri="{FF2B5EF4-FFF2-40B4-BE49-F238E27FC236}">
                <a16:creationId xmlns:a16="http://schemas.microsoft.com/office/drawing/2014/main" id="{00000000-0008-0000-0800-00002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42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43" name="AutoShape 10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44" name="AutoShape 381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45" name="Line 385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46" name="Line 386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47" name="Freeform 2236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48" name="Freeform 232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49" name="Elbow Connector 55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50" name="Line 386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51" name="CustGemo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52" name="Line 38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53" name="Line 385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54" name="Group 2201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55" name="Line 2202">
            <a:extLst>
              <a:ext uri="{FF2B5EF4-FFF2-40B4-BE49-F238E27FC236}">
                <a16:creationId xmlns:a16="http://schemas.microsoft.com/office/drawing/2014/main" id="{00000000-0008-0000-0800-00003B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203">
            <a:extLst>
              <a:ext uri="{FF2B5EF4-FFF2-40B4-BE49-F238E27FC236}">
                <a16:creationId xmlns:a16="http://schemas.microsoft.com/office/drawing/2014/main" id="{00000000-0008-0000-0800-00003C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204">
            <a:extLst>
              <a:ext uri="{FF2B5EF4-FFF2-40B4-BE49-F238E27FC236}">
                <a16:creationId xmlns:a16="http://schemas.microsoft.com/office/drawing/2014/main" id="{00000000-0008-0000-0800-00003D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30</xdr:row>
      <xdr:rowOff>7144</xdr:rowOff>
    </xdr:from>
    <xdr:to>
      <xdr:col>0</xdr:col>
      <xdr:colOff>3400</xdr:colOff>
      <xdr:row>31</xdr:row>
      <xdr:rowOff>190500</xdr:rowOff>
    </xdr:to>
    <xdr:sp macro="" textlink="">
      <xdr:nvSpPr>
        <xdr:cNvPr id="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6855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19</xdr:row>
      <xdr:rowOff>28575</xdr:rowOff>
    </xdr:from>
    <xdr:to>
      <xdr:col>18</xdr:col>
      <xdr:colOff>9525</xdr:colOff>
      <xdr:row>21</xdr:row>
      <xdr:rowOff>0</xdr:rowOff>
    </xdr:to>
    <xdr:sp macro="" textlink="">
      <xdr:nvSpPr>
        <xdr:cNvPr id="59" name="AutoShape 104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>
          <a:spLocks noChangeArrowheads="1"/>
        </xdr:cNvSpPr>
      </xdr:nvSpPr>
      <xdr:spPr bwMode="auto">
        <a:xfrm>
          <a:off x="12658725" y="4486275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0</xdr:rowOff>
    </xdr:from>
    <xdr:to>
      <xdr:col>20</xdr:col>
      <xdr:colOff>152400</xdr:colOff>
      <xdr:row>25</xdr:row>
      <xdr:rowOff>161925</xdr:rowOff>
    </xdr:to>
    <xdr:cxnSp macro="">
      <xdr:nvCxnSpPr>
        <xdr:cNvPr id="60" name="AutoShape 381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5381625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22</xdr:row>
      <xdr:rowOff>19049</xdr:rowOff>
    </xdr:from>
    <xdr:to>
      <xdr:col>17</xdr:col>
      <xdr:colOff>257175</xdr:colOff>
      <xdr:row>25</xdr:row>
      <xdr:rowOff>76200</xdr:rowOff>
    </xdr:to>
    <xdr:sp macro="" textlink="">
      <xdr:nvSpPr>
        <xdr:cNvPr id="61" name="Line 38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>
          <a:spLocks noChangeShapeType="1"/>
        </xdr:cNvSpPr>
      </xdr:nvSpPr>
      <xdr:spPr bwMode="auto">
        <a:xfrm flipV="1">
          <a:off x="12268200" y="5181599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22</xdr:row>
      <xdr:rowOff>123825</xdr:rowOff>
    </xdr:from>
    <xdr:to>
      <xdr:col>15</xdr:col>
      <xdr:colOff>66675</xdr:colOff>
      <xdr:row>25</xdr:row>
      <xdr:rowOff>66675</xdr:rowOff>
    </xdr:to>
    <xdr:sp macro="" textlink="">
      <xdr:nvSpPr>
        <xdr:cNvPr id="62" name="Line 38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5286375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23</xdr:row>
      <xdr:rowOff>38100</xdr:rowOff>
    </xdr:from>
    <xdr:to>
      <xdr:col>24</xdr:col>
      <xdr:colOff>352425</xdr:colOff>
      <xdr:row>24</xdr:row>
      <xdr:rowOff>123825</xdr:rowOff>
    </xdr:to>
    <xdr:sp macro="" textlink="">
      <xdr:nvSpPr>
        <xdr:cNvPr id="63" name="Freeform 2236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>
          <a:spLocks/>
        </xdr:cNvSpPr>
      </xdr:nvSpPr>
      <xdr:spPr bwMode="auto">
        <a:xfrm>
          <a:off x="18116550" y="5438775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21</xdr:row>
      <xdr:rowOff>133350</xdr:rowOff>
    </xdr:from>
    <xdr:to>
      <xdr:col>24</xdr:col>
      <xdr:colOff>466725</xdr:colOff>
      <xdr:row>23</xdr:row>
      <xdr:rowOff>47625</xdr:rowOff>
    </xdr:to>
    <xdr:sp macro="" textlink="">
      <xdr:nvSpPr>
        <xdr:cNvPr id="64" name="Freeform 2321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>
          <a:spLocks/>
        </xdr:cNvSpPr>
      </xdr:nvSpPr>
      <xdr:spPr bwMode="auto">
        <a:xfrm>
          <a:off x="18230850" y="5057775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22</xdr:row>
      <xdr:rowOff>200526</xdr:rowOff>
    </xdr:from>
    <xdr:to>
      <xdr:col>15</xdr:col>
      <xdr:colOff>263190</xdr:colOff>
      <xdr:row>23</xdr:row>
      <xdr:rowOff>175460</xdr:rowOff>
    </xdr:to>
    <xdr:cxnSp macro="">
      <xdr:nvCxnSpPr>
        <xdr:cNvPr id="65" name="Elbow Connector 55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CxnSpPr/>
      </xdr:nvCxnSpPr>
      <xdr:spPr>
        <a:xfrm>
          <a:off x="11201399" y="5363076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23</xdr:row>
      <xdr:rowOff>171450</xdr:rowOff>
    </xdr:from>
    <xdr:to>
      <xdr:col>16</xdr:col>
      <xdr:colOff>76200</xdr:colOff>
      <xdr:row>24</xdr:row>
      <xdr:rowOff>66675</xdr:rowOff>
    </xdr:to>
    <xdr:sp macro="" textlink="">
      <xdr:nvSpPr>
        <xdr:cNvPr id="66" name="Line 386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5572125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19</xdr:row>
      <xdr:rowOff>47626</xdr:rowOff>
    </xdr:from>
    <xdr:to>
      <xdr:col>17</xdr:col>
      <xdr:colOff>278130</xdr:colOff>
      <xdr:row>20</xdr:row>
      <xdr:rowOff>173356</xdr:rowOff>
    </xdr:to>
    <xdr:sp macro="" textlink="">
      <xdr:nvSpPr>
        <xdr:cNvPr id="67" name="CustGemo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10696575" y="4505326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19</xdr:row>
      <xdr:rowOff>133349</xdr:rowOff>
    </xdr:from>
    <xdr:to>
      <xdr:col>18</xdr:col>
      <xdr:colOff>57149</xdr:colOff>
      <xdr:row>20</xdr:row>
      <xdr:rowOff>66674</xdr:rowOff>
    </xdr:to>
    <xdr:sp macro="" textlink="">
      <xdr:nvSpPr>
        <xdr:cNvPr id="68" name="Line 385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>
          <a:spLocks noChangeShapeType="1"/>
        </xdr:cNvSpPr>
      </xdr:nvSpPr>
      <xdr:spPr bwMode="auto">
        <a:xfrm flipH="1">
          <a:off x="12191998" y="4591049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19</xdr:row>
      <xdr:rowOff>66675</xdr:rowOff>
    </xdr:from>
    <xdr:to>
      <xdr:col>18</xdr:col>
      <xdr:colOff>142875</xdr:colOff>
      <xdr:row>21</xdr:row>
      <xdr:rowOff>9525</xdr:rowOff>
    </xdr:to>
    <xdr:sp macro="" textlink="">
      <xdr:nvSpPr>
        <xdr:cNvPr id="69" name="Line 385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4524375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21</xdr:row>
      <xdr:rowOff>174172</xdr:rowOff>
    </xdr:from>
    <xdr:to>
      <xdr:col>26</xdr:col>
      <xdr:colOff>348341</xdr:colOff>
      <xdr:row>26</xdr:row>
      <xdr:rowOff>163286</xdr:rowOff>
    </xdr:to>
    <xdr:grpSp>
      <xdr:nvGrpSpPr>
        <xdr:cNvPr id="70" name="Group 2201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GrpSpPr>
          <a:grpSpLocks/>
        </xdr:cNvGrpSpPr>
      </xdr:nvGrpSpPr>
      <xdr:grpSpPr bwMode="auto">
        <a:xfrm>
          <a:off x="19217518" y="5087862"/>
          <a:ext cx="195942" cy="1092805"/>
          <a:chOff x="752" y="1574"/>
          <a:chExt cx="16" cy="52"/>
        </a:xfrm>
      </xdr:grpSpPr>
      <xdr:sp macro="" textlink="">
        <xdr:nvSpPr>
          <xdr:cNvPr id="71" name="Line 2202">
            <a:extLst>
              <a:ext uri="{FF2B5EF4-FFF2-40B4-BE49-F238E27FC236}">
                <a16:creationId xmlns:a16="http://schemas.microsoft.com/office/drawing/2014/main" id="{00000000-0008-0000-0800-00004C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203">
            <a:extLst>
              <a:ext uri="{FF2B5EF4-FFF2-40B4-BE49-F238E27FC236}">
                <a16:creationId xmlns:a16="http://schemas.microsoft.com/office/drawing/2014/main" id="{00000000-0008-0000-0800-00004D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204">
            <a:extLst>
              <a:ext uri="{FF2B5EF4-FFF2-40B4-BE49-F238E27FC236}">
                <a16:creationId xmlns:a16="http://schemas.microsoft.com/office/drawing/2014/main" id="{00000000-0008-0000-0800-00004E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11906</xdr:colOff>
      <xdr:row>32</xdr:row>
      <xdr:rowOff>0</xdr:rowOff>
    </xdr:to>
    <xdr:sp macro="" textlink="">
      <xdr:nvSpPr>
        <xdr:cNvPr id="74" name="AutoShape 20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>
          <a:spLocks noChangeArrowheads="1"/>
        </xdr:cNvSpPr>
      </xdr:nvSpPr>
      <xdr:spPr bwMode="auto">
        <a:xfrm>
          <a:off x="13268325" y="6848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17318</xdr:colOff>
      <xdr:row>19</xdr:row>
      <xdr:rowOff>47625</xdr:rowOff>
    </xdr:from>
    <xdr:to>
      <xdr:col>14</xdr:col>
      <xdr:colOff>729095</xdr:colOff>
      <xdr:row>20</xdr:row>
      <xdr:rowOff>207818</xdr:rowOff>
    </xdr:to>
    <xdr:sp macro="" textlink="">
      <xdr:nvSpPr>
        <xdr:cNvPr id="75" name="AutoShape 24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>
          <a:spLocks noChangeArrowheads="1"/>
        </xdr:cNvSpPr>
      </xdr:nvSpPr>
      <xdr:spPr bwMode="auto">
        <a:xfrm>
          <a:off x="10447193" y="4505325"/>
          <a:ext cx="711777" cy="388793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29</xdr:row>
      <xdr:rowOff>190499</xdr:rowOff>
    </xdr:from>
    <xdr:to>
      <xdr:col>11</xdr:col>
      <xdr:colOff>1</xdr:colOff>
      <xdr:row>32</xdr:row>
      <xdr:rowOff>2723</xdr:rowOff>
    </xdr:to>
    <xdr:sp macro="" textlink="">
      <xdr:nvSpPr>
        <xdr:cNvPr id="76" name="AutoShape 17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>
          <a:spLocks noChangeArrowheads="1"/>
        </xdr:cNvSpPr>
      </xdr:nvSpPr>
      <xdr:spPr bwMode="auto">
        <a:xfrm>
          <a:off x="7143751" y="6848474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603249</xdr:colOff>
      <xdr:row>29</xdr:row>
      <xdr:rowOff>178594</xdr:rowOff>
    </xdr:from>
    <xdr:to>
      <xdr:col>9</xdr:col>
      <xdr:colOff>15874</xdr:colOff>
      <xdr:row>32</xdr:row>
      <xdr:rowOff>15875</xdr:rowOff>
    </xdr:to>
    <xdr:sp macro="" textlink="">
      <xdr:nvSpPr>
        <xdr:cNvPr id="77" name="AutoShape 1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>
          <a:spLocks noChangeArrowheads="1"/>
        </xdr:cNvSpPr>
      </xdr:nvSpPr>
      <xdr:spPr bwMode="auto">
        <a:xfrm>
          <a:off x="5813424" y="6836569"/>
          <a:ext cx="7366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0</xdr:rowOff>
    </xdr:from>
    <xdr:to>
      <xdr:col>13</xdr:col>
      <xdr:colOff>0</xdr:colOff>
      <xdr:row>32</xdr:row>
      <xdr:rowOff>14631</xdr:rowOff>
    </xdr:to>
    <xdr:sp macro="" textlink="">
      <xdr:nvSpPr>
        <xdr:cNvPr id="78" name="AutoShape 17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>
          <a:spLocks noChangeArrowheads="1"/>
        </xdr:cNvSpPr>
      </xdr:nvSpPr>
      <xdr:spPr bwMode="auto">
        <a:xfrm>
          <a:off x="8534400" y="6848475"/>
          <a:ext cx="790575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79" name="AutoShape 5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38</xdr:row>
      <xdr:rowOff>-1</xdr:rowOff>
    </xdr:from>
    <xdr:to>
      <xdr:col>7</xdr:col>
      <xdr:colOff>-1</xdr:colOff>
      <xdr:row>39</xdr:row>
      <xdr:rowOff>200025</xdr:rowOff>
    </xdr:to>
    <xdr:sp macro="" textlink="">
      <xdr:nvSpPr>
        <xdr:cNvPr id="80" name="AutoShape 11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>
          <a:spLocks noChangeArrowheads="1"/>
        </xdr:cNvSpPr>
      </xdr:nvSpPr>
      <xdr:spPr bwMode="auto">
        <a:xfrm>
          <a:off x="4298644" y="8601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38</xdr:row>
      <xdr:rowOff>35718</xdr:rowOff>
    </xdr:from>
    <xdr:to>
      <xdr:col>15</xdr:col>
      <xdr:colOff>15363</xdr:colOff>
      <xdr:row>40</xdr:row>
      <xdr:rowOff>15362</xdr:rowOff>
    </xdr:to>
    <xdr:sp macro="" textlink="">
      <xdr:nvSpPr>
        <xdr:cNvPr id="81" name="AutoShape 1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>
          <a:spLocks noChangeArrowheads="1"/>
        </xdr:cNvSpPr>
      </xdr:nvSpPr>
      <xdr:spPr bwMode="auto">
        <a:xfrm>
          <a:off x="10443920" y="8636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38</xdr:row>
      <xdr:rowOff>23811</xdr:rowOff>
    </xdr:from>
    <xdr:to>
      <xdr:col>3</xdr:col>
      <xdr:colOff>12336</xdr:colOff>
      <xdr:row>39</xdr:row>
      <xdr:rowOff>198874</xdr:rowOff>
    </xdr:to>
    <xdr:sp macro="" textlink="">
      <xdr:nvSpPr>
        <xdr:cNvPr id="82" name="AutoShape 1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>
          <a:spLocks noChangeArrowheads="1"/>
        </xdr:cNvSpPr>
      </xdr:nvSpPr>
      <xdr:spPr bwMode="auto">
        <a:xfrm>
          <a:off x="1281461" y="8624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37</xdr:row>
      <xdr:rowOff>161061</xdr:rowOff>
    </xdr:from>
    <xdr:to>
      <xdr:col>5</xdr:col>
      <xdr:colOff>9524</xdr:colOff>
      <xdr:row>40</xdr:row>
      <xdr:rowOff>2197</xdr:rowOff>
    </xdr:to>
    <xdr:sp macro="" textlink="">
      <xdr:nvSpPr>
        <xdr:cNvPr id="83" name="AutoShape 1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>
          <a:spLocks noChangeArrowheads="1"/>
        </xdr:cNvSpPr>
      </xdr:nvSpPr>
      <xdr:spPr bwMode="auto">
        <a:xfrm>
          <a:off x="2612231" y="8571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38</xdr:row>
      <xdr:rowOff>9281</xdr:rowOff>
    </xdr:from>
    <xdr:to>
      <xdr:col>21</xdr:col>
      <xdr:colOff>9525</xdr:colOff>
      <xdr:row>39</xdr:row>
      <xdr:rowOff>195385</xdr:rowOff>
    </xdr:to>
    <xdr:sp macro="" textlink="">
      <xdr:nvSpPr>
        <xdr:cNvPr id="84" name="AutoShape 20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>
          <a:spLocks noChangeArrowheads="1"/>
        </xdr:cNvSpPr>
      </xdr:nvSpPr>
      <xdr:spPr bwMode="auto">
        <a:xfrm>
          <a:off x="14639925" y="8610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38</xdr:row>
      <xdr:rowOff>41843</xdr:rowOff>
    </xdr:from>
    <xdr:to>
      <xdr:col>17</xdr:col>
      <xdr:colOff>1</xdr:colOff>
      <xdr:row>40</xdr:row>
      <xdr:rowOff>0</xdr:rowOff>
    </xdr:to>
    <xdr:sp macro="" textlink="">
      <xdr:nvSpPr>
        <xdr:cNvPr id="85" name="AutoShape 26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>
          <a:spLocks noChangeArrowheads="1"/>
        </xdr:cNvSpPr>
      </xdr:nvSpPr>
      <xdr:spPr bwMode="auto">
        <a:xfrm>
          <a:off x="11892454" y="864291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6" name="AutoShape 5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7" name="AutoShape 5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38</xdr:row>
      <xdr:rowOff>7144</xdr:rowOff>
    </xdr:from>
    <xdr:to>
      <xdr:col>0</xdr:col>
      <xdr:colOff>3400</xdr:colOff>
      <xdr:row>39</xdr:row>
      <xdr:rowOff>190500</xdr:rowOff>
    </xdr:to>
    <xdr:sp macro="" textlink="">
      <xdr:nvSpPr>
        <xdr:cNvPr id="88" name="AutoShape 5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>
          <a:spLocks noChangeArrowheads="1"/>
        </xdr:cNvSpPr>
      </xdr:nvSpPr>
      <xdr:spPr bwMode="auto">
        <a:xfrm>
          <a:off x="0" y="8608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11906</xdr:colOff>
      <xdr:row>40</xdr:row>
      <xdr:rowOff>0</xdr:rowOff>
    </xdr:to>
    <xdr:sp macro="" textlink="">
      <xdr:nvSpPr>
        <xdr:cNvPr id="89" name="AutoShape 20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>
          <a:spLocks noChangeArrowheads="1"/>
        </xdr:cNvSpPr>
      </xdr:nvSpPr>
      <xdr:spPr bwMode="auto">
        <a:xfrm>
          <a:off x="13268325" y="8601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37</xdr:row>
      <xdr:rowOff>190500</xdr:rowOff>
    </xdr:from>
    <xdr:to>
      <xdr:col>11</xdr:col>
      <xdr:colOff>1</xdr:colOff>
      <xdr:row>40</xdr:row>
      <xdr:rowOff>2724</xdr:rowOff>
    </xdr:to>
    <xdr:sp macro="" textlink="">
      <xdr:nvSpPr>
        <xdr:cNvPr id="90" name="AutoShape 17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>
          <a:spLocks noChangeArrowheads="1"/>
        </xdr:cNvSpPr>
      </xdr:nvSpPr>
      <xdr:spPr bwMode="auto">
        <a:xfrm>
          <a:off x="7143751" y="8601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178594</xdr:rowOff>
    </xdr:from>
    <xdr:to>
      <xdr:col>9</xdr:col>
      <xdr:colOff>35943</xdr:colOff>
      <xdr:row>40</xdr:row>
      <xdr:rowOff>0</xdr:rowOff>
    </xdr:to>
    <xdr:sp macro="" textlink="">
      <xdr:nvSpPr>
        <xdr:cNvPr id="91" name="AutoShape 11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>
          <a:spLocks noChangeArrowheads="1"/>
        </xdr:cNvSpPr>
      </xdr:nvSpPr>
      <xdr:spPr bwMode="auto">
        <a:xfrm>
          <a:off x="5810250" y="8589169"/>
          <a:ext cx="759843" cy="4024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38</xdr:row>
      <xdr:rowOff>23810</xdr:rowOff>
    </xdr:from>
    <xdr:to>
      <xdr:col>13</xdr:col>
      <xdr:colOff>11907</xdr:colOff>
      <xdr:row>40</xdr:row>
      <xdr:rowOff>15614</xdr:rowOff>
    </xdr:to>
    <xdr:sp macro="" textlink="">
      <xdr:nvSpPr>
        <xdr:cNvPr id="92" name="AutoShape 1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>
          <a:spLocks noChangeArrowheads="1"/>
        </xdr:cNvSpPr>
      </xdr:nvSpPr>
      <xdr:spPr bwMode="auto">
        <a:xfrm>
          <a:off x="8534400" y="8624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3" name="AutoShape 5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71</xdr:row>
      <xdr:rowOff>-1</xdr:rowOff>
    </xdr:from>
    <xdr:to>
      <xdr:col>7</xdr:col>
      <xdr:colOff>-1</xdr:colOff>
      <xdr:row>72</xdr:row>
      <xdr:rowOff>200025</xdr:rowOff>
    </xdr:to>
    <xdr:sp macro="" textlink="">
      <xdr:nvSpPr>
        <xdr:cNvPr id="94" name="AutoShape 11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>
          <a:spLocks noChangeArrowheads="1"/>
        </xdr:cNvSpPr>
      </xdr:nvSpPr>
      <xdr:spPr bwMode="auto">
        <a:xfrm>
          <a:off x="4298644" y="1516379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71</xdr:row>
      <xdr:rowOff>64519</xdr:rowOff>
    </xdr:from>
    <xdr:to>
      <xdr:col>14</xdr:col>
      <xdr:colOff>752782</xdr:colOff>
      <xdr:row>73</xdr:row>
      <xdr:rowOff>7247</xdr:rowOff>
    </xdr:to>
    <xdr:sp macro="" textlink="">
      <xdr:nvSpPr>
        <xdr:cNvPr id="95" name="AutoShape 15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>
          <a:spLocks noChangeArrowheads="1"/>
        </xdr:cNvSpPr>
      </xdr:nvSpPr>
      <xdr:spPr bwMode="auto">
        <a:xfrm>
          <a:off x="10432012" y="15228319"/>
          <a:ext cx="750645" cy="33325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71</xdr:row>
      <xdr:rowOff>23811</xdr:rowOff>
    </xdr:from>
    <xdr:to>
      <xdr:col>3</xdr:col>
      <xdr:colOff>12336</xdr:colOff>
      <xdr:row>72</xdr:row>
      <xdr:rowOff>198874</xdr:rowOff>
    </xdr:to>
    <xdr:sp macro="" textlink="">
      <xdr:nvSpPr>
        <xdr:cNvPr id="96" name="AutoShape 17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>
          <a:spLocks noChangeArrowheads="1"/>
        </xdr:cNvSpPr>
      </xdr:nvSpPr>
      <xdr:spPr bwMode="auto">
        <a:xfrm>
          <a:off x="1281461" y="1518761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71</xdr:row>
      <xdr:rowOff>0</xdr:rowOff>
    </xdr:from>
    <xdr:to>
      <xdr:col>5</xdr:col>
      <xdr:colOff>9524</xdr:colOff>
      <xdr:row>73</xdr:row>
      <xdr:rowOff>2197</xdr:rowOff>
    </xdr:to>
    <xdr:sp macro="" textlink="">
      <xdr:nvSpPr>
        <xdr:cNvPr id="97" name="AutoShape 17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>
          <a:spLocks noChangeArrowheads="1"/>
        </xdr:cNvSpPr>
      </xdr:nvSpPr>
      <xdr:spPr bwMode="auto">
        <a:xfrm>
          <a:off x="2612231" y="15163800"/>
          <a:ext cx="1140618" cy="39272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71</xdr:row>
      <xdr:rowOff>41843</xdr:rowOff>
    </xdr:from>
    <xdr:to>
      <xdr:col>17</xdr:col>
      <xdr:colOff>1</xdr:colOff>
      <xdr:row>73</xdr:row>
      <xdr:rowOff>0</xdr:rowOff>
    </xdr:to>
    <xdr:sp macro="" textlink="">
      <xdr:nvSpPr>
        <xdr:cNvPr id="98" name="AutoShape 26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>
          <a:spLocks noChangeArrowheads="1"/>
        </xdr:cNvSpPr>
      </xdr:nvSpPr>
      <xdr:spPr bwMode="auto">
        <a:xfrm>
          <a:off x="11892454" y="15205643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99" name="AutoShape 5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0" name="AutoShape 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71</xdr:row>
      <xdr:rowOff>7144</xdr:rowOff>
    </xdr:from>
    <xdr:to>
      <xdr:col>0</xdr:col>
      <xdr:colOff>3400</xdr:colOff>
      <xdr:row>72</xdr:row>
      <xdr:rowOff>190500</xdr:rowOff>
    </xdr:to>
    <xdr:sp macro="" textlink="">
      <xdr:nvSpPr>
        <xdr:cNvPr id="101" name="AutoShape 5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>
          <a:spLocks noChangeArrowheads="1"/>
        </xdr:cNvSpPr>
      </xdr:nvSpPr>
      <xdr:spPr bwMode="auto">
        <a:xfrm>
          <a:off x="0" y="151709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02" name="AutoShape 20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69</xdr:row>
      <xdr:rowOff>269875</xdr:rowOff>
    </xdr:from>
    <xdr:to>
      <xdr:col>11</xdr:col>
      <xdr:colOff>1</xdr:colOff>
      <xdr:row>73</xdr:row>
      <xdr:rowOff>2724</xdr:rowOff>
    </xdr:to>
    <xdr:sp macro="" textlink="">
      <xdr:nvSpPr>
        <xdr:cNvPr id="103" name="AutoShape 17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>
          <a:spLocks noChangeArrowheads="1"/>
        </xdr:cNvSpPr>
      </xdr:nvSpPr>
      <xdr:spPr bwMode="auto">
        <a:xfrm>
          <a:off x="7143751" y="14976475"/>
          <a:ext cx="781050" cy="5805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71</xdr:row>
      <xdr:rowOff>0</xdr:rowOff>
    </xdr:from>
    <xdr:to>
      <xdr:col>9</xdr:col>
      <xdr:colOff>0</xdr:colOff>
      <xdr:row>73</xdr:row>
      <xdr:rowOff>0</xdr:rowOff>
    </xdr:to>
    <xdr:sp macro="" textlink="">
      <xdr:nvSpPr>
        <xdr:cNvPr id="104" name="AutoShape 11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>
          <a:spLocks noChangeArrowheads="1"/>
        </xdr:cNvSpPr>
      </xdr:nvSpPr>
      <xdr:spPr bwMode="auto">
        <a:xfrm>
          <a:off x="5810250" y="15163800"/>
          <a:ext cx="723900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5" name="AutoShape 5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6" name="AutoShape 5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7" name="AutoShape 5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72</xdr:row>
      <xdr:rowOff>7144</xdr:rowOff>
    </xdr:from>
    <xdr:to>
      <xdr:col>0</xdr:col>
      <xdr:colOff>3400</xdr:colOff>
      <xdr:row>73</xdr:row>
      <xdr:rowOff>190500</xdr:rowOff>
    </xdr:to>
    <xdr:sp macro="" textlink="">
      <xdr:nvSpPr>
        <xdr:cNvPr id="108" name="AutoShape 5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>
          <a:spLocks noChangeArrowheads="1"/>
        </xdr:cNvSpPr>
      </xdr:nvSpPr>
      <xdr:spPr bwMode="auto">
        <a:xfrm>
          <a:off x="0" y="15370969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09" name="AutoShape 5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46</xdr:row>
      <xdr:rowOff>-1</xdr:rowOff>
    </xdr:from>
    <xdr:to>
      <xdr:col>7</xdr:col>
      <xdr:colOff>-1</xdr:colOff>
      <xdr:row>47</xdr:row>
      <xdr:rowOff>200025</xdr:rowOff>
    </xdr:to>
    <xdr:sp macro="" textlink="">
      <xdr:nvSpPr>
        <xdr:cNvPr id="110" name="AutoShape 1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>
          <a:spLocks noChangeArrowheads="1"/>
        </xdr:cNvSpPr>
      </xdr:nvSpPr>
      <xdr:spPr bwMode="auto">
        <a:xfrm>
          <a:off x="4298644" y="1012507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46</xdr:row>
      <xdr:rowOff>35718</xdr:rowOff>
    </xdr:from>
    <xdr:to>
      <xdr:col>15</xdr:col>
      <xdr:colOff>15363</xdr:colOff>
      <xdr:row>48</xdr:row>
      <xdr:rowOff>15362</xdr:rowOff>
    </xdr:to>
    <xdr:sp macro="" textlink="">
      <xdr:nvSpPr>
        <xdr:cNvPr id="111" name="AutoShape 15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>
          <a:spLocks noChangeArrowheads="1"/>
        </xdr:cNvSpPr>
      </xdr:nvSpPr>
      <xdr:spPr bwMode="auto">
        <a:xfrm>
          <a:off x="10443920" y="10160793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46</xdr:row>
      <xdr:rowOff>23811</xdr:rowOff>
    </xdr:from>
    <xdr:to>
      <xdr:col>3</xdr:col>
      <xdr:colOff>12336</xdr:colOff>
      <xdr:row>47</xdr:row>
      <xdr:rowOff>198874</xdr:rowOff>
    </xdr:to>
    <xdr:sp macro="" textlink="">
      <xdr:nvSpPr>
        <xdr:cNvPr id="112" name="AutoShape 17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>
          <a:spLocks noChangeArrowheads="1"/>
        </xdr:cNvSpPr>
      </xdr:nvSpPr>
      <xdr:spPr bwMode="auto">
        <a:xfrm>
          <a:off x="1281461" y="101488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45</xdr:row>
      <xdr:rowOff>161061</xdr:rowOff>
    </xdr:from>
    <xdr:to>
      <xdr:col>5</xdr:col>
      <xdr:colOff>9524</xdr:colOff>
      <xdr:row>48</xdr:row>
      <xdr:rowOff>2197</xdr:rowOff>
    </xdr:to>
    <xdr:sp macro="" textlink="">
      <xdr:nvSpPr>
        <xdr:cNvPr id="113" name="AutoShape 17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>
          <a:spLocks noChangeArrowheads="1"/>
        </xdr:cNvSpPr>
      </xdr:nvSpPr>
      <xdr:spPr bwMode="auto">
        <a:xfrm>
          <a:off x="2612231" y="1009563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46</xdr:row>
      <xdr:rowOff>9281</xdr:rowOff>
    </xdr:from>
    <xdr:to>
      <xdr:col>21</xdr:col>
      <xdr:colOff>9525</xdr:colOff>
      <xdr:row>47</xdr:row>
      <xdr:rowOff>195385</xdr:rowOff>
    </xdr:to>
    <xdr:sp macro="" textlink="">
      <xdr:nvSpPr>
        <xdr:cNvPr id="114" name="AutoShape 20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>
          <a:spLocks noChangeArrowheads="1"/>
        </xdr:cNvSpPr>
      </xdr:nvSpPr>
      <xdr:spPr bwMode="auto">
        <a:xfrm>
          <a:off x="14639925" y="10134356"/>
          <a:ext cx="857250" cy="3766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46</xdr:row>
      <xdr:rowOff>41843</xdr:rowOff>
    </xdr:from>
    <xdr:to>
      <xdr:col>17</xdr:col>
      <xdr:colOff>1</xdr:colOff>
      <xdr:row>48</xdr:row>
      <xdr:rowOff>0</xdr:rowOff>
    </xdr:to>
    <xdr:sp macro="" textlink="">
      <xdr:nvSpPr>
        <xdr:cNvPr id="115" name="AutoShape 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>
          <a:spLocks noChangeArrowheads="1"/>
        </xdr:cNvSpPr>
      </xdr:nvSpPr>
      <xdr:spPr bwMode="auto">
        <a:xfrm>
          <a:off x="11892454" y="101669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6" name="AutoShape 5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7" name="AutoShape 5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46</xdr:row>
      <xdr:rowOff>7144</xdr:rowOff>
    </xdr:from>
    <xdr:to>
      <xdr:col>0</xdr:col>
      <xdr:colOff>3400</xdr:colOff>
      <xdr:row>47</xdr:row>
      <xdr:rowOff>190500</xdr:rowOff>
    </xdr:to>
    <xdr:sp macro="" textlink="">
      <xdr:nvSpPr>
        <xdr:cNvPr id="118" name="AutoShape 5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>
          <a:spLocks noChangeArrowheads="1"/>
        </xdr:cNvSpPr>
      </xdr:nvSpPr>
      <xdr:spPr bwMode="auto">
        <a:xfrm>
          <a:off x="0" y="101322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11906</xdr:colOff>
      <xdr:row>48</xdr:row>
      <xdr:rowOff>0</xdr:rowOff>
    </xdr:to>
    <xdr:sp macro="" textlink="">
      <xdr:nvSpPr>
        <xdr:cNvPr id="119" name="AutoShape 2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>
          <a:spLocks noChangeArrowheads="1"/>
        </xdr:cNvSpPr>
      </xdr:nvSpPr>
      <xdr:spPr bwMode="auto">
        <a:xfrm>
          <a:off x="13268325" y="10125075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45</xdr:row>
      <xdr:rowOff>190500</xdr:rowOff>
    </xdr:from>
    <xdr:to>
      <xdr:col>11</xdr:col>
      <xdr:colOff>1</xdr:colOff>
      <xdr:row>48</xdr:row>
      <xdr:rowOff>2724</xdr:rowOff>
    </xdr:to>
    <xdr:sp macro="" textlink="">
      <xdr:nvSpPr>
        <xdr:cNvPr id="120" name="AutoShape 17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>
          <a:spLocks noChangeArrowheads="1"/>
        </xdr:cNvSpPr>
      </xdr:nvSpPr>
      <xdr:spPr bwMode="auto">
        <a:xfrm>
          <a:off x="7143751" y="10125075"/>
          <a:ext cx="781050" cy="39324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178594</xdr:rowOff>
    </xdr:from>
    <xdr:to>
      <xdr:col>9</xdr:col>
      <xdr:colOff>0</xdr:colOff>
      <xdr:row>48</xdr:row>
      <xdr:rowOff>15875</xdr:rowOff>
    </xdr:to>
    <xdr:sp macro="" textlink="">
      <xdr:nvSpPr>
        <xdr:cNvPr id="121" name="AutoShape 11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>
          <a:spLocks noChangeArrowheads="1"/>
        </xdr:cNvSpPr>
      </xdr:nvSpPr>
      <xdr:spPr bwMode="auto">
        <a:xfrm>
          <a:off x="5810250" y="10113169"/>
          <a:ext cx="723900" cy="418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46</xdr:row>
      <xdr:rowOff>23810</xdr:rowOff>
    </xdr:from>
    <xdr:to>
      <xdr:col>13</xdr:col>
      <xdr:colOff>11907</xdr:colOff>
      <xdr:row>48</xdr:row>
      <xdr:rowOff>15614</xdr:rowOff>
    </xdr:to>
    <xdr:sp macro="" textlink="">
      <xdr:nvSpPr>
        <xdr:cNvPr id="122" name="AutoShape 17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>
          <a:spLocks noChangeArrowheads="1"/>
        </xdr:cNvSpPr>
      </xdr:nvSpPr>
      <xdr:spPr bwMode="auto">
        <a:xfrm>
          <a:off x="8534400" y="10148885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23" name="AutoShape 5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54</xdr:row>
      <xdr:rowOff>-1</xdr:rowOff>
    </xdr:from>
    <xdr:to>
      <xdr:col>7</xdr:col>
      <xdr:colOff>-1</xdr:colOff>
      <xdr:row>55</xdr:row>
      <xdr:rowOff>200025</xdr:rowOff>
    </xdr:to>
    <xdr:sp macro="" textlink="">
      <xdr:nvSpPr>
        <xdr:cNvPr id="124" name="AutoShape 11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>
          <a:spLocks noChangeArrowheads="1"/>
        </xdr:cNvSpPr>
      </xdr:nvSpPr>
      <xdr:spPr bwMode="auto">
        <a:xfrm>
          <a:off x="4298644" y="11782424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54</xdr:row>
      <xdr:rowOff>35718</xdr:rowOff>
    </xdr:from>
    <xdr:to>
      <xdr:col>15</xdr:col>
      <xdr:colOff>15363</xdr:colOff>
      <xdr:row>56</xdr:row>
      <xdr:rowOff>15362</xdr:rowOff>
    </xdr:to>
    <xdr:sp macro="" textlink="">
      <xdr:nvSpPr>
        <xdr:cNvPr id="125" name="AutoShape 15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>
          <a:spLocks noChangeArrowheads="1"/>
        </xdr:cNvSpPr>
      </xdr:nvSpPr>
      <xdr:spPr bwMode="auto">
        <a:xfrm>
          <a:off x="10443920" y="11818143"/>
          <a:ext cx="772843" cy="370169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54</xdr:row>
      <xdr:rowOff>23811</xdr:rowOff>
    </xdr:from>
    <xdr:to>
      <xdr:col>3</xdr:col>
      <xdr:colOff>12336</xdr:colOff>
      <xdr:row>55</xdr:row>
      <xdr:rowOff>198874</xdr:rowOff>
    </xdr:to>
    <xdr:sp macro="" textlink="">
      <xdr:nvSpPr>
        <xdr:cNvPr id="126" name="AutoShape 1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>
          <a:spLocks noChangeArrowheads="1"/>
        </xdr:cNvSpPr>
      </xdr:nvSpPr>
      <xdr:spPr bwMode="auto">
        <a:xfrm>
          <a:off x="1281461" y="118062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54</xdr:row>
      <xdr:rowOff>15875</xdr:rowOff>
    </xdr:from>
    <xdr:to>
      <xdr:col>5</xdr:col>
      <xdr:colOff>9524</xdr:colOff>
      <xdr:row>56</xdr:row>
      <xdr:rowOff>2196</xdr:rowOff>
    </xdr:to>
    <xdr:sp macro="" textlink="">
      <xdr:nvSpPr>
        <xdr:cNvPr id="127" name="AutoShape 17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>
          <a:spLocks noChangeArrowheads="1"/>
        </xdr:cNvSpPr>
      </xdr:nvSpPr>
      <xdr:spPr bwMode="auto">
        <a:xfrm>
          <a:off x="2612231" y="11798300"/>
          <a:ext cx="114061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54</xdr:row>
      <xdr:rowOff>9281</xdr:rowOff>
    </xdr:from>
    <xdr:to>
      <xdr:col>21</xdr:col>
      <xdr:colOff>9525</xdr:colOff>
      <xdr:row>55</xdr:row>
      <xdr:rowOff>195385</xdr:rowOff>
    </xdr:to>
    <xdr:sp macro="" textlink="">
      <xdr:nvSpPr>
        <xdr:cNvPr id="128" name="AutoShape 20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>
          <a:spLocks noChangeArrowheads="1"/>
        </xdr:cNvSpPr>
      </xdr:nvSpPr>
      <xdr:spPr bwMode="auto">
        <a:xfrm>
          <a:off x="14639925" y="11791706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54</xdr:row>
      <xdr:rowOff>41843</xdr:rowOff>
    </xdr:from>
    <xdr:to>
      <xdr:col>17</xdr:col>
      <xdr:colOff>1</xdr:colOff>
      <xdr:row>56</xdr:row>
      <xdr:rowOff>0</xdr:rowOff>
    </xdr:to>
    <xdr:sp macro="" textlink="">
      <xdr:nvSpPr>
        <xdr:cNvPr id="129" name="AutoShape 26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>
          <a:spLocks noChangeArrowheads="1"/>
        </xdr:cNvSpPr>
      </xdr:nvSpPr>
      <xdr:spPr bwMode="auto">
        <a:xfrm>
          <a:off x="11892454" y="11824268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0" name="AutoShape 5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1" name="AutoShape 5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54</xdr:row>
      <xdr:rowOff>7144</xdr:rowOff>
    </xdr:from>
    <xdr:to>
      <xdr:col>0</xdr:col>
      <xdr:colOff>3400</xdr:colOff>
      <xdr:row>55</xdr:row>
      <xdr:rowOff>190500</xdr:rowOff>
    </xdr:to>
    <xdr:sp macro="" textlink="">
      <xdr:nvSpPr>
        <xdr:cNvPr id="132" name="AutoShape 5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>
          <a:spLocks noChangeArrowheads="1"/>
        </xdr:cNvSpPr>
      </xdr:nvSpPr>
      <xdr:spPr bwMode="auto">
        <a:xfrm>
          <a:off x="0" y="117895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11906</xdr:colOff>
      <xdr:row>56</xdr:row>
      <xdr:rowOff>0</xdr:rowOff>
    </xdr:to>
    <xdr:sp macro="" textlink="">
      <xdr:nvSpPr>
        <xdr:cNvPr id="133" name="AutoShape 20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>
          <a:spLocks noChangeArrowheads="1"/>
        </xdr:cNvSpPr>
      </xdr:nvSpPr>
      <xdr:spPr bwMode="auto">
        <a:xfrm>
          <a:off x="13268325" y="11782425"/>
          <a:ext cx="773906" cy="390525"/>
        </a:xfrm>
        <a:prstGeom prst="flowChartExtract">
          <a:avLst/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54</xdr:row>
      <xdr:rowOff>31750</xdr:rowOff>
    </xdr:from>
    <xdr:to>
      <xdr:col>11</xdr:col>
      <xdr:colOff>1</xdr:colOff>
      <xdr:row>56</xdr:row>
      <xdr:rowOff>2724</xdr:rowOff>
    </xdr:to>
    <xdr:sp macro="" textlink="">
      <xdr:nvSpPr>
        <xdr:cNvPr id="134" name="AutoShape 17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>
          <a:spLocks noChangeArrowheads="1"/>
        </xdr:cNvSpPr>
      </xdr:nvSpPr>
      <xdr:spPr bwMode="auto">
        <a:xfrm>
          <a:off x="7143751" y="11814175"/>
          <a:ext cx="781050" cy="3614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54</xdr:row>
      <xdr:rowOff>7325</xdr:rowOff>
    </xdr:from>
    <xdr:to>
      <xdr:col>9</xdr:col>
      <xdr:colOff>17971</xdr:colOff>
      <xdr:row>56</xdr:row>
      <xdr:rowOff>0</xdr:rowOff>
    </xdr:to>
    <xdr:sp macro="" textlink="">
      <xdr:nvSpPr>
        <xdr:cNvPr id="135" name="AutoShape 11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>
          <a:spLocks noChangeArrowheads="1"/>
        </xdr:cNvSpPr>
      </xdr:nvSpPr>
      <xdr:spPr bwMode="auto">
        <a:xfrm>
          <a:off x="5812766" y="11789750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54</xdr:row>
      <xdr:rowOff>23810</xdr:rowOff>
    </xdr:from>
    <xdr:to>
      <xdr:col>13</xdr:col>
      <xdr:colOff>11907</xdr:colOff>
      <xdr:row>56</xdr:row>
      <xdr:rowOff>15614</xdr:rowOff>
    </xdr:to>
    <xdr:sp macro="" textlink="">
      <xdr:nvSpPr>
        <xdr:cNvPr id="136" name="AutoShape 1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>
          <a:spLocks noChangeArrowheads="1"/>
        </xdr:cNvSpPr>
      </xdr:nvSpPr>
      <xdr:spPr bwMode="auto">
        <a:xfrm>
          <a:off x="8534400" y="11806235"/>
          <a:ext cx="80248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37" name="AutoShape 5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62</xdr:row>
      <xdr:rowOff>-1</xdr:rowOff>
    </xdr:from>
    <xdr:to>
      <xdr:col>7</xdr:col>
      <xdr:colOff>-1</xdr:colOff>
      <xdr:row>63</xdr:row>
      <xdr:rowOff>200025</xdr:rowOff>
    </xdr:to>
    <xdr:sp macro="" textlink="">
      <xdr:nvSpPr>
        <xdr:cNvPr id="138" name="AutoShape 11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>
          <a:spLocks noChangeArrowheads="1"/>
        </xdr:cNvSpPr>
      </xdr:nvSpPr>
      <xdr:spPr bwMode="auto">
        <a:xfrm>
          <a:off x="4298644" y="13315949"/>
          <a:ext cx="99725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62</xdr:row>
      <xdr:rowOff>35718</xdr:rowOff>
    </xdr:from>
    <xdr:to>
      <xdr:col>15</xdr:col>
      <xdr:colOff>15363</xdr:colOff>
      <xdr:row>64</xdr:row>
      <xdr:rowOff>15362</xdr:rowOff>
    </xdr:to>
    <xdr:sp macro="" textlink="">
      <xdr:nvSpPr>
        <xdr:cNvPr id="139" name="AutoShape 15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>
          <a:spLocks noChangeArrowheads="1"/>
        </xdr:cNvSpPr>
      </xdr:nvSpPr>
      <xdr:spPr bwMode="auto">
        <a:xfrm>
          <a:off x="10443920" y="1335166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62</xdr:row>
      <xdr:rowOff>23811</xdr:rowOff>
    </xdr:from>
    <xdr:to>
      <xdr:col>3</xdr:col>
      <xdr:colOff>12336</xdr:colOff>
      <xdr:row>63</xdr:row>
      <xdr:rowOff>198874</xdr:rowOff>
    </xdr:to>
    <xdr:sp macro="" textlink="">
      <xdr:nvSpPr>
        <xdr:cNvPr id="140" name="AutoShape 17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>
          <a:spLocks noChangeArrowheads="1"/>
        </xdr:cNvSpPr>
      </xdr:nvSpPr>
      <xdr:spPr bwMode="auto">
        <a:xfrm>
          <a:off x="1281461" y="13339761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61</xdr:row>
      <xdr:rowOff>125801</xdr:rowOff>
    </xdr:from>
    <xdr:to>
      <xdr:col>5</xdr:col>
      <xdr:colOff>9524</xdr:colOff>
      <xdr:row>64</xdr:row>
      <xdr:rowOff>2196</xdr:rowOff>
    </xdr:to>
    <xdr:sp macro="" textlink="">
      <xdr:nvSpPr>
        <xdr:cNvPr id="141" name="AutoShape 17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>
          <a:spLocks noChangeArrowheads="1"/>
        </xdr:cNvSpPr>
      </xdr:nvSpPr>
      <xdr:spPr bwMode="auto">
        <a:xfrm>
          <a:off x="2612231" y="13251251"/>
          <a:ext cx="1140618" cy="45742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62</xdr:row>
      <xdr:rowOff>9281</xdr:rowOff>
    </xdr:from>
    <xdr:to>
      <xdr:col>21</xdr:col>
      <xdr:colOff>9525</xdr:colOff>
      <xdr:row>63</xdr:row>
      <xdr:rowOff>195385</xdr:rowOff>
    </xdr:to>
    <xdr:sp macro="" textlink="">
      <xdr:nvSpPr>
        <xdr:cNvPr id="142" name="AutoShape 20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>
          <a:spLocks noChangeArrowheads="1"/>
        </xdr:cNvSpPr>
      </xdr:nvSpPr>
      <xdr:spPr bwMode="auto">
        <a:xfrm>
          <a:off x="14639925" y="13325231"/>
          <a:ext cx="8572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62</xdr:row>
      <xdr:rowOff>41843</xdr:rowOff>
    </xdr:from>
    <xdr:to>
      <xdr:col>17</xdr:col>
      <xdr:colOff>1</xdr:colOff>
      <xdr:row>64</xdr:row>
      <xdr:rowOff>0</xdr:rowOff>
    </xdr:to>
    <xdr:sp macro="" textlink="">
      <xdr:nvSpPr>
        <xdr:cNvPr id="143" name="AutoShape 26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>
          <a:spLocks noChangeArrowheads="1"/>
        </xdr:cNvSpPr>
      </xdr:nvSpPr>
      <xdr:spPr bwMode="auto">
        <a:xfrm>
          <a:off x="11892454" y="13357793"/>
          <a:ext cx="766272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4" name="AutoShape 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5" name="AutoShape 5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62</xdr:row>
      <xdr:rowOff>7144</xdr:rowOff>
    </xdr:from>
    <xdr:to>
      <xdr:col>0</xdr:col>
      <xdr:colOff>3400</xdr:colOff>
      <xdr:row>63</xdr:row>
      <xdr:rowOff>190500</xdr:rowOff>
    </xdr:to>
    <xdr:sp macro="" textlink="">
      <xdr:nvSpPr>
        <xdr:cNvPr id="146" name="AutoShape 5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>
          <a:spLocks noChangeArrowheads="1"/>
        </xdr:cNvSpPr>
      </xdr:nvSpPr>
      <xdr:spPr bwMode="auto">
        <a:xfrm>
          <a:off x="0" y="133230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11906</xdr:colOff>
      <xdr:row>64</xdr:row>
      <xdr:rowOff>0</xdr:rowOff>
    </xdr:to>
    <xdr:sp macro="" textlink="">
      <xdr:nvSpPr>
        <xdr:cNvPr id="147" name="AutoShape 20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>
          <a:spLocks noChangeArrowheads="1"/>
        </xdr:cNvSpPr>
      </xdr:nvSpPr>
      <xdr:spPr bwMode="auto">
        <a:xfrm>
          <a:off x="13268325" y="13315950"/>
          <a:ext cx="773906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61</xdr:row>
      <xdr:rowOff>161746</xdr:rowOff>
    </xdr:from>
    <xdr:to>
      <xdr:col>11</xdr:col>
      <xdr:colOff>1</xdr:colOff>
      <xdr:row>64</xdr:row>
      <xdr:rowOff>2724</xdr:rowOff>
    </xdr:to>
    <xdr:sp macro="" textlink="">
      <xdr:nvSpPr>
        <xdr:cNvPr id="148" name="AutoShape 17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>
          <a:spLocks noChangeArrowheads="1"/>
        </xdr:cNvSpPr>
      </xdr:nvSpPr>
      <xdr:spPr bwMode="auto">
        <a:xfrm>
          <a:off x="7143751" y="13287196"/>
          <a:ext cx="781050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593066</xdr:colOff>
      <xdr:row>62</xdr:row>
      <xdr:rowOff>7325</xdr:rowOff>
    </xdr:from>
    <xdr:to>
      <xdr:col>9</xdr:col>
      <xdr:colOff>17971</xdr:colOff>
      <xdr:row>64</xdr:row>
      <xdr:rowOff>0</xdr:rowOff>
    </xdr:to>
    <xdr:sp macro="" textlink="">
      <xdr:nvSpPr>
        <xdr:cNvPr id="149" name="AutoShape 11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>
          <a:spLocks noChangeArrowheads="1"/>
        </xdr:cNvSpPr>
      </xdr:nvSpPr>
      <xdr:spPr bwMode="auto">
        <a:xfrm>
          <a:off x="5812766" y="13323275"/>
          <a:ext cx="7393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62</xdr:row>
      <xdr:rowOff>23810</xdr:rowOff>
    </xdr:from>
    <xdr:to>
      <xdr:col>13</xdr:col>
      <xdr:colOff>11907</xdr:colOff>
      <xdr:row>64</xdr:row>
      <xdr:rowOff>15614</xdr:rowOff>
    </xdr:to>
    <xdr:sp macro="" textlink="">
      <xdr:nvSpPr>
        <xdr:cNvPr id="150" name="AutoShape 17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>
          <a:spLocks noChangeArrowheads="1"/>
        </xdr:cNvSpPr>
      </xdr:nvSpPr>
      <xdr:spPr bwMode="auto">
        <a:xfrm>
          <a:off x="8534400" y="13339760"/>
          <a:ext cx="802482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1" name="AutoShape 5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79</xdr:row>
      <xdr:rowOff>-1</xdr:rowOff>
    </xdr:from>
    <xdr:to>
      <xdr:col>7</xdr:col>
      <xdr:colOff>-1</xdr:colOff>
      <xdr:row>80</xdr:row>
      <xdr:rowOff>200025</xdr:rowOff>
    </xdr:to>
    <xdr:sp macro="" textlink="">
      <xdr:nvSpPr>
        <xdr:cNvPr id="152" name="AutoShape 11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>
          <a:spLocks noChangeArrowheads="1"/>
        </xdr:cNvSpPr>
      </xdr:nvSpPr>
      <xdr:spPr bwMode="auto">
        <a:xfrm>
          <a:off x="4298644" y="16964024"/>
          <a:ext cx="99725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79</xdr:row>
      <xdr:rowOff>23811</xdr:rowOff>
    </xdr:from>
    <xdr:to>
      <xdr:col>3</xdr:col>
      <xdr:colOff>12336</xdr:colOff>
      <xdr:row>80</xdr:row>
      <xdr:rowOff>198874</xdr:rowOff>
    </xdr:to>
    <xdr:sp macro="" textlink="">
      <xdr:nvSpPr>
        <xdr:cNvPr id="153" name="AutoShape 17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>
          <a:spLocks noChangeArrowheads="1"/>
        </xdr:cNvSpPr>
      </xdr:nvSpPr>
      <xdr:spPr bwMode="auto">
        <a:xfrm>
          <a:off x="1281461" y="169878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78</xdr:row>
      <xdr:rowOff>161061</xdr:rowOff>
    </xdr:from>
    <xdr:to>
      <xdr:col>5</xdr:col>
      <xdr:colOff>9524</xdr:colOff>
      <xdr:row>81</xdr:row>
      <xdr:rowOff>2197</xdr:rowOff>
    </xdr:to>
    <xdr:sp macro="" textlink="">
      <xdr:nvSpPr>
        <xdr:cNvPr id="154" name="AutoShape 17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>
          <a:spLocks noChangeArrowheads="1"/>
        </xdr:cNvSpPr>
      </xdr:nvSpPr>
      <xdr:spPr bwMode="auto">
        <a:xfrm>
          <a:off x="2612231" y="16934586"/>
          <a:ext cx="1140618" cy="42216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5" name="AutoShape 5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6" name="AutoShape 5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79</xdr:row>
      <xdr:rowOff>7144</xdr:rowOff>
    </xdr:from>
    <xdr:to>
      <xdr:col>0</xdr:col>
      <xdr:colOff>3400</xdr:colOff>
      <xdr:row>80</xdr:row>
      <xdr:rowOff>190500</xdr:rowOff>
    </xdr:to>
    <xdr:sp macro="" textlink="">
      <xdr:nvSpPr>
        <xdr:cNvPr id="157" name="AutoShape 5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>
          <a:spLocks noChangeArrowheads="1"/>
        </xdr:cNvSpPr>
      </xdr:nvSpPr>
      <xdr:spPr bwMode="auto">
        <a:xfrm>
          <a:off x="0" y="169711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8" name="AutoShape 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59" name="AutoShape 5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0" name="AutoShape 5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80</xdr:row>
      <xdr:rowOff>7144</xdr:rowOff>
    </xdr:from>
    <xdr:to>
      <xdr:col>0</xdr:col>
      <xdr:colOff>3400</xdr:colOff>
      <xdr:row>81</xdr:row>
      <xdr:rowOff>190500</xdr:rowOff>
    </xdr:to>
    <xdr:sp macro="" textlink="">
      <xdr:nvSpPr>
        <xdr:cNvPr id="161" name="AutoShape 5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>
          <a:spLocks noChangeArrowheads="1"/>
        </xdr:cNvSpPr>
      </xdr:nvSpPr>
      <xdr:spPr bwMode="auto">
        <a:xfrm>
          <a:off x="0" y="17171194"/>
          <a:ext cx="3400" cy="3548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71</xdr:row>
      <xdr:rowOff>27253</xdr:rowOff>
    </xdr:from>
    <xdr:to>
      <xdr:col>21</xdr:col>
      <xdr:colOff>9525</xdr:colOff>
      <xdr:row>73</xdr:row>
      <xdr:rowOff>6144</xdr:rowOff>
    </xdr:to>
    <xdr:sp macro="" textlink="">
      <xdr:nvSpPr>
        <xdr:cNvPr id="162" name="AutoShape 20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>
          <a:spLocks noChangeArrowheads="1"/>
        </xdr:cNvSpPr>
      </xdr:nvSpPr>
      <xdr:spPr bwMode="auto">
        <a:xfrm>
          <a:off x="14639925" y="15191053"/>
          <a:ext cx="857250" cy="36941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11906</xdr:colOff>
      <xdr:row>73</xdr:row>
      <xdr:rowOff>0</xdr:rowOff>
    </xdr:to>
    <xdr:sp macro="" textlink="">
      <xdr:nvSpPr>
        <xdr:cNvPr id="163" name="AutoShape 20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>
          <a:spLocks noChangeArrowheads="1"/>
        </xdr:cNvSpPr>
      </xdr:nvSpPr>
      <xdr:spPr bwMode="auto">
        <a:xfrm>
          <a:off x="13268325" y="15163800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89859</xdr:colOff>
      <xdr:row>29</xdr:row>
      <xdr:rowOff>179717</xdr:rowOff>
    </xdr:from>
    <xdr:to>
      <xdr:col>15</xdr:col>
      <xdr:colOff>269576</xdr:colOff>
      <xdr:row>34</xdr:row>
      <xdr:rowOff>61091</xdr:rowOff>
    </xdr:to>
    <xdr:grpSp>
      <xdr:nvGrpSpPr>
        <xdr:cNvPr id="164" name="Group 2201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GrpSpPr>
          <a:grpSpLocks/>
        </xdr:cNvGrpSpPr>
      </xdr:nvGrpSpPr>
      <xdr:grpSpPr bwMode="auto">
        <a:xfrm>
          <a:off x="11277954" y="6816979"/>
          <a:ext cx="179717" cy="879231"/>
          <a:chOff x="752" y="1573"/>
          <a:chExt cx="16" cy="53"/>
        </a:xfrm>
      </xdr:grpSpPr>
      <xdr:sp macro="" textlink="">
        <xdr:nvSpPr>
          <xdr:cNvPr id="165" name="Line 2202">
            <a:extLst>
              <a:ext uri="{FF2B5EF4-FFF2-40B4-BE49-F238E27FC236}">
                <a16:creationId xmlns:a16="http://schemas.microsoft.com/office/drawing/2014/main" id="{00000000-0008-0000-0800-0000B9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203">
            <a:extLst>
              <a:ext uri="{FF2B5EF4-FFF2-40B4-BE49-F238E27FC236}">
                <a16:creationId xmlns:a16="http://schemas.microsoft.com/office/drawing/2014/main" id="{00000000-0008-0000-0800-0000BA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204">
            <a:extLst>
              <a:ext uri="{FF2B5EF4-FFF2-40B4-BE49-F238E27FC236}">
                <a16:creationId xmlns:a16="http://schemas.microsoft.com/office/drawing/2014/main" id="{00000000-0008-0000-0800-0000BB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521181</xdr:colOff>
      <xdr:row>46</xdr:row>
      <xdr:rowOff>53913</xdr:rowOff>
    </xdr:from>
    <xdr:to>
      <xdr:col>15</xdr:col>
      <xdr:colOff>628342</xdr:colOff>
      <xdr:row>51</xdr:row>
      <xdr:rowOff>150061</xdr:rowOff>
    </xdr:to>
    <xdr:cxnSp macro="">
      <xdr:nvCxnSpPr>
        <xdr:cNvPr id="168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251838" y="10649731"/>
          <a:ext cx="104864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69" name="AutoShape 5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2869</xdr:colOff>
      <xdr:row>116</xdr:row>
      <xdr:rowOff>-1</xdr:rowOff>
    </xdr:from>
    <xdr:to>
      <xdr:col>5</xdr:col>
      <xdr:colOff>-1</xdr:colOff>
      <xdr:row>117</xdr:row>
      <xdr:rowOff>200025</xdr:rowOff>
    </xdr:to>
    <xdr:sp macro="" textlink="">
      <xdr:nvSpPr>
        <xdr:cNvPr id="170" name="AutoShape 11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>
          <a:spLocks noChangeArrowheads="1"/>
        </xdr:cNvSpPr>
      </xdr:nvSpPr>
      <xdr:spPr bwMode="auto">
        <a:xfrm>
          <a:off x="2612719" y="24945974"/>
          <a:ext cx="1130605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2137</xdr:colOff>
      <xdr:row>116</xdr:row>
      <xdr:rowOff>28575</xdr:rowOff>
    </xdr:from>
    <xdr:to>
      <xdr:col>13</xdr:col>
      <xdr:colOff>0</xdr:colOff>
      <xdr:row>118</xdr:row>
      <xdr:rowOff>15363</xdr:rowOff>
    </xdr:to>
    <xdr:sp macro="" textlink="">
      <xdr:nvSpPr>
        <xdr:cNvPr id="171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8536537" y="24974550"/>
          <a:ext cx="7884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72" name="AutoShape 104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73" name="Freeform 369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74" name="AutoShape 381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75" name="Line 385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76" name="Line 386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77" name="Freeform 2236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78" name="Freeform 2321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79" name="Elbow Connector 55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80" name="Line 386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5111</xdr:colOff>
      <xdr:row>116</xdr:row>
      <xdr:rowOff>23811</xdr:rowOff>
    </xdr:from>
    <xdr:to>
      <xdr:col>3</xdr:col>
      <xdr:colOff>12336</xdr:colOff>
      <xdr:row>117</xdr:row>
      <xdr:rowOff>198874</xdr:rowOff>
    </xdr:to>
    <xdr:sp macro="" textlink="">
      <xdr:nvSpPr>
        <xdr:cNvPr id="181" name="AutoShape 17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>
          <a:spLocks noChangeArrowheads="1"/>
        </xdr:cNvSpPr>
      </xdr:nvSpPr>
      <xdr:spPr bwMode="auto">
        <a:xfrm>
          <a:off x="1281461" y="24969786"/>
          <a:ext cx="7311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82" name="CustGemo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183" name="Line 385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184" name="Line 385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185" name="Group 2201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186" name="Line 2202">
            <a:extLst>
              <a:ext uri="{FF2B5EF4-FFF2-40B4-BE49-F238E27FC236}">
                <a16:creationId xmlns:a16="http://schemas.microsoft.com/office/drawing/2014/main" id="{00000000-0008-0000-0800-0000D2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7" name="Line 2203">
            <a:extLst>
              <a:ext uri="{FF2B5EF4-FFF2-40B4-BE49-F238E27FC236}">
                <a16:creationId xmlns:a16="http://schemas.microsoft.com/office/drawing/2014/main" id="{00000000-0008-0000-0800-0000D3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8" name="Line 2204">
            <a:extLst>
              <a:ext uri="{FF2B5EF4-FFF2-40B4-BE49-F238E27FC236}">
                <a16:creationId xmlns:a16="http://schemas.microsoft.com/office/drawing/2014/main" id="{00000000-0008-0000-0800-0000D4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189" name="AutoShape 5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190" name="AutoShape 10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266701</xdr:colOff>
      <xdr:row>96</xdr:row>
      <xdr:rowOff>38100</xdr:rowOff>
    </xdr:from>
    <xdr:to>
      <xdr:col>17</xdr:col>
      <xdr:colOff>266701</xdr:colOff>
      <xdr:row>96</xdr:row>
      <xdr:rowOff>219075</xdr:rowOff>
    </xdr:to>
    <xdr:sp macro="" textlink="">
      <xdr:nvSpPr>
        <xdr:cNvPr id="191" name="Freeform 369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>
          <a:spLocks/>
        </xdr:cNvSpPr>
      </xdr:nvSpPr>
      <xdr:spPr bwMode="auto">
        <a:xfrm>
          <a:off x="10696576" y="20659725"/>
          <a:ext cx="2228850" cy="18097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192" name="AutoShape 381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193" name="Line 385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194" name="Line 386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195" name="Freeform 2236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196" name="Freeform 23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197" name="Elbow Connector 55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198" name="Line 386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199" name="CustGemo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00" name="Line 38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01" name="Line 385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02" name="Group 2201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03" name="Line 2202">
            <a:extLst>
              <a:ext uri="{FF2B5EF4-FFF2-40B4-BE49-F238E27FC236}">
                <a16:creationId xmlns:a16="http://schemas.microsoft.com/office/drawing/2014/main" id="{00000000-0008-0000-0800-0000E4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4" name="Line 2203">
            <a:extLst>
              <a:ext uri="{FF2B5EF4-FFF2-40B4-BE49-F238E27FC236}">
                <a16:creationId xmlns:a16="http://schemas.microsoft.com/office/drawing/2014/main" id="{00000000-0008-0000-0800-0000E5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" name="Line 2204">
            <a:extLst>
              <a:ext uri="{FF2B5EF4-FFF2-40B4-BE49-F238E27FC236}">
                <a16:creationId xmlns:a16="http://schemas.microsoft.com/office/drawing/2014/main" id="{00000000-0008-0000-0800-0000E6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06" name="AutoShape 5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07" name="AutoShape 104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08" name="AutoShape 381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09" name="Line 38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10" name="Line 38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11" name="Freeform 2236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12" name="Freeform 2321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13" name="Elbow Connector 55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14" name="Line 386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15" name="CustGemo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16" name="Line 385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17" name="Line 385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18" name="Group 2201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19" name="Line 2202">
            <a:extLst>
              <a:ext uri="{FF2B5EF4-FFF2-40B4-BE49-F238E27FC236}">
                <a16:creationId xmlns:a16="http://schemas.microsoft.com/office/drawing/2014/main" id="{00000000-0008-0000-0800-0000F5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0" name="Line 2203">
            <a:extLst>
              <a:ext uri="{FF2B5EF4-FFF2-40B4-BE49-F238E27FC236}">
                <a16:creationId xmlns:a16="http://schemas.microsoft.com/office/drawing/2014/main" id="{00000000-0008-0000-0800-0000F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204">
            <a:extLst>
              <a:ext uri="{FF2B5EF4-FFF2-40B4-BE49-F238E27FC236}">
                <a16:creationId xmlns:a16="http://schemas.microsoft.com/office/drawing/2014/main" id="{00000000-0008-0000-0800-0000F7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116</xdr:row>
      <xdr:rowOff>7144</xdr:rowOff>
    </xdr:from>
    <xdr:to>
      <xdr:col>0</xdr:col>
      <xdr:colOff>3400</xdr:colOff>
      <xdr:row>117</xdr:row>
      <xdr:rowOff>190500</xdr:rowOff>
    </xdr:to>
    <xdr:sp macro="" textlink="">
      <xdr:nvSpPr>
        <xdr:cNvPr id="222" name="AutoShape 5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>
          <a:spLocks noChangeArrowheads="1"/>
        </xdr:cNvSpPr>
      </xdr:nvSpPr>
      <xdr:spPr bwMode="auto">
        <a:xfrm>
          <a:off x="0" y="249531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28575</xdr:rowOff>
    </xdr:from>
    <xdr:to>
      <xdr:col>18</xdr:col>
      <xdr:colOff>9525</xdr:colOff>
      <xdr:row>98</xdr:row>
      <xdr:rowOff>0</xdr:rowOff>
    </xdr:to>
    <xdr:sp macro="" textlink="">
      <xdr:nvSpPr>
        <xdr:cNvPr id="223" name="AutoShape 104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>
          <a:spLocks noChangeArrowheads="1"/>
        </xdr:cNvSpPr>
      </xdr:nvSpPr>
      <xdr:spPr bwMode="auto">
        <a:xfrm>
          <a:off x="12658725" y="20650200"/>
          <a:ext cx="619125" cy="4381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152400</xdr:colOff>
      <xdr:row>102</xdr:row>
      <xdr:rowOff>161925</xdr:rowOff>
    </xdr:to>
    <xdr:cxnSp macro="">
      <xdr:nvCxnSpPr>
        <xdr:cNvPr id="224" name="AutoShape 381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4182725" y="21545550"/>
          <a:ext cx="1066800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99</xdr:row>
      <xdr:rowOff>19049</xdr:rowOff>
    </xdr:from>
    <xdr:to>
      <xdr:col>17</xdr:col>
      <xdr:colOff>257175</xdr:colOff>
      <xdr:row>102</xdr:row>
      <xdr:rowOff>76200</xdr:rowOff>
    </xdr:to>
    <xdr:sp macro="" textlink="">
      <xdr:nvSpPr>
        <xdr:cNvPr id="225" name="Line 385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>
          <a:spLocks noChangeShapeType="1"/>
        </xdr:cNvSpPr>
      </xdr:nvSpPr>
      <xdr:spPr bwMode="auto">
        <a:xfrm flipV="1">
          <a:off x="12268200" y="21345524"/>
          <a:ext cx="647700" cy="7239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99</xdr:row>
      <xdr:rowOff>123825</xdr:rowOff>
    </xdr:from>
    <xdr:to>
      <xdr:col>15</xdr:col>
      <xdr:colOff>66675</xdr:colOff>
      <xdr:row>102</xdr:row>
      <xdr:rowOff>66675</xdr:rowOff>
    </xdr:to>
    <xdr:sp macro="" textlink="">
      <xdr:nvSpPr>
        <xdr:cNvPr id="226" name="Line 386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>
          <a:spLocks noChangeShapeType="1"/>
        </xdr:cNvSpPr>
      </xdr:nvSpPr>
      <xdr:spPr bwMode="auto">
        <a:xfrm flipH="1" flipV="1">
          <a:off x="10744200" y="21450300"/>
          <a:ext cx="52387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219075</xdr:colOff>
      <xdr:row>100</xdr:row>
      <xdr:rowOff>38100</xdr:rowOff>
    </xdr:from>
    <xdr:to>
      <xdr:col>24</xdr:col>
      <xdr:colOff>352425</xdr:colOff>
      <xdr:row>101</xdr:row>
      <xdr:rowOff>123825</xdr:rowOff>
    </xdr:to>
    <xdr:sp macro="" textlink="">
      <xdr:nvSpPr>
        <xdr:cNvPr id="227" name="Freeform 2236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>
          <a:spLocks/>
        </xdr:cNvSpPr>
      </xdr:nvSpPr>
      <xdr:spPr bwMode="auto">
        <a:xfrm>
          <a:off x="18116550" y="21602700"/>
          <a:ext cx="133350" cy="3143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none" w="lg" len="lg"/>
          <a:tailEnd type="arrow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333375</xdr:colOff>
      <xdr:row>98</xdr:row>
      <xdr:rowOff>133350</xdr:rowOff>
    </xdr:from>
    <xdr:to>
      <xdr:col>24</xdr:col>
      <xdr:colOff>466725</xdr:colOff>
      <xdr:row>100</xdr:row>
      <xdr:rowOff>47625</xdr:rowOff>
    </xdr:to>
    <xdr:sp macro="" textlink="">
      <xdr:nvSpPr>
        <xdr:cNvPr id="228" name="Freeform 2321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>
          <a:spLocks/>
        </xdr:cNvSpPr>
      </xdr:nvSpPr>
      <xdr:spPr bwMode="auto">
        <a:xfrm>
          <a:off x="18230850" y="21221700"/>
          <a:ext cx="133350" cy="390525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15</xdr:col>
      <xdr:colOff>-1</xdr:colOff>
      <xdr:row>99</xdr:row>
      <xdr:rowOff>200526</xdr:rowOff>
    </xdr:from>
    <xdr:to>
      <xdr:col>15</xdr:col>
      <xdr:colOff>263190</xdr:colOff>
      <xdr:row>100</xdr:row>
      <xdr:rowOff>175460</xdr:rowOff>
    </xdr:to>
    <xdr:cxnSp macro="">
      <xdr:nvCxnSpPr>
        <xdr:cNvPr id="229" name="Elbow Connector 55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CxnSpPr/>
      </xdr:nvCxnSpPr>
      <xdr:spPr>
        <a:xfrm>
          <a:off x="11201399" y="21527001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100</xdr:row>
      <xdr:rowOff>171450</xdr:rowOff>
    </xdr:from>
    <xdr:to>
      <xdr:col>16</xdr:col>
      <xdr:colOff>76200</xdr:colOff>
      <xdr:row>101</xdr:row>
      <xdr:rowOff>66675</xdr:rowOff>
    </xdr:to>
    <xdr:sp macro="" textlink="">
      <xdr:nvSpPr>
        <xdr:cNvPr id="230" name="Line 386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>
          <a:spLocks noChangeShapeType="1"/>
        </xdr:cNvSpPr>
      </xdr:nvSpPr>
      <xdr:spPr bwMode="auto">
        <a:xfrm flipH="1" flipV="1">
          <a:off x="11468100" y="21736050"/>
          <a:ext cx="49530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266700</xdr:colOff>
      <xdr:row>96</xdr:row>
      <xdr:rowOff>47626</xdr:rowOff>
    </xdr:from>
    <xdr:to>
      <xdr:col>17</xdr:col>
      <xdr:colOff>278130</xdr:colOff>
      <xdr:row>97</xdr:row>
      <xdr:rowOff>173356</xdr:rowOff>
    </xdr:to>
    <xdr:sp macro="" textlink="">
      <xdr:nvSpPr>
        <xdr:cNvPr id="231" name="CustGemo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10696575" y="20669251"/>
          <a:ext cx="2240280" cy="354330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96</xdr:row>
      <xdr:rowOff>133349</xdr:rowOff>
    </xdr:from>
    <xdr:to>
      <xdr:col>18</xdr:col>
      <xdr:colOff>57149</xdr:colOff>
      <xdr:row>97</xdr:row>
      <xdr:rowOff>66674</xdr:rowOff>
    </xdr:to>
    <xdr:sp macro="" textlink="">
      <xdr:nvSpPr>
        <xdr:cNvPr id="232" name="Line 385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>
          <a:spLocks noChangeShapeType="1"/>
        </xdr:cNvSpPr>
      </xdr:nvSpPr>
      <xdr:spPr bwMode="auto">
        <a:xfrm flipH="1">
          <a:off x="12191998" y="20754974"/>
          <a:ext cx="1133476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96</xdr:row>
      <xdr:rowOff>66675</xdr:rowOff>
    </xdr:from>
    <xdr:to>
      <xdr:col>18</xdr:col>
      <xdr:colOff>142875</xdr:colOff>
      <xdr:row>98</xdr:row>
      <xdr:rowOff>9525</xdr:rowOff>
    </xdr:to>
    <xdr:sp macro="" textlink="">
      <xdr:nvSpPr>
        <xdr:cNvPr id="233" name="Line 385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>
          <a:spLocks noChangeShapeType="1"/>
        </xdr:cNvSpPr>
      </xdr:nvSpPr>
      <xdr:spPr bwMode="auto">
        <a:xfrm flipH="1" flipV="1">
          <a:off x="12287248" y="20688300"/>
          <a:ext cx="1123952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152399</xdr:colOff>
      <xdr:row>98</xdr:row>
      <xdr:rowOff>174172</xdr:rowOff>
    </xdr:from>
    <xdr:to>
      <xdr:col>26</xdr:col>
      <xdr:colOff>348341</xdr:colOff>
      <xdr:row>103</xdr:row>
      <xdr:rowOff>163286</xdr:rowOff>
    </xdr:to>
    <xdr:grpSp>
      <xdr:nvGrpSpPr>
        <xdr:cNvPr id="234" name="Group 220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GrpSpPr>
          <a:grpSpLocks/>
        </xdr:cNvGrpSpPr>
      </xdr:nvGrpSpPr>
      <xdr:grpSpPr bwMode="auto">
        <a:xfrm>
          <a:off x="19217518" y="21310601"/>
          <a:ext cx="195942" cy="1092804"/>
          <a:chOff x="752" y="1574"/>
          <a:chExt cx="16" cy="52"/>
        </a:xfrm>
      </xdr:grpSpPr>
      <xdr:sp macro="" textlink="">
        <xdr:nvSpPr>
          <xdr:cNvPr id="235" name="Line 2202">
            <a:extLst>
              <a:ext uri="{FF2B5EF4-FFF2-40B4-BE49-F238E27FC236}">
                <a16:creationId xmlns:a16="http://schemas.microsoft.com/office/drawing/2014/main" id="{00000000-0008-0000-0800-000006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6" name="Line 2203">
            <a:extLst>
              <a:ext uri="{FF2B5EF4-FFF2-40B4-BE49-F238E27FC236}">
                <a16:creationId xmlns:a16="http://schemas.microsoft.com/office/drawing/2014/main" id="{00000000-0008-0000-0800-000007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7" name="Line 2204">
            <a:extLst>
              <a:ext uri="{FF2B5EF4-FFF2-40B4-BE49-F238E27FC236}">
                <a16:creationId xmlns:a16="http://schemas.microsoft.com/office/drawing/2014/main" id="{00000000-0008-0000-0800-000008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116</xdr:row>
      <xdr:rowOff>0</xdr:rowOff>
    </xdr:from>
    <xdr:to>
      <xdr:col>17</xdr:col>
      <xdr:colOff>11906</xdr:colOff>
      <xdr:row>118</xdr:row>
      <xdr:rowOff>0</xdr:rowOff>
    </xdr:to>
    <xdr:sp macro="" textlink="">
      <xdr:nvSpPr>
        <xdr:cNvPr id="238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11887200" y="24945975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15875</xdr:colOff>
      <xdr:row>96</xdr:row>
      <xdr:rowOff>47625</xdr:rowOff>
    </xdr:from>
    <xdr:to>
      <xdr:col>15</xdr:col>
      <xdr:colOff>19050</xdr:colOff>
      <xdr:row>97</xdr:row>
      <xdr:rowOff>206375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>
          <a:spLocks noChangeArrowheads="1"/>
        </xdr:cNvSpPr>
      </xdr:nvSpPr>
      <xdr:spPr bwMode="auto">
        <a:xfrm>
          <a:off x="10445750" y="20669250"/>
          <a:ext cx="774700" cy="3873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116</xdr:row>
      <xdr:rowOff>0</xdr:rowOff>
    </xdr:from>
    <xdr:to>
      <xdr:col>9</xdr:col>
      <xdr:colOff>1</xdr:colOff>
      <xdr:row>118</xdr:row>
      <xdr:rowOff>2722</xdr:rowOff>
    </xdr:to>
    <xdr:sp macro="" textlink="">
      <xdr:nvSpPr>
        <xdr:cNvPr id="240" name="AutoShape 1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>
          <a:spLocks noChangeArrowheads="1"/>
        </xdr:cNvSpPr>
      </xdr:nvSpPr>
      <xdr:spPr bwMode="auto">
        <a:xfrm>
          <a:off x="5810251" y="24945975"/>
          <a:ext cx="723900" cy="39324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116</xdr:row>
      <xdr:rowOff>79375</xdr:rowOff>
    </xdr:from>
    <xdr:to>
      <xdr:col>7</xdr:col>
      <xdr:colOff>31750</xdr:colOff>
      <xdr:row>118</xdr:row>
      <xdr:rowOff>15875</xdr:rowOff>
    </xdr:to>
    <xdr:sp macro="" textlink="">
      <xdr:nvSpPr>
        <xdr:cNvPr id="241" name="AutoShape 11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>
          <a:spLocks noChangeArrowheads="1"/>
        </xdr:cNvSpPr>
      </xdr:nvSpPr>
      <xdr:spPr bwMode="auto">
        <a:xfrm>
          <a:off x="4295775" y="25025350"/>
          <a:ext cx="1031875" cy="3270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116</xdr:row>
      <xdr:rowOff>0</xdr:rowOff>
    </xdr:from>
    <xdr:to>
      <xdr:col>11</xdr:col>
      <xdr:colOff>0</xdr:colOff>
      <xdr:row>118</xdr:row>
      <xdr:rowOff>14631</xdr:rowOff>
    </xdr:to>
    <xdr:sp macro="" textlink="">
      <xdr:nvSpPr>
        <xdr:cNvPr id="242" name="AutoShape 17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>
          <a:spLocks noChangeArrowheads="1"/>
        </xdr:cNvSpPr>
      </xdr:nvSpPr>
      <xdr:spPr bwMode="auto">
        <a:xfrm>
          <a:off x="7143750" y="24945975"/>
          <a:ext cx="781050" cy="4051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43" name="AutoShape 5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131</xdr:row>
      <xdr:rowOff>-1</xdr:rowOff>
    </xdr:from>
    <xdr:to>
      <xdr:col>13</xdr:col>
      <xdr:colOff>-1</xdr:colOff>
      <xdr:row>132</xdr:row>
      <xdr:rowOff>200025</xdr:rowOff>
    </xdr:to>
    <xdr:sp macro="" textlink="">
      <xdr:nvSpPr>
        <xdr:cNvPr id="244" name="AutoShape 11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>
          <a:spLocks noChangeArrowheads="1"/>
        </xdr:cNvSpPr>
      </xdr:nvSpPr>
      <xdr:spPr bwMode="auto">
        <a:xfrm>
          <a:off x="8537269" y="28203524"/>
          <a:ext cx="787705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131</xdr:row>
      <xdr:rowOff>35718</xdr:rowOff>
    </xdr:from>
    <xdr:to>
      <xdr:col>21</xdr:col>
      <xdr:colOff>15363</xdr:colOff>
      <xdr:row>133</xdr:row>
      <xdr:rowOff>15362</xdr:rowOff>
    </xdr:to>
    <xdr:sp macro="" textlink="">
      <xdr:nvSpPr>
        <xdr:cNvPr id="245" name="AutoShape 15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>
          <a:spLocks noChangeArrowheads="1"/>
        </xdr:cNvSpPr>
      </xdr:nvSpPr>
      <xdr:spPr bwMode="auto">
        <a:xfrm>
          <a:off x="14653970" y="28239243"/>
          <a:ext cx="8490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131</xdr:row>
      <xdr:rowOff>23811</xdr:rowOff>
    </xdr:from>
    <xdr:to>
      <xdr:col>9</xdr:col>
      <xdr:colOff>12336</xdr:colOff>
      <xdr:row>132</xdr:row>
      <xdr:rowOff>198874</xdr:rowOff>
    </xdr:to>
    <xdr:sp macro="" textlink="">
      <xdr:nvSpPr>
        <xdr:cNvPr id="246" name="AutoShape 17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>
          <a:spLocks noChangeArrowheads="1"/>
        </xdr:cNvSpPr>
      </xdr:nvSpPr>
      <xdr:spPr bwMode="auto">
        <a:xfrm>
          <a:off x="5815361" y="28227336"/>
          <a:ext cx="731125" cy="365563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130</xdr:row>
      <xdr:rowOff>161061</xdr:rowOff>
    </xdr:from>
    <xdr:to>
      <xdr:col>11</xdr:col>
      <xdr:colOff>9524</xdr:colOff>
      <xdr:row>133</xdr:row>
      <xdr:rowOff>2197</xdr:rowOff>
    </xdr:to>
    <xdr:sp macro="" textlink="">
      <xdr:nvSpPr>
        <xdr:cNvPr id="247" name="AutoShape 17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>
          <a:spLocks noChangeArrowheads="1"/>
        </xdr:cNvSpPr>
      </xdr:nvSpPr>
      <xdr:spPr bwMode="auto">
        <a:xfrm>
          <a:off x="7146131" y="28145511"/>
          <a:ext cx="788193" cy="45073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15875</xdr:colOff>
      <xdr:row>139</xdr:row>
      <xdr:rowOff>27253</xdr:rowOff>
    </xdr:from>
    <xdr:to>
      <xdr:col>7</xdr:col>
      <xdr:colOff>25400</xdr:colOff>
      <xdr:row>141</xdr:row>
      <xdr:rowOff>6143</xdr:rowOff>
    </xdr:to>
    <xdr:sp macro="" textlink="">
      <xdr:nvSpPr>
        <xdr:cNvPr id="248" name="AutoShape 20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>
          <a:spLocks noChangeArrowheads="1"/>
        </xdr:cNvSpPr>
      </xdr:nvSpPr>
      <xdr:spPr bwMode="auto">
        <a:xfrm>
          <a:off x="4302125" y="29840503"/>
          <a:ext cx="1009650" cy="37576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139</xdr:row>
      <xdr:rowOff>41843</xdr:rowOff>
    </xdr:from>
    <xdr:to>
      <xdr:col>3</xdr:col>
      <xdr:colOff>1</xdr:colOff>
      <xdr:row>141</xdr:row>
      <xdr:rowOff>0</xdr:rowOff>
    </xdr:to>
    <xdr:sp macro="" textlink="">
      <xdr:nvSpPr>
        <xdr:cNvPr id="249" name="AutoShape 26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>
          <a:spLocks noChangeArrowheads="1"/>
        </xdr:cNvSpPr>
      </xdr:nvSpPr>
      <xdr:spPr bwMode="auto">
        <a:xfrm>
          <a:off x="1281604" y="29797943"/>
          <a:ext cx="718647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0" name="AutoShape 5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1" name="AutoShape 5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139</xdr:row>
      <xdr:rowOff>7144</xdr:rowOff>
    </xdr:from>
    <xdr:to>
      <xdr:col>0</xdr:col>
      <xdr:colOff>3400</xdr:colOff>
      <xdr:row>140</xdr:row>
      <xdr:rowOff>190500</xdr:rowOff>
    </xdr:to>
    <xdr:sp macro="" textlink="">
      <xdr:nvSpPr>
        <xdr:cNvPr id="252" name="AutoShape 5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>
          <a:spLocks noChangeArrowheads="1"/>
        </xdr:cNvSpPr>
      </xdr:nvSpPr>
      <xdr:spPr bwMode="auto">
        <a:xfrm>
          <a:off x="0" y="297632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139</xdr:row>
      <xdr:rowOff>0</xdr:rowOff>
    </xdr:from>
    <xdr:to>
      <xdr:col>5</xdr:col>
      <xdr:colOff>11906</xdr:colOff>
      <xdr:row>141</xdr:row>
      <xdr:rowOff>0</xdr:rowOff>
    </xdr:to>
    <xdr:sp macro="" textlink="">
      <xdr:nvSpPr>
        <xdr:cNvPr id="253" name="AutoShape 20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>
          <a:spLocks noChangeArrowheads="1"/>
        </xdr:cNvSpPr>
      </xdr:nvSpPr>
      <xdr:spPr bwMode="auto">
        <a:xfrm>
          <a:off x="2609850" y="29756100"/>
          <a:ext cx="1145381" cy="39052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130</xdr:row>
      <xdr:rowOff>190500</xdr:rowOff>
    </xdr:from>
    <xdr:to>
      <xdr:col>17</xdr:col>
      <xdr:colOff>1</xdr:colOff>
      <xdr:row>133</xdr:row>
      <xdr:rowOff>2724</xdr:rowOff>
    </xdr:to>
    <xdr:sp macro="" textlink="">
      <xdr:nvSpPr>
        <xdr:cNvPr id="254" name="AutoShape 17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>
          <a:spLocks noChangeArrowheads="1"/>
        </xdr:cNvSpPr>
      </xdr:nvSpPr>
      <xdr:spPr bwMode="auto">
        <a:xfrm>
          <a:off x="11887201" y="28174950"/>
          <a:ext cx="771525" cy="4218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31750</xdr:colOff>
      <xdr:row>130</xdr:row>
      <xdr:rowOff>174626</xdr:rowOff>
    </xdr:from>
    <xdr:to>
      <xdr:col>15</xdr:col>
      <xdr:colOff>15875</xdr:colOff>
      <xdr:row>133</xdr:row>
      <xdr:rowOff>1</xdr:rowOff>
    </xdr:to>
    <xdr:sp macro="" textlink="">
      <xdr:nvSpPr>
        <xdr:cNvPr id="255" name="AutoShape 11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>
          <a:spLocks noChangeArrowheads="1"/>
        </xdr:cNvSpPr>
      </xdr:nvSpPr>
      <xdr:spPr bwMode="auto">
        <a:xfrm>
          <a:off x="10461625" y="28159076"/>
          <a:ext cx="755650" cy="43497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131</xdr:row>
      <xdr:rowOff>23810</xdr:rowOff>
    </xdr:from>
    <xdr:to>
      <xdr:col>19</xdr:col>
      <xdr:colOff>11907</xdr:colOff>
      <xdr:row>133</xdr:row>
      <xdr:rowOff>15614</xdr:rowOff>
    </xdr:to>
    <xdr:sp macro="" textlink="">
      <xdr:nvSpPr>
        <xdr:cNvPr id="256" name="AutoShape 17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>
          <a:spLocks noChangeArrowheads="1"/>
        </xdr:cNvSpPr>
      </xdr:nvSpPr>
      <xdr:spPr bwMode="auto">
        <a:xfrm>
          <a:off x="13268325" y="28227335"/>
          <a:ext cx="7739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57" name="AutoShape 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147</xdr:row>
      <xdr:rowOff>-1</xdr:rowOff>
    </xdr:from>
    <xdr:to>
      <xdr:col>3</xdr:col>
      <xdr:colOff>-1</xdr:colOff>
      <xdr:row>148</xdr:row>
      <xdr:rowOff>200025</xdr:rowOff>
    </xdr:to>
    <xdr:sp macro="" textlink="">
      <xdr:nvSpPr>
        <xdr:cNvPr id="258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1279219" y="31680149"/>
          <a:ext cx="721030" cy="39052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147</xdr:row>
      <xdr:rowOff>35718</xdr:rowOff>
    </xdr:from>
    <xdr:to>
      <xdr:col>11</xdr:col>
      <xdr:colOff>15363</xdr:colOff>
      <xdr:row>149</xdr:row>
      <xdr:rowOff>15362</xdr:rowOff>
    </xdr:to>
    <xdr:sp macro="" textlink="">
      <xdr:nvSpPr>
        <xdr:cNvPr id="259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7157795" y="317158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139</xdr:row>
      <xdr:rowOff>23811</xdr:rowOff>
    </xdr:from>
    <xdr:to>
      <xdr:col>19</xdr:col>
      <xdr:colOff>12336</xdr:colOff>
      <xdr:row>140</xdr:row>
      <xdr:rowOff>198874</xdr:rowOff>
    </xdr:to>
    <xdr:sp macro="" textlink="">
      <xdr:nvSpPr>
        <xdr:cNvPr id="260" name="AutoShape 17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>
          <a:spLocks noChangeArrowheads="1"/>
        </xdr:cNvSpPr>
      </xdr:nvSpPr>
      <xdr:spPr bwMode="auto">
        <a:xfrm>
          <a:off x="13273436" y="29779911"/>
          <a:ext cx="769225" cy="36556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138</xdr:row>
      <xdr:rowOff>269875</xdr:rowOff>
    </xdr:from>
    <xdr:to>
      <xdr:col>21</xdr:col>
      <xdr:colOff>9524</xdr:colOff>
      <xdr:row>141</xdr:row>
      <xdr:rowOff>2196</xdr:rowOff>
    </xdr:to>
    <xdr:sp macro="" textlink="">
      <xdr:nvSpPr>
        <xdr:cNvPr id="261" name="AutoShape 17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>
          <a:spLocks noChangeArrowheads="1"/>
        </xdr:cNvSpPr>
      </xdr:nvSpPr>
      <xdr:spPr bwMode="auto">
        <a:xfrm>
          <a:off x="14642306" y="29759275"/>
          <a:ext cx="854868" cy="3895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147</xdr:row>
      <xdr:rowOff>9281</xdr:rowOff>
    </xdr:from>
    <xdr:to>
      <xdr:col>17</xdr:col>
      <xdr:colOff>9525</xdr:colOff>
      <xdr:row>148</xdr:row>
      <xdr:rowOff>195385</xdr:rowOff>
    </xdr:to>
    <xdr:sp macro="" textlink="">
      <xdr:nvSpPr>
        <xdr:cNvPr id="262" name="AutoShape 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>
          <a:spLocks noChangeArrowheads="1"/>
        </xdr:cNvSpPr>
      </xdr:nvSpPr>
      <xdr:spPr bwMode="auto">
        <a:xfrm>
          <a:off x="11887200" y="31689431"/>
          <a:ext cx="781050" cy="37660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5254</xdr:colOff>
      <xdr:row>147</xdr:row>
      <xdr:rowOff>41843</xdr:rowOff>
    </xdr:from>
    <xdr:to>
      <xdr:col>13</xdr:col>
      <xdr:colOff>1</xdr:colOff>
      <xdr:row>149</xdr:row>
      <xdr:rowOff>0</xdr:rowOff>
    </xdr:to>
    <xdr:sp macro="" textlink="">
      <xdr:nvSpPr>
        <xdr:cNvPr id="263" name="AutoShape 26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>
          <a:spLocks noChangeArrowheads="1"/>
        </xdr:cNvSpPr>
      </xdr:nvSpPr>
      <xdr:spPr bwMode="auto">
        <a:xfrm>
          <a:off x="8539654" y="31721993"/>
          <a:ext cx="78532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4" name="AutoShape 5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5" name="AutoShape 5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147</xdr:row>
      <xdr:rowOff>7144</xdr:rowOff>
    </xdr:from>
    <xdr:to>
      <xdr:col>0</xdr:col>
      <xdr:colOff>3400</xdr:colOff>
      <xdr:row>148</xdr:row>
      <xdr:rowOff>190500</xdr:rowOff>
    </xdr:to>
    <xdr:sp macro="" textlink="">
      <xdr:nvSpPr>
        <xdr:cNvPr id="266" name="AutoShape 5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>
          <a:spLocks noChangeArrowheads="1"/>
        </xdr:cNvSpPr>
      </xdr:nvSpPr>
      <xdr:spPr bwMode="auto">
        <a:xfrm>
          <a:off x="0" y="316872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147</xdr:row>
      <xdr:rowOff>0</xdr:rowOff>
    </xdr:from>
    <xdr:to>
      <xdr:col>15</xdr:col>
      <xdr:colOff>11906</xdr:colOff>
      <xdr:row>149</xdr:row>
      <xdr:rowOff>0</xdr:rowOff>
    </xdr:to>
    <xdr:sp macro="" textlink="">
      <xdr:nvSpPr>
        <xdr:cNvPr id="267" name="AutoShape 20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>
          <a:spLocks noChangeArrowheads="1"/>
        </xdr:cNvSpPr>
      </xdr:nvSpPr>
      <xdr:spPr bwMode="auto">
        <a:xfrm>
          <a:off x="10429875" y="31680150"/>
          <a:ext cx="78343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146</xdr:row>
      <xdr:rowOff>381001</xdr:rowOff>
    </xdr:from>
    <xdr:to>
      <xdr:col>6</xdr:col>
      <xdr:colOff>1000124</xdr:colOff>
      <xdr:row>149</xdr:row>
      <xdr:rowOff>2725</xdr:rowOff>
    </xdr:to>
    <xdr:sp macro="" textlink="">
      <xdr:nvSpPr>
        <xdr:cNvPr id="268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4295776" y="31575376"/>
          <a:ext cx="1000123" cy="4980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147</xdr:row>
      <xdr:rowOff>7325</xdr:rowOff>
    </xdr:from>
    <xdr:to>
      <xdr:col>5</xdr:col>
      <xdr:colOff>17971</xdr:colOff>
      <xdr:row>149</xdr:row>
      <xdr:rowOff>0</xdr:rowOff>
    </xdr:to>
    <xdr:sp macro="" textlink="">
      <xdr:nvSpPr>
        <xdr:cNvPr id="269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2593316" y="31687475"/>
          <a:ext cx="1167980" cy="383200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147</xdr:row>
      <xdr:rowOff>23810</xdr:rowOff>
    </xdr:from>
    <xdr:to>
      <xdr:col>9</xdr:col>
      <xdr:colOff>11907</xdr:colOff>
      <xdr:row>149</xdr:row>
      <xdr:rowOff>15614</xdr:rowOff>
    </xdr:to>
    <xdr:sp macro="" textlink="">
      <xdr:nvSpPr>
        <xdr:cNvPr id="270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5810250" y="31703960"/>
          <a:ext cx="735807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1" name="AutoShape 5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2869</xdr:colOff>
      <xdr:row>154</xdr:row>
      <xdr:rowOff>-1</xdr:rowOff>
    </xdr:from>
    <xdr:to>
      <xdr:col>3</xdr:col>
      <xdr:colOff>-1</xdr:colOff>
      <xdr:row>155</xdr:row>
      <xdr:rowOff>200025</xdr:rowOff>
    </xdr:to>
    <xdr:sp macro="" textlink="">
      <xdr:nvSpPr>
        <xdr:cNvPr id="272" name="AutoShape 11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>
          <a:spLocks noChangeArrowheads="1"/>
        </xdr:cNvSpPr>
      </xdr:nvSpPr>
      <xdr:spPr bwMode="auto">
        <a:xfrm>
          <a:off x="1279219" y="3301364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14045</xdr:colOff>
      <xdr:row>154</xdr:row>
      <xdr:rowOff>35718</xdr:rowOff>
    </xdr:from>
    <xdr:to>
      <xdr:col>11</xdr:col>
      <xdr:colOff>15363</xdr:colOff>
      <xdr:row>156</xdr:row>
      <xdr:rowOff>15362</xdr:rowOff>
    </xdr:to>
    <xdr:sp macro="" textlink="">
      <xdr:nvSpPr>
        <xdr:cNvPr id="273" name="AutoShape 15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>
          <a:spLocks noChangeArrowheads="1"/>
        </xdr:cNvSpPr>
      </xdr:nvSpPr>
      <xdr:spPr bwMode="auto">
        <a:xfrm>
          <a:off x="7157795" y="33049368"/>
          <a:ext cx="782368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5111</xdr:colOff>
      <xdr:row>147</xdr:row>
      <xdr:rowOff>23811</xdr:rowOff>
    </xdr:from>
    <xdr:to>
      <xdr:col>19</xdr:col>
      <xdr:colOff>12336</xdr:colOff>
      <xdr:row>148</xdr:row>
      <xdr:rowOff>198874</xdr:rowOff>
    </xdr:to>
    <xdr:sp macro="" textlink="">
      <xdr:nvSpPr>
        <xdr:cNvPr id="274" name="AutoShape 17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>
          <a:spLocks noChangeArrowheads="1"/>
        </xdr:cNvSpPr>
      </xdr:nvSpPr>
      <xdr:spPr bwMode="auto">
        <a:xfrm>
          <a:off x="13273436" y="31703961"/>
          <a:ext cx="769225" cy="365563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2381</xdr:colOff>
      <xdr:row>147</xdr:row>
      <xdr:rowOff>15875</xdr:rowOff>
    </xdr:from>
    <xdr:to>
      <xdr:col>21</xdr:col>
      <xdr:colOff>9524</xdr:colOff>
      <xdr:row>149</xdr:row>
      <xdr:rowOff>2196</xdr:rowOff>
    </xdr:to>
    <xdr:sp macro="" textlink="">
      <xdr:nvSpPr>
        <xdr:cNvPr id="275" name="AutoShape 17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>
          <a:spLocks noChangeArrowheads="1"/>
        </xdr:cNvSpPr>
      </xdr:nvSpPr>
      <xdr:spPr bwMode="auto">
        <a:xfrm>
          <a:off x="14642306" y="31696025"/>
          <a:ext cx="854868" cy="37684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6" name="AutoShape 5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7" name="AutoShape 5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154</xdr:row>
      <xdr:rowOff>7144</xdr:rowOff>
    </xdr:from>
    <xdr:to>
      <xdr:col>0</xdr:col>
      <xdr:colOff>3400</xdr:colOff>
      <xdr:row>155</xdr:row>
      <xdr:rowOff>190500</xdr:rowOff>
    </xdr:to>
    <xdr:sp macro="" textlink="">
      <xdr:nvSpPr>
        <xdr:cNvPr id="278" name="AutoShape 5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>
          <a:spLocks noChangeArrowheads="1"/>
        </xdr:cNvSpPr>
      </xdr:nvSpPr>
      <xdr:spPr bwMode="auto">
        <a:xfrm>
          <a:off x="0" y="330207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</xdr:colOff>
      <xdr:row>153</xdr:row>
      <xdr:rowOff>161746</xdr:rowOff>
    </xdr:from>
    <xdr:to>
      <xdr:col>7</xdr:col>
      <xdr:colOff>1</xdr:colOff>
      <xdr:row>156</xdr:row>
      <xdr:rowOff>2724</xdr:rowOff>
    </xdr:to>
    <xdr:sp macro="" textlink="">
      <xdr:nvSpPr>
        <xdr:cNvPr id="279" name="AutoShape 17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>
          <a:spLocks noChangeArrowheads="1"/>
        </xdr:cNvSpPr>
      </xdr:nvSpPr>
      <xdr:spPr bwMode="auto">
        <a:xfrm>
          <a:off x="4295776" y="32984896"/>
          <a:ext cx="1000125" cy="42200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593066</xdr:colOff>
      <xdr:row>154</xdr:row>
      <xdr:rowOff>7325</xdr:rowOff>
    </xdr:from>
    <xdr:to>
      <xdr:col>5</xdr:col>
      <xdr:colOff>17971</xdr:colOff>
      <xdr:row>156</xdr:row>
      <xdr:rowOff>0</xdr:rowOff>
    </xdr:to>
    <xdr:sp macro="" textlink="">
      <xdr:nvSpPr>
        <xdr:cNvPr id="280" name="AutoShape 1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>
          <a:spLocks noChangeArrowheads="1"/>
        </xdr:cNvSpPr>
      </xdr:nvSpPr>
      <xdr:spPr bwMode="auto">
        <a:xfrm>
          <a:off x="2593316" y="33020975"/>
          <a:ext cx="1167980" cy="3832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154</xdr:row>
      <xdr:rowOff>23810</xdr:rowOff>
    </xdr:from>
    <xdr:to>
      <xdr:col>9</xdr:col>
      <xdr:colOff>11907</xdr:colOff>
      <xdr:row>156</xdr:row>
      <xdr:rowOff>15614</xdr:rowOff>
    </xdr:to>
    <xdr:sp macro="" textlink="">
      <xdr:nvSpPr>
        <xdr:cNvPr id="281" name="AutoShape 17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>
          <a:spLocks noChangeArrowheads="1"/>
        </xdr:cNvSpPr>
      </xdr:nvSpPr>
      <xdr:spPr bwMode="auto">
        <a:xfrm>
          <a:off x="5810250" y="33037460"/>
          <a:ext cx="735807" cy="38232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2" name="AutoShape 5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3" name="AutoShape 5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4" name="AutoShape 5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117</xdr:row>
      <xdr:rowOff>7144</xdr:rowOff>
    </xdr:from>
    <xdr:to>
      <xdr:col>0</xdr:col>
      <xdr:colOff>3400</xdr:colOff>
      <xdr:row>118</xdr:row>
      <xdr:rowOff>190500</xdr:rowOff>
    </xdr:to>
    <xdr:sp macro="" textlink="">
      <xdr:nvSpPr>
        <xdr:cNvPr id="285" name="AutoShape 5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>
          <a:spLocks noChangeArrowheads="1"/>
        </xdr:cNvSpPr>
      </xdr:nvSpPr>
      <xdr:spPr bwMode="auto">
        <a:xfrm>
          <a:off x="0" y="25153144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6" name="AutoShape 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7" name="AutoShape 5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8" name="AutoShape 5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118</xdr:row>
      <xdr:rowOff>7144</xdr:rowOff>
    </xdr:from>
    <xdr:to>
      <xdr:col>0</xdr:col>
      <xdr:colOff>3400</xdr:colOff>
      <xdr:row>119</xdr:row>
      <xdr:rowOff>190500</xdr:rowOff>
    </xdr:to>
    <xdr:sp macro="" textlink="">
      <xdr:nvSpPr>
        <xdr:cNvPr id="289" name="AutoShape 5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>
          <a:spLocks noChangeArrowheads="1"/>
        </xdr:cNvSpPr>
      </xdr:nvSpPr>
      <xdr:spPr bwMode="auto">
        <a:xfrm>
          <a:off x="0" y="25343644"/>
          <a:ext cx="3400" cy="3929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0" name="AutoShape 5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1" name="AutoShape 5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2" name="AutoShape 5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119</xdr:row>
      <xdr:rowOff>7144</xdr:rowOff>
    </xdr:from>
    <xdr:to>
      <xdr:col>0</xdr:col>
      <xdr:colOff>3400</xdr:colOff>
      <xdr:row>120</xdr:row>
      <xdr:rowOff>190500</xdr:rowOff>
    </xdr:to>
    <xdr:sp macro="" textlink="">
      <xdr:nvSpPr>
        <xdr:cNvPr id="293" name="AutoShape 5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>
          <a:spLocks noChangeArrowheads="1"/>
        </xdr:cNvSpPr>
      </xdr:nvSpPr>
      <xdr:spPr bwMode="auto">
        <a:xfrm>
          <a:off x="0" y="2555319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4" name="AutoShape 5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5" name="AutoShape 5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6" name="AutoShape 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120</xdr:row>
      <xdr:rowOff>7144</xdr:rowOff>
    </xdr:from>
    <xdr:to>
      <xdr:col>0</xdr:col>
      <xdr:colOff>3400</xdr:colOff>
      <xdr:row>121</xdr:row>
      <xdr:rowOff>190500</xdr:rowOff>
    </xdr:to>
    <xdr:sp macro="" textlink="">
      <xdr:nvSpPr>
        <xdr:cNvPr id="297" name="AutoShape 5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>
          <a:spLocks noChangeArrowheads="1"/>
        </xdr:cNvSpPr>
      </xdr:nvSpPr>
      <xdr:spPr bwMode="auto">
        <a:xfrm>
          <a:off x="0" y="25753219"/>
          <a:ext cx="3400" cy="37385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8" name="AutoShape 5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299" name="AutoShape 5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0" name="AutoShape 5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121</xdr:row>
      <xdr:rowOff>7144</xdr:rowOff>
    </xdr:from>
    <xdr:to>
      <xdr:col>0</xdr:col>
      <xdr:colOff>3400</xdr:colOff>
      <xdr:row>137</xdr:row>
      <xdr:rowOff>190500</xdr:rowOff>
    </xdr:to>
    <xdr:sp macro="" textlink="">
      <xdr:nvSpPr>
        <xdr:cNvPr id="301" name="AutoShape 5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>
          <a:spLocks noChangeArrowheads="1"/>
        </xdr:cNvSpPr>
      </xdr:nvSpPr>
      <xdr:spPr bwMode="auto">
        <a:xfrm>
          <a:off x="0" y="25943719"/>
          <a:ext cx="3400" cy="35933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75</xdr:row>
      <xdr:rowOff>0</xdr:rowOff>
    </xdr:from>
    <xdr:to>
      <xdr:col>19</xdr:col>
      <xdr:colOff>263191</xdr:colOff>
      <xdr:row>75</xdr:row>
      <xdr:rowOff>213059</xdr:rowOff>
    </xdr:to>
    <xdr:cxnSp macro="">
      <xdr:nvCxnSpPr>
        <xdr:cNvPr id="3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116</xdr:row>
      <xdr:rowOff>79375</xdr:rowOff>
    </xdr:from>
    <xdr:to>
      <xdr:col>9</xdr:col>
      <xdr:colOff>560717</xdr:colOff>
      <xdr:row>120</xdr:row>
      <xdr:rowOff>151249</xdr:rowOff>
    </xdr:to>
    <xdr:grpSp>
      <xdr:nvGrpSpPr>
        <xdr:cNvPr id="303" name="Group 2201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GrpSpPr>
          <a:grpSpLocks/>
        </xdr:cNvGrpSpPr>
      </xdr:nvGrpSpPr>
      <xdr:grpSpPr bwMode="auto">
        <a:xfrm>
          <a:off x="6912429" y="25071161"/>
          <a:ext cx="179717" cy="873183"/>
          <a:chOff x="752" y="1573"/>
          <a:chExt cx="16" cy="53"/>
        </a:xfrm>
      </xdr:grpSpPr>
      <xdr:sp macro="" textlink="">
        <xdr:nvSpPr>
          <xdr:cNvPr id="304" name="Line 2202">
            <a:extLst>
              <a:ext uri="{FF2B5EF4-FFF2-40B4-BE49-F238E27FC236}">
                <a16:creationId xmlns:a16="http://schemas.microsoft.com/office/drawing/2014/main" id="{00000000-0008-0000-0800-00005C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5" name="Line 2203">
            <a:extLst>
              <a:ext uri="{FF2B5EF4-FFF2-40B4-BE49-F238E27FC236}">
                <a16:creationId xmlns:a16="http://schemas.microsoft.com/office/drawing/2014/main" id="{00000000-0008-0000-0800-00005D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6" name="Line 2204">
            <a:extLst>
              <a:ext uri="{FF2B5EF4-FFF2-40B4-BE49-F238E27FC236}">
                <a16:creationId xmlns:a16="http://schemas.microsoft.com/office/drawing/2014/main" id="{00000000-0008-0000-0800-00005E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61" y="1573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17</xdr:col>
      <xdr:colOff>0</xdr:colOff>
      <xdr:row>75</xdr:row>
      <xdr:rowOff>0</xdr:rowOff>
    </xdr:from>
    <xdr:to>
      <xdr:col>17</xdr:col>
      <xdr:colOff>263191</xdr:colOff>
      <xdr:row>75</xdr:row>
      <xdr:rowOff>213059</xdr:rowOff>
    </xdr:to>
    <xdr:cxnSp macro="">
      <xdr:nvCxnSpPr>
        <xdr:cNvPr id="307" name="Elbow Connector 55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CxnSpPr/>
      </xdr:nvCxnSpPr>
      <xdr:spPr>
        <a:xfrm>
          <a:off x="1265872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71</xdr:row>
      <xdr:rowOff>0</xdr:rowOff>
    </xdr:from>
    <xdr:to>
      <xdr:col>13</xdr:col>
      <xdr:colOff>0</xdr:colOff>
      <xdr:row>73</xdr:row>
      <xdr:rowOff>2724</xdr:rowOff>
    </xdr:to>
    <xdr:sp macro="" textlink="">
      <xdr:nvSpPr>
        <xdr:cNvPr id="308" name="AutoShape 17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>
          <a:spLocks noChangeArrowheads="1"/>
        </xdr:cNvSpPr>
      </xdr:nvSpPr>
      <xdr:spPr bwMode="auto">
        <a:xfrm>
          <a:off x="8534400" y="151638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57</xdr:row>
      <xdr:rowOff>174625</xdr:rowOff>
    </xdr:from>
    <xdr:to>
      <xdr:col>3</xdr:col>
      <xdr:colOff>263191</xdr:colOff>
      <xdr:row>58</xdr:row>
      <xdr:rowOff>186601</xdr:rowOff>
    </xdr:to>
    <xdr:cxnSp macro="">
      <xdr:nvCxnSpPr>
        <xdr:cNvPr id="309" name="Elbow Connector 55">
          <a:extLst>
            <a:ext uri="{FF2B5EF4-FFF2-40B4-BE49-F238E27FC236}">
              <a16:creationId xmlns:a16="http://schemas.microsoft.com/office/drawing/2014/main" id="{24546C15-E835-49E7-8A82-3F1AE6E5594C}"/>
            </a:ext>
          </a:extLst>
        </xdr:cNvPr>
        <xdr:cNvCxnSpPr/>
      </xdr:nvCxnSpPr>
      <xdr:spPr>
        <a:xfrm>
          <a:off x="2000250" y="1251902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75</xdr:row>
      <xdr:rowOff>0</xdr:rowOff>
    </xdr:from>
    <xdr:to>
      <xdr:col>7</xdr:col>
      <xdr:colOff>263191</xdr:colOff>
      <xdr:row>75</xdr:row>
      <xdr:rowOff>213059</xdr:rowOff>
    </xdr:to>
    <xdr:cxnSp macro="">
      <xdr:nvCxnSpPr>
        <xdr:cNvPr id="310" name="Elbow Connector 55">
          <a:extLst>
            <a:ext uri="{FF2B5EF4-FFF2-40B4-BE49-F238E27FC236}">
              <a16:creationId xmlns:a16="http://schemas.microsoft.com/office/drawing/2014/main" id="{B92B7F77-CF16-4D44-A7A0-959EEE1E1E51}"/>
            </a:ext>
          </a:extLst>
        </xdr:cNvPr>
        <xdr:cNvCxnSpPr/>
      </xdr:nvCxnSpPr>
      <xdr:spPr>
        <a:xfrm>
          <a:off x="529590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57</xdr:row>
      <xdr:rowOff>142875</xdr:rowOff>
    </xdr:from>
    <xdr:to>
      <xdr:col>9</xdr:col>
      <xdr:colOff>263191</xdr:colOff>
      <xdr:row>58</xdr:row>
      <xdr:rowOff>154851</xdr:rowOff>
    </xdr:to>
    <xdr:cxnSp macro="">
      <xdr:nvCxnSpPr>
        <xdr:cNvPr id="31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2487275"/>
          <a:ext cx="263191" cy="2120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15875</xdr:colOff>
      <xdr:row>75</xdr:row>
      <xdr:rowOff>0</xdr:rowOff>
    </xdr:from>
    <xdr:to>
      <xdr:col>15</xdr:col>
      <xdr:colOff>279066</xdr:colOff>
      <xdr:row>75</xdr:row>
      <xdr:rowOff>213059</xdr:rowOff>
    </xdr:to>
    <xdr:cxnSp macro="">
      <xdr:nvCxnSpPr>
        <xdr:cNvPr id="312" name="Elbow Connector 55">
          <a:extLst>
            <a:ext uri="{FF2B5EF4-FFF2-40B4-BE49-F238E27FC236}">
              <a16:creationId xmlns:a16="http://schemas.microsoft.com/office/drawing/2014/main" id="{6ABF2032-C6A9-4194-97D9-AEACCFEC0A10}"/>
            </a:ext>
          </a:extLst>
        </xdr:cNvPr>
        <xdr:cNvCxnSpPr/>
      </xdr:nvCxnSpPr>
      <xdr:spPr>
        <a:xfrm>
          <a:off x="11217275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50</xdr:row>
      <xdr:rowOff>0</xdr:rowOff>
    </xdr:from>
    <xdr:to>
      <xdr:col>21</xdr:col>
      <xdr:colOff>263191</xdr:colOff>
      <xdr:row>51</xdr:row>
      <xdr:rowOff>27851</xdr:rowOff>
    </xdr:to>
    <xdr:cxnSp macro="">
      <xdr:nvCxnSpPr>
        <xdr:cNvPr id="31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58</xdr:row>
      <xdr:rowOff>0</xdr:rowOff>
    </xdr:from>
    <xdr:to>
      <xdr:col>5</xdr:col>
      <xdr:colOff>263191</xdr:colOff>
      <xdr:row>59</xdr:row>
      <xdr:rowOff>27851</xdr:rowOff>
    </xdr:to>
    <xdr:cxnSp macro="">
      <xdr:nvCxnSpPr>
        <xdr:cNvPr id="3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58</xdr:row>
      <xdr:rowOff>0</xdr:rowOff>
    </xdr:from>
    <xdr:to>
      <xdr:col>7</xdr:col>
      <xdr:colOff>263191</xdr:colOff>
      <xdr:row>59</xdr:row>
      <xdr:rowOff>27851</xdr:rowOff>
    </xdr:to>
    <xdr:cxnSp macro="">
      <xdr:nvCxnSpPr>
        <xdr:cNvPr id="3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714375</xdr:colOff>
      <xdr:row>75</xdr:row>
      <xdr:rowOff>0</xdr:rowOff>
    </xdr:from>
    <xdr:to>
      <xdr:col>9</xdr:col>
      <xdr:colOff>247316</xdr:colOff>
      <xdr:row>75</xdr:row>
      <xdr:rowOff>218351</xdr:rowOff>
    </xdr:to>
    <xdr:cxnSp macro="">
      <xdr:nvCxnSpPr>
        <xdr:cNvPr id="3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16059150"/>
          <a:ext cx="25684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587375</xdr:colOff>
      <xdr:row>75</xdr:row>
      <xdr:rowOff>0</xdr:rowOff>
    </xdr:from>
    <xdr:to>
      <xdr:col>11</xdr:col>
      <xdr:colOff>247316</xdr:colOff>
      <xdr:row>75</xdr:row>
      <xdr:rowOff>218351</xdr:rowOff>
    </xdr:to>
    <xdr:cxnSp macro="">
      <xdr:nvCxnSpPr>
        <xdr:cNvPr id="31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731125" y="16059150"/>
          <a:ext cx="4409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15875</xdr:colOff>
      <xdr:row>74</xdr:row>
      <xdr:rowOff>317500</xdr:rowOff>
    </xdr:from>
    <xdr:to>
      <xdr:col>13</xdr:col>
      <xdr:colOff>279066</xdr:colOff>
      <xdr:row>75</xdr:row>
      <xdr:rowOff>202476</xdr:rowOff>
    </xdr:to>
    <xdr:cxnSp macro="">
      <xdr:nvCxnSpPr>
        <xdr:cNvPr id="318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40850" y="160432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75</xdr:row>
      <xdr:rowOff>0</xdr:rowOff>
    </xdr:from>
    <xdr:to>
      <xdr:col>21</xdr:col>
      <xdr:colOff>263191</xdr:colOff>
      <xdr:row>75</xdr:row>
      <xdr:rowOff>213059</xdr:rowOff>
    </xdr:to>
    <xdr:cxnSp macro="">
      <xdr:nvCxnSpPr>
        <xdr:cNvPr id="3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16059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83</xdr:row>
      <xdr:rowOff>0</xdr:rowOff>
    </xdr:from>
    <xdr:to>
      <xdr:col>3</xdr:col>
      <xdr:colOff>263191</xdr:colOff>
      <xdr:row>83</xdr:row>
      <xdr:rowOff>213059</xdr:rowOff>
    </xdr:to>
    <xdr:cxnSp macro="">
      <xdr:nvCxnSpPr>
        <xdr:cNvPr id="3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7859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66</xdr:row>
      <xdr:rowOff>0</xdr:rowOff>
    </xdr:from>
    <xdr:to>
      <xdr:col>19</xdr:col>
      <xdr:colOff>263191</xdr:colOff>
      <xdr:row>67</xdr:row>
      <xdr:rowOff>22559</xdr:rowOff>
    </xdr:to>
    <xdr:cxnSp macro="">
      <xdr:nvCxnSpPr>
        <xdr:cNvPr id="3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151</xdr:row>
      <xdr:rowOff>0</xdr:rowOff>
    </xdr:from>
    <xdr:to>
      <xdr:col>15</xdr:col>
      <xdr:colOff>263191</xdr:colOff>
      <xdr:row>152</xdr:row>
      <xdr:rowOff>22559</xdr:rowOff>
    </xdr:to>
    <xdr:cxnSp macro="">
      <xdr:nvCxnSpPr>
        <xdr:cNvPr id="32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135</xdr:row>
      <xdr:rowOff>0</xdr:rowOff>
    </xdr:from>
    <xdr:to>
      <xdr:col>11</xdr:col>
      <xdr:colOff>263191</xdr:colOff>
      <xdr:row>136</xdr:row>
      <xdr:rowOff>22559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24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2869</xdr:colOff>
      <xdr:row>123</xdr:row>
      <xdr:rowOff>-1</xdr:rowOff>
    </xdr:from>
    <xdr:to>
      <xdr:col>13</xdr:col>
      <xdr:colOff>-1</xdr:colOff>
      <xdr:row>124</xdr:row>
      <xdr:rowOff>200025</xdr:rowOff>
    </xdr:to>
    <xdr:sp macro="" textlink="">
      <xdr:nvSpPr>
        <xdr:cNvPr id="325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8537269" y="26612849"/>
          <a:ext cx="787705" cy="38100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14045</xdr:colOff>
      <xdr:row>123</xdr:row>
      <xdr:rowOff>35718</xdr:rowOff>
    </xdr:from>
    <xdr:to>
      <xdr:col>21</xdr:col>
      <xdr:colOff>15363</xdr:colOff>
      <xdr:row>125</xdr:row>
      <xdr:rowOff>15362</xdr:rowOff>
    </xdr:to>
    <xdr:sp macro="" textlink="">
      <xdr:nvSpPr>
        <xdr:cNvPr id="326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4653970" y="26648568"/>
          <a:ext cx="849043" cy="36064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5111</xdr:colOff>
      <xdr:row>123</xdr:row>
      <xdr:rowOff>23811</xdr:rowOff>
    </xdr:from>
    <xdr:to>
      <xdr:col>9</xdr:col>
      <xdr:colOff>12336</xdr:colOff>
      <xdr:row>124</xdr:row>
      <xdr:rowOff>198874</xdr:rowOff>
    </xdr:to>
    <xdr:sp macro="" textlink="">
      <xdr:nvSpPr>
        <xdr:cNvPr id="327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5815361" y="26636661"/>
          <a:ext cx="731125" cy="3560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2381</xdr:colOff>
      <xdr:row>122</xdr:row>
      <xdr:rowOff>476250</xdr:rowOff>
    </xdr:from>
    <xdr:to>
      <xdr:col>11</xdr:col>
      <xdr:colOff>9524</xdr:colOff>
      <xdr:row>125</xdr:row>
      <xdr:rowOff>2197</xdr:rowOff>
    </xdr:to>
    <xdr:sp macro="" textlink="">
      <xdr:nvSpPr>
        <xdr:cNvPr id="328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7146131" y="26603325"/>
          <a:ext cx="788193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131</xdr:row>
      <xdr:rowOff>27253</xdr:rowOff>
    </xdr:from>
    <xdr:to>
      <xdr:col>7</xdr:col>
      <xdr:colOff>9525</xdr:colOff>
      <xdr:row>133</xdr:row>
      <xdr:rowOff>6143</xdr:rowOff>
    </xdr:to>
    <xdr:sp macro="" textlink="">
      <xdr:nvSpPr>
        <xdr:cNvPr id="32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8230778"/>
          <a:ext cx="1009650" cy="369415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5254</xdr:colOff>
      <xdr:row>131</xdr:row>
      <xdr:rowOff>41843</xdr:rowOff>
    </xdr:from>
    <xdr:to>
      <xdr:col>3</xdr:col>
      <xdr:colOff>1</xdr:colOff>
      <xdr:row>133</xdr:row>
      <xdr:rowOff>0</xdr:rowOff>
    </xdr:to>
    <xdr:sp macro="" textlink="">
      <xdr:nvSpPr>
        <xdr:cNvPr id="330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281604" y="28245368"/>
          <a:ext cx="718647" cy="348682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1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2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131</xdr:row>
      <xdr:rowOff>7144</xdr:rowOff>
    </xdr:from>
    <xdr:to>
      <xdr:col>0</xdr:col>
      <xdr:colOff>3400</xdr:colOff>
      <xdr:row>132</xdr:row>
      <xdr:rowOff>190500</xdr:rowOff>
    </xdr:to>
    <xdr:sp macro="" textlink="">
      <xdr:nvSpPr>
        <xdr:cNvPr id="333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82106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131</xdr:row>
      <xdr:rowOff>0</xdr:rowOff>
    </xdr:from>
    <xdr:to>
      <xdr:col>5</xdr:col>
      <xdr:colOff>11906</xdr:colOff>
      <xdr:row>133</xdr:row>
      <xdr:rowOff>0</xdr:rowOff>
    </xdr:to>
    <xdr:sp macro="" textlink="">
      <xdr:nvSpPr>
        <xdr:cNvPr id="334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8203525"/>
          <a:ext cx="1145381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</xdr:colOff>
      <xdr:row>122</xdr:row>
      <xdr:rowOff>460375</xdr:rowOff>
    </xdr:from>
    <xdr:to>
      <xdr:col>17</xdr:col>
      <xdr:colOff>1</xdr:colOff>
      <xdr:row>125</xdr:row>
      <xdr:rowOff>2724</xdr:rowOff>
    </xdr:to>
    <xdr:sp macro="" textlink="">
      <xdr:nvSpPr>
        <xdr:cNvPr id="335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11887201" y="26587450"/>
          <a:ext cx="771525" cy="40912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122</xdr:row>
      <xdr:rowOff>428625</xdr:rowOff>
    </xdr:from>
    <xdr:to>
      <xdr:col>15</xdr:col>
      <xdr:colOff>35943</xdr:colOff>
      <xdr:row>125</xdr:row>
      <xdr:rowOff>0</xdr:rowOff>
    </xdr:to>
    <xdr:sp macro="" textlink="">
      <xdr:nvSpPr>
        <xdr:cNvPr id="336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10429875" y="26555700"/>
          <a:ext cx="807468" cy="4381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123</xdr:row>
      <xdr:rowOff>23810</xdr:rowOff>
    </xdr:from>
    <xdr:to>
      <xdr:col>19</xdr:col>
      <xdr:colOff>11907</xdr:colOff>
      <xdr:row>125</xdr:row>
      <xdr:rowOff>15614</xdr:rowOff>
    </xdr:to>
    <xdr:sp macro="" textlink="">
      <xdr:nvSpPr>
        <xdr:cNvPr id="337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13268325" y="26636660"/>
          <a:ext cx="773907" cy="372804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127</xdr:row>
      <xdr:rowOff>0</xdr:rowOff>
    </xdr:from>
    <xdr:to>
      <xdr:col>19</xdr:col>
      <xdr:colOff>263191</xdr:colOff>
      <xdr:row>128</xdr:row>
      <xdr:rowOff>22559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127</xdr:row>
      <xdr:rowOff>0</xdr:rowOff>
    </xdr:from>
    <xdr:to>
      <xdr:col>17</xdr:col>
      <xdr:colOff>263191</xdr:colOff>
      <xdr:row>128</xdr:row>
      <xdr:rowOff>22559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0" name="AutoShape 5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108</xdr:row>
      <xdr:rowOff>31750</xdr:rowOff>
    </xdr:from>
    <xdr:to>
      <xdr:col>6</xdr:col>
      <xdr:colOff>984250</xdr:colOff>
      <xdr:row>109</xdr:row>
      <xdr:rowOff>190499</xdr:rowOff>
    </xdr:to>
    <xdr:sp macro="" textlink="">
      <xdr:nvSpPr>
        <xdr:cNvPr id="341" name="AutoShape 1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>
          <a:spLocks noChangeArrowheads="1"/>
        </xdr:cNvSpPr>
      </xdr:nvSpPr>
      <xdr:spPr bwMode="auto">
        <a:xfrm>
          <a:off x="4289119" y="23272750"/>
          <a:ext cx="981381" cy="36512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108</xdr:row>
      <xdr:rowOff>31750</xdr:rowOff>
    </xdr:from>
    <xdr:to>
      <xdr:col>15</xdr:col>
      <xdr:colOff>15363</xdr:colOff>
      <xdr:row>110</xdr:row>
      <xdr:rowOff>15363</xdr:rowOff>
    </xdr:to>
    <xdr:sp macro="" textlink="">
      <xdr:nvSpPr>
        <xdr:cNvPr id="342" name="AutoShape 15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>
          <a:spLocks noChangeArrowheads="1"/>
        </xdr:cNvSpPr>
      </xdr:nvSpPr>
      <xdr:spPr bwMode="auto">
        <a:xfrm>
          <a:off x="10443920" y="23263225"/>
          <a:ext cx="772843" cy="37413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108</xdr:row>
      <xdr:rowOff>63500</xdr:rowOff>
    </xdr:from>
    <xdr:to>
      <xdr:col>3</xdr:col>
      <xdr:colOff>12336</xdr:colOff>
      <xdr:row>109</xdr:row>
      <xdr:rowOff>189349</xdr:rowOff>
    </xdr:to>
    <xdr:sp macro="" textlink="">
      <xdr:nvSpPr>
        <xdr:cNvPr id="343" name="AutoShape 17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>
          <a:spLocks noChangeArrowheads="1"/>
        </xdr:cNvSpPr>
      </xdr:nvSpPr>
      <xdr:spPr bwMode="auto">
        <a:xfrm>
          <a:off x="1281461" y="23294975"/>
          <a:ext cx="731125" cy="3258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108</xdr:row>
      <xdr:rowOff>0</xdr:rowOff>
    </xdr:from>
    <xdr:to>
      <xdr:col>5</xdr:col>
      <xdr:colOff>9524</xdr:colOff>
      <xdr:row>110</xdr:row>
      <xdr:rowOff>2197</xdr:rowOff>
    </xdr:to>
    <xdr:sp macro="" textlink="">
      <xdr:nvSpPr>
        <xdr:cNvPr id="344" name="AutoShape 17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>
          <a:spLocks noChangeArrowheads="1"/>
        </xdr:cNvSpPr>
      </xdr:nvSpPr>
      <xdr:spPr bwMode="auto">
        <a:xfrm>
          <a:off x="2612231" y="23231475"/>
          <a:ext cx="1140618" cy="39272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108</xdr:row>
      <xdr:rowOff>27253</xdr:rowOff>
    </xdr:from>
    <xdr:to>
      <xdr:col>21</xdr:col>
      <xdr:colOff>9525</xdr:colOff>
      <xdr:row>110</xdr:row>
      <xdr:rowOff>6143</xdr:rowOff>
    </xdr:to>
    <xdr:sp macro="" textlink="">
      <xdr:nvSpPr>
        <xdr:cNvPr id="34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32587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108</xdr:row>
      <xdr:rowOff>41843</xdr:rowOff>
    </xdr:from>
    <xdr:to>
      <xdr:col>17</xdr:col>
      <xdr:colOff>1</xdr:colOff>
      <xdr:row>110</xdr:row>
      <xdr:rowOff>0</xdr:rowOff>
    </xdr:to>
    <xdr:sp macro="" textlink="">
      <xdr:nvSpPr>
        <xdr:cNvPr id="346" name="AutoShape 2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>
          <a:spLocks noChangeArrowheads="1"/>
        </xdr:cNvSpPr>
      </xdr:nvSpPr>
      <xdr:spPr bwMode="auto">
        <a:xfrm>
          <a:off x="11892454" y="23273318"/>
          <a:ext cx="766272" cy="34868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7" name="AutoShape 5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8" name="AutoShape 5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49" name="AutoShape 5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11906</xdr:colOff>
      <xdr:row>110</xdr:row>
      <xdr:rowOff>0</xdr:rowOff>
    </xdr:to>
    <xdr:sp macro="" textlink="">
      <xdr:nvSpPr>
        <xdr:cNvPr id="35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32314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108</xdr:row>
      <xdr:rowOff>15875</xdr:rowOff>
    </xdr:from>
    <xdr:to>
      <xdr:col>11</xdr:col>
      <xdr:colOff>1</xdr:colOff>
      <xdr:row>110</xdr:row>
      <xdr:rowOff>2724</xdr:rowOff>
    </xdr:to>
    <xdr:sp macro="" textlink="">
      <xdr:nvSpPr>
        <xdr:cNvPr id="351" name="AutoShape 17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>
          <a:spLocks noChangeArrowheads="1"/>
        </xdr:cNvSpPr>
      </xdr:nvSpPr>
      <xdr:spPr bwMode="auto">
        <a:xfrm>
          <a:off x="7143751" y="23247350"/>
          <a:ext cx="781050" cy="37737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108</xdr:row>
      <xdr:rowOff>0</xdr:rowOff>
    </xdr:from>
    <xdr:to>
      <xdr:col>9</xdr:col>
      <xdr:colOff>35943</xdr:colOff>
      <xdr:row>110</xdr:row>
      <xdr:rowOff>0</xdr:rowOff>
    </xdr:to>
    <xdr:sp macro="" textlink="">
      <xdr:nvSpPr>
        <xdr:cNvPr id="352" name="AutoShape 11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>
          <a:spLocks noChangeArrowheads="1"/>
        </xdr:cNvSpPr>
      </xdr:nvSpPr>
      <xdr:spPr bwMode="auto">
        <a:xfrm>
          <a:off x="5810250" y="23231475"/>
          <a:ext cx="759843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108</xdr:row>
      <xdr:rowOff>15876</xdr:rowOff>
    </xdr:from>
    <xdr:to>
      <xdr:col>13</xdr:col>
      <xdr:colOff>11907</xdr:colOff>
      <xdr:row>110</xdr:row>
      <xdr:rowOff>15615</xdr:rowOff>
    </xdr:to>
    <xdr:sp macro="" textlink="">
      <xdr:nvSpPr>
        <xdr:cNvPr id="353" name="AutoShape 17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>
          <a:spLocks noChangeArrowheads="1"/>
        </xdr:cNvSpPr>
      </xdr:nvSpPr>
      <xdr:spPr bwMode="auto">
        <a:xfrm>
          <a:off x="8534400" y="23247351"/>
          <a:ext cx="802482" cy="39026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116</xdr:row>
      <xdr:rowOff>15875</xdr:rowOff>
    </xdr:from>
    <xdr:to>
      <xdr:col>14</xdr:col>
      <xdr:colOff>775738</xdr:colOff>
      <xdr:row>118</xdr:row>
      <xdr:rowOff>2663</xdr:rowOff>
    </xdr:to>
    <xdr:sp macro="" textlink="">
      <xdr:nvSpPr>
        <xdr:cNvPr id="354" name="AutoShape 15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>
          <a:spLocks noChangeArrowheads="1"/>
        </xdr:cNvSpPr>
      </xdr:nvSpPr>
      <xdr:spPr bwMode="auto">
        <a:xfrm>
          <a:off x="10429875" y="24961850"/>
          <a:ext cx="775738" cy="377313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5" name="AutoShap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6" name="AutoShape 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7" name="AutoShape 5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108</xdr:row>
      <xdr:rowOff>7144</xdr:rowOff>
    </xdr:from>
    <xdr:to>
      <xdr:col>0</xdr:col>
      <xdr:colOff>3400</xdr:colOff>
      <xdr:row>109</xdr:row>
      <xdr:rowOff>190500</xdr:rowOff>
    </xdr:to>
    <xdr:sp macro="" textlink="">
      <xdr:nvSpPr>
        <xdr:cNvPr id="358" name="AutoShape 5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>
          <a:spLocks noChangeArrowheads="1"/>
        </xdr:cNvSpPr>
      </xdr:nvSpPr>
      <xdr:spPr bwMode="auto">
        <a:xfrm>
          <a:off x="0" y="232386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116</xdr:row>
      <xdr:rowOff>27253</xdr:rowOff>
    </xdr:from>
    <xdr:to>
      <xdr:col>21</xdr:col>
      <xdr:colOff>9525</xdr:colOff>
      <xdr:row>118</xdr:row>
      <xdr:rowOff>6143</xdr:rowOff>
    </xdr:to>
    <xdr:sp macro="" textlink="">
      <xdr:nvSpPr>
        <xdr:cNvPr id="359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14639925" y="24973228"/>
          <a:ext cx="857250" cy="36941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11906</xdr:colOff>
      <xdr:row>118</xdr:row>
      <xdr:rowOff>0</xdr:rowOff>
    </xdr:to>
    <xdr:sp macro="" textlink="">
      <xdr:nvSpPr>
        <xdr:cNvPr id="360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3268325" y="24945975"/>
          <a:ext cx="773906" cy="39052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11906</xdr:colOff>
      <xdr:row>125</xdr:row>
      <xdr:rowOff>0</xdr:rowOff>
    </xdr:to>
    <xdr:sp macro="" textlink="">
      <xdr:nvSpPr>
        <xdr:cNvPr id="361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6128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11906</xdr:colOff>
      <xdr:row>126</xdr:row>
      <xdr:rowOff>0</xdr:rowOff>
    </xdr:to>
    <xdr:sp macro="" textlink="">
      <xdr:nvSpPr>
        <xdr:cNvPr id="362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803350"/>
          <a:ext cx="119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11906</xdr:colOff>
      <xdr:row>127</xdr:row>
      <xdr:rowOff>0</xdr:rowOff>
    </xdr:to>
    <xdr:sp macro="" textlink="">
      <xdr:nvSpPr>
        <xdr:cNvPr id="363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69938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11906</xdr:colOff>
      <xdr:row>128</xdr:row>
      <xdr:rowOff>0</xdr:rowOff>
    </xdr:to>
    <xdr:sp macro="" textlink="">
      <xdr:nvSpPr>
        <xdr:cNvPr id="364" name="AutoShape 20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>
          <a:spLocks noChangeArrowheads="1"/>
        </xdr:cNvSpPr>
      </xdr:nvSpPr>
      <xdr:spPr bwMode="auto">
        <a:xfrm>
          <a:off x="0" y="27184350"/>
          <a:ext cx="11906" cy="4191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27253</xdr:rowOff>
    </xdr:from>
    <xdr:to>
      <xdr:col>5</xdr:col>
      <xdr:colOff>9525</xdr:colOff>
      <xdr:row>125</xdr:row>
      <xdr:rowOff>6143</xdr:rowOff>
    </xdr:to>
    <xdr:sp macro="" textlink="">
      <xdr:nvSpPr>
        <xdr:cNvPr id="365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2609850" y="26640103"/>
          <a:ext cx="1143000" cy="35989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123</xdr:row>
      <xdr:rowOff>0</xdr:rowOff>
    </xdr:from>
    <xdr:to>
      <xdr:col>3</xdr:col>
      <xdr:colOff>11906</xdr:colOff>
      <xdr:row>125</xdr:row>
      <xdr:rowOff>0</xdr:rowOff>
    </xdr:to>
    <xdr:sp macro="" textlink="">
      <xdr:nvSpPr>
        <xdr:cNvPr id="366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1276350" y="26612850"/>
          <a:ext cx="735806" cy="38100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123</xdr:row>
      <xdr:rowOff>27253</xdr:rowOff>
    </xdr:from>
    <xdr:to>
      <xdr:col>7</xdr:col>
      <xdr:colOff>9525</xdr:colOff>
      <xdr:row>125</xdr:row>
      <xdr:rowOff>6143</xdr:rowOff>
    </xdr:to>
    <xdr:sp macro="" textlink="">
      <xdr:nvSpPr>
        <xdr:cNvPr id="367" name="AutoShape 20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>
          <a:spLocks noChangeArrowheads="1"/>
        </xdr:cNvSpPr>
      </xdr:nvSpPr>
      <xdr:spPr bwMode="auto">
        <a:xfrm>
          <a:off x="4295775" y="26640103"/>
          <a:ext cx="1009650" cy="35989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123</xdr:row>
      <xdr:rowOff>0</xdr:rowOff>
    </xdr:from>
    <xdr:to>
      <xdr:col>5</xdr:col>
      <xdr:colOff>11906</xdr:colOff>
      <xdr:row>125</xdr:row>
      <xdr:rowOff>0</xdr:rowOff>
    </xdr:to>
    <xdr:sp macro="" textlink="">
      <xdr:nvSpPr>
        <xdr:cNvPr id="368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2609850" y="26612850"/>
          <a:ext cx="1145381" cy="3810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2869</xdr:colOff>
      <xdr:row>139</xdr:row>
      <xdr:rowOff>-1</xdr:rowOff>
    </xdr:from>
    <xdr:to>
      <xdr:col>9</xdr:col>
      <xdr:colOff>-1</xdr:colOff>
      <xdr:row>140</xdr:row>
      <xdr:rowOff>200025</xdr:rowOff>
    </xdr:to>
    <xdr:sp macro="" textlink="">
      <xdr:nvSpPr>
        <xdr:cNvPr id="369" name="AutoShape 11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>
          <a:spLocks noChangeArrowheads="1"/>
        </xdr:cNvSpPr>
      </xdr:nvSpPr>
      <xdr:spPr bwMode="auto">
        <a:xfrm>
          <a:off x="5813119" y="29756099"/>
          <a:ext cx="721030" cy="390526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14045</xdr:colOff>
      <xdr:row>139</xdr:row>
      <xdr:rowOff>35718</xdr:rowOff>
    </xdr:from>
    <xdr:to>
      <xdr:col>17</xdr:col>
      <xdr:colOff>15363</xdr:colOff>
      <xdr:row>141</xdr:row>
      <xdr:rowOff>15362</xdr:rowOff>
    </xdr:to>
    <xdr:sp macro="" textlink="">
      <xdr:nvSpPr>
        <xdr:cNvPr id="370" name="AutoShape 15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>
          <a:spLocks noChangeArrowheads="1"/>
        </xdr:cNvSpPr>
      </xdr:nvSpPr>
      <xdr:spPr bwMode="auto">
        <a:xfrm>
          <a:off x="11901245" y="29791818"/>
          <a:ext cx="772843" cy="37016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31751</xdr:colOff>
      <xdr:row>139</xdr:row>
      <xdr:rowOff>0</xdr:rowOff>
    </xdr:from>
    <xdr:to>
      <xdr:col>13</xdr:col>
      <xdr:colOff>31751</xdr:colOff>
      <xdr:row>141</xdr:row>
      <xdr:rowOff>2724</xdr:rowOff>
    </xdr:to>
    <xdr:sp macro="" textlink="">
      <xdr:nvSpPr>
        <xdr:cNvPr id="371" name="AutoShape 17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>
          <a:spLocks noChangeArrowheads="1"/>
        </xdr:cNvSpPr>
      </xdr:nvSpPr>
      <xdr:spPr bwMode="auto">
        <a:xfrm>
          <a:off x="8566151" y="29756100"/>
          <a:ext cx="790575" cy="39324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593066</xdr:colOff>
      <xdr:row>139</xdr:row>
      <xdr:rowOff>7325</xdr:rowOff>
    </xdr:from>
    <xdr:to>
      <xdr:col>11</xdr:col>
      <xdr:colOff>17971</xdr:colOff>
      <xdr:row>141</xdr:row>
      <xdr:rowOff>0</xdr:rowOff>
    </xdr:to>
    <xdr:sp macro="" textlink="">
      <xdr:nvSpPr>
        <xdr:cNvPr id="372" name="AutoShape 11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>
          <a:spLocks noChangeArrowheads="1"/>
        </xdr:cNvSpPr>
      </xdr:nvSpPr>
      <xdr:spPr bwMode="auto">
        <a:xfrm>
          <a:off x="7127216" y="29763425"/>
          <a:ext cx="815555" cy="38320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139</xdr:row>
      <xdr:rowOff>23810</xdr:rowOff>
    </xdr:from>
    <xdr:to>
      <xdr:col>15</xdr:col>
      <xdr:colOff>11907</xdr:colOff>
      <xdr:row>141</xdr:row>
      <xdr:rowOff>15614</xdr:rowOff>
    </xdr:to>
    <xdr:sp macro="" textlink="">
      <xdr:nvSpPr>
        <xdr:cNvPr id="373" name="AutoShape 17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>
          <a:spLocks noChangeArrowheads="1"/>
        </xdr:cNvSpPr>
      </xdr:nvSpPr>
      <xdr:spPr bwMode="auto">
        <a:xfrm>
          <a:off x="10429875" y="29779910"/>
          <a:ext cx="783432" cy="3823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116</xdr:row>
      <xdr:rowOff>47625</xdr:rowOff>
    </xdr:from>
    <xdr:to>
      <xdr:col>19</xdr:col>
      <xdr:colOff>107161</xdr:colOff>
      <xdr:row>121</xdr:row>
      <xdr:rowOff>112023</xdr:rowOff>
    </xdr:to>
    <xdr:cxnSp macro="">
      <xdr:nvCxnSpPr>
        <xdr:cNvPr id="374" name="AutoShape 381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3556407" y="25467518"/>
          <a:ext cx="1054998" cy="107161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0</xdr:colOff>
      <xdr:row>50</xdr:row>
      <xdr:rowOff>0</xdr:rowOff>
    </xdr:from>
    <xdr:to>
      <xdr:col>19</xdr:col>
      <xdr:colOff>263191</xdr:colOff>
      <xdr:row>51</xdr:row>
      <xdr:rowOff>27851</xdr:rowOff>
    </xdr:to>
    <xdr:cxnSp macro="">
      <xdr:nvCxnSpPr>
        <xdr:cNvPr id="37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0887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127</xdr:row>
      <xdr:rowOff>0</xdr:rowOff>
    </xdr:from>
    <xdr:to>
      <xdr:col>15</xdr:col>
      <xdr:colOff>263191</xdr:colOff>
      <xdr:row>128</xdr:row>
      <xdr:rowOff>27851</xdr:rowOff>
    </xdr:to>
    <xdr:cxnSp macro="">
      <xdr:nvCxnSpPr>
        <xdr:cNvPr id="37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2741295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263191</xdr:colOff>
      <xdr:row>136</xdr:row>
      <xdr:rowOff>27851</xdr:rowOff>
    </xdr:to>
    <xdr:cxnSp macro="">
      <xdr:nvCxnSpPr>
        <xdr:cNvPr id="377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43325" y="289655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135</xdr:row>
      <xdr:rowOff>0</xdr:rowOff>
    </xdr:from>
    <xdr:to>
      <xdr:col>17</xdr:col>
      <xdr:colOff>263191</xdr:colOff>
      <xdr:row>136</xdr:row>
      <xdr:rowOff>22559</xdr:rowOff>
    </xdr:to>
    <xdr:cxnSp macro="">
      <xdr:nvCxnSpPr>
        <xdr:cNvPr id="37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66</xdr:row>
      <xdr:rowOff>0</xdr:rowOff>
    </xdr:from>
    <xdr:to>
      <xdr:col>7</xdr:col>
      <xdr:colOff>437816</xdr:colOff>
      <xdr:row>67</xdr:row>
      <xdr:rowOff>27851</xdr:rowOff>
    </xdr:to>
    <xdr:cxnSp macro="">
      <xdr:nvCxnSpPr>
        <xdr:cNvPr id="37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9590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66</xdr:row>
      <xdr:rowOff>0</xdr:rowOff>
    </xdr:from>
    <xdr:to>
      <xdr:col>9</xdr:col>
      <xdr:colOff>437816</xdr:colOff>
      <xdr:row>67</xdr:row>
      <xdr:rowOff>27851</xdr:rowOff>
    </xdr:to>
    <xdr:cxnSp macro="">
      <xdr:nvCxnSpPr>
        <xdr:cNvPr id="38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34150" y="14077950"/>
          <a:ext cx="437816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127</xdr:row>
      <xdr:rowOff>0</xdr:rowOff>
    </xdr:from>
    <xdr:to>
      <xdr:col>21</xdr:col>
      <xdr:colOff>263191</xdr:colOff>
      <xdr:row>128</xdr:row>
      <xdr:rowOff>22559</xdr:rowOff>
    </xdr:to>
    <xdr:cxnSp macro="">
      <xdr:nvCxnSpPr>
        <xdr:cNvPr id="38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27412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143</xdr:row>
      <xdr:rowOff>0</xdr:rowOff>
    </xdr:from>
    <xdr:to>
      <xdr:col>11</xdr:col>
      <xdr:colOff>263191</xdr:colOff>
      <xdr:row>144</xdr:row>
      <xdr:rowOff>22559</xdr:rowOff>
    </xdr:to>
    <xdr:cxnSp macro="">
      <xdr:nvCxnSpPr>
        <xdr:cNvPr id="38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48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143</xdr:row>
      <xdr:rowOff>0</xdr:rowOff>
    </xdr:from>
    <xdr:to>
      <xdr:col>9</xdr:col>
      <xdr:colOff>263191</xdr:colOff>
      <xdr:row>144</xdr:row>
      <xdr:rowOff>22559</xdr:rowOff>
    </xdr:to>
    <xdr:cxnSp macro="">
      <xdr:nvCxnSpPr>
        <xdr:cNvPr id="38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151</xdr:row>
      <xdr:rowOff>0</xdr:rowOff>
    </xdr:from>
    <xdr:to>
      <xdr:col>17</xdr:col>
      <xdr:colOff>263191</xdr:colOff>
      <xdr:row>152</xdr:row>
      <xdr:rowOff>22559</xdr:rowOff>
    </xdr:to>
    <xdr:cxnSp macro="">
      <xdr:nvCxnSpPr>
        <xdr:cNvPr id="38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151</xdr:row>
      <xdr:rowOff>0</xdr:rowOff>
    </xdr:from>
    <xdr:to>
      <xdr:col>19</xdr:col>
      <xdr:colOff>263191</xdr:colOff>
      <xdr:row>152</xdr:row>
      <xdr:rowOff>22559</xdr:rowOff>
    </xdr:to>
    <xdr:cxnSp macro="">
      <xdr:nvCxnSpPr>
        <xdr:cNvPr id="38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135</xdr:row>
      <xdr:rowOff>0</xdr:rowOff>
    </xdr:from>
    <xdr:to>
      <xdr:col>13</xdr:col>
      <xdr:colOff>263191</xdr:colOff>
      <xdr:row>136</xdr:row>
      <xdr:rowOff>22559</xdr:rowOff>
    </xdr:to>
    <xdr:cxnSp macro="">
      <xdr:nvCxnSpPr>
        <xdr:cNvPr id="38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135</xdr:row>
      <xdr:rowOff>0</xdr:rowOff>
    </xdr:from>
    <xdr:to>
      <xdr:col>19</xdr:col>
      <xdr:colOff>263191</xdr:colOff>
      <xdr:row>136</xdr:row>
      <xdr:rowOff>22559</xdr:rowOff>
    </xdr:to>
    <xdr:cxnSp macro="">
      <xdr:nvCxnSpPr>
        <xdr:cNvPr id="38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4030325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15875</xdr:colOff>
      <xdr:row>134</xdr:row>
      <xdr:rowOff>190500</xdr:rowOff>
    </xdr:from>
    <xdr:to>
      <xdr:col>21</xdr:col>
      <xdr:colOff>279066</xdr:colOff>
      <xdr:row>136</xdr:row>
      <xdr:rowOff>6684</xdr:rowOff>
    </xdr:to>
    <xdr:cxnSp macro="">
      <xdr:nvCxnSpPr>
        <xdr:cNvPr id="38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503525" y="28956000"/>
          <a:ext cx="263191" cy="20670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263191</xdr:colOff>
      <xdr:row>43</xdr:row>
      <xdr:rowOff>27851</xdr:rowOff>
    </xdr:to>
    <xdr:cxnSp macro="">
      <xdr:nvCxnSpPr>
        <xdr:cNvPr id="389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79248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42</xdr:row>
      <xdr:rowOff>0</xdr:rowOff>
    </xdr:from>
    <xdr:to>
      <xdr:col>13</xdr:col>
      <xdr:colOff>263191</xdr:colOff>
      <xdr:row>43</xdr:row>
      <xdr:rowOff>27851</xdr:rowOff>
    </xdr:to>
    <xdr:cxnSp macro="">
      <xdr:nvCxnSpPr>
        <xdr:cNvPr id="390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932497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42</xdr:row>
      <xdr:rowOff>0</xdr:rowOff>
    </xdr:from>
    <xdr:to>
      <xdr:col>15</xdr:col>
      <xdr:colOff>263191</xdr:colOff>
      <xdr:row>43</xdr:row>
      <xdr:rowOff>27851</xdr:rowOff>
    </xdr:to>
    <xdr:cxnSp macro="">
      <xdr:nvCxnSpPr>
        <xdr:cNvPr id="391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1201400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58</xdr:row>
      <xdr:rowOff>0</xdr:rowOff>
    </xdr:from>
    <xdr:to>
      <xdr:col>19</xdr:col>
      <xdr:colOff>263191</xdr:colOff>
      <xdr:row>59</xdr:row>
      <xdr:rowOff>27851</xdr:rowOff>
    </xdr:to>
    <xdr:cxnSp macro="">
      <xdr:nvCxnSpPr>
        <xdr:cNvPr id="392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4030325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58</xdr:row>
      <xdr:rowOff>0</xdr:rowOff>
    </xdr:from>
    <xdr:to>
      <xdr:col>21</xdr:col>
      <xdr:colOff>263191</xdr:colOff>
      <xdr:row>59</xdr:row>
      <xdr:rowOff>27851</xdr:rowOff>
    </xdr:to>
    <xdr:cxnSp macro="">
      <xdr:nvCxnSpPr>
        <xdr:cNvPr id="393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5487650" y="1254442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158</xdr:row>
      <xdr:rowOff>0</xdr:rowOff>
    </xdr:from>
    <xdr:to>
      <xdr:col>3</xdr:col>
      <xdr:colOff>263191</xdr:colOff>
      <xdr:row>159</xdr:row>
      <xdr:rowOff>22559</xdr:rowOff>
    </xdr:to>
    <xdr:cxnSp macro="">
      <xdr:nvCxnSpPr>
        <xdr:cNvPr id="39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151</xdr:row>
      <xdr:rowOff>0</xdr:rowOff>
    </xdr:from>
    <xdr:to>
      <xdr:col>21</xdr:col>
      <xdr:colOff>263191</xdr:colOff>
      <xdr:row>152</xdr:row>
      <xdr:rowOff>22559</xdr:rowOff>
    </xdr:to>
    <xdr:cxnSp macro="">
      <xdr:nvCxnSpPr>
        <xdr:cNvPr id="395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24421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143</xdr:row>
      <xdr:rowOff>0</xdr:rowOff>
    </xdr:from>
    <xdr:to>
      <xdr:col>13</xdr:col>
      <xdr:colOff>263191</xdr:colOff>
      <xdr:row>144</xdr:row>
      <xdr:rowOff>22559</xdr:rowOff>
    </xdr:to>
    <xdr:cxnSp macro="">
      <xdr:nvCxnSpPr>
        <xdr:cNvPr id="39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932497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143</xdr:row>
      <xdr:rowOff>0</xdr:rowOff>
    </xdr:from>
    <xdr:to>
      <xdr:col>15</xdr:col>
      <xdr:colOff>263191</xdr:colOff>
      <xdr:row>144</xdr:row>
      <xdr:rowOff>22559</xdr:rowOff>
    </xdr:to>
    <xdr:cxnSp macro="">
      <xdr:nvCxnSpPr>
        <xdr:cNvPr id="39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12014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0</xdr:rowOff>
    </xdr:from>
    <xdr:to>
      <xdr:col>3</xdr:col>
      <xdr:colOff>263191</xdr:colOff>
      <xdr:row>136</xdr:row>
      <xdr:rowOff>22559</xdr:rowOff>
    </xdr:to>
    <xdr:cxnSp macro="">
      <xdr:nvCxnSpPr>
        <xdr:cNvPr id="39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135</xdr:row>
      <xdr:rowOff>0</xdr:rowOff>
    </xdr:from>
    <xdr:to>
      <xdr:col>7</xdr:col>
      <xdr:colOff>263191</xdr:colOff>
      <xdr:row>136</xdr:row>
      <xdr:rowOff>22559</xdr:rowOff>
    </xdr:to>
    <xdr:cxnSp macro="">
      <xdr:nvCxnSpPr>
        <xdr:cNvPr id="39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135</xdr:row>
      <xdr:rowOff>0</xdr:rowOff>
    </xdr:from>
    <xdr:to>
      <xdr:col>9</xdr:col>
      <xdr:colOff>263191</xdr:colOff>
      <xdr:row>136</xdr:row>
      <xdr:rowOff>22559</xdr:rowOff>
    </xdr:to>
    <xdr:cxnSp macro="">
      <xdr:nvCxnSpPr>
        <xdr:cNvPr id="40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6534150" y="2896552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263191</xdr:colOff>
      <xdr:row>144</xdr:row>
      <xdr:rowOff>22559</xdr:rowOff>
    </xdr:to>
    <xdr:cxnSp macro="">
      <xdr:nvCxnSpPr>
        <xdr:cNvPr id="40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143</xdr:row>
      <xdr:rowOff>0</xdr:rowOff>
    </xdr:from>
    <xdr:to>
      <xdr:col>7</xdr:col>
      <xdr:colOff>263191</xdr:colOff>
      <xdr:row>144</xdr:row>
      <xdr:rowOff>22559</xdr:rowOff>
    </xdr:to>
    <xdr:cxnSp macro="">
      <xdr:nvCxnSpPr>
        <xdr:cNvPr id="402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529590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143</xdr:row>
      <xdr:rowOff>0</xdr:rowOff>
    </xdr:from>
    <xdr:to>
      <xdr:col>21</xdr:col>
      <xdr:colOff>263191</xdr:colOff>
      <xdr:row>144</xdr:row>
      <xdr:rowOff>22559</xdr:rowOff>
    </xdr:to>
    <xdr:cxnSp macro="">
      <xdr:nvCxnSpPr>
        <xdr:cNvPr id="40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87650" y="305181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263191</xdr:colOff>
      <xdr:row>159</xdr:row>
      <xdr:rowOff>22559</xdr:rowOff>
    </xdr:to>
    <xdr:cxnSp macro="">
      <xdr:nvCxnSpPr>
        <xdr:cNvPr id="404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3743325" y="337756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42</xdr:row>
      <xdr:rowOff>0</xdr:rowOff>
    </xdr:from>
    <xdr:to>
      <xdr:col>17</xdr:col>
      <xdr:colOff>263191</xdr:colOff>
      <xdr:row>43</xdr:row>
      <xdr:rowOff>27851</xdr:rowOff>
    </xdr:to>
    <xdr:cxnSp macro="">
      <xdr:nvCxnSpPr>
        <xdr:cNvPr id="40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12658725" y="9363075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66</xdr:row>
      <xdr:rowOff>0</xdr:rowOff>
    </xdr:from>
    <xdr:to>
      <xdr:col>17</xdr:col>
      <xdr:colOff>263191</xdr:colOff>
      <xdr:row>67</xdr:row>
      <xdr:rowOff>22559</xdr:rowOff>
    </xdr:to>
    <xdr:cxnSp macro="">
      <xdr:nvCxnSpPr>
        <xdr:cNvPr id="406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58725" y="1407795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22</xdr:col>
      <xdr:colOff>492125</xdr:colOff>
      <xdr:row>22</xdr:row>
      <xdr:rowOff>0</xdr:rowOff>
    </xdr:from>
    <xdr:ext cx="266700" cy="873125"/>
    <xdr:pic>
      <xdr:nvPicPr>
        <xdr:cNvPr id="4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7500" y="51625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31750</xdr:colOff>
      <xdr:row>30</xdr:row>
      <xdr:rowOff>142875</xdr:rowOff>
    </xdr:from>
    <xdr:ext cx="266700" cy="873125"/>
    <xdr:pic>
      <xdr:nvPicPr>
        <xdr:cNvPr id="4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9400" y="699135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111125</xdr:colOff>
      <xdr:row>116</xdr:row>
      <xdr:rowOff>95250</xdr:rowOff>
    </xdr:from>
    <xdr:ext cx="266700" cy="873125"/>
    <xdr:pic>
      <xdr:nvPicPr>
        <xdr:cNvPr id="409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100" y="2504122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142875</xdr:colOff>
      <xdr:row>99</xdr:row>
      <xdr:rowOff>111125</xdr:rowOff>
    </xdr:from>
    <xdr:ext cx="266700" cy="873125"/>
    <xdr:pic>
      <xdr:nvPicPr>
        <xdr:cNvPr id="410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0" y="21437600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0</xdr:colOff>
      <xdr:row>122</xdr:row>
      <xdr:rowOff>476250</xdr:rowOff>
    </xdr:from>
    <xdr:to>
      <xdr:col>0</xdr:col>
      <xdr:colOff>619125</xdr:colOff>
      <xdr:row>125</xdr:row>
      <xdr:rowOff>0</xdr:rowOff>
    </xdr:to>
    <xdr:sp macro="" textlink="">
      <xdr:nvSpPr>
        <xdr:cNvPr id="411" name="AutoShape 2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>
          <a:spLocks noChangeArrowheads="1"/>
        </xdr:cNvSpPr>
      </xdr:nvSpPr>
      <xdr:spPr bwMode="auto">
        <a:xfrm>
          <a:off x="0" y="26638250"/>
          <a:ext cx="619125" cy="396875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0</xdr:colOff>
      <xdr:row>112</xdr:row>
      <xdr:rowOff>0</xdr:rowOff>
    </xdr:from>
    <xdr:to>
      <xdr:col>11</xdr:col>
      <xdr:colOff>263191</xdr:colOff>
      <xdr:row>113</xdr:row>
      <xdr:rowOff>22559</xdr:rowOff>
    </xdr:to>
    <xdr:cxnSp macro="">
      <xdr:nvCxnSpPr>
        <xdr:cNvPr id="413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05750" y="240188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42</xdr:row>
      <xdr:rowOff>0</xdr:rowOff>
    </xdr:from>
    <xdr:to>
      <xdr:col>9</xdr:col>
      <xdr:colOff>263191</xdr:colOff>
      <xdr:row>43</xdr:row>
      <xdr:rowOff>27851</xdr:rowOff>
    </xdr:to>
    <xdr:cxnSp macro="">
      <xdr:nvCxnSpPr>
        <xdr:cNvPr id="414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6524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42</xdr:row>
      <xdr:rowOff>0</xdr:rowOff>
    </xdr:from>
    <xdr:to>
      <xdr:col>5</xdr:col>
      <xdr:colOff>263191</xdr:colOff>
      <xdr:row>43</xdr:row>
      <xdr:rowOff>27851</xdr:rowOff>
    </xdr:to>
    <xdr:cxnSp macro="">
      <xdr:nvCxnSpPr>
        <xdr:cNvPr id="415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373062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42</xdr:row>
      <xdr:rowOff>0</xdr:rowOff>
    </xdr:from>
    <xdr:to>
      <xdr:col>7</xdr:col>
      <xdr:colOff>263191</xdr:colOff>
      <xdr:row>43</xdr:row>
      <xdr:rowOff>27851</xdr:rowOff>
    </xdr:to>
    <xdr:cxnSp macro="">
      <xdr:nvCxnSpPr>
        <xdr:cNvPr id="416" name="Elbow Connector 55">
          <a:extLst>
            <a:ext uri="{FF2B5EF4-FFF2-40B4-BE49-F238E27FC236}">
              <a16:creationId xmlns:a16="http://schemas.microsoft.com/office/drawing/2014/main" id="{E8C47C62-B803-4F10-8A5E-F86FF41407DF}"/>
            </a:ext>
          </a:extLst>
        </xdr:cNvPr>
        <xdr:cNvCxnSpPr/>
      </xdr:nvCxnSpPr>
      <xdr:spPr>
        <a:xfrm>
          <a:off x="5286375" y="9334500"/>
          <a:ext cx="263191" cy="2183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66</xdr:row>
      <xdr:rowOff>0</xdr:rowOff>
    </xdr:from>
    <xdr:to>
      <xdr:col>21</xdr:col>
      <xdr:colOff>263191</xdr:colOff>
      <xdr:row>67</xdr:row>
      <xdr:rowOff>22559</xdr:rowOff>
    </xdr:to>
    <xdr:cxnSp macro="">
      <xdr:nvCxnSpPr>
        <xdr:cNvPr id="417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5462250" y="14097000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263191</xdr:colOff>
      <xdr:row>75</xdr:row>
      <xdr:rowOff>213059</xdr:rowOff>
    </xdr:to>
    <xdr:cxnSp macro="">
      <xdr:nvCxnSpPr>
        <xdr:cNvPr id="418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2000250" y="16081375"/>
          <a:ext cx="263191" cy="21305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127</xdr:row>
      <xdr:rowOff>0</xdr:rowOff>
    </xdr:from>
    <xdr:to>
      <xdr:col>3</xdr:col>
      <xdr:colOff>263191</xdr:colOff>
      <xdr:row>128</xdr:row>
      <xdr:rowOff>22560</xdr:rowOff>
    </xdr:to>
    <xdr:cxnSp macro="">
      <xdr:nvCxnSpPr>
        <xdr:cNvPr id="419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995714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127</xdr:row>
      <xdr:rowOff>0</xdr:rowOff>
    </xdr:from>
    <xdr:to>
      <xdr:col>11</xdr:col>
      <xdr:colOff>263191</xdr:colOff>
      <xdr:row>128</xdr:row>
      <xdr:rowOff>22560</xdr:rowOff>
    </xdr:to>
    <xdr:cxnSp macro="">
      <xdr:nvCxnSpPr>
        <xdr:cNvPr id="420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7922381" y="27486429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120</xdr:row>
      <xdr:rowOff>0</xdr:rowOff>
    </xdr:from>
    <xdr:to>
      <xdr:col>17</xdr:col>
      <xdr:colOff>263191</xdr:colOff>
      <xdr:row>121</xdr:row>
      <xdr:rowOff>22559</xdr:rowOff>
    </xdr:to>
    <xdr:cxnSp macro="">
      <xdr:nvCxnSpPr>
        <xdr:cNvPr id="421" name="Elbow Connector 55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CxnSpPr/>
      </xdr:nvCxnSpPr>
      <xdr:spPr>
        <a:xfrm>
          <a:off x="12639524" y="25793095"/>
          <a:ext cx="263191" cy="2191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19</xdr:row>
      <xdr:rowOff>-1</xdr:rowOff>
    </xdr:from>
    <xdr:to>
      <xdr:col>7</xdr:col>
      <xdr:colOff>-1</xdr:colOff>
      <xdr:row>20</xdr:row>
      <xdr:rowOff>200025</xdr:rowOff>
    </xdr:to>
    <xdr:sp macro="" textlink="">
      <xdr:nvSpPr>
        <xdr:cNvPr id="3" name="AutoShape 1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 noChangeArrowheads="1"/>
        </xdr:cNvSpPr>
      </xdr:nvSpPr>
      <xdr:spPr bwMode="auto">
        <a:xfrm>
          <a:off x="3727144" y="429577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19</xdr:row>
      <xdr:rowOff>28575</xdr:rowOff>
    </xdr:from>
    <xdr:to>
      <xdr:col>15</xdr:col>
      <xdr:colOff>0</xdr:colOff>
      <xdr:row>21</xdr:row>
      <xdr:rowOff>15363</xdr:rowOff>
    </xdr:to>
    <xdr:sp macro="" textlink="">
      <xdr:nvSpPr>
        <xdr:cNvPr id="4" name="AutoShape 1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9155662" y="4324350"/>
          <a:ext cx="759863" cy="386838"/>
        </a:xfrm>
        <a:prstGeom prst="flowChartExtra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</xdr:row>
      <xdr:rowOff>28575</xdr:rowOff>
    </xdr:from>
    <xdr:to>
      <xdr:col>18</xdr:col>
      <xdr:colOff>9525</xdr:colOff>
      <xdr:row>10</xdr:row>
      <xdr:rowOff>0</xdr:rowOff>
    </xdr:to>
    <xdr:sp macro="" textlink="">
      <xdr:nvSpPr>
        <xdr:cNvPr id="5" name="AutoShape 10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11401425" y="1809750"/>
          <a:ext cx="581025" cy="4667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368709</xdr:colOff>
      <xdr:row>8</xdr:row>
      <xdr:rowOff>107540</xdr:rowOff>
    </xdr:from>
    <xdr:to>
      <xdr:col>17</xdr:col>
      <xdr:colOff>266701</xdr:colOff>
      <xdr:row>8</xdr:row>
      <xdr:rowOff>219075</xdr:rowOff>
    </xdr:to>
    <xdr:sp macro="" textlink="">
      <xdr:nvSpPr>
        <xdr:cNvPr id="6" name="Freeform 369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>
          <a:spLocks/>
        </xdr:cNvSpPr>
      </xdr:nvSpPr>
      <xdr:spPr bwMode="auto">
        <a:xfrm>
          <a:off x="9522234" y="1888715"/>
          <a:ext cx="2145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7" name="Line 385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8" name="Line 386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9" name="Elbow Connector 55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10" name="Line 386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2381</xdr:colOff>
      <xdr:row>18</xdr:row>
      <xdr:rowOff>161061</xdr:rowOff>
    </xdr:from>
    <xdr:to>
      <xdr:col>5</xdr:col>
      <xdr:colOff>9524</xdr:colOff>
      <xdr:row>21</xdr:row>
      <xdr:rowOff>2197</xdr:rowOff>
    </xdr:to>
    <xdr:sp macro="" textlink="">
      <xdr:nvSpPr>
        <xdr:cNvPr id="11" name="AutoShape 17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>
          <a:spLocks noChangeArrowheads="1"/>
        </xdr:cNvSpPr>
      </xdr:nvSpPr>
      <xdr:spPr bwMode="auto">
        <a:xfrm>
          <a:off x="2497931" y="425681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19</xdr:row>
      <xdr:rowOff>9281</xdr:rowOff>
    </xdr:from>
    <xdr:to>
      <xdr:col>21</xdr:col>
      <xdr:colOff>9525</xdr:colOff>
      <xdr:row>20</xdr:row>
      <xdr:rowOff>195385</xdr:rowOff>
    </xdr:to>
    <xdr:sp macro="" textlink="">
      <xdr:nvSpPr>
        <xdr:cNvPr id="12" name="AutoShape 20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>
          <a:spLocks noChangeArrowheads="1"/>
        </xdr:cNvSpPr>
      </xdr:nvSpPr>
      <xdr:spPr bwMode="auto">
        <a:xfrm>
          <a:off x="13201650" y="4305056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5253</xdr:colOff>
      <xdr:row>19</xdr:row>
      <xdr:rowOff>363</xdr:rowOff>
    </xdr:from>
    <xdr:to>
      <xdr:col>17</xdr:col>
      <xdr:colOff>0</xdr:colOff>
      <xdr:row>21</xdr:row>
      <xdr:rowOff>6144</xdr:rowOff>
    </xdr:to>
    <xdr:sp macro="" textlink="">
      <xdr:nvSpPr>
        <xdr:cNvPr id="13" name="AutoShape 2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>
          <a:spLocks noChangeArrowheads="1"/>
        </xdr:cNvSpPr>
      </xdr:nvSpPr>
      <xdr:spPr bwMode="auto">
        <a:xfrm>
          <a:off x="10711353" y="4296138"/>
          <a:ext cx="690072" cy="40583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291894</xdr:colOff>
      <xdr:row>8</xdr:row>
      <xdr:rowOff>138266</xdr:rowOff>
    </xdr:from>
    <xdr:to>
      <xdr:col>17</xdr:col>
      <xdr:colOff>291895</xdr:colOff>
      <xdr:row>9</xdr:row>
      <xdr:rowOff>173356</xdr:rowOff>
    </xdr:to>
    <xdr:sp macro="" textlink="">
      <xdr:nvSpPr>
        <xdr:cNvPr id="14" name="CustGemo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9445419" y="1919441"/>
          <a:ext cx="2247901" cy="2922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17" name="AutoShape 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18" name="Line 385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19" name="Line 386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0" name="Elbow Connector 55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1" name="Line 386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23" name="Line 385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24" name="AutoShape 5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25" name="Line 385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26" name="Line 386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27" name="Elbow Connector 55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28" name="Line 386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0" name="Line 385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19</xdr:row>
      <xdr:rowOff>7144</xdr:rowOff>
    </xdr:from>
    <xdr:to>
      <xdr:col>0</xdr:col>
      <xdr:colOff>3400</xdr:colOff>
      <xdr:row>20</xdr:row>
      <xdr:rowOff>190500</xdr:rowOff>
    </xdr:to>
    <xdr:sp macro="" textlink="">
      <xdr:nvSpPr>
        <xdr:cNvPr id="31" name="AutoShape 5">
          <a:extLst>
            <a:ext uri="{FF2B5EF4-FFF2-40B4-BE49-F238E27FC236}">
              <a16:creationId xmlns:a16="http://schemas.microsoft.com/office/drawing/2014/main" id="{00000000-0008-0000-0C00-00003E000000}"/>
            </a:ext>
          </a:extLst>
        </xdr:cNvPr>
        <xdr:cNvSpPr>
          <a:spLocks noChangeArrowheads="1"/>
        </xdr:cNvSpPr>
      </xdr:nvSpPr>
      <xdr:spPr bwMode="auto">
        <a:xfrm>
          <a:off x="0" y="43029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</xdr:row>
      <xdr:rowOff>153630</xdr:rowOff>
    </xdr:from>
    <xdr:to>
      <xdr:col>20</xdr:col>
      <xdr:colOff>152400</xdr:colOff>
      <xdr:row>15</xdr:row>
      <xdr:rowOff>115837</xdr:rowOff>
    </xdr:to>
    <xdr:cxnSp macro="">
      <xdr:nvCxnSpPr>
        <xdr:cNvPr id="32" name="AutoShape 381">
          <a:extLst>
            <a:ext uri="{FF2B5EF4-FFF2-40B4-BE49-F238E27FC236}">
              <a16:creationId xmlns:a16="http://schemas.microsoft.com/office/drawing/2014/main" id="{00000000-0008-0000-0C00-000040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2701434" y="2930321"/>
          <a:ext cx="1152832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381000</xdr:colOff>
      <xdr:row>11</xdr:row>
      <xdr:rowOff>19049</xdr:rowOff>
    </xdr:from>
    <xdr:to>
      <xdr:col>17</xdr:col>
      <xdr:colOff>257175</xdr:colOff>
      <xdr:row>14</xdr:row>
      <xdr:rowOff>76200</xdr:rowOff>
    </xdr:to>
    <xdr:sp macro="" textlink="">
      <xdr:nvSpPr>
        <xdr:cNvPr id="33" name="Line 385">
          <a:extLst>
            <a:ext uri="{FF2B5EF4-FFF2-40B4-BE49-F238E27FC236}">
              <a16:creationId xmlns:a16="http://schemas.microsoft.com/office/drawing/2014/main" id="{00000000-0008-0000-0C00-000042000000}"/>
            </a:ext>
          </a:extLst>
        </xdr:cNvPr>
        <xdr:cNvSpPr>
          <a:spLocks noChangeShapeType="1"/>
        </xdr:cNvSpPr>
      </xdr:nvSpPr>
      <xdr:spPr bwMode="auto">
        <a:xfrm flipV="1">
          <a:off x="11087100" y="2562224"/>
          <a:ext cx="571500" cy="78105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314325</xdr:colOff>
      <xdr:row>11</xdr:row>
      <xdr:rowOff>123825</xdr:rowOff>
    </xdr:from>
    <xdr:to>
      <xdr:col>15</xdr:col>
      <xdr:colOff>66675</xdr:colOff>
      <xdr:row>14</xdr:row>
      <xdr:rowOff>66675</xdr:rowOff>
    </xdr:to>
    <xdr:sp macro="" textlink="">
      <xdr:nvSpPr>
        <xdr:cNvPr id="34" name="Line 386">
          <a:extLst>
            <a:ext uri="{FF2B5EF4-FFF2-40B4-BE49-F238E27FC236}">
              <a16:creationId xmlns:a16="http://schemas.microsoft.com/office/drawing/2014/main" id="{00000000-0008-0000-0C00-000043000000}"/>
            </a:ext>
          </a:extLst>
        </xdr:cNvPr>
        <xdr:cNvSpPr>
          <a:spLocks noChangeShapeType="1"/>
        </xdr:cNvSpPr>
      </xdr:nvSpPr>
      <xdr:spPr bwMode="auto">
        <a:xfrm flipH="1" flipV="1">
          <a:off x="9467850" y="2667000"/>
          <a:ext cx="51435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-1</xdr:colOff>
      <xdr:row>11</xdr:row>
      <xdr:rowOff>200526</xdr:rowOff>
    </xdr:from>
    <xdr:to>
      <xdr:col>15</xdr:col>
      <xdr:colOff>263190</xdr:colOff>
      <xdr:row>12</xdr:row>
      <xdr:rowOff>175460</xdr:rowOff>
    </xdr:to>
    <xdr:cxnSp macro="">
      <xdr:nvCxnSpPr>
        <xdr:cNvPr id="35" name="Elbow Connector 55">
          <a:extLst>
            <a:ext uri="{FF2B5EF4-FFF2-40B4-BE49-F238E27FC236}">
              <a16:creationId xmlns:a16="http://schemas.microsoft.com/office/drawing/2014/main" id="{00000000-0008-0000-0C00-000046000000}"/>
            </a:ext>
          </a:extLst>
        </xdr:cNvPr>
        <xdr:cNvCxnSpPr/>
      </xdr:nvCxnSpPr>
      <xdr:spPr>
        <a:xfrm>
          <a:off x="9915524" y="2743701"/>
          <a:ext cx="263191" cy="2416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266700</xdr:colOff>
      <xdr:row>12</xdr:row>
      <xdr:rowOff>171450</xdr:rowOff>
    </xdr:from>
    <xdr:to>
      <xdr:col>16</xdr:col>
      <xdr:colOff>76200</xdr:colOff>
      <xdr:row>13</xdr:row>
      <xdr:rowOff>66675</xdr:rowOff>
    </xdr:to>
    <xdr:sp macro="" textlink="">
      <xdr:nvSpPr>
        <xdr:cNvPr id="36" name="Line 386">
          <a:extLst>
            <a:ext uri="{FF2B5EF4-FFF2-40B4-BE49-F238E27FC236}">
              <a16:creationId xmlns:a16="http://schemas.microsoft.com/office/drawing/2014/main" id="{00000000-0008-0000-0C00-000047000000}"/>
            </a:ext>
          </a:extLst>
        </xdr:cNvPr>
        <xdr:cNvSpPr>
          <a:spLocks noChangeShapeType="1"/>
        </xdr:cNvSpPr>
      </xdr:nvSpPr>
      <xdr:spPr bwMode="auto">
        <a:xfrm flipH="1" flipV="1">
          <a:off x="10182225" y="2981325"/>
          <a:ext cx="60007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304798</xdr:colOff>
      <xdr:row>8</xdr:row>
      <xdr:rowOff>133349</xdr:rowOff>
    </xdr:from>
    <xdr:to>
      <xdr:col>18</xdr:col>
      <xdr:colOff>57149</xdr:colOff>
      <xdr:row>9</xdr:row>
      <xdr:rowOff>66674</xdr:rowOff>
    </xdr:to>
    <xdr:sp macro="" textlink="">
      <xdr:nvSpPr>
        <xdr:cNvPr id="37" name="Line 385">
          <a:extLst>
            <a:ext uri="{FF2B5EF4-FFF2-40B4-BE49-F238E27FC236}">
              <a16:creationId xmlns:a16="http://schemas.microsoft.com/office/drawing/2014/main" id="{00000000-0008-0000-0C00-000049000000}"/>
            </a:ext>
          </a:extLst>
        </xdr:cNvPr>
        <xdr:cNvSpPr>
          <a:spLocks noChangeShapeType="1"/>
        </xdr:cNvSpPr>
      </xdr:nvSpPr>
      <xdr:spPr bwMode="auto">
        <a:xfrm flipH="1">
          <a:off x="11010898" y="1914524"/>
          <a:ext cx="1019176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400048</xdr:colOff>
      <xdr:row>8</xdr:row>
      <xdr:rowOff>66675</xdr:rowOff>
    </xdr:from>
    <xdr:to>
      <xdr:col>18</xdr:col>
      <xdr:colOff>142875</xdr:colOff>
      <xdr:row>10</xdr:row>
      <xdr:rowOff>9525</xdr:rowOff>
    </xdr:to>
    <xdr:sp macro="" textlink="">
      <xdr:nvSpPr>
        <xdr:cNvPr id="38" name="Line 385">
          <a:extLst>
            <a:ext uri="{FF2B5EF4-FFF2-40B4-BE49-F238E27FC236}">
              <a16:creationId xmlns:a16="http://schemas.microsoft.com/office/drawing/2014/main" id="{00000000-0008-0000-0C00-00004A000000}"/>
            </a:ext>
          </a:extLst>
        </xdr:cNvPr>
        <xdr:cNvSpPr>
          <a:spLocks noChangeShapeType="1"/>
        </xdr:cNvSpPr>
      </xdr:nvSpPr>
      <xdr:spPr bwMode="auto">
        <a:xfrm flipH="1" flipV="1">
          <a:off x="11106148" y="1847850"/>
          <a:ext cx="1009652" cy="438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11906</xdr:colOff>
      <xdr:row>21</xdr:row>
      <xdr:rowOff>0</xdr:rowOff>
    </xdr:to>
    <xdr:sp macro="" textlink="">
      <xdr:nvSpPr>
        <xdr:cNvPr id="39" name="AutoShape 20">
          <a:extLst>
            <a:ext uri="{FF2B5EF4-FFF2-40B4-BE49-F238E27FC236}">
              <a16:creationId xmlns:a16="http://schemas.microsoft.com/office/drawing/2014/main" id="{00000000-0008-0000-0C00-00004F000000}"/>
            </a:ext>
          </a:extLst>
        </xdr:cNvPr>
        <xdr:cNvSpPr>
          <a:spLocks noChangeArrowheads="1"/>
        </xdr:cNvSpPr>
      </xdr:nvSpPr>
      <xdr:spPr bwMode="auto">
        <a:xfrm>
          <a:off x="11972925" y="4295775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675968</xdr:colOff>
      <xdr:row>8</xdr:row>
      <xdr:rowOff>78350</xdr:rowOff>
    </xdr:from>
    <xdr:to>
      <xdr:col>15</xdr:col>
      <xdr:colOff>15363</xdr:colOff>
      <xdr:row>10</xdr:row>
      <xdr:rowOff>0</xdr:rowOff>
    </xdr:to>
    <xdr:sp macro="" textlink="">
      <xdr:nvSpPr>
        <xdr:cNvPr id="40" name="AutoShape 24">
          <a:extLst>
            <a:ext uri="{FF2B5EF4-FFF2-40B4-BE49-F238E27FC236}">
              <a16:creationId xmlns:a16="http://schemas.microsoft.com/office/drawing/2014/main" id="{00000000-0008-0000-0C00-000050000000}"/>
            </a:ext>
          </a:extLst>
        </xdr:cNvPr>
        <xdr:cNvSpPr>
          <a:spLocks noChangeArrowheads="1"/>
        </xdr:cNvSpPr>
      </xdr:nvSpPr>
      <xdr:spPr bwMode="auto">
        <a:xfrm>
          <a:off x="9143693" y="1859525"/>
          <a:ext cx="787195" cy="416950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492124</xdr:colOff>
      <xdr:row>18</xdr:row>
      <xdr:rowOff>174626</xdr:rowOff>
    </xdr:from>
    <xdr:to>
      <xdr:col>8</xdr:col>
      <xdr:colOff>746124</xdr:colOff>
      <xdr:row>21</xdr:row>
      <xdr:rowOff>1</xdr:rowOff>
    </xdr:to>
    <xdr:sp macro="" textlink="">
      <xdr:nvSpPr>
        <xdr:cNvPr id="41" name="AutoShape 11">
          <a:extLst>
            <a:ext uri="{FF2B5EF4-FFF2-40B4-BE49-F238E27FC236}">
              <a16:creationId xmlns:a16="http://schemas.microsoft.com/office/drawing/2014/main" id="{00000000-0008-0000-0C00-000052000000}"/>
            </a:ext>
          </a:extLst>
        </xdr:cNvPr>
        <xdr:cNvSpPr>
          <a:spLocks noChangeArrowheads="1"/>
        </xdr:cNvSpPr>
      </xdr:nvSpPr>
      <xdr:spPr bwMode="auto">
        <a:xfrm>
          <a:off x="5092699" y="4270376"/>
          <a:ext cx="749300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19</xdr:row>
      <xdr:rowOff>0</xdr:rowOff>
    </xdr:from>
    <xdr:to>
      <xdr:col>13</xdr:col>
      <xdr:colOff>0</xdr:colOff>
      <xdr:row>21</xdr:row>
      <xdr:rowOff>14631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C00-000053000000}"/>
            </a:ext>
          </a:extLst>
        </xdr:cNvPr>
        <xdr:cNvSpPr>
          <a:spLocks noChangeArrowheads="1"/>
        </xdr:cNvSpPr>
      </xdr:nvSpPr>
      <xdr:spPr bwMode="auto">
        <a:xfrm>
          <a:off x="7781925" y="4295775"/>
          <a:ext cx="685800" cy="4146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43" name="AutoShape 5">
          <a:extLst>
            <a:ext uri="{FF2B5EF4-FFF2-40B4-BE49-F238E27FC236}">
              <a16:creationId xmlns:a16="http://schemas.microsoft.com/office/drawing/2014/main" id="{00000000-0008-0000-0C00-000054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27</xdr:row>
      <xdr:rowOff>-1</xdr:rowOff>
    </xdr:from>
    <xdr:to>
      <xdr:col>7</xdr:col>
      <xdr:colOff>-1</xdr:colOff>
      <xdr:row>28</xdr:row>
      <xdr:rowOff>200025</xdr:rowOff>
    </xdr:to>
    <xdr:sp macro="" textlink="">
      <xdr:nvSpPr>
        <xdr:cNvPr id="44" name="AutoShape 11">
          <a:extLst>
            <a:ext uri="{FF2B5EF4-FFF2-40B4-BE49-F238E27FC236}">
              <a16:creationId xmlns:a16="http://schemas.microsoft.com/office/drawing/2014/main" id="{00000000-0008-0000-0C00-000055000000}"/>
            </a:ext>
          </a:extLst>
        </xdr:cNvPr>
        <xdr:cNvSpPr>
          <a:spLocks noChangeArrowheads="1"/>
        </xdr:cNvSpPr>
      </xdr:nvSpPr>
      <xdr:spPr bwMode="auto">
        <a:xfrm>
          <a:off x="3727144" y="5905499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14045</xdr:colOff>
      <xdr:row>27</xdr:row>
      <xdr:rowOff>35718</xdr:rowOff>
    </xdr:from>
    <xdr:to>
      <xdr:col>15</xdr:col>
      <xdr:colOff>15363</xdr:colOff>
      <xdr:row>29</xdr:row>
      <xdr:rowOff>15362</xdr:rowOff>
    </xdr:to>
    <xdr:sp macro="" textlink="">
      <xdr:nvSpPr>
        <xdr:cNvPr id="45" name="AutoShape 15">
          <a:extLst>
            <a:ext uri="{FF2B5EF4-FFF2-40B4-BE49-F238E27FC236}">
              <a16:creationId xmlns:a16="http://schemas.microsoft.com/office/drawing/2014/main" id="{00000000-0008-0000-0C00-000056000000}"/>
            </a:ext>
          </a:extLst>
        </xdr:cNvPr>
        <xdr:cNvSpPr>
          <a:spLocks noChangeArrowheads="1"/>
        </xdr:cNvSpPr>
      </xdr:nvSpPr>
      <xdr:spPr bwMode="auto">
        <a:xfrm>
          <a:off x="9167570" y="5941218"/>
          <a:ext cx="763318" cy="379694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27</xdr:row>
      <xdr:rowOff>23811</xdr:rowOff>
    </xdr:from>
    <xdr:to>
      <xdr:col>3</xdr:col>
      <xdr:colOff>12336</xdr:colOff>
      <xdr:row>28</xdr:row>
      <xdr:rowOff>198874</xdr:rowOff>
    </xdr:to>
    <xdr:sp macro="" textlink="">
      <xdr:nvSpPr>
        <xdr:cNvPr id="46" name="AutoShape 17">
          <a:extLst>
            <a:ext uri="{FF2B5EF4-FFF2-40B4-BE49-F238E27FC236}">
              <a16:creationId xmlns:a16="http://schemas.microsoft.com/office/drawing/2014/main" id="{00000000-0008-0000-0C00-000057000000}"/>
            </a:ext>
          </a:extLst>
        </xdr:cNvPr>
        <xdr:cNvSpPr>
          <a:spLocks noChangeArrowheads="1"/>
        </xdr:cNvSpPr>
      </xdr:nvSpPr>
      <xdr:spPr bwMode="auto">
        <a:xfrm>
          <a:off x="986186" y="5929311"/>
          <a:ext cx="712075" cy="375088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26</xdr:row>
      <xdr:rowOff>161061</xdr:rowOff>
    </xdr:from>
    <xdr:to>
      <xdr:col>5</xdr:col>
      <xdr:colOff>9524</xdr:colOff>
      <xdr:row>29</xdr:row>
      <xdr:rowOff>2197</xdr:rowOff>
    </xdr:to>
    <xdr:sp macro="" textlink="">
      <xdr:nvSpPr>
        <xdr:cNvPr id="47" name="AutoShape 17">
          <a:extLst>
            <a:ext uri="{FF2B5EF4-FFF2-40B4-BE49-F238E27FC236}">
              <a16:creationId xmlns:a16="http://schemas.microsoft.com/office/drawing/2014/main" id="{00000000-0008-0000-0C00-000058000000}"/>
            </a:ext>
          </a:extLst>
        </xdr:cNvPr>
        <xdr:cNvSpPr>
          <a:spLocks noChangeArrowheads="1"/>
        </xdr:cNvSpPr>
      </xdr:nvSpPr>
      <xdr:spPr bwMode="auto">
        <a:xfrm>
          <a:off x="2497931" y="5866536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27</xdr:row>
      <xdr:rowOff>9281</xdr:rowOff>
    </xdr:from>
    <xdr:to>
      <xdr:col>21</xdr:col>
      <xdr:colOff>9525</xdr:colOff>
      <xdr:row>28</xdr:row>
      <xdr:rowOff>195385</xdr:rowOff>
    </xdr:to>
    <xdr:sp macro="" textlink="">
      <xdr:nvSpPr>
        <xdr:cNvPr id="48" name="AutoShape 20">
          <a:extLst>
            <a:ext uri="{FF2B5EF4-FFF2-40B4-BE49-F238E27FC236}">
              <a16:creationId xmlns:a16="http://schemas.microsoft.com/office/drawing/2014/main" id="{00000000-0008-0000-0C00-000059000000}"/>
            </a:ext>
          </a:extLst>
        </xdr:cNvPr>
        <xdr:cNvSpPr>
          <a:spLocks noChangeArrowheads="1"/>
        </xdr:cNvSpPr>
      </xdr:nvSpPr>
      <xdr:spPr bwMode="auto">
        <a:xfrm>
          <a:off x="13201650" y="5914781"/>
          <a:ext cx="714375" cy="38612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21129</xdr:colOff>
      <xdr:row>27</xdr:row>
      <xdr:rowOff>41843</xdr:rowOff>
    </xdr:from>
    <xdr:to>
      <xdr:col>17</xdr:col>
      <xdr:colOff>15876</xdr:colOff>
      <xdr:row>29</xdr:row>
      <xdr:rowOff>0</xdr:rowOff>
    </xdr:to>
    <xdr:sp macro="" textlink="">
      <xdr:nvSpPr>
        <xdr:cNvPr id="49" name="AutoShape 26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>
          <a:spLocks noChangeArrowheads="1"/>
        </xdr:cNvSpPr>
      </xdr:nvSpPr>
      <xdr:spPr bwMode="auto">
        <a:xfrm>
          <a:off x="10727229" y="5947343"/>
          <a:ext cx="690072" cy="35820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0" name="AutoShape 5">
          <a:extLst>
            <a:ext uri="{FF2B5EF4-FFF2-40B4-BE49-F238E27FC236}">
              <a16:creationId xmlns:a16="http://schemas.microsoft.com/office/drawing/2014/main" id="{00000000-0008-0000-0C00-00005B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1" name="AutoShape 5">
          <a:extLst>
            <a:ext uri="{FF2B5EF4-FFF2-40B4-BE49-F238E27FC236}">
              <a16:creationId xmlns:a16="http://schemas.microsoft.com/office/drawing/2014/main" id="{00000000-0008-0000-0C00-00005C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27</xdr:row>
      <xdr:rowOff>7144</xdr:rowOff>
    </xdr:from>
    <xdr:to>
      <xdr:col>0</xdr:col>
      <xdr:colOff>3400</xdr:colOff>
      <xdr:row>28</xdr:row>
      <xdr:rowOff>190500</xdr:rowOff>
    </xdr:to>
    <xdr:sp macro="" textlink="">
      <xdr:nvSpPr>
        <xdr:cNvPr id="52" name="AutoShape 5">
          <a:extLst>
            <a:ext uri="{FF2B5EF4-FFF2-40B4-BE49-F238E27FC236}">
              <a16:creationId xmlns:a16="http://schemas.microsoft.com/office/drawing/2014/main" id="{00000000-0008-0000-0C00-00005D000000}"/>
            </a:ext>
          </a:extLst>
        </xdr:cNvPr>
        <xdr:cNvSpPr>
          <a:spLocks noChangeArrowheads="1"/>
        </xdr:cNvSpPr>
      </xdr:nvSpPr>
      <xdr:spPr bwMode="auto">
        <a:xfrm>
          <a:off x="0" y="5912644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11906</xdr:colOff>
      <xdr:row>29</xdr:row>
      <xdr:rowOff>0</xdr:rowOff>
    </xdr:to>
    <xdr:sp macro="" textlink="">
      <xdr:nvSpPr>
        <xdr:cNvPr id="53" name="AutoShape 20">
          <a:extLst>
            <a:ext uri="{FF2B5EF4-FFF2-40B4-BE49-F238E27FC236}">
              <a16:creationId xmlns:a16="http://schemas.microsoft.com/office/drawing/2014/main" id="{00000000-0008-0000-0C00-00005E000000}"/>
            </a:ext>
          </a:extLst>
        </xdr:cNvPr>
        <xdr:cNvSpPr>
          <a:spLocks noChangeArrowheads="1"/>
        </xdr:cNvSpPr>
      </xdr:nvSpPr>
      <xdr:spPr bwMode="auto">
        <a:xfrm>
          <a:off x="11972925" y="5905500"/>
          <a:ext cx="754856" cy="400050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26</xdr:row>
      <xdr:rowOff>190500</xdr:rowOff>
    </xdr:from>
    <xdr:to>
      <xdr:col>11</xdr:col>
      <xdr:colOff>1</xdr:colOff>
      <xdr:row>29</xdr:row>
      <xdr:rowOff>2724</xdr:rowOff>
    </xdr:to>
    <xdr:sp macro="" textlink="">
      <xdr:nvSpPr>
        <xdr:cNvPr id="54" name="AutoShape 17">
          <a:extLst>
            <a:ext uri="{FF2B5EF4-FFF2-40B4-BE49-F238E27FC236}">
              <a16:creationId xmlns:a16="http://schemas.microsoft.com/office/drawing/2014/main" id="{00000000-0008-0000-0C00-00005F000000}"/>
            </a:ext>
          </a:extLst>
        </xdr:cNvPr>
        <xdr:cNvSpPr>
          <a:spLocks noChangeArrowheads="1"/>
        </xdr:cNvSpPr>
      </xdr:nvSpPr>
      <xdr:spPr bwMode="auto">
        <a:xfrm>
          <a:off x="6448426" y="5895975"/>
          <a:ext cx="733425" cy="412299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26</xdr:row>
      <xdr:rowOff>178594</xdr:rowOff>
    </xdr:from>
    <xdr:to>
      <xdr:col>9</xdr:col>
      <xdr:colOff>15363</xdr:colOff>
      <xdr:row>29</xdr:row>
      <xdr:rowOff>0</xdr:rowOff>
    </xdr:to>
    <xdr:sp macro="" textlink="">
      <xdr:nvSpPr>
        <xdr:cNvPr id="55" name="AutoShape 11">
          <a:extLst>
            <a:ext uri="{FF2B5EF4-FFF2-40B4-BE49-F238E27FC236}">
              <a16:creationId xmlns:a16="http://schemas.microsoft.com/office/drawing/2014/main" id="{00000000-0008-0000-0C00-000060000000}"/>
            </a:ext>
          </a:extLst>
        </xdr:cNvPr>
        <xdr:cNvSpPr>
          <a:spLocks noChangeArrowheads="1"/>
        </xdr:cNvSpPr>
      </xdr:nvSpPr>
      <xdr:spPr bwMode="auto">
        <a:xfrm>
          <a:off x="5095875" y="5884069"/>
          <a:ext cx="796413" cy="421481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583790</xdr:colOff>
      <xdr:row>27</xdr:row>
      <xdr:rowOff>7936</xdr:rowOff>
    </xdr:from>
    <xdr:to>
      <xdr:col>13</xdr:col>
      <xdr:colOff>11907</xdr:colOff>
      <xdr:row>28</xdr:row>
      <xdr:rowOff>189988</xdr:rowOff>
    </xdr:to>
    <xdr:sp macro="" textlink="">
      <xdr:nvSpPr>
        <xdr:cNvPr id="56" name="AutoShape 17">
          <a:extLst>
            <a:ext uri="{FF2B5EF4-FFF2-40B4-BE49-F238E27FC236}">
              <a16:creationId xmlns:a16="http://schemas.microsoft.com/office/drawing/2014/main" id="{00000000-0008-0000-0C00-000061000000}"/>
            </a:ext>
          </a:extLst>
        </xdr:cNvPr>
        <xdr:cNvSpPr>
          <a:spLocks noChangeArrowheads="1"/>
        </xdr:cNvSpPr>
      </xdr:nvSpPr>
      <xdr:spPr bwMode="auto">
        <a:xfrm>
          <a:off x="7765640" y="5913436"/>
          <a:ext cx="713992" cy="382077"/>
        </a:xfrm>
        <a:prstGeom prst="flowChartExtract">
          <a:avLst/>
        </a:prstGeom>
        <a:solidFill>
          <a:schemeClr val="accent2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00000000-0008-0000-0C00-000062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2869</xdr:colOff>
      <xdr:row>35</xdr:row>
      <xdr:rowOff>-1</xdr:rowOff>
    </xdr:from>
    <xdr:to>
      <xdr:col>7</xdr:col>
      <xdr:colOff>-1</xdr:colOff>
      <xdr:row>36</xdr:row>
      <xdr:rowOff>200025</xdr:rowOff>
    </xdr:to>
    <xdr:sp macro="" textlink="">
      <xdr:nvSpPr>
        <xdr:cNvPr id="58" name="AutoShape 11">
          <a:extLst>
            <a:ext uri="{FF2B5EF4-FFF2-40B4-BE49-F238E27FC236}">
              <a16:creationId xmlns:a16="http://schemas.microsoft.com/office/drawing/2014/main" id="{00000000-0008-0000-0C00-000063000000}"/>
            </a:ext>
          </a:extLst>
        </xdr:cNvPr>
        <xdr:cNvSpPr>
          <a:spLocks noChangeArrowheads="1"/>
        </xdr:cNvSpPr>
      </xdr:nvSpPr>
      <xdr:spPr bwMode="auto">
        <a:xfrm>
          <a:off x="3727144" y="7477124"/>
          <a:ext cx="882955" cy="40005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2137</xdr:colOff>
      <xdr:row>35</xdr:row>
      <xdr:rowOff>43938</xdr:rowOff>
    </xdr:from>
    <xdr:to>
      <xdr:col>14</xdr:col>
      <xdr:colOff>752782</xdr:colOff>
      <xdr:row>37</xdr:row>
      <xdr:rowOff>0</xdr:rowOff>
    </xdr:to>
    <xdr:sp macro="" textlink="">
      <xdr:nvSpPr>
        <xdr:cNvPr id="59" name="AutoShape 15">
          <a:extLst>
            <a:ext uri="{FF2B5EF4-FFF2-40B4-BE49-F238E27FC236}">
              <a16:creationId xmlns:a16="http://schemas.microsoft.com/office/drawing/2014/main" id="{00000000-0008-0000-0C00-000064000000}"/>
            </a:ext>
          </a:extLst>
        </xdr:cNvPr>
        <xdr:cNvSpPr>
          <a:spLocks noChangeArrowheads="1"/>
        </xdr:cNvSpPr>
      </xdr:nvSpPr>
      <xdr:spPr bwMode="auto">
        <a:xfrm>
          <a:off x="9155662" y="7521063"/>
          <a:ext cx="750645" cy="356112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5111</xdr:colOff>
      <xdr:row>35</xdr:row>
      <xdr:rowOff>23811</xdr:rowOff>
    </xdr:from>
    <xdr:to>
      <xdr:col>3</xdr:col>
      <xdr:colOff>12336</xdr:colOff>
      <xdr:row>36</xdr:row>
      <xdr:rowOff>198874</xdr:rowOff>
    </xdr:to>
    <xdr:sp macro="" textlink="">
      <xdr:nvSpPr>
        <xdr:cNvPr id="60" name="AutoShape 17">
          <a:extLst>
            <a:ext uri="{FF2B5EF4-FFF2-40B4-BE49-F238E27FC236}">
              <a16:creationId xmlns:a16="http://schemas.microsoft.com/office/drawing/2014/main" id="{00000000-0008-0000-0C00-000065000000}"/>
            </a:ext>
          </a:extLst>
        </xdr:cNvPr>
        <xdr:cNvSpPr>
          <a:spLocks noChangeArrowheads="1"/>
        </xdr:cNvSpPr>
      </xdr:nvSpPr>
      <xdr:spPr bwMode="auto">
        <a:xfrm>
          <a:off x="986186" y="7500936"/>
          <a:ext cx="712075" cy="375088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2381</xdr:colOff>
      <xdr:row>34</xdr:row>
      <xdr:rowOff>161061</xdr:rowOff>
    </xdr:from>
    <xdr:to>
      <xdr:col>5</xdr:col>
      <xdr:colOff>9524</xdr:colOff>
      <xdr:row>37</xdr:row>
      <xdr:rowOff>2197</xdr:rowOff>
    </xdr:to>
    <xdr:sp macro="" textlink="">
      <xdr:nvSpPr>
        <xdr:cNvPr id="61" name="AutoShape 17">
          <a:extLst>
            <a:ext uri="{FF2B5EF4-FFF2-40B4-BE49-F238E27FC236}">
              <a16:creationId xmlns:a16="http://schemas.microsoft.com/office/drawing/2014/main" id="{00000000-0008-0000-0C00-000066000000}"/>
            </a:ext>
          </a:extLst>
        </xdr:cNvPr>
        <xdr:cNvSpPr>
          <a:spLocks noChangeArrowheads="1"/>
        </xdr:cNvSpPr>
      </xdr:nvSpPr>
      <xdr:spPr bwMode="auto">
        <a:xfrm>
          <a:off x="2497931" y="7438161"/>
          <a:ext cx="645318" cy="44121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5254</xdr:colOff>
      <xdr:row>35</xdr:row>
      <xdr:rowOff>41843</xdr:rowOff>
    </xdr:from>
    <xdr:to>
      <xdr:col>17</xdr:col>
      <xdr:colOff>1</xdr:colOff>
      <xdr:row>37</xdr:row>
      <xdr:rowOff>0</xdr:rowOff>
    </xdr:to>
    <xdr:sp macro="" textlink="">
      <xdr:nvSpPr>
        <xdr:cNvPr id="62" name="AutoShape 26">
          <a:extLst>
            <a:ext uri="{FF2B5EF4-FFF2-40B4-BE49-F238E27FC236}">
              <a16:creationId xmlns:a16="http://schemas.microsoft.com/office/drawing/2014/main" id="{00000000-0008-0000-0C00-000067000000}"/>
            </a:ext>
          </a:extLst>
        </xdr:cNvPr>
        <xdr:cNvSpPr>
          <a:spLocks noChangeArrowheads="1"/>
        </xdr:cNvSpPr>
      </xdr:nvSpPr>
      <xdr:spPr bwMode="auto">
        <a:xfrm>
          <a:off x="10711354" y="7518968"/>
          <a:ext cx="690072" cy="358207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3" name="AutoShape 5">
          <a:extLst>
            <a:ext uri="{FF2B5EF4-FFF2-40B4-BE49-F238E27FC236}">
              <a16:creationId xmlns:a16="http://schemas.microsoft.com/office/drawing/2014/main" id="{00000000-0008-0000-0C00-000068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4" name="AutoShape 5">
          <a:extLst>
            <a:ext uri="{FF2B5EF4-FFF2-40B4-BE49-F238E27FC236}">
              <a16:creationId xmlns:a16="http://schemas.microsoft.com/office/drawing/2014/main" id="{00000000-0008-0000-0C00-000069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35</xdr:row>
      <xdr:rowOff>7144</xdr:rowOff>
    </xdr:from>
    <xdr:to>
      <xdr:col>0</xdr:col>
      <xdr:colOff>3400</xdr:colOff>
      <xdr:row>36</xdr:row>
      <xdr:rowOff>190500</xdr:rowOff>
    </xdr:to>
    <xdr:sp macro="" textlink="">
      <xdr:nvSpPr>
        <xdr:cNvPr id="65" name="AutoShape 5">
          <a:extLst>
            <a:ext uri="{FF2B5EF4-FFF2-40B4-BE49-F238E27FC236}">
              <a16:creationId xmlns:a16="http://schemas.microsoft.com/office/drawing/2014/main" id="{00000000-0008-0000-0C00-00006A000000}"/>
            </a:ext>
          </a:extLst>
        </xdr:cNvPr>
        <xdr:cNvSpPr>
          <a:spLocks noChangeArrowheads="1"/>
        </xdr:cNvSpPr>
      </xdr:nvSpPr>
      <xdr:spPr bwMode="auto">
        <a:xfrm>
          <a:off x="0" y="748426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11906</xdr:colOff>
      <xdr:row>37</xdr:row>
      <xdr:rowOff>0</xdr:rowOff>
    </xdr:to>
    <xdr:sp macro="" textlink="">
      <xdr:nvSpPr>
        <xdr:cNvPr id="66" name="AutoShape 20">
          <a:extLst>
            <a:ext uri="{FF2B5EF4-FFF2-40B4-BE49-F238E27FC236}">
              <a16:creationId xmlns:a16="http://schemas.microsoft.com/office/drawing/2014/main" id="{00000000-0008-0000-0C00-00006B000000}"/>
            </a:ext>
          </a:extLst>
        </xdr:cNvPr>
        <xdr:cNvSpPr>
          <a:spLocks noChangeArrowheads="1"/>
        </xdr:cNvSpPr>
      </xdr:nvSpPr>
      <xdr:spPr bwMode="auto">
        <a:xfrm>
          <a:off x="11972925" y="7477125"/>
          <a:ext cx="754856" cy="4000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34</xdr:row>
      <xdr:rowOff>190500</xdr:rowOff>
    </xdr:from>
    <xdr:to>
      <xdr:col>11</xdr:col>
      <xdr:colOff>1</xdr:colOff>
      <xdr:row>37</xdr:row>
      <xdr:rowOff>2724</xdr:rowOff>
    </xdr:to>
    <xdr:sp macro="" textlink="">
      <xdr:nvSpPr>
        <xdr:cNvPr id="67" name="AutoShape 17">
          <a:extLst>
            <a:ext uri="{FF2B5EF4-FFF2-40B4-BE49-F238E27FC236}">
              <a16:creationId xmlns:a16="http://schemas.microsoft.com/office/drawing/2014/main" id="{00000000-0008-0000-0C00-00006C000000}"/>
            </a:ext>
          </a:extLst>
        </xdr:cNvPr>
        <xdr:cNvSpPr>
          <a:spLocks noChangeArrowheads="1"/>
        </xdr:cNvSpPr>
      </xdr:nvSpPr>
      <xdr:spPr bwMode="auto">
        <a:xfrm>
          <a:off x="6448426" y="7467600"/>
          <a:ext cx="733425" cy="412299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34</xdr:row>
      <xdr:rowOff>178594</xdr:rowOff>
    </xdr:from>
    <xdr:to>
      <xdr:col>9</xdr:col>
      <xdr:colOff>0</xdr:colOff>
      <xdr:row>37</xdr:row>
      <xdr:rowOff>0</xdr:rowOff>
    </xdr:to>
    <xdr:sp macro="" textlink="">
      <xdr:nvSpPr>
        <xdr:cNvPr id="68" name="AutoShape 11">
          <a:extLst>
            <a:ext uri="{FF2B5EF4-FFF2-40B4-BE49-F238E27FC236}">
              <a16:creationId xmlns:a16="http://schemas.microsoft.com/office/drawing/2014/main" id="{00000000-0008-0000-0C00-00006D000000}"/>
            </a:ext>
          </a:extLst>
        </xdr:cNvPr>
        <xdr:cNvSpPr>
          <a:spLocks noChangeArrowheads="1"/>
        </xdr:cNvSpPr>
      </xdr:nvSpPr>
      <xdr:spPr bwMode="auto">
        <a:xfrm>
          <a:off x="5095875" y="7455694"/>
          <a:ext cx="781050" cy="4214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34</xdr:row>
      <xdr:rowOff>178594</xdr:rowOff>
    </xdr:from>
    <xdr:to>
      <xdr:col>13</xdr:col>
      <xdr:colOff>0</xdr:colOff>
      <xdr:row>37</xdr:row>
      <xdr:rowOff>2725</xdr:rowOff>
    </xdr:to>
    <xdr:sp macro="" textlink="">
      <xdr:nvSpPr>
        <xdr:cNvPr id="69" name="AutoShape 17">
          <a:extLst>
            <a:ext uri="{FF2B5EF4-FFF2-40B4-BE49-F238E27FC236}">
              <a16:creationId xmlns:a16="http://schemas.microsoft.com/office/drawing/2014/main" id="{00000000-0008-0000-0C00-00006E000000}"/>
            </a:ext>
          </a:extLst>
        </xdr:cNvPr>
        <xdr:cNvSpPr>
          <a:spLocks noChangeArrowheads="1"/>
        </xdr:cNvSpPr>
      </xdr:nvSpPr>
      <xdr:spPr bwMode="auto">
        <a:xfrm>
          <a:off x="7781925" y="7455694"/>
          <a:ext cx="685800" cy="424206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0" name="AutoShape 5">
          <a:extLst>
            <a:ext uri="{FF2B5EF4-FFF2-40B4-BE49-F238E27FC236}">
              <a16:creationId xmlns:a16="http://schemas.microsoft.com/office/drawing/2014/main" id="{00000000-0008-0000-0C00-00006F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1" name="AutoShape 5">
          <a:extLst>
            <a:ext uri="{FF2B5EF4-FFF2-40B4-BE49-F238E27FC236}">
              <a16:creationId xmlns:a16="http://schemas.microsoft.com/office/drawing/2014/main" id="{00000000-0008-0000-0C00-000070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2" name="AutoShape 5">
          <a:extLst>
            <a:ext uri="{FF2B5EF4-FFF2-40B4-BE49-F238E27FC236}">
              <a16:creationId xmlns:a16="http://schemas.microsoft.com/office/drawing/2014/main" id="{00000000-0008-0000-0C00-000071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36</xdr:row>
      <xdr:rowOff>7144</xdr:rowOff>
    </xdr:from>
    <xdr:to>
      <xdr:col>0</xdr:col>
      <xdr:colOff>3400</xdr:colOff>
      <xdr:row>37</xdr:row>
      <xdr:rowOff>190500</xdr:rowOff>
    </xdr:to>
    <xdr:sp macro="" textlink="">
      <xdr:nvSpPr>
        <xdr:cNvPr id="73" name="AutoShape 5">
          <a:extLst>
            <a:ext uri="{FF2B5EF4-FFF2-40B4-BE49-F238E27FC236}">
              <a16:creationId xmlns:a16="http://schemas.microsoft.com/office/drawing/2014/main" id="{00000000-0008-0000-0C00-000072000000}"/>
            </a:ext>
          </a:extLst>
        </xdr:cNvPr>
        <xdr:cNvSpPr>
          <a:spLocks noChangeArrowheads="1"/>
        </xdr:cNvSpPr>
      </xdr:nvSpPr>
      <xdr:spPr bwMode="auto">
        <a:xfrm>
          <a:off x="0" y="7684294"/>
          <a:ext cx="3400" cy="36433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0</xdr:colOff>
      <xdr:row>23</xdr:row>
      <xdr:rowOff>0</xdr:rowOff>
    </xdr:from>
    <xdr:to>
      <xdr:col>19</xdr:col>
      <xdr:colOff>261937</xdr:colOff>
      <xdr:row>24</xdr:row>
      <xdr:rowOff>35718</xdr:rowOff>
    </xdr:to>
    <xdr:cxnSp macro="">
      <xdr:nvCxnSpPr>
        <xdr:cNvPr id="74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1271587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15875</xdr:rowOff>
    </xdr:from>
    <xdr:to>
      <xdr:col>15</xdr:col>
      <xdr:colOff>309562</xdr:colOff>
      <xdr:row>24</xdr:row>
      <xdr:rowOff>51593</xdr:rowOff>
    </xdr:to>
    <xdr:cxnSp macro="">
      <xdr:nvCxnSpPr>
        <xdr:cNvPr id="75" name="Elbow Connector 55">
          <a:extLst>
            <a:ext uri="{FF2B5EF4-FFF2-40B4-BE49-F238E27FC236}">
              <a16:creationId xmlns:a16="http://schemas.microsoft.com/office/drawing/2014/main" id="{00000000-0008-0000-0C00-000075000000}"/>
            </a:ext>
          </a:extLst>
        </xdr:cNvPr>
        <xdr:cNvCxnSpPr/>
      </xdr:nvCxnSpPr>
      <xdr:spPr>
        <a:xfrm>
          <a:off x="9963150" y="512127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460887</xdr:colOff>
      <xdr:row>35</xdr:row>
      <xdr:rowOff>30726</xdr:rowOff>
    </xdr:from>
    <xdr:to>
      <xdr:col>9</xdr:col>
      <xdr:colOff>518881</xdr:colOff>
      <xdr:row>39</xdr:row>
      <xdr:rowOff>26883</xdr:rowOff>
    </xdr:to>
    <xdr:cxnSp macro="">
      <xdr:nvCxnSpPr>
        <xdr:cNvPr id="76" name="AutoShape 381">
          <a:extLst>
            <a:ext uri="{FF2B5EF4-FFF2-40B4-BE49-F238E27FC236}">
              <a16:creationId xmlns:a16="http://schemas.microsoft.com/office/drawing/2014/main" id="{00000000-0008-0000-0C00-000076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916293" y="7929370"/>
          <a:ext cx="901032" cy="57994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476254</xdr:colOff>
      <xdr:row>35</xdr:row>
      <xdr:rowOff>15364</xdr:rowOff>
    </xdr:from>
    <xdr:to>
      <xdr:col>11</xdr:col>
      <xdr:colOff>546156</xdr:colOff>
      <xdr:row>38</xdr:row>
      <xdr:rowOff>330684</xdr:rowOff>
    </xdr:to>
    <xdr:cxnSp macro="">
      <xdr:nvCxnSpPr>
        <xdr:cNvPr id="77" name="AutoShape 381">
          <a:extLst>
            <a:ext uri="{FF2B5EF4-FFF2-40B4-BE49-F238E27FC236}">
              <a16:creationId xmlns:a16="http://schemas.microsoft.com/office/drawing/2014/main" id="{00000000-0008-0000-0C00-00007700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249645" y="7900948"/>
          <a:ext cx="886820" cy="69902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76815</xdr:colOff>
      <xdr:row>28</xdr:row>
      <xdr:rowOff>107541</xdr:rowOff>
    </xdr:from>
    <xdr:to>
      <xdr:col>5</xdr:col>
      <xdr:colOff>210165</xdr:colOff>
      <xdr:row>30</xdr:row>
      <xdr:rowOff>160083</xdr:rowOff>
    </xdr:to>
    <xdr:sp macro="" textlink="">
      <xdr:nvSpPr>
        <xdr:cNvPr id="78" name="Freeform 2321">
          <a:extLst>
            <a:ext uri="{FF2B5EF4-FFF2-40B4-BE49-F238E27FC236}">
              <a16:creationId xmlns:a16="http://schemas.microsoft.com/office/drawing/2014/main" id="{00000000-0008-0000-0C00-000079000000}"/>
            </a:ext>
          </a:extLst>
        </xdr:cNvPr>
        <xdr:cNvSpPr>
          <a:spLocks/>
        </xdr:cNvSpPr>
      </xdr:nvSpPr>
      <xdr:spPr bwMode="auto">
        <a:xfrm>
          <a:off x="3210540" y="6213066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76815</xdr:colOff>
      <xdr:row>28</xdr:row>
      <xdr:rowOff>92177</xdr:rowOff>
    </xdr:from>
    <xdr:to>
      <xdr:col>9</xdr:col>
      <xdr:colOff>210165</xdr:colOff>
      <xdr:row>30</xdr:row>
      <xdr:rowOff>144719</xdr:rowOff>
    </xdr:to>
    <xdr:sp macro="" textlink="">
      <xdr:nvSpPr>
        <xdr:cNvPr id="79" name="Freeform 2321">
          <a:extLst>
            <a:ext uri="{FF2B5EF4-FFF2-40B4-BE49-F238E27FC236}">
              <a16:creationId xmlns:a16="http://schemas.microsoft.com/office/drawing/2014/main" id="{00000000-0008-0000-0C00-00007A000000}"/>
            </a:ext>
          </a:extLst>
        </xdr:cNvPr>
        <xdr:cNvSpPr>
          <a:spLocks/>
        </xdr:cNvSpPr>
      </xdr:nvSpPr>
      <xdr:spPr bwMode="auto">
        <a:xfrm>
          <a:off x="5953740" y="6197702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46089</xdr:colOff>
      <xdr:row>28</xdr:row>
      <xdr:rowOff>92178</xdr:rowOff>
    </xdr:from>
    <xdr:to>
      <xdr:col>13</xdr:col>
      <xdr:colOff>179439</xdr:colOff>
      <xdr:row>30</xdr:row>
      <xdr:rowOff>144720</xdr:rowOff>
    </xdr:to>
    <xdr:sp macro="" textlink="">
      <xdr:nvSpPr>
        <xdr:cNvPr id="80" name="Freeform 2321">
          <a:extLst>
            <a:ext uri="{FF2B5EF4-FFF2-40B4-BE49-F238E27FC236}">
              <a16:creationId xmlns:a16="http://schemas.microsoft.com/office/drawing/2014/main" id="{00000000-0008-0000-0C00-00007B000000}"/>
            </a:ext>
          </a:extLst>
        </xdr:cNvPr>
        <xdr:cNvSpPr>
          <a:spLocks/>
        </xdr:cNvSpPr>
      </xdr:nvSpPr>
      <xdr:spPr bwMode="auto">
        <a:xfrm>
          <a:off x="8513814" y="6197703"/>
          <a:ext cx="133350" cy="42401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261170</xdr:colOff>
      <xdr:row>10</xdr:row>
      <xdr:rowOff>133349</xdr:rowOff>
    </xdr:from>
    <xdr:to>
      <xdr:col>23</xdr:col>
      <xdr:colOff>466725</xdr:colOff>
      <xdr:row>14</xdr:row>
      <xdr:rowOff>122902</xdr:rowOff>
    </xdr:to>
    <xdr:sp macro="" textlink="">
      <xdr:nvSpPr>
        <xdr:cNvPr id="81" name="Freeform 2321">
          <a:extLst>
            <a:ext uri="{FF2B5EF4-FFF2-40B4-BE49-F238E27FC236}">
              <a16:creationId xmlns:a16="http://schemas.microsoft.com/office/drawing/2014/main" id="{00000000-0008-0000-0C00-00007D000000}"/>
            </a:ext>
          </a:extLst>
        </xdr:cNvPr>
        <xdr:cNvSpPr>
          <a:spLocks/>
        </xdr:cNvSpPr>
      </xdr:nvSpPr>
      <xdr:spPr bwMode="auto">
        <a:xfrm>
          <a:off x="15624995" y="2409824"/>
          <a:ext cx="205555" cy="980153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24</xdr:col>
      <xdr:colOff>307260</xdr:colOff>
      <xdr:row>10</xdr:row>
      <xdr:rowOff>76815</xdr:rowOff>
    </xdr:from>
    <xdr:to>
      <xdr:col>24</xdr:col>
      <xdr:colOff>503202</xdr:colOff>
      <xdr:row>15</xdr:row>
      <xdr:rowOff>65929</xdr:rowOff>
    </xdr:to>
    <xdr:grpSp>
      <xdr:nvGrpSpPr>
        <xdr:cNvPr id="82" name="Group 2201">
          <a:extLst>
            <a:ext uri="{FF2B5EF4-FFF2-40B4-BE49-F238E27FC236}">
              <a16:creationId xmlns:a16="http://schemas.microsoft.com/office/drawing/2014/main" id="{00000000-0008-0000-0C00-00007E000000}"/>
            </a:ext>
          </a:extLst>
        </xdr:cNvPr>
        <xdr:cNvGrpSpPr>
          <a:grpSpLocks/>
        </xdr:cNvGrpSpPr>
      </xdr:nvGrpSpPr>
      <xdr:grpSpPr bwMode="auto">
        <a:xfrm>
          <a:off x="16276518" y="2324120"/>
          <a:ext cx="195942" cy="1164856"/>
          <a:chOff x="752" y="1574"/>
          <a:chExt cx="16" cy="52"/>
        </a:xfrm>
      </xdr:grpSpPr>
      <xdr:sp macro="" textlink="">
        <xdr:nvSpPr>
          <xdr:cNvPr id="83" name="Line 2202">
            <a:extLst>
              <a:ext uri="{FF2B5EF4-FFF2-40B4-BE49-F238E27FC236}">
                <a16:creationId xmlns:a16="http://schemas.microsoft.com/office/drawing/2014/main" id="{00000000-0008-0000-0C00-00007F00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203">
            <a:extLst>
              <a:ext uri="{FF2B5EF4-FFF2-40B4-BE49-F238E27FC236}">
                <a16:creationId xmlns:a16="http://schemas.microsoft.com/office/drawing/2014/main" id="{00000000-0008-0000-0C00-000080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204">
            <a:extLst>
              <a:ext uri="{FF2B5EF4-FFF2-40B4-BE49-F238E27FC236}">
                <a16:creationId xmlns:a16="http://schemas.microsoft.com/office/drawing/2014/main" id="{00000000-0008-0000-0C00-00008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414801</xdr:colOff>
      <xdr:row>20</xdr:row>
      <xdr:rowOff>138267</xdr:rowOff>
    </xdr:from>
    <xdr:to>
      <xdr:col>15</xdr:col>
      <xdr:colOff>548151</xdr:colOff>
      <xdr:row>22</xdr:row>
      <xdr:rowOff>144719</xdr:rowOff>
    </xdr:to>
    <xdr:sp macro="" textlink="">
      <xdr:nvSpPr>
        <xdr:cNvPr id="86" name="Freeform 2321">
          <a:extLst>
            <a:ext uri="{FF2B5EF4-FFF2-40B4-BE49-F238E27FC236}">
              <a16:creationId xmlns:a16="http://schemas.microsoft.com/office/drawing/2014/main" id="{00000000-0008-0000-0C00-000086000000}"/>
            </a:ext>
          </a:extLst>
        </xdr:cNvPr>
        <xdr:cNvSpPr>
          <a:spLocks/>
        </xdr:cNvSpPr>
      </xdr:nvSpPr>
      <xdr:spPr bwMode="auto">
        <a:xfrm>
          <a:off x="10330326" y="4634067"/>
          <a:ext cx="133350" cy="416027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0</xdr:rowOff>
    </xdr:from>
    <xdr:to>
      <xdr:col>5</xdr:col>
      <xdr:colOff>261937</xdr:colOff>
      <xdr:row>32</xdr:row>
      <xdr:rowOff>35718</xdr:rowOff>
    </xdr:to>
    <xdr:cxnSp macro="">
      <xdr:nvCxnSpPr>
        <xdr:cNvPr id="87" name="Elbow Connector 55">
          <a:extLst>
            <a:ext uri="{FF2B5EF4-FFF2-40B4-BE49-F238E27FC236}">
              <a16:creationId xmlns:a16="http://schemas.microsoft.com/office/drawing/2014/main" id="{00000000-0008-0000-0C00-00007C000000}"/>
            </a:ext>
          </a:extLst>
        </xdr:cNvPr>
        <xdr:cNvCxnSpPr/>
      </xdr:nvCxnSpPr>
      <xdr:spPr>
        <a:xfrm>
          <a:off x="31337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23</xdr:row>
      <xdr:rowOff>0</xdr:rowOff>
    </xdr:from>
    <xdr:to>
      <xdr:col>17</xdr:col>
      <xdr:colOff>261937</xdr:colOff>
      <xdr:row>24</xdr:row>
      <xdr:rowOff>35718</xdr:rowOff>
    </xdr:to>
    <xdr:cxnSp macro="">
      <xdr:nvCxnSpPr>
        <xdr:cNvPr id="88" name="Elbow Connector 55">
          <a:extLst>
            <a:ext uri="{FF2B5EF4-FFF2-40B4-BE49-F238E27FC236}">
              <a16:creationId xmlns:a16="http://schemas.microsoft.com/office/drawing/2014/main" id="{00000000-0008-0000-0C00-000082000000}"/>
            </a:ext>
          </a:extLst>
        </xdr:cNvPr>
        <xdr:cNvCxnSpPr/>
      </xdr:nvCxnSpPr>
      <xdr:spPr>
        <a:xfrm>
          <a:off x="11401425" y="5105400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30</xdr:row>
      <xdr:rowOff>190500</xdr:rowOff>
    </xdr:from>
    <xdr:to>
      <xdr:col>13</xdr:col>
      <xdr:colOff>261937</xdr:colOff>
      <xdr:row>32</xdr:row>
      <xdr:rowOff>19843</xdr:rowOff>
    </xdr:to>
    <xdr:cxnSp macro="">
      <xdr:nvCxnSpPr>
        <xdr:cNvPr id="89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8467725" y="6667500"/>
          <a:ext cx="261937" cy="2293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261937</xdr:colOff>
      <xdr:row>32</xdr:row>
      <xdr:rowOff>35718</xdr:rowOff>
    </xdr:to>
    <xdr:cxnSp macro="">
      <xdr:nvCxnSpPr>
        <xdr:cNvPr id="90" name="Elbow Connector 55">
          <a:extLst>
            <a:ext uri="{FF2B5EF4-FFF2-40B4-BE49-F238E27FC236}">
              <a16:creationId xmlns:a16="http://schemas.microsoft.com/office/drawing/2014/main" id="{00000000-0008-0000-0C00-000084000000}"/>
            </a:ext>
          </a:extLst>
        </xdr:cNvPr>
        <xdr:cNvCxnSpPr/>
      </xdr:nvCxnSpPr>
      <xdr:spPr>
        <a:xfrm>
          <a:off x="718185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31</xdr:row>
      <xdr:rowOff>0</xdr:rowOff>
    </xdr:from>
    <xdr:to>
      <xdr:col>9</xdr:col>
      <xdr:colOff>261937</xdr:colOff>
      <xdr:row>32</xdr:row>
      <xdr:rowOff>35718</xdr:rowOff>
    </xdr:to>
    <xdr:cxnSp macro="">
      <xdr:nvCxnSpPr>
        <xdr:cNvPr id="91" name="Elbow Connector 55">
          <a:extLst>
            <a:ext uri="{FF2B5EF4-FFF2-40B4-BE49-F238E27FC236}">
              <a16:creationId xmlns:a16="http://schemas.microsoft.com/office/drawing/2014/main" id="{00000000-0008-0000-0C00-000085000000}"/>
            </a:ext>
          </a:extLst>
        </xdr:cNvPr>
        <xdr:cNvCxnSpPr/>
      </xdr:nvCxnSpPr>
      <xdr:spPr>
        <a:xfrm>
          <a:off x="58769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31</xdr:row>
      <xdr:rowOff>0</xdr:rowOff>
    </xdr:from>
    <xdr:to>
      <xdr:col>17</xdr:col>
      <xdr:colOff>261937</xdr:colOff>
      <xdr:row>32</xdr:row>
      <xdr:rowOff>35718</xdr:rowOff>
    </xdr:to>
    <xdr:cxnSp macro="">
      <xdr:nvCxnSpPr>
        <xdr:cNvPr id="92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1140142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31</xdr:row>
      <xdr:rowOff>0</xdr:rowOff>
    </xdr:from>
    <xdr:to>
      <xdr:col>19</xdr:col>
      <xdr:colOff>261937</xdr:colOff>
      <xdr:row>32</xdr:row>
      <xdr:rowOff>35718</xdr:rowOff>
    </xdr:to>
    <xdr:cxnSp macro="">
      <xdr:nvCxnSpPr>
        <xdr:cNvPr id="9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2715875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4" name="AutoShape 5">
          <a:extLst>
            <a:ext uri="{FF2B5EF4-FFF2-40B4-BE49-F238E27FC236}">
              <a16:creationId xmlns:a16="http://schemas.microsoft.com/office/drawing/2014/main" id="{00000000-0008-0000-0C00-000089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5" name="AutoShape 5">
          <a:extLst>
            <a:ext uri="{FF2B5EF4-FFF2-40B4-BE49-F238E27FC236}">
              <a16:creationId xmlns:a16="http://schemas.microsoft.com/office/drawing/2014/main" id="{00000000-0008-0000-0C00-00008A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6" name="AutoShape 5">
          <a:extLst>
            <a:ext uri="{FF2B5EF4-FFF2-40B4-BE49-F238E27FC236}">
              <a16:creationId xmlns:a16="http://schemas.microsoft.com/office/drawing/2014/main" id="{00000000-0008-0000-0C00-00008B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7144</xdr:rowOff>
    </xdr:from>
    <xdr:to>
      <xdr:col>0</xdr:col>
      <xdr:colOff>3400</xdr:colOff>
      <xdr:row>23</xdr:row>
      <xdr:rowOff>190500</xdr:rowOff>
    </xdr:to>
    <xdr:sp macro="" textlink="">
      <xdr:nvSpPr>
        <xdr:cNvPr id="97" name="AutoShape 5">
          <a:extLst>
            <a:ext uri="{FF2B5EF4-FFF2-40B4-BE49-F238E27FC236}">
              <a16:creationId xmlns:a16="http://schemas.microsoft.com/office/drawing/2014/main" id="{00000000-0008-0000-0C00-00008C000000}"/>
            </a:ext>
          </a:extLst>
        </xdr:cNvPr>
        <xdr:cNvSpPr>
          <a:spLocks noChangeArrowheads="1"/>
        </xdr:cNvSpPr>
      </xdr:nvSpPr>
      <xdr:spPr bwMode="auto">
        <a:xfrm>
          <a:off x="0" y="4912519"/>
          <a:ext cx="3400" cy="383381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18</xdr:row>
      <xdr:rowOff>174625</xdr:rowOff>
    </xdr:from>
    <xdr:to>
      <xdr:col>11</xdr:col>
      <xdr:colOff>25400</xdr:colOff>
      <xdr:row>21</xdr:row>
      <xdr:rowOff>0</xdr:rowOff>
    </xdr:to>
    <xdr:sp macro="" textlink="">
      <xdr:nvSpPr>
        <xdr:cNvPr id="98" name="AutoShape 11">
          <a:extLst>
            <a:ext uri="{FF2B5EF4-FFF2-40B4-BE49-F238E27FC236}">
              <a16:creationId xmlns:a16="http://schemas.microsoft.com/office/drawing/2014/main" id="{00000000-0008-0000-0C00-00008D000000}"/>
            </a:ext>
          </a:extLst>
        </xdr:cNvPr>
        <xdr:cNvSpPr>
          <a:spLocks noChangeArrowheads="1"/>
        </xdr:cNvSpPr>
      </xdr:nvSpPr>
      <xdr:spPr bwMode="auto">
        <a:xfrm>
          <a:off x="6448425" y="4270375"/>
          <a:ext cx="758825" cy="425450"/>
        </a:xfrm>
        <a:prstGeom prst="flowChartExtract">
          <a:avLst/>
        </a:prstGeom>
        <a:solidFill>
          <a:sysClr val="window" lastClr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0</xdr:colOff>
      <xdr:row>39</xdr:row>
      <xdr:rowOff>0</xdr:rowOff>
    </xdr:from>
    <xdr:to>
      <xdr:col>3</xdr:col>
      <xdr:colOff>261937</xdr:colOff>
      <xdr:row>40</xdr:row>
      <xdr:rowOff>3968</xdr:rowOff>
    </xdr:to>
    <xdr:cxnSp macro="">
      <xdr:nvCxnSpPr>
        <xdr:cNvPr id="99" name="Elbow Connector 55">
          <a:extLst>
            <a:ext uri="{FF2B5EF4-FFF2-40B4-BE49-F238E27FC236}">
              <a16:creationId xmlns:a16="http://schemas.microsoft.com/office/drawing/2014/main" id="{00000000-0008-0000-0C00-000078000000}"/>
            </a:ext>
          </a:extLst>
        </xdr:cNvPr>
        <xdr:cNvCxnSpPr/>
      </xdr:nvCxnSpPr>
      <xdr:spPr>
        <a:xfrm>
          <a:off x="1685925" y="8382000"/>
          <a:ext cx="261937" cy="2420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31</xdr:row>
      <xdr:rowOff>0</xdr:rowOff>
    </xdr:from>
    <xdr:to>
      <xdr:col>7</xdr:col>
      <xdr:colOff>261937</xdr:colOff>
      <xdr:row>32</xdr:row>
      <xdr:rowOff>35718</xdr:rowOff>
    </xdr:to>
    <xdr:cxnSp macro="">
      <xdr:nvCxnSpPr>
        <xdr:cNvPr id="100" name="Elbow Connector 55">
          <a:extLst>
            <a:ext uri="{FF2B5EF4-FFF2-40B4-BE49-F238E27FC236}">
              <a16:creationId xmlns:a16="http://schemas.microsoft.com/office/drawing/2014/main" id="{00000000-0008-0000-0C00-000083000000}"/>
            </a:ext>
          </a:extLst>
        </xdr:cNvPr>
        <xdr:cNvCxnSpPr/>
      </xdr:nvCxnSpPr>
      <xdr:spPr>
        <a:xfrm>
          <a:off x="4610100" y="6677025"/>
          <a:ext cx="261937" cy="23574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31</xdr:row>
      <xdr:rowOff>0</xdr:rowOff>
    </xdr:from>
    <xdr:to>
      <xdr:col>15</xdr:col>
      <xdr:colOff>261937</xdr:colOff>
      <xdr:row>32</xdr:row>
      <xdr:rowOff>35718</xdr:rowOff>
    </xdr:to>
    <xdr:cxnSp macro="">
      <xdr:nvCxnSpPr>
        <xdr:cNvPr id="101" name="Elbow Connector 55">
          <a:extLst>
            <a:ext uri="{FF2B5EF4-FFF2-40B4-BE49-F238E27FC236}">
              <a16:creationId xmlns:a16="http://schemas.microsoft.com/office/drawing/2014/main" id="{00000000-0008-0000-0C00-000087000000}"/>
            </a:ext>
          </a:extLst>
        </xdr:cNvPr>
        <xdr:cNvCxnSpPr/>
      </xdr:nvCxnSpPr>
      <xdr:spPr>
        <a:xfrm>
          <a:off x="9897070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261937</xdr:colOff>
      <xdr:row>24</xdr:row>
      <xdr:rowOff>35718</xdr:rowOff>
    </xdr:to>
    <xdr:cxnSp macro="">
      <xdr:nvCxnSpPr>
        <xdr:cNvPr id="102" name="Elbow Connector 55">
          <a:extLst>
            <a:ext uri="{FF2B5EF4-FFF2-40B4-BE49-F238E27FC236}">
              <a16:creationId xmlns:a16="http://schemas.microsoft.com/office/drawing/2014/main" id="{00000000-0008-0000-0C00-000074000000}"/>
            </a:ext>
          </a:extLst>
        </xdr:cNvPr>
        <xdr:cNvCxnSpPr/>
      </xdr:nvCxnSpPr>
      <xdr:spPr>
        <a:xfrm>
          <a:off x="8453438" y="5030391"/>
          <a:ext cx="261937" cy="22919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31</xdr:row>
      <xdr:rowOff>0</xdr:rowOff>
    </xdr:from>
    <xdr:to>
      <xdr:col>21</xdr:col>
      <xdr:colOff>261937</xdr:colOff>
      <xdr:row>32</xdr:row>
      <xdr:rowOff>35718</xdr:rowOff>
    </xdr:to>
    <xdr:cxnSp macro="">
      <xdr:nvCxnSpPr>
        <xdr:cNvPr id="103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3885664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261937</xdr:colOff>
      <xdr:row>32</xdr:row>
      <xdr:rowOff>35718</xdr:rowOff>
    </xdr:to>
    <xdr:cxnSp macro="">
      <xdr:nvCxnSpPr>
        <xdr:cNvPr id="104" name="Elbow Connector 55">
          <a:extLst>
            <a:ext uri="{FF2B5EF4-FFF2-40B4-BE49-F238E27FC236}">
              <a16:creationId xmlns:a16="http://schemas.microsoft.com/office/drawing/2014/main" id="{00000000-0008-0000-0C00-000088000000}"/>
            </a:ext>
          </a:extLst>
        </xdr:cNvPr>
        <xdr:cNvCxnSpPr/>
      </xdr:nvCxnSpPr>
      <xdr:spPr>
        <a:xfrm>
          <a:off x="1681758" y="6563320"/>
          <a:ext cx="261937" cy="22919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7</xdr:row>
      <xdr:rowOff>28575</xdr:rowOff>
    </xdr:from>
    <xdr:to>
      <xdr:col>23</xdr:col>
      <xdr:colOff>9525</xdr:colOff>
      <xdr:row>9</xdr:row>
      <xdr:rowOff>0</xdr:rowOff>
    </xdr:to>
    <xdr:sp macro="" textlink="">
      <xdr:nvSpPr>
        <xdr:cNvPr id="2" name="AutoShape 104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>
          <a:spLocks noChangeArrowheads="1"/>
        </xdr:cNvSpPr>
      </xdr:nvSpPr>
      <xdr:spPr bwMode="auto">
        <a:xfrm>
          <a:off x="18145125" y="1781175"/>
          <a:ext cx="781050" cy="581025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368709</xdr:colOff>
      <xdr:row>7</xdr:row>
      <xdr:rowOff>107540</xdr:rowOff>
    </xdr:from>
    <xdr:to>
      <xdr:col>22</xdr:col>
      <xdr:colOff>266701</xdr:colOff>
      <xdr:row>7</xdr:row>
      <xdr:rowOff>219075</xdr:rowOff>
    </xdr:to>
    <xdr:sp macro="" textlink="">
      <xdr:nvSpPr>
        <xdr:cNvPr id="3" name="Freeform 369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>
          <a:spLocks/>
        </xdr:cNvSpPr>
      </xdr:nvSpPr>
      <xdr:spPr bwMode="auto">
        <a:xfrm>
          <a:off x="15884934" y="1860140"/>
          <a:ext cx="2526892" cy="111535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4" name="Line 38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5" name="Line 386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6" name="Elbow Connector 55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7" name="Line 386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291894</xdr:colOff>
      <xdr:row>7</xdr:row>
      <xdr:rowOff>138266</xdr:rowOff>
    </xdr:from>
    <xdr:to>
      <xdr:col>22</xdr:col>
      <xdr:colOff>291895</xdr:colOff>
      <xdr:row>8</xdr:row>
      <xdr:rowOff>173356</xdr:rowOff>
    </xdr:to>
    <xdr:sp macro="" textlink="">
      <xdr:nvSpPr>
        <xdr:cNvPr id="8" name="CustGemo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15808119" y="1890866"/>
          <a:ext cx="2628901" cy="330365"/>
        </a:xfrm>
        <a:custGeom>
          <a:avLst/>
          <a:gdLst>
            <a:gd name="txL" fmla="*/ 0 w 1485900"/>
            <a:gd name="txT" fmla="*/ 0 h 304800"/>
            <a:gd name="txR" fmla="*/ 1485900 w 1485900"/>
            <a:gd name="txB" fmla="*/ 304800 h 304800"/>
          </a:gdLst>
          <a:ahLst/>
          <a:cxnLst/>
          <a:rect l="txL" t="txT" r="txR" b="txB"/>
          <a:pathLst>
            <a:path w="1485900" h="304800">
              <a:moveTo>
                <a:pt x="0" y="0"/>
              </a:moveTo>
              <a:cubicBezTo>
                <a:pt x="260028" y="152394"/>
                <a:pt x="520060" y="304800"/>
                <a:pt x="767708" y="304800"/>
              </a:cubicBezTo>
              <a:cubicBezTo>
                <a:pt x="1015363" y="304800"/>
                <a:pt x="1269201" y="26410"/>
                <a:pt x="1485900" y="0"/>
              </a:cubicBezTo>
            </a:path>
          </a:pathLst>
        </a:custGeom>
        <a:noFill/>
        <a:ln w="25400" cap="flat" cmpd="sng">
          <a:solidFill>
            <a:srgbClr val="00B0F0"/>
          </a:solidFill>
          <a:prstDash val="dash"/>
          <a:round/>
          <a:headEnd type="none" w="med" len="med"/>
          <a:tailEnd type="none" w="med" len="med"/>
        </a:ln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9" name="Line 385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0" name="Line 385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1" name="Line 385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2" name="Line 386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3" name="Elbow Connector 55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14" name="Line 386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15" name="Line 385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16" name="Line 385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17" name="Line 385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18" name="Line 386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19" name="Elbow Connector 55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0" name="Line 386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1" name="Line 385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2" name="Line 385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381003</xdr:colOff>
      <xdr:row>9</xdr:row>
      <xdr:rowOff>153630</xdr:rowOff>
    </xdr:from>
    <xdr:to>
      <xdr:col>24</xdr:col>
      <xdr:colOff>533403</xdr:colOff>
      <xdr:row>14</xdr:row>
      <xdr:rowOff>115837</xdr:rowOff>
    </xdr:to>
    <xdr:cxnSp macro="">
      <xdr:nvCxnSpPr>
        <xdr:cNvPr id="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9497524" y="3077959"/>
          <a:ext cx="1276657" cy="15240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381000</xdr:colOff>
      <xdr:row>10</xdr:row>
      <xdr:rowOff>19049</xdr:rowOff>
    </xdr:from>
    <xdr:to>
      <xdr:col>22</xdr:col>
      <xdr:colOff>257175</xdr:colOff>
      <xdr:row>13</xdr:row>
      <xdr:rowOff>76200</xdr:rowOff>
    </xdr:to>
    <xdr:sp macro="" textlink="">
      <xdr:nvSpPr>
        <xdr:cNvPr id="24" name="Line 385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>
          <a:spLocks noChangeShapeType="1"/>
        </xdr:cNvSpPr>
      </xdr:nvSpPr>
      <xdr:spPr bwMode="auto">
        <a:xfrm flipV="1">
          <a:off x="17621250" y="2686049"/>
          <a:ext cx="781050" cy="866776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314325</xdr:colOff>
      <xdr:row>10</xdr:row>
      <xdr:rowOff>123825</xdr:rowOff>
    </xdr:from>
    <xdr:to>
      <xdr:col>20</xdr:col>
      <xdr:colOff>66675</xdr:colOff>
      <xdr:row>13</xdr:row>
      <xdr:rowOff>66675</xdr:rowOff>
    </xdr:to>
    <xdr:sp macro="" textlink="">
      <xdr:nvSpPr>
        <xdr:cNvPr id="25" name="Line 386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ShapeType="1"/>
        </xdr:cNvSpPr>
      </xdr:nvSpPr>
      <xdr:spPr bwMode="auto">
        <a:xfrm flipH="1" flipV="1">
          <a:off x="15830550" y="2790825"/>
          <a:ext cx="638175" cy="752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-1</xdr:colOff>
      <xdr:row>10</xdr:row>
      <xdr:rowOff>200526</xdr:rowOff>
    </xdr:from>
    <xdr:to>
      <xdr:col>20</xdr:col>
      <xdr:colOff>263190</xdr:colOff>
      <xdr:row>11</xdr:row>
      <xdr:rowOff>175460</xdr:rowOff>
    </xdr:to>
    <xdr:cxnSp macro="">
      <xdr:nvCxnSpPr>
        <xdr:cNvPr id="26" name="Elbow Connector 55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CxnSpPr/>
      </xdr:nvCxnSpPr>
      <xdr:spPr>
        <a:xfrm>
          <a:off x="16402049" y="2867526"/>
          <a:ext cx="263191" cy="27973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11</xdr:row>
      <xdr:rowOff>171450</xdr:rowOff>
    </xdr:from>
    <xdr:to>
      <xdr:col>21</xdr:col>
      <xdr:colOff>76200</xdr:colOff>
      <xdr:row>12</xdr:row>
      <xdr:rowOff>66675</xdr:rowOff>
    </xdr:to>
    <xdr:sp macro="" textlink="">
      <xdr:nvSpPr>
        <xdr:cNvPr id="27" name="Line 386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ShapeType="1"/>
        </xdr:cNvSpPr>
      </xdr:nvSpPr>
      <xdr:spPr bwMode="auto">
        <a:xfrm flipH="1" flipV="1">
          <a:off x="16668750" y="3143250"/>
          <a:ext cx="647700" cy="200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304798</xdr:colOff>
      <xdr:row>7</xdr:row>
      <xdr:rowOff>133349</xdr:rowOff>
    </xdr:from>
    <xdr:to>
      <xdr:col>23</xdr:col>
      <xdr:colOff>57149</xdr:colOff>
      <xdr:row>8</xdr:row>
      <xdr:rowOff>66674</xdr:rowOff>
    </xdr:to>
    <xdr:sp macro="" textlink="">
      <xdr:nvSpPr>
        <xdr:cNvPr id="28" name="Line 385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>
          <a:spLocks noChangeShapeType="1"/>
        </xdr:cNvSpPr>
      </xdr:nvSpPr>
      <xdr:spPr bwMode="auto">
        <a:xfrm flipH="1">
          <a:off x="17545048" y="1885949"/>
          <a:ext cx="1428751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400048</xdr:colOff>
      <xdr:row>7</xdr:row>
      <xdr:rowOff>66675</xdr:rowOff>
    </xdr:from>
    <xdr:to>
      <xdr:col>23</xdr:col>
      <xdr:colOff>142875</xdr:colOff>
      <xdr:row>9</xdr:row>
      <xdr:rowOff>9525</xdr:rowOff>
    </xdr:to>
    <xdr:sp macro="" textlink="">
      <xdr:nvSpPr>
        <xdr:cNvPr id="29" name="Line 385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SpPr>
          <a:spLocks noChangeShapeType="1"/>
        </xdr:cNvSpPr>
      </xdr:nvSpPr>
      <xdr:spPr bwMode="auto">
        <a:xfrm flipH="1" flipV="1">
          <a:off x="17640298" y="1819275"/>
          <a:ext cx="1419227" cy="552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933062</xdr:colOff>
      <xdr:row>7</xdr:row>
      <xdr:rowOff>77755</xdr:rowOff>
    </xdr:from>
    <xdr:to>
      <xdr:col>20</xdr:col>
      <xdr:colOff>78863</xdr:colOff>
      <xdr:row>8</xdr:row>
      <xdr:rowOff>276166</xdr:rowOff>
    </xdr:to>
    <xdr:sp macro="" textlink="">
      <xdr:nvSpPr>
        <xdr:cNvPr id="30" name="AutoShape 24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>
          <a:spLocks noChangeArrowheads="1"/>
        </xdr:cNvSpPr>
      </xdr:nvSpPr>
      <xdr:spPr bwMode="auto">
        <a:xfrm>
          <a:off x="16659031" y="1846684"/>
          <a:ext cx="1011924" cy="548309"/>
        </a:xfrm>
        <a:prstGeom prst="flowChartExtra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261170</xdr:colOff>
      <xdr:row>9</xdr:row>
      <xdr:rowOff>133349</xdr:rowOff>
    </xdr:from>
    <xdr:to>
      <xdr:col>26</xdr:col>
      <xdr:colOff>466725</xdr:colOff>
      <xdr:row>13</xdr:row>
      <xdr:rowOff>122902</xdr:rowOff>
    </xdr:to>
    <xdr:sp macro="" textlink="">
      <xdr:nvSpPr>
        <xdr:cNvPr id="31" name="Freeform 2321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SpPr>
          <a:spLocks/>
        </xdr:cNvSpPr>
      </xdr:nvSpPr>
      <xdr:spPr bwMode="auto">
        <a:xfrm>
          <a:off x="21768620" y="2495549"/>
          <a:ext cx="205555" cy="1103978"/>
        </a:xfrm>
        <a:custGeom>
          <a:avLst/>
          <a:gdLst>
            <a:gd name="T0" fmla="*/ 2147483646 w 49"/>
            <a:gd name="T1" fmla="*/ 0 h 86"/>
            <a:gd name="T2" fmla="*/ 0 w 49"/>
            <a:gd name="T3" fmla="*/ 2147483646 h 86"/>
            <a:gd name="T4" fmla="*/ 2147483646 w 49"/>
            <a:gd name="T5" fmla="*/ 2147483646 h 86"/>
            <a:gd name="T6" fmla="*/ 2147483646 w 49"/>
            <a:gd name="T7" fmla="*/ 2147483646 h 86"/>
            <a:gd name="T8" fmla="*/ 0 60000 65536"/>
            <a:gd name="T9" fmla="*/ 0 60000 65536"/>
            <a:gd name="T10" fmla="*/ 0 60000 65536"/>
            <a:gd name="T11" fmla="*/ 0 60000 65536"/>
            <a:gd name="T12" fmla="*/ 0 w 49"/>
            <a:gd name="T13" fmla="*/ 0 h 86"/>
            <a:gd name="T14" fmla="*/ 49 w 49"/>
            <a:gd name="T15" fmla="*/ 86 h 8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49" h="86">
              <a:moveTo>
                <a:pt x="49" y="0"/>
              </a:moveTo>
              <a:cubicBezTo>
                <a:pt x="24" y="12"/>
                <a:pt x="0" y="25"/>
                <a:pt x="0" y="33"/>
              </a:cubicBezTo>
              <a:cubicBezTo>
                <a:pt x="0" y="41"/>
                <a:pt x="49" y="40"/>
                <a:pt x="49" y="49"/>
              </a:cubicBezTo>
              <a:cubicBezTo>
                <a:pt x="49" y="58"/>
                <a:pt x="13" y="83"/>
                <a:pt x="1" y="86"/>
              </a:cubicBezTo>
            </a:path>
          </a:pathLst>
        </a:custGeom>
        <a:noFill/>
        <a:ln w="25400">
          <a:solidFill>
            <a:srgbClr val="FF00FF"/>
          </a:solidFill>
          <a:round/>
          <a:headEnd type="arrow" w="med" len="sm"/>
          <a:tailEnd type="none" w="med" len="sm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307260</xdr:colOff>
      <xdr:row>9</xdr:row>
      <xdr:rowOff>76815</xdr:rowOff>
    </xdr:from>
    <xdr:to>
      <xdr:col>27</xdr:col>
      <xdr:colOff>503202</xdr:colOff>
      <xdr:row>14</xdr:row>
      <xdr:rowOff>65929</xdr:rowOff>
    </xdr:to>
    <xdr:grpSp>
      <xdr:nvGrpSpPr>
        <xdr:cNvPr id="32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6912317" y="2544656"/>
          <a:ext cx="195942" cy="1482807"/>
          <a:chOff x="752" y="1574"/>
          <a:chExt cx="16" cy="52"/>
        </a:xfrm>
      </xdr:grpSpPr>
      <xdr:sp macro="" textlink="">
        <xdr:nvSpPr>
          <xdr:cNvPr id="33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20</xdr:row>
      <xdr:rowOff>15240</xdr:rowOff>
    </xdr:from>
    <xdr:to>
      <xdr:col>2</xdr:col>
      <xdr:colOff>15240</xdr:colOff>
      <xdr:row>22</xdr:row>
      <xdr:rowOff>7620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SpPr/>
      </xdr:nvSpPr>
      <xdr:spPr>
        <a:xfrm>
          <a:off x="609600" y="49206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</xdr:row>
      <xdr:rowOff>0</xdr:rowOff>
    </xdr:from>
    <xdr:to>
      <xdr:col>4</xdr:col>
      <xdr:colOff>15240</xdr:colOff>
      <xdr:row>21</xdr:row>
      <xdr:rowOff>175260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SpPr/>
      </xdr:nvSpPr>
      <xdr:spPr>
        <a:xfrm>
          <a:off x="20669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6</xdr:col>
      <xdr:colOff>15240</xdr:colOff>
      <xdr:row>21</xdr:row>
      <xdr:rowOff>175260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/>
      </xdr:nvSpPr>
      <xdr:spPr>
        <a:xfrm>
          <a:off x="3676650" y="490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15240</xdr:colOff>
      <xdr:row>21</xdr:row>
      <xdr:rowOff>175260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/>
      </xdr:nvSpPr>
      <xdr:spPr>
        <a:xfrm>
          <a:off x="5391150" y="490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10</xdr:col>
      <xdr:colOff>15240</xdr:colOff>
      <xdr:row>21</xdr:row>
      <xdr:rowOff>175260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/>
      </xdr:nvSpPr>
      <xdr:spPr>
        <a:xfrm>
          <a:off x="7210425" y="490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</xdr:row>
      <xdr:rowOff>0</xdr:rowOff>
    </xdr:from>
    <xdr:to>
      <xdr:col>12</xdr:col>
      <xdr:colOff>15240</xdr:colOff>
      <xdr:row>21</xdr:row>
      <xdr:rowOff>175260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SpPr/>
      </xdr:nvSpPr>
      <xdr:spPr>
        <a:xfrm>
          <a:off x="8982075" y="490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15240</xdr:colOff>
      <xdr:row>21</xdr:row>
      <xdr:rowOff>175260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SpPr/>
      </xdr:nvSpPr>
      <xdr:spPr>
        <a:xfrm>
          <a:off x="10553700" y="490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</xdr:row>
      <xdr:rowOff>0</xdr:rowOff>
    </xdr:from>
    <xdr:to>
      <xdr:col>16</xdr:col>
      <xdr:colOff>15240</xdr:colOff>
      <xdr:row>21</xdr:row>
      <xdr:rowOff>175260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/>
      </xdr:nvSpPr>
      <xdr:spPr>
        <a:xfrm>
          <a:off x="12334875" y="490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</xdr:row>
      <xdr:rowOff>17318</xdr:rowOff>
    </xdr:from>
    <xdr:to>
      <xdr:col>18</xdr:col>
      <xdr:colOff>15240</xdr:colOff>
      <xdr:row>22</xdr:row>
      <xdr:rowOff>2078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/>
      </xdr:nvSpPr>
      <xdr:spPr>
        <a:xfrm>
          <a:off x="14001750" y="4922693"/>
          <a:ext cx="7581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15240</xdr:colOff>
      <xdr:row>21</xdr:row>
      <xdr:rowOff>175260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/>
      </xdr:nvSpPr>
      <xdr:spPr>
        <a:xfrm>
          <a:off x="15516225" y="490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</xdr:row>
      <xdr:rowOff>0</xdr:rowOff>
    </xdr:from>
    <xdr:to>
      <xdr:col>22</xdr:col>
      <xdr:colOff>15240</xdr:colOff>
      <xdr:row>21</xdr:row>
      <xdr:rowOff>175260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/>
      </xdr:nvSpPr>
      <xdr:spPr>
        <a:xfrm>
          <a:off x="17240250" y="490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</xdr:row>
      <xdr:rowOff>0</xdr:rowOff>
    </xdr:from>
    <xdr:to>
      <xdr:col>24</xdr:col>
      <xdr:colOff>15240</xdr:colOff>
      <xdr:row>21</xdr:row>
      <xdr:rowOff>175260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/>
      </xdr:nvSpPr>
      <xdr:spPr>
        <a:xfrm>
          <a:off x="18916650" y="490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15240</xdr:colOff>
      <xdr:row>21</xdr:row>
      <xdr:rowOff>175260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/>
      </xdr:nvSpPr>
      <xdr:spPr>
        <a:xfrm>
          <a:off x="20412075" y="490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29</xdr:row>
      <xdr:rowOff>15240</xdr:rowOff>
    </xdr:from>
    <xdr:to>
      <xdr:col>2</xdr:col>
      <xdr:colOff>15240</xdr:colOff>
      <xdr:row>31</xdr:row>
      <xdr:rowOff>7620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SpPr/>
      </xdr:nvSpPr>
      <xdr:spPr>
        <a:xfrm>
          <a:off x="609600" y="67303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29</xdr:row>
      <xdr:rowOff>0</xdr:rowOff>
    </xdr:from>
    <xdr:to>
      <xdr:col>4</xdr:col>
      <xdr:colOff>15240</xdr:colOff>
      <xdr:row>30</xdr:row>
      <xdr:rowOff>175260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SpPr/>
      </xdr:nvSpPr>
      <xdr:spPr>
        <a:xfrm>
          <a:off x="20669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29</xdr:row>
      <xdr:rowOff>0</xdr:rowOff>
    </xdr:from>
    <xdr:to>
      <xdr:col>6</xdr:col>
      <xdr:colOff>15240</xdr:colOff>
      <xdr:row>30</xdr:row>
      <xdr:rowOff>175260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SpPr/>
      </xdr:nvSpPr>
      <xdr:spPr>
        <a:xfrm>
          <a:off x="3676650" y="67151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15240</xdr:colOff>
      <xdr:row>30</xdr:row>
      <xdr:rowOff>175260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/>
      </xdr:nvSpPr>
      <xdr:spPr>
        <a:xfrm>
          <a:off x="5391150" y="67151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10</xdr:col>
      <xdr:colOff>15240</xdr:colOff>
      <xdr:row>30</xdr:row>
      <xdr:rowOff>175260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/>
      </xdr:nvSpPr>
      <xdr:spPr>
        <a:xfrm>
          <a:off x="7210425" y="67151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15240</xdr:colOff>
      <xdr:row>30</xdr:row>
      <xdr:rowOff>175260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/>
      </xdr:nvSpPr>
      <xdr:spPr>
        <a:xfrm>
          <a:off x="8982075" y="67151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15240</xdr:colOff>
      <xdr:row>30</xdr:row>
      <xdr:rowOff>175260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SpPr/>
      </xdr:nvSpPr>
      <xdr:spPr>
        <a:xfrm>
          <a:off x="10553700" y="67151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29</xdr:row>
      <xdr:rowOff>0</xdr:rowOff>
    </xdr:from>
    <xdr:to>
      <xdr:col>16</xdr:col>
      <xdr:colOff>15240</xdr:colOff>
      <xdr:row>30</xdr:row>
      <xdr:rowOff>175260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SpPr/>
      </xdr:nvSpPr>
      <xdr:spPr>
        <a:xfrm>
          <a:off x="12334875" y="67151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18</xdr:col>
      <xdr:colOff>15240</xdr:colOff>
      <xdr:row>30</xdr:row>
      <xdr:rowOff>175260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/>
      </xdr:nvSpPr>
      <xdr:spPr>
        <a:xfrm>
          <a:off x="14001750" y="67151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15240</xdr:colOff>
      <xdr:row>30</xdr:row>
      <xdr:rowOff>175260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/>
      </xdr:nvSpPr>
      <xdr:spPr>
        <a:xfrm>
          <a:off x="15516225" y="67151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29</xdr:row>
      <xdr:rowOff>0</xdr:rowOff>
    </xdr:from>
    <xdr:to>
      <xdr:col>22</xdr:col>
      <xdr:colOff>15240</xdr:colOff>
      <xdr:row>30</xdr:row>
      <xdr:rowOff>175260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/>
      </xdr:nvSpPr>
      <xdr:spPr>
        <a:xfrm>
          <a:off x="17240250" y="67151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29</xdr:row>
      <xdr:rowOff>0</xdr:rowOff>
    </xdr:from>
    <xdr:to>
      <xdr:col>24</xdr:col>
      <xdr:colOff>15240</xdr:colOff>
      <xdr:row>30</xdr:row>
      <xdr:rowOff>175260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/>
      </xdr:nvSpPr>
      <xdr:spPr>
        <a:xfrm>
          <a:off x="18916650" y="6715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15240</xdr:colOff>
      <xdr:row>30</xdr:row>
      <xdr:rowOff>175260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/>
      </xdr:nvSpPr>
      <xdr:spPr>
        <a:xfrm>
          <a:off x="20412075" y="6715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36</xdr:row>
      <xdr:rowOff>15240</xdr:rowOff>
    </xdr:from>
    <xdr:to>
      <xdr:col>2</xdr:col>
      <xdr:colOff>15240</xdr:colOff>
      <xdr:row>38</xdr:row>
      <xdr:rowOff>7620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SpPr/>
      </xdr:nvSpPr>
      <xdr:spPr>
        <a:xfrm>
          <a:off x="609600" y="813054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36</xdr:row>
      <xdr:rowOff>0</xdr:rowOff>
    </xdr:from>
    <xdr:to>
      <xdr:col>4</xdr:col>
      <xdr:colOff>15240</xdr:colOff>
      <xdr:row>37</xdr:row>
      <xdr:rowOff>175260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SpPr/>
      </xdr:nvSpPr>
      <xdr:spPr>
        <a:xfrm>
          <a:off x="2066925" y="81153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36</xdr:row>
      <xdr:rowOff>0</xdr:rowOff>
    </xdr:from>
    <xdr:to>
      <xdr:col>6</xdr:col>
      <xdr:colOff>15240</xdr:colOff>
      <xdr:row>37</xdr:row>
      <xdr:rowOff>175260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SpPr/>
      </xdr:nvSpPr>
      <xdr:spPr>
        <a:xfrm>
          <a:off x="3676650" y="81153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36</xdr:row>
      <xdr:rowOff>15875</xdr:rowOff>
    </xdr:from>
    <xdr:to>
      <xdr:col>8</xdr:col>
      <xdr:colOff>15240</xdr:colOff>
      <xdr:row>37</xdr:row>
      <xdr:rowOff>191135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SpPr/>
      </xdr:nvSpPr>
      <xdr:spPr>
        <a:xfrm>
          <a:off x="5391150" y="8131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36</xdr:row>
      <xdr:rowOff>15875</xdr:rowOff>
    </xdr:from>
    <xdr:to>
      <xdr:col>10</xdr:col>
      <xdr:colOff>15240</xdr:colOff>
      <xdr:row>37</xdr:row>
      <xdr:rowOff>191135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/>
      </xdr:nvSpPr>
      <xdr:spPr>
        <a:xfrm>
          <a:off x="7210425" y="8131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36</xdr:row>
      <xdr:rowOff>15875</xdr:rowOff>
    </xdr:from>
    <xdr:to>
      <xdr:col>12</xdr:col>
      <xdr:colOff>15240</xdr:colOff>
      <xdr:row>37</xdr:row>
      <xdr:rowOff>191135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/>
      </xdr:nvSpPr>
      <xdr:spPr>
        <a:xfrm>
          <a:off x="8982075" y="8131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36</xdr:row>
      <xdr:rowOff>15875</xdr:rowOff>
    </xdr:from>
    <xdr:to>
      <xdr:col>14</xdr:col>
      <xdr:colOff>15240</xdr:colOff>
      <xdr:row>37</xdr:row>
      <xdr:rowOff>191135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/>
      </xdr:nvSpPr>
      <xdr:spPr>
        <a:xfrm>
          <a:off x="10553700" y="8131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36</xdr:row>
      <xdr:rowOff>15875</xdr:rowOff>
    </xdr:from>
    <xdr:to>
      <xdr:col>16</xdr:col>
      <xdr:colOff>15240</xdr:colOff>
      <xdr:row>37</xdr:row>
      <xdr:rowOff>191135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SpPr/>
      </xdr:nvSpPr>
      <xdr:spPr>
        <a:xfrm>
          <a:off x="12334875" y="8131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36</xdr:row>
      <xdr:rowOff>15875</xdr:rowOff>
    </xdr:from>
    <xdr:to>
      <xdr:col>18</xdr:col>
      <xdr:colOff>15240</xdr:colOff>
      <xdr:row>37</xdr:row>
      <xdr:rowOff>191135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/>
      </xdr:nvSpPr>
      <xdr:spPr>
        <a:xfrm>
          <a:off x="14001750" y="8131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36</xdr:row>
      <xdr:rowOff>15875</xdr:rowOff>
    </xdr:from>
    <xdr:to>
      <xdr:col>20</xdr:col>
      <xdr:colOff>15240</xdr:colOff>
      <xdr:row>37</xdr:row>
      <xdr:rowOff>191135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SpPr/>
      </xdr:nvSpPr>
      <xdr:spPr>
        <a:xfrm>
          <a:off x="15516225" y="8131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36</xdr:row>
      <xdr:rowOff>15875</xdr:rowOff>
    </xdr:from>
    <xdr:to>
      <xdr:col>22</xdr:col>
      <xdr:colOff>15240</xdr:colOff>
      <xdr:row>37</xdr:row>
      <xdr:rowOff>191135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SpPr/>
      </xdr:nvSpPr>
      <xdr:spPr>
        <a:xfrm>
          <a:off x="17240250" y="8131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36</xdr:row>
      <xdr:rowOff>15875</xdr:rowOff>
    </xdr:from>
    <xdr:to>
      <xdr:col>24</xdr:col>
      <xdr:colOff>15240</xdr:colOff>
      <xdr:row>37</xdr:row>
      <xdr:rowOff>191135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/>
      </xdr:nvSpPr>
      <xdr:spPr>
        <a:xfrm>
          <a:off x="18916650" y="8131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36</xdr:row>
      <xdr:rowOff>15875</xdr:rowOff>
    </xdr:from>
    <xdr:to>
      <xdr:col>26</xdr:col>
      <xdr:colOff>15240</xdr:colOff>
      <xdr:row>37</xdr:row>
      <xdr:rowOff>191135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/>
      </xdr:nvSpPr>
      <xdr:spPr>
        <a:xfrm>
          <a:off x="20412075" y="8131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43</xdr:row>
      <xdr:rowOff>15240</xdr:rowOff>
    </xdr:from>
    <xdr:to>
      <xdr:col>2</xdr:col>
      <xdr:colOff>15240</xdr:colOff>
      <xdr:row>45</xdr:row>
      <xdr:rowOff>7620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609600" y="960691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43</xdr:row>
      <xdr:rowOff>0</xdr:rowOff>
    </xdr:from>
    <xdr:to>
      <xdr:col>4</xdr:col>
      <xdr:colOff>15240</xdr:colOff>
      <xdr:row>44</xdr:row>
      <xdr:rowOff>175260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SpPr/>
      </xdr:nvSpPr>
      <xdr:spPr>
        <a:xfrm>
          <a:off x="20669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43296</xdr:colOff>
      <xdr:row>43</xdr:row>
      <xdr:rowOff>17972</xdr:rowOff>
    </xdr:from>
    <xdr:to>
      <xdr:col>6</xdr:col>
      <xdr:colOff>4458</xdr:colOff>
      <xdr:row>44</xdr:row>
      <xdr:rowOff>216478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SpPr/>
      </xdr:nvSpPr>
      <xdr:spPr>
        <a:xfrm>
          <a:off x="4307898" y="11231495"/>
          <a:ext cx="913662" cy="458278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8</xdr:col>
      <xdr:colOff>15240</xdr:colOff>
      <xdr:row>44</xdr:row>
      <xdr:rowOff>175260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SpPr/>
      </xdr:nvSpPr>
      <xdr:spPr>
        <a:xfrm>
          <a:off x="5391150" y="95916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43</xdr:row>
      <xdr:rowOff>0</xdr:rowOff>
    </xdr:from>
    <xdr:to>
      <xdr:col>10</xdr:col>
      <xdr:colOff>15240</xdr:colOff>
      <xdr:row>44</xdr:row>
      <xdr:rowOff>175260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SpPr/>
      </xdr:nvSpPr>
      <xdr:spPr>
        <a:xfrm>
          <a:off x="7210425" y="95916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43</xdr:row>
      <xdr:rowOff>0</xdr:rowOff>
    </xdr:from>
    <xdr:to>
      <xdr:col>12</xdr:col>
      <xdr:colOff>15240</xdr:colOff>
      <xdr:row>44</xdr:row>
      <xdr:rowOff>175260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/>
      </xdr:nvSpPr>
      <xdr:spPr>
        <a:xfrm>
          <a:off x="8982075" y="95916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43</xdr:row>
      <xdr:rowOff>0</xdr:rowOff>
    </xdr:from>
    <xdr:to>
      <xdr:col>14</xdr:col>
      <xdr:colOff>15240</xdr:colOff>
      <xdr:row>44</xdr:row>
      <xdr:rowOff>175260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/>
      </xdr:nvSpPr>
      <xdr:spPr>
        <a:xfrm>
          <a:off x="10553700" y="95916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43</xdr:row>
      <xdr:rowOff>0</xdr:rowOff>
    </xdr:from>
    <xdr:to>
      <xdr:col>16</xdr:col>
      <xdr:colOff>15240</xdr:colOff>
      <xdr:row>44</xdr:row>
      <xdr:rowOff>175260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/>
      </xdr:nvSpPr>
      <xdr:spPr>
        <a:xfrm>
          <a:off x="12334875" y="9591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43</xdr:row>
      <xdr:rowOff>0</xdr:rowOff>
    </xdr:from>
    <xdr:to>
      <xdr:col>18</xdr:col>
      <xdr:colOff>15240</xdr:colOff>
      <xdr:row>44</xdr:row>
      <xdr:rowOff>175260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SpPr/>
      </xdr:nvSpPr>
      <xdr:spPr>
        <a:xfrm>
          <a:off x="14001750" y="9591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43</xdr:row>
      <xdr:rowOff>0</xdr:rowOff>
    </xdr:from>
    <xdr:to>
      <xdr:col>20</xdr:col>
      <xdr:colOff>15240</xdr:colOff>
      <xdr:row>44</xdr:row>
      <xdr:rowOff>175260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SpPr/>
      </xdr:nvSpPr>
      <xdr:spPr>
        <a:xfrm>
          <a:off x="15516225" y="9591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15240</xdr:colOff>
      <xdr:row>44</xdr:row>
      <xdr:rowOff>175260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SpPr/>
      </xdr:nvSpPr>
      <xdr:spPr>
        <a:xfrm>
          <a:off x="17240250" y="9591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43</xdr:row>
      <xdr:rowOff>0</xdr:rowOff>
    </xdr:from>
    <xdr:to>
      <xdr:col>24</xdr:col>
      <xdr:colOff>15240</xdr:colOff>
      <xdr:row>44</xdr:row>
      <xdr:rowOff>175260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SpPr/>
      </xdr:nvSpPr>
      <xdr:spPr>
        <a:xfrm>
          <a:off x="18916650" y="9591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43</xdr:row>
      <xdr:rowOff>0</xdr:rowOff>
    </xdr:from>
    <xdr:to>
      <xdr:col>26</xdr:col>
      <xdr:colOff>15240</xdr:colOff>
      <xdr:row>44</xdr:row>
      <xdr:rowOff>175260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/>
      </xdr:nvSpPr>
      <xdr:spPr>
        <a:xfrm>
          <a:off x="20412075" y="9591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50</xdr:row>
      <xdr:rowOff>15240</xdr:rowOff>
    </xdr:from>
    <xdr:to>
      <xdr:col>2</xdr:col>
      <xdr:colOff>15240</xdr:colOff>
      <xdr:row>52</xdr:row>
      <xdr:rowOff>7620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/>
      </xdr:nvSpPr>
      <xdr:spPr>
        <a:xfrm>
          <a:off x="609600" y="11007090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15240</xdr:colOff>
      <xdr:row>51</xdr:row>
      <xdr:rowOff>175260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/>
      </xdr:nvSpPr>
      <xdr:spPr>
        <a:xfrm>
          <a:off x="20669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50</xdr:row>
      <xdr:rowOff>0</xdr:rowOff>
    </xdr:from>
    <xdr:to>
      <xdr:col>6</xdr:col>
      <xdr:colOff>15240</xdr:colOff>
      <xdr:row>51</xdr:row>
      <xdr:rowOff>175260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SpPr/>
      </xdr:nvSpPr>
      <xdr:spPr>
        <a:xfrm>
          <a:off x="3676650" y="109918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50</xdr:row>
      <xdr:rowOff>0</xdr:rowOff>
    </xdr:from>
    <xdr:to>
      <xdr:col>8</xdr:col>
      <xdr:colOff>15240</xdr:colOff>
      <xdr:row>51</xdr:row>
      <xdr:rowOff>175260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/>
      </xdr:nvSpPr>
      <xdr:spPr>
        <a:xfrm>
          <a:off x="5391150" y="109918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10</xdr:col>
      <xdr:colOff>15240</xdr:colOff>
      <xdr:row>51</xdr:row>
      <xdr:rowOff>175260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/>
      </xdr:nvSpPr>
      <xdr:spPr>
        <a:xfrm>
          <a:off x="7210425" y="109918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12</xdr:col>
      <xdr:colOff>15240</xdr:colOff>
      <xdr:row>51</xdr:row>
      <xdr:rowOff>175260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/>
      </xdr:nvSpPr>
      <xdr:spPr>
        <a:xfrm>
          <a:off x="8982075" y="109918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15240</xdr:colOff>
      <xdr:row>51</xdr:row>
      <xdr:rowOff>175260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/>
      </xdr:nvSpPr>
      <xdr:spPr>
        <a:xfrm>
          <a:off x="10553700" y="109918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50</xdr:row>
      <xdr:rowOff>0</xdr:rowOff>
    </xdr:from>
    <xdr:to>
      <xdr:col>16</xdr:col>
      <xdr:colOff>15240</xdr:colOff>
      <xdr:row>51</xdr:row>
      <xdr:rowOff>175260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/>
      </xdr:nvSpPr>
      <xdr:spPr>
        <a:xfrm>
          <a:off x="12334875" y="109918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50</xdr:row>
      <xdr:rowOff>0</xdr:rowOff>
    </xdr:from>
    <xdr:to>
      <xdr:col>18</xdr:col>
      <xdr:colOff>15240</xdr:colOff>
      <xdr:row>51</xdr:row>
      <xdr:rowOff>175260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>
          <a:off x="14001750" y="109918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50</xdr:row>
      <xdr:rowOff>0</xdr:rowOff>
    </xdr:from>
    <xdr:to>
      <xdr:col>20</xdr:col>
      <xdr:colOff>15240</xdr:colOff>
      <xdr:row>51</xdr:row>
      <xdr:rowOff>175260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/>
      </xdr:nvSpPr>
      <xdr:spPr>
        <a:xfrm>
          <a:off x="15516225" y="109918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22</xdr:col>
      <xdr:colOff>15240</xdr:colOff>
      <xdr:row>51</xdr:row>
      <xdr:rowOff>175260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/>
      </xdr:nvSpPr>
      <xdr:spPr>
        <a:xfrm>
          <a:off x="17240250" y="109918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50</xdr:row>
      <xdr:rowOff>0</xdr:rowOff>
    </xdr:from>
    <xdr:to>
      <xdr:col>24</xdr:col>
      <xdr:colOff>15240</xdr:colOff>
      <xdr:row>51</xdr:row>
      <xdr:rowOff>175260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/>
      </xdr:nvSpPr>
      <xdr:spPr>
        <a:xfrm>
          <a:off x="18916650" y="109918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50</xdr:row>
      <xdr:rowOff>0</xdr:rowOff>
    </xdr:from>
    <xdr:to>
      <xdr:col>26</xdr:col>
      <xdr:colOff>15240</xdr:colOff>
      <xdr:row>51</xdr:row>
      <xdr:rowOff>175260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/>
      </xdr:nvSpPr>
      <xdr:spPr>
        <a:xfrm>
          <a:off x="20412075" y="109918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57</xdr:row>
      <xdr:rowOff>15240</xdr:rowOff>
    </xdr:from>
    <xdr:to>
      <xdr:col>2</xdr:col>
      <xdr:colOff>15240</xdr:colOff>
      <xdr:row>59</xdr:row>
      <xdr:rowOff>7620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>
          <a:off x="609600" y="12407265"/>
          <a:ext cx="748665" cy="39243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57</xdr:row>
      <xdr:rowOff>0</xdr:rowOff>
    </xdr:from>
    <xdr:to>
      <xdr:col>4</xdr:col>
      <xdr:colOff>15240</xdr:colOff>
      <xdr:row>58</xdr:row>
      <xdr:rowOff>175260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20669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15240</xdr:colOff>
      <xdr:row>93</xdr:row>
      <xdr:rowOff>175260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9392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92</xdr:row>
      <xdr:rowOff>0</xdr:rowOff>
    </xdr:from>
    <xdr:to>
      <xdr:col>4</xdr:col>
      <xdr:colOff>15240</xdr:colOff>
      <xdr:row>93</xdr:row>
      <xdr:rowOff>175260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92</xdr:row>
      <xdr:rowOff>0</xdr:rowOff>
    </xdr:from>
    <xdr:to>
      <xdr:col>6</xdr:col>
      <xdr:colOff>15240</xdr:colOff>
      <xdr:row>93</xdr:row>
      <xdr:rowOff>175260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9392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15240</xdr:colOff>
      <xdr:row>93</xdr:row>
      <xdr:rowOff>175260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9392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92</xdr:row>
      <xdr:rowOff>0</xdr:rowOff>
    </xdr:from>
    <xdr:to>
      <xdr:col>10</xdr:col>
      <xdr:colOff>15240</xdr:colOff>
      <xdr:row>93</xdr:row>
      <xdr:rowOff>175260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9392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12</xdr:col>
      <xdr:colOff>15240</xdr:colOff>
      <xdr:row>93</xdr:row>
      <xdr:rowOff>175260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9392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15240</xdr:colOff>
      <xdr:row>93</xdr:row>
      <xdr:rowOff>175260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9392900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92</xdr:row>
      <xdr:rowOff>0</xdr:rowOff>
    </xdr:from>
    <xdr:to>
      <xdr:col>16</xdr:col>
      <xdr:colOff>15240</xdr:colOff>
      <xdr:row>93</xdr:row>
      <xdr:rowOff>175260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93929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92</xdr:row>
      <xdr:rowOff>0</xdr:rowOff>
    </xdr:from>
    <xdr:to>
      <xdr:col>18</xdr:col>
      <xdr:colOff>15240</xdr:colOff>
      <xdr:row>93</xdr:row>
      <xdr:rowOff>175260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9392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15240</xdr:colOff>
      <xdr:row>93</xdr:row>
      <xdr:rowOff>175260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9392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92</xdr:row>
      <xdr:rowOff>0</xdr:rowOff>
    </xdr:from>
    <xdr:to>
      <xdr:col>22</xdr:col>
      <xdr:colOff>15240</xdr:colOff>
      <xdr:row>93</xdr:row>
      <xdr:rowOff>175260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9392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92</xdr:row>
      <xdr:rowOff>0</xdr:rowOff>
    </xdr:from>
    <xdr:to>
      <xdr:col>24</xdr:col>
      <xdr:colOff>15240</xdr:colOff>
      <xdr:row>93</xdr:row>
      <xdr:rowOff>175260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9392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15240</xdr:colOff>
      <xdr:row>93</xdr:row>
      <xdr:rowOff>175260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93929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99</xdr:row>
      <xdr:rowOff>0</xdr:rowOff>
    </xdr:from>
    <xdr:to>
      <xdr:col>2</xdr:col>
      <xdr:colOff>15240</xdr:colOff>
      <xdr:row>100</xdr:row>
      <xdr:rowOff>175260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SpPr/>
      </xdr:nvSpPr>
      <xdr:spPr>
        <a:xfrm>
          <a:off x="609600" y="20793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99</xdr:row>
      <xdr:rowOff>0</xdr:rowOff>
    </xdr:from>
    <xdr:to>
      <xdr:col>4</xdr:col>
      <xdr:colOff>15240</xdr:colOff>
      <xdr:row>100</xdr:row>
      <xdr:rowOff>175260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SpPr/>
      </xdr:nvSpPr>
      <xdr:spPr>
        <a:xfrm>
          <a:off x="20669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99</xdr:row>
      <xdr:rowOff>0</xdr:rowOff>
    </xdr:from>
    <xdr:to>
      <xdr:col>6</xdr:col>
      <xdr:colOff>15240</xdr:colOff>
      <xdr:row>100</xdr:row>
      <xdr:rowOff>175260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SpPr/>
      </xdr:nvSpPr>
      <xdr:spPr>
        <a:xfrm>
          <a:off x="3676650" y="207930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99</xdr:row>
      <xdr:rowOff>0</xdr:rowOff>
    </xdr:from>
    <xdr:to>
      <xdr:col>8</xdr:col>
      <xdr:colOff>15240</xdr:colOff>
      <xdr:row>100</xdr:row>
      <xdr:rowOff>175260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SpPr/>
      </xdr:nvSpPr>
      <xdr:spPr>
        <a:xfrm>
          <a:off x="5391150" y="207930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99</xdr:row>
      <xdr:rowOff>0</xdr:rowOff>
    </xdr:from>
    <xdr:to>
      <xdr:col>10</xdr:col>
      <xdr:colOff>15240</xdr:colOff>
      <xdr:row>100</xdr:row>
      <xdr:rowOff>175260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/>
      </xdr:nvSpPr>
      <xdr:spPr>
        <a:xfrm>
          <a:off x="7210425" y="207930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99</xdr:row>
      <xdr:rowOff>0</xdr:rowOff>
    </xdr:from>
    <xdr:to>
      <xdr:col>12</xdr:col>
      <xdr:colOff>15240</xdr:colOff>
      <xdr:row>100</xdr:row>
      <xdr:rowOff>175260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/>
      </xdr:nvSpPr>
      <xdr:spPr>
        <a:xfrm>
          <a:off x="8982075" y="207930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99</xdr:row>
      <xdr:rowOff>0</xdr:rowOff>
    </xdr:from>
    <xdr:to>
      <xdr:col>14</xdr:col>
      <xdr:colOff>15240</xdr:colOff>
      <xdr:row>100</xdr:row>
      <xdr:rowOff>175260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/>
      </xdr:nvSpPr>
      <xdr:spPr>
        <a:xfrm>
          <a:off x="10553700" y="207930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99</xdr:row>
      <xdr:rowOff>0</xdr:rowOff>
    </xdr:from>
    <xdr:to>
      <xdr:col>16</xdr:col>
      <xdr:colOff>15240</xdr:colOff>
      <xdr:row>100</xdr:row>
      <xdr:rowOff>175260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/>
      </xdr:nvSpPr>
      <xdr:spPr>
        <a:xfrm>
          <a:off x="12334875" y="207930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99</xdr:row>
      <xdr:rowOff>0</xdr:rowOff>
    </xdr:from>
    <xdr:to>
      <xdr:col>18</xdr:col>
      <xdr:colOff>15240</xdr:colOff>
      <xdr:row>100</xdr:row>
      <xdr:rowOff>175260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/>
      </xdr:nvSpPr>
      <xdr:spPr>
        <a:xfrm>
          <a:off x="14001750" y="207930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99</xdr:row>
      <xdr:rowOff>0</xdr:rowOff>
    </xdr:from>
    <xdr:to>
      <xdr:col>20</xdr:col>
      <xdr:colOff>15240</xdr:colOff>
      <xdr:row>100</xdr:row>
      <xdr:rowOff>175260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/>
      </xdr:nvSpPr>
      <xdr:spPr>
        <a:xfrm>
          <a:off x="15516225" y="207930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99</xdr:row>
      <xdr:rowOff>0</xdr:rowOff>
    </xdr:from>
    <xdr:to>
      <xdr:col>22</xdr:col>
      <xdr:colOff>15240</xdr:colOff>
      <xdr:row>100</xdr:row>
      <xdr:rowOff>175260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/>
      </xdr:nvSpPr>
      <xdr:spPr>
        <a:xfrm>
          <a:off x="17240250" y="207930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99</xdr:row>
      <xdr:rowOff>0</xdr:rowOff>
    </xdr:from>
    <xdr:to>
      <xdr:col>24</xdr:col>
      <xdr:colOff>15240</xdr:colOff>
      <xdr:row>100</xdr:row>
      <xdr:rowOff>175260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SpPr/>
      </xdr:nvSpPr>
      <xdr:spPr>
        <a:xfrm>
          <a:off x="18916650" y="207930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99</xdr:row>
      <xdr:rowOff>0</xdr:rowOff>
    </xdr:from>
    <xdr:to>
      <xdr:col>26</xdr:col>
      <xdr:colOff>15240</xdr:colOff>
      <xdr:row>100</xdr:row>
      <xdr:rowOff>175260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SpPr/>
      </xdr:nvSpPr>
      <xdr:spPr>
        <a:xfrm>
          <a:off x="20412075" y="207930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107</xdr:row>
      <xdr:rowOff>0</xdr:rowOff>
    </xdr:from>
    <xdr:to>
      <xdr:col>2</xdr:col>
      <xdr:colOff>15240</xdr:colOff>
      <xdr:row>108</xdr:row>
      <xdr:rowOff>175260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/>
      </xdr:nvSpPr>
      <xdr:spPr>
        <a:xfrm>
          <a:off x="609600" y="223932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107</xdr:row>
      <xdr:rowOff>0</xdr:rowOff>
    </xdr:from>
    <xdr:to>
      <xdr:col>4</xdr:col>
      <xdr:colOff>15240</xdr:colOff>
      <xdr:row>108</xdr:row>
      <xdr:rowOff>175260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SpPr/>
      </xdr:nvSpPr>
      <xdr:spPr>
        <a:xfrm>
          <a:off x="20669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107</xdr:row>
      <xdr:rowOff>0</xdr:rowOff>
    </xdr:from>
    <xdr:to>
      <xdr:col>6</xdr:col>
      <xdr:colOff>15240</xdr:colOff>
      <xdr:row>108</xdr:row>
      <xdr:rowOff>175260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SpPr/>
      </xdr:nvSpPr>
      <xdr:spPr>
        <a:xfrm>
          <a:off x="3676650" y="223932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107</xdr:row>
      <xdr:rowOff>0</xdr:rowOff>
    </xdr:from>
    <xdr:to>
      <xdr:col>8</xdr:col>
      <xdr:colOff>15240</xdr:colOff>
      <xdr:row>108</xdr:row>
      <xdr:rowOff>175260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SpPr/>
      </xdr:nvSpPr>
      <xdr:spPr>
        <a:xfrm>
          <a:off x="5391150" y="223932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107</xdr:row>
      <xdr:rowOff>0</xdr:rowOff>
    </xdr:from>
    <xdr:to>
      <xdr:col>10</xdr:col>
      <xdr:colOff>15240</xdr:colOff>
      <xdr:row>108</xdr:row>
      <xdr:rowOff>175260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SpPr/>
      </xdr:nvSpPr>
      <xdr:spPr>
        <a:xfrm>
          <a:off x="7210425" y="223932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12</xdr:col>
      <xdr:colOff>15240</xdr:colOff>
      <xdr:row>108</xdr:row>
      <xdr:rowOff>175260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/>
      </xdr:nvSpPr>
      <xdr:spPr>
        <a:xfrm>
          <a:off x="8982075" y="223932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15240</xdr:colOff>
      <xdr:row>108</xdr:row>
      <xdr:rowOff>175260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/>
      </xdr:nvSpPr>
      <xdr:spPr>
        <a:xfrm>
          <a:off x="10553700" y="223932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107</xdr:row>
      <xdr:rowOff>0</xdr:rowOff>
    </xdr:from>
    <xdr:to>
      <xdr:col>16</xdr:col>
      <xdr:colOff>15240</xdr:colOff>
      <xdr:row>108</xdr:row>
      <xdr:rowOff>175260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/>
      </xdr:nvSpPr>
      <xdr:spPr>
        <a:xfrm>
          <a:off x="12334875" y="223932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107</xdr:row>
      <xdr:rowOff>0</xdr:rowOff>
    </xdr:from>
    <xdr:to>
      <xdr:col>18</xdr:col>
      <xdr:colOff>15240</xdr:colOff>
      <xdr:row>108</xdr:row>
      <xdr:rowOff>175260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SpPr/>
      </xdr:nvSpPr>
      <xdr:spPr>
        <a:xfrm>
          <a:off x="14001750" y="223932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107</xdr:row>
      <xdr:rowOff>0</xdr:rowOff>
    </xdr:from>
    <xdr:to>
      <xdr:col>20</xdr:col>
      <xdr:colOff>15240</xdr:colOff>
      <xdr:row>108</xdr:row>
      <xdr:rowOff>175260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SpPr/>
      </xdr:nvSpPr>
      <xdr:spPr>
        <a:xfrm>
          <a:off x="15516225" y="223932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107</xdr:row>
      <xdr:rowOff>0</xdr:rowOff>
    </xdr:from>
    <xdr:to>
      <xdr:col>22</xdr:col>
      <xdr:colOff>15240</xdr:colOff>
      <xdr:row>108</xdr:row>
      <xdr:rowOff>175260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SpPr/>
      </xdr:nvSpPr>
      <xdr:spPr>
        <a:xfrm>
          <a:off x="17240250" y="223932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107</xdr:row>
      <xdr:rowOff>0</xdr:rowOff>
    </xdr:from>
    <xdr:to>
      <xdr:col>24</xdr:col>
      <xdr:colOff>15240</xdr:colOff>
      <xdr:row>108</xdr:row>
      <xdr:rowOff>175260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SpPr/>
      </xdr:nvSpPr>
      <xdr:spPr>
        <a:xfrm>
          <a:off x="18916650" y="223932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107</xdr:row>
      <xdr:rowOff>0</xdr:rowOff>
    </xdr:from>
    <xdr:to>
      <xdr:col>26</xdr:col>
      <xdr:colOff>15240</xdr:colOff>
      <xdr:row>108</xdr:row>
      <xdr:rowOff>175260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/>
      </xdr:nvSpPr>
      <xdr:spPr>
        <a:xfrm>
          <a:off x="20412075" y="223932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115</xdr:row>
      <xdr:rowOff>31750</xdr:rowOff>
    </xdr:from>
    <xdr:to>
      <xdr:col>2</xdr:col>
      <xdr:colOff>15240</xdr:colOff>
      <xdr:row>117</xdr:row>
      <xdr:rowOff>635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/>
      </xdr:nvSpPr>
      <xdr:spPr>
        <a:xfrm>
          <a:off x="609600" y="24025225"/>
          <a:ext cx="7486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115</xdr:row>
      <xdr:rowOff>31750</xdr:rowOff>
    </xdr:from>
    <xdr:to>
      <xdr:col>4</xdr:col>
      <xdr:colOff>15240</xdr:colOff>
      <xdr:row>117</xdr:row>
      <xdr:rowOff>635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/>
      </xdr:nvSpPr>
      <xdr:spPr>
        <a:xfrm>
          <a:off x="2066925" y="24025225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115</xdr:row>
      <xdr:rowOff>31750</xdr:rowOff>
    </xdr:from>
    <xdr:to>
      <xdr:col>6</xdr:col>
      <xdr:colOff>15240</xdr:colOff>
      <xdr:row>117</xdr:row>
      <xdr:rowOff>635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/>
      </xdr:nvSpPr>
      <xdr:spPr>
        <a:xfrm>
          <a:off x="3676650" y="24025225"/>
          <a:ext cx="9582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115</xdr:row>
      <xdr:rowOff>31750</xdr:rowOff>
    </xdr:from>
    <xdr:to>
      <xdr:col>8</xdr:col>
      <xdr:colOff>15240</xdr:colOff>
      <xdr:row>117</xdr:row>
      <xdr:rowOff>635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/>
      </xdr:nvSpPr>
      <xdr:spPr>
        <a:xfrm>
          <a:off x="5391150" y="24025225"/>
          <a:ext cx="939165" cy="36893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115</xdr:row>
      <xdr:rowOff>31750</xdr:rowOff>
    </xdr:from>
    <xdr:to>
      <xdr:col>10</xdr:col>
      <xdr:colOff>15240</xdr:colOff>
      <xdr:row>117</xdr:row>
      <xdr:rowOff>635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/>
      </xdr:nvSpPr>
      <xdr:spPr>
        <a:xfrm>
          <a:off x="7210425" y="24025225"/>
          <a:ext cx="7962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115</xdr:row>
      <xdr:rowOff>31750</xdr:rowOff>
    </xdr:from>
    <xdr:to>
      <xdr:col>12</xdr:col>
      <xdr:colOff>15240</xdr:colOff>
      <xdr:row>117</xdr:row>
      <xdr:rowOff>635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SpPr/>
      </xdr:nvSpPr>
      <xdr:spPr>
        <a:xfrm>
          <a:off x="8982075" y="24025225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115</xdr:row>
      <xdr:rowOff>31750</xdr:rowOff>
    </xdr:from>
    <xdr:to>
      <xdr:col>14</xdr:col>
      <xdr:colOff>15240</xdr:colOff>
      <xdr:row>117</xdr:row>
      <xdr:rowOff>635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SpPr/>
      </xdr:nvSpPr>
      <xdr:spPr>
        <a:xfrm>
          <a:off x="10553700" y="24025225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115</xdr:row>
      <xdr:rowOff>31750</xdr:rowOff>
    </xdr:from>
    <xdr:to>
      <xdr:col>16</xdr:col>
      <xdr:colOff>15240</xdr:colOff>
      <xdr:row>117</xdr:row>
      <xdr:rowOff>635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SpPr/>
      </xdr:nvSpPr>
      <xdr:spPr>
        <a:xfrm>
          <a:off x="12334875" y="24025225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115</xdr:row>
      <xdr:rowOff>31750</xdr:rowOff>
    </xdr:from>
    <xdr:to>
      <xdr:col>18</xdr:col>
      <xdr:colOff>15240</xdr:colOff>
      <xdr:row>117</xdr:row>
      <xdr:rowOff>635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SpPr/>
      </xdr:nvSpPr>
      <xdr:spPr>
        <a:xfrm>
          <a:off x="14001750" y="24025225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115</xdr:row>
      <xdr:rowOff>31750</xdr:rowOff>
    </xdr:from>
    <xdr:to>
      <xdr:col>20</xdr:col>
      <xdr:colOff>15240</xdr:colOff>
      <xdr:row>117</xdr:row>
      <xdr:rowOff>635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/>
      </xdr:nvSpPr>
      <xdr:spPr>
        <a:xfrm>
          <a:off x="15516225" y="24025225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115</xdr:row>
      <xdr:rowOff>31750</xdr:rowOff>
    </xdr:from>
    <xdr:to>
      <xdr:col>22</xdr:col>
      <xdr:colOff>15240</xdr:colOff>
      <xdr:row>117</xdr:row>
      <xdr:rowOff>635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/>
      </xdr:nvSpPr>
      <xdr:spPr>
        <a:xfrm>
          <a:off x="17240250" y="24025225"/>
          <a:ext cx="9201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115</xdr:row>
      <xdr:rowOff>31750</xdr:rowOff>
    </xdr:from>
    <xdr:to>
      <xdr:col>24</xdr:col>
      <xdr:colOff>15240</xdr:colOff>
      <xdr:row>117</xdr:row>
      <xdr:rowOff>635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/>
      </xdr:nvSpPr>
      <xdr:spPr>
        <a:xfrm>
          <a:off x="18916650" y="24025225"/>
          <a:ext cx="7772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115</xdr:row>
      <xdr:rowOff>31750</xdr:rowOff>
    </xdr:from>
    <xdr:to>
      <xdr:col>26</xdr:col>
      <xdr:colOff>15240</xdr:colOff>
      <xdr:row>117</xdr:row>
      <xdr:rowOff>635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SpPr/>
      </xdr:nvSpPr>
      <xdr:spPr>
        <a:xfrm>
          <a:off x="20412075" y="24025225"/>
          <a:ext cx="11106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123</xdr:row>
      <xdr:rowOff>0</xdr:rowOff>
    </xdr:from>
    <xdr:to>
      <xdr:col>2</xdr:col>
      <xdr:colOff>15240</xdr:colOff>
      <xdr:row>124</xdr:row>
      <xdr:rowOff>175260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/>
      </xdr:nvSpPr>
      <xdr:spPr>
        <a:xfrm>
          <a:off x="609600" y="255936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123</xdr:row>
      <xdr:rowOff>0</xdr:rowOff>
    </xdr:from>
    <xdr:to>
      <xdr:col>4</xdr:col>
      <xdr:colOff>15240</xdr:colOff>
      <xdr:row>124</xdr:row>
      <xdr:rowOff>175260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/>
      </xdr:nvSpPr>
      <xdr:spPr>
        <a:xfrm>
          <a:off x="2066925" y="255936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123</xdr:row>
      <xdr:rowOff>0</xdr:rowOff>
    </xdr:from>
    <xdr:to>
      <xdr:col>6</xdr:col>
      <xdr:colOff>15240</xdr:colOff>
      <xdr:row>124</xdr:row>
      <xdr:rowOff>175260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SpPr/>
      </xdr:nvSpPr>
      <xdr:spPr>
        <a:xfrm>
          <a:off x="3676650" y="255936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123</xdr:row>
      <xdr:rowOff>0</xdr:rowOff>
    </xdr:from>
    <xdr:to>
      <xdr:col>8</xdr:col>
      <xdr:colOff>15240</xdr:colOff>
      <xdr:row>124</xdr:row>
      <xdr:rowOff>175260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SpPr/>
      </xdr:nvSpPr>
      <xdr:spPr>
        <a:xfrm>
          <a:off x="5391150" y="255936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123</xdr:row>
      <xdr:rowOff>0</xdr:rowOff>
    </xdr:from>
    <xdr:to>
      <xdr:col>10</xdr:col>
      <xdr:colOff>15240</xdr:colOff>
      <xdr:row>124</xdr:row>
      <xdr:rowOff>175260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/>
      </xdr:nvSpPr>
      <xdr:spPr>
        <a:xfrm>
          <a:off x="7210425" y="255936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123</xdr:row>
      <xdr:rowOff>0</xdr:rowOff>
    </xdr:from>
    <xdr:to>
      <xdr:col>12</xdr:col>
      <xdr:colOff>15240</xdr:colOff>
      <xdr:row>124</xdr:row>
      <xdr:rowOff>175260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SpPr/>
      </xdr:nvSpPr>
      <xdr:spPr>
        <a:xfrm>
          <a:off x="8982075" y="255936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123</xdr:row>
      <xdr:rowOff>0</xdr:rowOff>
    </xdr:from>
    <xdr:to>
      <xdr:col>14</xdr:col>
      <xdr:colOff>15240</xdr:colOff>
      <xdr:row>124</xdr:row>
      <xdr:rowOff>175260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SpPr/>
      </xdr:nvSpPr>
      <xdr:spPr>
        <a:xfrm>
          <a:off x="10553700" y="255936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123</xdr:row>
      <xdr:rowOff>0</xdr:rowOff>
    </xdr:from>
    <xdr:to>
      <xdr:col>16</xdr:col>
      <xdr:colOff>15240</xdr:colOff>
      <xdr:row>124</xdr:row>
      <xdr:rowOff>175260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/>
      </xdr:nvSpPr>
      <xdr:spPr>
        <a:xfrm>
          <a:off x="12334875" y="255936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123</xdr:row>
      <xdr:rowOff>0</xdr:rowOff>
    </xdr:from>
    <xdr:to>
      <xdr:col>18</xdr:col>
      <xdr:colOff>15240</xdr:colOff>
      <xdr:row>124</xdr:row>
      <xdr:rowOff>175260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/>
      </xdr:nvSpPr>
      <xdr:spPr>
        <a:xfrm>
          <a:off x="14001750" y="255936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123</xdr:row>
      <xdr:rowOff>0</xdr:rowOff>
    </xdr:from>
    <xdr:to>
      <xdr:col>20</xdr:col>
      <xdr:colOff>15240</xdr:colOff>
      <xdr:row>124</xdr:row>
      <xdr:rowOff>175260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SpPr/>
      </xdr:nvSpPr>
      <xdr:spPr>
        <a:xfrm>
          <a:off x="15516225" y="255936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123</xdr:row>
      <xdr:rowOff>0</xdr:rowOff>
    </xdr:from>
    <xdr:to>
      <xdr:col>22</xdr:col>
      <xdr:colOff>15240</xdr:colOff>
      <xdr:row>124</xdr:row>
      <xdr:rowOff>175260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SpPr/>
      </xdr:nvSpPr>
      <xdr:spPr>
        <a:xfrm>
          <a:off x="17240250" y="255936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123</xdr:row>
      <xdr:rowOff>0</xdr:rowOff>
    </xdr:from>
    <xdr:to>
      <xdr:col>24</xdr:col>
      <xdr:colOff>15240</xdr:colOff>
      <xdr:row>124</xdr:row>
      <xdr:rowOff>175260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/>
      </xdr:nvSpPr>
      <xdr:spPr>
        <a:xfrm>
          <a:off x="18916650" y="255936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123</xdr:row>
      <xdr:rowOff>0</xdr:rowOff>
    </xdr:from>
    <xdr:to>
      <xdr:col>26</xdr:col>
      <xdr:colOff>15240</xdr:colOff>
      <xdr:row>124</xdr:row>
      <xdr:rowOff>175260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SpPr/>
      </xdr:nvSpPr>
      <xdr:spPr>
        <a:xfrm>
          <a:off x="20412075" y="255936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131</xdr:row>
      <xdr:rowOff>0</xdr:rowOff>
    </xdr:from>
    <xdr:to>
      <xdr:col>2</xdr:col>
      <xdr:colOff>15240</xdr:colOff>
      <xdr:row>132</xdr:row>
      <xdr:rowOff>175260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SpPr/>
      </xdr:nvSpPr>
      <xdr:spPr>
        <a:xfrm>
          <a:off x="609600" y="271938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131</xdr:row>
      <xdr:rowOff>0</xdr:rowOff>
    </xdr:from>
    <xdr:to>
      <xdr:col>4</xdr:col>
      <xdr:colOff>15240</xdr:colOff>
      <xdr:row>132</xdr:row>
      <xdr:rowOff>175260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/>
      </xdr:nvSpPr>
      <xdr:spPr>
        <a:xfrm>
          <a:off x="20669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131</xdr:row>
      <xdr:rowOff>0</xdr:rowOff>
    </xdr:from>
    <xdr:to>
      <xdr:col>6</xdr:col>
      <xdr:colOff>15240</xdr:colOff>
      <xdr:row>132</xdr:row>
      <xdr:rowOff>175260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/>
      </xdr:nvSpPr>
      <xdr:spPr>
        <a:xfrm>
          <a:off x="3676650" y="271938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131</xdr:row>
      <xdr:rowOff>0</xdr:rowOff>
    </xdr:from>
    <xdr:to>
      <xdr:col>8</xdr:col>
      <xdr:colOff>15240</xdr:colOff>
      <xdr:row>132</xdr:row>
      <xdr:rowOff>175260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SpPr/>
      </xdr:nvSpPr>
      <xdr:spPr>
        <a:xfrm>
          <a:off x="5391150" y="271938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131</xdr:row>
      <xdr:rowOff>0</xdr:rowOff>
    </xdr:from>
    <xdr:to>
      <xdr:col>10</xdr:col>
      <xdr:colOff>15240</xdr:colOff>
      <xdr:row>132</xdr:row>
      <xdr:rowOff>175260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SpPr/>
      </xdr:nvSpPr>
      <xdr:spPr>
        <a:xfrm>
          <a:off x="7210425" y="271938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131</xdr:row>
      <xdr:rowOff>0</xdr:rowOff>
    </xdr:from>
    <xdr:to>
      <xdr:col>12</xdr:col>
      <xdr:colOff>15240</xdr:colOff>
      <xdr:row>132</xdr:row>
      <xdr:rowOff>175260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/>
      </xdr:nvSpPr>
      <xdr:spPr>
        <a:xfrm>
          <a:off x="8982075" y="271938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131</xdr:row>
      <xdr:rowOff>0</xdr:rowOff>
    </xdr:from>
    <xdr:to>
      <xdr:col>14</xdr:col>
      <xdr:colOff>15240</xdr:colOff>
      <xdr:row>132</xdr:row>
      <xdr:rowOff>175260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SpPr/>
      </xdr:nvSpPr>
      <xdr:spPr>
        <a:xfrm>
          <a:off x="10553700" y="271938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131</xdr:row>
      <xdr:rowOff>0</xdr:rowOff>
    </xdr:from>
    <xdr:to>
      <xdr:col>16</xdr:col>
      <xdr:colOff>15240</xdr:colOff>
      <xdr:row>132</xdr:row>
      <xdr:rowOff>175260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SpPr/>
      </xdr:nvSpPr>
      <xdr:spPr>
        <a:xfrm>
          <a:off x="12334875" y="271938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131</xdr:row>
      <xdr:rowOff>0</xdr:rowOff>
    </xdr:from>
    <xdr:to>
      <xdr:col>18</xdr:col>
      <xdr:colOff>15240</xdr:colOff>
      <xdr:row>132</xdr:row>
      <xdr:rowOff>175260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/>
      </xdr:nvSpPr>
      <xdr:spPr>
        <a:xfrm>
          <a:off x="14001750" y="271938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131</xdr:row>
      <xdr:rowOff>0</xdr:rowOff>
    </xdr:from>
    <xdr:to>
      <xdr:col>20</xdr:col>
      <xdr:colOff>15240</xdr:colOff>
      <xdr:row>132</xdr:row>
      <xdr:rowOff>175260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/>
      </xdr:nvSpPr>
      <xdr:spPr>
        <a:xfrm>
          <a:off x="15516225" y="271938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131</xdr:row>
      <xdr:rowOff>0</xdr:rowOff>
    </xdr:from>
    <xdr:to>
      <xdr:col>22</xdr:col>
      <xdr:colOff>15240</xdr:colOff>
      <xdr:row>132</xdr:row>
      <xdr:rowOff>175260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SpPr/>
      </xdr:nvSpPr>
      <xdr:spPr>
        <a:xfrm>
          <a:off x="17240250" y="271938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131</xdr:row>
      <xdr:rowOff>0</xdr:rowOff>
    </xdr:from>
    <xdr:to>
      <xdr:col>24</xdr:col>
      <xdr:colOff>15240</xdr:colOff>
      <xdr:row>132</xdr:row>
      <xdr:rowOff>175260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SpPr/>
      </xdr:nvSpPr>
      <xdr:spPr>
        <a:xfrm>
          <a:off x="18916650" y="271938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131</xdr:row>
      <xdr:rowOff>0</xdr:rowOff>
    </xdr:from>
    <xdr:to>
      <xdr:col>26</xdr:col>
      <xdr:colOff>15240</xdr:colOff>
      <xdr:row>132</xdr:row>
      <xdr:rowOff>175260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/>
      </xdr:nvSpPr>
      <xdr:spPr>
        <a:xfrm>
          <a:off x="20412075" y="271938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139</xdr:row>
      <xdr:rowOff>0</xdr:rowOff>
    </xdr:from>
    <xdr:to>
      <xdr:col>2</xdr:col>
      <xdr:colOff>15240</xdr:colOff>
      <xdr:row>140</xdr:row>
      <xdr:rowOff>175260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SpPr/>
      </xdr:nvSpPr>
      <xdr:spPr>
        <a:xfrm>
          <a:off x="609600" y="287940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19050</xdr:colOff>
      <xdr:row>139</xdr:row>
      <xdr:rowOff>76200</xdr:rowOff>
    </xdr:from>
    <xdr:to>
      <xdr:col>4</xdr:col>
      <xdr:colOff>60032</xdr:colOff>
      <xdr:row>140</xdr:row>
      <xdr:rowOff>175260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SpPr/>
      </xdr:nvSpPr>
      <xdr:spPr>
        <a:xfrm>
          <a:off x="2305050" y="30079950"/>
          <a:ext cx="936332" cy="3086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139</xdr:row>
      <xdr:rowOff>0</xdr:rowOff>
    </xdr:from>
    <xdr:to>
      <xdr:col>6</xdr:col>
      <xdr:colOff>15240</xdr:colOff>
      <xdr:row>140</xdr:row>
      <xdr:rowOff>175260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/>
      </xdr:nvSpPr>
      <xdr:spPr>
        <a:xfrm>
          <a:off x="3676650" y="287940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139</xdr:row>
      <xdr:rowOff>0</xdr:rowOff>
    </xdr:from>
    <xdr:to>
      <xdr:col>8</xdr:col>
      <xdr:colOff>15240</xdr:colOff>
      <xdr:row>140</xdr:row>
      <xdr:rowOff>175260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/>
      </xdr:nvSpPr>
      <xdr:spPr>
        <a:xfrm>
          <a:off x="5391150" y="287940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139</xdr:row>
      <xdr:rowOff>0</xdr:rowOff>
    </xdr:from>
    <xdr:to>
      <xdr:col>10</xdr:col>
      <xdr:colOff>15240</xdr:colOff>
      <xdr:row>140</xdr:row>
      <xdr:rowOff>175260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SpPr/>
      </xdr:nvSpPr>
      <xdr:spPr>
        <a:xfrm>
          <a:off x="7210425" y="287940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139</xdr:row>
      <xdr:rowOff>0</xdr:rowOff>
    </xdr:from>
    <xdr:to>
      <xdr:col>12</xdr:col>
      <xdr:colOff>15240</xdr:colOff>
      <xdr:row>140</xdr:row>
      <xdr:rowOff>175260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SpPr/>
      </xdr:nvSpPr>
      <xdr:spPr>
        <a:xfrm>
          <a:off x="8982075" y="28794075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139</xdr:row>
      <xdr:rowOff>0</xdr:rowOff>
    </xdr:from>
    <xdr:to>
      <xdr:col>14</xdr:col>
      <xdr:colOff>15240</xdr:colOff>
      <xdr:row>140</xdr:row>
      <xdr:rowOff>175260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/>
      </xdr:nvSpPr>
      <xdr:spPr>
        <a:xfrm>
          <a:off x="10553700" y="28794075"/>
          <a:ext cx="8439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139</xdr:row>
      <xdr:rowOff>0</xdr:rowOff>
    </xdr:from>
    <xdr:to>
      <xdr:col>16</xdr:col>
      <xdr:colOff>15240</xdr:colOff>
      <xdr:row>140</xdr:row>
      <xdr:rowOff>175260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SpPr/>
      </xdr:nvSpPr>
      <xdr:spPr>
        <a:xfrm>
          <a:off x="12334875" y="28794075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139</xdr:row>
      <xdr:rowOff>0</xdr:rowOff>
    </xdr:from>
    <xdr:to>
      <xdr:col>18</xdr:col>
      <xdr:colOff>15240</xdr:colOff>
      <xdr:row>140</xdr:row>
      <xdr:rowOff>175260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SpPr/>
      </xdr:nvSpPr>
      <xdr:spPr>
        <a:xfrm>
          <a:off x="14001750" y="287940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139</xdr:row>
      <xdr:rowOff>0</xdr:rowOff>
    </xdr:from>
    <xdr:to>
      <xdr:col>20</xdr:col>
      <xdr:colOff>15240</xdr:colOff>
      <xdr:row>140</xdr:row>
      <xdr:rowOff>175260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/>
      </xdr:nvSpPr>
      <xdr:spPr>
        <a:xfrm>
          <a:off x="15516225" y="287940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139</xdr:row>
      <xdr:rowOff>0</xdr:rowOff>
    </xdr:from>
    <xdr:to>
      <xdr:col>22</xdr:col>
      <xdr:colOff>15240</xdr:colOff>
      <xdr:row>140</xdr:row>
      <xdr:rowOff>175260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/>
      </xdr:nvSpPr>
      <xdr:spPr>
        <a:xfrm>
          <a:off x="17240250" y="287940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139</xdr:row>
      <xdr:rowOff>0</xdr:rowOff>
    </xdr:from>
    <xdr:to>
      <xdr:col>24</xdr:col>
      <xdr:colOff>15240</xdr:colOff>
      <xdr:row>140</xdr:row>
      <xdr:rowOff>175260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SpPr/>
      </xdr:nvSpPr>
      <xdr:spPr>
        <a:xfrm>
          <a:off x="18916650" y="28794075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139</xdr:row>
      <xdr:rowOff>0</xdr:rowOff>
    </xdr:from>
    <xdr:to>
      <xdr:col>26</xdr:col>
      <xdr:colOff>15240</xdr:colOff>
      <xdr:row>140</xdr:row>
      <xdr:rowOff>175260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SpPr/>
      </xdr:nvSpPr>
      <xdr:spPr>
        <a:xfrm>
          <a:off x="20412075" y="287940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146</xdr:row>
      <xdr:rowOff>31750</xdr:rowOff>
    </xdr:from>
    <xdr:to>
      <xdr:col>2</xdr:col>
      <xdr:colOff>15240</xdr:colOff>
      <xdr:row>148</xdr:row>
      <xdr:rowOff>635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/>
      </xdr:nvSpPr>
      <xdr:spPr>
        <a:xfrm>
          <a:off x="609600" y="30226000"/>
          <a:ext cx="7486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146</xdr:row>
      <xdr:rowOff>31750</xdr:rowOff>
    </xdr:from>
    <xdr:to>
      <xdr:col>4</xdr:col>
      <xdr:colOff>15240</xdr:colOff>
      <xdr:row>148</xdr:row>
      <xdr:rowOff>635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SpPr/>
      </xdr:nvSpPr>
      <xdr:spPr>
        <a:xfrm>
          <a:off x="2066925" y="30226000"/>
          <a:ext cx="9010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146</xdr:row>
      <xdr:rowOff>31750</xdr:rowOff>
    </xdr:from>
    <xdr:to>
      <xdr:col>6</xdr:col>
      <xdr:colOff>15240</xdr:colOff>
      <xdr:row>148</xdr:row>
      <xdr:rowOff>635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SpPr/>
      </xdr:nvSpPr>
      <xdr:spPr>
        <a:xfrm>
          <a:off x="3676650" y="30226000"/>
          <a:ext cx="9582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146</xdr:row>
      <xdr:rowOff>31750</xdr:rowOff>
    </xdr:from>
    <xdr:to>
      <xdr:col>8</xdr:col>
      <xdr:colOff>15240</xdr:colOff>
      <xdr:row>148</xdr:row>
      <xdr:rowOff>635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/>
      </xdr:nvSpPr>
      <xdr:spPr>
        <a:xfrm>
          <a:off x="5391150" y="30226000"/>
          <a:ext cx="93916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146</xdr:row>
      <xdr:rowOff>31750</xdr:rowOff>
    </xdr:from>
    <xdr:to>
      <xdr:col>10</xdr:col>
      <xdr:colOff>15240</xdr:colOff>
      <xdr:row>148</xdr:row>
      <xdr:rowOff>635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/>
      </xdr:nvSpPr>
      <xdr:spPr>
        <a:xfrm>
          <a:off x="7210425" y="30226000"/>
          <a:ext cx="796290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146</xdr:row>
      <xdr:rowOff>31750</xdr:rowOff>
    </xdr:from>
    <xdr:to>
      <xdr:col>12</xdr:col>
      <xdr:colOff>15240</xdr:colOff>
      <xdr:row>148</xdr:row>
      <xdr:rowOff>635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SpPr/>
      </xdr:nvSpPr>
      <xdr:spPr>
        <a:xfrm>
          <a:off x="8982075" y="30226000"/>
          <a:ext cx="81534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146</xdr:row>
      <xdr:rowOff>31750</xdr:rowOff>
    </xdr:from>
    <xdr:to>
      <xdr:col>14</xdr:col>
      <xdr:colOff>15240</xdr:colOff>
      <xdr:row>148</xdr:row>
      <xdr:rowOff>635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SpPr/>
      </xdr:nvSpPr>
      <xdr:spPr>
        <a:xfrm>
          <a:off x="10553700" y="30226000"/>
          <a:ext cx="843915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146</xdr:row>
      <xdr:rowOff>31750</xdr:rowOff>
    </xdr:from>
    <xdr:to>
      <xdr:col>16</xdr:col>
      <xdr:colOff>15240</xdr:colOff>
      <xdr:row>148</xdr:row>
      <xdr:rowOff>635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/>
      </xdr:nvSpPr>
      <xdr:spPr>
        <a:xfrm>
          <a:off x="12334875" y="30226000"/>
          <a:ext cx="9105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146</xdr:row>
      <xdr:rowOff>31750</xdr:rowOff>
    </xdr:from>
    <xdr:to>
      <xdr:col>18</xdr:col>
      <xdr:colOff>15240</xdr:colOff>
      <xdr:row>148</xdr:row>
      <xdr:rowOff>635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SpPr/>
      </xdr:nvSpPr>
      <xdr:spPr>
        <a:xfrm>
          <a:off x="14001750" y="30226000"/>
          <a:ext cx="758190" cy="36893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146</xdr:row>
      <xdr:rowOff>31750</xdr:rowOff>
    </xdr:from>
    <xdr:to>
      <xdr:col>20</xdr:col>
      <xdr:colOff>15240</xdr:colOff>
      <xdr:row>148</xdr:row>
      <xdr:rowOff>635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SpPr/>
      </xdr:nvSpPr>
      <xdr:spPr>
        <a:xfrm>
          <a:off x="15516225" y="30226000"/>
          <a:ext cx="90106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146</xdr:row>
      <xdr:rowOff>31750</xdr:rowOff>
    </xdr:from>
    <xdr:to>
      <xdr:col>22</xdr:col>
      <xdr:colOff>15240</xdr:colOff>
      <xdr:row>148</xdr:row>
      <xdr:rowOff>635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/>
      </xdr:nvSpPr>
      <xdr:spPr>
        <a:xfrm>
          <a:off x="17240250" y="30226000"/>
          <a:ext cx="920115" cy="36893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146</xdr:row>
      <xdr:rowOff>15875</xdr:rowOff>
    </xdr:from>
    <xdr:to>
      <xdr:col>24</xdr:col>
      <xdr:colOff>15240</xdr:colOff>
      <xdr:row>147</xdr:row>
      <xdr:rowOff>191135</xdr:rowOff>
    </xdr:to>
    <xdr:sp macro="" textlink="">
      <xdr:nvSpPr>
        <xdr:cNvPr id="205" name="Isosceles Triangle 20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/>
      </xdr:nvSpPr>
      <xdr:spPr>
        <a:xfrm>
          <a:off x="18916650" y="302101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146</xdr:row>
      <xdr:rowOff>15875</xdr:rowOff>
    </xdr:from>
    <xdr:to>
      <xdr:col>26</xdr:col>
      <xdr:colOff>15240</xdr:colOff>
      <xdr:row>147</xdr:row>
      <xdr:rowOff>191135</xdr:rowOff>
    </xdr:to>
    <xdr:sp macro="" textlink="">
      <xdr:nvSpPr>
        <xdr:cNvPr id="206" name="Isosceles Triangle 205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SpPr/>
      </xdr:nvSpPr>
      <xdr:spPr>
        <a:xfrm>
          <a:off x="20412075" y="302101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154</xdr:row>
      <xdr:rowOff>0</xdr:rowOff>
    </xdr:from>
    <xdr:to>
      <xdr:col>2</xdr:col>
      <xdr:colOff>15240</xdr:colOff>
      <xdr:row>155</xdr:row>
      <xdr:rowOff>175260</xdr:rowOff>
    </xdr:to>
    <xdr:sp macro="" textlink="">
      <xdr:nvSpPr>
        <xdr:cNvPr id="207" name="Isosceles Triangle 206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SpPr/>
      </xdr:nvSpPr>
      <xdr:spPr>
        <a:xfrm>
          <a:off x="609600" y="317944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154</xdr:row>
      <xdr:rowOff>0</xdr:rowOff>
    </xdr:from>
    <xdr:to>
      <xdr:col>4</xdr:col>
      <xdr:colOff>15240</xdr:colOff>
      <xdr:row>155</xdr:row>
      <xdr:rowOff>175260</xdr:rowOff>
    </xdr:to>
    <xdr:sp macro="" textlink="">
      <xdr:nvSpPr>
        <xdr:cNvPr id="208" name="Isosceles Triangle 207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/>
      </xdr:nvSpPr>
      <xdr:spPr>
        <a:xfrm>
          <a:off x="20669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154</xdr:row>
      <xdr:rowOff>0</xdr:rowOff>
    </xdr:from>
    <xdr:to>
      <xdr:col>6</xdr:col>
      <xdr:colOff>15240</xdr:colOff>
      <xdr:row>155</xdr:row>
      <xdr:rowOff>175260</xdr:rowOff>
    </xdr:to>
    <xdr:sp macro="" textlink="">
      <xdr:nvSpPr>
        <xdr:cNvPr id="209" name="Isosceles Triangle 20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SpPr/>
      </xdr:nvSpPr>
      <xdr:spPr>
        <a:xfrm>
          <a:off x="3676650" y="317944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154</xdr:row>
      <xdr:rowOff>0</xdr:rowOff>
    </xdr:from>
    <xdr:to>
      <xdr:col>8</xdr:col>
      <xdr:colOff>15240</xdr:colOff>
      <xdr:row>155</xdr:row>
      <xdr:rowOff>175260</xdr:rowOff>
    </xdr:to>
    <xdr:sp macro="" textlink="">
      <xdr:nvSpPr>
        <xdr:cNvPr id="210" name="Isosceles Triangle 209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SpPr/>
      </xdr:nvSpPr>
      <xdr:spPr>
        <a:xfrm>
          <a:off x="5391150" y="317944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15875</xdr:colOff>
      <xdr:row>154</xdr:row>
      <xdr:rowOff>15875</xdr:rowOff>
    </xdr:from>
    <xdr:to>
      <xdr:col>10</xdr:col>
      <xdr:colOff>31115</xdr:colOff>
      <xdr:row>155</xdr:row>
      <xdr:rowOff>191135</xdr:rowOff>
    </xdr:to>
    <xdr:sp macro="" textlink="">
      <xdr:nvSpPr>
        <xdr:cNvPr id="211" name="Isosceles Triangle 210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/>
      </xdr:nvSpPr>
      <xdr:spPr>
        <a:xfrm>
          <a:off x="7226300" y="318103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154</xdr:row>
      <xdr:rowOff>0</xdr:rowOff>
    </xdr:from>
    <xdr:to>
      <xdr:col>12</xdr:col>
      <xdr:colOff>15240</xdr:colOff>
      <xdr:row>155</xdr:row>
      <xdr:rowOff>175260</xdr:rowOff>
    </xdr:to>
    <xdr:sp macro="" textlink="">
      <xdr:nvSpPr>
        <xdr:cNvPr id="212" name="Isosceles Triangle 211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/>
      </xdr:nvSpPr>
      <xdr:spPr>
        <a:xfrm>
          <a:off x="8982075" y="317944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154</xdr:row>
      <xdr:rowOff>0</xdr:rowOff>
    </xdr:from>
    <xdr:to>
      <xdr:col>14</xdr:col>
      <xdr:colOff>15240</xdr:colOff>
      <xdr:row>155</xdr:row>
      <xdr:rowOff>175260</xdr:rowOff>
    </xdr:to>
    <xdr:sp macro="" textlink="">
      <xdr:nvSpPr>
        <xdr:cNvPr id="213" name="Isosceles Triangle 21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SpPr/>
      </xdr:nvSpPr>
      <xdr:spPr>
        <a:xfrm>
          <a:off x="10553700" y="317944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154</xdr:row>
      <xdr:rowOff>0</xdr:rowOff>
    </xdr:from>
    <xdr:to>
      <xdr:col>16</xdr:col>
      <xdr:colOff>15240</xdr:colOff>
      <xdr:row>155</xdr:row>
      <xdr:rowOff>175260</xdr:rowOff>
    </xdr:to>
    <xdr:sp macro="" textlink="">
      <xdr:nvSpPr>
        <xdr:cNvPr id="214" name="Isosceles Triangle 213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SpPr/>
      </xdr:nvSpPr>
      <xdr:spPr>
        <a:xfrm>
          <a:off x="12334875" y="31794450"/>
          <a:ext cx="910590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154</xdr:row>
      <xdr:rowOff>0</xdr:rowOff>
    </xdr:from>
    <xdr:to>
      <xdr:col>18</xdr:col>
      <xdr:colOff>15240</xdr:colOff>
      <xdr:row>155</xdr:row>
      <xdr:rowOff>175260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/>
      </xdr:nvSpPr>
      <xdr:spPr>
        <a:xfrm>
          <a:off x="14001750" y="317944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154</xdr:row>
      <xdr:rowOff>0</xdr:rowOff>
    </xdr:from>
    <xdr:to>
      <xdr:col>20</xdr:col>
      <xdr:colOff>15240</xdr:colOff>
      <xdr:row>155</xdr:row>
      <xdr:rowOff>175260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SpPr/>
      </xdr:nvSpPr>
      <xdr:spPr>
        <a:xfrm>
          <a:off x="15516225" y="317944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154</xdr:row>
      <xdr:rowOff>0</xdr:rowOff>
    </xdr:from>
    <xdr:to>
      <xdr:col>22</xdr:col>
      <xdr:colOff>15240</xdr:colOff>
      <xdr:row>155</xdr:row>
      <xdr:rowOff>175260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SpPr/>
      </xdr:nvSpPr>
      <xdr:spPr>
        <a:xfrm>
          <a:off x="17240250" y="3179445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154</xdr:row>
      <xdr:rowOff>0</xdr:rowOff>
    </xdr:from>
    <xdr:to>
      <xdr:col>24</xdr:col>
      <xdr:colOff>15240</xdr:colOff>
      <xdr:row>155</xdr:row>
      <xdr:rowOff>175260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/>
      </xdr:nvSpPr>
      <xdr:spPr>
        <a:xfrm>
          <a:off x="18916650" y="3179445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154</xdr:row>
      <xdr:rowOff>0</xdr:rowOff>
    </xdr:from>
    <xdr:to>
      <xdr:col>26</xdr:col>
      <xdr:colOff>15240</xdr:colOff>
      <xdr:row>155</xdr:row>
      <xdr:rowOff>175260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/>
      </xdr:nvSpPr>
      <xdr:spPr>
        <a:xfrm>
          <a:off x="20412075" y="3179445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161</xdr:row>
      <xdr:rowOff>0</xdr:rowOff>
    </xdr:from>
    <xdr:to>
      <xdr:col>2</xdr:col>
      <xdr:colOff>15240</xdr:colOff>
      <xdr:row>162</xdr:row>
      <xdr:rowOff>175260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/>
      </xdr:nvSpPr>
      <xdr:spPr>
        <a:xfrm>
          <a:off x="609600" y="331946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161</xdr:row>
      <xdr:rowOff>0</xdr:rowOff>
    </xdr:from>
    <xdr:to>
      <xdr:col>4</xdr:col>
      <xdr:colOff>15240</xdr:colOff>
      <xdr:row>162</xdr:row>
      <xdr:rowOff>175260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SpPr/>
      </xdr:nvSpPr>
      <xdr:spPr>
        <a:xfrm>
          <a:off x="20669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161</xdr:row>
      <xdr:rowOff>0</xdr:rowOff>
    </xdr:from>
    <xdr:to>
      <xdr:col>6</xdr:col>
      <xdr:colOff>15240</xdr:colOff>
      <xdr:row>162</xdr:row>
      <xdr:rowOff>175260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SpPr/>
      </xdr:nvSpPr>
      <xdr:spPr>
        <a:xfrm>
          <a:off x="3676650" y="331946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161</xdr:row>
      <xdr:rowOff>0</xdr:rowOff>
    </xdr:from>
    <xdr:to>
      <xdr:col>8</xdr:col>
      <xdr:colOff>15240</xdr:colOff>
      <xdr:row>162</xdr:row>
      <xdr:rowOff>175260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/>
      </xdr:nvSpPr>
      <xdr:spPr>
        <a:xfrm>
          <a:off x="5391150" y="331946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161</xdr:row>
      <xdr:rowOff>0</xdr:rowOff>
    </xdr:from>
    <xdr:to>
      <xdr:col>10</xdr:col>
      <xdr:colOff>15240</xdr:colOff>
      <xdr:row>162</xdr:row>
      <xdr:rowOff>175260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/>
      </xdr:nvSpPr>
      <xdr:spPr>
        <a:xfrm>
          <a:off x="7210425" y="331946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161</xdr:row>
      <xdr:rowOff>0</xdr:rowOff>
    </xdr:from>
    <xdr:to>
      <xdr:col>12</xdr:col>
      <xdr:colOff>15240</xdr:colOff>
      <xdr:row>162</xdr:row>
      <xdr:rowOff>175260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/>
      </xdr:nvSpPr>
      <xdr:spPr>
        <a:xfrm>
          <a:off x="8982075" y="331946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161</xdr:row>
      <xdr:rowOff>0</xdr:rowOff>
    </xdr:from>
    <xdr:to>
      <xdr:col>14</xdr:col>
      <xdr:colOff>15240</xdr:colOff>
      <xdr:row>162</xdr:row>
      <xdr:rowOff>175260</xdr:rowOff>
    </xdr:to>
    <xdr:sp macro="" textlink="">
      <xdr:nvSpPr>
        <xdr:cNvPr id="226" name="Isosceles Triangle 225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/>
      </xdr:nvSpPr>
      <xdr:spPr>
        <a:xfrm>
          <a:off x="10553700" y="331946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161</xdr:row>
      <xdr:rowOff>0</xdr:rowOff>
    </xdr:from>
    <xdr:to>
      <xdr:col>16</xdr:col>
      <xdr:colOff>15240</xdr:colOff>
      <xdr:row>162</xdr:row>
      <xdr:rowOff>175260</xdr:rowOff>
    </xdr:to>
    <xdr:sp macro="" textlink="">
      <xdr:nvSpPr>
        <xdr:cNvPr id="227" name="Isosceles Triangle 226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/>
      </xdr:nvSpPr>
      <xdr:spPr>
        <a:xfrm>
          <a:off x="12334875" y="331946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161</xdr:row>
      <xdr:rowOff>0</xdr:rowOff>
    </xdr:from>
    <xdr:to>
      <xdr:col>18</xdr:col>
      <xdr:colOff>15240</xdr:colOff>
      <xdr:row>162</xdr:row>
      <xdr:rowOff>175260</xdr:rowOff>
    </xdr:to>
    <xdr:sp macro="" textlink="">
      <xdr:nvSpPr>
        <xdr:cNvPr id="228" name="Isosceles Triangle 227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SpPr/>
      </xdr:nvSpPr>
      <xdr:spPr>
        <a:xfrm>
          <a:off x="14001750" y="331946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161</xdr:row>
      <xdr:rowOff>0</xdr:rowOff>
    </xdr:from>
    <xdr:to>
      <xdr:col>20</xdr:col>
      <xdr:colOff>15240</xdr:colOff>
      <xdr:row>162</xdr:row>
      <xdr:rowOff>175260</xdr:rowOff>
    </xdr:to>
    <xdr:sp macro="" textlink="">
      <xdr:nvSpPr>
        <xdr:cNvPr id="229" name="Isosceles Triangle 22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SpPr/>
      </xdr:nvSpPr>
      <xdr:spPr>
        <a:xfrm>
          <a:off x="15516225" y="331946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161</xdr:row>
      <xdr:rowOff>0</xdr:rowOff>
    </xdr:from>
    <xdr:to>
      <xdr:col>22</xdr:col>
      <xdr:colOff>15240</xdr:colOff>
      <xdr:row>162</xdr:row>
      <xdr:rowOff>175260</xdr:rowOff>
    </xdr:to>
    <xdr:sp macro="" textlink="">
      <xdr:nvSpPr>
        <xdr:cNvPr id="230" name="Isosceles Triangle 229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/>
      </xdr:nvSpPr>
      <xdr:spPr>
        <a:xfrm>
          <a:off x="17240250" y="331946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161</xdr:row>
      <xdr:rowOff>0</xdr:rowOff>
    </xdr:from>
    <xdr:to>
      <xdr:col>24</xdr:col>
      <xdr:colOff>15240</xdr:colOff>
      <xdr:row>162</xdr:row>
      <xdr:rowOff>175260</xdr:rowOff>
    </xdr:to>
    <xdr:sp macro="" textlink="">
      <xdr:nvSpPr>
        <xdr:cNvPr id="231" name="Isosceles Triangle 230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/>
      </xdr:nvSpPr>
      <xdr:spPr>
        <a:xfrm>
          <a:off x="18916650" y="331946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161</xdr:row>
      <xdr:rowOff>0</xdr:rowOff>
    </xdr:from>
    <xdr:to>
      <xdr:col>26</xdr:col>
      <xdr:colOff>15240</xdr:colOff>
      <xdr:row>162</xdr:row>
      <xdr:rowOff>175260</xdr:rowOff>
    </xdr:to>
    <xdr:sp macro="" textlink="">
      <xdr:nvSpPr>
        <xdr:cNvPr id="232" name="Isosceles Triangle 231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SpPr/>
      </xdr:nvSpPr>
      <xdr:spPr>
        <a:xfrm>
          <a:off x="20412075" y="331946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168</xdr:row>
      <xdr:rowOff>0</xdr:rowOff>
    </xdr:from>
    <xdr:to>
      <xdr:col>2</xdr:col>
      <xdr:colOff>15240</xdr:colOff>
      <xdr:row>169</xdr:row>
      <xdr:rowOff>175260</xdr:rowOff>
    </xdr:to>
    <xdr:sp macro="" textlink="">
      <xdr:nvSpPr>
        <xdr:cNvPr id="233" name="Isosceles Triangle 23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SpPr/>
      </xdr:nvSpPr>
      <xdr:spPr>
        <a:xfrm>
          <a:off x="609600" y="3459480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168</xdr:row>
      <xdr:rowOff>0</xdr:rowOff>
    </xdr:from>
    <xdr:to>
      <xdr:col>4</xdr:col>
      <xdr:colOff>15240</xdr:colOff>
      <xdr:row>169</xdr:row>
      <xdr:rowOff>175260</xdr:rowOff>
    </xdr:to>
    <xdr:sp macro="" textlink="">
      <xdr:nvSpPr>
        <xdr:cNvPr id="234" name="Isosceles Triangle 233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/>
      </xdr:nvSpPr>
      <xdr:spPr>
        <a:xfrm>
          <a:off x="20669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168</xdr:row>
      <xdr:rowOff>0</xdr:rowOff>
    </xdr:from>
    <xdr:to>
      <xdr:col>6</xdr:col>
      <xdr:colOff>15240</xdr:colOff>
      <xdr:row>169</xdr:row>
      <xdr:rowOff>175260</xdr:rowOff>
    </xdr:to>
    <xdr:sp macro="" textlink="">
      <xdr:nvSpPr>
        <xdr:cNvPr id="235" name="Isosceles Triangle 234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SpPr/>
      </xdr:nvSpPr>
      <xdr:spPr>
        <a:xfrm>
          <a:off x="3676650" y="3459480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168</xdr:row>
      <xdr:rowOff>0</xdr:rowOff>
    </xdr:from>
    <xdr:to>
      <xdr:col>8</xdr:col>
      <xdr:colOff>15240</xdr:colOff>
      <xdr:row>169</xdr:row>
      <xdr:rowOff>175260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SpPr/>
      </xdr:nvSpPr>
      <xdr:spPr>
        <a:xfrm>
          <a:off x="5391150" y="3459480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168</xdr:row>
      <xdr:rowOff>0</xdr:rowOff>
    </xdr:from>
    <xdr:to>
      <xdr:col>10</xdr:col>
      <xdr:colOff>15240</xdr:colOff>
      <xdr:row>169</xdr:row>
      <xdr:rowOff>175260</xdr:rowOff>
    </xdr:to>
    <xdr:sp macro="" textlink="">
      <xdr:nvSpPr>
        <xdr:cNvPr id="237" name="Isosceles Triangle 236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/>
      </xdr:nvSpPr>
      <xdr:spPr>
        <a:xfrm>
          <a:off x="7210425" y="345948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168</xdr:row>
      <xdr:rowOff>0</xdr:rowOff>
    </xdr:from>
    <xdr:to>
      <xdr:col>12</xdr:col>
      <xdr:colOff>15240</xdr:colOff>
      <xdr:row>169</xdr:row>
      <xdr:rowOff>175260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/>
      </xdr:nvSpPr>
      <xdr:spPr>
        <a:xfrm>
          <a:off x="8982075" y="34594800"/>
          <a:ext cx="8153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168</xdr:row>
      <xdr:rowOff>0</xdr:rowOff>
    </xdr:from>
    <xdr:to>
      <xdr:col>14</xdr:col>
      <xdr:colOff>15240</xdr:colOff>
      <xdr:row>169</xdr:row>
      <xdr:rowOff>175260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/>
      </xdr:nvSpPr>
      <xdr:spPr>
        <a:xfrm>
          <a:off x="10553700" y="34594800"/>
          <a:ext cx="843915" cy="375285"/>
        </a:xfrm>
        <a:prstGeom prst="triangl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168</xdr:row>
      <xdr:rowOff>0</xdr:rowOff>
    </xdr:from>
    <xdr:to>
      <xdr:col>16</xdr:col>
      <xdr:colOff>15240</xdr:colOff>
      <xdr:row>169</xdr:row>
      <xdr:rowOff>175260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/>
      </xdr:nvSpPr>
      <xdr:spPr>
        <a:xfrm>
          <a:off x="12334875" y="34594800"/>
          <a:ext cx="9105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168</xdr:row>
      <xdr:rowOff>0</xdr:rowOff>
    </xdr:from>
    <xdr:to>
      <xdr:col>18</xdr:col>
      <xdr:colOff>15240</xdr:colOff>
      <xdr:row>169</xdr:row>
      <xdr:rowOff>175260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SpPr/>
      </xdr:nvSpPr>
      <xdr:spPr>
        <a:xfrm>
          <a:off x="14001750" y="34594800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168</xdr:row>
      <xdr:rowOff>0</xdr:rowOff>
    </xdr:from>
    <xdr:to>
      <xdr:col>20</xdr:col>
      <xdr:colOff>15240</xdr:colOff>
      <xdr:row>169</xdr:row>
      <xdr:rowOff>175260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SpPr/>
      </xdr:nvSpPr>
      <xdr:spPr>
        <a:xfrm>
          <a:off x="15516225" y="3459480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168</xdr:row>
      <xdr:rowOff>0</xdr:rowOff>
    </xdr:from>
    <xdr:to>
      <xdr:col>22</xdr:col>
      <xdr:colOff>15240</xdr:colOff>
      <xdr:row>169</xdr:row>
      <xdr:rowOff>175260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/>
      </xdr:nvSpPr>
      <xdr:spPr>
        <a:xfrm>
          <a:off x="17240250" y="34594800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168</xdr:row>
      <xdr:rowOff>0</xdr:rowOff>
    </xdr:from>
    <xdr:to>
      <xdr:col>24</xdr:col>
      <xdr:colOff>15240</xdr:colOff>
      <xdr:row>169</xdr:row>
      <xdr:rowOff>175260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SpPr/>
      </xdr:nvSpPr>
      <xdr:spPr>
        <a:xfrm>
          <a:off x="18916650" y="345948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168</xdr:row>
      <xdr:rowOff>0</xdr:rowOff>
    </xdr:from>
    <xdr:to>
      <xdr:col>26</xdr:col>
      <xdr:colOff>15240</xdr:colOff>
      <xdr:row>169</xdr:row>
      <xdr:rowOff>175260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SpPr/>
      </xdr:nvSpPr>
      <xdr:spPr>
        <a:xfrm>
          <a:off x="20412075" y="3459480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15240</xdr:colOff>
      <xdr:row>176</xdr:row>
      <xdr:rowOff>175260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/>
      </xdr:nvSpPr>
      <xdr:spPr>
        <a:xfrm>
          <a:off x="609600" y="359949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175</xdr:row>
      <xdr:rowOff>0</xdr:rowOff>
    </xdr:from>
    <xdr:to>
      <xdr:col>4</xdr:col>
      <xdr:colOff>15240</xdr:colOff>
      <xdr:row>176</xdr:row>
      <xdr:rowOff>175260</xdr:rowOff>
    </xdr:to>
    <xdr:sp macro="" textlink="">
      <xdr:nvSpPr>
        <xdr:cNvPr id="247" name="Isosceles Triangle 246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SpPr/>
      </xdr:nvSpPr>
      <xdr:spPr>
        <a:xfrm>
          <a:off x="2066925" y="359949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175</xdr:row>
      <xdr:rowOff>0</xdr:rowOff>
    </xdr:from>
    <xdr:to>
      <xdr:col>6</xdr:col>
      <xdr:colOff>15240</xdr:colOff>
      <xdr:row>176</xdr:row>
      <xdr:rowOff>175260</xdr:rowOff>
    </xdr:to>
    <xdr:sp macro="" textlink="">
      <xdr:nvSpPr>
        <xdr:cNvPr id="248" name="Isosceles Triangle 247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SpPr/>
      </xdr:nvSpPr>
      <xdr:spPr>
        <a:xfrm>
          <a:off x="3676650" y="359949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175</xdr:row>
      <xdr:rowOff>0</xdr:rowOff>
    </xdr:from>
    <xdr:to>
      <xdr:col>8</xdr:col>
      <xdr:colOff>15240</xdr:colOff>
      <xdr:row>176</xdr:row>
      <xdr:rowOff>175260</xdr:rowOff>
    </xdr:to>
    <xdr:sp macro="" textlink="">
      <xdr:nvSpPr>
        <xdr:cNvPr id="249" name="Isosceles Triangle 248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/>
      </xdr:nvSpPr>
      <xdr:spPr>
        <a:xfrm>
          <a:off x="5391150" y="359949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175</xdr:row>
      <xdr:rowOff>0</xdr:rowOff>
    </xdr:from>
    <xdr:to>
      <xdr:col>10</xdr:col>
      <xdr:colOff>15240</xdr:colOff>
      <xdr:row>176</xdr:row>
      <xdr:rowOff>175260</xdr:rowOff>
    </xdr:to>
    <xdr:sp macro="" textlink="">
      <xdr:nvSpPr>
        <xdr:cNvPr id="250" name="Isosceles Triangle 249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/>
      </xdr:nvSpPr>
      <xdr:spPr>
        <a:xfrm>
          <a:off x="7210425" y="359949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175</xdr:row>
      <xdr:rowOff>0</xdr:rowOff>
    </xdr:from>
    <xdr:to>
      <xdr:col>12</xdr:col>
      <xdr:colOff>15240</xdr:colOff>
      <xdr:row>176</xdr:row>
      <xdr:rowOff>175260</xdr:rowOff>
    </xdr:to>
    <xdr:sp macro="" textlink="">
      <xdr:nvSpPr>
        <xdr:cNvPr id="251" name="Isosceles Triangle 250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/>
      </xdr:nvSpPr>
      <xdr:spPr>
        <a:xfrm>
          <a:off x="8982075" y="359949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175</xdr:row>
      <xdr:rowOff>0</xdr:rowOff>
    </xdr:from>
    <xdr:to>
      <xdr:col>14</xdr:col>
      <xdr:colOff>15240</xdr:colOff>
      <xdr:row>176</xdr:row>
      <xdr:rowOff>175260</xdr:rowOff>
    </xdr:to>
    <xdr:sp macro="" textlink="">
      <xdr:nvSpPr>
        <xdr:cNvPr id="252" name="Isosceles Triangle 251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/>
      </xdr:nvSpPr>
      <xdr:spPr>
        <a:xfrm>
          <a:off x="10553700" y="359949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175</xdr:row>
      <xdr:rowOff>0</xdr:rowOff>
    </xdr:from>
    <xdr:to>
      <xdr:col>16</xdr:col>
      <xdr:colOff>15240</xdr:colOff>
      <xdr:row>176</xdr:row>
      <xdr:rowOff>175260</xdr:rowOff>
    </xdr:to>
    <xdr:sp macro="" textlink="">
      <xdr:nvSpPr>
        <xdr:cNvPr id="253" name="Isosceles Triangle 252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/>
      </xdr:nvSpPr>
      <xdr:spPr>
        <a:xfrm>
          <a:off x="12334875" y="359949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175</xdr:row>
      <xdr:rowOff>0</xdr:rowOff>
    </xdr:from>
    <xdr:to>
      <xdr:col>18</xdr:col>
      <xdr:colOff>15240</xdr:colOff>
      <xdr:row>176</xdr:row>
      <xdr:rowOff>175260</xdr:rowOff>
    </xdr:to>
    <xdr:sp macro="" textlink="">
      <xdr:nvSpPr>
        <xdr:cNvPr id="254" name="Isosceles Triangle 253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/>
      </xdr:nvSpPr>
      <xdr:spPr>
        <a:xfrm>
          <a:off x="14001750" y="359949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175</xdr:row>
      <xdr:rowOff>0</xdr:rowOff>
    </xdr:from>
    <xdr:to>
      <xdr:col>20</xdr:col>
      <xdr:colOff>15240</xdr:colOff>
      <xdr:row>176</xdr:row>
      <xdr:rowOff>175260</xdr:rowOff>
    </xdr:to>
    <xdr:sp macro="" textlink="">
      <xdr:nvSpPr>
        <xdr:cNvPr id="255" name="Isosceles Triangle 254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SpPr/>
      </xdr:nvSpPr>
      <xdr:spPr>
        <a:xfrm>
          <a:off x="15516225" y="359949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175</xdr:row>
      <xdr:rowOff>0</xdr:rowOff>
    </xdr:from>
    <xdr:to>
      <xdr:col>22</xdr:col>
      <xdr:colOff>15240</xdr:colOff>
      <xdr:row>176</xdr:row>
      <xdr:rowOff>175260</xdr:rowOff>
    </xdr:to>
    <xdr:sp macro="" textlink="">
      <xdr:nvSpPr>
        <xdr:cNvPr id="256" name="Isosceles Triangle 255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SpPr/>
      </xdr:nvSpPr>
      <xdr:spPr>
        <a:xfrm>
          <a:off x="17240250" y="359949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175</xdr:row>
      <xdr:rowOff>0</xdr:rowOff>
    </xdr:from>
    <xdr:to>
      <xdr:col>24</xdr:col>
      <xdr:colOff>15240</xdr:colOff>
      <xdr:row>176</xdr:row>
      <xdr:rowOff>175260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/>
      </xdr:nvSpPr>
      <xdr:spPr>
        <a:xfrm>
          <a:off x="18916650" y="359949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175</xdr:row>
      <xdr:rowOff>0</xdr:rowOff>
    </xdr:from>
    <xdr:to>
      <xdr:col>26</xdr:col>
      <xdr:colOff>15240</xdr:colOff>
      <xdr:row>176</xdr:row>
      <xdr:rowOff>175260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/>
      </xdr:nvSpPr>
      <xdr:spPr>
        <a:xfrm>
          <a:off x="20412075" y="359949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183</xdr:row>
      <xdr:rowOff>0</xdr:rowOff>
    </xdr:from>
    <xdr:to>
      <xdr:col>2</xdr:col>
      <xdr:colOff>15240</xdr:colOff>
      <xdr:row>184</xdr:row>
      <xdr:rowOff>175260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SpPr/>
      </xdr:nvSpPr>
      <xdr:spPr>
        <a:xfrm>
          <a:off x="609600" y="375951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15240</xdr:colOff>
      <xdr:row>184</xdr:row>
      <xdr:rowOff>175260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SpPr/>
      </xdr:nvSpPr>
      <xdr:spPr>
        <a:xfrm>
          <a:off x="20669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183</xdr:row>
      <xdr:rowOff>0</xdr:rowOff>
    </xdr:from>
    <xdr:to>
      <xdr:col>6</xdr:col>
      <xdr:colOff>15240</xdr:colOff>
      <xdr:row>184</xdr:row>
      <xdr:rowOff>175260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/>
      </xdr:nvSpPr>
      <xdr:spPr>
        <a:xfrm>
          <a:off x="3676650" y="375951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183</xdr:row>
      <xdr:rowOff>0</xdr:rowOff>
    </xdr:from>
    <xdr:to>
      <xdr:col>8</xdr:col>
      <xdr:colOff>15240</xdr:colOff>
      <xdr:row>184</xdr:row>
      <xdr:rowOff>175260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SpPr/>
      </xdr:nvSpPr>
      <xdr:spPr>
        <a:xfrm>
          <a:off x="5391150" y="375951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183</xdr:row>
      <xdr:rowOff>0</xdr:rowOff>
    </xdr:from>
    <xdr:to>
      <xdr:col>10</xdr:col>
      <xdr:colOff>15240</xdr:colOff>
      <xdr:row>184</xdr:row>
      <xdr:rowOff>175260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SpPr/>
      </xdr:nvSpPr>
      <xdr:spPr>
        <a:xfrm>
          <a:off x="7210425" y="375951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183</xdr:row>
      <xdr:rowOff>0</xdr:rowOff>
    </xdr:from>
    <xdr:to>
      <xdr:col>12</xdr:col>
      <xdr:colOff>15240</xdr:colOff>
      <xdr:row>184</xdr:row>
      <xdr:rowOff>175260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/>
      </xdr:nvSpPr>
      <xdr:spPr>
        <a:xfrm>
          <a:off x="8982075" y="375951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15240</xdr:colOff>
      <xdr:row>184</xdr:row>
      <xdr:rowOff>175260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/>
      </xdr:nvSpPr>
      <xdr:spPr>
        <a:xfrm>
          <a:off x="10553700" y="375951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183</xdr:row>
      <xdr:rowOff>0</xdr:rowOff>
    </xdr:from>
    <xdr:to>
      <xdr:col>16</xdr:col>
      <xdr:colOff>15240</xdr:colOff>
      <xdr:row>184</xdr:row>
      <xdr:rowOff>175260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/>
      </xdr:nvSpPr>
      <xdr:spPr>
        <a:xfrm>
          <a:off x="12334875" y="375951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183</xdr:row>
      <xdr:rowOff>0</xdr:rowOff>
    </xdr:from>
    <xdr:to>
      <xdr:col>18</xdr:col>
      <xdr:colOff>15240</xdr:colOff>
      <xdr:row>184</xdr:row>
      <xdr:rowOff>175260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/>
      </xdr:nvSpPr>
      <xdr:spPr>
        <a:xfrm>
          <a:off x="14001750" y="375951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183</xdr:row>
      <xdr:rowOff>0</xdr:rowOff>
    </xdr:from>
    <xdr:to>
      <xdr:col>20</xdr:col>
      <xdr:colOff>15240</xdr:colOff>
      <xdr:row>184</xdr:row>
      <xdr:rowOff>175260</xdr:rowOff>
    </xdr:to>
    <xdr:sp macro="" textlink="">
      <xdr:nvSpPr>
        <xdr:cNvPr id="268" name="Isosceles Triangle 267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SpPr/>
      </xdr:nvSpPr>
      <xdr:spPr>
        <a:xfrm>
          <a:off x="15516225" y="375951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183</xdr:row>
      <xdr:rowOff>0</xdr:rowOff>
    </xdr:from>
    <xdr:to>
      <xdr:col>22</xdr:col>
      <xdr:colOff>15240</xdr:colOff>
      <xdr:row>184</xdr:row>
      <xdr:rowOff>175260</xdr:rowOff>
    </xdr:to>
    <xdr:sp macro="" textlink="">
      <xdr:nvSpPr>
        <xdr:cNvPr id="269" name="Isosceles Triangle 268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SpPr/>
      </xdr:nvSpPr>
      <xdr:spPr>
        <a:xfrm>
          <a:off x="17240250" y="375951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183</xdr:row>
      <xdr:rowOff>0</xdr:rowOff>
    </xdr:from>
    <xdr:to>
      <xdr:col>24</xdr:col>
      <xdr:colOff>15240</xdr:colOff>
      <xdr:row>184</xdr:row>
      <xdr:rowOff>175260</xdr:rowOff>
    </xdr:to>
    <xdr:sp macro="" textlink="">
      <xdr:nvSpPr>
        <xdr:cNvPr id="270" name="Isosceles Triangle 269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/>
      </xdr:nvSpPr>
      <xdr:spPr>
        <a:xfrm>
          <a:off x="18916650" y="375951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183</xdr:row>
      <xdr:rowOff>0</xdr:rowOff>
    </xdr:from>
    <xdr:to>
      <xdr:col>26</xdr:col>
      <xdr:colOff>15240</xdr:colOff>
      <xdr:row>184</xdr:row>
      <xdr:rowOff>175260</xdr:rowOff>
    </xdr:to>
    <xdr:sp macro="" textlink="">
      <xdr:nvSpPr>
        <xdr:cNvPr id="271" name="Isosceles Triangle 270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SpPr/>
      </xdr:nvSpPr>
      <xdr:spPr>
        <a:xfrm>
          <a:off x="20412075" y="375951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191</xdr:row>
      <xdr:rowOff>0</xdr:rowOff>
    </xdr:from>
    <xdr:to>
      <xdr:col>2</xdr:col>
      <xdr:colOff>15240</xdr:colOff>
      <xdr:row>192</xdr:row>
      <xdr:rowOff>175260</xdr:rowOff>
    </xdr:to>
    <xdr:sp macro="" textlink="">
      <xdr:nvSpPr>
        <xdr:cNvPr id="272" name="Isosceles Triangle 271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SpPr/>
      </xdr:nvSpPr>
      <xdr:spPr>
        <a:xfrm>
          <a:off x="609600" y="3919537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191</xdr:row>
      <xdr:rowOff>0</xdr:rowOff>
    </xdr:from>
    <xdr:to>
      <xdr:col>4</xdr:col>
      <xdr:colOff>15240</xdr:colOff>
      <xdr:row>192</xdr:row>
      <xdr:rowOff>175260</xdr:rowOff>
    </xdr:to>
    <xdr:sp macro="" textlink="">
      <xdr:nvSpPr>
        <xdr:cNvPr id="273" name="Isosceles Triangle 272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/>
      </xdr:nvSpPr>
      <xdr:spPr>
        <a:xfrm>
          <a:off x="20669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191</xdr:row>
      <xdr:rowOff>0</xdr:rowOff>
    </xdr:from>
    <xdr:to>
      <xdr:col>6</xdr:col>
      <xdr:colOff>15240</xdr:colOff>
      <xdr:row>192</xdr:row>
      <xdr:rowOff>175260</xdr:rowOff>
    </xdr:to>
    <xdr:sp macro="" textlink="">
      <xdr:nvSpPr>
        <xdr:cNvPr id="274" name="Isosceles Triangle 273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/>
      </xdr:nvSpPr>
      <xdr:spPr>
        <a:xfrm>
          <a:off x="3676650" y="3919537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191</xdr:row>
      <xdr:rowOff>0</xdr:rowOff>
    </xdr:from>
    <xdr:to>
      <xdr:col>8</xdr:col>
      <xdr:colOff>15240</xdr:colOff>
      <xdr:row>192</xdr:row>
      <xdr:rowOff>175260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SpPr/>
      </xdr:nvSpPr>
      <xdr:spPr>
        <a:xfrm>
          <a:off x="5391150" y="3919537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191</xdr:row>
      <xdr:rowOff>0</xdr:rowOff>
    </xdr:from>
    <xdr:to>
      <xdr:col>10</xdr:col>
      <xdr:colOff>15240</xdr:colOff>
      <xdr:row>192</xdr:row>
      <xdr:rowOff>175260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SpPr/>
      </xdr:nvSpPr>
      <xdr:spPr>
        <a:xfrm>
          <a:off x="7210425" y="3919537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191</xdr:row>
      <xdr:rowOff>0</xdr:rowOff>
    </xdr:from>
    <xdr:to>
      <xdr:col>12</xdr:col>
      <xdr:colOff>15240</xdr:colOff>
      <xdr:row>192</xdr:row>
      <xdr:rowOff>175260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/>
      </xdr:nvSpPr>
      <xdr:spPr>
        <a:xfrm>
          <a:off x="8982075" y="39195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191</xdr:row>
      <xdr:rowOff>0</xdr:rowOff>
    </xdr:from>
    <xdr:to>
      <xdr:col>14</xdr:col>
      <xdr:colOff>15240</xdr:colOff>
      <xdr:row>192</xdr:row>
      <xdr:rowOff>175260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SpPr/>
      </xdr:nvSpPr>
      <xdr:spPr>
        <a:xfrm>
          <a:off x="10553700" y="39195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191</xdr:row>
      <xdr:rowOff>0</xdr:rowOff>
    </xdr:from>
    <xdr:to>
      <xdr:col>16</xdr:col>
      <xdr:colOff>15240</xdr:colOff>
      <xdr:row>192</xdr:row>
      <xdr:rowOff>175260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SpPr/>
      </xdr:nvSpPr>
      <xdr:spPr>
        <a:xfrm>
          <a:off x="12334875" y="39195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191</xdr:row>
      <xdr:rowOff>0</xdr:rowOff>
    </xdr:from>
    <xdr:to>
      <xdr:col>18</xdr:col>
      <xdr:colOff>15240</xdr:colOff>
      <xdr:row>192</xdr:row>
      <xdr:rowOff>175260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/>
      </xdr:nvSpPr>
      <xdr:spPr>
        <a:xfrm>
          <a:off x="14001750" y="3919537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191</xdr:row>
      <xdr:rowOff>0</xdr:rowOff>
    </xdr:from>
    <xdr:to>
      <xdr:col>20</xdr:col>
      <xdr:colOff>15240</xdr:colOff>
      <xdr:row>192</xdr:row>
      <xdr:rowOff>175260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/>
      </xdr:nvSpPr>
      <xdr:spPr>
        <a:xfrm>
          <a:off x="15516225" y="3919537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191</xdr:row>
      <xdr:rowOff>0</xdr:rowOff>
    </xdr:from>
    <xdr:to>
      <xdr:col>22</xdr:col>
      <xdr:colOff>15240</xdr:colOff>
      <xdr:row>192</xdr:row>
      <xdr:rowOff>175260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SpPr/>
      </xdr:nvSpPr>
      <xdr:spPr>
        <a:xfrm>
          <a:off x="17240250" y="3919537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191</xdr:row>
      <xdr:rowOff>0</xdr:rowOff>
    </xdr:from>
    <xdr:to>
      <xdr:col>24</xdr:col>
      <xdr:colOff>15240</xdr:colOff>
      <xdr:row>192</xdr:row>
      <xdr:rowOff>175260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SpPr/>
      </xdr:nvSpPr>
      <xdr:spPr>
        <a:xfrm>
          <a:off x="18916650" y="3919537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191</xdr:row>
      <xdr:rowOff>0</xdr:rowOff>
    </xdr:from>
    <xdr:to>
      <xdr:col>26</xdr:col>
      <xdr:colOff>15240</xdr:colOff>
      <xdr:row>192</xdr:row>
      <xdr:rowOff>175260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/>
      </xdr:nvSpPr>
      <xdr:spPr>
        <a:xfrm>
          <a:off x="20412075" y="3919537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198</xdr:row>
      <xdr:rowOff>0</xdr:rowOff>
    </xdr:from>
    <xdr:to>
      <xdr:col>2</xdr:col>
      <xdr:colOff>15240</xdr:colOff>
      <xdr:row>199</xdr:row>
      <xdr:rowOff>175260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SpPr/>
      </xdr:nvSpPr>
      <xdr:spPr>
        <a:xfrm>
          <a:off x="609600" y="4059555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198</xdr:row>
      <xdr:rowOff>0</xdr:rowOff>
    </xdr:from>
    <xdr:to>
      <xdr:col>4</xdr:col>
      <xdr:colOff>15240</xdr:colOff>
      <xdr:row>199</xdr:row>
      <xdr:rowOff>175260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SpPr/>
      </xdr:nvSpPr>
      <xdr:spPr>
        <a:xfrm>
          <a:off x="20669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198</xdr:row>
      <xdr:rowOff>0</xdr:rowOff>
    </xdr:from>
    <xdr:to>
      <xdr:col>6</xdr:col>
      <xdr:colOff>15240</xdr:colOff>
      <xdr:row>199</xdr:row>
      <xdr:rowOff>175260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/>
      </xdr:nvSpPr>
      <xdr:spPr>
        <a:xfrm>
          <a:off x="3676650" y="4059555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198</xdr:row>
      <xdr:rowOff>0</xdr:rowOff>
    </xdr:from>
    <xdr:to>
      <xdr:col>8</xdr:col>
      <xdr:colOff>15240</xdr:colOff>
      <xdr:row>199</xdr:row>
      <xdr:rowOff>175260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/>
      </xdr:nvSpPr>
      <xdr:spPr>
        <a:xfrm>
          <a:off x="5391150" y="4059555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198</xdr:row>
      <xdr:rowOff>0</xdr:rowOff>
    </xdr:from>
    <xdr:to>
      <xdr:col>10</xdr:col>
      <xdr:colOff>15240</xdr:colOff>
      <xdr:row>199</xdr:row>
      <xdr:rowOff>175260</xdr:rowOff>
    </xdr:to>
    <xdr:sp macro="" textlink="">
      <xdr:nvSpPr>
        <xdr:cNvPr id="289" name="Isosceles Triangle 288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SpPr/>
      </xdr:nvSpPr>
      <xdr:spPr>
        <a:xfrm>
          <a:off x="7210425" y="40595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198</xdr:row>
      <xdr:rowOff>0</xdr:rowOff>
    </xdr:from>
    <xdr:to>
      <xdr:col>12</xdr:col>
      <xdr:colOff>15240</xdr:colOff>
      <xdr:row>199</xdr:row>
      <xdr:rowOff>175260</xdr:rowOff>
    </xdr:to>
    <xdr:sp macro="" textlink="">
      <xdr:nvSpPr>
        <xdr:cNvPr id="290" name="Isosceles Triangle 289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SpPr/>
      </xdr:nvSpPr>
      <xdr:spPr>
        <a:xfrm>
          <a:off x="8982075" y="40595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198</xdr:row>
      <xdr:rowOff>0</xdr:rowOff>
    </xdr:from>
    <xdr:to>
      <xdr:col>14</xdr:col>
      <xdr:colOff>15240</xdr:colOff>
      <xdr:row>199</xdr:row>
      <xdr:rowOff>175260</xdr:rowOff>
    </xdr:to>
    <xdr:sp macro="" textlink="">
      <xdr:nvSpPr>
        <xdr:cNvPr id="291" name="Isosceles Triangle 290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/>
      </xdr:nvSpPr>
      <xdr:spPr>
        <a:xfrm>
          <a:off x="10553700" y="40595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198</xdr:row>
      <xdr:rowOff>0</xdr:rowOff>
    </xdr:from>
    <xdr:to>
      <xdr:col>16</xdr:col>
      <xdr:colOff>15240</xdr:colOff>
      <xdr:row>199</xdr:row>
      <xdr:rowOff>175260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SpPr/>
      </xdr:nvSpPr>
      <xdr:spPr>
        <a:xfrm>
          <a:off x="12334875" y="40595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198</xdr:row>
      <xdr:rowOff>0</xdr:rowOff>
    </xdr:from>
    <xdr:to>
      <xdr:col>18</xdr:col>
      <xdr:colOff>15240</xdr:colOff>
      <xdr:row>199</xdr:row>
      <xdr:rowOff>175260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SpPr/>
      </xdr:nvSpPr>
      <xdr:spPr>
        <a:xfrm>
          <a:off x="14001750" y="40595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198</xdr:row>
      <xdr:rowOff>0</xdr:rowOff>
    </xdr:from>
    <xdr:to>
      <xdr:col>20</xdr:col>
      <xdr:colOff>15240</xdr:colOff>
      <xdr:row>199</xdr:row>
      <xdr:rowOff>175260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/>
      </xdr:nvSpPr>
      <xdr:spPr>
        <a:xfrm>
          <a:off x="15516225" y="40595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198</xdr:row>
      <xdr:rowOff>0</xdr:rowOff>
    </xdr:from>
    <xdr:to>
      <xdr:col>24</xdr:col>
      <xdr:colOff>15240</xdr:colOff>
      <xdr:row>199</xdr:row>
      <xdr:rowOff>175260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SpPr/>
      </xdr:nvSpPr>
      <xdr:spPr>
        <a:xfrm>
          <a:off x="18916650" y="40595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198</xdr:row>
      <xdr:rowOff>0</xdr:rowOff>
    </xdr:from>
    <xdr:to>
      <xdr:col>26</xdr:col>
      <xdr:colOff>15240</xdr:colOff>
      <xdr:row>199</xdr:row>
      <xdr:rowOff>175260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SpPr/>
      </xdr:nvSpPr>
      <xdr:spPr>
        <a:xfrm>
          <a:off x="20412075" y="40595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205</xdr:row>
      <xdr:rowOff>0</xdr:rowOff>
    </xdr:from>
    <xdr:to>
      <xdr:col>2</xdr:col>
      <xdr:colOff>15240</xdr:colOff>
      <xdr:row>206</xdr:row>
      <xdr:rowOff>175260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/>
      </xdr:nvSpPr>
      <xdr:spPr>
        <a:xfrm>
          <a:off x="609600" y="41995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205</xdr:row>
      <xdr:rowOff>0</xdr:rowOff>
    </xdr:from>
    <xdr:to>
      <xdr:col>4</xdr:col>
      <xdr:colOff>15240</xdr:colOff>
      <xdr:row>206</xdr:row>
      <xdr:rowOff>175260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SpPr/>
      </xdr:nvSpPr>
      <xdr:spPr>
        <a:xfrm>
          <a:off x="20669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205</xdr:row>
      <xdr:rowOff>0</xdr:rowOff>
    </xdr:from>
    <xdr:to>
      <xdr:col>6</xdr:col>
      <xdr:colOff>15240</xdr:colOff>
      <xdr:row>206</xdr:row>
      <xdr:rowOff>175260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SpPr/>
      </xdr:nvSpPr>
      <xdr:spPr>
        <a:xfrm>
          <a:off x="3676650" y="41995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205</xdr:row>
      <xdr:rowOff>0</xdr:rowOff>
    </xdr:from>
    <xdr:to>
      <xdr:col>8</xdr:col>
      <xdr:colOff>15240</xdr:colOff>
      <xdr:row>206</xdr:row>
      <xdr:rowOff>175260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/>
      </xdr:nvSpPr>
      <xdr:spPr>
        <a:xfrm>
          <a:off x="5391150" y="419957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205</xdr:row>
      <xdr:rowOff>0</xdr:rowOff>
    </xdr:from>
    <xdr:to>
      <xdr:col>10</xdr:col>
      <xdr:colOff>15240</xdr:colOff>
      <xdr:row>206</xdr:row>
      <xdr:rowOff>175260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/>
      </xdr:nvSpPr>
      <xdr:spPr>
        <a:xfrm>
          <a:off x="7210425" y="419957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205</xdr:row>
      <xdr:rowOff>0</xdr:rowOff>
    </xdr:from>
    <xdr:to>
      <xdr:col>12</xdr:col>
      <xdr:colOff>15240</xdr:colOff>
      <xdr:row>206</xdr:row>
      <xdr:rowOff>175260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SpPr/>
      </xdr:nvSpPr>
      <xdr:spPr>
        <a:xfrm>
          <a:off x="8982075" y="419957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205</xdr:row>
      <xdr:rowOff>0</xdr:rowOff>
    </xdr:from>
    <xdr:to>
      <xdr:col>14</xdr:col>
      <xdr:colOff>15240</xdr:colOff>
      <xdr:row>206</xdr:row>
      <xdr:rowOff>175260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SpPr/>
      </xdr:nvSpPr>
      <xdr:spPr>
        <a:xfrm>
          <a:off x="10553700" y="419957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205</xdr:row>
      <xdr:rowOff>0</xdr:rowOff>
    </xdr:from>
    <xdr:to>
      <xdr:col>16</xdr:col>
      <xdr:colOff>15240</xdr:colOff>
      <xdr:row>206</xdr:row>
      <xdr:rowOff>175260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/>
      </xdr:nvSpPr>
      <xdr:spPr>
        <a:xfrm>
          <a:off x="12334875" y="419957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205</xdr:row>
      <xdr:rowOff>0</xdr:rowOff>
    </xdr:from>
    <xdr:to>
      <xdr:col>18</xdr:col>
      <xdr:colOff>15240</xdr:colOff>
      <xdr:row>206</xdr:row>
      <xdr:rowOff>175260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SpPr/>
      </xdr:nvSpPr>
      <xdr:spPr>
        <a:xfrm>
          <a:off x="14001750" y="419957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205</xdr:row>
      <xdr:rowOff>0</xdr:rowOff>
    </xdr:from>
    <xdr:to>
      <xdr:col>20</xdr:col>
      <xdr:colOff>15240</xdr:colOff>
      <xdr:row>206</xdr:row>
      <xdr:rowOff>175260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SpPr/>
      </xdr:nvSpPr>
      <xdr:spPr>
        <a:xfrm>
          <a:off x="15516225" y="41995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205</xdr:row>
      <xdr:rowOff>0</xdr:rowOff>
    </xdr:from>
    <xdr:to>
      <xdr:col>22</xdr:col>
      <xdr:colOff>15240</xdr:colOff>
      <xdr:row>206</xdr:row>
      <xdr:rowOff>175260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/>
      </xdr:nvSpPr>
      <xdr:spPr>
        <a:xfrm>
          <a:off x="17240250" y="419957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205</xdr:row>
      <xdr:rowOff>0</xdr:rowOff>
    </xdr:from>
    <xdr:to>
      <xdr:col>24</xdr:col>
      <xdr:colOff>15240</xdr:colOff>
      <xdr:row>206</xdr:row>
      <xdr:rowOff>175260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/>
      </xdr:nvSpPr>
      <xdr:spPr>
        <a:xfrm>
          <a:off x="18916650" y="419957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205</xdr:row>
      <xdr:rowOff>0</xdr:rowOff>
    </xdr:from>
    <xdr:to>
      <xdr:col>26</xdr:col>
      <xdr:colOff>15240</xdr:colOff>
      <xdr:row>206</xdr:row>
      <xdr:rowOff>175260</xdr:rowOff>
    </xdr:to>
    <xdr:sp macro="" textlink="">
      <xdr:nvSpPr>
        <xdr:cNvPr id="310" name="Isosceles Triangle 309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SpPr/>
      </xdr:nvSpPr>
      <xdr:spPr>
        <a:xfrm>
          <a:off x="20412075" y="419957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212</xdr:row>
      <xdr:rowOff>0</xdr:rowOff>
    </xdr:from>
    <xdr:to>
      <xdr:col>2</xdr:col>
      <xdr:colOff>15240</xdr:colOff>
      <xdr:row>213</xdr:row>
      <xdr:rowOff>175260</xdr:rowOff>
    </xdr:to>
    <xdr:sp macro="" textlink="">
      <xdr:nvSpPr>
        <xdr:cNvPr id="311" name="Isosceles Triangle 310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SpPr/>
      </xdr:nvSpPr>
      <xdr:spPr>
        <a:xfrm>
          <a:off x="609600" y="433959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212</xdr:row>
      <xdr:rowOff>19050</xdr:rowOff>
    </xdr:from>
    <xdr:to>
      <xdr:col>4</xdr:col>
      <xdr:colOff>15240</xdr:colOff>
      <xdr:row>213</xdr:row>
      <xdr:rowOff>194310</xdr:rowOff>
    </xdr:to>
    <xdr:sp macro="" textlink="">
      <xdr:nvSpPr>
        <xdr:cNvPr id="312" name="Isosceles Triangle 311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/>
      </xdr:nvSpPr>
      <xdr:spPr>
        <a:xfrm>
          <a:off x="2286000" y="45319950"/>
          <a:ext cx="910590" cy="384810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212</xdr:row>
      <xdr:rowOff>0</xdr:rowOff>
    </xdr:from>
    <xdr:to>
      <xdr:col>6</xdr:col>
      <xdr:colOff>15240</xdr:colOff>
      <xdr:row>213</xdr:row>
      <xdr:rowOff>175260</xdr:rowOff>
    </xdr:to>
    <xdr:sp macro="" textlink="">
      <xdr:nvSpPr>
        <xdr:cNvPr id="313" name="Isosceles Triangle 312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SpPr/>
      </xdr:nvSpPr>
      <xdr:spPr>
        <a:xfrm>
          <a:off x="3676650" y="433959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212</xdr:row>
      <xdr:rowOff>0</xdr:rowOff>
    </xdr:from>
    <xdr:to>
      <xdr:col>8</xdr:col>
      <xdr:colOff>15240</xdr:colOff>
      <xdr:row>213</xdr:row>
      <xdr:rowOff>175260</xdr:rowOff>
    </xdr:to>
    <xdr:sp macro="" textlink="">
      <xdr:nvSpPr>
        <xdr:cNvPr id="314" name="Isosceles Triangle 313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SpPr/>
      </xdr:nvSpPr>
      <xdr:spPr>
        <a:xfrm>
          <a:off x="5391150" y="433959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212</xdr:row>
      <xdr:rowOff>0</xdr:rowOff>
    </xdr:from>
    <xdr:to>
      <xdr:col>10</xdr:col>
      <xdr:colOff>15240</xdr:colOff>
      <xdr:row>213</xdr:row>
      <xdr:rowOff>175260</xdr:rowOff>
    </xdr:to>
    <xdr:sp macro="" textlink="">
      <xdr:nvSpPr>
        <xdr:cNvPr id="315" name="Isosceles Triangle 314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/>
      </xdr:nvSpPr>
      <xdr:spPr>
        <a:xfrm>
          <a:off x="7210425" y="433959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212</xdr:row>
      <xdr:rowOff>0</xdr:rowOff>
    </xdr:from>
    <xdr:to>
      <xdr:col>12</xdr:col>
      <xdr:colOff>15240</xdr:colOff>
      <xdr:row>213</xdr:row>
      <xdr:rowOff>175260</xdr:rowOff>
    </xdr:to>
    <xdr:sp macro="" textlink="">
      <xdr:nvSpPr>
        <xdr:cNvPr id="316" name="Isosceles Triangle 315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/>
      </xdr:nvSpPr>
      <xdr:spPr>
        <a:xfrm>
          <a:off x="8982075" y="433959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212</xdr:row>
      <xdr:rowOff>0</xdr:rowOff>
    </xdr:from>
    <xdr:to>
      <xdr:col>14</xdr:col>
      <xdr:colOff>15240</xdr:colOff>
      <xdr:row>213</xdr:row>
      <xdr:rowOff>175260</xdr:rowOff>
    </xdr:to>
    <xdr:sp macro="" textlink="">
      <xdr:nvSpPr>
        <xdr:cNvPr id="317" name="Isosceles Triangle 316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SpPr/>
      </xdr:nvSpPr>
      <xdr:spPr>
        <a:xfrm>
          <a:off x="10553700" y="433959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212</xdr:row>
      <xdr:rowOff>0</xdr:rowOff>
    </xdr:from>
    <xdr:to>
      <xdr:col>16</xdr:col>
      <xdr:colOff>15240</xdr:colOff>
      <xdr:row>213</xdr:row>
      <xdr:rowOff>175260</xdr:rowOff>
    </xdr:to>
    <xdr:sp macro="" textlink="">
      <xdr:nvSpPr>
        <xdr:cNvPr id="318" name="Isosceles Triangle 317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SpPr/>
      </xdr:nvSpPr>
      <xdr:spPr>
        <a:xfrm>
          <a:off x="12334875" y="433959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212</xdr:row>
      <xdr:rowOff>0</xdr:rowOff>
    </xdr:from>
    <xdr:to>
      <xdr:col>18</xdr:col>
      <xdr:colOff>15240</xdr:colOff>
      <xdr:row>213</xdr:row>
      <xdr:rowOff>175260</xdr:rowOff>
    </xdr:to>
    <xdr:sp macro="" textlink="">
      <xdr:nvSpPr>
        <xdr:cNvPr id="319" name="Isosceles Triangle 318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/>
      </xdr:nvSpPr>
      <xdr:spPr>
        <a:xfrm>
          <a:off x="14001750" y="433959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212</xdr:row>
      <xdr:rowOff>0</xdr:rowOff>
    </xdr:from>
    <xdr:to>
      <xdr:col>20</xdr:col>
      <xdr:colOff>15240</xdr:colOff>
      <xdr:row>213</xdr:row>
      <xdr:rowOff>175260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SpPr/>
      </xdr:nvSpPr>
      <xdr:spPr>
        <a:xfrm>
          <a:off x="15516225" y="433959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212</xdr:row>
      <xdr:rowOff>0</xdr:rowOff>
    </xdr:from>
    <xdr:to>
      <xdr:col>22</xdr:col>
      <xdr:colOff>15240</xdr:colOff>
      <xdr:row>213</xdr:row>
      <xdr:rowOff>175260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SpPr/>
      </xdr:nvSpPr>
      <xdr:spPr>
        <a:xfrm>
          <a:off x="17240250" y="433959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212</xdr:row>
      <xdr:rowOff>0</xdr:rowOff>
    </xdr:from>
    <xdr:to>
      <xdr:col>24</xdr:col>
      <xdr:colOff>15240</xdr:colOff>
      <xdr:row>213</xdr:row>
      <xdr:rowOff>175260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SpPr/>
      </xdr:nvSpPr>
      <xdr:spPr>
        <a:xfrm>
          <a:off x="18916650" y="4339590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63500</xdr:colOff>
      <xdr:row>24</xdr:row>
      <xdr:rowOff>15873</xdr:rowOff>
    </xdr:from>
    <xdr:to>
      <xdr:col>22</xdr:col>
      <xdr:colOff>301626</xdr:colOff>
      <xdr:row>25</xdr:row>
      <xdr:rowOff>222249</xdr:rowOff>
    </xdr:to>
    <xdr:cxnSp macro="">
      <xdr:nvCxnSpPr>
        <xdr:cNvPr id="323" name="Elbow Connector 55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CxnSpPr/>
      </xdr:nvCxnSpPr>
      <xdr:spPr>
        <a:xfrm rot="16200000" flipH="1">
          <a:off x="18134012" y="5805486"/>
          <a:ext cx="387351" cy="23812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24</xdr:row>
      <xdr:rowOff>0</xdr:rowOff>
    </xdr:from>
    <xdr:to>
      <xdr:col>24</xdr:col>
      <xdr:colOff>317500</xdr:colOff>
      <xdr:row>26</xdr:row>
      <xdr:rowOff>15875</xdr:rowOff>
    </xdr:to>
    <xdr:cxnSp macro="">
      <xdr:nvCxnSpPr>
        <xdr:cNvPr id="324" name="Elbow Connector 55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CxnSpPr/>
      </xdr:nvCxnSpPr>
      <xdr:spPr>
        <a:xfrm rot="16200000" flipH="1">
          <a:off x="19629437" y="5764213"/>
          <a:ext cx="415925" cy="3175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23</xdr:row>
      <xdr:rowOff>206374</xdr:rowOff>
    </xdr:from>
    <xdr:to>
      <xdr:col>26</xdr:col>
      <xdr:colOff>333375</xdr:colOff>
      <xdr:row>25</xdr:row>
      <xdr:rowOff>158749</xdr:rowOff>
    </xdr:to>
    <xdr:cxnSp macro="">
      <xdr:nvCxnSpPr>
        <xdr:cNvPr id="325" name="Elbow Connector 55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CxnSpPr/>
      </xdr:nvCxnSpPr>
      <xdr:spPr>
        <a:xfrm rot="16200000" flipH="1">
          <a:off x="21493163" y="5726111"/>
          <a:ext cx="361950" cy="3333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32</xdr:row>
      <xdr:rowOff>174625</xdr:rowOff>
    </xdr:from>
    <xdr:to>
      <xdr:col>2</xdr:col>
      <xdr:colOff>261937</xdr:colOff>
      <xdr:row>34</xdr:row>
      <xdr:rowOff>19843</xdr:rowOff>
    </xdr:to>
    <xdr:cxnSp macro="">
      <xdr:nvCxnSpPr>
        <xdr:cNvPr id="326" name="Elbow Connector 55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CxnSpPr/>
      </xdr:nvCxnSpPr>
      <xdr:spPr>
        <a:xfrm>
          <a:off x="1343025" y="7489825"/>
          <a:ext cx="261937" cy="24526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33</xdr:row>
      <xdr:rowOff>0</xdr:rowOff>
    </xdr:from>
    <xdr:to>
      <xdr:col>4</xdr:col>
      <xdr:colOff>261937</xdr:colOff>
      <xdr:row>34</xdr:row>
      <xdr:rowOff>2525</xdr:rowOff>
    </xdr:to>
    <xdr:cxnSp macro="">
      <xdr:nvCxnSpPr>
        <xdr:cNvPr id="327" name="Elbow Connector 55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CxnSpPr/>
      </xdr:nvCxnSpPr>
      <xdr:spPr>
        <a:xfrm>
          <a:off x="29527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6</xdr:col>
      <xdr:colOff>261937</xdr:colOff>
      <xdr:row>34</xdr:row>
      <xdr:rowOff>2525</xdr:rowOff>
    </xdr:to>
    <xdr:cxnSp macro="">
      <xdr:nvCxnSpPr>
        <xdr:cNvPr id="328" name="Elbow Connector 55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CxnSpPr/>
      </xdr:nvCxnSpPr>
      <xdr:spPr>
        <a:xfrm>
          <a:off x="46196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</xdr:row>
      <xdr:rowOff>0</xdr:rowOff>
    </xdr:from>
    <xdr:to>
      <xdr:col>8</xdr:col>
      <xdr:colOff>261937</xdr:colOff>
      <xdr:row>34</xdr:row>
      <xdr:rowOff>2525</xdr:rowOff>
    </xdr:to>
    <xdr:cxnSp macro="">
      <xdr:nvCxnSpPr>
        <xdr:cNvPr id="329" name="Elbow Connector 55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CxnSpPr/>
      </xdr:nvCxnSpPr>
      <xdr:spPr>
        <a:xfrm>
          <a:off x="63150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33</xdr:row>
      <xdr:rowOff>0</xdr:rowOff>
    </xdr:from>
    <xdr:to>
      <xdr:col>10</xdr:col>
      <xdr:colOff>261937</xdr:colOff>
      <xdr:row>34</xdr:row>
      <xdr:rowOff>2525</xdr:rowOff>
    </xdr:to>
    <xdr:cxnSp macro="">
      <xdr:nvCxnSpPr>
        <xdr:cNvPr id="330" name="Elbow Connector 55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CxnSpPr/>
      </xdr:nvCxnSpPr>
      <xdr:spPr>
        <a:xfrm>
          <a:off x="79914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33</xdr:row>
      <xdr:rowOff>0</xdr:rowOff>
    </xdr:from>
    <xdr:to>
      <xdr:col>12</xdr:col>
      <xdr:colOff>261937</xdr:colOff>
      <xdr:row>34</xdr:row>
      <xdr:rowOff>2525</xdr:rowOff>
    </xdr:to>
    <xdr:cxnSp macro="">
      <xdr:nvCxnSpPr>
        <xdr:cNvPr id="331" name="Elbow Connector 55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CxnSpPr/>
      </xdr:nvCxnSpPr>
      <xdr:spPr>
        <a:xfrm>
          <a:off x="97821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33</xdr:row>
      <xdr:rowOff>0</xdr:rowOff>
    </xdr:from>
    <xdr:to>
      <xdr:col>14</xdr:col>
      <xdr:colOff>261937</xdr:colOff>
      <xdr:row>34</xdr:row>
      <xdr:rowOff>2525</xdr:rowOff>
    </xdr:to>
    <xdr:cxnSp macro="">
      <xdr:nvCxnSpPr>
        <xdr:cNvPr id="332" name="Elbow Connector 55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CxnSpPr/>
      </xdr:nvCxnSpPr>
      <xdr:spPr>
        <a:xfrm>
          <a:off x="1138237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33</xdr:row>
      <xdr:rowOff>0</xdr:rowOff>
    </xdr:from>
    <xdr:to>
      <xdr:col>16</xdr:col>
      <xdr:colOff>261937</xdr:colOff>
      <xdr:row>34</xdr:row>
      <xdr:rowOff>2525</xdr:rowOff>
    </xdr:to>
    <xdr:cxnSp macro="">
      <xdr:nvCxnSpPr>
        <xdr:cNvPr id="333" name="Elbow Connector 55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CxnSpPr/>
      </xdr:nvCxnSpPr>
      <xdr:spPr>
        <a:xfrm>
          <a:off x="13230225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33</xdr:row>
      <xdr:rowOff>0</xdr:rowOff>
    </xdr:from>
    <xdr:to>
      <xdr:col>20</xdr:col>
      <xdr:colOff>261937</xdr:colOff>
      <xdr:row>34</xdr:row>
      <xdr:rowOff>2525</xdr:rowOff>
    </xdr:to>
    <xdr:cxnSp macro="">
      <xdr:nvCxnSpPr>
        <xdr:cNvPr id="334" name="Elbow Connector 55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CxnSpPr/>
      </xdr:nvCxnSpPr>
      <xdr:spPr>
        <a:xfrm>
          <a:off x="16402050" y="75152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47</xdr:row>
      <xdr:rowOff>0</xdr:rowOff>
    </xdr:from>
    <xdr:to>
      <xdr:col>12</xdr:col>
      <xdr:colOff>261937</xdr:colOff>
      <xdr:row>48</xdr:row>
      <xdr:rowOff>2525</xdr:rowOff>
    </xdr:to>
    <xdr:cxnSp macro="">
      <xdr:nvCxnSpPr>
        <xdr:cNvPr id="335" name="Elbow Connector 55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CxnSpPr/>
      </xdr:nvCxnSpPr>
      <xdr:spPr>
        <a:xfrm>
          <a:off x="97821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47</xdr:row>
      <xdr:rowOff>0</xdr:rowOff>
    </xdr:from>
    <xdr:to>
      <xdr:col>10</xdr:col>
      <xdr:colOff>261937</xdr:colOff>
      <xdr:row>48</xdr:row>
      <xdr:rowOff>2525</xdr:rowOff>
    </xdr:to>
    <xdr:cxnSp macro="">
      <xdr:nvCxnSpPr>
        <xdr:cNvPr id="336" name="Elbow Connector 55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CxnSpPr/>
      </xdr:nvCxnSpPr>
      <xdr:spPr>
        <a:xfrm>
          <a:off x="79914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54</xdr:row>
      <xdr:rowOff>0</xdr:rowOff>
    </xdr:from>
    <xdr:to>
      <xdr:col>8</xdr:col>
      <xdr:colOff>261937</xdr:colOff>
      <xdr:row>55</xdr:row>
      <xdr:rowOff>2525</xdr:rowOff>
    </xdr:to>
    <xdr:cxnSp macro="">
      <xdr:nvCxnSpPr>
        <xdr:cNvPr id="3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17919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47</xdr:row>
      <xdr:rowOff>0</xdr:rowOff>
    </xdr:from>
    <xdr:to>
      <xdr:col>26</xdr:col>
      <xdr:colOff>261937</xdr:colOff>
      <xdr:row>48</xdr:row>
      <xdr:rowOff>2525</xdr:rowOff>
    </xdr:to>
    <xdr:cxnSp macro="">
      <xdr:nvCxnSpPr>
        <xdr:cNvPr id="33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143</xdr:row>
      <xdr:rowOff>0</xdr:rowOff>
    </xdr:from>
    <xdr:to>
      <xdr:col>4</xdr:col>
      <xdr:colOff>261937</xdr:colOff>
      <xdr:row>144</xdr:row>
      <xdr:rowOff>2525</xdr:rowOff>
    </xdr:to>
    <xdr:cxnSp macro="">
      <xdr:nvCxnSpPr>
        <xdr:cNvPr id="339" name="Elbow Connector 55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CxnSpPr/>
      </xdr:nvCxnSpPr>
      <xdr:spPr>
        <a:xfrm>
          <a:off x="29527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143</xdr:row>
      <xdr:rowOff>0</xdr:rowOff>
    </xdr:from>
    <xdr:to>
      <xdr:col>6</xdr:col>
      <xdr:colOff>261937</xdr:colOff>
      <xdr:row>144</xdr:row>
      <xdr:rowOff>2525</xdr:rowOff>
    </xdr:to>
    <xdr:cxnSp macro="">
      <xdr:nvCxnSpPr>
        <xdr:cNvPr id="340" name="Elbow Connector 55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CxnSpPr/>
      </xdr:nvCxnSpPr>
      <xdr:spPr>
        <a:xfrm>
          <a:off x="46196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143</xdr:row>
      <xdr:rowOff>0</xdr:rowOff>
    </xdr:from>
    <xdr:to>
      <xdr:col>10</xdr:col>
      <xdr:colOff>261937</xdr:colOff>
      <xdr:row>144</xdr:row>
      <xdr:rowOff>2525</xdr:rowOff>
    </xdr:to>
    <xdr:cxnSp macro="">
      <xdr:nvCxnSpPr>
        <xdr:cNvPr id="341" name="Elbow Connector 55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CxnSpPr/>
      </xdr:nvCxnSpPr>
      <xdr:spPr>
        <a:xfrm>
          <a:off x="79914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143</xdr:row>
      <xdr:rowOff>0</xdr:rowOff>
    </xdr:from>
    <xdr:to>
      <xdr:col>12</xdr:col>
      <xdr:colOff>261937</xdr:colOff>
      <xdr:row>144</xdr:row>
      <xdr:rowOff>2525</xdr:rowOff>
    </xdr:to>
    <xdr:cxnSp macro="">
      <xdr:nvCxnSpPr>
        <xdr:cNvPr id="342" name="Elbow Connector 55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CxnSpPr/>
      </xdr:nvCxnSpPr>
      <xdr:spPr>
        <a:xfrm>
          <a:off x="97821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198</xdr:row>
      <xdr:rowOff>0</xdr:rowOff>
    </xdr:from>
    <xdr:to>
      <xdr:col>22</xdr:col>
      <xdr:colOff>15240</xdr:colOff>
      <xdr:row>199</xdr:row>
      <xdr:rowOff>175260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/>
      </xdr:nvSpPr>
      <xdr:spPr>
        <a:xfrm>
          <a:off x="17240250" y="40595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0</xdr:colOff>
      <xdr:row>143</xdr:row>
      <xdr:rowOff>0</xdr:rowOff>
    </xdr:from>
    <xdr:to>
      <xdr:col>8</xdr:col>
      <xdr:colOff>261937</xdr:colOff>
      <xdr:row>144</xdr:row>
      <xdr:rowOff>2525</xdr:rowOff>
    </xdr:to>
    <xdr:cxnSp macro="">
      <xdr:nvCxnSpPr>
        <xdr:cNvPr id="344" name="Elbow Connector 55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CxnSpPr/>
      </xdr:nvCxnSpPr>
      <xdr:spPr>
        <a:xfrm>
          <a:off x="63150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47</xdr:row>
      <xdr:rowOff>0</xdr:rowOff>
    </xdr:from>
    <xdr:to>
      <xdr:col>14</xdr:col>
      <xdr:colOff>261937</xdr:colOff>
      <xdr:row>48</xdr:row>
      <xdr:rowOff>2525</xdr:rowOff>
    </xdr:to>
    <xdr:cxnSp macro="">
      <xdr:nvCxnSpPr>
        <xdr:cNvPr id="345" name="Elbow Connector 55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CxnSpPr/>
      </xdr:nvCxnSpPr>
      <xdr:spPr>
        <a:xfrm>
          <a:off x="113823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143</xdr:row>
      <xdr:rowOff>0</xdr:rowOff>
    </xdr:from>
    <xdr:to>
      <xdr:col>18</xdr:col>
      <xdr:colOff>261937</xdr:colOff>
      <xdr:row>144</xdr:row>
      <xdr:rowOff>2525</xdr:rowOff>
    </xdr:to>
    <xdr:cxnSp macro="">
      <xdr:nvCxnSpPr>
        <xdr:cNvPr id="346" name="Elbow Connector 55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CxnSpPr/>
      </xdr:nvCxnSpPr>
      <xdr:spPr>
        <a:xfrm>
          <a:off x="1474470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47</xdr:row>
      <xdr:rowOff>0</xdr:rowOff>
    </xdr:from>
    <xdr:to>
      <xdr:col>8</xdr:col>
      <xdr:colOff>261937</xdr:colOff>
      <xdr:row>48</xdr:row>
      <xdr:rowOff>2525</xdr:rowOff>
    </xdr:to>
    <xdr:cxnSp macro="">
      <xdr:nvCxnSpPr>
        <xdr:cNvPr id="34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631507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143</xdr:row>
      <xdr:rowOff>0</xdr:rowOff>
    </xdr:from>
    <xdr:to>
      <xdr:col>14</xdr:col>
      <xdr:colOff>261937</xdr:colOff>
      <xdr:row>144</xdr:row>
      <xdr:rowOff>2525</xdr:rowOff>
    </xdr:to>
    <xdr:cxnSp macro="">
      <xdr:nvCxnSpPr>
        <xdr:cNvPr id="34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143</xdr:row>
      <xdr:rowOff>0</xdr:rowOff>
    </xdr:from>
    <xdr:to>
      <xdr:col>22</xdr:col>
      <xdr:colOff>261937</xdr:colOff>
      <xdr:row>144</xdr:row>
      <xdr:rowOff>2525</xdr:rowOff>
    </xdr:to>
    <xdr:cxnSp macro="">
      <xdr:nvCxnSpPr>
        <xdr:cNvPr id="3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143</xdr:row>
      <xdr:rowOff>0</xdr:rowOff>
    </xdr:from>
    <xdr:to>
      <xdr:col>20</xdr:col>
      <xdr:colOff>261937</xdr:colOff>
      <xdr:row>144</xdr:row>
      <xdr:rowOff>2525</xdr:rowOff>
    </xdr:to>
    <xdr:cxnSp macro="">
      <xdr:nvCxnSpPr>
        <xdr:cNvPr id="350" name="Elbow Connector 55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CxnSpPr/>
      </xdr:nvCxnSpPr>
      <xdr:spPr>
        <a:xfrm>
          <a:off x="164020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150</xdr:row>
      <xdr:rowOff>0</xdr:rowOff>
    </xdr:from>
    <xdr:to>
      <xdr:col>2</xdr:col>
      <xdr:colOff>261937</xdr:colOff>
      <xdr:row>150</xdr:row>
      <xdr:rowOff>182242</xdr:rowOff>
    </xdr:to>
    <xdr:cxnSp macro="">
      <xdr:nvCxnSpPr>
        <xdr:cNvPr id="351" name="Elbow Connector 55">
          <a:extLst>
            <a:ext uri="{FF2B5EF4-FFF2-40B4-BE49-F238E27FC236}">
              <a16:creationId xmlns:a16="http://schemas.microsoft.com/office/drawing/2014/main" id="{A4B78A91-6390-45A3-8809-4B017DE7413B}"/>
            </a:ext>
          </a:extLst>
        </xdr:cNvPr>
        <xdr:cNvCxnSpPr/>
      </xdr:nvCxnSpPr>
      <xdr:spPr>
        <a:xfrm>
          <a:off x="1343025" y="30994350"/>
          <a:ext cx="261937" cy="18224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135</xdr:row>
      <xdr:rowOff>0</xdr:rowOff>
    </xdr:from>
    <xdr:to>
      <xdr:col>24</xdr:col>
      <xdr:colOff>261937</xdr:colOff>
      <xdr:row>136</xdr:row>
      <xdr:rowOff>2525</xdr:rowOff>
    </xdr:to>
    <xdr:cxnSp macro="">
      <xdr:nvCxnSpPr>
        <xdr:cNvPr id="3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135</xdr:row>
      <xdr:rowOff>0</xdr:rowOff>
    </xdr:from>
    <xdr:to>
      <xdr:col>22</xdr:col>
      <xdr:colOff>261937</xdr:colOff>
      <xdr:row>136</xdr:row>
      <xdr:rowOff>2525</xdr:rowOff>
    </xdr:to>
    <xdr:cxnSp macro="">
      <xdr:nvCxnSpPr>
        <xdr:cNvPr id="353" name="Elbow Connector 55">
          <a:extLst>
            <a:ext uri="{FF2B5EF4-FFF2-40B4-BE49-F238E27FC236}">
              <a16:creationId xmlns:a16="http://schemas.microsoft.com/office/drawing/2014/main" id="{65730B7F-A94E-456D-9E1B-912AC33A3F31}"/>
            </a:ext>
          </a:extLst>
        </xdr:cNvPr>
        <xdr:cNvCxnSpPr/>
      </xdr:nvCxnSpPr>
      <xdr:spPr>
        <a:xfrm>
          <a:off x="18145125" y="279939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96</xdr:row>
      <xdr:rowOff>0</xdr:rowOff>
    </xdr:from>
    <xdr:to>
      <xdr:col>18</xdr:col>
      <xdr:colOff>261937</xdr:colOff>
      <xdr:row>97</xdr:row>
      <xdr:rowOff>2525</xdr:rowOff>
    </xdr:to>
    <xdr:cxnSp macro="">
      <xdr:nvCxnSpPr>
        <xdr:cNvPr id="354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4744700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96</xdr:row>
      <xdr:rowOff>0</xdr:rowOff>
    </xdr:from>
    <xdr:to>
      <xdr:col>14</xdr:col>
      <xdr:colOff>261937</xdr:colOff>
      <xdr:row>97</xdr:row>
      <xdr:rowOff>2525</xdr:rowOff>
    </xdr:to>
    <xdr:cxnSp macro="">
      <xdr:nvCxnSpPr>
        <xdr:cNvPr id="355" name="Elbow Connector 55">
          <a:extLst>
            <a:ext uri="{FF2B5EF4-FFF2-40B4-BE49-F238E27FC236}">
              <a16:creationId xmlns:a16="http://schemas.microsoft.com/office/drawing/2014/main" id="{17DF3499-289C-4544-A91E-94E0C98D4CB5}"/>
            </a:ext>
          </a:extLst>
        </xdr:cNvPr>
        <xdr:cNvCxnSpPr/>
      </xdr:nvCxnSpPr>
      <xdr:spPr>
        <a:xfrm>
          <a:off x="1138237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96</xdr:row>
      <xdr:rowOff>0</xdr:rowOff>
    </xdr:from>
    <xdr:to>
      <xdr:col>16</xdr:col>
      <xdr:colOff>261937</xdr:colOff>
      <xdr:row>97</xdr:row>
      <xdr:rowOff>2525</xdr:rowOff>
    </xdr:to>
    <xdr:cxnSp macro="">
      <xdr:nvCxnSpPr>
        <xdr:cNvPr id="356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3230225" y="2019300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261937</xdr:colOff>
      <xdr:row>48</xdr:row>
      <xdr:rowOff>2525</xdr:rowOff>
    </xdr:to>
    <xdr:cxnSp macro="">
      <xdr:nvCxnSpPr>
        <xdr:cNvPr id="357" name="Elbow Connector 55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CxnSpPr/>
      </xdr:nvCxnSpPr>
      <xdr:spPr>
        <a:xfrm>
          <a:off x="4619625" y="103917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119</xdr:row>
      <xdr:rowOff>0</xdr:rowOff>
    </xdr:from>
    <xdr:to>
      <xdr:col>24</xdr:col>
      <xdr:colOff>261937</xdr:colOff>
      <xdr:row>120</xdr:row>
      <xdr:rowOff>2526</xdr:rowOff>
    </xdr:to>
    <xdr:cxnSp macro="">
      <xdr:nvCxnSpPr>
        <xdr:cNvPr id="358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96786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119</xdr:row>
      <xdr:rowOff>0</xdr:rowOff>
    </xdr:from>
    <xdr:to>
      <xdr:col>14</xdr:col>
      <xdr:colOff>261937</xdr:colOff>
      <xdr:row>120</xdr:row>
      <xdr:rowOff>2526</xdr:rowOff>
    </xdr:to>
    <xdr:cxnSp macro="">
      <xdr:nvCxnSpPr>
        <xdr:cNvPr id="35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1138237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78</xdr:row>
      <xdr:rowOff>0</xdr:rowOff>
    </xdr:from>
    <xdr:to>
      <xdr:col>2</xdr:col>
      <xdr:colOff>15240</xdr:colOff>
      <xdr:row>79</xdr:row>
      <xdr:rowOff>175260</xdr:rowOff>
    </xdr:to>
    <xdr:sp macro="" textlink="">
      <xdr:nvSpPr>
        <xdr:cNvPr id="360" name="Isosceles Triangle 35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6592550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78</xdr:row>
      <xdr:rowOff>0</xdr:rowOff>
    </xdr:from>
    <xdr:to>
      <xdr:col>4</xdr:col>
      <xdr:colOff>15240</xdr:colOff>
      <xdr:row>79</xdr:row>
      <xdr:rowOff>175260</xdr:rowOff>
    </xdr:to>
    <xdr:sp macro="" textlink="">
      <xdr:nvSpPr>
        <xdr:cNvPr id="361" name="Isosceles Triangle 36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6592550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78</xdr:row>
      <xdr:rowOff>0</xdr:rowOff>
    </xdr:from>
    <xdr:to>
      <xdr:col>6</xdr:col>
      <xdr:colOff>15240</xdr:colOff>
      <xdr:row>79</xdr:row>
      <xdr:rowOff>175260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6592550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78</xdr:row>
      <xdr:rowOff>0</xdr:rowOff>
    </xdr:from>
    <xdr:to>
      <xdr:col>8</xdr:col>
      <xdr:colOff>15240</xdr:colOff>
      <xdr:row>79</xdr:row>
      <xdr:rowOff>175260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6592550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10</xdr:col>
      <xdr:colOff>15240</xdr:colOff>
      <xdr:row>79</xdr:row>
      <xdr:rowOff>175260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659255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12</xdr:col>
      <xdr:colOff>15240</xdr:colOff>
      <xdr:row>79</xdr:row>
      <xdr:rowOff>175260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659255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78</xdr:row>
      <xdr:rowOff>0</xdr:rowOff>
    </xdr:from>
    <xdr:to>
      <xdr:col>14</xdr:col>
      <xdr:colOff>15240</xdr:colOff>
      <xdr:row>79</xdr:row>
      <xdr:rowOff>175260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659255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78</xdr:row>
      <xdr:rowOff>0</xdr:rowOff>
    </xdr:from>
    <xdr:to>
      <xdr:col>16</xdr:col>
      <xdr:colOff>15240</xdr:colOff>
      <xdr:row>79</xdr:row>
      <xdr:rowOff>175260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659255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78</xdr:row>
      <xdr:rowOff>0</xdr:rowOff>
    </xdr:from>
    <xdr:to>
      <xdr:col>18</xdr:col>
      <xdr:colOff>15240</xdr:colOff>
      <xdr:row>79</xdr:row>
      <xdr:rowOff>175260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659255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78</xdr:row>
      <xdr:rowOff>0</xdr:rowOff>
    </xdr:from>
    <xdr:to>
      <xdr:col>20</xdr:col>
      <xdr:colOff>15240</xdr:colOff>
      <xdr:row>79</xdr:row>
      <xdr:rowOff>175260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659255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78</xdr:row>
      <xdr:rowOff>0</xdr:rowOff>
    </xdr:from>
    <xdr:to>
      <xdr:col>22</xdr:col>
      <xdr:colOff>15240</xdr:colOff>
      <xdr:row>79</xdr:row>
      <xdr:rowOff>175260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659255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78</xdr:row>
      <xdr:rowOff>0</xdr:rowOff>
    </xdr:from>
    <xdr:to>
      <xdr:col>24</xdr:col>
      <xdr:colOff>15240</xdr:colOff>
      <xdr:row>79</xdr:row>
      <xdr:rowOff>175260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6592550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78</xdr:row>
      <xdr:rowOff>0</xdr:rowOff>
    </xdr:from>
    <xdr:to>
      <xdr:col>26</xdr:col>
      <xdr:colOff>15240</xdr:colOff>
      <xdr:row>79</xdr:row>
      <xdr:rowOff>175260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6592550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71</xdr:row>
      <xdr:rowOff>0</xdr:rowOff>
    </xdr:from>
    <xdr:to>
      <xdr:col>2</xdr:col>
      <xdr:colOff>15240</xdr:colOff>
      <xdr:row>72</xdr:row>
      <xdr:rowOff>175260</xdr:rowOff>
    </xdr:to>
    <xdr:sp macro="" textlink="">
      <xdr:nvSpPr>
        <xdr:cNvPr id="373" name="Isosceles Triangle 37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5192375"/>
          <a:ext cx="7486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71</xdr:row>
      <xdr:rowOff>0</xdr:rowOff>
    </xdr:from>
    <xdr:to>
      <xdr:col>4</xdr:col>
      <xdr:colOff>15240</xdr:colOff>
      <xdr:row>72</xdr:row>
      <xdr:rowOff>175260</xdr:rowOff>
    </xdr:to>
    <xdr:sp macro="" textlink="">
      <xdr:nvSpPr>
        <xdr:cNvPr id="374" name="Isosceles Triangle 37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71</xdr:row>
      <xdr:rowOff>0</xdr:rowOff>
    </xdr:from>
    <xdr:to>
      <xdr:col>6</xdr:col>
      <xdr:colOff>15240</xdr:colOff>
      <xdr:row>72</xdr:row>
      <xdr:rowOff>175260</xdr:rowOff>
    </xdr:to>
    <xdr:sp macro="" textlink="">
      <xdr:nvSpPr>
        <xdr:cNvPr id="375" name="Isosceles Triangle 374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519237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71</xdr:row>
      <xdr:rowOff>0</xdr:rowOff>
    </xdr:from>
    <xdr:to>
      <xdr:col>8</xdr:col>
      <xdr:colOff>15240</xdr:colOff>
      <xdr:row>72</xdr:row>
      <xdr:rowOff>175260</xdr:rowOff>
    </xdr:to>
    <xdr:sp macro="" textlink="">
      <xdr:nvSpPr>
        <xdr:cNvPr id="376" name="Isosceles Triangle 375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5192375"/>
          <a:ext cx="9391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71</xdr:row>
      <xdr:rowOff>0</xdr:rowOff>
    </xdr:from>
    <xdr:to>
      <xdr:col>10</xdr:col>
      <xdr:colOff>15240</xdr:colOff>
      <xdr:row>72</xdr:row>
      <xdr:rowOff>175260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5192375"/>
          <a:ext cx="7962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12</xdr:col>
      <xdr:colOff>15240</xdr:colOff>
      <xdr:row>72</xdr:row>
      <xdr:rowOff>175260</xdr:rowOff>
    </xdr:to>
    <xdr:sp macro="" textlink="">
      <xdr:nvSpPr>
        <xdr:cNvPr id="378" name="Isosceles Triangle 377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519237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14</xdr:col>
      <xdr:colOff>15240</xdr:colOff>
      <xdr:row>72</xdr:row>
      <xdr:rowOff>175260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519237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71</xdr:row>
      <xdr:rowOff>0</xdr:rowOff>
    </xdr:from>
    <xdr:to>
      <xdr:col>16</xdr:col>
      <xdr:colOff>15240</xdr:colOff>
      <xdr:row>72</xdr:row>
      <xdr:rowOff>175260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519237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71</xdr:row>
      <xdr:rowOff>0</xdr:rowOff>
    </xdr:from>
    <xdr:to>
      <xdr:col>18</xdr:col>
      <xdr:colOff>15240</xdr:colOff>
      <xdr:row>72</xdr:row>
      <xdr:rowOff>175260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5192375"/>
          <a:ext cx="75819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71</xdr:row>
      <xdr:rowOff>0</xdr:rowOff>
    </xdr:from>
    <xdr:to>
      <xdr:col>20</xdr:col>
      <xdr:colOff>15240</xdr:colOff>
      <xdr:row>72</xdr:row>
      <xdr:rowOff>175260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519237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71</xdr:row>
      <xdr:rowOff>0</xdr:rowOff>
    </xdr:from>
    <xdr:to>
      <xdr:col>22</xdr:col>
      <xdr:colOff>15240</xdr:colOff>
      <xdr:row>72</xdr:row>
      <xdr:rowOff>175260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5192375"/>
          <a:ext cx="9201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19050</xdr:colOff>
      <xdr:row>71</xdr:row>
      <xdr:rowOff>0</xdr:rowOff>
    </xdr:from>
    <xdr:to>
      <xdr:col>24</xdr:col>
      <xdr:colOff>34290</xdr:colOff>
      <xdr:row>72</xdr:row>
      <xdr:rowOff>175260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9411950" y="15754350"/>
          <a:ext cx="777240" cy="384810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71</xdr:row>
      <xdr:rowOff>0</xdr:rowOff>
    </xdr:from>
    <xdr:to>
      <xdr:col>26</xdr:col>
      <xdr:colOff>15240</xdr:colOff>
      <xdr:row>72</xdr:row>
      <xdr:rowOff>175260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5192375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64</xdr:row>
      <xdr:rowOff>0</xdr:rowOff>
    </xdr:from>
    <xdr:to>
      <xdr:col>8</xdr:col>
      <xdr:colOff>15240</xdr:colOff>
      <xdr:row>65</xdr:row>
      <xdr:rowOff>175260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5391150" y="13792200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64</xdr:row>
      <xdr:rowOff>0</xdr:rowOff>
    </xdr:from>
    <xdr:to>
      <xdr:col>10</xdr:col>
      <xdr:colOff>15240</xdr:colOff>
      <xdr:row>65</xdr:row>
      <xdr:rowOff>175260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7210425" y="13792200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12</xdr:col>
      <xdr:colOff>15240</xdr:colOff>
      <xdr:row>65</xdr:row>
      <xdr:rowOff>175260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8982075" y="13792200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64</xdr:row>
      <xdr:rowOff>0</xdr:rowOff>
    </xdr:from>
    <xdr:to>
      <xdr:col>14</xdr:col>
      <xdr:colOff>15240</xdr:colOff>
      <xdr:row>65</xdr:row>
      <xdr:rowOff>175260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0553700" y="13792200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64</xdr:row>
      <xdr:rowOff>0</xdr:rowOff>
    </xdr:from>
    <xdr:to>
      <xdr:col>16</xdr:col>
      <xdr:colOff>15240</xdr:colOff>
      <xdr:row>65</xdr:row>
      <xdr:rowOff>175260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2334875" y="13792200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18</xdr:col>
      <xdr:colOff>15240</xdr:colOff>
      <xdr:row>65</xdr:row>
      <xdr:rowOff>175260</xdr:rowOff>
    </xdr:to>
    <xdr:sp macro="" textlink="">
      <xdr:nvSpPr>
        <xdr:cNvPr id="394" name="Isosceles Triangle 393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4001750" y="13792200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64</xdr:row>
      <xdr:rowOff>0</xdr:rowOff>
    </xdr:from>
    <xdr:to>
      <xdr:col>20</xdr:col>
      <xdr:colOff>15240</xdr:colOff>
      <xdr:row>65</xdr:row>
      <xdr:rowOff>175260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155162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64</xdr:row>
      <xdr:rowOff>0</xdr:rowOff>
    </xdr:from>
    <xdr:to>
      <xdr:col>22</xdr:col>
      <xdr:colOff>15240</xdr:colOff>
      <xdr:row>65</xdr:row>
      <xdr:rowOff>175260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17240250" y="13792200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64</xdr:row>
      <xdr:rowOff>0</xdr:rowOff>
    </xdr:from>
    <xdr:to>
      <xdr:col>24</xdr:col>
      <xdr:colOff>15240</xdr:colOff>
      <xdr:row>65</xdr:row>
      <xdr:rowOff>175260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18916650" y="13792200"/>
          <a:ext cx="777240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64</xdr:row>
      <xdr:rowOff>0</xdr:rowOff>
    </xdr:from>
    <xdr:to>
      <xdr:col>26</xdr:col>
      <xdr:colOff>15240</xdr:colOff>
      <xdr:row>65</xdr:row>
      <xdr:rowOff>175260</xdr:rowOff>
    </xdr:to>
    <xdr:sp macro="" textlink="">
      <xdr:nvSpPr>
        <xdr:cNvPr id="398" name="Isosceles Triangle 397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20412075" y="13792200"/>
          <a:ext cx="11106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6</xdr:col>
      <xdr:colOff>15240</xdr:colOff>
      <xdr:row>58</xdr:row>
      <xdr:rowOff>175260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/>
      </xdr:nvSpPr>
      <xdr:spPr>
        <a:xfrm>
          <a:off x="3676650" y="123920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57</xdr:row>
      <xdr:rowOff>0</xdr:rowOff>
    </xdr:from>
    <xdr:to>
      <xdr:col>8</xdr:col>
      <xdr:colOff>15240</xdr:colOff>
      <xdr:row>58</xdr:row>
      <xdr:rowOff>175260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2392025"/>
          <a:ext cx="9391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57</xdr:row>
      <xdr:rowOff>0</xdr:rowOff>
    </xdr:from>
    <xdr:to>
      <xdr:col>10</xdr:col>
      <xdr:colOff>15240</xdr:colOff>
      <xdr:row>58</xdr:row>
      <xdr:rowOff>175260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7210425" y="12392025"/>
          <a:ext cx="7962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12</xdr:col>
      <xdr:colOff>15240</xdr:colOff>
      <xdr:row>58</xdr:row>
      <xdr:rowOff>175260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8982075" y="12392025"/>
          <a:ext cx="8153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57</xdr:row>
      <xdr:rowOff>0</xdr:rowOff>
    </xdr:from>
    <xdr:to>
      <xdr:col>14</xdr:col>
      <xdr:colOff>15240</xdr:colOff>
      <xdr:row>58</xdr:row>
      <xdr:rowOff>175260</xdr:rowOff>
    </xdr:to>
    <xdr:sp macro="" textlink="">
      <xdr:nvSpPr>
        <xdr:cNvPr id="403" name="Isosceles Triangle 4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SpPr/>
      </xdr:nvSpPr>
      <xdr:spPr>
        <a:xfrm>
          <a:off x="10553700" y="12392025"/>
          <a:ext cx="8439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16</xdr:col>
      <xdr:colOff>15240</xdr:colOff>
      <xdr:row>58</xdr:row>
      <xdr:rowOff>175260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/>
      </xdr:nvSpPr>
      <xdr:spPr>
        <a:xfrm>
          <a:off x="12334875" y="12392025"/>
          <a:ext cx="9105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0</xdr:colOff>
      <xdr:row>57</xdr:row>
      <xdr:rowOff>0</xdr:rowOff>
    </xdr:from>
    <xdr:to>
      <xdr:col>18</xdr:col>
      <xdr:colOff>15240</xdr:colOff>
      <xdr:row>58</xdr:row>
      <xdr:rowOff>175260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/>
      </xdr:nvSpPr>
      <xdr:spPr>
        <a:xfrm>
          <a:off x="14001750" y="12392025"/>
          <a:ext cx="75819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57</xdr:row>
      <xdr:rowOff>0</xdr:rowOff>
    </xdr:from>
    <xdr:to>
      <xdr:col>20</xdr:col>
      <xdr:colOff>15240</xdr:colOff>
      <xdr:row>58</xdr:row>
      <xdr:rowOff>175260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/>
      </xdr:nvSpPr>
      <xdr:spPr>
        <a:xfrm>
          <a:off x="15516225" y="123920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0</xdr:colOff>
      <xdr:row>57</xdr:row>
      <xdr:rowOff>0</xdr:rowOff>
    </xdr:from>
    <xdr:to>
      <xdr:col>22</xdr:col>
      <xdr:colOff>15240</xdr:colOff>
      <xdr:row>58</xdr:row>
      <xdr:rowOff>175260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SpPr/>
      </xdr:nvSpPr>
      <xdr:spPr>
        <a:xfrm>
          <a:off x="17240250" y="12392025"/>
          <a:ext cx="9201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0</xdr:colOff>
      <xdr:row>57</xdr:row>
      <xdr:rowOff>0</xdr:rowOff>
    </xdr:from>
    <xdr:to>
      <xdr:col>24</xdr:col>
      <xdr:colOff>15240</xdr:colOff>
      <xdr:row>58</xdr:row>
      <xdr:rowOff>175260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SpPr/>
      </xdr:nvSpPr>
      <xdr:spPr>
        <a:xfrm>
          <a:off x="18916650" y="12392025"/>
          <a:ext cx="777240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0</xdr:colOff>
      <xdr:row>57</xdr:row>
      <xdr:rowOff>0</xdr:rowOff>
    </xdr:from>
    <xdr:to>
      <xdr:col>26</xdr:col>
      <xdr:colOff>15240</xdr:colOff>
      <xdr:row>58</xdr:row>
      <xdr:rowOff>175260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SpPr/>
      </xdr:nvSpPr>
      <xdr:spPr>
        <a:xfrm>
          <a:off x="20412075" y="12392025"/>
          <a:ext cx="11106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64</xdr:row>
      <xdr:rowOff>0</xdr:rowOff>
    </xdr:from>
    <xdr:to>
      <xdr:col>2</xdr:col>
      <xdr:colOff>15240</xdr:colOff>
      <xdr:row>65</xdr:row>
      <xdr:rowOff>175260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SpPr/>
      </xdr:nvSpPr>
      <xdr:spPr>
        <a:xfrm>
          <a:off x="609600" y="13792200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64</xdr:row>
      <xdr:rowOff>0</xdr:rowOff>
    </xdr:from>
    <xdr:to>
      <xdr:col>4</xdr:col>
      <xdr:colOff>15240</xdr:colOff>
      <xdr:row>65</xdr:row>
      <xdr:rowOff>175260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/>
      </xdr:nvSpPr>
      <xdr:spPr>
        <a:xfrm>
          <a:off x="2066925" y="13792200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64</xdr:row>
      <xdr:rowOff>0</xdr:rowOff>
    </xdr:from>
    <xdr:to>
      <xdr:col>6</xdr:col>
      <xdr:colOff>15240</xdr:colOff>
      <xdr:row>65</xdr:row>
      <xdr:rowOff>175260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/>
      </xdr:nvSpPr>
      <xdr:spPr>
        <a:xfrm>
          <a:off x="3676650" y="13792200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85</xdr:row>
      <xdr:rowOff>0</xdr:rowOff>
    </xdr:from>
    <xdr:to>
      <xdr:col>2</xdr:col>
      <xdr:colOff>15240</xdr:colOff>
      <xdr:row>86</xdr:row>
      <xdr:rowOff>175260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609600" y="17992725"/>
          <a:ext cx="7486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6" name="Isosceles Triangle 415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0</xdr:colOff>
      <xdr:row>85</xdr:row>
      <xdr:rowOff>0</xdr:rowOff>
    </xdr:from>
    <xdr:to>
      <xdr:col>8</xdr:col>
      <xdr:colOff>15240</xdr:colOff>
      <xdr:row>86</xdr:row>
      <xdr:rowOff>175260</xdr:rowOff>
    </xdr:to>
    <xdr:sp macro="" textlink="">
      <xdr:nvSpPr>
        <xdr:cNvPr id="417" name="Isosceles Triangle 416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SpPr/>
      </xdr:nvSpPr>
      <xdr:spPr>
        <a:xfrm>
          <a:off x="5391150" y="17992725"/>
          <a:ext cx="939165" cy="375285"/>
        </a:xfrm>
        <a:prstGeom prst="triangle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85</xdr:row>
      <xdr:rowOff>0</xdr:rowOff>
    </xdr:from>
    <xdr:to>
      <xdr:col>4</xdr:col>
      <xdr:colOff>15240</xdr:colOff>
      <xdr:row>86</xdr:row>
      <xdr:rowOff>175260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SpPr/>
      </xdr:nvSpPr>
      <xdr:spPr>
        <a:xfrm>
          <a:off x="2066925" y="17992725"/>
          <a:ext cx="90106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85</xdr:row>
      <xdr:rowOff>0</xdr:rowOff>
    </xdr:from>
    <xdr:to>
      <xdr:col>6</xdr:col>
      <xdr:colOff>15240</xdr:colOff>
      <xdr:row>86</xdr:row>
      <xdr:rowOff>175260</xdr:rowOff>
    </xdr:to>
    <xdr:sp macro="" textlink="">
      <xdr:nvSpPr>
        <xdr:cNvPr id="419" name="Isosceles Triangle 41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SpPr/>
      </xdr:nvSpPr>
      <xdr:spPr>
        <a:xfrm>
          <a:off x="3676650" y="17992725"/>
          <a:ext cx="958215" cy="375285"/>
        </a:xfrm>
        <a:prstGeom prst="triangle">
          <a:avLst/>
        </a:prstGeom>
        <a:solidFill>
          <a:schemeClr val="accent2"/>
        </a:solidFill>
        <a:ln w="3175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53916</xdr:colOff>
      <xdr:row>78</xdr:row>
      <xdr:rowOff>179719</xdr:rowOff>
    </xdr:from>
    <xdr:to>
      <xdr:col>14</xdr:col>
      <xdr:colOff>206315</xdr:colOff>
      <xdr:row>83</xdr:row>
      <xdr:rowOff>34094</xdr:rowOff>
    </xdr:to>
    <xdr:cxnSp macro="">
      <xdr:nvCxnSpPr>
        <xdr:cNvPr id="420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85241" y="17123319"/>
          <a:ext cx="854500" cy="152399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53915</xdr:colOff>
      <xdr:row>36</xdr:row>
      <xdr:rowOff>125800</xdr:rowOff>
    </xdr:from>
    <xdr:to>
      <xdr:col>10</xdr:col>
      <xdr:colOff>152400</xdr:colOff>
      <xdr:row>40</xdr:row>
      <xdr:rowOff>195836</xdr:rowOff>
    </xdr:to>
    <xdr:cxnSp macro="">
      <xdr:nvCxnSpPr>
        <xdr:cNvPr id="421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659565" y="8626925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20</xdr:col>
      <xdr:colOff>53916</xdr:colOff>
      <xdr:row>99</xdr:row>
      <xdr:rowOff>161745</xdr:rowOff>
    </xdr:from>
    <xdr:to>
      <xdr:col>20</xdr:col>
      <xdr:colOff>152401</xdr:colOff>
      <xdr:row>104</xdr:row>
      <xdr:rowOff>24568</xdr:rowOff>
    </xdr:to>
    <xdr:cxnSp macro="">
      <xdr:nvCxnSpPr>
        <xdr:cNvPr id="422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6073735" y="21337051"/>
          <a:ext cx="862948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100</xdr:row>
      <xdr:rowOff>0</xdr:rowOff>
    </xdr:from>
    <xdr:to>
      <xdr:col>4</xdr:col>
      <xdr:colOff>98485</xdr:colOff>
      <xdr:row>104</xdr:row>
      <xdr:rowOff>60512</xdr:rowOff>
    </xdr:to>
    <xdr:cxnSp macro="">
      <xdr:nvCxnSpPr>
        <xdr:cNvPr id="423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571687" y="21374163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17972</xdr:colOff>
      <xdr:row>131</xdr:row>
      <xdr:rowOff>125804</xdr:rowOff>
    </xdr:from>
    <xdr:to>
      <xdr:col>2</xdr:col>
      <xdr:colOff>116457</xdr:colOff>
      <xdr:row>135</xdr:row>
      <xdr:rowOff>186316</xdr:rowOff>
    </xdr:to>
    <xdr:cxnSp macro="">
      <xdr:nvCxnSpPr>
        <xdr:cNvPr id="42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79934" y="2770074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125804</xdr:rowOff>
    </xdr:from>
    <xdr:to>
      <xdr:col>14</xdr:col>
      <xdr:colOff>98485</xdr:colOff>
      <xdr:row>165</xdr:row>
      <xdr:rowOff>186316</xdr:rowOff>
    </xdr:to>
    <xdr:cxnSp macro="">
      <xdr:nvCxnSpPr>
        <xdr:cNvPr id="42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11001312" y="33701492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53912</xdr:rowOff>
    </xdr:from>
    <xdr:to>
      <xdr:col>4</xdr:col>
      <xdr:colOff>195942</xdr:colOff>
      <xdr:row>166</xdr:row>
      <xdr:rowOff>150857</xdr:rowOff>
    </xdr:to>
    <xdr:grpSp>
      <xdr:nvGrpSpPr>
        <xdr:cNvPr id="426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3160568" y="42331923"/>
          <a:ext cx="195942" cy="1395809"/>
          <a:chOff x="752" y="1574"/>
          <a:chExt cx="16" cy="52"/>
        </a:xfrm>
      </xdr:grpSpPr>
      <xdr:sp macro="" textlink="">
        <xdr:nvSpPr>
          <xdr:cNvPr id="427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8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9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0</xdr:colOff>
      <xdr:row>175</xdr:row>
      <xdr:rowOff>35940</xdr:rowOff>
    </xdr:from>
    <xdr:to>
      <xdr:col>22</xdr:col>
      <xdr:colOff>195942</xdr:colOff>
      <xdr:row>180</xdr:row>
      <xdr:rowOff>132885</xdr:rowOff>
    </xdr:to>
    <xdr:grpSp>
      <xdr:nvGrpSpPr>
        <xdr:cNvPr id="430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0348864" y="45950770"/>
          <a:ext cx="195942" cy="1395808"/>
          <a:chOff x="752" y="1574"/>
          <a:chExt cx="16" cy="52"/>
        </a:xfrm>
      </xdr:grpSpPr>
      <xdr:sp macro="" textlink="">
        <xdr:nvSpPr>
          <xdr:cNvPr id="431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2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3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89860</xdr:colOff>
      <xdr:row>175</xdr:row>
      <xdr:rowOff>89856</xdr:rowOff>
    </xdr:from>
    <xdr:to>
      <xdr:col>10</xdr:col>
      <xdr:colOff>188345</xdr:colOff>
      <xdr:row>179</xdr:row>
      <xdr:rowOff>150368</xdr:rowOff>
    </xdr:to>
    <xdr:cxnSp macro="">
      <xdr:nvCxnSpPr>
        <xdr:cNvPr id="434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7700272" y="36465894"/>
          <a:ext cx="860612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107829</xdr:rowOff>
    </xdr:from>
    <xdr:to>
      <xdr:col>2</xdr:col>
      <xdr:colOff>98485</xdr:colOff>
      <xdr:row>202</xdr:row>
      <xdr:rowOff>168340</xdr:rowOff>
    </xdr:to>
    <xdr:cxnSp macro="">
      <xdr:nvCxnSpPr>
        <xdr:cNvPr id="435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1962" y="41084442"/>
          <a:ext cx="860611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826698</xdr:colOff>
      <xdr:row>198</xdr:row>
      <xdr:rowOff>89857</xdr:rowOff>
    </xdr:from>
    <xdr:to>
      <xdr:col>8</xdr:col>
      <xdr:colOff>80513</xdr:colOff>
      <xdr:row>202</xdr:row>
      <xdr:rowOff>150368</xdr:rowOff>
    </xdr:to>
    <xdr:cxnSp macro="">
      <xdr:nvCxnSpPr>
        <xdr:cNvPr id="436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5876412" y="41026843"/>
          <a:ext cx="860611" cy="177740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38100</xdr:colOff>
      <xdr:row>212</xdr:row>
      <xdr:rowOff>114299</xdr:rowOff>
    </xdr:from>
    <xdr:to>
      <xdr:col>8</xdr:col>
      <xdr:colOff>98485</xdr:colOff>
      <xdr:row>216</xdr:row>
      <xdr:rowOff>168338</xdr:rowOff>
    </xdr:to>
    <xdr:cxnSp macro="">
      <xdr:nvCxnSpPr>
        <xdr:cNvPr id="437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6346823" y="45831126"/>
          <a:ext cx="892239" cy="603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26</xdr:col>
      <xdr:colOff>862641</xdr:colOff>
      <xdr:row>29</xdr:row>
      <xdr:rowOff>98301</xdr:rowOff>
    </xdr:from>
    <xdr:to>
      <xdr:col>26</xdr:col>
      <xdr:colOff>961126</xdr:colOff>
      <xdr:row>33</xdr:row>
      <xdr:rowOff>168337</xdr:rowOff>
    </xdr:to>
    <xdr:cxnSp macro="">
      <xdr:nvCxnSpPr>
        <xdr:cNvPr id="438" name="AutoShape 38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21984266" y="7199251"/>
          <a:ext cx="870136" cy="98485"/>
        </a:xfrm>
        <a:prstGeom prst="bentConnector3">
          <a:avLst>
            <a:gd name="adj1" fmla="val 50000"/>
          </a:avLst>
        </a:prstGeom>
        <a:noFill/>
        <a:ln w="28575">
          <a:solidFill>
            <a:srgbClr val="FF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172</xdr:row>
      <xdr:rowOff>0</xdr:rowOff>
    </xdr:from>
    <xdr:to>
      <xdr:col>16</xdr:col>
      <xdr:colOff>261937</xdr:colOff>
      <xdr:row>173</xdr:row>
      <xdr:rowOff>2526</xdr:rowOff>
    </xdr:to>
    <xdr:cxnSp macro="">
      <xdr:nvCxnSpPr>
        <xdr:cNvPr id="43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143</xdr:row>
      <xdr:rowOff>0</xdr:rowOff>
    </xdr:from>
    <xdr:to>
      <xdr:col>24</xdr:col>
      <xdr:colOff>261937</xdr:colOff>
      <xdr:row>144</xdr:row>
      <xdr:rowOff>2525</xdr:rowOff>
    </xdr:to>
    <xdr:cxnSp macro="">
      <xdr:nvCxnSpPr>
        <xdr:cNvPr id="44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261937</xdr:colOff>
      <xdr:row>173</xdr:row>
      <xdr:rowOff>2526</xdr:rowOff>
    </xdr:to>
    <xdr:cxnSp macro="">
      <xdr:nvCxnSpPr>
        <xdr:cNvPr id="44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179</xdr:row>
      <xdr:rowOff>0</xdr:rowOff>
    </xdr:from>
    <xdr:to>
      <xdr:col>2</xdr:col>
      <xdr:colOff>261937</xdr:colOff>
      <xdr:row>180</xdr:row>
      <xdr:rowOff>2525</xdr:rowOff>
    </xdr:to>
    <xdr:cxnSp macro="">
      <xdr:nvCxnSpPr>
        <xdr:cNvPr id="44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179</xdr:row>
      <xdr:rowOff>0</xdr:rowOff>
    </xdr:from>
    <xdr:to>
      <xdr:col>4</xdr:col>
      <xdr:colOff>261937</xdr:colOff>
      <xdr:row>180</xdr:row>
      <xdr:rowOff>2525</xdr:rowOff>
    </xdr:to>
    <xdr:cxnSp macro="">
      <xdr:nvCxnSpPr>
        <xdr:cNvPr id="44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75</xdr:row>
      <xdr:rowOff>0</xdr:rowOff>
    </xdr:from>
    <xdr:to>
      <xdr:col>22</xdr:col>
      <xdr:colOff>261937</xdr:colOff>
      <xdr:row>76</xdr:row>
      <xdr:rowOff>2525</xdr:rowOff>
    </xdr:to>
    <xdr:cxnSp macro="">
      <xdr:nvCxnSpPr>
        <xdr:cNvPr id="44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172</xdr:row>
      <xdr:rowOff>0</xdr:rowOff>
    </xdr:from>
    <xdr:to>
      <xdr:col>14</xdr:col>
      <xdr:colOff>261937</xdr:colOff>
      <xdr:row>173</xdr:row>
      <xdr:rowOff>2526</xdr:rowOff>
    </xdr:to>
    <xdr:cxnSp macro="">
      <xdr:nvCxnSpPr>
        <xdr:cNvPr id="44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172</xdr:row>
      <xdr:rowOff>0</xdr:rowOff>
    </xdr:from>
    <xdr:to>
      <xdr:col>20</xdr:col>
      <xdr:colOff>261937</xdr:colOff>
      <xdr:row>173</xdr:row>
      <xdr:rowOff>2526</xdr:rowOff>
    </xdr:to>
    <xdr:cxnSp macro="">
      <xdr:nvCxnSpPr>
        <xdr:cNvPr id="44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261937</xdr:colOff>
      <xdr:row>76</xdr:row>
      <xdr:rowOff>2525</xdr:rowOff>
    </xdr:to>
    <xdr:cxnSp macro="">
      <xdr:nvCxnSpPr>
        <xdr:cNvPr id="4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172</xdr:row>
      <xdr:rowOff>0</xdr:rowOff>
    </xdr:from>
    <xdr:to>
      <xdr:col>8</xdr:col>
      <xdr:colOff>261937</xdr:colOff>
      <xdr:row>173</xdr:row>
      <xdr:rowOff>2526</xdr:rowOff>
    </xdr:to>
    <xdr:cxnSp macro="">
      <xdr:nvCxnSpPr>
        <xdr:cNvPr id="44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261937</xdr:colOff>
      <xdr:row>76</xdr:row>
      <xdr:rowOff>2525</xdr:rowOff>
    </xdr:to>
    <xdr:cxnSp macro="">
      <xdr:nvCxnSpPr>
        <xdr:cNvPr id="44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158</xdr:row>
      <xdr:rowOff>0</xdr:rowOff>
    </xdr:from>
    <xdr:to>
      <xdr:col>22</xdr:col>
      <xdr:colOff>261937</xdr:colOff>
      <xdr:row>159</xdr:row>
      <xdr:rowOff>2525</xdr:rowOff>
    </xdr:to>
    <xdr:cxnSp macro="">
      <xdr:nvCxnSpPr>
        <xdr:cNvPr id="45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158</xdr:row>
      <xdr:rowOff>0</xdr:rowOff>
    </xdr:from>
    <xdr:to>
      <xdr:col>24</xdr:col>
      <xdr:colOff>261937</xdr:colOff>
      <xdr:row>159</xdr:row>
      <xdr:rowOff>2525</xdr:rowOff>
    </xdr:to>
    <xdr:cxnSp macro="">
      <xdr:nvCxnSpPr>
        <xdr:cNvPr id="45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25945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172</xdr:row>
      <xdr:rowOff>0</xdr:rowOff>
    </xdr:from>
    <xdr:to>
      <xdr:col>6</xdr:col>
      <xdr:colOff>261937</xdr:colOff>
      <xdr:row>173</xdr:row>
      <xdr:rowOff>2526</xdr:rowOff>
    </xdr:to>
    <xdr:cxnSp macro="">
      <xdr:nvCxnSpPr>
        <xdr:cNvPr id="4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172</xdr:row>
      <xdr:rowOff>0</xdr:rowOff>
    </xdr:from>
    <xdr:to>
      <xdr:col>2</xdr:col>
      <xdr:colOff>261937</xdr:colOff>
      <xdr:row>173</xdr:row>
      <xdr:rowOff>2526</xdr:rowOff>
    </xdr:to>
    <xdr:cxnSp macro="">
      <xdr:nvCxnSpPr>
        <xdr:cNvPr id="45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430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75</xdr:row>
      <xdr:rowOff>0</xdr:rowOff>
    </xdr:from>
    <xdr:to>
      <xdr:col>4</xdr:col>
      <xdr:colOff>261937</xdr:colOff>
      <xdr:row>76</xdr:row>
      <xdr:rowOff>2525</xdr:rowOff>
    </xdr:to>
    <xdr:cxnSp macro="">
      <xdr:nvCxnSpPr>
        <xdr:cNvPr id="45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195</xdr:row>
      <xdr:rowOff>0</xdr:rowOff>
    </xdr:from>
    <xdr:to>
      <xdr:col>8</xdr:col>
      <xdr:colOff>261937</xdr:colOff>
      <xdr:row>196</xdr:row>
      <xdr:rowOff>2525</xdr:rowOff>
    </xdr:to>
    <xdr:cxnSp macro="">
      <xdr:nvCxnSpPr>
        <xdr:cNvPr id="45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6315075" y="39995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119</xdr:row>
      <xdr:rowOff>0</xdr:rowOff>
    </xdr:from>
    <xdr:to>
      <xdr:col>22</xdr:col>
      <xdr:colOff>261937</xdr:colOff>
      <xdr:row>120</xdr:row>
      <xdr:rowOff>2526</xdr:rowOff>
    </xdr:to>
    <xdr:cxnSp macro="">
      <xdr:nvCxnSpPr>
        <xdr:cNvPr id="45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119</xdr:row>
      <xdr:rowOff>0</xdr:rowOff>
    </xdr:from>
    <xdr:to>
      <xdr:col>18</xdr:col>
      <xdr:colOff>261937</xdr:colOff>
      <xdr:row>120</xdr:row>
      <xdr:rowOff>2526</xdr:rowOff>
    </xdr:to>
    <xdr:cxnSp macro="">
      <xdr:nvCxnSpPr>
        <xdr:cNvPr id="45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119</xdr:row>
      <xdr:rowOff>0</xdr:rowOff>
    </xdr:from>
    <xdr:to>
      <xdr:col>26</xdr:col>
      <xdr:colOff>279909</xdr:colOff>
      <xdr:row>120</xdr:row>
      <xdr:rowOff>2526</xdr:rowOff>
    </xdr:to>
    <xdr:cxnSp macro="">
      <xdr:nvCxnSpPr>
        <xdr:cNvPr id="45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25422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75</xdr:row>
      <xdr:rowOff>0</xdr:rowOff>
    </xdr:from>
    <xdr:to>
      <xdr:col>10</xdr:col>
      <xdr:colOff>261937</xdr:colOff>
      <xdr:row>76</xdr:row>
      <xdr:rowOff>2525</xdr:rowOff>
    </xdr:to>
    <xdr:cxnSp macro="">
      <xdr:nvCxnSpPr>
        <xdr:cNvPr id="45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119</xdr:row>
      <xdr:rowOff>0</xdr:rowOff>
    </xdr:from>
    <xdr:to>
      <xdr:col>20</xdr:col>
      <xdr:colOff>261937</xdr:colOff>
      <xdr:row>120</xdr:row>
      <xdr:rowOff>2526</xdr:rowOff>
    </xdr:to>
    <xdr:cxnSp macro="">
      <xdr:nvCxnSpPr>
        <xdr:cNvPr id="46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402050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119</xdr:row>
      <xdr:rowOff>0</xdr:rowOff>
    </xdr:from>
    <xdr:to>
      <xdr:col>16</xdr:col>
      <xdr:colOff>261937</xdr:colOff>
      <xdr:row>120</xdr:row>
      <xdr:rowOff>2526</xdr:rowOff>
    </xdr:to>
    <xdr:cxnSp macro="">
      <xdr:nvCxnSpPr>
        <xdr:cNvPr id="46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247935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172</xdr:row>
      <xdr:rowOff>0</xdr:rowOff>
    </xdr:from>
    <xdr:to>
      <xdr:col>4</xdr:col>
      <xdr:colOff>261937</xdr:colOff>
      <xdr:row>173</xdr:row>
      <xdr:rowOff>2526</xdr:rowOff>
    </xdr:to>
    <xdr:cxnSp macro="">
      <xdr:nvCxnSpPr>
        <xdr:cNvPr id="46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172</xdr:row>
      <xdr:rowOff>0</xdr:rowOff>
    </xdr:from>
    <xdr:to>
      <xdr:col>18</xdr:col>
      <xdr:colOff>261937</xdr:colOff>
      <xdr:row>173</xdr:row>
      <xdr:rowOff>2526</xdr:rowOff>
    </xdr:to>
    <xdr:cxnSp macro="">
      <xdr:nvCxnSpPr>
        <xdr:cNvPr id="46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127</xdr:row>
      <xdr:rowOff>0</xdr:rowOff>
    </xdr:from>
    <xdr:to>
      <xdr:col>12</xdr:col>
      <xdr:colOff>261937</xdr:colOff>
      <xdr:row>128</xdr:row>
      <xdr:rowOff>2526</xdr:rowOff>
    </xdr:to>
    <xdr:cxnSp macro="">
      <xdr:nvCxnSpPr>
        <xdr:cNvPr id="464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97821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179</xdr:row>
      <xdr:rowOff>0</xdr:rowOff>
    </xdr:from>
    <xdr:to>
      <xdr:col>6</xdr:col>
      <xdr:colOff>261937</xdr:colOff>
      <xdr:row>180</xdr:row>
      <xdr:rowOff>2525</xdr:rowOff>
    </xdr:to>
    <xdr:cxnSp macro="">
      <xdr:nvCxnSpPr>
        <xdr:cNvPr id="46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46196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75</xdr:row>
      <xdr:rowOff>0</xdr:rowOff>
    </xdr:from>
    <xdr:to>
      <xdr:col>18</xdr:col>
      <xdr:colOff>261937</xdr:colOff>
      <xdr:row>76</xdr:row>
      <xdr:rowOff>2525</xdr:rowOff>
    </xdr:to>
    <xdr:cxnSp macro="">
      <xdr:nvCxnSpPr>
        <xdr:cNvPr id="46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474470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127</xdr:row>
      <xdr:rowOff>0</xdr:rowOff>
    </xdr:from>
    <xdr:to>
      <xdr:col>14</xdr:col>
      <xdr:colOff>261937</xdr:colOff>
      <xdr:row>128</xdr:row>
      <xdr:rowOff>2526</xdr:rowOff>
    </xdr:to>
    <xdr:cxnSp macro="">
      <xdr:nvCxnSpPr>
        <xdr:cNvPr id="46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13823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75</xdr:row>
      <xdr:rowOff>0</xdr:rowOff>
    </xdr:from>
    <xdr:to>
      <xdr:col>2</xdr:col>
      <xdr:colOff>261937</xdr:colOff>
      <xdr:row>76</xdr:row>
      <xdr:rowOff>2525</xdr:rowOff>
    </xdr:to>
    <xdr:cxnSp macro="">
      <xdr:nvCxnSpPr>
        <xdr:cNvPr id="46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127</xdr:row>
      <xdr:rowOff>0</xdr:rowOff>
    </xdr:from>
    <xdr:to>
      <xdr:col>10</xdr:col>
      <xdr:colOff>261937</xdr:colOff>
      <xdr:row>128</xdr:row>
      <xdr:rowOff>2526</xdr:rowOff>
    </xdr:to>
    <xdr:cxnSp macro="">
      <xdr:nvCxnSpPr>
        <xdr:cNvPr id="469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79914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127</xdr:row>
      <xdr:rowOff>0</xdr:rowOff>
    </xdr:from>
    <xdr:to>
      <xdr:col>8</xdr:col>
      <xdr:colOff>261937</xdr:colOff>
      <xdr:row>128</xdr:row>
      <xdr:rowOff>2526</xdr:rowOff>
    </xdr:to>
    <xdr:cxnSp macro="">
      <xdr:nvCxnSpPr>
        <xdr:cNvPr id="470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631507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172</xdr:row>
      <xdr:rowOff>0</xdr:rowOff>
    </xdr:from>
    <xdr:to>
      <xdr:col>22</xdr:col>
      <xdr:colOff>261937</xdr:colOff>
      <xdr:row>173</xdr:row>
      <xdr:rowOff>2526</xdr:rowOff>
    </xdr:to>
    <xdr:cxnSp macro="">
      <xdr:nvCxnSpPr>
        <xdr:cNvPr id="47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187</xdr:row>
      <xdr:rowOff>0</xdr:rowOff>
    </xdr:from>
    <xdr:to>
      <xdr:col>14</xdr:col>
      <xdr:colOff>261937</xdr:colOff>
      <xdr:row>189</xdr:row>
      <xdr:rowOff>2525</xdr:rowOff>
    </xdr:to>
    <xdr:cxnSp macro="">
      <xdr:nvCxnSpPr>
        <xdr:cNvPr id="47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187</xdr:row>
      <xdr:rowOff>0</xdr:rowOff>
    </xdr:from>
    <xdr:to>
      <xdr:col>16</xdr:col>
      <xdr:colOff>261937</xdr:colOff>
      <xdr:row>189</xdr:row>
      <xdr:rowOff>2525</xdr:rowOff>
    </xdr:to>
    <xdr:cxnSp macro="">
      <xdr:nvCxnSpPr>
        <xdr:cNvPr id="47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187</xdr:row>
      <xdr:rowOff>0</xdr:rowOff>
    </xdr:from>
    <xdr:to>
      <xdr:col>18</xdr:col>
      <xdr:colOff>261937</xdr:colOff>
      <xdr:row>189</xdr:row>
      <xdr:rowOff>2525</xdr:rowOff>
    </xdr:to>
    <xdr:cxnSp macro="">
      <xdr:nvCxnSpPr>
        <xdr:cNvPr id="47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8395275"/>
          <a:ext cx="261937" cy="4025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75</xdr:row>
      <xdr:rowOff>0</xdr:rowOff>
    </xdr:from>
    <xdr:to>
      <xdr:col>26</xdr:col>
      <xdr:colOff>261937</xdr:colOff>
      <xdr:row>76</xdr:row>
      <xdr:rowOff>2525</xdr:rowOff>
    </xdr:to>
    <xdr:cxnSp macro="">
      <xdr:nvCxnSpPr>
        <xdr:cNvPr id="47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15074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127</xdr:row>
      <xdr:rowOff>0</xdr:rowOff>
    </xdr:from>
    <xdr:to>
      <xdr:col>6</xdr:col>
      <xdr:colOff>261937</xdr:colOff>
      <xdr:row>128</xdr:row>
      <xdr:rowOff>2526</xdr:rowOff>
    </xdr:to>
    <xdr:cxnSp macro="">
      <xdr:nvCxnSpPr>
        <xdr:cNvPr id="476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263937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82</xdr:row>
      <xdr:rowOff>0</xdr:rowOff>
    </xdr:from>
    <xdr:to>
      <xdr:col>2</xdr:col>
      <xdr:colOff>261937</xdr:colOff>
      <xdr:row>83</xdr:row>
      <xdr:rowOff>2525</xdr:rowOff>
    </xdr:to>
    <xdr:cxnSp macro="">
      <xdr:nvCxnSpPr>
        <xdr:cNvPr id="47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3430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172</xdr:row>
      <xdr:rowOff>0</xdr:rowOff>
    </xdr:from>
    <xdr:to>
      <xdr:col>26</xdr:col>
      <xdr:colOff>261937</xdr:colOff>
      <xdr:row>173</xdr:row>
      <xdr:rowOff>2526</xdr:rowOff>
    </xdr:to>
    <xdr:cxnSp macro="">
      <xdr:nvCxnSpPr>
        <xdr:cNvPr id="47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53949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165</xdr:row>
      <xdr:rowOff>0</xdr:rowOff>
    </xdr:from>
    <xdr:to>
      <xdr:col>26</xdr:col>
      <xdr:colOff>261937</xdr:colOff>
      <xdr:row>166</xdr:row>
      <xdr:rowOff>2525</xdr:rowOff>
    </xdr:to>
    <xdr:cxnSp macro="">
      <xdr:nvCxnSpPr>
        <xdr:cNvPr id="479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074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209</xdr:row>
      <xdr:rowOff>0</xdr:rowOff>
    </xdr:from>
    <xdr:to>
      <xdr:col>18</xdr:col>
      <xdr:colOff>261937</xdr:colOff>
      <xdr:row>210</xdr:row>
      <xdr:rowOff>2526</xdr:rowOff>
    </xdr:to>
    <xdr:cxnSp macro="">
      <xdr:nvCxnSpPr>
        <xdr:cNvPr id="48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75</xdr:row>
      <xdr:rowOff>0</xdr:rowOff>
    </xdr:from>
    <xdr:to>
      <xdr:col>24</xdr:col>
      <xdr:colOff>261937</xdr:colOff>
      <xdr:row>76</xdr:row>
      <xdr:rowOff>2525</xdr:rowOff>
    </xdr:to>
    <xdr:cxnSp macro="">
      <xdr:nvCxnSpPr>
        <xdr:cNvPr id="481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96786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165</xdr:row>
      <xdr:rowOff>0</xdr:rowOff>
    </xdr:from>
    <xdr:to>
      <xdr:col>24</xdr:col>
      <xdr:colOff>261937</xdr:colOff>
      <xdr:row>166</xdr:row>
      <xdr:rowOff>2525</xdr:rowOff>
    </xdr:to>
    <xdr:cxnSp macro="">
      <xdr:nvCxnSpPr>
        <xdr:cNvPr id="48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9678650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82</xdr:row>
      <xdr:rowOff>0</xdr:rowOff>
    </xdr:from>
    <xdr:to>
      <xdr:col>8</xdr:col>
      <xdr:colOff>261937</xdr:colOff>
      <xdr:row>83</xdr:row>
      <xdr:rowOff>2525</xdr:rowOff>
    </xdr:to>
    <xdr:cxnSp macro="">
      <xdr:nvCxnSpPr>
        <xdr:cNvPr id="48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31507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165</xdr:row>
      <xdr:rowOff>0</xdr:rowOff>
    </xdr:from>
    <xdr:to>
      <xdr:col>22</xdr:col>
      <xdr:colOff>261937</xdr:colOff>
      <xdr:row>166</xdr:row>
      <xdr:rowOff>2525</xdr:rowOff>
    </xdr:to>
    <xdr:cxnSp macro="">
      <xdr:nvCxnSpPr>
        <xdr:cNvPr id="48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14512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82</xdr:row>
      <xdr:rowOff>0</xdr:rowOff>
    </xdr:from>
    <xdr:to>
      <xdr:col>4</xdr:col>
      <xdr:colOff>261937</xdr:colOff>
      <xdr:row>83</xdr:row>
      <xdr:rowOff>2525</xdr:rowOff>
    </xdr:to>
    <xdr:cxnSp macro="">
      <xdr:nvCxnSpPr>
        <xdr:cNvPr id="485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2952750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209</xdr:row>
      <xdr:rowOff>0</xdr:rowOff>
    </xdr:from>
    <xdr:to>
      <xdr:col>16</xdr:col>
      <xdr:colOff>261937</xdr:colOff>
      <xdr:row>210</xdr:row>
      <xdr:rowOff>2526</xdr:rowOff>
    </xdr:to>
    <xdr:cxnSp macro="">
      <xdr:nvCxnSpPr>
        <xdr:cNvPr id="48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4279582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216</xdr:row>
      <xdr:rowOff>0</xdr:rowOff>
    </xdr:from>
    <xdr:to>
      <xdr:col>4</xdr:col>
      <xdr:colOff>261937</xdr:colOff>
      <xdr:row>217</xdr:row>
      <xdr:rowOff>2526</xdr:rowOff>
    </xdr:to>
    <xdr:cxnSp macro="">
      <xdr:nvCxnSpPr>
        <xdr:cNvPr id="48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4196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82</xdr:row>
      <xdr:rowOff>0</xdr:rowOff>
    </xdr:from>
    <xdr:to>
      <xdr:col>6</xdr:col>
      <xdr:colOff>261937</xdr:colOff>
      <xdr:row>83</xdr:row>
      <xdr:rowOff>2525</xdr:rowOff>
    </xdr:to>
    <xdr:cxnSp macro="">
      <xdr:nvCxnSpPr>
        <xdr:cNvPr id="48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4619625" y="17392650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143</xdr:row>
      <xdr:rowOff>0</xdr:rowOff>
    </xdr:from>
    <xdr:to>
      <xdr:col>26</xdr:col>
      <xdr:colOff>261937</xdr:colOff>
      <xdr:row>144</xdr:row>
      <xdr:rowOff>2525</xdr:rowOff>
    </xdr:to>
    <xdr:cxnSp macro="">
      <xdr:nvCxnSpPr>
        <xdr:cNvPr id="48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1507450" y="295941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150</xdr:row>
      <xdr:rowOff>0</xdr:rowOff>
    </xdr:from>
    <xdr:to>
      <xdr:col>8</xdr:col>
      <xdr:colOff>261937</xdr:colOff>
      <xdr:row>151</xdr:row>
      <xdr:rowOff>2524</xdr:rowOff>
    </xdr:to>
    <xdr:cxnSp macro="">
      <xdr:nvCxnSpPr>
        <xdr:cNvPr id="49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631507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150</xdr:row>
      <xdr:rowOff>0</xdr:rowOff>
    </xdr:from>
    <xdr:to>
      <xdr:col>4</xdr:col>
      <xdr:colOff>261937</xdr:colOff>
      <xdr:row>151</xdr:row>
      <xdr:rowOff>2524</xdr:rowOff>
    </xdr:to>
    <xdr:cxnSp macro="">
      <xdr:nvCxnSpPr>
        <xdr:cNvPr id="491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952750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150</xdr:row>
      <xdr:rowOff>0</xdr:rowOff>
    </xdr:from>
    <xdr:to>
      <xdr:col>6</xdr:col>
      <xdr:colOff>261937</xdr:colOff>
      <xdr:row>151</xdr:row>
      <xdr:rowOff>2524</xdr:rowOff>
    </xdr:to>
    <xdr:cxnSp macro="">
      <xdr:nvCxnSpPr>
        <xdr:cNvPr id="49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4619625" y="30994350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195</xdr:row>
      <xdr:rowOff>0</xdr:rowOff>
    </xdr:from>
    <xdr:to>
      <xdr:col>14</xdr:col>
      <xdr:colOff>261937</xdr:colOff>
      <xdr:row>196</xdr:row>
      <xdr:rowOff>2524</xdr:rowOff>
    </xdr:to>
    <xdr:cxnSp macro="">
      <xdr:nvCxnSpPr>
        <xdr:cNvPr id="49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187</xdr:row>
      <xdr:rowOff>0</xdr:rowOff>
    </xdr:from>
    <xdr:to>
      <xdr:col>20</xdr:col>
      <xdr:colOff>261937</xdr:colOff>
      <xdr:row>189</xdr:row>
      <xdr:rowOff>2525</xdr:rowOff>
    </xdr:to>
    <xdr:cxnSp macro="">
      <xdr:nvCxnSpPr>
        <xdr:cNvPr id="49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63988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195</xdr:row>
      <xdr:rowOff>0</xdr:rowOff>
    </xdr:from>
    <xdr:to>
      <xdr:col>22</xdr:col>
      <xdr:colOff>261937</xdr:colOff>
      <xdr:row>196</xdr:row>
      <xdr:rowOff>2524</xdr:rowOff>
    </xdr:to>
    <xdr:cxnSp macro="">
      <xdr:nvCxnSpPr>
        <xdr:cNvPr id="495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8145125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195</xdr:row>
      <xdr:rowOff>0</xdr:rowOff>
    </xdr:from>
    <xdr:to>
      <xdr:col>24</xdr:col>
      <xdr:colOff>261937</xdr:colOff>
      <xdr:row>196</xdr:row>
      <xdr:rowOff>2524</xdr:rowOff>
    </xdr:to>
    <xdr:cxnSp macro="">
      <xdr:nvCxnSpPr>
        <xdr:cNvPr id="49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9678650" y="39995475"/>
          <a:ext cx="261937" cy="20254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75</xdr:row>
      <xdr:rowOff>0</xdr:rowOff>
    </xdr:from>
    <xdr:to>
      <xdr:col>20</xdr:col>
      <xdr:colOff>261937</xdr:colOff>
      <xdr:row>76</xdr:row>
      <xdr:rowOff>2525</xdr:rowOff>
    </xdr:to>
    <xdr:cxnSp macro="">
      <xdr:nvCxnSpPr>
        <xdr:cNvPr id="497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6402050" y="159924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96</xdr:row>
      <xdr:rowOff>0</xdr:rowOff>
    </xdr:from>
    <xdr:to>
      <xdr:col>22</xdr:col>
      <xdr:colOff>261937</xdr:colOff>
      <xdr:row>97</xdr:row>
      <xdr:rowOff>2526</xdr:rowOff>
    </xdr:to>
    <xdr:cxnSp macro="">
      <xdr:nvCxnSpPr>
        <xdr:cNvPr id="498" name="Elbow Connector 55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CxnSpPr/>
      </xdr:nvCxnSpPr>
      <xdr:spPr>
        <a:xfrm>
          <a:off x="1814512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165</xdr:row>
      <xdr:rowOff>0</xdr:rowOff>
    </xdr:from>
    <xdr:to>
      <xdr:col>12</xdr:col>
      <xdr:colOff>261937</xdr:colOff>
      <xdr:row>166</xdr:row>
      <xdr:rowOff>2525</xdr:rowOff>
    </xdr:to>
    <xdr:cxnSp macro="">
      <xdr:nvCxnSpPr>
        <xdr:cNvPr id="49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9782175" y="3399472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179</xdr:row>
      <xdr:rowOff>0</xdr:rowOff>
    </xdr:from>
    <xdr:to>
      <xdr:col>14</xdr:col>
      <xdr:colOff>261937</xdr:colOff>
      <xdr:row>180</xdr:row>
      <xdr:rowOff>2525</xdr:rowOff>
    </xdr:to>
    <xdr:cxnSp macro="">
      <xdr:nvCxnSpPr>
        <xdr:cNvPr id="50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138237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179</xdr:row>
      <xdr:rowOff>0</xdr:rowOff>
    </xdr:from>
    <xdr:to>
      <xdr:col>16</xdr:col>
      <xdr:colOff>261937</xdr:colOff>
      <xdr:row>180</xdr:row>
      <xdr:rowOff>2525</xdr:rowOff>
    </xdr:to>
    <xdr:cxnSp macro="">
      <xdr:nvCxnSpPr>
        <xdr:cNvPr id="501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230225" y="36795075"/>
          <a:ext cx="261937" cy="20255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179</xdr:row>
      <xdr:rowOff>0</xdr:rowOff>
    </xdr:from>
    <xdr:to>
      <xdr:col>18</xdr:col>
      <xdr:colOff>261937</xdr:colOff>
      <xdr:row>180</xdr:row>
      <xdr:rowOff>2526</xdr:rowOff>
    </xdr:to>
    <xdr:cxnSp macro="">
      <xdr:nvCxnSpPr>
        <xdr:cNvPr id="50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4744700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178</xdr:row>
      <xdr:rowOff>179717</xdr:rowOff>
    </xdr:from>
    <xdr:to>
      <xdr:col>10</xdr:col>
      <xdr:colOff>261938</xdr:colOff>
      <xdr:row>179</xdr:row>
      <xdr:rowOff>182243</xdr:rowOff>
    </xdr:to>
    <xdr:cxnSp macro="">
      <xdr:nvCxnSpPr>
        <xdr:cNvPr id="503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7991476" y="36774767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179</xdr:row>
      <xdr:rowOff>0</xdr:rowOff>
    </xdr:from>
    <xdr:to>
      <xdr:col>12</xdr:col>
      <xdr:colOff>261937</xdr:colOff>
      <xdr:row>180</xdr:row>
      <xdr:rowOff>2526</xdr:rowOff>
    </xdr:to>
    <xdr:cxnSp macro="">
      <xdr:nvCxnSpPr>
        <xdr:cNvPr id="504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9782175" y="36795075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96</xdr:row>
      <xdr:rowOff>0</xdr:rowOff>
    </xdr:from>
    <xdr:to>
      <xdr:col>10</xdr:col>
      <xdr:colOff>261937</xdr:colOff>
      <xdr:row>97</xdr:row>
      <xdr:rowOff>2526</xdr:rowOff>
    </xdr:to>
    <xdr:cxnSp macro="">
      <xdr:nvCxnSpPr>
        <xdr:cNvPr id="50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7991475" y="20193000"/>
          <a:ext cx="261937" cy="2025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26</xdr:col>
      <xdr:colOff>35944</xdr:colOff>
      <xdr:row>99</xdr:row>
      <xdr:rowOff>0</xdr:rowOff>
    </xdr:from>
    <xdr:ext cx="266700" cy="873125"/>
    <xdr:pic>
      <xdr:nvPicPr>
        <xdr:cNvPr id="506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43394" y="20793075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35944</xdr:colOff>
      <xdr:row>183</xdr:row>
      <xdr:rowOff>53916</xdr:rowOff>
    </xdr:from>
    <xdr:ext cx="266700" cy="873125"/>
    <xdr:pic>
      <xdr:nvPicPr>
        <xdr:cNvPr id="507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8694" y="37649091"/>
          <a:ext cx="266700" cy="87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395639</xdr:colOff>
      <xdr:row>8</xdr:row>
      <xdr:rowOff>143773</xdr:rowOff>
    </xdr:from>
    <xdr:ext cx="428184" cy="1401793"/>
    <xdr:pic>
      <xdr:nvPicPr>
        <xdr:cNvPr id="508" name="Picture 382" descr="LADDER">
          <a:extLst>
            <a:ext uri="{FF2B5EF4-FFF2-40B4-BE49-F238E27FC236}">
              <a16:creationId xmlns:a16="http://schemas.microsoft.com/office/drawing/2014/main" id="{1F38979B-CDE0-4AA2-93B6-E5BF2AF5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7714" y="2191648"/>
          <a:ext cx="428184" cy="1401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26</xdr:col>
      <xdr:colOff>71888</xdr:colOff>
      <xdr:row>77</xdr:row>
      <xdr:rowOff>17972</xdr:rowOff>
    </xdr:from>
    <xdr:to>
      <xdr:col>26</xdr:col>
      <xdr:colOff>267830</xdr:colOff>
      <xdr:row>83</xdr:row>
      <xdr:rowOff>132887</xdr:rowOff>
    </xdr:to>
    <xdr:grpSp>
      <xdr:nvGrpSpPr>
        <xdr:cNvPr id="509" name="Group 2201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GrpSpPr>
          <a:grpSpLocks/>
        </xdr:cNvGrpSpPr>
      </xdr:nvGrpSpPr>
      <xdr:grpSpPr bwMode="auto">
        <a:xfrm>
          <a:off x="25248195" y="20063767"/>
          <a:ext cx="195942" cy="1608609"/>
          <a:chOff x="752" y="1574"/>
          <a:chExt cx="16" cy="52"/>
        </a:xfrm>
      </xdr:grpSpPr>
      <xdr:sp macro="" textlink="">
        <xdr:nvSpPr>
          <xdr:cNvPr id="510" name="Line 2202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SpPr>
            <a:spLocks noChangeShapeType="1"/>
          </xdr:cNvSpPr>
        </xdr:nvSpPr>
        <xdr:spPr bwMode="auto">
          <a:xfrm>
            <a:off x="752" y="1575"/>
            <a:ext cx="0" cy="51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1" name="Line 2203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7" y="1575"/>
            <a:ext cx="1" cy="50"/>
          </a:xfrm>
          <a:prstGeom prst="line">
            <a:avLst/>
          </a:prstGeom>
          <a:noFill/>
          <a:ln w="15875">
            <a:solidFill>
              <a:srgbClr val="0000FF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2" name="Line 2204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759" y="1574"/>
            <a:ext cx="1" cy="52"/>
          </a:xfrm>
          <a:prstGeom prst="line">
            <a:avLst/>
          </a:prstGeom>
          <a:noFill/>
          <a:ln w="19050">
            <a:solidFill>
              <a:srgbClr val="0000FF"/>
            </a:solidFill>
            <a:prstDash val="lg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119</xdr:row>
      <xdr:rowOff>0</xdr:rowOff>
    </xdr:from>
    <xdr:to>
      <xdr:col>10</xdr:col>
      <xdr:colOff>261937</xdr:colOff>
      <xdr:row>120</xdr:row>
      <xdr:rowOff>2526</xdr:rowOff>
    </xdr:to>
    <xdr:cxnSp macro="">
      <xdr:nvCxnSpPr>
        <xdr:cNvPr id="513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7983682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119</xdr:row>
      <xdr:rowOff>0</xdr:rowOff>
    </xdr:from>
    <xdr:to>
      <xdr:col>12</xdr:col>
      <xdr:colOff>261937</xdr:colOff>
      <xdr:row>120</xdr:row>
      <xdr:rowOff>2526</xdr:rowOff>
    </xdr:to>
    <xdr:cxnSp macro="">
      <xdr:nvCxnSpPr>
        <xdr:cNvPr id="514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9767455" y="25596273"/>
          <a:ext cx="261937" cy="2103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261937</xdr:colOff>
      <xdr:row>97</xdr:row>
      <xdr:rowOff>2526</xdr:rowOff>
    </xdr:to>
    <xdr:cxnSp macro="">
      <xdr:nvCxnSpPr>
        <xdr:cNvPr id="51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4619625" y="20653375"/>
          <a:ext cx="261937" cy="20890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31750</xdr:colOff>
      <xdr:row>187</xdr:row>
      <xdr:rowOff>0</xdr:rowOff>
    </xdr:from>
    <xdr:to>
      <xdr:col>26</xdr:col>
      <xdr:colOff>293687</xdr:colOff>
      <xdr:row>189</xdr:row>
      <xdr:rowOff>2525</xdr:rowOff>
    </xdr:to>
    <xdr:cxnSp macro="">
      <xdr:nvCxnSpPr>
        <xdr:cNvPr id="516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1542375" y="39433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195</xdr:row>
      <xdr:rowOff>0</xdr:rowOff>
    </xdr:from>
    <xdr:to>
      <xdr:col>2</xdr:col>
      <xdr:colOff>261937</xdr:colOff>
      <xdr:row>197</xdr:row>
      <xdr:rowOff>2525</xdr:rowOff>
    </xdr:to>
    <xdr:cxnSp macro="">
      <xdr:nvCxnSpPr>
        <xdr:cNvPr id="517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133350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195</xdr:row>
      <xdr:rowOff>0</xdr:rowOff>
    </xdr:from>
    <xdr:to>
      <xdr:col>4</xdr:col>
      <xdr:colOff>261937</xdr:colOff>
      <xdr:row>197</xdr:row>
      <xdr:rowOff>2525</xdr:rowOff>
    </xdr:to>
    <xdr:cxnSp macro="">
      <xdr:nvCxnSpPr>
        <xdr:cNvPr id="518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952750" y="41084500"/>
          <a:ext cx="261937" cy="4152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158</xdr:row>
      <xdr:rowOff>0</xdr:rowOff>
    </xdr:from>
    <xdr:to>
      <xdr:col>16</xdr:col>
      <xdr:colOff>261937</xdr:colOff>
      <xdr:row>159</xdr:row>
      <xdr:rowOff>2525</xdr:rowOff>
    </xdr:to>
    <xdr:cxnSp macro="">
      <xdr:nvCxnSpPr>
        <xdr:cNvPr id="519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208000" y="33448625"/>
          <a:ext cx="261937" cy="20890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158</xdr:row>
      <xdr:rowOff>0</xdr:rowOff>
    </xdr:from>
    <xdr:to>
      <xdr:col>20</xdr:col>
      <xdr:colOff>261937</xdr:colOff>
      <xdr:row>159</xdr:row>
      <xdr:rowOff>2525</xdr:rowOff>
    </xdr:to>
    <xdr:cxnSp macro="">
      <xdr:nvCxnSpPr>
        <xdr:cNvPr id="520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6859250" y="339852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96</xdr:row>
      <xdr:rowOff>0</xdr:rowOff>
    </xdr:from>
    <xdr:to>
      <xdr:col>8</xdr:col>
      <xdr:colOff>261937</xdr:colOff>
      <xdr:row>97</xdr:row>
      <xdr:rowOff>2526</xdr:rowOff>
    </xdr:to>
    <xdr:cxnSp macro="">
      <xdr:nvCxnSpPr>
        <xdr:cNvPr id="52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0993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103</xdr:row>
      <xdr:rowOff>0</xdr:rowOff>
    </xdr:from>
    <xdr:to>
      <xdr:col>8</xdr:col>
      <xdr:colOff>261937</xdr:colOff>
      <xdr:row>104</xdr:row>
      <xdr:rowOff>2526</xdr:rowOff>
    </xdr:to>
    <xdr:cxnSp macro="">
      <xdr:nvCxnSpPr>
        <xdr:cNvPr id="52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127</xdr:row>
      <xdr:rowOff>0</xdr:rowOff>
    </xdr:from>
    <xdr:to>
      <xdr:col>18</xdr:col>
      <xdr:colOff>261937</xdr:colOff>
      <xdr:row>128</xdr:row>
      <xdr:rowOff>2526</xdr:rowOff>
    </xdr:to>
    <xdr:cxnSp macro="">
      <xdr:nvCxnSpPr>
        <xdr:cNvPr id="524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202</xdr:row>
      <xdr:rowOff>0</xdr:rowOff>
    </xdr:from>
    <xdr:to>
      <xdr:col>10</xdr:col>
      <xdr:colOff>261937</xdr:colOff>
      <xdr:row>203</xdr:row>
      <xdr:rowOff>2526</xdr:rowOff>
    </xdr:to>
    <xdr:cxnSp macro="">
      <xdr:nvCxnSpPr>
        <xdr:cNvPr id="52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202</xdr:row>
      <xdr:rowOff>0</xdr:rowOff>
    </xdr:from>
    <xdr:to>
      <xdr:col>12</xdr:col>
      <xdr:colOff>261937</xdr:colOff>
      <xdr:row>203</xdr:row>
      <xdr:rowOff>2526</xdr:rowOff>
    </xdr:to>
    <xdr:cxnSp macro="">
      <xdr:nvCxnSpPr>
        <xdr:cNvPr id="52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01917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202</xdr:row>
      <xdr:rowOff>0</xdr:rowOff>
    </xdr:from>
    <xdr:to>
      <xdr:col>18</xdr:col>
      <xdr:colOff>261937</xdr:colOff>
      <xdr:row>203</xdr:row>
      <xdr:rowOff>2526</xdr:rowOff>
    </xdr:to>
    <xdr:cxnSp macro="">
      <xdr:nvCxnSpPr>
        <xdr:cNvPr id="52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202</xdr:row>
      <xdr:rowOff>0</xdr:rowOff>
    </xdr:from>
    <xdr:to>
      <xdr:col>20</xdr:col>
      <xdr:colOff>261937</xdr:colOff>
      <xdr:row>203</xdr:row>
      <xdr:rowOff>2526</xdr:rowOff>
    </xdr:to>
    <xdr:cxnSp macro="">
      <xdr:nvCxnSpPr>
        <xdr:cNvPr id="52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202</xdr:row>
      <xdr:rowOff>0</xdr:rowOff>
    </xdr:from>
    <xdr:to>
      <xdr:col>22</xdr:col>
      <xdr:colOff>261937</xdr:colOff>
      <xdr:row>203</xdr:row>
      <xdr:rowOff>2526</xdr:rowOff>
    </xdr:to>
    <xdr:cxnSp macro="">
      <xdr:nvCxnSpPr>
        <xdr:cNvPr id="529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187</xdr:row>
      <xdr:rowOff>0</xdr:rowOff>
    </xdr:from>
    <xdr:to>
      <xdr:col>22</xdr:col>
      <xdr:colOff>261937</xdr:colOff>
      <xdr:row>188</xdr:row>
      <xdr:rowOff>2526</xdr:rowOff>
    </xdr:to>
    <xdr:cxnSp macro="">
      <xdr:nvCxnSpPr>
        <xdr:cNvPr id="53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86118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187</xdr:row>
      <xdr:rowOff>0</xdr:rowOff>
    </xdr:from>
    <xdr:to>
      <xdr:col>8</xdr:col>
      <xdr:colOff>261937</xdr:colOff>
      <xdr:row>188</xdr:row>
      <xdr:rowOff>2526</xdr:rowOff>
    </xdr:to>
    <xdr:cxnSp macro="">
      <xdr:nvCxnSpPr>
        <xdr:cNvPr id="53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6724650" y="40062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195</xdr:row>
      <xdr:rowOff>0</xdr:rowOff>
    </xdr:from>
    <xdr:to>
      <xdr:col>20</xdr:col>
      <xdr:colOff>261937</xdr:colOff>
      <xdr:row>196</xdr:row>
      <xdr:rowOff>2526</xdr:rowOff>
    </xdr:to>
    <xdr:cxnSp macro="">
      <xdr:nvCxnSpPr>
        <xdr:cNvPr id="532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68592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158</xdr:row>
      <xdr:rowOff>0</xdr:rowOff>
    </xdr:from>
    <xdr:to>
      <xdr:col>18</xdr:col>
      <xdr:colOff>261937</xdr:colOff>
      <xdr:row>159</xdr:row>
      <xdr:rowOff>2526</xdr:rowOff>
    </xdr:to>
    <xdr:cxnSp macro="">
      <xdr:nvCxnSpPr>
        <xdr:cNvPr id="533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5182850" y="339852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216</xdr:row>
      <xdr:rowOff>0</xdr:rowOff>
    </xdr:from>
    <xdr:to>
      <xdr:col>14</xdr:col>
      <xdr:colOff>261937</xdr:colOff>
      <xdr:row>217</xdr:row>
      <xdr:rowOff>2526</xdr:rowOff>
    </xdr:to>
    <xdr:cxnSp macro="">
      <xdr:nvCxnSpPr>
        <xdr:cNvPr id="535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461391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165</xdr:row>
      <xdr:rowOff>0</xdr:rowOff>
    </xdr:from>
    <xdr:to>
      <xdr:col>14</xdr:col>
      <xdr:colOff>261937</xdr:colOff>
      <xdr:row>166</xdr:row>
      <xdr:rowOff>2526</xdr:rowOff>
    </xdr:to>
    <xdr:cxnSp macro="">
      <xdr:nvCxnSpPr>
        <xdr:cNvPr id="53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181100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165</xdr:row>
      <xdr:rowOff>0</xdr:rowOff>
    </xdr:from>
    <xdr:to>
      <xdr:col>16</xdr:col>
      <xdr:colOff>261937</xdr:colOff>
      <xdr:row>166</xdr:row>
      <xdr:rowOff>2526</xdr:rowOff>
    </xdr:to>
    <xdr:cxnSp macro="">
      <xdr:nvCxnSpPr>
        <xdr:cNvPr id="53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354520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195</xdr:row>
      <xdr:rowOff>0</xdr:rowOff>
    </xdr:from>
    <xdr:to>
      <xdr:col>16</xdr:col>
      <xdr:colOff>261937</xdr:colOff>
      <xdr:row>196</xdr:row>
      <xdr:rowOff>2526</xdr:rowOff>
    </xdr:to>
    <xdr:cxnSp macro="">
      <xdr:nvCxnSpPr>
        <xdr:cNvPr id="538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13658850" y="417385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119</xdr:row>
      <xdr:rowOff>0</xdr:rowOff>
    </xdr:from>
    <xdr:to>
      <xdr:col>8</xdr:col>
      <xdr:colOff>261937</xdr:colOff>
      <xdr:row>120</xdr:row>
      <xdr:rowOff>2526</xdr:rowOff>
    </xdr:to>
    <xdr:cxnSp macro="">
      <xdr:nvCxnSpPr>
        <xdr:cNvPr id="539" name="Elbow Connector 55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CxnSpPr/>
      </xdr:nvCxnSpPr>
      <xdr:spPr>
        <a:xfrm>
          <a:off x="6724650" y="258127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172</xdr:row>
      <xdr:rowOff>0</xdr:rowOff>
    </xdr:from>
    <xdr:to>
      <xdr:col>10</xdr:col>
      <xdr:colOff>261937</xdr:colOff>
      <xdr:row>173</xdr:row>
      <xdr:rowOff>2526</xdr:rowOff>
    </xdr:to>
    <xdr:cxnSp macro="">
      <xdr:nvCxnSpPr>
        <xdr:cNvPr id="540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8401050" y="369189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96</xdr:row>
      <xdr:rowOff>0</xdr:rowOff>
    </xdr:from>
    <xdr:to>
      <xdr:col>20</xdr:col>
      <xdr:colOff>261937</xdr:colOff>
      <xdr:row>97</xdr:row>
      <xdr:rowOff>2525</xdr:rowOff>
    </xdr:to>
    <xdr:cxnSp macro="">
      <xdr:nvCxnSpPr>
        <xdr:cNvPr id="541" name="Elbow Connector 55">
          <a:extLst>
            <a:ext uri="{FF2B5EF4-FFF2-40B4-BE49-F238E27FC236}">
              <a16:creationId xmlns:a16="http://schemas.microsoft.com/office/drawing/2014/main" id="{63FBE193-B4FB-47CD-9A61-D0FAD7D7DCD4}"/>
            </a:ext>
          </a:extLst>
        </xdr:cNvPr>
        <xdr:cNvCxnSpPr/>
      </xdr:nvCxnSpPr>
      <xdr:spPr>
        <a:xfrm>
          <a:off x="16859250" y="20993100"/>
          <a:ext cx="261937" cy="21207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202</xdr:row>
      <xdr:rowOff>38100</xdr:rowOff>
    </xdr:from>
    <xdr:to>
      <xdr:col>2</xdr:col>
      <xdr:colOff>261937</xdr:colOff>
      <xdr:row>203</xdr:row>
      <xdr:rowOff>40624</xdr:rowOff>
    </xdr:to>
    <xdr:cxnSp macro="">
      <xdr:nvCxnSpPr>
        <xdr:cNvPr id="542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352550" y="432435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202</xdr:row>
      <xdr:rowOff>0</xdr:rowOff>
    </xdr:from>
    <xdr:to>
      <xdr:col>24</xdr:col>
      <xdr:colOff>261937</xdr:colOff>
      <xdr:row>203</xdr:row>
      <xdr:rowOff>2524</xdr:rowOff>
    </xdr:to>
    <xdr:cxnSp macro="">
      <xdr:nvCxnSpPr>
        <xdr:cNvPr id="543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320540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209</xdr:row>
      <xdr:rowOff>0</xdr:rowOff>
    </xdr:from>
    <xdr:to>
      <xdr:col>22</xdr:col>
      <xdr:colOff>261937</xdr:colOff>
      <xdr:row>210</xdr:row>
      <xdr:rowOff>2524</xdr:rowOff>
    </xdr:to>
    <xdr:cxnSp macro="">
      <xdr:nvCxnSpPr>
        <xdr:cNvPr id="544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1861185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209</xdr:row>
      <xdr:rowOff>0</xdr:rowOff>
    </xdr:from>
    <xdr:to>
      <xdr:col>24</xdr:col>
      <xdr:colOff>261937</xdr:colOff>
      <xdr:row>210</xdr:row>
      <xdr:rowOff>2524</xdr:rowOff>
    </xdr:to>
    <xdr:cxnSp macro="">
      <xdr:nvCxnSpPr>
        <xdr:cNvPr id="545" name="Elbow Connector 55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CxnSpPr/>
      </xdr:nvCxnSpPr>
      <xdr:spPr>
        <a:xfrm>
          <a:off x="20154900" y="44672250"/>
          <a:ext cx="261937" cy="21207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127</xdr:row>
      <xdr:rowOff>0</xdr:rowOff>
    </xdr:from>
    <xdr:to>
      <xdr:col>24</xdr:col>
      <xdr:colOff>261937</xdr:colOff>
      <xdr:row>128</xdr:row>
      <xdr:rowOff>2526</xdr:rowOff>
    </xdr:to>
    <xdr:cxnSp macro="">
      <xdr:nvCxnSpPr>
        <xdr:cNvPr id="546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20154900" y="274891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103</xdr:row>
      <xdr:rowOff>0</xdr:rowOff>
    </xdr:from>
    <xdr:to>
      <xdr:col>10</xdr:col>
      <xdr:colOff>261937</xdr:colOff>
      <xdr:row>104</xdr:row>
      <xdr:rowOff>2526</xdr:rowOff>
    </xdr:to>
    <xdr:cxnSp macro="">
      <xdr:nvCxnSpPr>
        <xdr:cNvPr id="547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8401050" y="2245995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202</xdr:row>
      <xdr:rowOff>0</xdr:rowOff>
    </xdr:from>
    <xdr:to>
      <xdr:col>4</xdr:col>
      <xdr:colOff>261937</xdr:colOff>
      <xdr:row>203</xdr:row>
      <xdr:rowOff>2526</xdr:rowOff>
    </xdr:to>
    <xdr:cxnSp macro="">
      <xdr:nvCxnSpPr>
        <xdr:cNvPr id="550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31813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202</xdr:row>
      <xdr:rowOff>0</xdr:rowOff>
    </xdr:from>
    <xdr:to>
      <xdr:col>6</xdr:col>
      <xdr:colOff>261937</xdr:colOff>
      <xdr:row>203</xdr:row>
      <xdr:rowOff>2526</xdr:rowOff>
    </xdr:to>
    <xdr:cxnSp macro="">
      <xdr:nvCxnSpPr>
        <xdr:cNvPr id="551" name="Elbow Connector 55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CxnSpPr/>
      </xdr:nvCxnSpPr>
      <xdr:spPr>
        <a:xfrm>
          <a:off x="5010150" y="43205400"/>
          <a:ext cx="261937" cy="2120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195</xdr:row>
      <xdr:rowOff>0</xdr:rowOff>
    </xdr:from>
    <xdr:to>
      <xdr:col>26</xdr:col>
      <xdr:colOff>261937</xdr:colOff>
      <xdr:row>196</xdr:row>
      <xdr:rowOff>2524</xdr:rowOff>
    </xdr:to>
    <xdr:cxnSp macro="">
      <xdr:nvCxnSpPr>
        <xdr:cNvPr id="552" name="Elbow Connector 55">
          <a:extLst>
            <a:ext uri="{FF2B5EF4-FFF2-40B4-BE49-F238E27FC236}">
              <a16:creationId xmlns:a16="http://schemas.microsoft.com/office/drawing/2014/main" id="{578B48EA-8789-44C6-BBCB-C86CC5C89B21}"/>
            </a:ext>
          </a:extLst>
        </xdr:cNvPr>
        <xdr:cNvCxnSpPr/>
      </xdr:nvCxnSpPr>
      <xdr:spPr>
        <a:xfrm>
          <a:off x="25201563" y="51038125"/>
          <a:ext cx="261937" cy="26049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606137</xdr:colOff>
      <xdr:row>139</xdr:row>
      <xdr:rowOff>64944</xdr:rowOff>
    </xdr:from>
    <xdr:to>
      <xdr:col>7</xdr:col>
      <xdr:colOff>432955</xdr:colOff>
      <xdr:row>140</xdr:row>
      <xdr:rowOff>11545</xdr:rowOff>
    </xdr:to>
    <xdr:sp macro="" textlink="">
      <xdr:nvSpPr>
        <xdr:cNvPr id="553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4870739" y="36627955"/>
          <a:ext cx="1753466" cy="206374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497898</xdr:colOff>
      <xdr:row>139</xdr:row>
      <xdr:rowOff>43296</xdr:rowOff>
    </xdr:from>
    <xdr:to>
      <xdr:col>9</xdr:col>
      <xdr:colOff>368011</xdr:colOff>
      <xdr:row>139</xdr:row>
      <xdr:rowOff>206374</xdr:rowOff>
    </xdr:to>
    <xdr:sp macro="" textlink="">
      <xdr:nvSpPr>
        <xdr:cNvPr id="554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6689148" y="36606307"/>
          <a:ext cx="1688522" cy="163078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454602</xdr:colOff>
      <xdr:row>139</xdr:row>
      <xdr:rowOff>64944</xdr:rowOff>
    </xdr:from>
    <xdr:to>
      <xdr:col>11</xdr:col>
      <xdr:colOff>411307</xdr:colOff>
      <xdr:row>140</xdr:row>
      <xdr:rowOff>86591</xdr:rowOff>
    </xdr:to>
    <xdr:sp macro="" textlink="">
      <xdr:nvSpPr>
        <xdr:cNvPr id="555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8464261" y="36627955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562840</xdr:colOff>
      <xdr:row>139</xdr:row>
      <xdr:rowOff>21648</xdr:rowOff>
    </xdr:from>
    <xdr:to>
      <xdr:col>13</xdr:col>
      <xdr:colOff>519546</xdr:colOff>
      <xdr:row>140</xdr:row>
      <xdr:rowOff>43295</xdr:rowOff>
    </xdr:to>
    <xdr:sp macro="" textlink="">
      <xdr:nvSpPr>
        <xdr:cNvPr id="556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0347613" y="36584659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541194</xdr:colOff>
      <xdr:row>139</xdr:row>
      <xdr:rowOff>0</xdr:rowOff>
    </xdr:from>
    <xdr:to>
      <xdr:col>15</xdr:col>
      <xdr:colOff>497899</xdr:colOff>
      <xdr:row>140</xdr:row>
      <xdr:rowOff>21647</xdr:rowOff>
    </xdr:to>
    <xdr:sp macro="" textlink="">
      <xdr:nvSpPr>
        <xdr:cNvPr id="557" name="Freeform 369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>
          <a:spLocks/>
        </xdr:cNvSpPr>
      </xdr:nvSpPr>
      <xdr:spPr bwMode="auto">
        <a:xfrm>
          <a:off x="12101080" y="36563011"/>
          <a:ext cx="1731819" cy="281420"/>
        </a:xfrm>
        <a:custGeom>
          <a:avLst/>
          <a:gdLst>
            <a:gd name="T0" fmla="*/ 0 w 106"/>
            <a:gd name="T1" fmla="*/ 0 h 23"/>
            <a:gd name="T2" fmla="*/ 2147483646 w 106"/>
            <a:gd name="T3" fmla="*/ 2147483646 h 23"/>
            <a:gd name="T4" fmla="*/ 2147483646 w 106"/>
            <a:gd name="T5" fmla="*/ 2147483646 h 23"/>
            <a:gd name="T6" fmla="*/ 0 60000 65536"/>
            <a:gd name="T7" fmla="*/ 0 60000 65536"/>
            <a:gd name="T8" fmla="*/ 0 60000 65536"/>
            <a:gd name="T9" fmla="*/ 0 w 106"/>
            <a:gd name="T10" fmla="*/ 0 h 23"/>
            <a:gd name="T11" fmla="*/ 106 w 106"/>
            <a:gd name="T12" fmla="*/ 23 h 23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106" h="23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Arrowheads="1"/>
        </xdr:cNvSpPr>
      </xdr:nvSpPr>
      <xdr:spPr bwMode="auto">
        <a:xfrm>
          <a:off x="2446020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Arrowheads="1"/>
        </xdr:cNvSpPr>
      </xdr:nvSpPr>
      <xdr:spPr bwMode="auto">
        <a:xfrm>
          <a:off x="26193750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>
          <a:spLocks noChangeArrowheads="1"/>
        </xdr:cNvSpPr>
      </xdr:nvSpPr>
      <xdr:spPr bwMode="auto">
        <a:xfrm>
          <a:off x="69342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36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>
          <a:spLocks noChangeArrowheads="1"/>
        </xdr:cNvSpPr>
      </xdr:nvSpPr>
      <xdr:spPr bwMode="auto">
        <a:xfrm>
          <a:off x="2446020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37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>
          <a:spLocks noChangeArrowheads="1"/>
        </xdr:cNvSpPr>
      </xdr:nvSpPr>
      <xdr:spPr bwMode="auto">
        <a:xfrm>
          <a:off x="26193750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5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5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18621375" y="12954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>
          <a:spLocks noChangeArrowheads="1"/>
        </xdr:cNvSpPr>
      </xdr:nvSpPr>
      <xdr:spPr bwMode="auto">
        <a:xfrm>
          <a:off x="20669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4</xdr:row>
      <xdr:rowOff>0</xdr:rowOff>
    </xdr:from>
    <xdr:ext cx="35266" cy="162160"/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4</xdr:row>
      <xdr:rowOff>0</xdr:rowOff>
    </xdr:from>
    <xdr:ext cx="35266" cy="162160"/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>
          <a:spLocks noChangeArrowheads="1"/>
        </xdr:cNvSpPr>
      </xdr:nvSpPr>
      <xdr:spPr bwMode="auto">
        <a:xfrm>
          <a:off x="18621375" y="10382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>
          <a:spLocks noChangeArrowheads="1"/>
        </xdr:cNvSpPr>
      </xdr:nvSpPr>
      <xdr:spPr bwMode="auto">
        <a:xfrm>
          <a:off x="174498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32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>
          <a:spLocks noChangeArrowheads="1"/>
        </xdr:cNvSpPr>
      </xdr:nvSpPr>
      <xdr:spPr bwMode="auto">
        <a:xfrm>
          <a:off x="18745200" y="2571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SpPr>
          <a:spLocks noChangeArrowheads="1"/>
        </xdr:cNvSpPr>
      </xdr:nvSpPr>
      <xdr:spPr bwMode="auto">
        <a:xfrm>
          <a:off x="1724025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30</xdr:col>
      <xdr:colOff>0</xdr:colOff>
      <xdr:row>1</xdr:row>
      <xdr:rowOff>0</xdr:rowOff>
    </xdr:from>
    <xdr:ext cx="35266" cy="162160"/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>
          <a:spLocks noChangeArrowheads="1"/>
        </xdr:cNvSpPr>
      </xdr:nvSpPr>
      <xdr:spPr bwMode="auto">
        <a:xfrm>
          <a:off x="20574000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31</xdr:col>
      <xdr:colOff>1088</xdr:colOff>
      <xdr:row>1</xdr:row>
      <xdr:rowOff>0</xdr:rowOff>
    </xdr:from>
    <xdr:ext cx="35266" cy="162160"/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>
          <a:spLocks noChangeArrowheads="1"/>
        </xdr:cNvSpPr>
      </xdr:nvSpPr>
      <xdr:spPr bwMode="auto">
        <a:xfrm>
          <a:off x="21260888" y="18097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0</xdr:row>
      <xdr:rowOff>11430</xdr:rowOff>
    </xdr:from>
    <xdr:ext cx="35266" cy="162160"/>
    <xdr:sp macro="" textlink="">
      <xdr:nvSpPr>
        <xdr:cNvPr id="21" name="Rectangle 11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SpPr>
          <a:spLocks noChangeArrowheads="1"/>
        </xdr:cNvSpPr>
      </xdr:nvSpPr>
      <xdr:spPr bwMode="auto">
        <a:xfrm>
          <a:off x="2057400" y="1143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I\D\My%20Documents\Battery-Sizing%20OpZ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31\Rihand\pkg-a\PROGREP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ttam\Downloads\WPR_Bhadla-III%20To%20Sikar-II%20(Part-III)-2024.08.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TL1\MKTG\MKTG\ORDERS\WO05\DRG-SU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6CAA6E\Copy%20of%20sales_details_5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p\Users\intex\AppData\Roaming\Microsoft\Excel\Documents%20and%20Settings\NISHIKANT1\My%20Documents\GUJARAT%20RETURNS%202009-10\purchase_details_500%20C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-server\nt%20server-d\DATA\EXCEL\AOP-SEPT-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endra\jitendra\AOP%2004\SDS\AOP\AOP-SEP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KEC%20TB-412/Transmission%20Line/DPR/May-2026/Visual%20Chart%20TB412%20TL%2005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t"/>
      <sheetName val="BATTERY"/>
      <sheetName val="CHARGER"/>
      <sheetName val="1"/>
      <sheetName val="Sheet2"/>
      <sheetName val="Sheet3"/>
      <sheetName val="Anex-1 Con Load"/>
      <sheetName val="upa"/>
      <sheetName val="Anex-1_Con_Load"/>
      <sheetName val="Anex-1_Con_Load1"/>
      <sheetName val="Anex-1_Con_Load2"/>
      <sheetName val="Anex-1_Con_Load3"/>
      <sheetName val="Anex-1_Con_Load4"/>
    </sheetNames>
    <sheetDataSet>
      <sheetData sheetId="0">
        <row r="34">
          <cell r="N34">
            <v>35.6</v>
          </cell>
        </row>
      </sheetData>
      <sheetData sheetId="1">
        <row r="34">
          <cell r="M34">
            <v>0</v>
          </cell>
        </row>
      </sheetData>
      <sheetData sheetId="2"/>
      <sheetData sheetId="3" refreshError="1">
        <row r="34">
          <cell r="N34">
            <v>35.6</v>
          </cell>
        </row>
        <row r="35">
          <cell r="N35">
            <v>40.6</v>
          </cell>
        </row>
        <row r="36">
          <cell r="N36">
            <v>45.7</v>
          </cell>
        </row>
        <row r="37">
          <cell r="N37">
            <v>50.8</v>
          </cell>
        </row>
        <row r="38">
          <cell r="N38">
            <v>55.9</v>
          </cell>
        </row>
        <row r="39">
          <cell r="N39">
            <v>61</v>
          </cell>
        </row>
        <row r="40">
          <cell r="N40">
            <v>66</v>
          </cell>
        </row>
        <row r="41">
          <cell r="N41">
            <v>71.099999999999994</v>
          </cell>
        </row>
        <row r="43">
          <cell r="N43">
            <v>80</v>
          </cell>
        </row>
        <row r="44">
          <cell r="N44">
            <v>90</v>
          </cell>
        </row>
        <row r="45">
          <cell r="N45">
            <v>100</v>
          </cell>
        </row>
      </sheetData>
      <sheetData sheetId="4">
        <row r="34">
          <cell r="M34">
            <v>0</v>
          </cell>
        </row>
      </sheetData>
      <sheetData sheetId="5"/>
      <sheetData sheetId="6" refreshError="1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Auxiliar_de_Pré-Cálculo"/>
      <sheetName val="Resumo_de_Custos"/>
      <sheetName val="Recebimento_Cash-in"/>
      <sheetName val="Planilha_de_Preço_de_Venda"/>
      <sheetName val="Auxiliar_de_Pré-Cálculo1"/>
      <sheetName val="Resumo_de_Custos1"/>
      <sheetName val="Recebimento_Cash-in1"/>
      <sheetName val="Planilha_de_Preço_de_Venda1"/>
      <sheetName val="Auxiliar_de_Pré-Cálculo2"/>
      <sheetName val="Resumo_de_Custos2"/>
      <sheetName val="Recebimento_Cash-in2"/>
      <sheetName val="Planilha_de_Preço_de_Venda2"/>
      <sheetName val="Auxiliar_de_Pré-Cálculo3"/>
      <sheetName val="Resumo_de_Custos3"/>
      <sheetName val="Recebimento_Cash-in3"/>
      <sheetName val="Planilha_de_Preço_de_Venda3"/>
      <sheetName val="Auxiliar_de_Pré-Cálculo4"/>
      <sheetName val="Resumo_de_Custos4"/>
      <sheetName val="Recebimento_Cash-in4"/>
      <sheetName val="Planilha_de_Preço_de_Vend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Stub&amp;Twr"/>
      <sheetName val="Twr Qty."/>
      <sheetName val="DS Approved"/>
      <sheetName val="S-C"/>
      <sheetName val="62-Gty Bhadla"/>
      <sheetName val="Vdc5"/>
      <sheetName val="SIN"/>
      <sheetName val="Twr Qty Old."/>
      <sheetName val="Sheet1"/>
      <sheetName val="DS Approved (T) (2)"/>
      <sheetName val="1-14"/>
      <sheetName val="50-56"/>
      <sheetName val="DSLP CALCULATION"/>
      <sheetName val="IDCCALHYD-GOO"/>
      <sheetName val="NJP"/>
      <sheetName val="Intake"/>
      <sheetName val="FitOutConfCentre"/>
      <sheetName val="sheeet7"/>
      <sheetName val="Info Entry"/>
      <sheetName val="P-Ins &amp; Bonds"/>
      <sheetName val="P Staff fac"/>
      <sheetName val="BQMPALOC"/>
      <sheetName val="july-I"/>
      <sheetName val="CASH-FLOW"/>
      <sheetName val="Design"/>
      <sheetName val="COMPLEXALL"/>
      <sheetName val="SUMMARY"/>
      <sheetName val="_FDN"/>
      <sheetName val="Misc_info"/>
      <sheetName val="Twr_Qty_"/>
      <sheetName val="DS_Approved"/>
      <sheetName val="62-Gty_Bhadla"/>
      <sheetName val="Twr_Qty_Old_"/>
      <sheetName val="DS_Approved_(T)_(2)"/>
      <sheetName val="DSLP_CALCULATION"/>
      <sheetName val="Info_Entry"/>
      <sheetName val="P-Ins_&amp;_Bonds"/>
      <sheetName val="P_Staff_fac"/>
      <sheetName val="_FDN1"/>
      <sheetName val="Misc_info1"/>
      <sheetName val="Twr_Qty_1"/>
      <sheetName val="DS_Approved1"/>
      <sheetName val="62-Gty_Bhadla1"/>
      <sheetName val="Twr_Qty_Old_1"/>
      <sheetName val="DS_Approved_(T)_(2)1"/>
      <sheetName val="DSLP_CALCULATION1"/>
      <sheetName val="Info_Entry1"/>
      <sheetName val="P-Ins_&amp;_Bonds1"/>
      <sheetName val="P_Staff_fac1"/>
      <sheetName val="_FDN2"/>
      <sheetName val="Misc_info2"/>
      <sheetName val="Twr_Qty_2"/>
      <sheetName val="DS_Approved2"/>
      <sheetName val="62-Gty_Bhadla2"/>
      <sheetName val="Twr_Qty_Old_2"/>
      <sheetName val="DS_Approved_(T)_(2)2"/>
      <sheetName val="DSLP_CALCULATION2"/>
      <sheetName val="Info_Entry2"/>
      <sheetName val="P-Ins_&amp;_Bonds2"/>
      <sheetName val="P_Staff_fac2"/>
      <sheetName val="_FDN3"/>
      <sheetName val="Misc_info3"/>
      <sheetName val="Twr_Qty_3"/>
      <sheetName val="DS_Approved3"/>
      <sheetName val="62-Gty_Bhadla3"/>
      <sheetName val="Twr_Qty_Old_3"/>
      <sheetName val="DS_Approved_(T)_(2)3"/>
      <sheetName val="DSLP_CALCULATION3"/>
      <sheetName val="Info_Entry3"/>
      <sheetName val="P-Ins_&amp;_Bonds3"/>
      <sheetName val="P_Staff_fac3"/>
      <sheetName val="_FDN4"/>
      <sheetName val="Misc_info4"/>
      <sheetName val="Twr_Qty_4"/>
      <sheetName val="DS_Approved4"/>
      <sheetName val="62-Gty_Bhadla4"/>
      <sheetName val="Twr_Qty_Old_4"/>
      <sheetName val="DS_Approved_(T)_(2)4"/>
      <sheetName val="DSLP_CALCULATION4"/>
      <sheetName val="Info_Entry4"/>
      <sheetName val="P-Ins_&amp;_Bonds4"/>
      <sheetName val="P_Staff_fac4"/>
      <sheetName val="EDWise"/>
      <sheetName val="04REL"/>
      <sheetName val="STN WISE EMR"/>
      <sheetName val="B-Chart"/>
      <sheetName val="wt"/>
      <sheetName val="SOP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ost_summary"/>
      <sheetName val="BOQ_LT"/>
      <sheetName val="final_abstract"/>
      <sheetName val="Start_Here1"/>
      <sheetName val="Analysis_Sheet1"/>
      <sheetName val="Break_Up_as_you_wish1"/>
      <sheetName val="SP_Break_Up1"/>
      <sheetName val="Grand_Summary1"/>
      <sheetName val="Material-Local-Non_ABB1"/>
      <sheetName val="Material-Import-Non_ABB1"/>
      <sheetName val="Services-Non_ABB1"/>
      <sheetName val="Unit_Sheet1"/>
      <sheetName val="bs_BP_04_SA1"/>
      <sheetName val="Full_Cost_Calculation-11"/>
      <sheetName val="Cost_summary1"/>
      <sheetName val="BOQ_LT1"/>
      <sheetName val="final_abstract1"/>
      <sheetName val="Start_Here2"/>
      <sheetName val="Analysis_Sheet2"/>
      <sheetName val="Break_Up_as_you_wish2"/>
      <sheetName val="SP_Break_Up2"/>
      <sheetName val="Grand_Summary2"/>
      <sheetName val="Material-Local-Non_ABB2"/>
      <sheetName val="Material-Import-Non_ABB2"/>
      <sheetName val="Services-Non_ABB2"/>
      <sheetName val="Unit_Sheet2"/>
      <sheetName val="bs_BP_04_SA2"/>
      <sheetName val="Full_Cost_Calculation-12"/>
      <sheetName val="Cost_summary2"/>
      <sheetName val="BOQ_LT2"/>
      <sheetName val="final_abstract2"/>
      <sheetName val="Start_Here3"/>
      <sheetName val="Analysis_Sheet3"/>
      <sheetName val="Break_Up_as_you_wish3"/>
      <sheetName val="SP_Break_Up3"/>
      <sheetName val="Grand_Summary3"/>
      <sheetName val="Material-Local-Non_ABB3"/>
      <sheetName val="Material-Import-Non_ABB3"/>
      <sheetName val="Services-Non_ABB3"/>
      <sheetName val="Unit_Sheet3"/>
      <sheetName val="bs_BP_04_SA3"/>
      <sheetName val="Full_Cost_Calculation-13"/>
      <sheetName val="Cost_summary3"/>
      <sheetName val="BOQ_LT3"/>
      <sheetName val="final_abstract3"/>
      <sheetName val="SP_Break_Up4"/>
      <sheetName val="Start_Here4"/>
      <sheetName val="Analysis_Sheet4"/>
      <sheetName val="Break_Up_as_you_wish4"/>
      <sheetName val="Grand_Summary4"/>
      <sheetName val="Material-Local-Non_ABB4"/>
      <sheetName val="Material-Import-Non_ABB4"/>
      <sheetName val="Services-Non_ABB4"/>
      <sheetName val="Unit_Sheet4"/>
      <sheetName val="bs_BP_04_SA4"/>
      <sheetName val="Full_Cost_Calculation-14"/>
      <sheetName val="Cost_summary4"/>
      <sheetName val="BOQ_LT4"/>
      <sheetName val="final_abstract4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>
        <row r="6">
          <cell r="A6" t="str">
            <v>Type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6">
          <cell r="A6" t="str">
            <v>Type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>
        <row r="6">
          <cell r="A6" t="str">
            <v>Type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>
        <row r="6">
          <cell r="A6" t="str">
            <v>Type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6">
          <cell r="A6" t="str">
            <v>Type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PR"/>
      <sheetName val="TOWER SUPPLY"/>
      <sheetName val="FOUNDATION"/>
      <sheetName val="ERECTION"/>
      <sheetName val="EARTHING"/>
      <sheetName val="Hinderance"/>
      <sheetName val="Tack Welding"/>
      <sheetName val="L2"/>
      <sheetName val="Visual Chart "/>
      <sheetName val="Supply Status"/>
      <sheetName val="Crossing Details"/>
      <sheetName val=" "/>
      <sheetName val="  "/>
      <sheetName val="TOWER_SUPPLY"/>
      <sheetName val="Tack_Welding"/>
      <sheetName val="Visual_Chart_"/>
      <sheetName val="Supply_Status"/>
      <sheetName val="Crossing_Details"/>
      <sheetName val="_"/>
      <sheetName val="__"/>
      <sheetName val="TOWER_SUPPLY2"/>
      <sheetName val="Tack_Welding2"/>
      <sheetName val="Visual_Chart_2"/>
      <sheetName val="Supply_Status2"/>
      <sheetName val="Crossing_Details2"/>
      <sheetName val="_2"/>
      <sheetName val="__2"/>
      <sheetName val="TOWER_SUPPLY1"/>
      <sheetName val="Tack_Welding1"/>
      <sheetName val="Visual_Chart_1"/>
      <sheetName val="Supply_Status1"/>
      <sheetName val="Crossing_Details1"/>
      <sheetName val="_1"/>
      <sheetName val="__1"/>
      <sheetName val="TOWER_SUPPLY3"/>
      <sheetName val="Tack_Welding3"/>
      <sheetName val="Visual_Chart_3"/>
      <sheetName val="Supply_Status3"/>
      <sheetName val="Crossing_Details3"/>
      <sheetName val="_3"/>
      <sheetName val="__3"/>
      <sheetName val="TOWER_SUPPLY4"/>
      <sheetName val="Crossing_Details4"/>
      <sheetName val="_4"/>
      <sheetName val="__4"/>
      <sheetName val="Tack_Welding4"/>
      <sheetName val="Visual_Chart_4"/>
      <sheetName val="Supply_Status4"/>
    </sheetNames>
    <sheetDataSet>
      <sheetData sheetId="0"/>
      <sheetData sheetId="1">
        <row r="17">
          <cell r="B17" t="str">
            <v>DA-3</v>
          </cell>
          <cell r="C17">
            <v>35.981638000000004</v>
          </cell>
        </row>
        <row r="18">
          <cell r="B18" t="str">
            <v>DA-1.5</v>
          </cell>
          <cell r="C18">
            <v>36.514602000000004</v>
          </cell>
        </row>
        <row r="19">
          <cell r="B19" t="str">
            <v>DA+0</v>
          </cell>
          <cell r="C19">
            <v>37.278253999999997</v>
          </cell>
        </row>
        <row r="20">
          <cell r="B20" t="str">
            <v>DA+1.5</v>
          </cell>
          <cell r="C20">
            <v>38.160668000000001</v>
          </cell>
        </row>
        <row r="21">
          <cell r="B21" t="str">
            <v>DA+3</v>
          </cell>
          <cell r="C21">
            <v>38.623222000000005</v>
          </cell>
        </row>
        <row r="22">
          <cell r="B22" t="str">
            <v>DA+4.5</v>
          </cell>
          <cell r="C22">
            <v>43.888943999999995</v>
          </cell>
        </row>
        <row r="23">
          <cell r="B23" t="str">
            <v>DA+6</v>
          </cell>
          <cell r="C23">
            <v>44.454846000000003</v>
          </cell>
        </row>
        <row r="24">
          <cell r="B24" t="str">
            <v>DA+7.5</v>
          </cell>
          <cell r="C24">
            <v>45.416474000000001</v>
          </cell>
        </row>
        <row r="25">
          <cell r="B25" t="str">
            <v>DA+9</v>
          </cell>
          <cell r="C25">
            <v>46.179977999999998</v>
          </cell>
        </row>
        <row r="27">
          <cell r="B27" t="str">
            <v>DB1+0</v>
          </cell>
          <cell r="C27">
            <v>56.931713999999992</v>
          </cell>
        </row>
        <row r="28">
          <cell r="B28" t="str">
            <v>DB1+3</v>
          </cell>
          <cell r="C28">
            <v>48.009361999999996</v>
          </cell>
        </row>
        <row r="29">
          <cell r="B29" t="str">
            <v>DB1+6</v>
          </cell>
          <cell r="C29">
            <v>66.654536000000007</v>
          </cell>
        </row>
        <row r="30">
          <cell r="B30" t="str">
            <v>DB1+9</v>
          </cell>
          <cell r="C30">
            <v>69.328327999999985</v>
          </cell>
        </row>
        <row r="31">
          <cell r="B31" t="str">
            <v>DB1+18</v>
          </cell>
          <cell r="C31">
            <v>91.090999999999994</v>
          </cell>
        </row>
        <row r="33">
          <cell r="B33" t="str">
            <v>DB2+0</v>
          </cell>
          <cell r="C33">
            <v>58.890989000000005</v>
          </cell>
        </row>
        <row r="34">
          <cell r="B34" t="str">
            <v>DB2+3</v>
          </cell>
          <cell r="C34">
            <v>60.884097000000004</v>
          </cell>
        </row>
        <row r="35">
          <cell r="B35" t="str">
            <v>DB2+6</v>
          </cell>
          <cell r="C35">
            <v>69.156773000000001</v>
          </cell>
        </row>
        <row r="36">
          <cell r="B36" t="str">
            <v>DB2+9</v>
          </cell>
          <cell r="C36">
            <v>72.130407000000005</v>
          </cell>
        </row>
        <row r="37">
          <cell r="B37" t="str">
            <v>DB2+18</v>
          </cell>
          <cell r="C37">
            <v>58.882297000000001</v>
          </cell>
        </row>
        <row r="39">
          <cell r="B39" t="str">
            <v>DC1+0</v>
          </cell>
          <cell r="C39">
            <v>65.062600000000003</v>
          </cell>
        </row>
        <row r="40">
          <cell r="B40" t="str">
            <v>DC1+3</v>
          </cell>
          <cell r="C40">
            <v>67.013338000000005</v>
          </cell>
        </row>
        <row r="41">
          <cell r="B41" t="str">
            <v>DC1+6</v>
          </cell>
          <cell r="C41">
            <v>76.985767999999993</v>
          </cell>
        </row>
        <row r="42">
          <cell r="B42" t="str">
            <v>DC1+9</v>
          </cell>
          <cell r="C42">
            <v>80.760062000000005</v>
          </cell>
        </row>
        <row r="44">
          <cell r="B44" t="str">
            <v>DC2+0</v>
          </cell>
          <cell r="C44">
            <v>67.637408999999991</v>
          </cell>
        </row>
        <row r="45">
          <cell r="B45" t="str">
            <v>DC2+3</v>
          </cell>
          <cell r="C45">
            <v>70.239999999999995</v>
          </cell>
        </row>
        <row r="46">
          <cell r="B46" t="str">
            <v>DC2+6</v>
          </cell>
          <cell r="C46">
            <v>79.8</v>
          </cell>
        </row>
        <row r="47">
          <cell r="B47" t="str">
            <v>DC2+9</v>
          </cell>
          <cell r="C47">
            <v>84.148014999999987</v>
          </cell>
        </row>
        <row r="49">
          <cell r="B49" t="str">
            <v>DD45+0</v>
          </cell>
          <cell r="C49">
            <v>78.781543999999997</v>
          </cell>
        </row>
        <row r="50">
          <cell r="B50" t="str">
            <v>DD45+3</v>
          </cell>
          <cell r="C50">
            <v>81.65103400000001</v>
          </cell>
        </row>
        <row r="51">
          <cell r="B51" t="str">
            <v>DD45+6</v>
          </cell>
          <cell r="C51">
            <v>78.777227999999994</v>
          </cell>
        </row>
        <row r="52">
          <cell r="B52" t="str">
            <v>DD45+9</v>
          </cell>
          <cell r="C52">
            <v>97.857768000000007</v>
          </cell>
        </row>
        <row r="53">
          <cell r="B53" t="str">
            <v>DD45+18</v>
          </cell>
          <cell r="C53">
            <v>78.777227999999994</v>
          </cell>
        </row>
        <row r="54">
          <cell r="B54" t="str">
            <v>DD45+25</v>
          </cell>
          <cell r="C54">
            <v>78.777227999999994</v>
          </cell>
        </row>
        <row r="56">
          <cell r="B56" t="str">
            <v>DD60+0</v>
          </cell>
          <cell r="C56">
            <v>87.571669</v>
          </cell>
        </row>
        <row r="57">
          <cell r="B57" t="str">
            <v>DD60+3</v>
          </cell>
          <cell r="C57">
            <v>91.733024999999998</v>
          </cell>
        </row>
        <row r="58">
          <cell r="B58" t="str">
            <v>DD60+6</v>
          </cell>
          <cell r="C58">
            <v>104.14293900000001</v>
          </cell>
        </row>
        <row r="59">
          <cell r="B59" t="str">
            <v>DD60+9</v>
          </cell>
          <cell r="C59">
            <v>108.639039</v>
          </cell>
        </row>
        <row r="60">
          <cell r="B60" t="str">
            <v>DD60+18</v>
          </cell>
          <cell r="C60">
            <v>139.96848069999999</v>
          </cell>
        </row>
        <row r="61">
          <cell r="B61" t="str">
            <v>DD60+25</v>
          </cell>
          <cell r="C61">
            <v>152.38037112500001</v>
          </cell>
        </row>
      </sheetData>
      <sheetData sheetId="2">
        <row r="7">
          <cell r="B7" t="str">
            <v>26/3</v>
          </cell>
          <cell r="C7" t="str">
            <v>DA+0</v>
          </cell>
          <cell r="G7" t="str">
            <v>Completed</v>
          </cell>
        </row>
        <row r="8">
          <cell r="B8" t="str">
            <v>26/2</v>
          </cell>
          <cell r="C8" t="str">
            <v>DA+0</v>
          </cell>
          <cell r="G8" t="str">
            <v>Completed</v>
          </cell>
        </row>
        <row r="9">
          <cell r="B9" t="str">
            <v>20/4</v>
          </cell>
          <cell r="C9" t="str">
            <v>DA+0</v>
          </cell>
          <cell r="G9" t="str">
            <v>Completed</v>
          </cell>
        </row>
        <row r="10">
          <cell r="B10" t="str">
            <v>20/2</v>
          </cell>
          <cell r="C10" t="str">
            <v>DA+3</v>
          </cell>
          <cell r="G10" t="str">
            <v>Completed</v>
          </cell>
        </row>
        <row r="11">
          <cell r="B11" t="str">
            <v>21/11</v>
          </cell>
          <cell r="C11" t="str">
            <v>DA+3</v>
          </cell>
          <cell r="G11" t="str">
            <v>Completed</v>
          </cell>
        </row>
        <row r="12">
          <cell r="B12" t="str">
            <v>21/1</v>
          </cell>
          <cell r="C12" t="str">
            <v>DA+3</v>
          </cell>
          <cell r="G12" t="str">
            <v>Completed</v>
          </cell>
        </row>
        <row r="13">
          <cell r="B13" t="str">
            <v>20/3</v>
          </cell>
          <cell r="C13" t="str">
            <v>DA+0</v>
          </cell>
          <cell r="G13" t="str">
            <v>Completed</v>
          </cell>
        </row>
        <row r="14">
          <cell r="B14" t="str">
            <v>21/10</v>
          </cell>
          <cell r="C14" t="str">
            <v>DA+3</v>
          </cell>
          <cell r="G14" t="str">
            <v>Completed</v>
          </cell>
        </row>
        <row r="15">
          <cell r="B15" t="str">
            <v>21/2</v>
          </cell>
          <cell r="C15" t="str">
            <v>DA+3</v>
          </cell>
          <cell r="G15" t="str">
            <v>Completed</v>
          </cell>
        </row>
        <row r="16">
          <cell r="B16" t="str">
            <v>20/1</v>
          </cell>
          <cell r="C16" t="str">
            <v>DA+3</v>
          </cell>
          <cell r="G16" t="str">
            <v>Completed</v>
          </cell>
        </row>
        <row r="17">
          <cell r="B17" t="str">
            <v xml:space="preserve">37/2 </v>
          </cell>
          <cell r="C17" t="str">
            <v>DA+6</v>
          </cell>
          <cell r="G17" t="str">
            <v>Completed</v>
          </cell>
        </row>
        <row r="18">
          <cell r="B18" t="str">
            <v>21/9</v>
          </cell>
          <cell r="C18" t="str">
            <v>DA+3</v>
          </cell>
          <cell r="G18" t="str">
            <v>Completed</v>
          </cell>
        </row>
        <row r="19">
          <cell r="B19" t="str">
            <v>27/1</v>
          </cell>
          <cell r="C19" t="str">
            <v>DA+0</v>
          </cell>
          <cell r="G19" t="str">
            <v>Completed</v>
          </cell>
        </row>
        <row r="20">
          <cell r="B20" t="str">
            <v>20/9</v>
          </cell>
          <cell r="C20" t="str">
            <v>DA+0</v>
          </cell>
          <cell r="G20" t="str">
            <v>Completed</v>
          </cell>
        </row>
        <row r="21">
          <cell r="B21" t="str">
            <v>21/3</v>
          </cell>
          <cell r="C21" t="str">
            <v>DA+3</v>
          </cell>
          <cell r="G21" t="str">
            <v>Completed</v>
          </cell>
        </row>
        <row r="22">
          <cell r="B22" t="str">
            <v>20/5</v>
          </cell>
          <cell r="C22" t="str">
            <v>DA+3</v>
          </cell>
          <cell r="G22" t="str">
            <v>Completed</v>
          </cell>
        </row>
        <row r="23">
          <cell r="B23" t="str">
            <v>21/8</v>
          </cell>
          <cell r="C23" t="str">
            <v>DA+0</v>
          </cell>
          <cell r="G23" t="str">
            <v>Completed</v>
          </cell>
        </row>
        <row r="24">
          <cell r="B24" t="str">
            <v>38/2</v>
          </cell>
          <cell r="C24" t="str">
            <v>DA+3</v>
          </cell>
          <cell r="G24" t="str">
            <v>Completed</v>
          </cell>
        </row>
        <row r="25">
          <cell r="B25" t="str">
            <v>20/8</v>
          </cell>
          <cell r="C25" t="str">
            <v>DA+0</v>
          </cell>
          <cell r="G25" t="str">
            <v>Completed</v>
          </cell>
        </row>
        <row r="26">
          <cell r="B26" t="str">
            <v>14/3</v>
          </cell>
          <cell r="C26" t="str">
            <v>DA+3</v>
          </cell>
          <cell r="G26" t="str">
            <v>Completed</v>
          </cell>
        </row>
        <row r="27">
          <cell r="B27" t="str">
            <v>20/6</v>
          </cell>
          <cell r="C27" t="str">
            <v>DA+3</v>
          </cell>
          <cell r="G27" t="str">
            <v>Completed</v>
          </cell>
        </row>
        <row r="28">
          <cell r="B28" t="str">
            <v>12/3</v>
          </cell>
          <cell r="C28" t="str">
            <v>DA+3</v>
          </cell>
          <cell r="G28" t="str">
            <v>Completed</v>
          </cell>
        </row>
        <row r="29">
          <cell r="B29" t="str">
            <v>18/2</v>
          </cell>
          <cell r="C29" t="str">
            <v>DA+3</v>
          </cell>
          <cell r="G29" t="str">
            <v>Completed</v>
          </cell>
        </row>
        <row r="30">
          <cell r="B30" t="str">
            <v>21/5</v>
          </cell>
          <cell r="C30" t="str">
            <v>DA+0</v>
          </cell>
          <cell r="G30" t="str">
            <v>Completed</v>
          </cell>
        </row>
      </sheetData>
      <sheetData sheetId="3"/>
      <sheetData sheetId="4">
        <row r="8">
          <cell r="B8" t="str">
            <v>2/0</v>
          </cell>
          <cell r="H8" t="str">
            <v>Completed</v>
          </cell>
        </row>
        <row r="9">
          <cell r="B9" t="str">
            <v>2/1</v>
          </cell>
          <cell r="H9" t="str">
            <v>Completed</v>
          </cell>
        </row>
        <row r="10">
          <cell r="B10" t="str">
            <v>2/2</v>
          </cell>
          <cell r="H10" t="str">
            <v>Completed</v>
          </cell>
        </row>
        <row r="11">
          <cell r="B11" t="str">
            <v>2/3</v>
          </cell>
          <cell r="H11" t="str">
            <v>Completed</v>
          </cell>
        </row>
        <row r="12">
          <cell r="B12" t="str">
            <v>2/4</v>
          </cell>
          <cell r="H12" t="str">
            <v>Completed</v>
          </cell>
        </row>
        <row r="13">
          <cell r="B13" t="str">
            <v>4/2</v>
          </cell>
          <cell r="H13" t="str">
            <v>Completed</v>
          </cell>
        </row>
        <row r="14">
          <cell r="B14" t="str">
            <v>6/2</v>
          </cell>
          <cell r="H14" t="str">
            <v>Completed</v>
          </cell>
        </row>
        <row r="15">
          <cell r="B15" t="str">
            <v>6/3</v>
          </cell>
          <cell r="H15" t="str">
            <v>Completed</v>
          </cell>
        </row>
        <row r="16">
          <cell r="B16" t="str">
            <v>6/4</v>
          </cell>
          <cell r="H16" t="str">
            <v>Completed</v>
          </cell>
        </row>
        <row r="17">
          <cell r="B17" t="str">
            <v>6B/3</v>
          </cell>
          <cell r="H17" t="str">
            <v>Completed</v>
          </cell>
        </row>
        <row r="18">
          <cell r="B18" t="str">
            <v>10/4</v>
          </cell>
          <cell r="H18" t="str">
            <v>Completed</v>
          </cell>
        </row>
        <row r="19">
          <cell r="B19" t="str">
            <v>10/5</v>
          </cell>
          <cell r="H19" t="str">
            <v>Completed</v>
          </cell>
        </row>
        <row r="20">
          <cell r="B20" t="str">
            <v>12/2</v>
          </cell>
          <cell r="H20" t="str">
            <v>Completed</v>
          </cell>
        </row>
        <row r="21">
          <cell r="B21" t="str">
            <v>14/1</v>
          </cell>
          <cell r="H21" t="str">
            <v>Completed</v>
          </cell>
        </row>
        <row r="22">
          <cell r="B22" t="str">
            <v>14/2</v>
          </cell>
          <cell r="H22" t="str">
            <v>Completed</v>
          </cell>
        </row>
        <row r="23">
          <cell r="B23" t="str">
            <v>14/4</v>
          </cell>
          <cell r="H23" t="str">
            <v>Completed</v>
          </cell>
        </row>
        <row r="24">
          <cell r="B24" t="str">
            <v>18/0</v>
          </cell>
          <cell r="H24" t="str">
            <v>Completed</v>
          </cell>
        </row>
        <row r="25">
          <cell r="B25" t="str">
            <v>18/1</v>
          </cell>
          <cell r="H25" t="str">
            <v>Completed</v>
          </cell>
        </row>
        <row r="26">
          <cell r="B26" t="str">
            <v>18/2</v>
          </cell>
          <cell r="H26" t="str">
            <v>Completed</v>
          </cell>
        </row>
        <row r="27">
          <cell r="B27" t="str">
            <v>19/0</v>
          </cell>
          <cell r="H27" t="str">
            <v>Completed</v>
          </cell>
        </row>
        <row r="28">
          <cell r="B28" t="str">
            <v>19/3</v>
          </cell>
          <cell r="H28" t="str">
            <v>Completed</v>
          </cell>
        </row>
        <row r="29">
          <cell r="B29" t="str">
            <v>19/4</v>
          </cell>
          <cell r="H29" t="str">
            <v>Completed</v>
          </cell>
        </row>
        <row r="30">
          <cell r="B30" t="str">
            <v>19/5</v>
          </cell>
          <cell r="H30" t="str">
            <v>Completed</v>
          </cell>
        </row>
        <row r="31">
          <cell r="B31" t="str">
            <v>19/6</v>
          </cell>
          <cell r="H31" t="str">
            <v>Completed</v>
          </cell>
        </row>
        <row r="32">
          <cell r="B32" t="str">
            <v>20/0</v>
          </cell>
          <cell r="H32" t="str">
            <v>Completed</v>
          </cell>
        </row>
        <row r="33">
          <cell r="B33" t="str">
            <v>20/1</v>
          </cell>
          <cell r="H33" t="str">
            <v>Completed</v>
          </cell>
        </row>
        <row r="34">
          <cell r="B34" t="str">
            <v>20/2</v>
          </cell>
          <cell r="H34" t="str">
            <v>Completed</v>
          </cell>
        </row>
        <row r="35">
          <cell r="B35" t="str">
            <v>20/3</v>
          </cell>
          <cell r="H35" t="str">
            <v>Completed</v>
          </cell>
        </row>
        <row r="36">
          <cell r="B36" t="str">
            <v>20/4</v>
          </cell>
          <cell r="H36" t="str">
            <v>Completed</v>
          </cell>
        </row>
        <row r="37">
          <cell r="B37" t="str">
            <v>20/5</v>
          </cell>
          <cell r="H37" t="str">
            <v>Completed</v>
          </cell>
        </row>
        <row r="38">
          <cell r="B38" t="str">
            <v>20/6</v>
          </cell>
          <cell r="H38" t="str">
            <v>Completed</v>
          </cell>
        </row>
        <row r="39">
          <cell r="B39" t="str">
            <v>20/7</v>
          </cell>
          <cell r="H39" t="str">
            <v>Completed</v>
          </cell>
        </row>
        <row r="40">
          <cell r="B40" t="str">
            <v>20/8</v>
          </cell>
          <cell r="H40" t="str">
            <v>Completed</v>
          </cell>
        </row>
        <row r="41">
          <cell r="B41" t="str">
            <v>20/9</v>
          </cell>
          <cell r="H41" t="str">
            <v>Completed</v>
          </cell>
        </row>
        <row r="42">
          <cell r="B42" t="str">
            <v>21/0</v>
          </cell>
          <cell r="H42" t="str">
            <v>Completed</v>
          </cell>
        </row>
        <row r="43">
          <cell r="B43" t="str">
            <v>21/1</v>
          </cell>
          <cell r="H43" t="str">
            <v>Completed</v>
          </cell>
        </row>
        <row r="44">
          <cell r="B44" t="str">
            <v>21/2</v>
          </cell>
          <cell r="H44" t="str">
            <v>Completed</v>
          </cell>
        </row>
        <row r="45">
          <cell r="B45" t="str">
            <v>21/3</v>
          </cell>
          <cell r="H45" t="str">
            <v>Completed</v>
          </cell>
        </row>
        <row r="46">
          <cell r="B46" t="str">
            <v>21/4</v>
          </cell>
          <cell r="H46" t="str">
            <v>Completed</v>
          </cell>
        </row>
        <row r="47">
          <cell r="B47" t="str">
            <v>21/5</v>
          </cell>
          <cell r="H47" t="str">
            <v>Completed</v>
          </cell>
        </row>
        <row r="48">
          <cell r="B48" t="str">
            <v>21/6</v>
          </cell>
          <cell r="H48" t="str">
            <v>Completed</v>
          </cell>
        </row>
        <row r="49">
          <cell r="B49" t="str">
            <v>21/7</v>
          </cell>
          <cell r="H49" t="str">
            <v>Completed</v>
          </cell>
        </row>
        <row r="50">
          <cell r="B50" t="str">
            <v>21/8</v>
          </cell>
          <cell r="H50" t="str">
            <v>Completed</v>
          </cell>
        </row>
        <row r="51">
          <cell r="B51" t="str">
            <v>21/9</v>
          </cell>
          <cell r="H51" t="str">
            <v>Completed</v>
          </cell>
        </row>
        <row r="52">
          <cell r="B52" t="str">
            <v>21/10</v>
          </cell>
          <cell r="H52" t="str">
            <v>Completed</v>
          </cell>
        </row>
        <row r="53">
          <cell r="B53" t="str">
            <v>21/11</v>
          </cell>
          <cell r="H53" t="str">
            <v>Completed</v>
          </cell>
        </row>
        <row r="54">
          <cell r="B54" t="str">
            <v>22/0</v>
          </cell>
          <cell r="H54" t="str">
            <v>Completed</v>
          </cell>
        </row>
        <row r="55">
          <cell r="B55" t="str">
            <v>22/1</v>
          </cell>
          <cell r="H55" t="str">
            <v>Completed</v>
          </cell>
        </row>
        <row r="56">
          <cell r="B56" t="str">
            <v>23/0</v>
          </cell>
          <cell r="H56" t="str">
            <v>Completed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FDNEREERTINSSTR</v>
          </cell>
        </row>
        <row r="2">
          <cell r="A2" t="str">
            <v>FDNWIPEREERTINSSTR</v>
          </cell>
        </row>
        <row r="3">
          <cell r="A3" t="str">
            <v>FDNComEREERTINSSTR</v>
          </cell>
        </row>
        <row r="4">
          <cell r="A4" t="str">
            <v>FDNComEREERTComINSSTR</v>
          </cell>
        </row>
        <row r="5">
          <cell r="A5" t="str">
            <v>FDNComEREWIPERTINSSTR</v>
          </cell>
        </row>
        <row r="6">
          <cell r="A6" t="str">
            <v>FDNComEREWIPERTCOMINSSTR</v>
          </cell>
        </row>
        <row r="7">
          <cell r="A7" t="str">
            <v>FDNComEREComERTINSSTR</v>
          </cell>
        </row>
        <row r="8">
          <cell r="A8" t="str">
            <v>FDNComEREComERTComINSSTR</v>
          </cell>
        </row>
        <row r="9">
          <cell r="A9" t="str">
            <v>FDNComEREComERTINSComSTR</v>
          </cell>
        </row>
        <row r="10">
          <cell r="A10" t="str">
            <v>FDNComEREComERTComINSComSTR</v>
          </cell>
        </row>
        <row r="11">
          <cell r="A11" t="str">
            <v>FDNComEREComERTINSComSTRCom</v>
          </cell>
        </row>
        <row r="12">
          <cell r="A12" t="str">
            <v>FDNComEREComERTComINSComSTRCom</v>
          </cell>
        </row>
        <row r="13">
          <cell r="A13" t="str">
            <v>FDNComEREROWERTINSSTR</v>
          </cell>
        </row>
        <row r="14">
          <cell r="A14" t="str">
            <v>FDNROWEREERTINSSTR</v>
          </cell>
        </row>
      </sheetData>
      <sheetData sheetId="12">
        <row r="5">
          <cell r="F5" t="str">
            <v>FDN</v>
          </cell>
          <cell r="G5" t="str">
            <v>ERE</v>
          </cell>
          <cell r="H5" t="str">
            <v>ERT</v>
          </cell>
          <cell r="I5" t="str">
            <v>INS</v>
          </cell>
          <cell r="J5" t="str">
            <v>STR</v>
          </cell>
        </row>
        <row r="7">
          <cell r="C7" t="e">
            <v>#REF!</v>
          </cell>
          <cell r="D7" t="e">
            <v>#REF!</v>
          </cell>
          <cell r="E7" t="e">
            <v>#REF!</v>
          </cell>
          <cell r="K7" t="str">
            <v>FDNComEREComERTINSSTR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</row>
        <row r="9">
          <cell r="C9" t="e">
            <v>#REF!</v>
          </cell>
          <cell r="D9" t="e">
            <v>#REF!</v>
          </cell>
          <cell r="E9" t="e">
            <v>#REF!</v>
          </cell>
          <cell r="K9" t="str">
            <v>FDNEREERTINSSTR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</row>
        <row r="11">
          <cell r="C11" t="e">
            <v>#REF!</v>
          </cell>
          <cell r="D11" t="e">
            <v>#REF!</v>
          </cell>
          <cell r="E11" t="e">
            <v>#REF!</v>
          </cell>
          <cell r="K11" t="str">
            <v>FDNEREERTINSSTR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</row>
        <row r="13">
          <cell r="C13" t="e">
            <v>#REF!</v>
          </cell>
          <cell r="D13" t="e">
            <v>#REF!</v>
          </cell>
          <cell r="E13" t="e">
            <v>#REF!</v>
          </cell>
          <cell r="K13" t="str">
            <v>FDNEREERTINSSTR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</row>
        <row r="15">
          <cell r="C15" t="e">
            <v>#REF!</v>
          </cell>
          <cell r="D15" t="e">
            <v>#REF!</v>
          </cell>
          <cell r="E15" t="e">
            <v>#REF!</v>
          </cell>
          <cell r="K15" t="str">
            <v>FDNEREERTINSSTR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</row>
        <row r="17">
          <cell r="C17" t="e">
            <v>#REF!</v>
          </cell>
          <cell r="D17" t="e">
            <v>#REF!</v>
          </cell>
          <cell r="E17" t="e">
            <v>#REF!</v>
          </cell>
          <cell r="K17" t="str">
            <v>FDNROWEREERTINSSTR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</row>
        <row r="19">
          <cell r="C19" t="e">
            <v>#REF!</v>
          </cell>
          <cell r="D19" t="e">
            <v>#REF!</v>
          </cell>
          <cell r="E19" t="e">
            <v>#REF!</v>
          </cell>
          <cell r="K19" t="str">
            <v>FDNEREERTINSSTR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</row>
        <row r="21">
          <cell r="C21" t="e">
            <v>#REF!</v>
          </cell>
          <cell r="D21" t="e">
            <v>#REF!</v>
          </cell>
          <cell r="E21" t="e">
            <v>#REF!</v>
          </cell>
          <cell r="K21" t="str">
            <v>FDNEREERTINSSTR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</row>
        <row r="23">
          <cell r="C23" t="e">
            <v>#REF!</v>
          </cell>
          <cell r="D23" t="e">
            <v>#REF!</v>
          </cell>
          <cell r="E23" t="e">
            <v>#REF!</v>
          </cell>
          <cell r="K23" t="str">
            <v>FDNEREERTINSSTR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</row>
        <row r="25">
          <cell r="C25" t="e">
            <v>#REF!</v>
          </cell>
          <cell r="D25" t="e">
            <v>#REF!</v>
          </cell>
          <cell r="E25" t="e">
            <v>#REF!</v>
          </cell>
          <cell r="K25" t="str">
            <v>FDNROWEREERTINSSTR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</row>
        <row r="27">
          <cell r="C27" t="e">
            <v>#REF!</v>
          </cell>
          <cell r="D27" t="e">
            <v>#REF!</v>
          </cell>
          <cell r="E27" t="e">
            <v>#REF!</v>
          </cell>
          <cell r="K27" t="str">
            <v>FDNEREERTINSSTR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</row>
        <row r="29">
          <cell r="C29" t="e">
            <v>#REF!</v>
          </cell>
          <cell r="D29" t="e">
            <v>#REF!</v>
          </cell>
          <cell r="E29" t="e">
            <v>#REF!</v>
          </cell>
          <cell r="K29" t="str">
            <v>FDNEREERTINSSTR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</row>
        <row r="31">
          <cell r="C31" t="e">
            <v>#REF!</v>
          </cell>
          <cell r="D31" t="e">
            <v>#REF!</v>
          </cell>
          <cell r="E31" t="e">
            <v>#REF!</v>
          </cell>
          <cell r="K31" t="str">
            <v>FDNEREERTINSSTR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</row>
        <row r="33">
          <cell r="C33" t="e">
            <v>#REF!</v>
          </cell>
          <cell r="D33" t="e">
            <v>#REF!</v>
          </cell>
          <cell r="E33" t="e">
            <v>#REF!</v>
          </cell>
          <cell r="K33" t="str">
            <v>FDNEREERTINSSTR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</row>
        <row r="35">
          <cell r="C35" t="e">
            <v>#REF!</v>
          </cell>
          <cell r="D35" t="e">
            <v>#REF!</v>
          </cell>
          <cell r="E35" t="e">
            <v>#REF!</v>
          </cell>
          <cell r="K35" t="str">
            <v>FDNEREERTINSSTR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</row>
        <row r="37">
          <cell r="C37" t="e">
            <v>#REF!</v>
          </cell>
          <cell r="D37" t="e">
            <v>#REF!</v>
          </cell>
          <cell r="E37" t="e">
            <v>#REF!</v>
          </cell>
          <cell r="K37" t="str">
            <v>FDNEREERTINSSTR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</row>
        <row r="39">
          <cell r="C39" t="e">
            <v>#REF!</v>
          </cell>
          <cell r="D39" t="e">
            <v>#REF!</v>
          </cell>
          <cell r="E39" t="e">
            <v>#REF!</v>
          </cell>
          <cell r="K39" t="str">
            <v>FDNEREERTINSSTR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</row>
        <row r="41">
          <cell r="C41" t="e">
            <v>#REF!</v>
          </cell>
          <cell r="D41" t="e">
            <v>#REF!</v>
          </cell>
          <cell r="E41" t="e">
            <v>#REF!</v>
          </cell>
          <cell r="K41" t="str">
            <v>FDNEREERTINSSTR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</row>
        <row r="43">
          <cell r="C43" t="e">
            <v>#REF!</v>
          </cell>
          <cell r="D43" t="e">
            <v>#REF!</v>
          </cell>
          <cell r="E43" t="e">
            <v>#REF!</v>
          </cell>
          <cell r="K43" t="str">
            <v>FDNEREERTINSSTR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</row>
        <row r="45">
          <cell r="C45" t="e">
            <v>#REF!</v>
          </cell>
          <cell r="D45" t="e">
            <v>#REF!</v>
          </cell>
          <cell r="E45" t="e">
            <v>#REF!</v>
          </cell>
          <cell r="K45" t="str">
            <v>FDNEREERTINSSTR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</row>
        <row r="47">
          <cell r="C47" t="e">
            <v>#REF!</v>
          </cell>
          <cell r="D47" t="e">
            <v>#REF!</v>
          </cell>
          <cell r="E47" t="e">
            <v>#REF!</v>
          </cell>
          <cell r="K47" t="str">
            <v>FDNEREERTINSSTR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</row>
        <row r="49">
          <cell r="C49" t="e">
            <v>#REF!</v>
          </cell>
          <cell r="D49" t="e">
            <v>#REF!</v>
          </cell>
          <cell r="E49" t="e">
            <v>#REF!</v>
          </cell>
          <cell r="K49" t="str">
            <v>FDNEREERTINSSTR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</row>
        <row r="51">
          <cell r="C51" t="e">
            <v>#REF!</v>
          </cell>
          <cell r="D51" t="e">
            <v>#REF!</v>
          </cell>
          <cell r="E51" t="e">
            <v>#REF!</v>
          </cell>
          <cell r="K51" t="str">
            <v>FDNEREERTINSSTR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</row>
        <row r="53">
          <cell r="C53" t="e">
            <v>#REF!</v>
          </cell>
          <cell r="D53" t="e">
            <v>#REF!</v>
          </cell>
          <cell r="E53" t="e">
            <v>#REF!</v>
          </cell>
          <cell r="K53" t="str">
            <v>FDNEREERTINSSTR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</row>
        <row r="55">
          <cell r="C55" t="e">
            <v>#REF!</v>
          </cell>
          <cell r="D55" t="e">
            <v>#REF!</v>
          </cell>
          <cell r="E55" t="e">
            <v>#REF!</v>
          </cell>
          <cell r="K55" t="str">
            <v>FDNEREERTINSSTR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</row>
        <row r="57">
          <cell r="C57" t="e">
            <v>#REF!</v>
          </cell>
          <cell r="D57" t="e">
            <v>#REF!</v>
          </cell>
          <cell r="E57" t="e">
            <v>#REF!</v>
          </cell>
          <cell r="K57" t="str">
            <v>FDNEREERTINSSTR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</row>
        <row r="59">
          <cell r="C59" t="e">
            <v>#REF!</v>
          </cell>
          <cell r="D59" t="e">
            <v>#REF!</v>
          </cell>
          <cell r="E59" t="e">
            <v>#REF!</v>
          </cell>
          <cell r="K59" t="str">
            <v>FDNEREERTINSSTR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</row>
        <row r="61">
          <cell r="C61" t="e">
            <v>#REF!</v>
          </cell>
          <cell r="D61" t="e">
            <v>#REF!</v>
          </cell>
          <cell r="E61" t="e">
            <v>#REF!</v>
          </cell>
          <cell r="K61" t="str">
            <v>FDNEREERTINSSTR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</row>
        <row r="63">
          <cell r="C63" t="e">
            <v>#REF!</v>
          </cell>
          <cell r="D63" t="e">
            <v>#REF!</v>
          </cell>
          <cell r="E63" t="e">
            <v>#REF!</v>
          </cell>
          <cell r="K63" t="str">
            <v>FDNEREERTINSSTR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</row>
        <row r="65">
          <cell r="C65" t="e">
            <v>#REF!</v>
          </cell>
          <cell r="D65" t="e">
            <v>#REF!</v>
          </cell>
          <cell r="E65" t="e">
            <v>#REF!</v>
          </cell>
          <cell r="K65" t="str">
            <v>FDNEREERTINSSTR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</row>
        <row r="67">
          <cell r="C67" t="e">
            <v>#REF!</v>
          </cell>
          <cell r="D67" t="e">
            <v>#REF!</v>
          </cell>
          <cell r="E67" t="e">
            <v>#REF!</v>
          </cell>
          <cell r="K67" t="str">
            <v>FDNEREERTINSSTR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</row>
        <row r="69">
          <cell r="C69" t="e">
            <v>#REF!</v>
          </cell>
          <cell r="D69" t="e">
            <v>#REF!</v>
          </cell>
          <cell r="E69" t="e">
            <v>#REF!</v>
          </cell>
          <cell r="K69" t="str">
            <v>FDNEREERTINSSTR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</row>
        <row r="71">
          <cell r="C71" t="e">
            <v>#REF!</v>
          </cell>
          <cell r="D71" t="e">
            <v>#REF!</v>
          </cell>
          <cell r="E71" t="e">
            <v>#REF!</v>
          </cell>
          <cell r="K71" t="str">
            <v>FDNEREERTINSSTR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</row>
        <row r="73">
          <cell r="C73" t="e">
            <v>#REF!</v>
          </cell>
          <cell r="D73" t="e">
            <v>#REF!</v>
          </cell>
          <cell r="E73" t="e">
            <v>#REF!</v>
          </cell>
          <cell r="K73" t="str">
            <v>FDNEREERTINSSTR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</row>
        <row r="75">
          <cell r="C75" t="e">
            <v>#REF!</v>
          </cell>
          <cell r="D75" t="e">
            <v>#REF!</v>
          </cell>
          <cell r="E75" t="e">
            <v>#REF!</v>
          </cell>
          <cell r="K75" t="str">
            <v>FDNEREERTINSSTR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</row>
        <row r="77">
          <cell r="C77" t="e">
            <v>#REF!</v>
          </cell>
          <cell r="D77" t="e">
            <v>#REF!</v>
          </cell>
          <cell r="E77" t="e">
            <v>#REF!</v>
          </cell>
          <cell r="K77" t="str">
            <v>FDNEREERTINSSTR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</row>
        <row r="79">
          <cell r="C79" t="e">
            <v>#REF!</v>
          </cell>
          <cell r="D79" t="e">
            <v>#REF!</v>
          </cell>
          <cell r="E79" t="e">
            <v>#REF!</v>
          </cell>
          <cell r="K79" t="str">
            <v>FDNEREERTINSSTR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</row>
        <row r="81">
          <cell r="C81" t="e">
            <v>#REF!</v>
          </cell>
          <cell r="D81" t="e">
            <v>#REF!</v>
          </cell>
          <cell r="E81" t="e">
            <v>#REF!</v>
          </cell>
          <cell r="K81" t="str">
            <v>FDNEREERTINSSTR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</row>
        <row r="83">
          <cell r="C83" t="e">
            <v>#REF!</v>
          </cell>
          <cell r="D83" t="e">
            <v>#REF!</v>
          </cell>
          <cell r="E83" t="e">
            <v>#REF!</v>
          </cell>
          <cell r="K83" t="str">
            <v>FDNEREERTINSSTR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</row>
        <row r="85">
          <cell r="C85" t="e">
            <v>#REF!</v>
          </cell>
          <cell r="D85" t="e">
            <v>#REF!</v>
          </cell>
          <cell r="E85" t="e">
            <v>#REF!</v>
          </cell>
          <cell r="K85" t="str">
            <v>FDNEREERTINSSTR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</row>
        <row r="87">
          <cell r="C87" t="e">
            <v>#REF!</v>
          </cell>
          <cell r="D87" t="e">
            <v>#REF!</v>
          </cell>
          <cell r="E87" t="e">
            <v>#REF!</v>
          </cell>
          <cell r="K87" t="str">
            <v>FDNEREERTINSSTR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</row>
        <row r="89">
          <cell r="C89" t="e">
            <v>#REF!</v>
          </cell>
          <cell r="D89" t="e">
            <v>#REF!</v>
          </cell>
          <cell r="E89" t="e">
            <v>#REF!</v>
          </cell>
          <cell r="K89" t="str">
            <v>FDNEREERTINSSTR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</row>
        <row r="91">
          <cell r="C91" t="e">
            <v>#REF!</v>
          </cell>
          <cell r="D91" t="e">
            <v>#REF!</v>
          </cell>
          <cell r="E91" t="e">
            <v>#REF!</v>
          </cell>
          <cell r="K91" t="str">
            <v>FDNEREERTINSSTR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</row>
        <row r="93">
          <cell r="C93" t="e">
            <v>#REF!</v>
          </cell>
          <cell r="D93" t="e">
            <v>#REF!</v>
          </cell>
          <cell r="E93" t="e">
            <v>#REF!</v>
          </cell>
          <cell r="K93" t="str">
            <v>FDNEREERTINSSTR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</row>
        <row r="95">
          <cell r="C95" t="e">
            <v>#REF!</v>
          </cell>
          <cell r="D95" t="e">
            <v>#REF!</v>
          </cell>
          <cell r="E95" t="e">
            <v>#REF!</v>
          </cell>
          <cell r="K95" t="str">
            <v>FDNEREERTINSSTR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</row>
        <row r="97">
          <cell r="C97" t="e">
            <v>#REF!</v>
          </cell>
          <cell r="D97" t="e">
            <v>#REF!</v>
          </cell>
          <cell r="E97" t="e">
            <v>#REF!</v>
          </cell>
          <cell r="K97" t="str">
            <v>FDNEREERTINSSTR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</row>
        <row r="99">
          <cell r="C99" t="e">
            <v>#REF!</v>
          </cell>
          <cell r="D99" t="e">
            <v>#REF!</v>
          </cell>
          <cell r="E99" t="e">
            <v>#REF!</v>
          </cell>
          <cell r="K99" t="str">
            <v>FDNEREERTINSSTR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</row>
        <row r="101">
          <cell r="C101" t="e">
            <v>#REF!</v>
          </cell>
          <cell r="D101" t="e">
            <v>#REF!</v>
          </cell>
          <cell r="E101" t="e">
            <v>#REF!</v>
          </cell>
          <cell r="K101" t="str">
            <v>FDNEREERTINSSTR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</row>
        <row r="103">
          <cell r="C103" t="e">
            <v>#REF!</v>
          </cell>
          <cell r="D103" t="e">
            <v>#REF!</v>
          </cell>
          <cell r="E103" t="e">
            <v>#REF!</v>
          </cell>
          <cell r="K103" t="str">
            <v>FDNEREERTINSSTR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</row>
        <row r="105">
          <cell r="C105" t="e">
            <v>#REF!</v>
          </cell>
          <cell r="D105" t="e">
            <v>#REF!</v>
          </cell>
          <cell r="E105" t="e">
            <v>#REF!</v>
          </cell>
          <cell r="K105" t="str">
            <v>FDNEREERTINSSTR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</row>
        <row r="107">
          <cell r="C107" t="e">
            <v>#REF!</v>
          </cell>
          <cell r="D107" t="e">
            <v>#REF!</v>
          </cell>
          <cell r="E107" t="e">
            <v>#REF!</v>
          </cell>
          <cell r="K107" t="str">
            <v>FDNEREERTINSSTR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</row>
        <row r="109">
          <cell r="C109" t="e">
            <v>#REF!</v>
          </cell>
          <cell r="D109" t="e">
            <v>#REF!</v>
          </cell>
          <cell r="E109" t="e">
            <v>#REF!</v>
          </cell>
          <cell r="K109" t="str">
            <v>FDNEREERTINSSTR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</row>
        <row r="111">
          <cell r="C111" t="e">
            <v>#REF!</v>
          </cell>
          <cell r="D111" t="e">
            <v>#REF!</v>
          </cell>
          <cell r="E111" t="e">
            <v>#REF!</v>
          </cell>
          <cell r="K111" t="str">
            <v>FDNEREERTINSSTR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</row>
        <row r="113">
          <cell r="C113" t="e">
            <v>#REF!</v>
          </cell>
          <cell r="D113" t="e">
            <v>#REF!</v>
          </cell>
          <cell r="E113" t="e">
            <v>#REF!</v>
          </cell>
          <cell r="K113" t="str">
            <v>FDNEREERTINSSTR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</row>
        <row r="115">
          <cell r="C115" t="e">
            <v>#REF!</v>
          </cell>
          <cell r="D115" t="e">
            <v>#REF!</v>
          </cell>
          <cell r="E115" t="e">
            <v>#REF!</v>
          </cell>
          <cell r="K115" t="str">
            <v>FDNEREERTINSSTR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</row>
        <row r="117">
          <cell r="C117" t="e">
            <v>#REF!</v>
          </cell>
          <cell r="D117" t="e">
            <v>#REF!</v>
          </cell>
          <cell r="E117" t="e">
            <v>#REF!</v>
          </cell>
          <cell r="K117" t="str">
            <v>FDNROWEREERTINSSTR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</row>
        <row r="119">
          <cell r="C119" t="e">
            <v>#REF!</v>
          </cell>
          <cell r="D119" t="e">
            <v>#REF!</v>
          </cell>
          <cell r="E119" t="e">
            <v>#REF!</v>
          </cell>
          <cell r="K119" t="str">
            <v>FDNROWEREERTINSSTR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</row>
        <row r="121">
          <cell r="C121" t="e">
            <v>#REF!</v>
          </cell>
          <cell r="D121" t="e">
            <v>#REF!</v>
          </cell>
          <cell r="E121" t="e">
            <v>#REF!</v>
          </cell>
          <cell r="K121" t="str">
            <v>FDNEREERTINSSTR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</row>
        <row r="123">
          <cell r="C123" t="e">
            <v>#REF!</v>
          </cell>
          <cell r="D123" t="e">
            <v>#REF!</v>
          </cell>
          <cell r="E123" t="e">
            <v>#REF!</v>
          </cell>
          <cell r="K123" t="str">
            <v>FDNEREERTINSSTR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</row>
        <row r="125">
          <cell r="C125" t="e">
            <v>#REF!</v>
          </cell>
          <cell r="D125" t="e">
            <v>#REF!</v>
          </cell>
          <cell r="E125" t="e">
            <v>#REF!</v>
          </cell>
          <cell r="K125" t="str">
            <v>FDNEREERTINSSTR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</row>
        <row r="127">
          <cell r="C127" t="e">
            <v>#REF!</v>
          </cell>
          <cell r="D127" t="e">
            <v>#REF!</v>
          </cell>
          <cell r="E127" t="e">
            <v>#REF!</v>
          </cell>
          <cell r="K127" t="str">
            <v>FDNEREERTINSSTR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</row>
        <row r="129">
          <cell r="C129" t="e">
            <v>#REF!</v>
          </cell>
          <cell r="D129" t="e">
            <v>#REF!</v>
          </cell>
          <cell r="E129" t="e">
            <v>#REF!</v>
          </cell>
          <cell r="K129" t="str">
            <v>FDNEREERTINSSTR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</row>
        <row r="131">
          <cell r="C131" t="e">
            <v>#REF!</v>
          </cell>
          <cell r="D131" t="e">
            <v>#REF!</v>
          </cell>
          <cell r="E131" t="e">
            <v>#REF!</v>
          </cell>
          <cell r="K131" t="str">
            <v>FDNEREERTINSSTR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</row>
        <row r="133">
          <cell r="C133" t="e">
            <v>#REF!</v>
          </cell>
          <cell r="D133" t="e">
            <v>#REF!</v>
          </cell>
          <cell r="E133" t="e">
            <v>#REF!</v>
          </cell>
          <cell r="K133" t="str">
            <v>FDNEREERTINSSTR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K135" t="str">
            <v>FDNEREERTINSSTR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</row>
        <row r="137">
          <cell r="C137" t="e">
            <v>#REF!</v>
          </cell>
          <cell r="D137" t="e">
            <v>#REF!</v>
          </cell>
          <cell r="E137" t="e">
            <v>#REF!</v>
          </cell>
          <cell r="K137" t="str">
            <v>FDNEREERTINSSTR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K139" t="str">
            <v>FDNEREERTINSSTR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</row>
        <row r="141">
          <cell r="C141" t="e">
            <v>#REF!</v>
          </cell>
          <cell r="D141" t="e">
            <v>#REF!</v>
          </cell>
          <cell r="E141" t="e">
            <v>#REF!</v>
          </cell>
          <cell r="K141" t="str">
            <v>FDNEREERTINSSTR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K143" t="str">
            <v>FDNEREERTINSSTR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</row>
        <row r="145">
          <cell r="C145" t="e">
            <v>#REF!</v>
          </cell>
          <cell r="D145" t="e">
            <v>#REF!</v>
          </cell>
          <cell r="E145" t="e">
            <v>#REF!</v>
          </cell>
          <cell r="K145" t="str">
            <v>FDNEREERTINSSTR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</row>
        <row r="147">
          <cell r="C147" t="e">
            <v>#REF!</v>
          </cell>
          <cell r="D147" t="e">
            <v>#REF!</v>
          </cell>
          <cell r="E147" t="e">
            <v>#REF!</v>
          </cell>
          <cell r="K147" t="str">
            <v>FDNEREERTINSSTR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</row>
        <row r="149">
          <cell r="C149" t="e">
            <v>#REF!</v>
          </cell>
          <cell r="D149" t="e">
            <v>#REF!</v>
          </cell>
          <cell r="E149" t="e">
            <v>#REF!</v>
          </cell>
          <cell r="K149" t="str">
            <v>FDNEREERTINSSTR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K151" t="str">
            <v>FDNEREERTINSSTR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K153" t="str">
            <v>FDNEREERTINSSTR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K155" t="str">
            <v>FDNEREERTINSSTR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</row>
        <row r="157">
          <cell r="C157" t="e">
            <v>#REF!</v>
          </cell>
          <cell r="D157" t="e">
            <v>#REF!</v>
          </cell>
          <cell r="E157" t="e">
            <v>#REF!</v>
          </cell>
          <cell r="K157" t="str">
            <v>FDNEREERTINSSTR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</row>
        <row r="159">
          <cell r="C159" t="e">
            <v>#REF!</v>
          </cell>
          <cell r="D159" t="e">
            <v>#REF!</v>
          </cell>
          <cell r="E159" t="e">
            <v>#REF!</v>
          </cell>
          <cell r="K159" t="str">
            <v>FDNEREERTINSSTR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</row>
        <row r="161">
          <cell r="C161" t="e">
            <v>#REF!</v>
          </cell>
          <cell r="D161" t="e">
            <v>#REF!</v>
          </cell>
          <cell r="E161" t="e">
            <v>#REF!</v>
          </cell>
          <cell r="K161" t="str">
            <v>FDNEREERTINSSTR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</row>
        <row r="163">
          <cell r="C163" t="e">
            <v>#REF!</v>
          </cell>
          <cell r="D163" t="e">
            <v>#REF!</v>
          </cell>
          <cell r="E163" t="e">
            <v>#REF!</v>
          </cell>
          <cell r="K163" t="str">
            <v>FDNROWEREERTINSSTR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</row>
        <row r="165">
          <cell r="C165" t="e">
            <v>#REF!</v>
          </cell>
          <cell r="D165" t="e">
            <v>#REF!</v>
          </cell>
          <cell r="E165" t="e">
            <v>#REF!</v>
          </cell>
          <cell r="K165" t="str">
            <v>FDNROWEREERTINSSTR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K167" t="str">
            <v>FDNEREERTINSSTR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K169" t="str">
            <v>FDNROWEREERTINSSTR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K171" t="str">
            <v>FDNROWEREERTINSSTR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K173" t="str">
            <v>FDNROWEREERTINSSTR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K175" t="str">
            <v>FDNROWEREERTINSSTR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K177" t="str">
            <v>FDNEREERTINSSTR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K179" t="str">
            <v>FDNEREERTINSSTR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K181" t="str">
            <v>FDNEREERTINSSTR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K183" t="str">
            <v>FDNEREERTINSSTR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K185" t="str">
            <v>FDNEREERTINSSTR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K187" t="str">
            <v>FDNEREERTINSSTR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K189" t="str">
            <v>FDNEREERTINSSTR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</row>
        <row r="191">
          <cell r="C191" t="e">
            <v>#REF!</v>
          </cell>
          <cell r="D191" t="e">
            <v>#REF!</v>
          </cell>
          <cell r="E191" t="e">
            <v>#REF!</v>
          </cell>
          <cell r="K191" t="str">
            <v>FDNEREERTINSSTR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</row>
        <row r="193">
          <cell r="C193" t="e">
            <v>#REF!</v>
          </cell>
          <cell r="D193" t="e">
            <v>#REF!</v>
          </cell>
          <cell r="E193" t="e">
            <v>#REF!</v>
          </cell>
          <cell r="K193" t="str">
            <v>FDNEREERTINSSTR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</row>
        <row r="195">
          <cell r="C195" t="e">
            <v>#REF!</v>
          </cell>
          <cell r="D195" t="e">
            <v>#REF!</v>
          </cell>
          <cell r="E195" t="e">
            <v>#REF!</v>
          </cell>
          <cell r="K195" t="str">
            <v>FDNEREERTINSSTR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</row>
        <row r="197">
          <cell r="C197" t="e">
            <v>#REF!</v>
          </cell>
          <cell r="D197" t="e">
            <v>#REF!</v>
          </cell>
          <cell r="E197" t="e">
            <v>#REF!</v>
          </cell>
          <cell r="K197" t="str">
            <v>FDNEREERTINSSTR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</row>
        <row r="199">
          <cell r="C199" t="e">
            <v>#REF!</v>
          </cell>
          <cell r="D199" t="e">
            <v>#REF!</v>
          </cell>
          <cell r="E199" t="e">
            <v>#REF!</v>
          </cell>
          <cell r="K199" t="str">
            <v>FDNEREERTINSSTR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</row>
        <row r="201">
          <cell r="C201" t="e">
            <v>#REF!</v>
          </cell>
          <cell r="D201" t="e">
            <v>#REF!</v>
          </cell>
          <cell r="E201" t="e">
            <v>#REF!</v>
          </cell>
          <cell r="K201" t="str">
            <v>FDNEREERTINSSTR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</row>
        <row r="203">
          <cell r="C203" t="e">
            <v>#REF!</v>
          </cell>
          <cell r="D203" t="e">
            <v>#REF!</v>
          </cell>
          <cell r="E203" t="e">
            <v>#REF!</v>
          </cell>
          <cell r="K203" t="str">
            <v>FDNEREERTINSSTR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</row>
        <row r="205">
          <cell r="C205" t="e">
            <v>#REF!</v>
          </cell>
          <cell r="D205" t="e">
            <v>#REF!</v>
          </cell>
          <cell r="E205" t="e">
            <v>#REF!</v>
          </cell>
          <cell r="K205" t="str">
            <v>FDNEREERTINSSTR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</row>
        <row r="207">
          <cell r="C207" t="e">
            <v>#REF!</v>
          </cell>
          <cell r="D207" t="e">
            <v>#REF!</v>
          </cell>
          <cell r="E207" t="e">
            <v>#REF!</v>
          </cell>
          <cell r="K207" t="str">
            <v>FDNEREERTINSSTR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</row>
        <row r="209">
          <cell r="C209" t="e">
            <v>#REF!</v>
          </cell>
          <cell r="D209" t="e">
            <v>#REF!</v>
          </cell>
          <cell r="E209" t="e">
            <v>#REF!</v>
          </cell>
          <cell r="K209" t="str">
            <v>FDNEREERTINSSTR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</row>
        <row r="211">
          <cell r="C211" t="e">
            <v>#REF!</v>
          </cell>
          <cell r="D211" t="e">
            <v>#REF!</v>
          </cell>
          <cell r="E211" t="e">
            <v>#REF!</v>
          </cell>
          <cell r="K211" t="str">
            <v>FDNEREERTINSSTR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</row>
        <row r="213">
          <cell r="C213" t="e">
            <v>#REF!</v>
          </cell>
          <cell r="D213" t="e">
            <v>#REF!</v>
          </cell>
          <cell r="E213" t="e">
            <v>#REF!</v>
          </cell>
          <cell r="K213" t="str">
            <v>FDNEREERTINSSTR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</row>
        <row r="215">
          <cell r="C215" t="e">
            <v>#REF!</v>
          </cell>
          <cell r="D215" t="e">
            <v>#REF!</v>
          </cell>
          <cell r="E215" t="e">
            <v>#REF!</v>
          </cell>
          <cell r="K215" t="str">
            <v>FDNEREERTINSSTR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</row>
        <row r="217">
          <cell r="C217" t="e">
            <v>#REF!</v>
          </cell>
          <cell r="D217" t="e">
            <v>#REF!</v>
          </cell>
          <cell r="E217" t="e">
            <v>#REF!</v>
          </cell>
          <cell r="K217" t="str">
            <v>FDNEREERTINSSTR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</row>
        <row r="219">
          <cell r="C219" t="e">
            <v>#REF!</v>
          </cell>
          <cell r="D219" t="e">
            <v>#REF!</v>
          </cell>
          <cell r="E219" t="e">
            <v>#REF!</v>
          </cell>
          <cell r="K219" t="str">
            <v>FDNEREERTINSSTR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</row>
        <row r="221">
          <cell r="C221" t="e">
            <v>#REF!</v>
          </cell>
          <cell r="D221" t="e">
            <v>#REF!</v>
          </cell>
          <cell r="E221" t="e">
            <v>#REF!</v>
          </cell>
          <cell r="K221" t="str">
            <v>FDNEREERTINSSTR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</row>
        <row r="223">
          <cell r="C223" t="e">
            <v>#REF!</v>
          </cell>
          <cell r="D223" t="e">
            <v>#REF!</v>
          </cell>
          <cell r="E223" t="e">
            <v>#REF!</v>
          </cell>
          <cell r="K223" t="str">
            <v>FDNEREERTINSSTR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</row>
        <row r="225">
          <cell r="C225" t="e">
            <v>#REF!</v>
          </cell>
          <cell r="D225" t="e">
            <v>#REF!</v>
          </cell>
          <cell r="E225" t="e">
            <v>#REF!</v>
          </cell>
          <cell r="K225" t="str">
            <v>FDNEREERTINSSTR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</row>
        <row r="227">
          <cell r="C227" t="e">
            <v>#REF!</v>
          </cell>
          <cell r="D227" t="e">
            <v>#REF!</v>
          </cell>
          <cell r="E227" t="e">
            <v>#REF!</v>
          </cell>
          <cell r="K227" t="str">
            <v>FDNEREERTINSSTR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</row>
        <row r="229">
          <cell r="C229" t="e">
            <v>#REF!</v>
          </cell>
          <cell r="D229" t="e">
            <v>#REF!</v>
          </cell>
          <cell r="E229" t="e">
            <v>#REF!</v>
          </cell>
          <cell r="K229" t="str">
            <v>FDNEREERTINSSTR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</row>
        <row r="231">
          <cell r="C231" t="e">
            <v>#REF!</v>
          </cell>
          <cell r="D231" t="e">
            <v>#REF!</v>
          </cell>
          <cell r="E231" t="e">
            <v>#REF!</v>
          </cell>
          <cell r="K231" t="str">
            <v>FDNEREERTINSSTR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</row>
        <row r="233">
          <cell r="C233" t="e">
            <v>#REF!</v>
          </cell>
          <cell r="D233" t="e">
            <v>#REF!</v>
          </cell>
          <cell r="E233" t="e">
            <v>#REF!</v>
          </cell>
          <cell r="K233" t="str">
            <v>FDNEREERTINSSTR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</row>
        <row r="235">
          <cell r="C235" t="e">
            <v>#REF!</v>
          </cell>
          <cell r="D235" t="e">
            <v>#REF!</v>
          </cell>
          <cell r="E235" t="e">
            <v>#REF!</v>
          </cell>
          <cell r="K235" t="str">
            <v>FDNEREERTINSSTR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</row>
        <row r="237">
          <cell r="C237" t="e">
            <v>#REF!</v>
          </cell>
          <cell r="D237" t="e">
            <v>#REF!</v>
          </cell>
          <cell r="E237" t="e">
            <v>#REF!</v>
          </cell>
          <cell r="K237" t="str">
            <v>FDNEREERTINSSTR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</row>
        <row r="239">
          <cell r="C239" t="e">
            <v>#REF!</v>
          </cell>
          <cell r="D239" t="e">
            <v>#REF!</v>
          </cell>
          <cell r="E239" t="e">
            <v>#REF!</v>
          </cell>
          <cell r="K239" t="str">
            <v>FDNEREERTINSSTR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</row>
        <row r="241">
          <cell r="C241" t="e">
            <v>#REF!</v>
          </cell>
          <cell r="D241" t="e">
            <v>#REF!</v>
          </cell>
          <cell r="E241" t="e">
            <v>#REF!</v>
          </cell>
          <cell r="K241" t="str">
            <v>FDNEREERTINSSTR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</row>
        <row r="243">
          <cell r="C243" t="e">
            <v>#REF!</v>
          </cell>
          <cell r="D243" t="e">
            <v>#REF!</v>
          </cell>
          <cell r="E243" t="e">
            <v>#REF!</v>
          </cell>
          <cell r="K243" t="str">
            <v>FDNEREERTINSSTR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</row>
        <row r="245">
          <cell r="C245" t="e">
            <v>#REF!</v>
          </cell>
          <cell r="D245" t="e">
            <v>#REF!</v>
          </cell>
          <cell r="E245" t="e">
            <v>#REF!</v>
          </cell>
          <cell r="K245" t="str">
            <v>FDNEREERTINSSTR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</row>
        <row r="247">
          <cell r="C247" t="e">
            <v>#REF!</v>
          </cell>
          <cell r="D247" t="e">
            <v>#REF!</v>
          </cell>
          <cell r="E247" t="e">
            <v>#REF!</v>
          </cell>
          <cell r="K247" t="str">
            <v>FDNEREERTINSSTR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</row>
        <row r="249">
          <cell r="C249" t="e">
            <v>#REF!</v>
          </cell>
          <cell r="D249" t="e">
            <v>#REF!</v>
          </cell>
          <cell r="E249" t="e">
            <v>#REF!</v>
          </cell>
          <cell r="K249" t="str">
            <v>FDNEREERTINSSTR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</row>
        <row r="251">
          <cell r="C251" t="e">
            <v>#REF!</v>
          </cell>
          <cell r="D251" t="e">
            <v>#REF!</v>
          </cell>
          <cell r="E251" t="e">
            <v>#REF!</v>
          </cell>
          <cell r="K251" t="str">
            <v>FDNEREERTINSSTR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C253" t="e">
            <v>#REF!</v>
          </cell>
          <cell r="D253" t="e">
            <v>#REF!</v>
          </cell>
          <cell r="E253" t="e">
            <v>#REF!</v>
          </cell>
          <cell r="K253" t="str">
            <v>FDNEREERTINSSTR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</row>
        <row r="255">
          <cell r="C255" t="e">
            <v>#REF!</v>
          </cell>
          <cell r="D255" t="e">
            <v>#REF!</v>
          </cell>
          <cell r="E255" t="e">
            <v>#REF!</v>
          </cell>
          <cell r="K255" t="str">
            <v>FDNEREERTINSSTR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</row>
        <row r="257">
          <cell r="C257" t="e">
            <v>#REF!</v>
          </cell>
          <cell r="D257" t="e">
            <v>#REF!</v>
          </cell>
          <cell r="E257" t="e">
            <v>#REF!</v>
          </cell>
          <cell r="K257" t="str">
            <v>FDNEREERTINSSTR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</row>
        <row r="259">
          <cell r="C259" t="e">
            <v>#REF!</v>
          </cell>
          <cell r="D259" t="e">
            <v>#REF!</v>
          </cell>
          <cell r="E259" t="e">
            <v>#REF!</v>
          </cell>
          <cell r="K259" t="str">
            <v>FDNEREERTINSSTR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</row>
        <row r="261">
          <cell r="C261" t="e">
            <v>#REF!</v>
          </cell>
          <cell r="D261" t="e">
            <v>#REF!</v>
          </cell>
          <cell r="E261" t="e">
            <v>#REF!</v>
          </cell>
          <cell r="K261" t="str">
            <v>FDNEREERTINSSTR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</row>
        <row r="263">
          <cell r="C263" t="e">
            <v>#REF!</v>
          </cell>
          <cell r="D263" t="e">
            <v>#REF!</v>
          </cell>
          <cell r="E263" t="e">
            <v>#REF!</v>
          </cell>
          <cell r="K263" t="str">
            <v>FDNEREERTINSSTR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</row>
        <row r="265">
          <cell r="C265" t="e">
            <v>#REF!</v>
          </cell>
          <cell r="D265" t="e">
            <v>#REF!</v>
          </cell>
          <cell r="E265" t="e">
            <v>#REF!</v>
          </cell>
          <cell r="K265" t="str">
            <v>FDNEREERTINSSTR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</row>
        <row r="267">
          <cell r="C267" t="e">
            <v>#REF!</v>
          </cell>
          <cell r="D267" t="e">
            <v>#REF!</v>
          </cell>
          <cell r="E267" t="e">
            <v>#REF!</v>
          </cell>
          <cell r="K267" t="str">
            <v>FDNEREERTINSSTR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</row>
        <row r="269">
          <cell r="C269" t="e">
            <v>#REF!</v>
          </cell>
          <cell r="D269" t="e">
            <v>#REF!</v>
          </cell>
          <cell r="E269" t="e">
            <v>#REF!</v>
          </cell>
          <cell r="K269" t="str">
            <v>FDNEREERTINSSTR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</row>
        <row r="271">
          <cell r="C271" t="e">
            <v>#REF!</v>
          </cell>
          <cell r="D271" t="e">
            <v>#REF!</v>
          </cell>
          <cell r="E271" t="e">
            <v>#REF!</v>
          </cell>
          <cell r="K271" t="str">
            <v>FDNEREERTINSSTR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</row>
        <row r="273">
          <cell r="C273" t="e">
            <v>#REF!</v>
          </cell>
          <cell r="D273" t="e">
            <v>#REF!</v>
          </cell>
          <cell r="E273" t="e">
            <v>#REF!</v>
          </cell>
          <cell r="K273" t="str">
            <v>FDNEREERTINSSTR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</row>
        <row r="275">
          <cell r="C275" t="e">
            <v>#REF!</v>
          </cell>
          <cell r="D275" t="e">
            <v>#REF!</v>
          </cell>
          <cell r="E275" t="e">
            <v>#REF!</v>
          </cell>
          <cell r="K275" t="str">
            <v>FDNEREERTINSSTR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</row>
        <row r="277">
          <cell r="C277" t="e">
            <v>#REF!</v>
          </cell>
          <cell r="D277" t="e">
            <v>#REF!</v>
          </cell>
          <cell r="E277" t="e">
            <v>#REF!</v>
          </cell>
          <cell r="K277" t="str">
            <v>FDNEREERTINSSTR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</row>
        <row r="279">
          <cell r="C279" t="e">
            <v>#REF!</v>
          </cell>
          <cell r="D279" t="e">
            <v>#REF!</v>
          </cell>
          <cell r="E279" t="e">
            <v>#REF!</v>
          </cell>
          <cell r="K279" t="str">
            <v>FDNEREERTINSSTR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</row>
        <row r="281">
          <cell r="C281" t="e">
            <v>#REF!</v>
          </cell>
          <cell r="D281" t="e">
            <v>#REF!</v>
          </cell>
          <cell r="E281" t="e">
            <v>#REF!</v>
          </cell>
          <cell r="K281" t="str">
            <v>FDNEREERTINSSTR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</row>
        <row r="283">
          <cell r="C283" t="e">
            <v>#REF!</v>
          </cell>
          <cell r="D283" t="e">
            <v>#REF!</v>
          </cell>
          <cell r="E283" t="e">
            <v>#REF!</v>
          </cell>
          <cell r="K283" t="str">
            <v>FDNEREERTINSSTR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</row>
        <row r="285">
          <cell r="C285" t="e">
            <v>#REF!</v>
          </cell>
          <cell r="D285" t="e">
            <v>#REF!</v>
          </cell>
          <cell r="E285" t="e">
            <v>#REF!</v>
          </cell>
          <cell r="K285" t="str">
            <v>FDNEREERTINSSTR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</row>
        <row r="287">
          <cell r="C287" t="e">
            <v>#REF!</v>
          </cell>
          <cell r="D287" t="e">
            <v>#REF!</v>
          </cell>
          <cell r="E287" t="e">
            <v>#REF!</v>
          </cell>
          <cell r="K287" t="str">
            <v>FDNEREERTINSSTR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</row>
        <row r="289">
          <cell r="C289" t="e">
            <v>#REF!</v>
          </cell>
          <cell r="D289" t="e">
            <v>#REF!</v>
          </cell>
          <cell r="E289" t="e">
            <v>#REF!</v>
          </cell>
          <cell r="K289" t="str">
            <v>FDNEREERTINSSTR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</row>
        <row r="291">
          <cell r="C291" t="e">
            <v>#REF!</v>
          </cell>
          <cell r="D291" t="e">
            <v>#REF!</v>
          </cell>
          <cell r="E291" t="e">
            <v>#REF!</v>
          </cell>
          <cell r="K291" t="str">
            <v>FDNEREERTINSSTR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</row>
        <row r="293">
          <cell r="C293" t="e">
            <v>#REF!</v>
          </cell>
          <cell r="D293" t="e">
            <v>#REF!</v>
          </cell>
          <cell r="E293" t="e">
            <v>#REF!</v>
          </cell>
          <cell r="K293" t="str">
            <v>FDNEREERTINSSTR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</row>
        <row r="295">
          <cell r="C295" t="e">
            <v>#REF!</v>
          </cell>
          <cell r="D295" t="e">
            <v>#REF!</v>
          </cell>
          <cell r="E295" t="e">
            <v>#REF!</v>
          </cell>
          <cell r="K295" t="str">
            <v>FDNEREERTINSSTR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</row>
        <row r="297">
          <cell r="C297" t="e">
            <v>#REF!</v>
          </cell>
          <cell r="D297" t="e">
            <v>#REF!</v>
          </cell>
          <cell r="E297" t="e">
            <v>#REF!</v>
          </cell>
          <cell r="K297" t="str">
            <v>FDNEREERTINSSTR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</row>
        <row r="299">
          <cell r="C299" t="e">
            <v>#REF!</v>
          </cell>
          <cell r="D299" t="e">
            <v>#REF!</v>
          </cell>
          <cell r="E299" t="e">
            <v>#REF!</v>
          </cell>
          <cell r="K299" t="str">
            <v>FDNEREERTINSSTR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</row>
        <row r="301">
          <cell r="C301" t="e">
            <v>#REF!</v>
          </cell>
          <cell r="D301" t="e">
            <v>#REF!</v>
          </cell>
          <cell r="E301" t="e">
            <v>#REF!</v>
          </cell>
          <cell r="K301" t="str">
            <v>FDNEREERTINSSTR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</row>
        <row r="303">
          <cell r="C303" t="e">
            <v>#REF!</v>
          </cell>
          <cell r="D303" t="e">
            <v>#REF!</v>
          </cell>
          <cell r="E303" t="e">
            <v>#REF!</v>
          </cell>
          <cell r="K303" t="str">
            <v>FDNROWEREERTINSSTR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</row>
        <row r="305">
          <cell r="C305" t="e">
            <v>#REF!</v>
          </cell>
          <cell r="D305" t="e">
            <v>#REF!</v>
          </cell>
          <cell r="E305" t="e">
            <v>#REF!</v>
          </cell>
          <cell r="K305" t="str">
            <v>FDNROWEREERTINSSTR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</row>
        <row r="307">
          <cell r="C307" t="e">
            <v>#REF!</v>
          </cell>
          <cell r="D307" t="e">
            <v>#REF!</v>
          </cell>
          <cell r="E307" t="e">
            <v>#REF!</v>
          </cell>
          <cell r="K307" t="str">
            <v>FDNEREERTINSSTR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</row>
        <row r="309">
          <cell r="C309" t="e">
            <v>#REF!</v>
          </cell>
          <cell r="D309" t="e">
            <v>#REF!</v>
          </cell>
          <cell r="E309" t="e">
            <v>#REF!</v>
          </cell>
          <cell r="K309" t="str">
            <v>FDNEREERTINSSTR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</row>
        <row r="311">
          <cell r="C311" t="e">
            <v>#REF!</v>
          </cell>
          <cell r="D311" t="e">
            <v>#REF!</v>
          </cell>
          <cell r="E311" t="e">
            <v>#REF!</v>
          </cell>
          <cell r="K311" t="str">
            <v>FDNEREERTINSSTR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</row>
        <row r="313">
          <cell r="C313" t="e">
            <v>#REF!</v>
          </cell>
          <cell r="D313" t="e">
            <v>#REF!</v>
          </cell>
          <cell r="E313" t="e">
            <v>#REF!</v>
          </cell>
          <cell r="K313" t="str">
            <v>FDNEREERTINSSTR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</row>
        <row r="315">
          <cell r="C315" t="e">
            <v>#REF!</v>
          </cell>
          <cell r="D315" t="e">
            <v>#REF!</v>
          </cell>
          <cell r="E315" t="e">
            <v>#REF!</v>
          </cell>
          <cell r="K315" t="str">
            <v>FDNEREERTINSSTR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</row>
        <row r="317">
          <cell r="C317" t="e">
            <v>#REF!</v>
          </cell>
          <cell r="D317" t="e">
            <v>#REF!</v>
          </cell>
          <cell r="E317" t="e">
            <v>#REF!</v>
          </cell>
          <cell r="K317" t="str">
            <v>FDNEREERTINSSTR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</row>
        <row r="319">
          <cell r="C319" t="e">
            <v>#REF!</v>
          </cell>
          <cell r="D319" t="e">
            <v>#REF!</v>
          </cell>
          <cell r="E319" t="e">
            <v>#REF!</v>
          </cell>
          <cell r="K319" t="str">
            <v>FDNEREERTINSSTR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</row>
        <row r="321">
          <cell r="C321" t="e">
            <v>#REF!</v>
          </cell>
          <cell r="D321" t="e">
            <v>#REF!</v>
          </cell>
          <cell r="E321" t="e">
            <v>#REF!</v>
          </cell>
          <cell r="K321" t="str">
            <v>FDNEREERTINSSTR</v>
          </cell>
        </row>
        <row r="322"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</row>
        <row r="323">
          <cell r="C323" t="e">
            <v>#REF!</v>
          </cell>
          <cell r="D323" t="e">
            <v>#REF!</v>
          </cell>
          <cell r="E323" t="e">
            <v>#REF!</v>
          </cell>
          <cell r="K323" t="str">
            <v>FDNEREERTINSSTR</v>
          </cell>
        </row>
        <row r="324"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</row>
        <row r="325">
          <cell r="C325" t="e">
            <v>#REF!</v>
          </cell>
          <cell r="D325" t="e">
            <v>#REF!</v>
          </cell>
          <cell r="E325" t="e">
            <v>#REF!</v>
          </cell>
          <cell r="K325" t="str">
            <v>FDNEREERTINSSTR</v>
          </cell>
        </row>
        <row r="326"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</row>
        <row r="327">
          <cell r="C327" t="e">
            <v>#REF!</v>
          </cell>
          <cell r="D327" t="e">
            <v>#REF!</v>
          </cell>
          <cell r="E327" t="e">
            <v>#REF!</v>
          </cell>
          <cell r="K327" t="str">
            <v>FDNEREERTINSSTR</v>
          </cell>
        </row>
        <row r="328"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</row>
        <row r="329">
          <cell r="C329" t="e">
            <v>#REF!</v>
          </cell>
          <cell r="D329" t="e">
            <v>#REF!</v>
          </cell>
          <cell r="E329" t="e">
            <v>#REF!</v>
          </cell>
          <cell r="K329" t="str">
            <v>FDNEREERTINSSTR</v>
          </cell>
        </row>
        <row r="330"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</row>
        <row r="331">
          <cell r="C331" t="e">
            <v>#REF!</v>
          </cell>
          <cell r="D331" t="e">
            <v>#REF!</v>
          </cell>
          <cell r="E331" t="e">
            <v>#REF!</v>
          </cell>
          <cell r="K331" t="str">
            <v>FDNEREERTINSSTR</v>
          </cell>
        </row>
        <row r="332"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</row>
        <row r="333">
          <cell r="C333" t="e">
            <v>#REF!</v>
          </cell>
          <cell r="D333" t="e">
            <v>#REF!</v>
          </cell>
          <cell r="E333" t="e">
            <v>#REF!</v>
          </cell>
          <cell r="K333" t="str">
            <v>FDNEREERTINSSTR</v>
          </cell>
        </row>
        <row r="334"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</row>
        <row r="335">
          <cell r="C335" t="e">
            <v>#REF!</v>
          </cell>
          <cell r="D335" t="e">
            <v>#REF!</v>
          </cell>
          <cell r="E335" t="e">
            <v>#REF!</v>
          </cell>
          <cell r="K335" t="str">
            <v>FDNEREERTINSSTR</v>
          </cell>
        </row>
        <row r="336"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</row>
        <row r="337">
          <cell r="C337" t="e">
            <v>#REF!</v>
          </cell>
          <cell r="D337" t="e">
            <v>#REF!</v>
          </cell>
          <cell r="E337" t="e">
            <v>#REF!</v>
          </cell>
          <cell r="K337" t="str">
            <v>FDNEREERTINSSTR</v>
          </cell>
        </row>
        <row r="338"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</row>
        <row r="339">
          <cell r="C339" t="e">
            <v>#REF!</v>
          </cell>
          <cell r="D339" t="e">
            <v>#REF!</v>
          </cell>
          <cell r="E339" t="e">
            <v>#REF!</v>
          </cell>
          <cell r="K339" t="str">
            <v>FDNEREERTINSSTR</v>
          </cell>
        </row>
        <row r="340"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</row>
        <row r="341">
          <cell r="C341" t="e">
            <v>#REF!</v>
          </cell>
          <cell r="D341" t="e">
            <v>#REF!</v>
          </cell>
          <cell r="E341" t="e">
            <v>#REF!</v>
          </cell>
          <cell r="K341" t="str">
            <v>FDNEREERTINSSTR</v>
          </cell>
        </row>
        <row r="342"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</row>
        <row r="343">
          <cell r="C343" t="e">
            <v>#REF!</v>
          </cell>
          <cell r="D343" t="e">
            <v>#REF!</v>
          </cell>
          <cell r="E343" t="e">
            <v>#REF!</v>
          </cell>
          <cell r="K343" t="str">
            <v>FDNEREERTINSSTR</v>
          </cell>
        </row>
        <row r="344"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</row>
        <row r="345">
          <cell r="C345" t="e">
            <v>#REF!</v>
          </cell>
          <cell r="D345" t="e">
            <v>#REF!</v>
          </cell>
          <cell r="E345" t="e">
            <v>#REF!</v>
          </cell>
          <cell r="K345" t="str">
            <v>FDNEREERTINSSTR</v>
          </cell>
        </row>
        <row r="346"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</row>
        <row r="347">
          <cell r="C347" t="e">
            <v>#REF!</v>
          </cell>
          <cell r="D347" t="e">
            <v>#REF!</v>
          </cell>
          <cell r="E347" t="e">
            <v>#REF!</v>
          </cell>
          <cell r="K347" t="str">
            <v>FDNEREERTINSSTR</v>
          </cell>
        </row>
        <row r="348"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</row>
        <row r="349">
          <cell r="C349" t="e">
            <v>#REF!</v>
          </cell>
          <cell r="D349" t="e">
            <v>#REF!</v>
          </cell>
          <cell r="E349" t="e">
            <v>#REF!</v>
          </cell>
          <cell r="K349" t="str">
            <v>FDNEREERTINSSTR</v>
          </cell>
        </row>
        <row r="350"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</row>
        <row r="351">
          <cell r="C351" t="e">
            <v>#REF!</v>
          </cell>
          <cell r="D351" t="e">
            <v>#REF!</v>
          </cell>
          <cell r="E351" t="e">
            <v>#REF!</v>
          </cell>
          <cell r="K351" t="str">
            <v>FDNROWEREERTINSSTR</v>
          </cell>
        </row>
        <row r="352"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</row>
        <row r="353">
          <cell r="C353" t="e">
            <v>#REF!</v>
          </cell>
          <cell r="D353" t="e">
            <v>#REF!</v>
          </cell>
          <cell r="E353" t="e">
            <v>#REF!</v>
          </cell>
          <cell r="K353" t="str">
            <v>FDNEREERTINSSTR</v>
          </cell>
        </row>
        <row r="354"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</row>
        <row r="355">
          <cell r="C355" t="e">
            <v>#REF!</v>
          </cell>
          <cell r="D355" t="e">
            <v>#REF!</v>
          </cell>
          <cell r="E355" t="e">
            <v>#REF!</v>
          </cell>
          <cell r="K355" t="str">
            <v>FDNEREERTINSSTR</v>
          </cell>
        </row>
        <row r="356"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</row>
        <row r="357">
          <cell r="C357" t="e">
            <v>#REF!</v>
          </cell>
          <cell r="D357" t="e">
            <v>#REF!</v>
          </cell>
          <cell r="E357" t="e">
            <v>#REF!</v>
          </cell>
          <cell r="K357" t="str">
            <v>FDNEREERTINSSTR</v>
          </cell>
        </row>
        <row r="358"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</row>
        <row r="359">
          <cell r="C359" t="e">
            <v>#REF!</v>
          </cell>
          <cell r="D359" t="e">
            <v>#REF!</v>
          </cell>
          <cell r="E359" t="e">
            <v>#REF!</v>
          </cell>
          <cell r="K359" t="str">
            <v>FDNEREERTINSSTR</v>
          </cell>
        </row>
        <row r="360"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</row>
        <row r="361">
          <cell r="C361" t="e">
            <v>#REF!</v>
          </cell>
          <cell r="D361" t="e">
            <v>#REF!</v>
          </cell>
          <cell r="E361" t="e">
            <v>#REF!</v>
          </cell>
          <cell r="K361" t="str">
            <v>FDNEREERTINSSTR</v>
          </cell>
        </row>
        <row r="362"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</row>
        <row r="363">
          <cell r="C363" t="e">
            <v>#REF!</v>
          </cell>
          <cell r="D363" t="e">
            <v>#REF!</v>
          </cell>
          <cell r="E363" t="e">
            <v>#REF!</v>
          </cell>
          <cell r="K363" t="str">
            <v>FDNEREERTINSSTR</v>
          </cell>
        </row>
        <row r="364"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</row>
        <row r="365">
          <cell r="C365" t="e">
            <v>#REF!</v>
          </cell>
          <cell r="D365" t="e">
            <v>#REF!</v>
          </cell>
          <cell r="E365" t="e">
            <v>#REF!</v>
          </cell>
          <cell r="K365" t="str">
            <v>FDNEREERTINSSTR</v>
          </cell>
        </row>
        <row r="366"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</row>
        <row r="367">
          <cell r="C367" t="e">
            <v>#REF!</v>
          </cell>
          <cell r="D367" t="e">
            <v>#REF!</v>
          </cell>
          <cell r="E367" t="e">
            <v>#REF!</v>
          </cell>
          <cell r="K367" t="str">
            <v>FDNEREERTINSSTR</v>
          </cell>
        </row>
        <row r="368"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</row>
        <row r="369">
          <cell r="C369" t="e">
            <v>#REF!</v>
          </cell>
          <cell r="D369" t="e">
            <v>#REF!</v>
          </cell>
          <cell r="E369" t="e">
            <v>#REF!</v>
          </cell>
          <cell r="K369" t="str">
            <v>FDNEREERTINSSTR</v>
          </cell>
        </row>
        <row r="370"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</row>
        <row r="371">
          <cell r="C371" t="e">
            <v>#REF!</v>
          </cell>
          <cell r="D371" t="e">
            <v>#REF!</v>
          </cell>
          <cell r="E371" t="e">
            <v>#REF!</v>
          </cell>
          <cell r="K371" t="str">
            <v>FDNEREERTINSSTR</v>
          </cell>
        </row>
        <row r="372"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</row>
        <row r="373">
          <cell r="C373" t="e">
            <v>#REF!</v>
          </cell>
          <cell r="D373" t="e">
            <v>#REF!</v>
          </cell>
          <cell r="E373" t="e">
            <v>#REF!</v>
          </cell>
          <cell r="K373" t="str">
            <v>FDNEREERTINSSTR</v>
          </cell>
        </row>
        <row r="374"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</row>
        <row r="375">
          <cell r="C375" t="e">
            <v>#REF!</v>
          </cell>
          <cell r="D375" t="e">
            <v>#REF!</v>
          </cell>
          <cell r="E375" t="e">
            <v>#REF!</v>
          </cell>
          <cell r="K375" t="str">
            <v>FDNEREERTINSSTR</v>
          </cell>
        </row>
        <row r="376"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</row>
        <row r="377">
          <cell r="C377" t="e">
            <v>#REF!</v>
          </cell>
          <cell r="D377" t="e">
            <v>#REF!</v>
          </cell>
          <cell r="E377" t="e">
            <v>#REF!</v>
          </cell>
          <cell r="K377" t="str">
            <v>FDNEREERTINSSTR</v>
          </cell>
        </row>
        <row r="378"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</row>
        <row r="379">
          <cell r="C379" t="e">
            <v>#REF!</v>
          </cell>
          <cell r="D379" t="e">
            <v>#REF!</v>
          </cell>
          <cell r="E379" t="e">
            <v>#REF!</v>
          </cell>
          <cell r="K379" t="str">
            <v>FDNEREERTINSSTR</v>
          </cell>
        </row>
        <row r="380"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</row>
        <row r="381">
          <cell r="C381" t="e">
            <v>#REF!</v>
          </cell>
          <cell r="D381" t="e">
            <v>#REF!</v>
          </cell>
          <cell r="E381" t="e">
            <v>#REF!</v>
          </cell>
          <cell r="K381" t="str">
            <v>FDNEREERTINSSTR</v>
          </cell>
        </row>
        <row r="382"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</row>
        <row r="383">
          <cell r="C383" t="e">
            <v>#REF!</v>
          </cell>
          <cell r="D383" t="e">
            <v>#REF!</v>
          </cell>
          <cell r="E383" t="e">
            <v>#REF!</v>
          </cell>
          <cell r="K383" t="str">
            <v>FDNEREERTINSSTR</v>
          </cell>
        </row>
        <row r="384"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</row>
        <row r="385">
          <cell r="C385" t="e">
            <v>#REF!</v>
          </cell>
          <cell r="D385" t="e">
            <v>#REF!</v>
          </cell>
          <cell r="E385" t="e">
            <v>#REF!</v>
          </cell>
          <cell r="K385" t="str">
            <v>FDNEREERTINSSTR</v>
          </cell>
        </row>
        <row r="386"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</row>
        <row r="387">
          <cell r="C387" t="e">
            <v>#REF!</v>
          </cell>
          <cell r="D387" t="e">
            <v>#REF!</v>
          </cell>
          <cell r="E387" t="e">
            <v>#REF!</v>
          </cell>
          <cell r="K387" t="str">
            <v>FDNEREERTINSSTR</v>
          </cell>
        </row>
        <row r="388"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</row>
        <row r="389">
          <cell r="C389" t="e">
            <v>#REF!</v>
          </cell>
          <cell r="D389" t="e">
            <v>#REF!</v>
          </cell>
          <cell r="E389" t="e">
            <v>#REF!</v>
          </cell>
          <cell r="K389" t="str">
            <v>FDNEREERTINSSTR</v>
          </cell>
        </row>
        <row r="390"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</row>
        <row r="391">
          <cell r="C391" t="e">
            <v>#REF!</v>
          </cell>
          <cell r="D391" t="e">
            <v>#REF!</v>
          </cell>
          <cell r="E391" t="e">
            <v>#REF!</v>
          </cell>
          <cell r="K391" t="str">
            <v>FDNEREERTINSSTR</v>
          </cell>
        </row>
        <row r="392"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</row>
        <row r="393">
          <cell r="C393" t="e">
            <v>#REF!</v>
          </cell>
          <cell r="D393" t="e">
            <v>#REF!</v>
          </cell>
          <cell r="E393" t="e">
            <v>#REF!</v>
          </cell>
          <cell r="K393" t="str">
            <v>FDNEREERTINSSTR</v>
          </cell>
        </row>
        <row r="394"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</row>
        <row r="395">
          <cell r="C395" t="e">
            <v>#REF!</v>
          </cell>
          <cell r="D395" t="e">
            <v>#REF!</v>
          </cell>
          <cell r="E395" t="e">
            <v>#REF!</v>
          </cell>
          <cell r="K395" t="str">
            <v>FDNEREERTINSSTR</v>
          </cell>
        </row>
        <row r="396"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</row>
        <row r="397">
          <cell r="C397" t="e">
            <v>#REF!</v>
          </cell>
          <cell r="D397" t="e">
            <v>#REF!</v>
          </cell>
          <cell r="E397" t="e">
            <v>#REF!</v>
          </cell>
          <cell r="K397" t="str">
            <v>FDNEREERTINSSTR</v>
          </cell>
        </row>
        <row r="398"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</row>
        <row r="399">
          <cell r="C399" t="e">
            <v>#REF!</v>
          </cell>
          <cell r="D399" t="e">
            <v>#REF!</v>
          </cell>
          <cell r="E399" t="e">
            <v>#REF!</v>
          </cell>
          <cell r="K399" t="str">
            <v>FDNEREERTINSSTR</v>
          </cell>
        </row>
        <row r="400"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</row>
        <row r="401">
          <cell r="C401" t="e">
            <v>#REF!</v>
          </cell>
          <cell r="D401" t="e">
            <v>#REF!</v>
          </cell>
          <cell r="E401" t="e">
            <v>#REF!</v>
          </cell>
          <cell r="K401" t="str">
            <v>FDNEREERTINSSTR</v>
          </cell>
        </row>
        <row r="402"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</row>
        <row r="403">
          <cell r="C403" t="e">
            <v>#REF!</v>
          </cell>
          <cell r="D403" t="e">
            <v>#REF!</v>
          </cell>
          <cell r="E403" t="e">
            <v>#REF!</v>
          </cell>
          <cell r="K403" t="str">
            <v>FDNEREERTINSSTR</v>
          </cell>
        </row>
        <row r="404"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</row>
        <row r="405">
          <cell r="C405" t="e">
            <v>#REF!</v>
          </cell>
          <cell r="D405" t="e">
            <v>#REF!</v>
          </cell>
          <cell r="E405" t="e">
            <v>#REF!</v>
          </cell>
          <cell r="K405" t="str">
            <v>FDNEREERTINSSTR</v>
          </cell>
        </row>
        <row r="406"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</row>
        <row r="407">
          <cell r="C407" t="e">
            <v>#REF!</v>
          </cell>
          <cell r="D407" t="e">
            <v>#REF!</v>
          </cell>
          <cell r="E407" t="e">
            <v>#REF!</v>
          </cell>
          <cell r="K407" t="str">
            <v>FDNEREERTINSSTR</v>
          </cell>
        </row>
        <row r="408"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</row>
        <row r="409">
          <cell r="C409" t="e">
            <v>#REF!</v>
          </cell>
          <cell r="D409" t="e">
            <v>#REF!</v>
          </cell>
          <cell r="E409" t="e">
            <v>#REF!</v>
          </cell>
          <cell r="K409" t="str">
            <v>FDNEREERTINSSTR</v>
          </cell>
        </row>
        <row r="410"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</row>
        <row r="411">
          <cell r="C411" t="e">
            <v>#REF!</v>
          </cell>
          <cell r="D411" t="e">
            <v>#REF!</v>
          </cell>
          <cell r="E411" t="e">
            <v>#REF!</v>
          </cell>
          <cell r="K411" t="str">
            <v>FDNEREERTINSSTR</v>
          </cell>
        </row>
        <row r="412"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</row>
        <row r="413">
          <cell r="C413" t="e">
            <v>#REF!</v>
          </cell>
          <cell r="D413" t="e">
            <v>#REF!</v>
          </cell>
          <cell r="E413" t="e">
            <v>#REF!</v>
          </cell>
          <cell r="K413" t="str">
            <v>FDNEREERTINSSTR</v>
          </cell>
        </row>
        <row r="414"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</row>
        <row r="415">
          <cell r="C415" t="e">
            <v>#REF!</v>
          </cell>
          <cell r="D415" t="e">
            <v>#REF!</v>
          </cell>
          <cell r="E415" t="e">
            <v>#REF!</v>
          </cell>
          <cell r="K415" t="str">
            <v>FDNEREERTINSSTR</v>
          </cell>
        </row>
        <row r="416"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</row>
        <row r="417">
          <cell r="C417" t="e">
            <v>#REF!</v>
          </cell>
          <cell r="D417" t="e">
            <v>#REF!</v>
          </cell>
          <cell r="E417" t="e">
            <v>#REF!</v>
          </cell>
          <cell r="K417" t="str">
            <v>FDNEREERTINSSTR</v>
          </cell>
        </row>
        <row r="418"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</row>
        <row r="419">
          <cell r="C419" t="e">
            <v>#REF!</v>
          </cell>
          <cell r="D419" t="e">
            <v>#REF!</v>
          </cell>
          <cell r="E419" t="e">
            <v>#REF!</v>
          </cell>
          <cell r="K419" t="str">
            <v>FDNEREERTINSSTR</v>
          </cell>
        </row>
        <row r="420"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</row>
        <row r="421">
          <cell r="C421" t="e">
            <v>#REF!</v>
          </cell>
          <cell r="D421" t="e">
            <v>#REF!</v>
          </cell>
          <cell r="E421" t="e">
            <v>#REF!</v>
          </cell>
          <cell r="K421" t="str">
            <v>FDNEREERTINSSTR</v>
          </cell>
        </row>
        <row r="422"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</row>
        <row r="423">
          <cell r="C423" t="e">
            <v>#REF!</v>
          </cell>
          <cell r="D423" t="e">
            <v>#REF!</v>
          </cell>
          <cell r="E423" t="e">
            <v>#REF!</v>
          </cell>
          <cell r="K423" t="str">
            <v>FDNEREERTINSSTR</v>
          </cell>
        </row>
        <row r="424"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</row>
        <row r="425">
          <cell r="C425" t="e">
            <v>#REF!</v>
          </cell>
          <cell r="D425" t="e">
            <v>#REF!</v>
          </cell>
          <cell r="E425" t="e">
            <v>#REF!</v>
          </cell>
          <cell r="K425" t="str">
            <v>FDNEREERTINSSTR</v>
          </cell>
        </row>
        <row r="426"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</row>
        <row r="427">
          <cell r="C427" t="e">
            <v>#REF!</v>
          </cell>
          <cell r="D427" t="e">
            <v>#REF!</v>
          </cell>
          <cell r="E427" t="e">
            <v>#REF!</v>
          </cell>
          <cell r="K427" t="str">
            <v>FDNEREERTINSSTR</v>
          </cell>
        </row>
        <row r="428"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</row>
        <row r="429">
          <cell r="C429" t="e">
            <v>#REF!</v>
          </cell>
          <cell r="D429" t="e">
            <v>#REF!</v>
          </cell>
          <cell r="E429" t="e">
            <v>#REF!</v>
          </cell>
          <cell r="K429" t="str">
            <v>FDNEREERTINSSTR</v>
          </cell>
        </row>
        <row r="430"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</row>
        <row r="431">
          <cell r="C431" t="e">
            <v>#REF!</v>
          </cell>
          <cell r="D431" t="e">
            <v>#REF!</v>
          </cell>
          <cell r="E431" t="e">
            <v>#REF!</v>
          </cell>
          <cell r="K431" t="str">
            <v>FDNEREERTINSSTR</v>
          </cell>
        </row>
        <row r="432"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</row>
        <row r="433">
          <cell r="C433" t="e">
            <v>#REF!</v>
          </cell>
          <cell r="D433" t="e">
            <v>#REF!</v>
          </cell>
          <cell r="E433" t="e">
            <v>#REF!</v>
          </cell>
          <cell r="K433" t="str">
            <v>FDNEREERTINSSTR</v>
          </cell>
        </row>
        <row r="434"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</row>
        <row r="435">
          <cell r="C435" t="e">
            <v>#REF!</v>
          </cell>
          <cell r="D435" t="e">
            <v>#REF!</v>
          </cell>
          <cell r="E435" t="e">
            <v>#REF!</v>
          </cell>
          <cell r="K435" t="str">
            <v>FDNEREERTINSSTR</v>
          </cell>
        </row>
        <row r="436"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</row>
        <row r="437">
          <cell r="C437" t="e">
            <v>#REF!</v>
          </cell>
          <cell r="D437" t="e">
            <v>#REF!</v>
          </cell>
          <cell r="E437" t="e">
            <v>#REF!</v>
          </cell>
          <cell r="K437" t="str">
            <v>FDNEREERTINSSTR</v>
          </cell>
        </row>
        <row r="438"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</row>
        <row r="439">
          <cell r="C439" t="e">
            <v>#REF!</v>
          </cell>
          <cell r="D439" t="e">
            <v>#REF!</v>
          </cell>
          <cell r="E439" t="e">
            <v>#REF!</v>
          </cell>
          <cell r="K439" t="str">
            <v>FDNEREERTINSSTR</v>
          </cell>
        </row>
        <row r="440"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</row>
        <row r="441">
          <cell r="C441" t="e">
            <v>#REF!</v>
          </cell>
          <cell r="D441" t="e">
            <v>#REF!</v>
          </cell>
          <cell r="E441" t="e">
            <v>#REF!</v>
          </cell>
          <cell r="K441" t="str">
            <v>FDNEREERTINSSTR</v>
          </cell>
        </row>
        <row r="442"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</row>
        <row r="443">
          <cell r="C443" t="e">
            <v>#REF!</v>
          </cell>
          <cell r="D443" t="e">
            <v>#REF!</v>
          </cell>
          <cell r="E443" t="e">
            <v>#REF!</v>
          </cell>
          <cell r="K443" t="str">
            <v>FDNEREERTINSSTR</v>
          </cell>
        </row>
        <row r="444"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</row>
        <row r="445">
          <cell r="C445" t="e">
            <v>#REF!</v>
          </cell>
          <cell r="D445" t="e">
            <v>#REF!</v>
          </cell>
          <cell r="E445" t="e">
            <v>#REF!</v>
          </cell>
          <cell r="K445" t="str">
            <v>FDNEREERTINSSTR</v>
          </cell>
        </row>
        <row r="446"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</row>
        <row r="447">
          <cell r="C447" t="e">
            <v>#REF!</v>
          </cell>
          <cell r="D447" t="e">
            <v>#REF!</v>
          </cell>
          <cell r="E447" t="e">
            <v>#REF!</v>
          </cell>
          <cell r="K447" t="str">
            <v>FDNEREERTINSSTR</v>
          </cell>
        </row>
        <row r="448"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</row>
        <row r="449">
          <cell r="C449" t="e">
            <v>#REF!</v>
          </cell>
          <cell r="D449" t="e">
            <v>#REF!</v>
          </cell>
          <cell r="E449" t="e">
            <v>#REF!</v>
          </cell>
          <cell r="K449" t="str">
            <v>FDNEREERTINSSTR</v>
          </cell>
        </row>
        <row r="450"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</row>
        <row r="451">
          <cell r="C451" t="e">
            <v>#REF!</v>
          </cell>
          <cell r="D451" t="e">
            <v>#REF!</v>
          </cell>
          <cell r="E451" t="e">
            <v>#REF!</v>
          </cell>
          <cell r="K451" t="str">
            <v>FDNEREERTINSSTR</v>
          </cell>
        </row>
        <row r="452"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</row>
        <row r="453">
          <cell r="C453" t="e">
            <v>#REF!</v>
          </cell>
          <cell r="D453" t="e">
            <v>#REF!</v>
          </cell>
          <cell r="E453" t="e">
            <v>#REF!</v>
          </cell>
          <cell r="K453" t="str">
            <v>FDNEREERTINSSTR</v>
          </cell>
        </row>
        <row r="454"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</row>
        <row r="455">
          <cell r="C455" t="e">
            <v>#REF!</v>
          </cell>
          <cell r="D455" t="e">
            <v>#REF!</v>
          </cell>
          <cell r="E455" t="e">
            <v>#REF!</v>
          </cell>
          <cell r="K455" t="str">
            <v>FDNEREERTINSSTR</v>
          </cell>
        </row>
        <row r="456"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</row>
        <row r="457">
          <cell r="C457" t="e">
            <v>#REF!</v>
          </cell>
          <cell r="D457" t="e">
            <v>#REF!</v>
          </cell>
          <cell r="E457" t="e">
            <v>#REF!</v>
          </cell>
          <cell r="K457" t="str">
            <v>FDNEREERTINSSTR</v>
          </cell>
        </row>
        <row r="458"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</row>
        <row r="459">
          <cell r="C459" t="e">
            <v>#REF!</v>
          </cell>
          <cell r="D459" t="e">
            <v>#REF!</v>
          </cell>
          <cell r="E459" t="e">
            <v>#REF!</v>
          </cell>
          <cell r="K459" t="str">
            <v>FDNEREERTINSSTR</v>
          </cell>
        </row>
        <row r="460"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</row>
        <row r="461">
          <cell r="C461" t="e">
            <v>#REF!</v>
          </cell>
          <cell r="D461" t="e">
            <v>#REF!</v>
          </cell>
          <cell r="E461" t="e">
            <v>#REF!</v>
          </cell>
          <cell r="K461" t="str">
            <v>FDNEREERTINSSTR</v>
          </cell>
        </row>
        <row r="462"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</row>
        <row r="463">
          <cell r="C463" t="e">
            <v>#REF!</v>
          </cell>
          <cell r="D463" t="e">
            <v>#REF!</v>
          </cell>
          <cell r="E463" t="e">
            <v>#REF!</v>
          </cell>
          <cell r="K463" t="str">
            <v>FDNEREERTINSSTR</v>
          </cell>
        </row>
        <row r="464"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</row>
        <row r="465">
          <cell r="C465" t="e">
            <v>#REF!</v>
          </cell>
          <cell r="D465" t="e">
            <v>#REF!</v>
          </cell>
          <cell r="E465" t="e">
            <v>#REF!</v>
          </cell>
          <cell r="K465" t="str">
            <v>FDNEREERTINSSTR</v>
          </cell>
        </row>
        <row r="466"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</row>
        <row r="467">
          <cell r="C467" t="e">
            <v>#REF!</v>
          </cell>
          <cell r="D467" t="e">
            <v>#REF!</v>
          </cell>
          <cell r="E467" t="e">
            <v>#REF!</v>
          </cell>
          <cell r="K467" t="str">
            <v>FDNEREERTINSSTR</v>
          </cell>
        </row>
        <row r="468"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</row>
        <row r="469">
          <cell r="C469" t="e">
            <v>#REF!</v>
          </cell>
          <cell r="D469" t="e">
            <v>#REF!</v>
          </cell>
          <cell r="E469" t="e">
            <v>#REF!</v>
          </cell>
          <cell r="K469" t="str">
            <v>FDNEREERTINSSTR</v>
          </cell>
        </row>
        <row r="470"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</row>
        <row r="471">
          <cell r="C471" t="e">
            <v>#REF!</v>
          </cell>
          <cell r="D471" t="e">
            <v>#REF!</v>
          </cell>
          <cell r="E471" t="e">
            <v>#REF!</v>
          </cell>
          <cell r="K471" t="str">
            <v>FDNEREERTINSSTR</v>
          </cell>
        </row>
        <row r="472"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</row>
        <row r="473">
          <cell r="C473" t="e">
            <v>#REF!</v>
          </cell>
          <cell r="D473" t="e">
            <v>#REF!</v>
          </cell>
          <cell r="E473" t="e">
            <v>#REF!</v>
          </cell>
          <cell r="K473" t="str">
            <v>FDNEREERTINSSTR</v>
          </cell>
        </row>
        <row r="474"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</row>
        <row r="475">
          <cell r="C475" t="e">
            <v>#REF!</v>
          </cell>
          <cell r="D475" t="e">
            <v>#REF!</v>
          </cell>
          <cell r="E475" t="e">
            <v>#REF!</v>
          </cell>
          <cell r="K475" t="str">
            <v>FDNEREERTINSSTR</v>
          </cell>
        </row>
        <row r="476"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</row>
        <row r="477">
          <cell r="C477" t="e">
            <v>#REF!</v>
          </cell>
          <cell r="D477" t="e">
            <v>#REF!</v>
          </cell>
          <cell r="E477" t="e">
            <v>#REF!</v>
          </cell>
          <cell r="K477" t="str">
            <v>FDNEREERTINSSTR</v>
          </cell>
        </row>
        <row r="478"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</row>
        <row r="479">
          <cell r="C479" t="e">
            <v>#REF!</v>
          </cell>
          <cell r="D479" t="e">
            <v>#REF!</v>
          </cell>
          <cell r="E479" t="e">
            <v>#REF!</v>
          </cell>
          <cell r="K479" t="str">
            <v>FDNEREERTINSSTR</v>
          </cell>
        </row>
        <row r="480"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</row>
        <row r="481">
          <cell r="C481" t="e">
            <v>#REF!</v>
          </cell>
          <cell r="D481" t="e">
            <v>#REF!</v>
          </cell>
          <cell r="E481" t="e">
            <v>#REF!</v>
          </cell>
          <cell r="K481" t="str">
            <v>FDNEREERTINSSTR</v>
          </cell>
        </row>
        <row r="482"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</row>
        <row r="483">
          <cell r="C483" t="e">
            <v>#REF!</v>
          </cell>
          <cell r="D483" t="e">
            <v>#REF!</v>
          </cell>
          <cell r="E483" t="e">
            <v>#REF!</v>
          </cell>
          <cell r="K483" t="str">
            <v>FDNEREERTINSSTR</v>
          </cell>
        </row>
        <row r="484"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</row>
        <row r="485">
          <cell r="C485" t="e">
            <v>#REF!</v>
          </cell>
          <cell r="D485" t="e">
            <v>#REF!</v>
          </cell>
          <cell r="E485" t="e">
            <v>#REF!</v>
          </cell>
          <cell r="K485" t="str">
            <v>FDNEREERTINSSTR</v>
          </cell>
        </row>
        <row r="486"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</row>
        <row r="487">
          <cell r="C487" t="e">
            <v>#REF!</v>
          </cell>
          <cell r="D487" t="e">
            <v>#REF!</v>
          </cell>
          <cell r="E487" t="e">
            <v>#REF!</v>
          </cell>
          <cell r="K487" t="str">
            <v>FDNEREERTINSSTR</v>
          </cell>
        </row>
        <row r="488"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</row>
        <row r="489">
          <cell r="C489" t="e">
            <v>#REF!</v>
          </cell>
          <cell r="D489" t="e">
            <v>#REF!</v>
          </cell>
          <cell r="E489" t="e">
            <v>#REF!</v>
          </cell>
          <cell r="K489" t="str">
            <v>FDNEREERTINSSTR</v>
          </cell>
        </row>
        <row r="490"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</row>
        <row r="491">
          <cell r="C491" t="e">
            <v>#REF!</v>
          </cell>
          <cell r="D491" t="e">
            <v>#REF!</v>
          </cell>
          <cell r="E491" t="e">
            <v>#REF!</v>
          </cell>
          <cell r="K491" t="str">
            <v>FDNEREERTINSSTR</v>
          </cell>
        </row>
        <row r="492"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</row>
        <row r="493">
          <cell r="C493" t="e">
            <v>#REF!</v>
          </cell>
          <cell r="D493" t="e">
            <v>#REF!</v>
          </cell>
          <cell r="E493" t="e">
            <v>#REF!</v>
          </cell>
          <cell r="K493" t="str">
            <v>FDNEREERTINSSTR</v>
          </cell>
        </row>
        <row r="494"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</row>
        <row r="495">
          <cell r="C495" t="e">
            <v>#REF!</v>
          </cell>
          <cell r="D495" t="e">
            <v>#REF!</v>
          </cell>
          <cell r="E495" t="e">
            <v>#REF!</v>
          </cell>
          <cell r="K495" t="str">
            <v>FDNEREERTINSSTR</v>
          </cell>
        </row>
        <row r="496"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</row>
        <row r="497">
          <cell r="C497" t="e">
            <v>#REF!</v>
          </cell>
          <cell r="D497" t="e">
            <v>#REF!</v>
          </cell>
          <cell r="E497" t="e">
            <v>#REF!</v>
          </cell>
          <cell r="K497" t="str">
            <v>FDNEREERTINSSTR</v>
          </cell>
        </row>
        <row r="498">
          <cell r="B498" t="e">
            <v>#REF!</v>
          </cell>
          <cell r="C498" t="e">
            <v>#REF!</v>
          </cell>
          <cell r="D498" t="e">
            <v>#REF!</v>
          </cell>
          <cell r="E498" t="e">
            <v>#REF!</v>
          </cell>
        </row>
        <row r="499">
          <cell r="C499" t="e">
            <v>#REF!</v>
          </cell>
          <cell r="D499" t="e">
            <v>#REF!</v>
          </cell>
          <cell r="E499" t="e">
            <v>#REF!</v>
          </cell>
          <cell r="K499" t="str">
            <v>FDNEREERTINSSTR</v>
          </cell>
        </row>
        <row r="500">
          <cell r="B500" t="e">
            <v>#REF!</v>
          </cell>
          <cell r="C500" t="e">
            <v>#REF!</v>
          </cell>
          <cell r="D500" t="e">
            <v>#REF!</v>
          </cell>
          <cell r="E500" t="e">
            <v>#REF!</v>
          </cell>
        </row>
        <row r="501">
          <cell r="C501" t="e">
            <v>#REF!</v>
          </cell>
          <cell r="D501" t="e">
            <v>#REF!</v>
          </cell>
          <cell r="E501" t="e">
            <v>#REF!</v>
          </cell>
          <cell r="K501" t="str">
            <v>FDNEREERTINSSTR</v>
          </cell>
        </row>
        <row r="502">
          <cell r="B502" t="e">
            <v>#REF!</v>
          </cell>
          <cell r="C502" t="e">
            <v>#REF!</v>
          </cell>
          <cell r="D502" t="e">
            <v>#REF!</v>
          </cell>
          <cell r="E502" t="e">
            <v>#REF!</v>
          </cell>
        </row>
        <row r="503">
          <cell r="C503" t="e">
            <v>#REF!</v>
          </cell>
          <cell r="D503" t="e">
            <v>#REF!</v>
          </cell>
          <cell r="E503" t="e">
            <v>#REF!</v>
          </cell>
          <cell r="K503" t="str">
            <v>FDNEREERTINSSTR</v>
          </cell>
        </row>
        <row r="504">
          <cell r="B504" t="e">
            <v>#REF!</v>
          </cell>
          <cell r="C504" t="e">
            <v>#REF!</v>
          </cell>
          <cell r="D504" t="e">
            <v>#REF!</v>
          </cell>
          <cell r="E504" t="e">
            <v>#REF!</v>
          </cell>
        </row>
        <row r="505">
          <cell r="C505" t="e">
            <v>#REF!</v>
          </cell>
          <cell r="D505" t="e">
            <v>#REF!</v>
          </cell>
          <cell r="E505" t="e">
            <v>#REF!</v>
          </cell>
          <cell r="K505" t="str">
            <v>FDNEREERTINSSTR</v>
          </cell>
        </row>
        <row r="506">
          <cell r="B506" t="e">
            <v>#REF!</v>
          </cell>
          <cell r="C506" t="e">
            <v>#REF!</v>
          </cell>
          <cell r="D506" t="e">
            <v>#REF!</v>
          </cell>
          <cell r="E506" t="e">
            <v>#REF!</v>
          </cell>
        </row>
        <row r="507">
          <cell r="C507" t="e">
            <v>#REF!</v>
          </cell>
          <cell r="D507" t="e">
            <v>#REF!</v>
          </cell>
          <cell r="E507" t="e">
            <v>#REF!</v>
          </cell>
          <cell r="K507" t="str">
            <v>FDNEREERTINSSTR</v>
          </cell>
        </row>
        <row r="508">
          <cell r="B508" t="e">
            <v>#REF!</v>
          </cell>
          <cell r="C508" t="e">
            <v>#REF!</v>
          </cell>
          <cell r="D508" t="e">
            <v>#REF!</v>
          </cell>
          <cell r="E508" t="e">
            <v>#REF!</v>
          </cell>
        </row>
        <row r="509">
          <cell r="C509" t="e">
            <v>#REF!</v>
          </cell>
          <cell r="D509" t="e">
            <v>#REF!</v>
          </cell>
          <cell r="E509" t="e">
            <v>#REF!</v>
          </cell>
          <cell r="K509" t="str">
            <v>FDNEREERTINSSTR</v>
          </cell>
        </row>
        <row r="510">
          <cell r="B510" t="e">
            <v>#REF!</v>
          </cell>
          <cell r="C510" t="e">
            <v>#REF!</v>
          </cell>
          <cell r="D510" t="e">
            <v>#REF!</v>
          </cell>
          <cell r="E510" t="e">
            <v>#REF!</v>
          </cell>
        </row>
        <row r="511">
          <cell r="C511" t="e">
            <v>#REF!</v>
          </cell>
          <cell r="D511" t="e">
            <v>#REF!</v>
          </cell>
          <cell r="E511" t="e">
            <v>#REF!</v>
          </cell>
          <cell r="K511" t="str">
            <v>FDNEREERTINSSTR</v>
          </cell>
        </row>
        <row r="512">
          <cell r="B512" t="e">
            <v>#REF!</v>
          </cell>
          <cell r="C512" t="e">
            <v>#REF!</v>
          </cell>
          <cell r="D512" t="e">
            <v>#REF!</v>
          </cell>
          <cell r="E512" t="e">
            <v>#REF!</v>
          </cell>
        </row>
        <row r="513">
          <cell r="C513" t="e">
            <v>#REF!</v>
          </cell>
          <cell r="D513" t="e">
            <v>#REF!</v>
          </cell>
          <cell r="E513" t="e">
            <v>#REF!</v>
          </cell>
          <cell r="K513" t="str">
            <v>FDNEREERTINSSTR</v>
          </cell>
        </row>
        <row r="514">
          <cell r="B514" t="e">
            <v>#REF!</v>
          </cell>
          <cell r="C514" t="e">
            <v>#REF!</v>
          </cell>
          <cell r="D514" t="e">
            <v>#REF!</v>
          </cell>
          <cell r="E514" t="e">
            <v>#REF!</v>
          </cell>
        </row>
        <row r="515">
          <cell r="C515" t="e">
            <v>#REF!</v>
          </cell>
          <cell r="D515" t="e">
            <v>#REF!</v>
          </cell>
          <cell r="E515" t="e">
            <v>#REF!</v>
          </cell>
          <cell r="K515" t="str">
            <v>FDNEREERTINSSTR</v>
          </cell>
        </row>
        <row r="516">
          <cell r="B516" t="e">
            <v>#REF!</v>
          </cell>
          <cell r="C516" t="e">
            <v>#REF!</v>
          </cell>
          <cell r="D516" t="e">
            <v>#REF!</v>
          </cell>
          <cell r="E516" t="e">
            <v>#REF!</v>
          </cell>
        </row>
        <row r="517">
          <cell r="C517" t="e">
            <v>#REF!</v>
          </cell>
          <cell r="D517" t="e">
            <v>#REF!</v>
          </cell>
          <cell r="E517" t="e">
            <v>#REF!</v>
          </cell>
          <cell r="K517" t="str">
            <v>FDNEREERTINSSTR</v>
          </cell>
        </row>
        <row r="518">
          <cell r="B518" t="e">
            <v>#REF!</v>
          </cell>
          <cell r="C518" t="e">
            <v>#REF!</v>
          </cell>
          <cell r="D518" t="e">
            <v>#REF!</v>
          </cell>
          <cell r="E518" t="e">
            <v>#REF!</v>
          </cell>
        </row>
        <row r="519">
          <cell r="C519" t="e">
            <v>#REF!</v>
          </cell>
          <cell r="D519" t="e">
            <v>#REF!</v>
          </cell>
          <cell r="E519" t="e">
            <v>#REF!</v>
          </cell>
          <cell r="K519" t="str">
            <v>FDNEREERTINSSTR</v>
          </cell>
        </row>
        <row r="520">
          <cell r="B520" t="e">
            <v>#REF!</v>
          </cell>
          <cell r="C520" t="e">
            <v>#REF!</v>
          </cell>
          <cell r="D520" t="e">
            <v>#REF!</v>
          </cell>
          <cell r="E520" t="e">
            <v>#REF!</v>
          </cell>
        </row>
        <row r="521">
          <cell r="C521" t="e">
            <v>#REF!</v>
          </cell>
          <cell r="D521" t="e">
            <v>#REF!</v>
          </cell>
          <cell r="E521" t="e">
            <v>#REF!</v>
          </cell>
          <cell r="K521" t="str">
            <v>FDNEREERTINSSTR</v>
          </cell>
        </row>
        <row r="522">
          <cell r="B522" t="e">
            <v>#REF!</v>
          </cell>
          <cell r="C522" t="e">
            <v>#REF!</v>
          </cell>
          <cell r="D522" t="e">
            <v>#REF!</v>
          </cell>
          <cell r="E522" t="e">
            <v>#REF!</v>
          </cell>
        </row>
        <row r="523">
          <cell r="C523" t="e">
            <v>#REF!</v>
          </cell>
          <cell r="D523" t="e">
            <v>#REF!</v>
          </cell>
          <cell r="E523" t="e">
            <v>#REF!</v>
          </cell>
          <cell r="K523" t="str">
            <v>FDNEREERTINSSTR</v>
          </cell>
        </row>
        <row r="524">
          <cell r="B524" t="e">
            <v>#REF!</v>
          </cell>
          <cell r="C524" t="e">
            <v>#REF!</v>
          </cell>
          <cell r="D524" t="e">
            <v>#REF!</v>
          </cell>
          <cell r="E524" t="e">
            <v>#REF!</v>
          </cell>
        </row>
        <row r="525">
          <cell r="C525" t="e">
            <v>#REF!</v>
          </cell>
          <cell r="D525" t="e">
            <v>#REF!</v>
          </cell>
          <cell r="E525" t="e">
            <v>#REF!</v>
          </cell>
          <cell r="K525" t="str">
            <v>FDNEREERTINSSTR</v>
          </cell>
        </row>
        <row r="526">
          <cell r="B526" t="e">
            <v>#REF!</v>
          </cell>
          <cell r="C526" t="e">
            <v>#REF!</v>
          </cell>
          <cell r="D526" t="e">
            <v>#REF!</v>
          </cell>
          <cell r="E526" t="e">
            <v>#REF!</v>
          </cell>
        </row>
        <row r="527">
          <cell r="C527" t="e">
            <v>#REF!</v>
          </cell>
          <cell r="D527" t="e">
            <v>#REF!</v>
          </cell>
          <cell r="E527" t="e">
            <v>#REF!</v>
          </cell>
          <cell r="K527" t="str">
            <v>FDNEREERTINSSTR</v>
          </cell>
        </row>
        <row r="528">
          <cell r="B528" t="e">
            <v>#REF!</v>
          </cell>
          <cell r="C528" t="e">
            <v>#REF!</v>
          </cell>
          <cell r="D528" t="e">
            <v>#REF!</v>
          </cell>
          <cell r="E528" t="e">
            <v>#REF!</v>
          </cell>
        </row>
        <row r="529">
          <cell r="C529" t="e">
            <v>#REF!</v>
          </cell>
          <cell r="D529" t="e">
            <v>#REF!</v>
          </cell>
          <cell r="E529" t="e">
            <v>#REF!</v>
          </cell>
          <cell r="K529" t="str">
            <v>FDNEREERTINSSTR</v>
          </cell>
        </row>
        <row r="530">
          <cell r="B530" t="e">
            <v>#REF!</v>
          </cell>
          <cell r="C530" t="e">
            <v>#REF!</v>
          </cell>
          <cell r="D530" t="e">
            <v>#REF!</v>
          </cell>
          <cell r="E530" t="e">
            <v>#REF!</v>
          </cell>
        </row>
        <row r="531">
          <cell r="C531" t="e">
            <v>#REF!</v>
          </cell>
          <cell r="D531" t="e">
            <v>#REF!</v>
          </cell>
          <cell r="E531" t="e">
            <v>#REF!</v>
          </cell>
          <cell r="K531" t="str">
            <v>FDNEREERTINSSTR</v>
          </cell>
        </row>
        <row r="532">
          <cell r="B532" t="e">
            <v>#REF!</v>
          </cell>
          <cell r="C532" t="e">
            <v>#REF!</v>
          </cell>
          <cell r="D532" t="e">
            <v>#REF!</v>
          </cell>
          <cell r="E532" t="e">
            <v>#REF!</v>
          </cell>
        </row>
        <row r="533">
          <cell r="C533" t="e">
            <v>#REF!</v>
          </cell>
          <cell r="D533" t="e">
            <v>#REF!</v>
          </cell>
          <cell r="E533" t="e">
            <v>#REF!</v>
          </cell>
          <cell r="K533" t="str">
            <v>FDNEREERTINSSTR</v>
          </cell>
        </row>
        <row r="534">
          <cell r="B534" t="e">
            <v>#REF!</v>
          </cell>
          <cell r="C534" t="e">
            <v>#REF!</v>
          </cell>
          <cell r="D534" t="e">
            <v>#REF!</v>
          </cell>
          <cell r="E534" t="e">
            <v>#REF!</v>
          </cell>
        </row>
        <row r="535">
          <cell r="C535" t="e">
            <v>#REF!</v>
          </cell>
          <cell r="D535" t="e">
            <v>#REF!</v>
          </cell>
          <cell r="E535" t="e">
            <v>#REF!</v>
          </cell>
          <cell r="K535" t="str">
            <v>FDNEREERTINSSTR</v>
          </cell>
        </row>
        <row r="536">
          <cell r="B536" t="e">
            <v>#REF!</v>
          </cell>
          <cell r="C536" t="e">
            <v>#REF!</v>
          </cell>
          <cell r="D536" t="e">
            <v>#REF!</v>
          </cell>
          <cell r="E536" t="e">
            <v>#REF!</v>
          </cell>
        </row>
        <row r="537">
          <cell r="C537" t="e">
            <v>#REF!</v>
          </cell>
          <cell r="D537" t="e">
            <v>#REF!</v>
          </cell>
          <cell r="E537" t="e">
            <v>#REF!</v>
          </cell>
          <cell r="K537" t="str">
            <v>FDNEREERTINSSTR</v>
          </cell>
        </row>
        <row r="538">
          <cell r="B538" t="e">
            <v>#REF!</v>
          </cell>
          <cell r="C538" t="e">
            <v>#REF!</v>
          </cell>
          <cell r="D538" t="e">
            <v>#REF!</v>
          </cell>
          <cell r="E538" t="e">
            <v>#REF!</v>
          </cell>
        </row>
        <row r="539">
          <cell r="C539" t="e">
            <v>#REF!</v>
          </cell>
          <cell r="D539" t="e">
            <v>#REF!</v>
          </cell>
          <cell r="E539" t="e">
            <v>#REF!</v>
          </cell>
          <cell r="K539" t="str">
            <v>FDNEREERTINSSTR</v>
          </cell>
        </row>
        <row r="540">
          <cell r="B540" t="e">
            <v>#REF!</v>
          </cell>
          <cell r="C540" t="e">
            <v>#REF!</v>
          </cell>
          <cell r="D540" t="e">
            <v>#REF!</v>
          </cell>
          <cell r="E540" t="e">
            <v>#REF!</v>
          </cell>
        </row>
        <row r="541">
          <cell r="C541" t="e">
            <v>#REF!</v>
          </cell>
          <cell r="D541" t="e">
            <v>#REF!</v>
          </cell>
          <cell r="E541" t="e">
            <v>#REF!</v>
          </cell>
          <cell r="K541" t="str">
            <v>FDNEREERTINSSTR</v>
          </cell>
        </row>
        <row r="542">
          <cell r="B542" t="e">
            <v>#REF!</v>
          </cell>
          <cell r="C542" t="e">
            <v>#REF!</v>
          </cell>
          <cell r="D542" t="e">
            <v>#REF!</v>
          </cell>
          <cell r="E542" t="e">
            <v>#REF!</v>
          </cell>
        </row>
        <row r="543">
          <cell r="C543" t="e">
            <v>#REF!</v>
          </cell>
          <cell r="D543" t="e">
            <v>#REF!</v>
          </cell>
          <cell r="E543" t="e">
            <v>#REF!</v>
          </cell>
          <cell r="K543" t="str">
            <v>FDNEREERTINSSTR</v>
          </cell>
        </row>
        <row r="544">
          <cell r="B544" t="e">
            <v>#REF!</v>
          </cell>
          <cell r="C544" t="e">
            <v>#REF!</v>
          </cell>
          <cell r="D544" t="e">
            <v>#REF!</v>
          </cell>
          <cell r="E544" t="e">
            <v>#REF!</v>
          </cell>
        </row>
        <row r="545">
          <cell r="C545" t="e">
            <v>#REF!</v>
          </cell>
          <cell r="D545" t="e">
            <v>#REF!</v>
          </cell>
          <cell r="E545" t="e">
            <v>#REF!</v>
          </cell>
        </row>
        <row r="546">
          <cell r="B546" t="e">
            <v>#REF!</v>
          </cell>
          <cell r="C546" t="e">
            <v>#REF!</v>
          </cell>
          <cell r="D546" t="e">
            <v>#REF!</v>
          </cell>
          <cell r="E546" t="e">
            <v>#REF!</v>
          </cell>
        </row>
        <row r="547">
          <cell r="C547" t="e">
            <v>#REF!</v>
          </cell>
          <cell r="D547" t="e">
            <v>#REF!</v>
          </cell>
          <cell r="E547" t="e">
            <v>#REF!</v>
          </cell>
        </row>
      </sheetData>
      <sheetData sheetId="13">
        <row r="17">
          <cell r="B17" t="str">
            <v>DA-3</v>
          </cell>
        </row>
      </sheetData>
      <sheetData sheetId="14"/>
      <sheetData sheetId="15"/>
      <sheetData sheetId="16"/>
      <sheetData sheetId="17"/>
      <sheetData sheetId="18">
        <row r="1">
          <cell r="A1" t="str">
            <v>FDNEREERTINSSTR</v>
          </cell>
        </row>
      </sheetData>
      <sheetData sheetId="19">
        <row r="5">
          <cell r="F5" t="str">
            <v>FDN</v>
          </cell>
        </row>
      </sheetData>
      <sheetData sheetId="20">
        <row r="17">
          <cell r="B17" t="str">
            <v>DA-3</v>
          </cell>
        </row>
      </sheetData>
      <sheetData sheetId="21"/>
      <sheetData sheetId="22"/>
      <sheetData sheetId="23"/>
      <sheetData sheetId="24"/>
      <sheetData sheetId="25">
        <row r="1">
          <cell r="A1" t="str">
            <v>FDNEREERTINSSTR</v>
          </cell>
        </row>
      </sheetData>
      <sheetData sheetId="26">
        <row r="5">
          <cell r="F5" t="str">
            <v>FDN</v>
          </cell>
        </row>
      </sheetData>
      <sheetData sheetId="27">
        <row r="17">
          <cell r="B17" t="str">
            <v>DA-3</v>
          </cell>
        </row>
      </sheetData>
      <sheetData sheetId="28"/>
      <sheetData sheetId="29"/>
      <sheetData sheetId="30"/>
      <sheetData sheetId="31"/>
      <sheetData sheetId="32">
        <row r="1">
          <cell r="A1" t="str">
            <v>FDNEREERTINSSTR</v>
          </cell>
        </row>
      </sheetData>
      <sheetData sheetId="33">
        <row r="5">
          <cell r="F5" t="str">
            <v>FDN</v>
          </cell>
        </row>
      </sheetData>
      <sheetData sheetId="34">
        <row r="17">
          <cell r="B17" t="str">
            <v>DA-3</v>
          </cell>
        </row>
      </sheetData>
      <sheetData sheetId="35"/>
      <sheetData sheetId="36"/>
      <sheetData sheetId="37"/>
      <sheetData sheetId="38"/>
      <sheetData sheetId="39">
        <row r="1">
          <cell r="A1" t="str">
            <v>FDNEREERTINSSTR</v>
          </cell>
        </row>
      </sheetData>
      <sheetData sheetId="40">
        <row r="5">
          <cell r="F5" t="str">
            <v>FDN</v>
          </cell>
        </row>
      </sheetData>
      <sheetData sheetId="41">
        <row r="17">
          <cell r="B17" t="str">
            <v>DA-3</v>
          </cell>
        </row>
      </sheetData>
      <sheetData sheetId="42"/>
      <sheetData sheetId="43">
        <row r="1">
          <cell r="A1" t="str">
            <v>FDNEREERTINSSTR</v>
          </cell>
        </row>
      </sheetData>
      <sheetData sheetId="44">
        <row r="5">
          <cell r="F5" t="str">
            <v>FDN</v>
          </cell>
        </row>
      </sheetData>
      <sheetData sheetId="45"/>
      <sheetData sheetId="46"/>
      <sheetData sheetId="4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july-I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Cover_sheet1"/>
      <sheetName val="Vind_-_BtB1"/>
      <sheetName val="Staff_Acco_1"/>
      <sheetName val="220_11__BS_1"/>
      <sheetName val="DETAILED__BOQ1"/>
      <sheetName val="Load_Details(B2)"/>
      <sheetName val="Cover_sheet3"/>
      <sheetName val="Vind_-_BtB3"/>
      <sheetName val="Staff_Acco_3"/>
      <sheetName val="220_11__BS_3"/>
      <sheetName val="DETAILED__BOQ3"/>
      <sheetName val="Load_Details(B2)2"/>
      <sheetName val="Cover_sheet2"/>
      <sheetName val="Vind_-_BtB2"/>
      <sheetName val="Staff_Acco_2"/>
      <sheetName val="220_11__BS_2"/>
      <sheetName val="DETAILED__BOQ2"/>
      <sheetName val="Load_Details(B2)1"/>
      <sheetName val="Vind_-_BtB4"/>
      <sheetName val="Staff_Acco_4"/>
      <sheetName val="220_11__BS_4"/>
      <sheetName val="Cover_sheet4"/>
      <sheetName val="DETAILED__BOQ4"/>
      <sheetName val="Load_Details(B2)3"/>
      <sheetName val="Vind_-_BtB5"/>
      <sheetName val="Staff_Acco_5"/>
      <sheetName val="220_11__BS_5"/>
      <sheetName val="Cover_sheet5"/>
      <sheetName val="DETAILED__BOQ5"/>
      <sheetName val="Load_Details(B2)4"/>
      <sheetName val="Vind_-_BtB12"/>
      <sheetName val="Staff_Acco_12"/>
      <sheetName val="220_11__BS_12"/>
      <sheetName val="Cover_sheet12"/>
      <sheetName val="DETAILED__BOQ6"/>
      <sheetName val="Load_Details(B2)5"/>
      <sheetName val="trafo-size"/>
      <sheetName val="BTB"/>
      <sheetName val="cf"/>
      <sheetName val="orders"/>
      <sheetName val="General"/>
      <sheetName val="Conversion"/>
      <sheetName val="synthesis"/>
      <sheetName val="COA-17"/>
      <sheetName val="C-18"/>
      <sheetName val="PBS"/>
      <sheetName val="PRECAST_lightconc-II5"/>
      <sheetName val="Top_sheet4"/>
      <sheetName val="PRECAST_lightconc-II2"/>
      <sheetName val="Top_sheet2"/>
      <sheetName val="PRECAST_lightconc-II"/>
      <sheetName val="Top_sheet"/>
      <sheetName val="PRECAST_lightconc-II1"/>
      <sheetName val="Top_sheet1"/>
      <sheetName val="PRECAST_lightconc-II3"/>
      <sheetName val="Top_sheet3"/>
      <sheetName val="S1BOQ"/>
      <sheetName val="Labour"/>
      <sheetName val="Material"/>
      <sheetName val="Plant_&amp;__Machinery1"/>
      <sheetName val="COEFF"/>
      <sheetName val="prod_rep"/>
      <sheetName val="QTYDATA"/>
      <sheetName val="P&amp;L"/>
      <sheetName val="presentation"/>
      <sheetName val="Basis"/>
      <sheetName val="direct_cost_shed_a-2_1"/>
      <sheetName val="pack_(b)1"/>
      <sheetName val="EP_13-141"/>
      <sheetName val="IE_13-141"/>
      <sheetName val="SS_13-141"/>
      <sheetName val="TL_13-141"/>
      <sheetName val="Cable_data1"/>
      <sheetName val="Load_Details-220kV1"/>
      <sheetName val="Plant_&amp;__Machinery"/>
      <sheetName val="direct_cost_shed_a-2_"/>
      <sheetName val="pack_(b)"/>
      <sheetName val="EP_13-14"/>
      <sheetName val="IE_13-14"/>
      <sheetName val="SS_13-14"/>
      <sheetName val="TL_13-14"/>
      <sheetName val="Cable_data"/>
      <sheetName val="Load_Details-220kV"/>
      <sheetName val="Cover_sheet10"/>
      <sheetName val="Vind_-_BtB10"/>
      <sheetName val="Staff_Acco_10"/>
      <sheetName val="220_11__BS_10"/>
      <sheetName val="Cover_sheet8"/>
      <sheetName val="Vind_-_BtB8"/>
      <sheetName val="Staff_Acco_8"/>
      <sheetName val="220_11__BS_8"/>
      <sheetName val="Cover_sheet6"/>
      <sheetName val="Vind_-_BtB6"/>
      <sheetName val="Staff_Acco_6"/>
      <sheetName val="220_11__BS_6"/>
      <sheetName val="Cover_sheet7"/>
      <sheetName val="Vind_-_BtB7"/>
      <sheetName val="Staff_Acco_7"/>
      <sheetName val="220_11__BS_7"/>
      <sheetName val="Cover_sheet9"/>
      <sheetName val="Vind_-_BtB9"/>
      <sheetName val="Staff_Acco_9"/>
      <sheetName val="220_11__BS_9"/>
      <sheetName val="Cover_sheet11"/>
      <sheetName val="Vind_-_BtB11"/>
      <sheetName val="Staff_Acco_11"/>
      <sheetName val="220_11__BS_11"/>
      <sheetName val="PRECAST_lightconc-II4"/>
      <sheetName val="PRECAST lightconc-II"/>
      <sheetName val="Top sheet"/>
      <sheetName val="Plant &amp;  Machinery"/>
      <sheetName val="direct cost shed a-2 "/>
      <sheetName val="pack (b)"/>
      <sheetName val="EP 13-14"/>
      <sheetName val="IE 13-14"/>
      <sheetName val="SS 13-14"/>
      <sheetName val="TL 13-14"/>
      <sheetName val="Cable data"/>
      <sheetName val="Load Details-220kV"/>
      <sheetName val="Vind_-_BtB13"/>
      <sheetName val="Staff_Acco_13"/>
      <sheetName val="220_11__BS_13"/>
      <sheetName val="Cover_sheet13"/>
      <sheetName val="DETAILED__BOQ7"/>
      <sheetName val="Load_Details(B2)6"/>
      <sheetName val="PRECAST_lightconc-II6"/>
      <sheetName val="Top_sheet5"/>
      <sheetName val="Plant_&amp;__Machinery2"/>
      <sheetName val="direct_cost_shed_a-2_2"/>
      <sheetName val="pack_(b)2"/>
      <sheetName val="EP_13-142"/>
      <sheetName val="IE_13-142"/>
      <sheetName val="SS_13-142"/>
      <sheetName val="TL_13-142"/>
      <sheetName val="Cable_data2"/>
      <sheetName val="Load_Details-220kV2"/>
      <sheetName val="contribution"/>
      <sheetName val="ratio"/>
      <sheetName val="unp-ncw 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BOQ_(2)1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  <sheetName val="Dec_-_Acc_for_Office6"/>
      <sheetName val="Dec_-_26"/>
      <sheetName val="Dec_-_1_6"/>
      <sheetName val="Dec_-_1(2)6"/>
      <sheetName val="Nov_-2_(2)6"/>
      <sheetName val="Stament_of_Account_November6"/>
      <sheetName val="Stament_of_Account_Nov-2_&amp;Dec_6"/>
      <sheetName val="Account_-Nov_-2_6"/>
      <sheetName val="Traial_Balance_as_on_Nov_156"/>
      <sheetName val="Nov_-26"/>
      <sheetName val="Account_Nov_-1__(2)6"/>
      <sheetName val="Account_Nov_-1_6"/>
      <sheetName val="Statement_of_Acc_Nov-16"/>
      <sheetName val="Nov_-16"/>
      <sheetName val="Statement_of_Acc_Spe-2_(2)6"/>
      <sheetName val="Traial_Balance_as_on_Oct_306"/>
      <sheetName val="Oct_-2_(2)6"/>
      <sheetName val="Statement_of_Acc_Oct_-_II6"/>
      <sheetName val="Traial_Balance_as_on_Sept306"/>
      <sheetName val="Statement_of_Acc_Bal6"/>
      <sheetName val="Oct_-26"/>
      <sheetName val="Statement_of_Oct_-_1_(2)6"/>
      <sheetName val="Statement_of_Acc_Oct_-_16"/>
      <sheetName val="Statement_of_Oct_-_16"/>
      <sheetName val="Oct_-_16"/>
      <sheetName val="Sept_-_1&amp;2_(2)6"/>
      <sheetName val="Statement_of_Acc_Spe-26"/>
      <sheetName val="Atatement_of_Acc_Sept-26"/>
      <sheetName val="Statement_of_Acc_Spe-16"/>
      <sheetName val="Sept_-_Acc6"/>
      <sheetName val="Sept_-_1&amp;26"/>
      <sheetName val="july-I_(2)6"/>
      <sheetName val="Aug-I_(2)6"/>
      <sheetName val="Traial_Balance_as_on_Aug_-316"/>
      <sheetName val="Statement_of_Account_Aug_-_I6"/>
      <sheetName val="Statement_of_Acc_-_Aug-I6"/>
      <sheetName val="Statement_of_Account_May6"/>
      <sheetName val="july-I_ACC6"/>
      <sheetName val="Statement_of_AccountJuly6"/>
      <sheetName val="feb&amp;mar_(2)6"/>
      <sheetName val="sheet2_(2)6"/>
      <sheetName val="Staff_Acco_6"/>
      <sheetName val="As_per_PCA6"/>
      <sheetName val="PRECAST_lightconc-II6"/>
      <sheetName val="BOQ_(2)6"/>
      <sheetName val="Dec_-_Acc_for_Office7"/>
      <sheetName val="Dec_-_27"/>
      <sheetName val="Dec_-_1_7"/>
      <sheetName val="Dec_-_1(2)7"/>
      <sheetName val="Nov_-2_(2)7"/>
      <sheetName val="Stament_of_Account_November7"/>
      <sheetName val="Stament_of_Account_Nov-2_&amp;Dec_7"/>
      <sheetName val="Account_-Nov_-2_7"/>
      <sheetName val="Traial_Balance_as_on_Nov_157"/>
      <sheetName val="Nov_-27"/>
      <sheetName val="Account_Nov_-1__(2)7"/>
      <sheetName val="Account_Nov_-1_7"/>
      <sheetName val="Statement_of_Acc_Nov-17"/>
      <sheetName val="Nov_-17"/>
      <sheetName val="Statement_of_Acc_Spe-2_(2)7"/>
      <sheetName val="Traial_Balance_as_on_Oct_307"/>
      <sheetName val="Oct_-2_(2)7"/>
      <sheetName val="Statement_of_Acc_Oct_-_II7"/>
      <sheetName val="Traial_Balance_as_on_Sept307"/>
      <sheetName val="Statement_of_Acc_Bal7"/>
      <sheetName val="Oct_-27"/>
      <sheetName val="Statement_of_Oct_-_1_(2)7"/>
      <sheetName val="Statement_of_Acc_Oct_-_17"/>
      <sheetName val="Statement_of_Oct_-_17"/>
      <sheetName val="Oct_-_17"/>
      <sheetName val="Sept_-_1&amp;2_(2)7"/>
      <sheetName val="Statement_of_Acc_Spe-27"/>
      <sheetName val="Atatement_of_Acc_Sept-27"/>
      <sheetName val="Statement_of_Acc_Spe-17"/>
      <sheetName val="Sept_-_Acc7"/>
      <sheetName val="Sept_-_1&amp;27"/>
      <sheetName val="july-I_(2)7"/>
      <sheetName val="Aug-I_(2)7"/>
      <sheetName val="Traial_Balance_as_on_Aug_-317"/>
      <sheetName val="Statement_of_Account_Aug_-_I7"/>
      <sheetName val="Statement_of_Acc_-_Aug-I7"/>
      <sheetName val="Statement_of_Account_May7"/>
      <sheetName val="july-I_ACC7"/>
      <sheetName val="Statement_of_AccountJuly7"/>
      <sheetName val="feb&amp;mar_(2)7"/>
      <sheetName val="sheet2_(2)7"/>
      <sheetName val="Staff_Acco_7"/>
      <sheetName val="As_per_PCA7"/>
      <sheetName val="PRECAST_lightconc-II7"/>
      <sheetName val="BOQ_(2)7"/>
      <sheetName val="DETAILED  BOQ"/>
      <sheetName val="Indices"/>
      <sheetName val="Tables"/>
      <sheetName val="cal"/>
      <sheetName val="3BPA00132-5-3 W plan HVPNL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12 - 15 Avg Cons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ACC-A"/>
      <sheetName val="Stub&amp;Twr"/>
      <sheetName val="Twr Qty."/>
      <sheetName val="DS Approved"/>
      <sheetName val="S-C"/>
      <sheetName val="62-Gty Bhadla"/>
      <sheetName val="DRG-SUB"/>
      <sheetName val="ESIC_DEDN_"/>
      <sheetName val="ESIC_CONTBN"/>
      <sheetName val="drg"/>
      <sheetName val="Table10"/>
      <sheetName val="Table11"/>
      <sheetName val="Table12"/>
      <sheetName val="Table9"/>
      <sheetName val="Part A General"/>
      <sheetName val="moments-table(tri)"/>
      <sheetName val="Calc"/>
      <sheetName val="Twr Qty Old."/>
      <sheetName val="Sheet1"/>
      <sheetName val="DS Approved (T) (2)"/>
      <sheetName val="1-14"/>
      <sheetName val="50-56"/>
      <sheetName val="CFL-KIM"/>
      <sheetName val="Format - 4"/>
      <sheetName val="purpose&amp;input"/>
      <sheetName val="Rate Analysis"/>
      <sheetName val="tb"/>
      <sheetName val="eoudesp"/>
      <sheetName val="BOQ civil"/>
      <sheetName val="DETAIL SHEET"/>
      <sheetName val="TS-TC"/>
      <sheetName val="SUMMARY"/>
      <sheetName val="rate"/>
      <sheetName val="QTY"/>
      <sheetName val="EDWise"/>
      <sheetName val="wt"/>
      <sheetName val="SUMMERY"/>
      <sheetName val="Data base 12-13 back Jan 10"/>
      <sheetName val="ABBR"/>
      <sheetName val="FT-05-02IsoBOM"/>
      <sheetName val="calf"/>
      <sheetName val="Table 4"/>
      <sheetName val="Table 5"/>
      <sheetName val="BOQ"/>
      <sheetName val="ABSTRACT(TL)"/>
      <sheetName val=" Type III"/>
      <sheetName val=" Type I"/>
      <sheetName val="B-Chart"/>
      <sheetName val="Activity-Wise Billed"/>
      <sheetName val="60% Cost of Mat"/>
      <sheetName val="Assumptions"/>
      <sheetName val="Twr_Qty_"/>
      <sheetName val="DS_Approved"/>
      <sheetName val="62-Gty_Bhadla"/>
      <sheetName val="Part_A_General"/>
      <sheetName val="Twr_Qty_Old_"/>
      <sheetName val="DS_Approved_(T)_(2)"/>
      <sheetName val="Format_-_4"/>
      <sheetName val="Rate_Analysis"/>
      <sheetName val="BOQ_civil"/>
      <sheetName val="DETAIL_SHEET"/>
      <sheetName val="Data_base_12-13_back_Jan_10"/>
      <sheetName val="Table_4"/>
      <sheetName val="Table_5"/>
      <sheetName val="_Type_III"/>
      <sheetName val="_Type_I"/>
      <sheetName val="Activity-Wise_Billed"/>
      <sheetName val="60%_Cost_of_Mat"/>
      <sheetName val="Twr_Qty_1"/>
      <sheetName val="DS_Approved1"/>
      <sheetName val="62-Gty_Bhadla1"/>
      <sheetName val="Part_A_General1"/>
      <sheetName val="Twr_Qty_Old_1"/>
      <sheetName val="DS_Approved_(T)_(2)1"/>
      <sheetName val="Format_-_41"/>
      <sheetName val="Rate_Analysis1"/>
      <sheetName val="BOQ_civil1"/>
      <sheetName val="DETAIL_SHEET1"/>
      <sheetName val="Data_base_12-13_back_Jan_101"/>
      <sheetName val="Table_41"/>
      <sheetName val="Table_51"/>
      <sheetName val="_Type_III1"/>
      <sheetName val="_Type_I1"/>
      <sheetName val="Activity-Wise_Billed1"/>
      <sheetName val="60%_Cost_of_Mat1"/>
      <sheetName val="Twr_Qty_2"/>
      <sheetName val="DS_Approved2"/>
      <sheetName val="62-Gty_Bhadla2"/>
      <sheetName val="Part_A_General2"/>
      <sheetName val="Twr_Qty_Old_2"/>
      <sheetName val="DS_Approved_(T)_(2)2"/>
      <sheetName val="Format_-_42"/>
      <sheetName val="Rate_Analysis2"/>
      <sheetName val="BOQ_civil2"/>
      <sheetName val="DETAIL_SHEET2"/>
      <sheetName val="Data_base_12-13_back_Jan_102"/>
      <sheetName val="Table_42"/>
      <sheetName val="Table_52"/>
      <sheetName val="_Type_III2"/>
      <sheetName val="_Type_I2"/>
      <sheetName val="Activity-Wise_Billed2"/>
      <sheetName val="60%_Cost_of_Mat2"/>
      <sheetName val="Twr_Qty_3"/>
      <sheetName val="DS_Approved3"/>
      <sheetName val="62-Gty_Bhadla3"/>
      <sheetName val="Part_A_General3"/>
      <sheetName val="Twr_Qty_Old_3"/>
      <sheetName val="DS_Approved_(T)_(2)3"/>
      <sheetName val="Format_-_43"/>
      <sheetName val="Rate_Analysis3"/>
      <sheetName val="BOQ_civil3"/>
      <sheetName val="DETAIL_SHEET3"/>
      <sheetName val="Data_base_12-13_back_Jan_103"/>
      <sheetName val="Table_43"/>
      <sheetName val="Table_53"/>
      <sheetName val="_Type_III3"/>
      <sheetName val="_Type_I3"/>
      <sheetName val="Activity-Wise_Billed3"/>
      <sheetName val="60%_Cost_of_Mat3"/>
      <sheetName val="Inputs"/>
      <sheetName val="master file"/>
      <sheetName val="Twr_Qty_4"/>
      <sheetName val="DS_Approved4"/>
      <sheetName val="62-Gty_Bhadla4"/>
      <sheetName val="Part_A_General4"/>
      <sheetName val="Twr_Qty_Old_4"/>
      <sheetName val="DS_Approved_(T)_(2)4"/>
      <sheetName val="Format_-_44"/>
      <sheetName val="Rate_Analysis4"/>
      <sheetName val="BOQ_civil4"/>
      <sheetName val="DETAIL_SHEET4"/>
      <sheetName val="Data_base_12-13_back_Jan_104"/>
      <sheetName val="Table_44"/>
      <sheetName val="Table_54"/>
      <sheetName val="_Type_III4"/>
      <sheetName val="_Type_I4"/>
      <sheetName val="Activity-Wise_Billed4"/>
      <sheetName val="60%_Cost_of_Mat4"/>
      <sheetName val="master_file"/>
      <sheetName val="Parameters"/>
      <sheetName val="S1BOQ"/>
      <sheetName val="dummy"/>
      <sheetName val="TB CP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DETAILS"/>
      <sheetName val="Sheet2"/>
      <sheetName val="SALES_DETAILS"/>
      <sheetName val="SALES_DETAILS2"/>
      <sheetName val="SALES_DETAILS1"/>
      <sheetName val="SALES_DETAILS3"/>
      <sheetName val="SALES_DETAILS4"/>
      <sheetName val="SALES_DETAILS5"/>
      <sheetName val="SALES_DETAILS6"/>
    </sheetNames>
    <sheetDataSet>
      <sheetData sheetId="0"/>
      <sheetData sheetId="1">
        <row r="1">
          <cell r="B1" t="str">
            <v>CST-Form C</v>
          </cell>
        </row>
        <row r="2">
          <cell r="B2" t="str">
            <v>CST-Form F</v>
          </cell>
        </row>
        <row r="3">
          <cell r="B3" t="str">
            <v>CST-Form H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RCHASE DETAILS"/>
      <sheetName val="Sheet2"/>
      <sheetName val="PURCHASE_DETAILS"/>
      <sheetName val="PURCHASE_DETAILS2"/>
      <sheetName val="PURCHASE_DETAILS1"/>
      <sheetName val="PURCHASE_DETAILS3"/>
      <sheetName val="PURCHASE_DETAILS4"/>
      <sheetName val="PURCHASE_DETAILS5"/>
      <sheetName val="PURCHASE_DETAILS6"/>
    </sheetNames>
    <sheetDataSet>
      <sheetData sheetId="0" refreshError="1"/>
      <sheetData sheetId="1">
        <row r="1">
          <cell r="A1" t="str">
            <v>Andaman and Nicobar Islands</v>
          </cell>
        </row>
        <row r="2">
          <cell r="A2" t="str">
            <v>Andhra Pradesh</v>
          </cell>
        </row>
        <row r="3">
          <cell r="A3" t="str">
            <v>Arunachal Pradesh</v>
          </cell>
        </row>
        <row r="4">
          <cell r="A4" t="str">
            <v>Assam</v>
          </cell>
        </row>
        <row r="5">
          <cell r="A5" t="str">
            <v>Bihar</v>
          </cell>
        </row>
        <row r="6">
          <cell r="A6" t="str">
            <v>Chandigarh</v>
          </cell>
        </row>
        <row r="7">
          <cell r="A7" t="str">
            <v>Chattisgarh</v>
          </cell>
        </row>
        <row r="8">
          <cell r="A8" t="str">
            <v>Daman And  Diu</v>
          </cell>
        </row>
        <row r="9">
          <cell r="A9" t="str">
            <v>Delhi</v>
          </cell>
        </row>
        <row r="10">
          <cell r="A10" t="str">
            <v>Dadra and Nagar Haveli</v>
          </cell>
        </row>
        <row r="11">
          <cell r="A11" t="str">
            <v>Goa</v>
          </cell>
        </row>
        <row r="12">
          <cell r="A12" t="str">
            <v>Gujarat</v>
          </cell>
        </row>
        <row r="13">
          <cell r="A13" t="str">
            <v>Himachal Pradesh</v>
          </cell>
        </row>
        <row r="14">
          <cell r="A14" t="str">
            <v>Haryana</v>
          </cell>
        </row>
        <row r="15">
          <cell r="A15" t="str">
            <v>Jammu And Kashmir</v>
          </cell>
        </row>
        <row r="16">
          <cell r="A16" t="str">
            <v>Jharkand</v>
          </cell>
        </row>
        <row r="17">
          <cell r="A17" t="str">
            <v>Karnataka</v>
          </cell>
        </row>
        <row r="18">
          <cell r="A18" t="str">
            <v>Kerala</v>
          </cell>
        </row>
        <row r="19">
          <cell r="A19" t="str">
            <v>Lakshadweep</v>
          </cell>
        </row>
        <row r="20">
          <cell r="A20" t="str">
            <v>Meghalaya</v>
          </cell>
        </row>
        <row r="21">
          <cell r="A21" t="str">
            <v>Maharastra</v>
          </cell>
        </row>
        <row r="22">
          <cell r="A22" t="str">
            <v>Manipur</v>
          </cell>
        </row>
        <row r="23">
          <cell r="A23" t="str">
            <v>Madhya Pradesh</v>
          </cell>
        </row>
        <row r="24">
          <cell r="A24" t="str">
            <v>Mizoram</v>
          </cell>
        </row>
        <row r="25">
          <cell r="A25" t="str">
            <v>Nagaland</v>
          </cell>
        </row>
        <row r="26">
          <cell r="A26" t="str">
            <v>Orissa</v>
          </cell>
        </row>
        <row r="27">
          <cell r="A27" t="str">
            <v>Punjab</v>
          </cell>
        </row>
        <row r="28">
          <cell r="A28" t="str">
            <v>Pondichery</v>
          </cell>
        </row>
        <row r="29">
          <cell r="A29" t="str">
            <v>Rajasthan</v>
          </cell>
        </row>
        <row r="30">
          <cell r="A30" t="str">
            <v>Sikkim</v>
          </cell>
        </row>
        <row r="31">
          <cell r="A31" t="str">
            <v>Tamil Nadu</v>
          </cell>
        </row>
        <row r="32">
          <cell r="A32" t="str">
            <v>Tripura</v>
          </cell>
        </row>
        <row r="33">
          <cell r="A33" t="str">
            <v>Uttaranchal</v>
          </cell>
        </row>
        <row r="34">
          <cell r="A34" t="str">
            <v>Uttar Pradesh</v>
          </cell>
        </row>
        <row r="35">
          <cell r="A35" t="str">
            <v>West Bengal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Manpower"/>
      <sheetName val="REVENUES &amp; BS"/>
      <sheetName val="bs BP 04 SA"/>
      <sheetName val="ADANI - Planning Sept-Mar"/>
      <sheetName val="Non-Adani Planning Sept-Mar"/>
      <sheetName val="Non-Adani Planning Sept-Mar (2)"/>
      <sheetName val="Cul_detail"/>
      <sheetName val="Base"/>
      <sheetName val="BOQ"/>
      <sheetName val="CLAY"/>
      <sheetName val="Schedule No.1"/>
      <sheetName val="Data sheet"/>
      <sheetName val="BHANDUP"/>
      <sheetName val="RATE-ANAY."/>
      <sheetName val="PV FDN"/>
      <sheetName val="SMR-EXP_"/>
      <sheetName val="CFL-JEJURI_(ad)"/>
      <sheetName val="CFL-DVC_"/>
      <sheetName val="SUMMARY_(2)"/>
      <sheetName val="SUMMARY_"/>
      <sheetName val="SUMMARY_(AD)"/>
      <sheetName val="REVENUES_&amp;_BS"/>
      <sheetName val="bs_BP_04_SA"/>
      <sheetName val="ADANI_-_Planning_Sept-Mar"/>
      <sheetName val="Non-Adani_Planning_Sept-Mar"/>
      <sheetName val="Non-Adani_Planning_Sept-Mar_(2)"/>
      <sheetName val="Schedule_No_1"/>
      <sheetName val="Data_sheet"/>
      <sheetName val="RATE-ANAY_"/>
      <sheetName val="PV_FDN"/>
      <sheetName val="SMR-EXP_2"/>
      <sheetName val="CFL-JEJURI_(ad)2"/>
      <sheetName val="CFL-DVC_2"/>
      <sheetName val="SUMMARY_(2)2"/>
      <sheetName val="SUMMARY_2"/>
      <sheetName val="SUMMARY_(AD)2"/>
      <sheetName val="REVENUES_&amp;_BS2"/>
      <sheetName val="bs_BP_04_SA2"/>
      <sheetName val="ADANI_-_Planning_Sept-Mar2"/>
      <sheetName val="Non-Adani_Planning_Sept-Mar2"/>
      <sheetName val="Non-Adani_Planning_Sept-Mar_(22"/>
      <sheetName val="Schedule_No_12"/>
      <sheetName val="Data_sheet2"/>
      <sheetName val="RATE-ANAY_2"/>
      <sheetName val="PV_FDN2"/>
      <sheetName val="SMR-EXP_1"/>
      <sheetName val="CFL-JEJURI_(ad)1"/>
      <sheetName val="CFL-DVC_1"/>
      <sheetName val="SUMMARY_(2)1"/>
      <sheetName val="SUMMARY_1"/>
      <sheetName val="SUMMARY_(AD)1"/>
      <sheetName val="REVENUES_&amp;_BS1"/>
      <sheetName val="bs_BP_04_SA1"/>
      <sheetName val="ADANI_-_Planning_Sept-Mar1"/>
      <sheetName val="Non-Adani_Planning_Sept-Mar1"/>
      <sheetName val="Non-Adani_Planning_Sept-Mar_(21"/>
      <sheetName val="Schedule_No_11"/>
      <sheetName val="Data_sheet1"/>
      <sheetName val="RATE-ANAY_1"/>
      <sheetName val="PV_FDN1"/>
      <sheetName val="std.wt."/>
      <sheetName val="steam outlet"/>
      <sheetName val="DETAILED  BOQ"/>
      <sheetName val="PRICE BID"/>
      <sheetName val="A 3_7"/>
      <sheetName val="LOCAL RATES"/>
      <sheetName val="Sum"/>
      <sheetName val="INPUT"/>
      <sheetName val="Tower Schedule"/>
      <sheetName val="Presentation"/>
      <sheetName val="std_wt_"/>
      <sheetName val="steam_outlet"/>
      <sheetName val="DETAILED__BOQ"/>
      <sheetName val="PRICE_BID"/>
      <sheetName val="A_3_7"/>
      <sheetName val="LOCAL_RATES"/>
      <sheetName val="Tower_Schedule"/>
      <sheetName val="SMR-EXP_3"/>
      <sheetName val="CFL-JEJURI_(ad)3"/>
      <sheetName val="CFL-DVC_3"/>
      <sheetName val="SUMMARY_(2)3"/>
      <sheetName val="SUMMARY_3"/>
      <sheetName val="SUMMARY_(AD)3"/>
      <sheetName val="REVENUES_&amp;_BS3"/>
      <sheetName val="bs_BP_04_SA3"/>
      <sheetName val="ADANI_-_Planning_Sept-Mar3"/>
      <sheetName val="Non-Adani_Planning_Sept-Mar3"/>
      <sheetName val="Non-Adani_Planning_Sept-Mar_(23"/>
      <sheetName val="Schedule_No_13"/>
      <sheetName val="Data_sheet3"/>
      <sheetName val="RATE-ANAY_3"/>
      <sheetName val="PV_FDN3"/>
      <sheetName val="std_wt_1"/>
      <sheetName val="steam_outlet1"/>
      <sheetName val="DETAILED__BOQ1"/>
      <sheetName val="PRICE_BID1"/>
      <sheetName val="A_3_71"/>
      <sheetName val="LOCAL_RATES1"/>
      <sheetName val="Tower_Schedule1"/>
      <sheetName val="SMR-EXP_4"/>
      <sheetName val="CFL-JEJURI_(ad)4"/>
      <sheetName val="CFL-DVC_4"/>
      <sheetName val="SUMMARY_(2)4"/>
      <sheetName val="SUMMARY_4"/>
      <sheetName val="SUMMARY_(AD)4"/>
      <sheetName val="REVENUES_&amp;_BS4"/>
      <sheetName val="bs_BP_04_SA4"/>
      <sheetName val="ADANI_-_Planning_Sept-Mar4"/>
      <sheetName val="Non-Adani_Planning_Sept-Mar4"/>
      <sheetName val="Non-Adani_Planning_Sept-Mar_(24"/>
      <sheetName val="Schedule_No_14"/>
      <sheetName val="Data_sheet4"/>
      <sheetName val="RATE-ANAY_4"/>
      <sheetName val="PV_FDN4"/>
      <sheetName val="std_wt_2"/>
      <sheetName val="steam_outlet2"/>
      <sheetName val="DETAILED__BOQ2"/>
      <sheetName val="PRICE_BID2"/>
      <sheetName val="A_3_72"/>
      <sheetName val="LOCAL_RATES2"/>
      <sheetName val="Tower_Schedule2"/>
      <sheetName val="SMR-EXP_5"/>
      <sheetName val="CFL-JEJURI_(ad)5"/>
      <sheetName val="CFL-DVC_5"/>
      <sheetName val="SUMMARY_(2)5"/>
      <sheetName val="SUMMARY_5"/>
      <sheetName val="SUMMARY_(AD)5"/>
      <sheetName val="REVENUES_&amp;_BS5"/>
      <sheetName val="bs_BP_04_SA5"/>
      <sheetName val="ADANI_-_Planning_Sept-Mar5"/>
      <sheetName val="Non-Adani_Planning_Sept-Mar5"/>
      <sheetName val="Non-Adani_Planning_Sept-Mar_(25"/>
      <sheetName val="Schedule_No_15"/>
      <sheetName val="Data_sheet5"/>
      <sheetName val="RATE-ANAY_5"/>
      <sheetName val="PV_FDN5"/>
      <sheetName val="std_wt_3"/>
      <sheetName val="steam_outlet3"/>
      <sheetName val="DETAILED__BOQ3"/>
      <sheetName val="PRICE_BID3"/>
      <sheetName val="A_3_73"/>
      <sheetName val="LOCAL_RATES3"/>
      <sheetName val="Tower_Schedule3"/>
      <sheetName val="Top"/>
      <sheetName val="Rate"/>
      <sheetName val="Mapping"/>
      <sheetName val="Consolidation DB"/>
      <sheetName val="Pivot"/>
      <sheetName val="Zero Cost&gt;&gt;"/>
      <sheetName val="Output"/>
      <sheetName val="Zero Cost"/>
      <sheetName val="Input&gt;&gt;"/>
      <sheetName val="General"/>
      <sheetName val="Site"/>
      <sheetName val="L2"/>
      <sheetName val="Activities &gt;&gt;"/>
      <sheetName val="DS"/>
      <sheetName val="CS"/>
      <sheetName val="Foundation working"/>
      <sheetName val="Foundation"/>
      <sheetName val="Site Cost"/>
      <sheetName val="Erection"/>
      <sheetName val="TSE"/>
      <sheetName val="Manual"/>
      <sheetName val="Others &gt;&gt;"/>
      <sheetName val="Provision"/>
      <sheetName val="OH"/>
      <sheetName val="HO"/>
      <sheetName val="Other"/>
      <sheetName val="Safety"/>
      <sheetName val="Finance"/>
      <sheetName val="Cashflow&gt;&gt;"/>
      <sheetName val="Inputs to CF"/>
      <sheetName val="Activity Association"/>
      <sheetName val="CF-Erection"/>
      <sheetName val="CF-Supply"/>
      <sheetName val="CF-Consolidated"/>
      <sheetName val="Risk &gt;&gt;"/>
      <sheetName val="Interface to Risk Model"/>
      <sheetName val="Mapping_month"/>
      <sheetName val="Consolidation DB_month"/>
      <sheetName val="sheet2 (Layout)"/>
      <sheetName val="Rising Main"/>
      <sheetName val=" AT-1-220 "/>
      <sheetName val=" BC-220"/>
      <sheetName val="220 11  bs "/>
    </sheetNames>
    <sheetDataSet>
      <sheetData sheetId="0"/>
      <sheetData sheetId="1"/>
      <sheetData sheetId="2" refreshError="1">
        <row r="1">
          <cell r="AA1" t="str">
            <v>/WGZY/PPAGPQ</v>
          </cell>
        </row>
      </sheetData>
      <sheetData sheetId="3"/>
      <sheetData sheetId="4"/>
      <sheetData sheetId="5"/>
      <sheetData sheetId="6">
        <row r="1">
          <cell r="AA1" t="str">
            <v>/WGZY/PPAGPQ</v>
          </cell>
        </row>
      </sheetData>
      <sheetData sheetId="7"/>
      <sheetData sheetId="8"/>
      <sheetData sheetId="9">
        <row r="1">
          <cell r="AA1" t="str">
            <v>/WGZY/PPAGPQ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A1" t="str">
            <v>/WGZY/PPAGPQ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AA1" t="str">
            <v>/WGZY/PPAGPQ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1">
          <cell r="AA1" t="str">
            <v>/WGZY/PPAGPQ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A1" t="str">
            <v>/WGZY/PPAGPQ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A1" t="str">
            <v>/WGZY/PPAGPQ</v>
          </cell>
        </row>
      </sheetData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">
          <cell r="AA1" t="str">
            <v>/WGZY/PPAGPQ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L-BEED"/>
      <sheetName val="CFL-KIM"/>
      <sheetName val="CFL-ORISSA"/>
      <sheetName val="SUMMARY"/>
      <sheetName val="SMR-SUPPLY"/>
      <sheetName val="SMR-EXP."/>
      <sheetName val="CFL-S'PUR"/>
      <sheetName val="CFL-S'PUR(AD)"/>
      <sheetName val="CFL-MBB"/>
      <sheetName val="CFL-MOBHA"/>
      <sheetName val="CFL-KOLAR"/>
      <sheetName val="CFL-WALUJ"/>
      <sheetName val="CFL-WALUJ(ad)"/>
      <sheetName val="CFL-JEJURI (ad)"/>
      <sheetName val="CFL-JEJURI"/>
      <sheetName val="CFL-DVC "/>
      <sheetName val="SUMMARY (2)"/>
      <sheetName val="Sheet2"/>
      <sheetName val="Sheet1"/>
      <sheetName val="M-CR"/>
      <sheetName val="SUMMARY "/>
      <sheetName val="SUMMARY (AD)"/>
      <sheetName val="SUM-MW"/>
      <sheetName val="SMR-EXP_"/>
      <sheetName val="CFL-JEJURI_(ad)"/>
      <sheetName val="CFL-DVC_"/>
      <sheetName val="SUMMARY_(2)"/>
      <sheetName val="SUMMARY_"/>
      <sheetName val="SUMMARY_(AD)"/>
      <sheetName val="SMR-EXP_2"/>
      <sheetName val="CFL-JEJURI_(ad)2"/>
      <sheetName val="CFL-DVC_2"/>
      <sheetName val="SUMMARY_(2)2"/>
      <sheetName val="SUMMARY_2"/>
      <sheetName val="SUMMARY_(AD)2"/>
      <sheetName val="SMR-EXP_1"/>
      <sheetName val="CFL-JEJURI_(ad)1"/>
      <sheetName val="CFL-DVC_1"/>
      <sheetName val="SUMMARY_(2)1"/>
      <sheetName val="SUMMARY_1"/>
      <sheetName val="SUMMARY_(AD)1"/>
      <sheetName val="SMR-EXP_3"/>
      <sheetName val="CFL-JEJURI_(ad)3"/>
      <sheetName val="CFL-DVC_3"/>
      <sheetName val="SUMMARY_(2)3"/>
      <sheetName val="SUMMARY_3"/>
      <sheetName val="SUMMARY_(AD)3"/>
      <sheetName val="SMR-EXP_4"/>
      <sheetName val="CFL-JEJURI_(ad)4"/>
      <sheetName val="CFL-DVC_4"/>
      <sheetName val="SUMMARY_(2)4"/>
      <sheetName val="SUMMARY_4"/>
      <sheetName val="SUMMARY_(AD)4"/>
      <sheetName val="SMR-EXP_5"/>
      <sheetName val="CFL-JEJURI_(ad)5"/>
      <sheetName val="CFL-DVC_5"/>
      <sheetName val="SUMMARY_(2)5"/>
      <sheetName val="SUMMARY_5"/>
      <sheetName val="SUMMARY_(AD)5"/>
    </sheetNames>
    <sheetDataSet>
      <sheetData sheetId="0"/>
      <sheetData sheetId="1">
        <row r="1">
          <cell r="Z1" t="str">
            <v>/WGZY/PPAGPQ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vey Status"/>
      <sheetName val="Sheet3"/>
      <sheetName val="Sheet1"/>
      <sheetName val="VC 400 KV QM"/>
      <sheetName val="V C 220 KV TM"/>
      <sheetName val="VC 220SZ"/>
      <sheetName val="220 SZ Status"/>
      <sheetName val="CS-220kV TM "/>
      <sheetName val="DS-220 KV TM"/>
      <sheetName val="DS 400kV LI"/>
      <sheetName val="DS 400 kV LO"/>
      <sheetName val="Survey Report"/>
      <sheetName val="Power line Crossing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D10" t="str">
            <v>2TDD+0</v>
          </cell>
        </row>
        <row r="11">
          <cell r="D11"/>
        </row>
        <row r="12">
          <cell r="D12" t="str">
            <v>2TDC+0</v>
          </cell>
        </row>
        <row r="13">
          <cell r="D13"/>
        </row>
        <row r="14">
          <cell r="D14" t="str">
            <v>2TDC+0</v>
          </cell>
        </row>
        <row r="15">
          <cell r="D15"/>
        </row>
        <row r="16">
          <cell r="D16" t="str">
            <v>2TDC+0</v>
          </cell>
        </row>
        <row r="17">
          <cell r="D17"/>
        </row>
        <row r="18">
          <cell r="D18" t="str">
            <v>2TDC+0</v>
          </cell>
        </row>
        <row r="19">
          <cell r="D19"/>
        </row>
        <row r="20">
          <cell r="D20" t="str">
            <v>2TDC+0</v>
          </cell>
        </row>
        <row r="21">
          <cell r="D21"/>
        </row>
        <row r="22">
          <cell r="D22" t="str">
            <v>2TDA+3</v>
          </cell>
        </row>
        <row r="23">
          <cell r="D23"/>
        </row>
        <row r="24">
          <cell r="D24" t="str">
            <v>2TDD+0</v>
          </cell>
        </row>
        <row r="25">
          <cell r="D25"/>
        </row>
        <row r="26">
          <cell r="D26" t="str">
            <v>2TDA+0</v>
          </cell>
        </row>
        <row r="27">
          <cell r="D27"/>
        </row>
        <row r="28">
          <cell r="D28" t="str">
            <v>2TDC+0</v>
          </cell>
        </row>
        <row r="29">
          <cell r="D29"/>
        </row>
        <row r="30">
          <cell r="D30" t="str">
            <v>2TDA+3</v>
          </cell>
        </row>
        <row r="31">
          <cell r="D31"/>
        </row>
        <row r="32">
          <cell r="D32" t="str">
            <v>2TDA+6</v>
          </cell>
        </row>
        <row r="33">
          <cell r="D33"/>
        </row>
        <row r="34">
          <cell r="D34" t="str">
            <v>2TDC+6</v>
          </cell>
        </row>
        <row r="35">
          <cell r="D35"/>
        </row>
        <row r="36">
          <cell r="D36" t="str">
            <v>2TDD+0</v>
          </cell>
        </row>
        <row r="37">
          <cell r="D37"/>
        </row>
        <row r="38">
          <cell r="D38" t="str">
            <v>2TDA+3</v>
          </cell>
        </row>
        <row r="39">
          <cell r="D39"/>
        </row>
        <row r="40">
          <cell r="D40" t="str">
            <v>2TDA+3</v>
          </cell>
        </row>
        <row r="41">
          <cell r="D41"/>
        </row>
        <row r="42">
          <cell r="D42" t="str">
            <v>2TDC+0</v>
          </cell>
        </row>
        <row r="43">
          <cell r="D43"/>
        </row>
        <row r="44">
          <cell r="D44" t="str">
            <v>2TDA+3</v>
          </cell>
        </row>
        <row r="45">
          <cell r="D45"/>
        </row>
        <row r="46">
          <cell r="D46" t="str">
            <v>2TDA+3</v>
          </cell>
        </row>
        <row r="47">
          <cell r="D47"/>
        </row>
        <row r="48">
          <cell r="D48" t="str">
            <v>2TDA+0</v>
          </cell>
        </row>
        <row r="49">
          <cell r="D49"/>
        </row>
        <row r="50">
          <cell r="D50" t="str">
            <v>2TDA+0</v>
          </cell>
        </row>
        <row r="51">
          <cell r="D51"/>
        </row>
        <row r="52">
          <cell r="D52" t="str">
            <v>2TDD+0</v>
          </cell>
        </row>
        <row r="53">
          <cell r="D53"/>
        </row>
        <row r="54">
          <cell r="D54" t="str">
            <v>2TDA+6</v>
          </cell>
        </row>
        <row r="55">
          <cell r="D55"/>
        </row>
        <row r="56">
          <cell r="D56" t="str">
            <v>2TDD+18</v>
          </cell>
        </row>
        <row r="57">
          <cell r="D57"/>
        </row>
        <row r="58">
          <cell r="D58" t="str">
            <v>2TDD+25</v>
          </cell>
        </row>
        <row r="59">
          <cell r="D59"/>
        </row>
        <row r="60">
          <cell r="D60" t="str">
            <v>2TDD+9</v>
          </cell>
        </row>
        <row r="61">
          <cell r="D61"/>
        </row>
        <row r="62">
          <cell r="D62" t="str">
            <v>2TDD+3</v>
          </cell>
        </row>
        <row r="63">
          <cell r="D63"/>
        </row>
        <row r="64">
          <cell r="D64" t="str">
            <v>2TDD+0</v>
          </cell>
        </row>
        <row r="65">
          <cell r="D65"/>
        </row>
        <row r="66">
          <cell r="D66" t="str">
            <v>2TDD+3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3"/>
  <sheetViews>
    <sheetView topLeftCell="A7" zoomScale="93" zoomScaleNormal="100" workbookViewId="0">
      <selection activeCell="A8" sqref="A8:M24"/>
    </sheetView>
  </sheetViews>
  <sheetFormatPr defaultRowHeight="15"/>
  <cols>
    <col min="1" max="1" width="6" bestFit="1" customWidth="1"/>
    <col min="2" max="2" width="26.28515625" bestFit="1" customWidth="1"/>
    <col min="3" max="3" width="10.140625" bestFit="1" customWidth="1"/>
    <col min="4" max="4" width="11.28515625" bestFit="1" customWidth="1"/>
    <col min="5" max="5" width="11.5703125" customWidth="1"/>
    <col min="6" max="6" width="16" customWidth="1"/>
    <col min="7" max="7" width="10.140625" customWidth="1"/>
    <col min="8" max="8" width="11.85546875" customWidth="1"/>
    <col min="9" max="9" width="11.5703125" customWidth="1"/>
    <col min="10" max="10" width="7.42578125" bestFit="1" customWidth="1"/>
    <col min="11" max="11" width="10.5703125" bestFit="1" customWidth="1"/>
    <col min="12" max="12" width="7.42578125" customWidth="1"/>
    <col min="13" max="13" width="12.7109375" customWidth="1"/>
  </cols>
  <sheetData>
    <row r="1" spans="1:13" ht="15.75" thickBot="1">
      <c r="A1" s="1284"/>
      <c r="B1" s="1284"/>
      <c r="C1" s="1284"/>
      <c r="D1" s="1284"/>
      <c r="E1" s="1284"/>
      <c r="F1" s="1284"/>
      <c r="G1" s="1284"/>
      <c r="H1" s="1284"/>
      <c r="I1" s="1284"/>
      <c r="J1" s="1284"/>
      <c r="K1" s="1284"/>
      <c r="L1" s="1284"/>
      <c r="M1" s="1284"/>
    </row>
    <row r="2" spans="1:13" ht="15" customHeight="1" thickBot="1">
      <c r="A2" s="1285" t="s">
        <v>1598</v>
      </c>
      <c r="B2" s="1286"/>
      <c r="C2" s="1286"/>
      <c r="D2" s="1286"/>
      <c r="E2" s="1286"/>
      <c r="F2" s="1286"/>
      <c r="G2" s="1286"/>
      <c r="H2" s="1286"/>
      <c r="I2" s="1286"/>
      <c r="J2" s="1286"/>
      <c r="K2" s="1286"/>
      <c r="L2" s="1286"/>
      <c r="M2" s="1287"/>
    </row>
    <row r="3" spans="1:13">
      <c r="A3" s="633"/>
      <c r="B3" s="670"/>
      <c r="C3" s="5"/>
      <c r="D3" s="5"/>
      <c r="E3" s="5"/>
      <c r="F3" s="5"/>
      <c r="G3" s="5"/>
      <c r="H3" s="5"/>
      <c r="I3" s="5"/>
      <c r="J3" s="5"/>
      <c r="K3" s="5"/>
      <c r="L3" s="1280" t="str">
        <f>'Summary-'!M3:M3</f>
        <v>Date-24/06/2026</v>
      </c>
      <c r="M3" s="1281"/>
    </row>
    <row r="4" spans="1:13" s="634" customFormat="1" ht="12.75">
      <c r="A4" s="648"/>
      <c r="B4" s="672" t="s">
        <v>15</v>
      </c>
      <c r="C4" s="668">
        <v>45287</v>
      </c>
      <c r="D4" s="649" t="s">
        <v>20</v>
      </c>
      <c r="E4" s="649" t="s">
        <v>1599</v>
      </c>
      <c r="F4" s="650"/>
      <c r="G4" s="650"/>
      <c r="H4" s="650"/>
      <c r="I4" s="650"/>
      <c r="J4" s="650"/>
      <c r="K4" s="650"/>
      <c r="L4" s="654"/>
      <c r="M4" s="655"/>
    </row>
    <row r="5" spans="1:13" s="634" customFormat="1" ht="12.75">
      <c r="A5" s="648"/>
      <c r="B5" s="672" t="s">
        <v>16</v>
      </c>
      <c r="C5" s="668">
        <v>45831</v>
      </c>
      <c r="D5" s="654" t="s">
        <v>17</v>
      </c>
      <c r="E5" s="1290" t="s">
        <v>21</v>
      </c>
      <c r="F5" s="1290"/>
      <c r="G5" s="1290"/>
      <c r="H5" s="1290"/>
      <c r="I5" s="1290"/>
      <c r="J5" s="1290"/>
      <c r="K5" s="1290"/>
      <c r="L5" s="1290"/>
      <c r="M5" s="1291"/>
    </row>
    <row r="6" spans="1:13" s="634" customFormat="1" ht="12.75">
      <c r="A6" s="648"/>
      <c r="B6" s="672" t="s">
        <v>1033</v>
      </c>
      <c r="C6" s="669">
        <v>46081</v>
      </c>
      <c r="D6" s="654" t="s">
        <v>22</v>
      </c>
      <c r="E6" s="1194" t="s">
        <v>23</v>
      </c>
      <c r="F6" s="657" t="s">
        <v>19</v>
      </c>
      <c r="G6" s="658"/>
      <c r="H6" s="658"/>
      <c r="I6" s="658"/>
      <c r="J6" s="658"/>
      <c r="K6" s="658"/>
      <c r="L6" s="658"/>
      <c r="M6" s="651"/>
    </row>
    <row r="7" spans="1:13" s="634" customFormat="1" ht="13.5" thickBot="1">
      <c r="A7" s="652"/>
      <c r="B7" s="671"/>
      <c r="C7" s="659"/>
      <c r="D7" s="659" t="s">
        <v>1601</v>
      </c>
      <c r="E7" s="1204" t="s">
        <v>24</v>
      </c>
      <c r="F7" s="684">
        <v>45287</v>
      </c>
      <c r="G7" s="661"/>
      <c r="H7" s="661"/>
      <c r="I7" s="661"/>
      <c r="J7" s="661"/>
      <c r="K7" s="661"/>
      <c r="L7" s="662"/>
      <c r="M7" s="663"/>
    </row>
    <row r="8" spans="1:13" s="728" customFormat="1" ht="19.5" thickBot="1">
      <c r="A8" s="1292" t="s">
        <v>1600</v>
      </c>
      <c r="B8" s="1293"/>
      <c r="C8" s="1293"/>
      <c r="D8" s="1293"/>
      <c r="E8" s="1293"/>
      <c r="F8" s="1293"/>
      <c r="G8" s="1293"/>
      <c r="H8" s="1293"/>
      <c r="I8" s="1293"/>
      <c r="J8" s="1293"/>
      <c r="K8" s="1293"/>
      <c r="L8" s="1293"/>
      <c r="M8" s="1294"/>
    </row>
    <row r="9" spans="1:13" ht="60" customHeight="1">
      <c r="A9" s="1295" t="s">
        <v>27</v>
      </c>
      <c r="B9" s="1297" t="s">
        <v>0</v>
      </c>
      <c r="C9" s="1299" t="s">
        <v>1029</v>
      </c>
      <c r="D9" s="1300"/>
      <c r="E9" s="1301" t="s">
        <v>2140</v>
      </c>
      <c r="F9" s="1282" t="s">
        <v>2141</v>
      </c>
      <c r="G9" s="1282" t="s">
        <v>2142</v>
      </c>
      <c r="H9" s="1282" t="s">
        <v>2143</v>
      </c>
      <c r="I9" s="1282" t="s">
        <v>1030</v>
      </c>
      <c r="J9" s="1282" t="s">
        <v>978</v>
      </c>
      <c r="K9" s="1282" t="s">
        <v>981</v>
      </c>
      <c r="L9" s="1282" t="s">
        <v>1031</v>
      </c>
      <c r="M9" s="1288" t="s">
        <v>1032</v>
      </c>
    </row>
    <row r="10" spans="1:13" ht="15.75" thickBot="1">
      <c r="A10" s="1296"/>
      <c r="B10" s="1298"/>
      <c r="C10" s="1195" t="s">
        <v>26</v>
      </c>
      <c r="D10" s="1195" t="s">
        <v>1</v>
      </c>
      <c r="E10" s="1302"/>
      <c r="F10" s="1283"/>
      <c r="G10" s="1283"/>
      <c r="H10" s="1283"/>
      <c r="I10" s="1283"/>
      <c r="J10" s="1283"/>
      <c r="K10" s="1283"/>
      <c r="L10" s="1283"/>
      <c r="M10" s="1289"/>
    </row>
    <row r="11" spans="1:13" s="634" customFormat="1" ht="19.5" customHeight="1">
      <c r="A11" s="950">
        <v>1</v>
      </c>
      <c r="B11" s="958" t="s">
        <v>3</v>
      </c>
      <c r="C11" s="951">
        <f>'Summary-'!C11+'Summary-'!C28+'Summary-'!C47</f>
        <v>165</v>
      </c>
      <c r="D11" s="952">
        <f>'Summary-'!D11+'Summary-'!D28+'Summary-'!D47</f>
        <v>150.833</v>
      </c>
      <c r="E11" s="953">
        <f>'Summary-'!E11+'Summary-'!E28+'Summary-'!E47</f>
        <v>150.833</v>
      </c>
      <c r="F11" s="952">
        <f>'Summary-'!F11+'Summary-'!F28+'Summary-'!F47</f>
        <v>150.833</v>
      </c>
      <c r="G11" s="954">
        <f>'Summary-'!G11+'Summary-'!G28+'Summary-'!G47</f>
        <v>0</v>
      </c>
      <c r="H11" s="954">
        <f>'Summary-'!H11+'Summary-'!H28+'Summary-'!H47</f>
        <v>0</v>
      </c>
      <c r="I11" s="955">
        <f>'Summary-'!I11+'Summary-'!I28+'Summary-'!I47</f>
        <v>150.833</v>
      </c>
      <c r="J11" s="956">
        <f>'Summary-'!J11+'Summary-'!J28+'Summary-'!J47</f>
        <v>0</v>
      </c>
      <c r="K11" s="956">
        <f t="shared" ref="K11:K24" si="0">D11-I11-J11</f>
        <v>0</v>
      </c>
      <c r="L11" s="956">
        <f>'Summary-'!L11+'Summary-'!L28+'Summary-'!L47</f>
        <v>0</v>
      </c>
      <c r="M11" s="957" t="s">
        <v>29</v>
      </c>
    </row>
    <row r="12" spans="1:13" s="634" customFormat="1" ht="15" customHeight="1">
      <c r="A12" s="635">
        <v>2</v>
      </c>
      <c r="B12" s="959" t="s">
        <v>4</v>
      </c>
      <c r="C12" s="645">
        <f>'Summary-'!C12+'Summary-'!C29+'Summary-'!C48</f>
        <v>165</v>
      </c>
      <c r="D12" s="706">
        <f>'Summary-'!D12+'Summary-'!D29+'Summary-'!D48</f>
        <v>150.833</v>
      </c>
      <c r="E12" s="636">
        <f>'Summary-'!E12+'Summary-'!E29+'Summary-'!E48</f>
        <v>149.21</v>
      </c>
      <c r="F12" s="706">
        <f>'Summary-'!F12+'Summary-'!F29+'Summary-'!F48</f>
        <v>150.833</v>
      </c>
      <c r="G12" s="636">
        <f>'Summary-'!G12+'Summary-'!G29+'Summary-'!G48</f>
        <v>1.6229999999999905</v>
      </c>
      <c r="H12" s="452">
        <f>'Summary-'!H12+'Summary-'!H29+'Summary-'!H48</f>
        <v>0</v>
      </c>
      <c r="I12" s="664">
        <f>'Summary-'!I12+'Summary-'!I29+'Summary-'!I48</f>
        <v>149.21</v>
      </c>
      <c r="J12" s="452">
        <f>'Summary-'!J12+'Summary-'!J29+'Summary-'!J48</f>
        <v>0</v>
      </c>
      <c r="K12" s="637">
        <f t="shared" si="0"/>
        <v>1.6229999999999905</v>
      </c>
      <c r="L12" s="452">
        <f>'Summary-'!L12+'Summary-'!L29+'Summary-'!L48</f>
        <v>0</v>
      </c>
      <c r="M12" s="641"/>
    </row>
    <row r="13" spans="1:13" s="634" customFormat="1">
      <c r="A13" s="635">
        <v>3</v>
      </c>
      <c r="B13" s="960" t="s">
        <v>5</v>
      </c>
      <c r="C13" s="645">
        <f>'Summary-'!C13+'Summary-'!C30+'Summary-'!C49</f>
        <v>165</v>
      </c>
      <c r="D13" s="706">
        <f>'Summary-'!D13+'Summary-'!D30+'Summary-'!D49</f>
        <v>150.833</v>
      </c>
      <c r="E13" s="636">
        <f>'Summary-'!E13+'Summary-'!E30+'Summary-'!E49</f>
        <v>147.63499999999999</v>
      </c>
      <c r="F13" s="706">
        <f>'Summary-'!F13+'Summary-'!F30+'Summary-'!F49</f>
        <v>150.833</v>
      </c>
      <c r="G13" s="636">
        <f>'Summary-'!G13+'Summary-'!G30+'Summary-'!G49</f>
        <v>3.1979999999999933</v>
      </c>
      <c r="H13" s="452">
        <f>'Summary-'!H13+'Summary-'!H30+'Summary-'!H49</f>
        <v>0</v>
      </c>
      <c r="I13" s="664">
        <f>'Summary-'!I13+'Summary-'!I30+'Summary-'!I49</f>
        <v>147.63499999999999</v>
      </c>
      <c r="J13" s="452">
        <f>'Summary-'!J13+'Summary-'!J30+'Summary-'!J49</f>
        <v>0</v>
      </c>
      <c r="K13" s="637">
        <f t="shared" si="0"/>
        <v>3.1980000000000075</v>
      </c>
      <c r="L13" s="452">
        <f>'Summary-'!L13+'Summary-'!L30+'Summary-'!L49</f>
        <v>0</v>
      </c>
      <c r="M13" s="638"/>
    </row>
    <row r="14" spans="1:13" s="634" customFormat="1">
      <c r="A14" s="635">
        <v>4</v>
      </c>
      <c r="B14" s="960" t="s">
        <v>959</v>
      </c>
      <c r="C14" s="645">
        <f>'Summary-'!C14+'Summary-'!C31+'Summary-'!C50</f>
        <v>165</v>
      </c>
      <c r="D14" s="706">
        <f>'Summary-'!D14+'Summary-'!D31+'Summary-'!D50</f>
        <v>150.833</v>
      </c>
      <c r="E14" s="636">
        <f>'Summary-'!E14+'Summary-'!E31+'Summary-'!E50</f>
        <v>142.91900000000001</v>
      </c>
      <c r="F14" s="706">
        <f>'Summary-'!F14+'Summary-'!F31+'Summary-'!F50</f>
        <v>150.833</v>
      </c>
      <c r="G14" s="636">
        <f>'Summary-'!G14+'Summary-'!G31+'Summary-'!G50</f>
        <v>7.913999999999989</v>
      </c>
      <c r="H14" s="452">
        <f>'Summary-'!H14+'Summary-'!H31+'Summary-'!H50</f>
        <v>0</v>
      </c>
      <c r="I14" s="664">
        <f>'Summary-'!I14+'Summary-'!I31+'Summary-'!I50</f>
        <v>142.91900000000001</v>
      </c>
      <c r="J14" s="452">
        <f>'Summary-'!J14+'Summary-'!J31+'Summary-'!J50</f>
        <v>0</v>
      </c>
      <c r="K14" s="637">
        <f t="shared" si="0"/>
        <v>7.9139999999999873</v>
      </c>
      <c r="L14" s="452">
        <f>'Summary-'!L14+'Summary-'!L31+'Summary-'!L50</f>
        <v>0</v>
      </c>
      <c r="M14" s="639"/>
    </row>
    <row r="15" spans="1:13" s="634" customFormat="1">
      <c r="A15" s="635">
        <v>5</v>
      </c>
      <c r="B15" s="959" t="s">
        <v>6</v>
      </c>
      <c r="C15" s="645">
        <f>'Summary-'!C15+'Summary-'!C32+'Summary-'!C51</f>
        <v>165</v>
      </c>
      <c r="D15" s="706">
        <f>'Summary-'!D15+'Summary-'!D32+'Summary-'!D51</f>
        <v>150.833</v>
      </c>
      <c r="E15" s="636">
        <f>'Summary-'!E15+'Summary-'!E32+'Summary-'!E51</f>
        <v>119.96199999999999</v>
      </c>
      <c r="F15" s="706">
        <f>'Summary-'!F15+'Summary-'!F32+'Summary-'!F51</f>
        <v>150.833</v>
      </c>
      <c r="G15" s="636">
        <f>'Summary-'!G15+'Summary-'!G32+'Summary-'!G51</f>
        <v>25.288000000000004</v>
      </c>
      <c r="H15" s="452">
        <f>'Summary-'!H15+'Summary-'!H32+'Summary-'!H51</f>
        <v>0</v>
      </c>
      <c r="I15" s="664">
        <f>'Summary-'!I15+'Summary-'!I32+'Summary-'!I51</f>
        <v>119.96199999999999</v>
      </c>
      <c r="J15" s="452">
        <f>'Summary-'!J15+'Summary-'!J32+'Summary-'!J51</f>
        <v>0</v>
      </c>
      <c r="K15" s="637">
        <f t="shared" si="0"/>
        <v>30.871000000000009</v>
      </c>
      <c r="L15" s="452">
        <f>'Summary-'!L15+'Summary-'!L32+'Summary-'!L51</f>
        <v>0</v>
      </c>
      <c r="M15" s="641" t="s">
        <v>1603</v>
      </c>
    </row>
    <row r="16" spans="1:13" s="634" customFormat="1">
      <c r="A16" s="635">
        <v>6</v>
      </c>
      <c r="B16" s="960" t="s">
        <v>960</v>
      </c>
      <c r="C16" s="645">
        <f>'Summary-'!C16+'Summary-'!C33+'Summary-'!C52</f>
        <v>165</v>
      </c>
      <c r="D16" s="706">
        <f>'Summary-'!D16+'Summary-'!D33+'Summary-'!D52</f>
        <v>150.833</v>
      </c>
      <c r="E16" s="636">
        <f>'Summary-'!E16+'Summary-'!E33+'Summary-'!E52</f>
        <v>102.41600000000001</v>
      </c>
      <c r="F16" s="706">
        <f>'Summary-'!F16+'Summary-'!F33+'Summary-'!F52</f>
        <v>150.833</v>
      </c>
      <c r="G16" s="636">
        <f>'Summary-'!G16+'Summary-'!G33+'Summary-'!G52</f>
        <v>36.061</v>
      </c>
      <c r="H16" s="452">
        <f>'Summary-'!H16+'Summary-'!H33+'Summary-'!H52</f>
        <v>0</v>
      </c>
      <c r="I16" s="664">
        <f>'Summary-'!I16+'Summary-'!I33+'Summary-'!I52</f>
        <v>102.41600000000001</v>
      </c>
      <c r="J16" s="452">
        <f>'Summary-'!J16+'Summary-'!J33+'Summary-'!J52</f>
        <v>0</v>
      </c>
      <c r="K16" s="637">
        <f t="shared" si="0"/>
        <v>48.416999999999987</v>
      </c>
      <c r="L16" s="452">
        <f>'Summary-'!L16+'Summary-'!L33+'Summary-'!L52</f>
        <v>0</v>
      </c>
      <c r="M16" s="638"/>
    </row>
    <row r="17" spans="1:16" s="634" customFormat="1">
      <c r="A17" s="635">
        <v>7</v>
      </c>
      <c r="B17" s="959" t="s">
        <v>7</v>
      </c>
      <c r="C17" s="645">
        <f>'Summary-'!C17+'Summary-'!C34+'Summary-'!C53</f>
        <v>165</v>
      </c>
      <c r="D17" s="645">
        <f>'Summary-'!D17+'Summary-'!D34+'Summary-'!D53</f>
        <v>147</v>
      </c>
      <c r="E17" s="645">
        <f>'Summary-'!E17+'Summary-'!E34+'Summary-'!E53</f>
        <v>147</v>
      </c>
      <c r="F17" s="645">
        <f>'Summary-'!F17+'Summary-'!F34+'Summary-'!F53</f>
        <v>147</v>
      </c>
      <c r="G17" s="640">
        <f>'Summary-'!G17+'Summary-'!G34+'Summary-'!G53</f>
        <v>0</v>
      </c>
      <c r="H17" s="452">
        <f>'Summary-'!H17+'Summary-'!H34+'Summary-'!H53</f>
        <v>0</v>
      </c>
      <c r="I17" s="653">
        <f>'Summary-'!I17+'Summary-'!I34+'Summary-'!I53</f>
        <v>147</v>
      </c>
      <c r="J17" s="452">
        <f>'Summary-'!J17+'Summary-'!J34+'Summary-'!J53</f>
        <v>0</v>
      </c>
      <c r="K17" s="452">
        <f t="shared" si="0"/>
        <v>0</v>
      </c>
      <c r="L17" s="452">
        <f>'Summary-'!L17+'Summary-'!L34+'Summary-'!L53</f>
        <v>0</v>
      </c>
      <c r="M17" s="641" t="s">
        <v>29</v>
      </c>
    </row>
    <row r="18" spans="1:16" s="634" customFormat="1">
      <c r="A18" s="635">
        <v>8</v>
      </c>
      <c r="B18" s="959" t="s">
        <v>8</v>
      </c>
      <c r="C18" s="645">
        <f>'Summary-'!C18+'Summary-'!C35+'Summary-'!C54</f>
        <v>564</v>
      </c>
      <c r="D18" s="645">
        <f>'Summary-'!D18+'Summary-'!D35+'Summary-'!D54</f>
        <v>505</v>
      </c>
      <c r="E18" s="645">
        <f>'Summary-'!E18+'Summary-'!E35+'Summary-'!E54</f>
        <v>274</v>
      </c>
      <c r="F18" s="645">
        <f>'Summary-'!F18+'Summary-'!F35+'Summary-'!F54</f>
        <v>505</v>
      </c>
      <c r="G18" s="645">
        <f>'Summary-'!G18+'Summary-'!G35+'Summary-'!G54</f>
        <v>80</v>
      </c>
      <c r="H18" s="645">
        <f>'Summary-'!H18+'Summary-'!H35+'Summary-'!H54</f>
        <v>30</v>
      </c>
      <c r="I18" s="653">
        <f>'Summary-'!I18+'Summary-'!I35+'Summary-'!I54</f>
        <v>304</v>
      </c>
      <c r="J18" s="452">
        <f>'Summary-'!J18+'Summary-'!J35+'Summary-'!J54</f>
        <v>0</v>
      </c>
      <c r="K18" s="653">
        <f t="shared" si="0"/>
        <v>201</v>
      </c>
      <c r="L18" s="452">
        <f>'Summary-'!L18+'Summary-'!L35+'Summary-'!L54</f>
        <v>0</v>
      </c>
      <c r="M18" s="646"/>
    </row>
    <row r="19" spans="1:16" s="634" customFormat="1">
      <c r="A19" s="635">
        <v>9</v>
      </c>
      <c r="B19" s="959" t="s">
        <v>9</v>
      </c>
      <c r="C19" s="645">
        <f>'Summary-'!C19+'Summary-'!C36+'Summary-'!C55</f>
        <v>564</v>
      </c>
      <c r="D19" s="645">
        <f>'Summary-'!D19+'Summary-'!D36+'Summary-'!D55</f>
        <v>505</v>
      </c>
      <c r="E19" s="645">
        <f>'Summary-'!E19+'Summary-'!E36+'Summary-'!E55</f>
        <v>264</v>
      </c>
      <c r="F19" s="645">
        <f>'Summary-'!F19+'Summary-'!F36+'Summary-'!F55</f>
        <v>505</v>
      </c>
      <c r="G19" s="645">
        <f>'Summary-'!G19+'Summary-'!G36+'Summary-'!G55</f>
        <v>80</v>
      </c>
      <c r="H19" s="645">
        <f>'Summary-'!H19+'Summary-'!H36+'Summary-'!H55</f>
        <v>32</v>
      </c>
      <c r="I19" s="653">
        <f>'Summary-'!I19+'Summary-'!I36+'Summary-'!I55</f>
        <v>296</v>
      </c>
      <c r="J19" s="531">
        <f>'Summary-'!J19+'Summary-'!J36+'Summary-'!J55</f>
        <v>13</v>
      </c>
      <c r="K19" s="653">
        <f t="shared" si="0"/>
        <v>196</v>
      </c>
      <c r="L19" s="531">
        <f>'Summary-'!L19+'Summary-'!L36+'Summary-'!L55</f>
        <v>13</v>
      </c>
      <c r="M19" s="647"/>
    </row>
    <row r="20" spans="1:16" s="634" customFormat="1">
      <c r="A20" s="635">
        <v>10</v>
      </c>
      <c r="B20" s="959" t="s">
        <v>10</v>
      </c>
      <c r="C20" s="645">
        <f>'Summary-'!C20+'Summary-'!C37+'Summary-'!C56</f>
        <v>564</v>
      </c>
      <c r="D20" s="645">
        <f>'Summary-'!D20+'Summary-'!D37+'Summary-'!D56</f>
        <v>505</v>
      </c>
      <c r="E20" s="645">
        <f>'Summary-'!E20+'Summary-'!E37+'Summary-'!E56</f>
        <v>185</v>
      </c>
      <c r="F20" s="645">
        <f>'Summary-'!F20+'Summary-'!F37+'Summary-'!F56</f>
        <v>505</v>
      </c>
      <c r="G20" s="645">
        <f>'Summary-'!G20+'Summary-'!G37+'Summary-'!G56</f>
        <v>80</v>
      </c>
      <c r="H20" s="645">
        <f>'Summary-'!H20+'Summary-'!H37+'Summary-'!H56</f>
        <v>29</v>
      </c>
      <c r="I20" s="653">
        <f>'Summary-'!I20+'Summary-'!I37+'Summary-'!I56</f>
        <v>214</v>
      </c>
      <c r="J20" s="452">
        <f>'Summary-'!J20+'Summary-'!J37+'Summary-'!J56</f>
        <v>0</v>
      </c>
      <c r="K20" s="653">
        <f t="shared" si="0"/>
        <v>291</v>
      </c>
      <c r="L20" s="452">
        <f>'Summary-'!L20+'Summary-'!L37+'Summary-'!L56</f>
        <v>0</v>
      </c>
      <c r="M20" s="646"/>
    </row>
    <row r="21" spans="1:16" s="634" customFormat="1">
      <c r="A21" s="635">
        <v>11</v>
      </c>
      <c r="B21" s="959" t="s">
        <v>11</v>
      </c>
      <c r="C21" s="645">
        <f>'Summary-'!C21+'Summary-'!C38+'Summary-'!C57</f>
        <v>564</v>
      </c>
      <c r="D21" s="645">
        <f>'Summary-'!D21+'Summary-'!D38+'Summary-'!D57</f>
        <v>505</v>
      </c>
      <c r="E21" s="645">
        <f>'Summary-'!E21+'Summary-'!E38+'Summary-'!E57</f>
        <v>87</v>
      </c>
      <c r="F21" s="645">
        <f>'Summary-'!F21+'Summary-'!F38+'Summary-'!F57</f>
        <v>505</v>
      </c>
      <c r="G21" s="645">
        <f>'Summary-'!G21+'Summary-'!G38+'Summary-'!G57</f>
        <v>70</v>
      </c>
      <c r="H21" s="645">
        <f>'Summary-'!H21+'Summary-'!H38+'Summary-'!H57</f>
        <v>38</v>
      </c>
      <c r="I21" s="653">
        <f>'Summary-'!I21+'Summary-'!I38+'Summary-'!I57</f>
        <v>125</v>
      </c>
      <c r="J21" s="531">
        <f>'Summary-'!J21+'Summary-'!J38+'Summary-'!J57</f>
        <v>8</v>
      </c>
      <c r="K21" s="653">
        <f t="shared" si="0"/>
        <v>372</v>
      </c>
      <c r="L21" s="531">
        <f>'Summary-'!L21+'Summary-'!L38+'Summary-'!L57</f>
        <v>8</v>
      </c>
      <c r="M21" s="646"/>
    </row>
    <row r="22" spans="1:16" s="634" customFormat="1">
      <c r="A22" s="635">
        <v>12</v>
      </c>
      <c r="B22" s="959" t="s">
        <v>12</v>
      </c>
      <c r="C22" s="645">
        <f>'Summary-'!C22+'Summary-'!C39+'Summary-'!C58</f>
        <v>564</v>
      </c>
      <c r="D22" s="645">
        <f>'Summary-'!D22+'Summary-'!D39+'Summary-'!D58</f>
        <v>505</v>
      </c>
      <c r="E22" s="452">
        <f>'Summary-'!E22+'Summary-'!E39+'Summary-'!E58</f>
        <v>21</v>
      </c>
      <c r="F22" s="645">
        <f>'Summary-'!F22+'Summary-'!F39+'Summary-'!F58</f>
        <v>505</v>
      </c>
      <c r="G22" s="452">
        <f>'Summary-'!G22+'Summary-'!G39+'Summary-'!G58</f>
        <v>55</v>
      </c>
      <c r="H22" s="645">
        <f>'Summary-'!H22+'Summary-'!H39+'Summary-'!H58</f>
        <v>0</v>
      </c>
      <c r="I22" s="653">
        <f>'Summary-'!I22+'Summary-'!I39+'Summary-'!I58</f>
        <v>21</v>
      </c>
      <c r="J22" s="452">
        <f>'Summary-'!J22+'Summary-'!J39+'Summary-'!J58</f>
        <v>0</v>
      </c>
      <c r="K22" s="653">
        <f t="shared" si="0"/>
        <v>484</v>
      </c>
      <c r="L22" s="531">
        <f>'Summary-'!L22+'Summary-'!L39+'Summary-'!L58</f>
        <v>0</v>
      </c>
      <c r="M22" s="646"/>
    </row>
    <row r="23" spans="1:16" s="634" customFormat="1">
      <c r="A23" s="635">
        <v>13</v>
      </c>
      <c r="B23" s="959" t="s">
        <v>13</v>
      </c>
      <c r="C23" s="645">
        <f>'Summary-'!C23+'Summary-'!C40+'Summary-'!C59</f>
        <v>165</v>
      </c>
      <c r="D23" s="706">
        <f>'Summary-'!D23+'Summary-'!D40+'Summary-'!D59</f>
        <v>150.833</v>
      </c>
      <c r="E23" s="707">
        <f>'Summary-'!E23+'Summary-'!E40+'Summary-'!E59</f>
        <v>0</v>
      </c>
      <c r="F23" s="706">
        <f>'Summary-'!F23+'Summary-'!F40+'Summary-'!F59</f>
        <v>150.833</v>
      </c>
      <c r="G23" s="452">
        <f>'Summary-'!G23+'Summary-'!G40+'Summary-'!G59</f>
        <v>12</v>
      </c>
      <c r="H23" s="452">
        <f>'Summary-'!H23+'Summary-'!H40+'Summary-'!H59</f>
        <v>3.1989999999999998</v>
      </c>
      <c r="I23" s="665">
        <f>'Summary-'!I23+'Summary-'!I40+'Summary-'!I59</f>
        <v>3.1989999999999998</v>
      </c>
      <c r="J23" s="452">
        <f>'Summary-'!J23+'Summary-'!J40+'Summary-'!J59</f>
        <v>0.34899999999999998</v>
      </c>
      <c r="K23" s="637">
        <f t="shared" si="0"/>
        <v>147.285</v>
      </c>
      <c r="L23" s="452">
        <v>2</v>
      </c>
      <c r="M23" s="646"/>
    </row>
    <row r="24" spans="1:16" s="634" customFormat="1" ht="15.75" thickBot="1">
      <c r="A24" s="642">
        <v>14</v>
      </c>
      <c r="B24" s="961" t="s">
        <v>1058</v>
      </c>
      <c r="C24" s="666">
        <f>'Summary-'!C24+'Summary-'!C41+'Summary-'!C60</f>
        <v>165</v>
      </c>
      <c r="D24" s="708">
        <f>'Summary-'!D24+'Summary-'!D41+'Summary-'!D60</f>
        <v>150.833</v>
      </c>
      <c r="E24" s="709">
        <f>'Summary-'!E24+'Summary-'!E41+'Summary-'!E60</f>
        <v>0</v>
      </c>
      <c r="F24" s="708">
        <f>'Summary-'!F24+'Summary-'!F41+'Summary-'!F60</f>
        <v>150.833</v>
      </c>
      <c r="G24" s="578">
        <f>'Summary-'!G24+'Summary-'!G41+'Summary-'!G60</f>
        <v>0</v>
      </c>
      <c r="H24" s="578">
        <f>'Summary-'!H24+'Summary-'!H41+'Summary-'!H60</f>
        <v>0</v>
      </c>
      <c r="I24" s="667">
        <f>'Summary-'!I24+'Summary-'!I41+'Summary-'!I60</f>
        <v>0</v>
      </c>
      <c r="J24" s="578">
        <f>'Summary-'!J24+'Summary-'!J41+'Summary-'!J60</f>
        <v>0</v>
      </c>
      <c r="K24" s="643">
        <f t="shared" si="0"/>
        <v>150.833</v>
      </c>
      <c r="L24" s="578">
        <f>'Summary-'!L24+'Summary-'!L41+'Summary-'!L60</f>
        <v>0</v>
      </c>
      <c r="M24" s="644"/>
    </row>
    <row r="25" spans="1:16">
      <c r="O25" s="634"/>
      <c r="P25" s="634"/>
    </row>
    <row r="26" spans="1:16">
      <c r="O26" s="634"/>
      <c r="P26" s="634"/>
    </row>
    <row r="27" spans="1:16" ht="15.75">
      <c r="B27" s="1217" t="s">
        <v>1939</v>
      </c>
      <c r="O27" s="634"/>
      <c r="P27" s="634"/>
    </row>
    <row r="28" spans="1:16">
      <c r="B28" s="577" t="s">
        <v>934</v>
      </c>
      <c r="C28" t="s">
        <v>2196</v>
      </c>
      <c r="O28" s="634"/>
    </row>
    <row r="29" spans="1:16">
      <c r="C29" t="s">
        <v>2150</v>
      </c>
      <c r="O29" s="634"/>
    </row>
    <row r="30" spans="1:16">
      <c r="O30" s="634"/>
    </row>
    <row r="31" spans="1:16">
      <c r="B31" s="577" t="s">
        <v>1940</v>
      </c>
      <c r="C31" t="s">
        <v>2151</v>
      </c>
      <c r="O31" s="634"/>
    </row>
    <row r="32" spans="1:16">
      <c r="O32" s="634"/>
    </row>
    <row r="33" spans="2:3">
      <c r="B33" s="577" t="s">
        <v>2152</v>
      </c>
      <c r="C33" t="s">
        <v>2151</v>
      </c>
    </row>
  </sheetData>
  <mergeCells count="17">
    <mergeCell ref="H9:H10"/>
    <mergeCell ref="L3:M3"/>
    <mergeCell ref="I9:I10"/>
    <mergeCell ref="J9:J10"/>
    <mergeCell ref="A1:M1"/>
    <mergeCell ref="A2:M2"/>
    <mergeCell ref="K9:K10"/>
    <mergeCell ref="L9:L10"/>
    <mergeCell ref="M9:M10"/>
    <mergeCell ref="E5:M5"/>
    <mergeCell ref="A8:M8"/>
    <mergeCell ref="A9:A10"/>
    <mergeCell ref="B9:B10"/>
    <mergeCell ref="C9:D9"/>
    <mergeCell ref="E9:E10"/>
    <mergeCell ref="F9:F10"/>
    <mergeCell ref="G9:G10"/>
  </mergeCells>
  <pageMargins left="0.7" right="0.7" top="0.75" bottom="0.75" header="0.3" footer="0.3"/>
  <pageSetup scale="92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M60"/>
  <sheetViews>
    <sheetView topLeftCell="A40" zoomScale="70" zoomScaleNormal="70" workbookViewId="0">
      <selection activeCell="J40" sqref="J40"/>
    </sheetView>
  </sheetViews>
  <sheetFormatPr defaultRowHeight="15"/>
  <cols>
    <col min="1" max="1" width="8.7109375" customWidth="1"/>
    <col min="2" max="2" width="28.28515625" bestFit="1" customWidth="1"/>
    <col min="3" max="3" width="13.140625" bestFit="1" customWidth="1"/>
    <col min="4" max="4" width="16.42578125" customWidth="1"/>
    <col min="5" max="5" width="13.42578125" customWidth="1"/>
    <col min="6" max="6" width="15.85546875" customWidth="1"/>
    <col min="7" max="7" width="15.140625" customWidth="1"/>
    <col min="8" max="8" width="13.7109375" customWidth="1"/>
    <col min="9" max="9" width="13" customWidth="1"/>
    <col min="10" max="10" width="9.7109375" bestFit="1" customWidth="1"/>
    <col min="11" max="11" width="10.5703125" bestFit="1" customWidth="1"/>
    <col min="12" max="12" width="9.140625" customWidth="1"/>
    <col min="13" max="13" width="52.85546875" customWidth="1"/>
  </cols>
  <sheetData>
    <row r="1" spans="1:13" ht="18.75">
      <c r="A1" s="632"/>
      <c r="B1" s="710"/>
      <c r="C1" s="1303" t="s">
        <v>18</v>
      </c>
      <c r="D1" s="1304"/>
      <c r="E1" s="1304"/>
      <c r="F1" s="1304"/>
      <c r="G1" s="1304"/>
      <c r="H1" s="1304"/>
      <c r="I1" s="1304"/>
      <c r="J1" s="1304"/>
      <c r="K1" s="1304"/>
      <c r="L1" s="1304"/>
      <c r="M1" s="1305"/>
    </row>
    <row r="2" spans="1:13">
      <c r="A2" s="633"/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711"/>
    </row>
    <row r="3" spans="1:13">
      <c r="A3" s="633"/>
      <c r="B3" s="670"/>
      <c r="C3" s="5"/>
      <c r="D3" s="5"/>
      <c r="E3" s="5"/>
      <c r="F3" s="5"/>
      <c r="G3" s="5"/>
      <c r="H3" s="5"/>
      <c r="I3" s="5"/>
      <c r="J3" s="5"/>
      <c r="K3" s="5"/>
      <c r="M3" s="712" t="s">
        <v>2195</v>
      </c>
    </row>
    <row r="4" spans="1:13" s="634" customFormat="1" ht="12.75">
      <c r="A4" s="648"/>
      <c r="B4" s="672" t="s">
        <v>15</v>
      </c>
      <c r="C4" s="668">
        <v>45287</v>
      </c>
      <c r="D4" s="649" t="s">
        <v>20</v>
      </c>
      <c r="E4" s="649" t="s">
        <v>1599</v>
      </c>
      <c r="F4" s="650"/>
      <c r="G4" s="650"/>
      <c r="H4" s="650"/>
      <c r="I4" s="650"/>
      <c r="J4" s="650"/>
      <c r="K4" s="650"/>
      <c r="L4" s="654"/>
      <c r="M4" s="655"/>
    </row>
    <row r="5" spans="1:13" s="634" customFormat="1" ht="12.75">
      <c r="A5" s="648"/>
      <c r="B5" s="672" t="s">
        <v>16</v>
      </c>
      <c r="C5" s="668">
        <v>45831</v>
      </c>
      <c r="D5" s="654" t="s">
        <v>17</v>
      </c>
      <c r="E5" s="1290" t="s">
        <v>21</v>
      </c>
      <c r="F5" s="1290"/>
      <c r="G5" s="1290"/>
      <c r="H5" s="1290"/>
      <c r="I5" s="1290"/>
      <c r="J5" s="1290"/>
      <c r="K5" s="1290"/>
      <c r="L5" s="1290"/>
      <c r="M5" s="1291"/>
    </row>
    <row r="6" spans="1:13" s="634" customFormat="1" ht="12.75">
      <c r="A6" s="648"/>
      <c r="B6" s="672" t="s">
        <v>1033</v>
      </c>
      <c r="C6" s="669">
        <v>46081</v>
      </c>
      <c r="D6" s="654" t="s">
        <v>22</v>
      </c>
      <c r="E6" s="656" t="s">
        <v>23</v>
      </c>
      <c r="F6" s="657" t="s">
        <v>19</v>
      </c>
      <c r="G6" s="658"/>
      <c r="H6" s="658"/>
      <c r="I6" s="658"/>
      <c r="J6" s="658"/>
      <c r="K6" s="658"/>
      <c r="L6" s="658"/>
      <c r="M6" s="651"/>
    </row>
    <row r="7" spans="1:13" s="634" customFormat="1" ht="13.5" thickBot="1">
      <c r="A7" s="652"/>
      <c r="B7" s="671"/>
      <c r="C7" s="659"/>
      <c r="D7" s="659" t="s">
        <v>1601</v>
      </c>
      <c r="E7" s="660" t="s">
        <v>24</v>
      </c>
      <c r="F7" s="684">
        <v>45287</v>
      </c>
      <c r="G7" s="661"/>
      <c r="H7" s="661"/>
      <c r="I7" s="661"/>
      <c r="J7" s="661"/>
      <c r="K7" s="661"/>
      <c r="L7" s="662"/>
      <c r="M7" s="663"/>
    </row>
    <row r="8" spans="1:13" ht="21.75" thickBot="1">
      <c r="A8" s="1315" t="s">
        <v>1208</v>
      </c>
      <c r="B8" s="1316"/>
      <c r="C8" s="1316"/>
      <c r="D8" s="1316"/>
      <c r="E8" s="1316"/>
      <c r="F8" s="1316"/>
      <c r="G8" s="1316"/>
      <c r="H8" s="1316"/>
      <c r="I8" s="1316"/>
      <c r="J8" s="1316"/>
      <c r="K8" s="1316"/>
      <c r="L8" s="1316"/>
      <c r="M8" s="1317"/>
    </row>
    <row r="9" spans="1:13" ht="60" customHeight="1">
      <c r="A9" s="1295" t="s">
        <v>27</v>
      </c>
      <c r="B9" s="1297" t="s">
        <v>0</v>
      </c>
      <c r="C9" s="1299" t="s">
        <v>1029</v>
      </c>
      <c r="D9" s="1300"/>
      <c r="E9" s="1301" t="s">
        <v>2140</v>
      </c>
      <c r="F9" s="1282" t="s">
        <v>2141</v>
      </c>
      <c r="G9" s="1282" t="s">
        <v>2142</v>
      </c>
      <c r="H9" s="1282" t="s">
        <v>2143</v>
      </c>
      <c r="I9" s="1282" t="s">
        <v>1030</v>
      </c>
      <c r="J9" s="1282" t="s">
        <v>978</v>
      </c>
      <c r="K9" s="1282" t="s">
        <v>981</v>
      </c>
      <c r="L9" s="1282" t="s">
        <v>1031</v>
      </c>
      <c r="M9" s="1288" t="s">
        <v>1032</v>
      </c>
    </row>
    <row r="10" spans="1:13">
      <c r="A10" s="1312"/>
      <c r="B10" s="1313"/>
      <c r="C10" s="797" t="s">
        <v>26</v>
      </c>
      <c r="D10" s="797" t="s">
        <v>1</v>
      </c>
      <c r="E10" s="1314"/>
      <c r="F10" s="1306"/>
      <c r="G10" s="1306"/>
      <c r="H10" s="1306"/>
      <c r="I10" s="1306"/>
      <c r="J10" s="1306"/>
      <c r="K10" s="1306"/>
      <c r="L10" s="1306"/>
      <c r="M10" s="1307"/>
    </row>
    <row r="11" spans="1:13" ht="26.25" customHeight="1">
      <c r="A11" s="7">
        <v>1</v>
      </c>
      <c r="B11" s="33" t="s">
        <v>3</v>
      </c>
      <c r="C11" s="34">
        <v>25</v>
      </c>
      <c r="D11" s="35">
        <v>6.6</v>
      </c>
      <c r="E11" s="35">
        <v>6.6</v>
      </c>
      <c r="F11" s="35">
        <v>6.6</v>
      </c>
      <c r="G11" s="452">
        <v>0</v>
      </c>
      <c r="H11" s="452">
        <v>0</v>
      </c>
      <c r="I11" s="10">
        <f>E11+H11</f>
        <v>6.6</v>
      </c>
      <c r="J11" s="452">
        <v>0</v>
      </c>
      <c r="K11" s="453">
        <f t="shared" ref="K11:K24" si="0">D11-I11-J11</f>
        <v>0</v>
      </c>
      <c r="L11" s="35"/>
      <c r="M11" s="827"/>
    </row>
    <row r="12" spans="1:13" ht="26.25" customHeight="1">
      <c r="A12" s="7">
        <v>2</v>
      </c>
      <c r="B12" s="33" t="s">
        <v>4</v>
      </c>
      <c r="C12" s="34">
        <v>25</v>
      </c>
      <c r="D12" s="35">
        <v>6.6</v>
      </c>
      <c r="E12" s="10">
        <v>6.6</v>
      </c>
      <c r="F12" s="35">
        <v>6.6</v>
      </c>
      <c r="G12" s="452">
        <v>0</v>
      </c>
      <c r="H12" s="452">
        <v>0</v>
      </c>
      <c r="I12" s="10">
        <f t="shared" ref="I12:I24" si="1">E12+H12</f>
        <v>6.6</v>
      </c>
      <c r="J12" s="452">
        <v>0</v>
      </c>
      <c r="K12" s="453">
        <f t="shared" si="0"/>
        <v>0</v>
      </c>
      <c r="L12" s="35"/>
      <c r="M12" s="827"/>
    </row>
    <row r="13" spans="1:13" ht="26.25" customHeight="1">
      <c r="A13" s="7">
        <v>3</v>
      </c>
      <c r="B13" s="7" t="s">
        <v>5</v>
      </c>
      <c r="C13" s="34">
        <v>25</v>
      </c>
      <c r="D13" s="35">
        <v>6.6</v>
      </c>
      <c r="E13" s="10">
        <v>6.6</v>
      </c>
      <c r="F13" s="35">
        <v>6.6</v>
      </c>
      <c r="G13" s="11"/>
      <c r="H13" s="11"/>
      <c r="I13" s="10">
        <f t="shared" si="1"/>
        <v>6.6</v>
      </c>
      <c r="J13" s="452">
        <v>0</v>
      </c>
      <c r="K13" s="453">
        <f t="shared" si="0"/>
        <v>0</v>
      </c>
      <c r="L13" s="35"/>
      <c r="M13" s="827" t="s">
        <v>1835</v>
      </c>
    </row>
    <row r="14" spans="1:13" ht="26.25" customHeight="1">
      <c r="A14" s="7">
        <v>4</v>
      </c>
      <c r="B14" s="7" t="s">
        <v>959</v>
      </c>
      <c r="C14" s="34">
        <v>25</v>
      </c>
      <c r="D14" s="35">
        <v>6.6</v>
      </c>
      <c r="E14" s="10">
        <v>6.27</v>
      </c>
      <c r="F14" s="35">
        <v>6.6</v>
      </c>
      <c r="G14" s="11">
        <v>0.33</v>
      </c>
      <c r="H14" s="452">
        <v>0</v>
      </c>
      <c r="I14" s="10">
        <f>E14+H14</f>
        <v>6.27</v>
      </c>
      <c r="J14" s="452">
        <v>0</v>
      </c>
      <c r="K14" s="453">
        <f t="shared" si="0"/>
        <v>0.33000000000000007</v>
      </c>
      <c r="L14" s="35"/>
      <c r="M14" s="828"/>
    </row>
    <row r="15" spans="1:13" ht="26.25" customHeight="1">
      <c r="A15" s="7">
        <v>5</v>
      </c>
      <c r="B15" s="33" t="s">
        <v>6</v>
      </c>
      <c r="C15" s="34">
        <v>25</v>
      </c>
      <c r="D15" s="35">
        <v>6.6</v>
      </c>
      <c r="E15" s="10">
        <v>5.5389999999999997</v>
      </c>
      <c r="F15" s="35">
        <v>6.6</v>
      </c>
      <c r="G15" s="11">
        <v>1.0609999999999999</v>
      </c>
      <c r="H15" s="452">
        <v>0</v>
      </c>
      <c r="I15" s="10">
        <f t="shared" si="1"/>
        <v>5.5389999999999997</v>
      </c>
      <c r="J15" s="452">
        <v>0</v>
      </c>
      <c r="K15" s="453">
        <f t="shared" si="0"/>
        <v>1.0609999999999999</v>
      </c>
      <c r="L15" s="35"/>
      <c r="M15" s="827"/>
    </row>
    <row r="16" spans="1:13" ht="26.25" customHeight="1">
      <c r="A16" s="7">
        <v>6</v>
      </c>
      <c r="B16" s="7" t="s">
        <v>960</v>
      </c>
      <c r="C16" s="34">
        <v>25</v>
      </c>
      <c r="D16" s="35">
        <v>6.6</v>
      </c>
      <c r="E16" s="10">
        <v>5.5389999999999997</v>
      </c>
      <c r="F16" s="35">
        <v>6.6</v>
      </c>
      <c r="G16" s="11">
        <v>1.0609999999999999</v>
      </c>
      <c r="H16" s="452">
        <v>0</v>
      </c>
      <c r="I16" s="10">
        <f t="shared" si="1"/>
        <v>5.5389999999999997</v>
      </c>
      <c r="J16" s="452">
        <v>0</v>
      </c>
      <c r="K16" s="453">
        <f t="shared" si="0"/>
        <v>1.0609999999999999</v>
      </c>
      <c r="L16" s="35"/>
      <c r="M16" s="827"/>
    </row>
    <row r="17" spans="1:13" ht="26.25" customHeight="1">
      <c r="A17" s="7">
        <v>7</v>
      </c>
      <c r="B17" s="33" t="s">
        <v>7</v>
      </c>
      <c r="C17" s="557">
        <v>25</v>
      </c>
      <c r="D17" s="557">
        <v>7</v>
      </c>
      <c r="E17" s="10">
        <v>7</v>
      </c>
      <c r="F17" s="557">
        <v>7</v>
      </c>
      <c r="G17" s="11">
        <v>0</v>
      </c>
      <c r="H17" s="558">
        <v>0</v>
      </c>
      <c r="I17" s="10">
        <f t="shared" si="1"/>
        <v>7</v>
      </c>
      <c r="J17" s="558">
        <v>0</v>
      </c>
      <c r="K17" s="455">
        <f t="shared" si="0"/>
        <v>0</v>
      </c>
      <c r="L17" s="35"/>
      <c r="M17" s="12" t="s">
        <v>29</v>
      </c>
    </row>
    <row r="18" spans="1:13" ht="26.25" customHeight="1">
      <c r="A18" s="7">
        <v>8</v>
      </c>
      <c r="B18" s="33" t="s">
        <v>8</v>
      </c>
      <c r="C18" s="34">
        <v>82</v>
      </c>
      <c r="D18" s="34">
        <v>28</v>
      </c>
      <c r="E18" s="10">
        <v>23</v>
      </c>
      <c r="F18" s="34">
        <v>28</v>
      </c>
      <c r="G18" s="11">
        <v>5</v>
      </c>
      <c r="H18" s="558">
        <v>0</v>
      </c>
      <c r="I18" s="10">
        <f t="shared" si="1"/>
        <v>23</v>
      </c>
      <c r="J18" s="569">
        <v>0</v>
      </c>
      <c r="K18" s="455">
        <f t="shared" si="0"/>
        <v>5</v>
      </c>
      <c r="L18" s="36"/>
      <c r="M18" s="1"/>
    </row>
    <row r="19" spans="1:13" s="573" customFormat="1" ht="26.25" customHeight="1">
      <c r="A19" s="7">
        <v>9</v>
      </c>
      <c r="B19" s="33" t="s">
        <v>9</v>
      </c>
      <c r="C19" s="74">
        <v>82</v>
      </c>
      <c r="D19" s="74">
        <v>28</v>
      </c>
      <c r="E19" s="10">
        <v>21</v>
      </c>
      <c r="F19" s="74">
        <v>28</v>
      </c>
      <c r="G19" s="11">
        <v>7</v>
      </c>
      <c r="H19" s="558">
        <v>2</v>
      </c>
      <c r="I19" s="10">
        <f t="shared" si="1"/>
        <v>23</v>
      </c>
      <c r="J19" s="569">
        <v>1</v>
      </c>
      <c r="K19" s="455">
        <f t="shared" si="0"/>
        <v>4</v>
      </c>
      <c r="L19" s="1161">
        <v>1</v>
      </c>
      <c r="M19" s="725"/>
    </row>
    <row r="20" spans="1:13" ht="26.25" customHeight="1">
      <c r="A20" s="7">
        <v>10</v>
      </c>
      <c r="B20" s="33" t="s">
        <v>10</v>
      </c>
      <c r="C20" s="34">
        <v>82</v>
      </c>
      <c r="D20" s="34">
        <v>28</v>
      </c>
      <c r="E20" s="10">
        <v>14</v>
      </c>
      <c r="F20" s="34">
        <v>28</v>
      </c>
      <c r="G20" s="11">
        <v>7</v>
      </c>
      <c r="H20" s="558">
        <v>1</v>
      </c>
      <c r="I20" s="10">
        <f t="shared" si="1"/>
        <v>15</v>
      </c>
      <c r="J20" s="558"/>
      <c r="K20" s="455">
        <f t="shared" si="0"/>
        <v>13</v>
      </c>
      <c r="L20" s="36"/>
      <c r="M20" s="1"/>
    </row>
    <row r="21" spans="1:13" s="728" customFormat="1" ht="26.25" customHeight="1">
      <c r="A21" s="7">
        <v>11</v>
      </c>
      <c r="B21" s="33" t="s">
        <v>11</v>
      </c>
      <c r="C21" s="74">
        <v>82</v>
      </c>
      <c r="D21" s="74">
        <v>28</v>
      </c>
      <c r="E21" s="10">
        <v>8</v>
      </c>
      <c r="F21" s="74">
        <v>28</v>
      </c>
      <c r="G21" s="11">
        <v>10</v>
      </c>
      <c r="H21" s="558">
        <v>3</v>
      </c>
      <c r="I21" s="10">
        <f t="shared" si="1"/>
        <v>11</v>
      </c>
      <c r="J21" s="558">
        <v>2</v>
      </c>
      <c r="K21" s="455">
        <f t="shared" si="0"/>
        <v>15</v>
      </c>
      <c r="L21" s="1161">
        <v>2</v>
      </c>
      <c r="M21" s="13"/>
    </row>
    <row r="22" spans="1:13" ht="26.25" customHeight="1">
      <c r="A22" s="7">
        <v>12</v>
      </c>
      <c r="B22" s="33" t="s">
        <v>12</v>
      </c>
      <c r="C22" s="34">
        <v>82</v>
      </c>
      <c r="D22" s="34">
        <v>28</v>
      </c>
      <c r="E22" s="10">
        <v>0</v>
      </c>
      <c r="F22" s="34">
        <v>28</v>
      </c>
      <c r="G22" s="11">
        <v>10</v>
      </c>
      <c r="H22" s="452">
        <v>0</v>
      </c>
      <c r="I22" s="10">
        <f t="shared" si="1"/>
        <v>0</v>
      </c>
      <c r="J22" s="452">
        <v>0</v>
      </c>
      <c r="K22" s="455">
        <f t="shared" si="0"/>
        <v>28</v>
      </c>
      <c r="L22" s="36"/>
      <c r="M22" s="1"/>
    </row>
    <row r="23" spans="1:13" ht="26.25" customHeight="1">
      <c r="A23" s="7">
        <v>13</v>
      </c>
      <c r="B23" s="33" t="s">
        <v>13</v>
      </c>
      <c r="C23" s="34">
        <v>25</v>
      </c>
      <c r="D23" s="35">
        <v>6.6</v>
      </c>
      <c r="E23" s="10">
        <v>0</v>
      </c>
      <c r="F23" s="35">
        <v>6.6</v>
      </c>
      <c r="G23" s="11">
        <v>2</v>
      </c>
      <c r="H23" s="452">
        <v>0</v>
      </c>
      <c r="I23" s="10">
        <f t="shared" si="1"/>
        <v>0</v>
      </c>
      <c r="J23" s="452">
        <v>0</v>
      </c>
      <c r="K23" s="453">
        <f t="shared" si="0"/>
        <v>6.6</v>
      </c>
      <c r="L23" s="35"/>
      <c r="M23" s="1"/>
    </row>
    <row r="24" spans="1:13" ht="26.25" customHeight="1">
      <c r="A24" s="7">
        <v>14</v>
      </c>
      <c r="B24" s="33" t="s">
        <v>1058</v>
      </c>
      <c r="C24" s="34">
        <v>25</v>
      </c>
      <c r="D24" s="35">
        <v>6.6</v>
      </c>
      <c r="E24" s="10">
        <v>0</v>
      </c>
      <c r="F24" s="35">
        <v>6.6</v>
      </c>
      <c r="G24" s="11">
        <v>0</v>
      </c>
      <c r="H24" s="452">
        <v>0</v>
      </c>
      <c r="I24" s="10">
        <f t="shared" si="1"/>
        <v>0</v>
      </c>
      <c r="J24" s="452">
        <v>0</v>
      </c>
      <c r="K24" s="454">
        <f t="shared" si="0"/>
        <v>6.6</v>
      </c>
      <c r="L24" s="11"/>
      <c r="M24" s="15"/>
    </row>
    <row r="25" spans="1:13" ht="21" customHeight="1" thickBot="1">
      <c r="A25" s="1318" t="s">
        <v>1209</v>
      </c>
      <c r="B25" s="1319"/>
      <c r="C25" s="1319"/>
      <c r="D25" s="1319"/>
      <c r="E25" s="1319"/>
      <c r="F25" s="1319"/>
      <c r="G25" s="1319"/>
      <c r="H25" s="1319"/>
      <c r="I25" s="1319"/>
      <c r="J25" s="1319"/>
      <c r="K25" s="1319"/>
      <c r="L25" s="1319"/>
      <c r="M25" s="1320"/>
    </row>
    <row r="26" spans="1:13" ht="15" customHeight="1">
      <c r="A26" s="1295" t="s">
        <v>27</v>
      </c>
      <c r="B26" s="1297" t="s">
        <v>0</v>
      </c>
      <c r="C26" s="1299" t="s">
        <v>1029</v>
      </c>
      <c r="D26" s="1300"/>
      <c r="E26" s="1301" t="s">
        <v>2140</v>
      </c>
      <c r="F26" s="1282" t="s">
        <v>2141</v>
      </c>
      <c r="G26" s="1282" t="s">
        <v>2142</v>
      </c>
      <c r="H26" s="1282" t="s">
        <v>2143</v>
      </c>
      <c r="I26" s="1282" t="s">
        <v>1030</v>
      </c>
      <c r="J26" s="1282" t="s">
        <v>978</v>
      </c>
      <c r="K26" s="1282" t="s">
        <v>981</v>
      </c>
      <c r="L26" s="1282" t="s">
        <v>1031</v>
      </c>
      <c r="M26" s="1288" t="s">
        <v>1032</v>
      </c>
    </row>
    <row r="27" spans="1:13" ht="57.75" customHeight="1">
      <c r="A27" s="1312"/>
      <c r="B27" s="1313"/>
      <c r="C27" s="797" t="s">
        <v>26</v>
      </c>
      <c r="D27" s="797" t="s">
        <v>1</v>
      </c>
      <c r="E27" s="1314"/>
      <c r="F27" s="1306"/>
      <c r="G27" s="1306"/>
      <c r="H27" s="1306"/>
      <c r="I27" s="1306"/>
      <c r="J27" s="1306"/>
      <c r="K27" s="1306"/>
      <c r="L27" s="1306"/>
      <c r="M27" s="1307"/>
    </row>
    <row r="28" spans="1:13" ht="33.75" customHeight="1">
      <c r="A28" s="7">
        <v>1</v>
      </c>
      <c r="B28" s="33" t="s">
        <v>3</v>
      </c>
      <c r="C28" s="14">
        <v>40</v>
      </c>
      <c r="D28" s="10">
        <f>21.266+20.007</f>
        <v>41.272999999999996</v>
      </c>
      <c r="E28" s="10">
        <v>41.272999999999996</v>
      </c>
      <c r="F28" s="10">
        <v>41.272999999999996</v>
      </c>
      <c r="G28" s="452">
        <v>0</v>
      </c>
      <c r="H28" s="452">
        <v>0</v>
      </c>
      <c r="I28" s="10">
        <f t="shared" ref="I28:I41" si="2">E28+H28</f>
        <v>41.272999999999996</v>
      </c>
      <c r="J28" s="452">
        <v>0</v>
      </c>
      <c r="K28" s="453">
        <f t="shared" ref="K28:K41" si="3">D28-I28-J28</f>
        <v>0</v>
      </c>
      <c r="L28" s="452">
        <v>0</v>
      </c>
      <c r="M28" s="13"/>
    </row>
    <row r="29" spans="1:13" ht="33.75" customHeight="1">
      <c r="A29" s="7">
        <v>2</v>
      </c>
      <c r="B29" s="33" t="s">
        <v>4</v>
      </c>
      <c r="C29" s="14">
        <v>40</v>
      </c>
      <c r="D29" s="10">
        <v>41.273000000000003</v>
      </c>
      <c r="E29" s="10">
        <v>41.273000000000003</v>
      </c>
      <c r="F29" s="10">
        <v>41.273000000000003</v>
      </c>
      <c r="G29" s="452">
        <v>0</v>
      </c>
      <c r="H29" s="452">
        <v>0</v>
      </c>
      <c r="I29" s="10">
        <f t="shared" si="2"/>
        <v>41.273000000000003</v>
      </c>
      <c r="J29" s="452">
        <v>0</v>
      </c>
      <c r="K29" s="453">
        <f t="shared" si="3"/>
        <v>0</v>
      </c>
      <c r="L29" s="452">
        <v>0</v>
      </c>
      <c r="M29" s="13"/>
    </row>
    <row r="30" spans="1:13" ht="33.75" customHeight="1">
      <c r="A30" s="7">
        <v>3</v>
      </c>
      <c r="B30" s="7" t="s">
        <v>5</v>
      </c>
      <c r="C30" s="14">
        <v>40</v>
      </c>
      <c r="D30" s="10">
        <v>41.273000000000003</v>
      </c>
      <c r="E30" s="10">
        <v>39.698</v>
      </c>
      <c r="F30" s="10">
        <v>41.273000000000003</v>
      </c>
      <c r="G30" s="452">
        <f>D30-E30</f>
        <v>1.5750000000000028</v>
      </c>
      <c r="H30" s="452">
        <v>0</v>
      </c>
      <c r="I30" s="10">
        <f t="shared" si="2"/>
        <v>39.698</v>
      </c>
      <c r="J30" s="452">
        <v>0</v>
      </c>
      <c r="K30" s="453">
        <f t="shared" si="3"/>
        <v>1.5750000000000028</v>
      </c>
      <c r="L30" s="452">
        <v>0</v>
      </c>
      <c r="M30" s="13" t="s">
        <v>1885</v>
      </c>
    </row>
    <row r="31" spans="1:13" ht="33.75" customHeight="1">
      <c r="A31" s="7">
        <v>4</v>
      </c>
      <c r="B31" s="7" t="s">
        <v>959</v>
      </c>
      <c r="C31" s="14">
        <v>40</v>
      </c>
      <c r="D31" s="10">
        <v>41.273000000000003</v>
      </c>
      <c r="E31" s="10">
        <v>37.576000000000001</v>
      </c>
      <c r="F31" s="10">
        <v>41.273000000000003</v>
      </c>
      <c r="G31" s="452">
        <f>F31-E31</f>
        <v>3.6970000000000027</v>
      </c>
      <c r="H31" s="452">
        <v>0</v>
      </c>
      <c r="I31" s="10">
        <f t="shared" si="2"/>
        <v>37.576000000000001</v>
      </c>
      <c r="J31" s="452">
        <v>0</v>
      </c>
      <c r="K31" s="453">
        <f t="shared" si="3"/>
        <v>3.6970000000000027</v>
      </c>
      <c r="L31" s="452">
        <v>0</v>
      </c>
      <c r="M31" s="798"/>
    </row>
    <row r="32" spans="1:13" ht="33.75" customHeight="1">
      <c r="A32" s="7">
        <v>5</v>
      </c>
      <c r="B32" s="33" t="s">
        <v>6</v>
      </c>
      <c r="C32" s="14">
        <v>40</v>
      </c>
      <c r="D32" s="10">
        <v>41.273000000000003</v>
      </c>
      <c r="E32" s="10">
        <v>32.045999999999999</v>
      </c>
      <c r="F32" s="10">
        <v>41.273000000000003</v>
      </c>
      <c r="G32" s="452">
        <f>F32-E32</f>
        <v>9.2270000000000039</v>
      </c>
      <c r="H32" s="452">
        <v>0</v>
      </c>
      <c r="I32" s="10">
        <f t="shared" si="2"/>
        <v>32.045999999999999</v>
      </c>
      <c r="J32" s="452">
        <v>0</v>
      </c>
      <c r="K32" s="453">
        <f t="shared" si="3"/>
        <v>9.2270000000000039</v>
      </c>
      <c r="L32" s="452">
        <v>0</v>
      </c>
      <c r="M32" s="13"/>
    </row>
    <row r="33" spans="1:13" ht="33.75" customHeight="1">
      <c r="A33" s="7">
        <v>6</v>
      </c>
      <c r="B33" s="7" t="s">
        <v>960</v>
      </c>
      <c r="C33" s="14">
        <v>40</v>
      </c>
      <c r="D33" s="10">
        <v>41.273000000000003</v>
      </c>
      <c r="E33" s="10">
        <v>14.5</v>
      </c>
      <c r="F33" s="10">
        <v>41.273000000000003</v>
      </c>
      <c r="G33" s="452">
        <v>20</v>
      </c>
      <c r="H33" s="452">
        <v>0</v>
      </c>
      <c r="I33" s="10">
        <f t="shared" si="2"/>
        <v>14.5</v>
      </c>
      <c r="J33" s="452">
        <v>0</v>
      </c>
      <c r="K33" s="453">
        <f t="shared" si="3"/>
        <v>26.773000000000003</v>
      </c>
      <c r="L33" s="452">
        <v>0</v>
      </c>
      <c r="M33" s="13"/>
    </row>
    <row r="34" spans="1:13" ht="33.75" customHeight="1">
      <c r="A34" s="7">
        <v>7</v>
      </c>
      <c r="B34" s="33" t="s">
        <v>7</v>
      </c>
      <c r="C34" s="14">
        <v>40</v>
      </c>
      <c r="D34" s="14">
        <v>40</v>
      </c>
      <c r="E34" s="14">
        <v>40</v>
      </c>
      <c r="F34" s="14">
        <v>40</v>
      </c>
      <c r="G34" s="452">
        <v>0</v>
      </c>
      <c r="H34" s="452">
        <v>0</v>
      </c>
      <c r="I34" s="10">
        <f t="shared" si="2"/>
        <v>40</v>
      </c>
      <c r="J34" s="558">
        <v>0</v>
      </c>
      <c r="K34" s="455">
        <f t="shared" si="3"/>
        <v>0</v>
      </c>
      <c r="L34" s="452">
        <v>0</v>
      </c>
      <c r="M34" s="13" t="s">
        <v>29</v>
      </c>
    </row>
    <row r="35" spans="1:13" ht="33.75" customHeight="1">
      <c r="A35" s="7">
        <v>8</v>
      </c>
      <c r="B35" s="33" t="s">
        <v>8</v>
      </c>
      <c r="C35" s="14">
        <v>122</v>
      </c>
      <c r="D35" s="14">
        <v>129</v>
      </c>
      <c r="E35" s="14">
        <v>86</v>
      </c>
      <c r="F35" s="14">
        <v>129</v>
      </c>
      <c r="G35" s="14">
        <v>20</v>
      </c>
      <c r="H35" s="452">
        <v>5</v>
      </c>
      <c r="I35" s="10">
        <f t="shared" si="2"/>
        <v>91</v>
      </c>
      <c r="J35" s="14"/>
      <c r="K35" s="455">
        <f t="shared" si="3"/>
        <v>38</v>
      </c>
      <c r="L35" s="14">
        <v>0</v>
      </c>
      <c r="M35" s="14"/>
    </row>
    <row r="36" spans="1:13" ht="33.75" customHeight="1">
      <c r="A36" s="7">
        <v>9</v>
      </c>
      <c r="B36" s="33" t="s">
        <v>9</v>
      </c>
      <c r="C36" s="14">
        <v>122</v>
      </c>
      <c r="D36" s="14">
        <v>129</v>
      </c>
      <c r="E36" s="14">
        <v>80</v>
      </c>
      <c r="F36" s="14">
        <v>129</v>
      </c>
      <c r="G36" s="14">
        <v>16</v>
      </c>
      <c r="H36" s="452">
        <v>6</v>
      </c>
      <c r="I36" s="10">
        <f t="shared" si="2"/>
        <v>86</v>
      </c>
      <c r="J36" s="14">
        <v>4</v>
      </c>
      <c r="K36" s="455">
        <f t="shared" si="3"/>
        <v>39</v>
      </c>
      <c r="L36" s="14">
        <v>4</v>
      </c>
      <c r="M36" s="16"/>
    </row>
    <row r="37" spans="1:13" ht="33.75" customHeight="1">
      <c r="A37" s="7">
        <v>10</v>
      </c>
      <c r="B37" s="33" t="s">
        <v>10</v>
      </c>
      <c r="C37" s="14">
        <v>122</v>
      </c>
      <c r="D37" s="14">
        <v>129</v>
      </c>
      <c r="E37" s="14">
        <v>52</v>
      </c>
      <c r="F37" s="14">
        <v>129</v>
      </c>
      <c r="G37" s="14">
        <v>16</v>
      </c>
      <c r="H37" s="452">
        <v>9</v>
      </c>
      <c r="I37" s="10">
        <f t="shared" si="2"/>
        <v>61</v>
      </c>
      <c r="J37" s="558">
        <v>0</v>
      </c>
      <c r="K37" s="455">
        <f t="shared" si="3"/>
        <v>68</v>
      </c>
      <c r="L37" s="452">
        <v>0</v>
      </c>
      <c r="M37" s="14"/>
    </row>
    <row r="38" spans="1:13" ht="33.75" customHeight="1">
      <c r="A38" s="7">
        <v>11</v>
      </c>
      <c r="B38" s="33" t="s">
        <v>11</v>
      </c>
      <c r="C38" s="14">
        <v>122</v>
      </c>
      <c r="D38" s="14">
        <v>129</v>
      </c>
      <c r="E38" s="14">
        <v>31</v>
      </c>
      <c r="F38" s="14">
        <v>129</v>
      </c>
      <c r="G38" s="452">
        <v>25</v>
      </c>
      <c r="H38" s="452">
        <v>12</v>
      </c>
      <c r="I38" s="10">
        <f t="shared" si="2"/>
        <v>43</v>
      </c>
      <c r="J38" s="452">
        <v>3</v>
      </c>
      <c r="K38" s="455">
        <f t="shared" si="3"/>
        <v>83</v>
      </c>
      <c r="L38" s="452">
        <v>3</v>
      </c>
      <c r="M38" s="13"/>
    </row>
    <row r="39" spans="1:13" ht="33.75" customHeight="1">
      <c r="A39" s="7">
        <v>12</v>
      </c>
      <c r="B39" s="33" t="s">
        <v>12</v>
      </c>
      <c r="C39" s="14">
        <v>122</v>
      </c>
      <c r="D39" s="14">
        <f>+D35</f>
        <v>129</v>
      </c>
      <c r="E39" s="14">
        <v>10</v>
      </c>
      <c r="F39" s="14">
        <f>+F35</f>
        <v>129</v>
      </c>
      <c r="G39" s="452">
        <v>25</v>
      </c>
      <c r="H39" s="452">
        <v>0</v>
      </c>
      <c r="I39" s="10">
        <v>10</v>
      </c>
      <c r="J39" s="452">
        <v>0</v>
      </c>
      <c r="K39" s="455">
        <f t="shared" si="3"/>
        <v>119</v>
      </c>
      <c r="L39" s="452"/>
      <c r="M39" s="829"/>
    </row>
    <row r="40" spans="1:13" ht="33.75" customHeight="1">
      <c r="A40" s="7">
        <v>13</v>
      </c>
      <c r="B40" s="33" t="s">
        <v>13</v>
      </c>
      <c r="C40" s="14">
        <v>40</v>
      </c>
      <c r="D40" s="830">
        <v>41.273000000000003</v>
      </c>
      <c r="E40" s="14">
        <v>0</v>
      </c>
      <c r="F40" s="830">
        <v>41.273000000000003</v>
      </c>
      <c r="G40" s="452">
        <v>5</v>
      </c>
      <c r="H40" s="452">
        <v>0</v>
      </c>
      <c r="I40" s="10">
        <f t="shared" si="2"/>
        <v>0</v>
      </c>
      <c r="J40" s="452"/>
      <c r="K40" s="453">
        <f t="shared" si="3"/>
        <v>41.273000000000003</v>
      </c>
      <c r="L40" s="452">
        <v>1</v>
      </c>
      <c r="M40" s="829" t="s">
        <v>2206</v>
      </c>
    </row>
    <row r="41" spans="1:13" ht="33.75" customHeight="1">
      <c r="A41" s="7">
        <v>14</v>
      </c>
      <c r="B41" s="33" t="s">
        <v>1058</v>
      </c>
      <c r="C41" s="14">
        <v>40</v>
      </c>
      <c r="D41" s="830">
        <v>41.273000000000003</v>
      </c>
      <c r="E41" s="14">
        <v>0</v>
      </c>
      <c r="F41" s="830">
        <v>41.273000000000003</v>
      </c>
      <c r="G41" s="452">
        <v>0</v>
      </c>
      <c r="H41" s="452">
        <v>0</v>
      </c>
      <c r="I41" s="10">
        <f t="shared" si="2"/>
        <v>0</v>
      </c>
      <c r="J41" s="452">
        <v>0</v>
      </c>
      <c r="K41" s="454">
        <f t="shared" si="3"/>
        <v>41.273000000000003</v>
      </c>
      <c r="L41" s="452">
        <v>0</v>
      </c>
      <c r="M41" s="831"/>
    </row>
    <row r="42" spans="1:13">
      <c r="A42" s="1308"/>
      <c r="B42" s="1309"/>
      <c r="C42" s="1309"/>
      <c r="D42" s="1309"/>
      <c r="E42" s="1309"/>
      <c r="F42" s="1309"/>
      <c r="G42" s="1309"/>
      <c r="H42" s="1309"/>
      <c r="I42" s="1309"/>
      <c r="J42" s="1309"/>
      <c r="K42" s="1309"/>
      <c r="L42" s="1309"/>
      <c r="M42" s="1310"/>
    </row>
    <row r="43" spans="1:13">
      <c r="A43" s="1311" t="s">
        <v>28</v>
      </c>
      <c r="B43" s="1311"/>
      <c r="C43" s="1311"/>
      <c r="D43" s="1311"/>
      <c r="E43" s="1311"/>
      <c r="F43" s="1311"/>
      <c r="G43" s="1311"/>
      <c r="H43" s="1311"/>
      <c r="I43" s="1311"/>
      <c r="J43" s="1311"/>
      <c r="K43" s="1311"/>
      <c r="L43" s="1311"/>
      <c r="M43" s="1311"/>
    </row>
    <row r="44" spans="1:13" ht="15.75" thickBot="1">
      <c r="A44" s="1311"/>
      <c r="B44" s="1311"/>
      <c r="C44" s="1311"/>
      <c r="D44" s="1311"/>
      <c r="E44" s="1311"/>
      <c r="F44" s="1311"/>
      <c r="G44" s="1311"/>
      <c r="H44" s="1311"/>
      <c r="I44" s="1311"/>
      <c r="J44" s="1311"/>
      <c r="K44" s="1311"/>
      <c r="L44" s="1311"/>
      <c r="M44" s="1311"/>
    </row>
    <row r="45" spans="1:13" ht="15" customHeight="1">
      <c r="A45" s="1295" t="s">
        <v>27</v>
      </c>
      <c r="B45" s="1297" t="s">
        <v>0</v>
      </c>
      <c r="C45" s="1299" t="s">
        <v>1029</v>
      </c>
      <c r="D45" s="1300"/>
      <c r="E45" s="1301" t="s">
        <v>2140</v>
      </c>
      <c r="F45" s="1282" t="s">
        <v>2141</v>
      </c>
      <c r="G45" s="1282" t="s">
        <v>2142</v>
      </c>
      <c r="H45" s="1282" t="s">
        <v>2143</v>
      </c>
      <c r="I45" s="1282" t="s">
        <v>1030</v>
      </c>
      <c r="J45" s="1282" t="s">
        <v>978</v>
      </c>
      <c r="K45" s="1282" t="s">
        <v>981</v>
      </c>
      <c r="L45" s="1282" t="s">
        <v>1031</v>
      </c>
      <c r="M45" s="1288" t="s">
        <v>1032</v>
      </c>
    </row>
    <row r="46" spans="1:13" ht="60" customHeight="1">
      <c r="A46" s="1312"/>
      <c r="B46" s="1313"/>
      <c r="C46" s="797" t="s">
        <v>26</v>
      </c>
      <c r="D46" s="797" t="s">
        <v>1</v>
      </c>
      <c r="E46" s="1314"/>
      <c r="F46" s="1306"/>
      <c r="G46" s="1306"/>
      <c r="H46" s="1306"/>
      <c r="I46" s="1306"/>
      <c r="J46" s="1306"/>
      <c r="K46" s="1306"/>
      <c r="L46" s="1306"/>
      <c r="M46" s="1307"/>
    </row>
    <row r="47" spans="1:13" ht="31.5" customHeight="1">
      <c r="A47" s="7">
        <v>1</v>
      </c>
      <c r="B47" s="33" t="s">
        <v>3</v>
      </c>
      <c r="C47" s="8">
        <v>100</v>
      </c>
      <c r="D47" s="9">
        <v>102.96</v>
      </c>
      <c r="E47" s="10">
        <v>102.96</v>
      </c>
      <c r="F47" s="9">
        <v>102.96</v>
      </c>
      <c r="G47" s="452">
        <v>0</v>
      </c>
      <c r="H47" s="452">
        <v>0</v>
      </c>
      <c r="I47" s="10">
        <f t="shared" ref="I47:I60" si="4">E47+H47</f>
        <v>102.96</v>
      </c>
      <c r="J47" s="452">
        <v>0</v>
      </c>
      <c r="K47" s="453">
        <f t="shared" ref="K47:K60" si="5">D47-I47-J47</f>
        <v>0</v>
      </c>
      <c r="L47" s="11"/>
      <c r="M47" s="12" t="s">
        <v>29</v>
      </c>
    </row>
    <row r="48" spans="1:13" ht="31.5" customHeight="1">
      <c r="A48" s="7">
        <v>2</v>
      </c>
      <c r="B48" s="33" t="s">
        <v>4</v>
      </c>
      <c r="C48" s="8">
        <v>100</v>
      </c>
      <c r="D48" s="9">
        <f t="shared" ref="D48:F50" si="6">D47</f>
        <v>102.96</v>
      </c>
      <c r="E48" s="10">
        <v>101.337</v>
      </c>
      <c r="F48" s="9">
        <f t="shared" si="6"/>
        <v>102.96</v>
      </c>
      <c r="G48" s="10">
        <f t="shared" ref="G48:G53" si="7">D48-E48</f>
        <v>1.6229999999999905</v>
      </c>
      <c r="H48" s="452">
        <v>0</v>
      </c>
      <c r="I48" s="10">
        <f t="shared" si="4"/>
        <v>101.337</v>
      </c>
      <c r="J48" s="452">
        <v>0</v>
      </c>
      <c r="K48" s="453">
        <f t="shared" si="5"/>
        <v>1.6229999999999905</v>
      </c>
      <c r="L48" s="11"/>
      <c r="M48" s="13"/>
    </row>
    <row r="49" spans="1:13" ht="31.5" customHeight="1">
      <c r="A49" s="7">
        <v>3</v>
      </c>
      <c r="B49" s="7" t="s">
        <v>5</v>
      </c>
      <c r="C49" s="8">
        <v>100</v>
      </c>
      <c r="D49" s="9">
        <f t="shared" si="6"/>
        <v>102.96</v>
      </c>
      <c r="E49" s="10">
        <v>101.337</v>
      </c>
      <c r="F49" s="9">
        <f t="shared" si="6"/>
        <v>102.96</v>
      </c>
      <c r="G49" s="10">
        <f t="shared" si="7"/>
        <v>1.6229999999999905</v>
      </c>
      <c r="H49" s="452">
        <v>0</v>
      </c>
      <c r="I49" s="10">
        <f t="shared" si="4"/>
        <v>101.337</v>
      </c>
      <c r="J49" s="452">
        <v>0</v>
      </c>
      <c r="K49" s="453">
        <f t="shared" si="5"/>
        <v>1.6229999999999905</v>
      </c>
      <c r="L49" s="11"/>
      <c r="M49" s="13" t="s">
        <v>1885</v>
      </c>
    </row>
    <row r="50" spans="1:13" ht="31.5" customHeight="1">
      <c r="A50" s="7">
        <v>4</v>
      </c>
      <c r="B50" s="7" t="s">
        <v>959</v>
      </c>
      <c r="C50" s="8">
        <v>100</v>
      </c>
      <c r="D50" s="9">
        <f t="shared" si="6"/>
        <v>102.96</v>
      </c>
      <c r="E50" s="10">
        <v>99.073000000000008</v>
      </c>
      <c r="F50" s="9">
        <f t="shared" si="6"/>
        <v>102.96</v>
      </c>
      <c r="G50" s="10">
        <f>F50-E50</f>
        <v>3.8869999999999862</v>
      </c>
      <c r="H50" s="452">
        <v>0</v>
      </c>
      <c r="I50" s="10">
        <f t="shared" si="4"/>
        <v>99.073000000000008</v>
      </c>
      <c r="J50" s="452">
        <v>0</v>
      </c>
      <c r="K50" s="453">
        <f t="shared" si="5"/>
        <v>3.8869999999999862</v>
      </c>
      <c r="L50" s="11"/>
      <c r="M50" s="798" t="s">
        <v>1908</v>
      </c>
    </row>
    <row r="51" spans="1:13" ht="31.5" customHeight="1">
      <c r="A51" s="7">
        <v>5</v>
      </c>
      <c r="B51" s="33" t="s">
        <v>6</v>
      </c>
      <c r="C51" s="8">
        <v>100</v>
      </c>
      <c r="D51" s="9">
        <f t="shared" ref="D51:F52" si="8">D47</f>
        <v>102.96</v>
      </c>
      <c r="E51" s="10">
        <v>82.376999999999995</v>
      </c>
      <c r="F51" s="9">
        <f t="shared" si="8"/>
        <v>102.96</v>
      </c>
      <c r="G51" s="10">
        <v>15</v>
      </c>
      <c r="H51" s="452">
        <v>0</v>
      </c>
      <c r="I51" s="10">
        <f t="shared" si="4"/>
        <v>82.376999999999995</v>
      </c>
      <c r="J51" s="452">
        <v>0</v>
      </c>
      <c r="K51" s="453">
        <f t="shared" si="5"/>
        <v>20.582999999999998</v>
      </c>
      <c r="L51" s="11"/>
      <c r="M51" s="12" t="s">
        <v>1074</v>
      </c>
    </row>
    <row r="52" spans="1:13" ht="31.5" customHeight="1">
      <c r="A52" s="7">
        <v>6</v>
      </c>
      <c r="B52" s="7" t="s">
        <v>960</v>
      </c>
      <c r="C52" s="8">
        <v>100</v>
      </c>
      <c r="D52" s="9">
        <f t="shared" si="8"/>
        <v>102.96</v>
      </c>
      <c r="E52" s="10">
        <v>82.37700000000001</v>
      </c>
      <c r="F52" s="9">
        <f t="shared" si="8"/>
        <v>102.96</v>
      </c>
      <c r="G52" s="10">
        <v>15</v>
      </c>
      <c r="H52" s="452">
        <v>0</v>
      </c>
      <c r="I52" s="10">
        <f t="shared" si="4"/>
        <v>82.37700000000001</v>
      </c>
      <c r="J52" s="452">
        <v>0</v>
      </c>
      <c r="K52" s="453">
        <f t="shared" si="5"/>
        <v>20.582999999999984</v>
      </c>
      <c r="L52" s="11"/>
      <c r="M52" s="12"/>
    </row>
    <row r="53" spans="1:13" ht="31.5" customHeight="1">
      <c r="A53" s="7">
        <v>7</v>
      </c>
      <c r="B53" s="33" t="s">
        <v>7</v>
      </c>
      <c r="C53" s="8">
        <v>100</v>
      </c>
      <c r="D53" s="8">
        <v>100</v>
      </c>
      <c r="E53" s="14">
        <v>100</v>
      </c>
      <c r="F53" s="8">
        <v>100</v>
      </c>
      <c r="G53" s="14">
        <f t="shared" si="7"/>
        <v>0</v>
      </c>
      <c r="H53" s="452">
        <v>0</v>
      </c>
      <c r="I53" s="10">
        <f t="shared" si="4"/>
        <v>100</v>
      </c>
      <c r="J53" s="558">
        <v>0</v>
      </c>
      <c r="K53" s="455">
        <f t="shared" si="5"/>
        <v>0</v>
      </c>
      <c r="L53" s="8"/>
      <c r="M53" s="12" t="s">
        <v>1602</v>
      </c>
    </row>
    <row r="54" spans="1:13" ht="31.5" customHeight="1">
      <c r="A54" s="7">
        <v>8</v>
      </c>
      <c r="B54" s="33" t="s">
        <v>8</v>
      </c>
      <c r="C54" s="8">
        <v>360</v>
      </c>
      <c r="D54" s="8">
        <v>348</v>
      </c>
      <c r="E54" s="14">
        <v>165</v>
      </c>
      <c r="F54" s="8">
        <v>348</v>
      </c>
      <c r="G54" s="14">
        <v>55</v>
      </c>
      <c r="H54" s="452">
        <v>25</v>
      </c>
      <c r="I54" s="10">
        <f t="shared" si="4"/>
        <v>190</v>
      </c>
      <c r="J54" s="569">
        <v>0</v>
      </c>
      <c r="K54" s="455">
        <f t="shared" si="5"/>
        <v>158</v>
      </c>
      <c r="L54" s="8"/>
      <c r="M54" s="8" t="s">
        <v>14</v>
      </c>
    </row>
    <row r="55" spans="1:13" ht="31.5" customHeight="1">
      <c r="A55" s="7">
        <v>9</v>
      </c>
      <c r="B55" s="33" t="s">
        <v>9</v>
      </c>
      <c r="C55" s="8">
        <v>360</v>
      </c>
      <c r="D55" s="8">
        <v>348</v>
      </c>
      <c r="E55" s="14">
        <v>163</v>
      </c>
      <c r="F55" s="8">
        <v>348</v>
      </c>
      <c r="G55" s="14">
        <v>57</v>
      </c>
      <c r="H55" s="452">
        <v>24</v>
      </c>
      <c r="I55" s="10">
        <f t="shared" si="4"/>
        <v>187</v>
      </c>
      <c r="J55" s="569">
        <v>8</v>
      </c>
      <c r="K55" s="455">
        <f t="shared" si="5"/>
        <v>153</v>
      </c>
      <c r="L55" s="8">
        <v>8</v>
      </c>
      <c r="M55" s="725"/>
    </row>
    <row r="56" spans="1:13" ht="31.5" customHeight="1">
      <c r="A56" s="7">
        <v>10</v>
      </c>
      <c r="B56" s="33" t="s">
        <v>10</v>
      </c>
      <c r="C56" s="8">
        <v>360</v>
      </c>
      <c r="D56" s="8">
        <v>348</v>
      </c>
      <c r="E56" s="14">
        <v>119</v>
      </c>
      <c r="F56" s="8">
        <v>348</v>
      </c>
      <c r="G56" s="14">
        <v>57</v>
      </c>
      <c r="H56" s="452">
        <v>19</v>
      </c>
      <c r="I56" s="10">
        <f t="shared" si="4"/>
        <v>138</v>
      </c>
      <c r="J56" s="558">
        <v>0</v>
      </c>
      <c r="K56" s="455">
        <f t="shared" si="5"/>
        <v>210</v>
      </c>
      <c r="L56" s="8"/>
      <c r="M56" s="16"/>
    </row>
    <row r="57" spans="1:13" ht="31.5" customHeight="1">
      <c r="A57" s="7">
        <v>11</v>
      </c>
      <c r="B57" s="33" t="s">
        <v>11</v>
      </c>
      <c r="C57" s="8">
        <v>360</v>
      </c>
      <c r="D57" s="8">
        <v>348</v>
      </c>
      <c r="E57" s="14">
        <v>48</v>
      </c>
      <c r="F57" s="8">
        <v>348</v>
      </c>
      <c r="G57" s="452">
        <v>35</v>
      </c>
      <c r="H57" s="452">
        <v>23</v>
      </c>
      <c r="I57" s="10">
        <f t="shared" si="4"/>
        <v>71</v>
      </c>
      <c r="J57" s="452">
        <v>3</v>
      </c>
      <c r="K57" s="455">
        <f t="shared" si="5"/>
        <v>274</v>
      </c>
      <c r="L57" s="8">
        <v>3</v>
      </c>
      <c r="M57" s="13"/>
    </row>
    <row r="58" spans="1:13" ht="31.5" customHeight="1">
      <c r="A58" s="7">
        <v>12</v>
      </c>
      <c r="B58" s="33" t="s">
        <v>12</v>
      </c>
      <c r="C58" s="8">
        <v>360</v>
      </c>
      <c r="D58" s="8">
        <f>+D54</f>
        <v>348</v>
      </c>
      <c r="E58" s="14">
        <v>11</v>
      </c>
      <c r="F58" s="8">
        <f>+F54</f>
        <v>348</v>
      </c>
      <c r="G58" s="452">
        <v>20</v>
      </c>
      <c r="H58" s="452">
        <v>0</v>
      </c>
      <c r="I58" s="10">
        <f t="shared" si="4"/>
        <v>11</v>
      </c>
      <c r="J58" s="452">
        <v>0</v>
      </c>
      <c r="K58" s="455">
        <f t="shared" si="5"/>
        <v>337</v>
      </c>
      <c r="L58" s="8"/>
      <c r="M58" s="15"/>
    </row>
    <row r="59" spans="1:13" ht="31.5" customHeight="1">
      <c r="A59" s="7">
        <v>13</v>
      </c>
      <c r="B59" s="33" t="s">
        <v>13</v>
      </c>
      <c r="C59" s="17">
        <v>100</v>
      </c>
      <c r="D59" s="9">
        <v>102.96</v>
      </c>
      <c r="E59" s="10">
        <v>0</v>
      </c>
      <c r="F59" s="9">
        <v>102.96</v>
      </c>
      <c r="G59" s="452">
        <v>5</v>
      </c>
      <c r="H59" s="452">
        <v>3.1989999999999998</v>
      </c>
      <c r="I59" s="10">
        <f t="shared" si="4"/>
        <v>3.1989999999999998</v>
      </c>
      <c r="J59" s="452">
        <v>0.34899999999999998</v>
      </c>
      <c r="K59" s="453">
        <f t="shared" si="5"/>
        <v>99.411999999999992</v>
      </c>
      <c r="L59" s="11">
        <v>1</v>
      </c>
      <c r="M59" s="15"/>
    </row>
    <row r="60" spans="1:13" ht="31.5" customHeight="1">
      <c r="A60" s="7">
        <v>14</v>
      </c>
      <c r="B60" s="33" t="s">
        <v>1058</v>
      </c>
      <c r="C60" s="17">
        <v>100</v>
      </c>
      <c r="D60" s="9">
        <v>102.96</v>
      </c>
      <c r="E60" s="10">
        <v>0</v>
      </c>
      <c r="F60" s="9">
        <v>102.96</v>
      </c>
      <c r="G60" s="452">
        <v>0</v>
      </c>
      <c r="H60" s="452">
        <v>0</v>
      </c>
      <c r="I60" s="10">
        <f t="shared" si="4"/>
        <v>0</v>
      </c>
      <c r="J60" s="452">
        <v>0</v>
      </c>
      <c r="K60" s="454">
        <f t="shared" si="5"/>
        <v>102.96</v>
      </c>
      <c r="L60" s="11"/>
      <c r="M60" s="15"/>
    </row>
  </sheetData>
  <autoFilter ref="A9:M41">
    <filterColumn colId="2" showButton="0"/>
  </autoFilter>
  <mergeCells count="42">
    <mergeCell ref="M26:M27"/>
    <mergeCell ref="I45:I46"/>
    <mergeCell ref="A8:M8"/>
    <mergeCell ref="E5:M5"/>
    <mergeCell ref="A26:A27"/>
    <mergeCell ref="B26:B27"/>
    <mergeCell ref="C26:D26"/>
    <mergeCell ref="E26:E27"/>
    <mergeCell ref="A25:M25"/>
    <mergeCell ref="F26:F27"/>
    <mergeCell ref="G26:G27"/>
    <mergeCell ref="H26:H27"/>
    <mergeCell ref="I26:I27"/>
    <mergeCell ref="K26:K27"/>
    <mergeCell ref="L26:L27"/>
    <mergeCell ref="C45:D45"/>
    <mergeCell ref="J26:J27"/>
    <mergeCell ref="A9:A10"/>
    <mergeCell ref="B9:B10"/>
    <mergeCell ref="C9:D9"/>
    <mergeCell ref="E9:E10"/>
    <mergeCell ref="F9:F10"/>
    <mergeCell ref="M45:M46"/>
    <mergeCell ref="A42:M42"/>
    <mergeCell ref="A43:M44"/>
    <mergeCell ref="K45:K46"/>
    <mergeCell ref="A45:A46"/>
    <mergeCell ref="B45:B46"/>
    <mergeCell ref="J45:J46"/>
    <mergeCell ref="E45:E46"/>
    <mergeCell ref="F45:F46"/>
    <mergeCell ref="G45:G46"/>
    <mergeCell ref="H45:H46"/>
    <mergeCell ref="L45:L46"/>
    <mergeCell ref="C1:M1"/>
    <mergeCell ref="L9:L10"/>
    <mergeCell ref="M9:M10"/>
    <mergeCell ref="G9:G10"/>
    <mergeCell ref="H9:H10"/>
    <mergeCell ref="I9:I10"/>
    <mergeCell ref="K9:K10"/>
    <mergeCell ref="J9:J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2" orientation="portrait" verticalDpi="300" r:id="rId1"/>
  <rowBreaks count="2" manualBreakCount="2">
    <brk id="24" max="16383" man="1"/>
    <brk id="4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0" workbookViewId="0">
      <selection activeCell="O18" sqref="O18"/>
    </sheetView>
  </sheetViews>
  <sheetFormatPr defaultRowHeight="15"/>
  <cols>
    <col min="2" max="2" width="24.85546875" customWidth="1"/>
    <col min="3" max="3" width="15" customWidth="1"/>
    <col min="4" max="4" width="12.5703125" customWidth="1"/>
    <col min="7" max="7" width="39.140625" customWidth="1"/>
  </cols>
  <sheetData>
    <row r="1" spans="1:7">
      <c r="A1" s="1322" t="s">
        <v>866</v>
      </c>
      <c r="B1" s="1322"/>
      <c r="C1" s="1322"/>
      <c r="D1" s="1322"/>
      <c r="E1" s="1322"/>
      <c r="F1" s="1322"/>
      <c r="G1" s="1322"/>
    </row>
    <row r="2" spans="1:7">
      <c r="A2" s="1322" t="s">
        <v>867</v>
      </c>
      <c r="B2" s="1322" t="s">
        <v>868</v>
      </c>
      <c r="C2" s="1322" t="s">
        <v>0</v>
      </c>
      <c r="D2" s="1322"/>
      <c r="E2" s="793" t="s">
        <v>869</v>
      </c>
      <c r="F2" s="793" t="s">
        <v>870</v>
      </c>
      <c r="G2" s="1322" t="s">
        <v>871</v>
      </c>
    </row>
    <row r="3" spans="1:7">
      <c r="A3" s="1322"/>
      <c r="B3" s="1322"/>
      <c r="C3" s="1322"/>
      <c r="D3" s="1322"/>
      <c r="E3" s="793" t="s">
        <v>872</v>
      </c>
      <c r="F3" s="793" t="s">
        <v>873</v>
      </c>
      <c r="G3" s="1322"/>
    </row>
    <row r="4" spans="1:7">
      <c r="A4" s="1321">
        <v>1</v>
      </c>
      <c r="B4" s="1321" t="s">
        <v>874</v>
      </c>
      <c r="C4" s="760" t="s">
        <v>875</v>
      </c>
      <c r="D4" s="760" t="s">
        <v>876</v>
      </c>
      <c r="E4" s="760">
        <v>40</v>
      </c>
      <c r="F4" s="760">
        <v>122</v>
      </c>
      <c r="G4" s="760"/>
    </row>
    <row r="5" spans="1:7">
      <c r="A5" s="1321"/>
      <c r="B5" s="1321"/>
      <c r="C5" s="1321" t="s">
        <v>877</v>
      </c>
      <c r="D5" s="760" t="s">
        <v>878</v>
      </c>
      <c r="E5" s="760">
        <v>41.27</v>
      </c>
      <c r="F5" s="760">
        <v>128</v>
      </c>
      <c r="G5" s="760"/>
    </row>
    <row r="6" spans="1:7">
      <c r="A6" s="1321"/>
      <c r="B6" s="1321"/>
      <c r="C6" s="1321"/>
      <c r="D6" s="760" t="s">
        <v>879</v>
      </c>
      <c r="E6" s="760">
        <v>41.27</v>
      </c>
      <c r="F6" s="760">
        <v>128</v>
      </c>
      <c r="G6" s="760"/>
    </row>
    <row r="7" spans="1:7" ht="26.25">
      <c r="A7" s="1321"/>
      <c r="B7" s="1321"/>
      <c r="C7" s="1321" t="s">
        <v>880</v>
      </c>
      <c r="D7" s="760" t="s">
        <v>29</v>
      </c>
      <c r="E7" s="761">
        <v>36.884</v>
      </c>
      <c r="F7" s="760">
        <v>122</v>
      </c>
      <c r="G7" s="764" t="s">
        <v>1841</v>
      </c>
    </row>
    <row r="8" spans="1:7">
      <c r="A8" s="1321"/>
      <c r="B8" s="1321"/>
      <c r="C8" s="1321"/>
      <c r="D8" s="760" t="s">
        <v>878</v>
      </c>
      <c r="E8" s="761">
        <v>36.884</v>
      </c>
      <c r="F8" s="760">
        <v>112</v>
      </c>
      <c r="G8" s="762"/>
    </row>
    <row r="9" spans="1:7">
      <c r="A9" s="1321"/>
      <c r="B9" s="1321"/>
      <c r="C9" s="1321"/>
      <c r="D9" s="760" t="s">
        <v>879</v>
      </c>
      <c r="E9" s="761">
        <v>36.884</v>
      </c>
      <c r="F9" s="760">
        <v>112</v>
      </c>
      <c r="G9" s="760"/>
    </row>
    <row r="10" spans="1:7" ht="16.5" customHeight="1">
      <c r="A10" s="1321"/>
      <c r="B10" s="1321"/>
      <c r="C10" s="1321" t="s">
        <v>882</v>
      </c>
      <c r="D10" s="760" t="s">
        <v>29</v>
      </c>
      <c r="E10" s="760">
        <v>32.045999999999999</v>
      </c>
      <c r="F10" s="760">
        <v>52</v>
      </c>
      <c r="G10" s="760" t="s">
        <v>1842</v>
      </c>
    </row>
    <row r="11" spans="1:7">
      <c r="A11" s="1321"/>
      <c r="B11" s="1321"/>
      <c r="C11" s="1321"/>
      <c r="D11" s="760" t="s">
        <v>878</v>
      </c>
      <c r="E11" s="760">
        <v>14.5</v>
      </c>
      <c r="F11" s="760">
        <v>0</v>
      </c>
      <c r="G11" s="762"/>
    </row>
    <row r="12" spans="1:7">
      <c r="A12" s="1321"/>
      <c r="B12" s="1321"/>
      <c r="C12" s="1321"/>
      <c r="D12" s="760" t="s">
        <v>879</v>
      </c>
      <c r="E12" s="760">
        <v>14.5</v>
      </c>
      <c r="F12" s="760">
        <v>0</v>
      </c>
      <c r="G12" s="760"/>
    </row>
    <row r="13" spans="1:7">
      <c r="A13" s="1323"/>
      <c r="B13" s="1324"/>
      <c r="C13" s="1324"/>
      <c r="D13" s="1324"/>
      <c r="E13" s="1324"/>
      <c r="F13" s="1324"/>
      <c r="G13" s="1325"/>
    </row>
    <row r="14" spans="1:7">
      <c r="A14" s="1321">
        <v>2</v>
      </c>
      <c r="B14" s="1321" t="s">
        <v>884</v>
      </c>
      <c r="C14" s="760" t="s">
        <v>875</v>
      </c>
      <c r="D14" s="760" t="s">
        <v>876</v>
      </c>
      <c r="E14" s="760">
        <v>100</v>
      </c>
      <c r="F14" s="760">
        <v>360</v>
      </c>
      <c r="G14" s="760"/>
    </row>
    <row r="15" spans="1:7">
      <c r="A15" s="1321"/>
      <c r="B15" s="1321"/>
      <c r="C15" s="1321" t="s">
        <v>877</v>
      </c>
      <c r="D15" s="760" t="s">
        <v>878</v>
      </c>
      <c r="E15" s="760">
        <v>102.96</v>
      </c>
      <c r="F15" s="760">
        <v>348</v>
      </c>
      <c r="G15" s="760"/>
    </row>
    <row r="16" spans="1:7">
      <c r="A16" s="1321"/>
      <c r="B16" s="1321"/>
      <c r="C16" s="1321"/>
      <c r="D16" s="760" t="s">
        <v>879</v>
      </c>
      <c r="E16" s="760">
        <v>102.96</v>
      </c>
      <c r="F16" s="760">
        <v>348</v>
      </c>
      <c r="G16" s="760"/>
    </row>
    <row r="17" spans="1:7" ht="15" customHeight="1">
      <c r="A17" s="1321"/>
      <c r="B17" s="1321"/>
      <c r="C17" s="1321" t="s">
        <v>880</v>
      </c>
      <c r="D17" s="760" t="s">
        <v>29</v>
      </c>
      <c r="E17" s="760">
        <v>101.44</v>
      </c>
      <c r="F17" s="760">
        <v>340</v>
      </c>
      <c r="G17" s="760"/>
    </row>
    <row r="18" spans="1:7" ht="25.5">
      <c r="A18" s="1321"/>
      <c r="B18" s="1321"/>
      <c r="C18" s="1321"/>
      <c r="D18" s="760" t="s">
        <v>878</v>
      </c>
      <c r="E18" s="760">
        <v>99.072999999999993</v>
      </c>
      <c r="F18" s="760">
        <v>312</v>
      </c>
      <c r="G18" s="762" t="s">
        <v>1656</v>
      </c>
    </row>
    <row r="19" spans="1:7">
      <c r="A19" s="1321"/>
      <c r="B19" s="1321"/>
      <c r="C19" s="1321"/>
      <c r="D19" s="760" t="s">
        <v>879</v>
      </c>
      <c r="E19" s="760">
        <v>99.072999999999993</v>
      </c>
      <c r="F19" s="760">
        <v>312</v>
      </c>
      <c r="G19" s="760"/>
    </row>
    <row r="20" spans="1:7">
      <c r="A20" s="1321"/>
      <c r="B20" s="1321"/>
      <c r="C20" s="1321" t="s">
        <v>882</v>
      </c>
      <c r="D20" s="760" t="s">
        <v>29</v>
      </c>
      <c r="E20" s="760">
        <v>82.376999999999995</v>
      </c>
      <c r="F20" s="760">
        <v>276</v>
      </c>
      <c r="G20" s="760"/>
    </row>
    <row r="21" spans="1:7">
      <c r="A21" s="1321"/>
      <c r="B21" s="1321"/>
      <c r="C21" s="1321"/>
      <c r="D21" s="760" t="s">
        <v>878</v>
      </c>
      <c r="E21" s="760">
        <v>82.376999999999995</v>
      </c>
      <c r="F21" s="760">
        <v>276</v>
      </c>
      <c r="G21" s="760"/>
    </row>
    <row r="22" spans="1:7">
      <c r="A22" s="1321"/>
      <c r="B22" s="1321"/>
      <c r="C22" s="1321"/>
      <c r="D22" s="760" t="s">
        <v>879</v>
      </c>
      <c r="E22" s="760">
        <v>82.376999999999995</v>
      </c>
      <c r="F22" s="760">
        <v>276</v>
      </c>
      <c r="G22" s="760"/>
    </row>
    <row r="23" spans="1:7">
      <c r="A23" s="1323"/>
      <c r="B23" s="1324"/>
      <c r="C23" s="1324"/>
      <c r="D23" s="1324"/>
      <c r="E23" s="1324"/>
      <c r="F23" s="1324"/>
      <c r="G23" s="1325"/>
    </row>
    <row r="24" spans="1:7">
      <c r="A24" s="1321">
        <v>3</v>
      </c>
      <c r="B24" s="1321" t="s">
        <v>887</v>
      </c>
      <c r="C24" s="760" t="s">
        <v>875</v>
      </c>
      <c r="D24" s="760" t="s">
        <v>876</v>
      </c>
      <c r="E24" s="760">
        <v>25</v>
      </c>
      <c r="F24" s="760">
        <v>82</v>
      </c>
      <c r="G24" s="760"/>
    </row>
    <row r="25" spans="1:7">
      <c r="A25" s="1321"/>
      <c r="B25" s="1321"/>
      <c r="C25" s="1321" t="s">
        <v>877</v>
      </c>
      <c r="D25" s="760" t="s">
        <v>878</v>
      </c>
      <c r="E25" s="760">
        <v>6.6</v>
      </c>
      <c r="F25" s="760">
        <v>28</v>
      </c>
      <c r="G25" s="760"/>
    </row>
    <row r="26" spans="1:7">
      <c r="A26" s="1321"/>
      <c r="B26" s="1321"/>
      <c r="C26" s="1321"/>
      <c r="D26" s="760" t="s">
        <v>879</v>
      </c>
      <c r="E26" s="760">
        <v>6.6</v>
      </c>
      <c r="F26" s="760">
        <v>28</v>
      </c>
      <c r="G26" s="762"/>
    </row>
    <row r="27" spans="1:7" ht="15" customHeight="1">
      <c r="A27" s="1321"/>
      <c r="B27" s="1321"/>
      <c r="C27" s="1321" t="s">
        <v>880</v>
      </c>
      <c r="D27" s="760" t="s">
        <v>29</v>
      </c>
      <c r="E27" s="760">
        <v>6.6</v>
      </c>
      <c r="F27" s="760">
        <v>28</v>
      </c>
      <c r="G27" s="760"/>
    </row>
    <row r="28" spans="1:7">
      <c r="A28" s="1321"/>
      <c r="B28" s="1321"/>
      <c r="C28" s="1321"/>
      <c r="D28" s="760" t="s">
        <v>878</v>
      </c>
      <c r="E28" s="760">
        <v>6.4749999999999996</v>
      </c>
      <c r="F28" s="760">
        <v>25</v>
      </c>
      <c r="G28" s="1321" t="s">
        <v>1843</v>
      </c>
    </row>
    <row r="29" spans="1:7">
      <c r="A29" s="1321"/>
      <c r="B29" s="1321"/>
      <c r="C29" s="1321"/>
      <c r="D29" s="760" t="s">
        <v>879</v>
      </c>
      <c r="E29" s="760">
        <v>6.4749999999999996</v>
      </c>
      <c r="F29" s="760">
        <v>25</v>
      </c>
      <c r="G29" s="1321"/>
    </row>
    <row r="30" spans="1:7" ht="15.75" customHeight="1">
      <c r="A30" s="1321"/>
      <c r="B30" s="1321"/>
      <c r="C30" s="1321" t="s">
        <v>882</v>
      </c>
      <c r="D30" s="760" t="s">
        <v>29</v>
      </c>
      <c r="E30" s="760">
        <v>5.5</v>
      </c>
      <c r="F30" s="760">
        <v>22</v>
      </c>
      <c r="G30" s="763"/>
    </row>
    <row r="31" spans="1:7">
      <c r="A31" s="1321"/>
      <c r="B31" s="1321"/>
      <c r="C31" s="1321"/>
      <c r="D31" s="760" t="s">
        <v>878</v>
      </c>
      <c r="E31" s="760">
        <v>5.5</v>
      </c>
      <c r="F31" s="760">
        <v>22</v>
      </c>
      <c r="G31" s="760"/>
    </row>
    <row r="32" spans="1:7">
      <c r="A32" s="1321"/>
      <c r="B32" s="1321"/>
      <c r="C32" s="1321"/>
      <c r="D32" s="760" t="s">
        <v>879</v>
      </c>
      <c r="E32" s="760">
        <v>5.5</v>
      </c>
      <c r="F32" s="760">
        <v>22</v>
      </c>
      <c r="G32" s="760"/>
    </row>
  </sheetData>
  <mergeCells count="23">
    <mergeCell ref="A24:A32"/>
    <mergeCell ref="B24:B32"/>
    <mergeCell ref="C25:C26"/>
    <mergeCell ref="C27:C29"/>
    <mergeCell ref="G28:G29"/>
    <mergeCell ref="C30:C32"/>
    <mergeCell ref="C20:C22"/>
    <mergeCell ref="A23:G23"/>
    <mergeCell ref="C10:C12"/>
    <mergeCell ref="A13:G13"/>
    <mergeCell ref="A14:A22"/>
    <mergeCell ref="B14:B22"/>
    <mergeCell ref="C15:C16"/>
    <mergeCell ref="C17:C19"/>
    <mergeCell ref="C7:C9"/>
    <mergeCell ref="A1:G1"/>
    <mergeCell ref="A2:A3"/>
    <mergeCell ref="B2:B3"/>
    <mergeCell ref="C2:D3"/>
    <mergeCell ref="G2:G3"/>
    <mergeCell ref="A4:A12"/>
    <mergeCell ref="B4:B12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zoomScale="74" workbookViewId="0">
      <selection activeCell="I20" sqref="I20"/>
    </sheetView>
  </sheetViews>
  <sheetFormatPr defaultRowHeight="15"/>
  <cols>
    <col min="1" max="1" width="22.85546875" bestFit="1" customWidth="1"/>
    <col min="2" max="2" width="9.42578125" bestFit="1" customWidth="1"/>
    <col min="3" max="4" width="14.85546875" customWidth="1"/>
    <col min="5" max="5" width="12.42578125" bestFit="1" customWidth="1"/>
    <col min="6" max="6" width="14.5703125" customWidth="1"/>
    <col min="7" max="7" width="8.85546875" customWidth="1"/>
    <col min="8" max="8" width="10.7109375" customWidth="1"/>
    <col min="9" max="9" width="11.5703125" bestFit="1" customWidth="1"/>
    <col min="10" max="10" width="13.7109375" customWidth="1"/>
  </cols>
  <sheetData>
    <row r="1" spans="1:10" ht="19.5" thickBot="1">
      <c r="A1" s="1331" t="s">
        <v>1852</v>
      </c>
      <c r="B1" s="1332"/>
      <c r="C1" s="1332"/>
      <c r="D1" s="1332"/>
      <c r="E1" s="1332"/>
      <c r="F1" s="1332"/>
      <c r="G1" s="1332"/>
      <c r="H1" s="1332"/>
      <c r="I1" s="1332"/>
      <c r="J1" s="1333"/>
    </row>
    <row r="2" spans="1:10" s="765" customFormat="1" ht="27.75" customHeight="1">
      <c r="A2" s="1326" t="s">
        <v>1441</v>
      </c>
      <c r="B2" s="1328" t="s">
        <v>873</v>
      </c>
      <c r="C2" s="1328" t="s">
        <v>1848</v>
      </c>
      <c r="D2" s="1328" t="s">
        <v>1849</v>
      </c>
      <c r="E2" s="1328" t="s">
        <v>1850</v>
      </c>
      <c r="F2" s="1328" t="s">
        <v>1851</v>
      </c>
      <c r="G2" s="1328" t="s">
        <v>978</v>
      </c>
      <c r="H2" s="1328" t="s">
        <v>1755</v>
      </c>
      <c r="I2" s="1328" t="s">
        <v>981</v>
      </c>
      <c r="J2" s="1334" t="s">
        <v>2</v>
      </c>
    </row>
    <row r="3" spans="1:10" s="765" customFormat="1" ht="21.75" thickBot="1">
      <c r="A3" s="1337"/>
      <c r="B3" s="1330"/>
      <c r="C3" s="1330"/>
      <c r="D3" s="1330"/>
      <c r="E3" s="1330"/>
      <c r="F3" s="1330"/>
      <c r="G3" s="1330"/>
      <c r="H3" s="1330"/>
      <c r="I3" s="1330"/>
      <c r="J3" s="1336"/>
    </row>
    <row r="4" spans="1:10" s="765" customFormat="1" ht="21">
      <c r="A4" s="771" t="s">
        <v>1844</v>
      </c>
      <c r="B4" s="772">
        <v>128</v>
      </c>
      <c r="C4" s="772">
        <v>25</v>
      </c>
      <c r="D4" s="772">
        <v>28</v>
      </c>
      <c r="E4" s="772">
        <v>25</v>
      </c>
      <c r="F4" s="779">
        <f>D4-C4</f>
        <v>3</v>
      </c>
      <c r="G4" s="772">
        <v>5</v>
      </c>
      <c r="H4" s="780">
        <v>5</v>
      </c>
      <c r="I4" s="791">
        <f>B4-D4-G4</f>
        <v>95</v>
      </c>
      <c r="J4" s="783"/>
    </row>
    <row r="5" spans="1:10" s="765" customFormat="1" ht="21">
      <c r="A5" s="774" t="s">
        <v>1845</v>
      </c>
      <c r="B5" s="766">
        <v>348</v>
      </c>
      <c r="C5" s="766">
        <v>42</v>
      </c>
      <c r="D5" s="766">
        <v>50</v>
      </c>
      <c r="E5" s="766">
        <v>45</v>
      </c>
      <c r="F5" s="770">
        <f>D5-C5</f>
        <v>8</v>
      </c>
      <c r="G5" s="766">
        <v>5</v>
      </c>
      <c r="H5" s="781">
        <v>5</v>
      </c>
      <c r="I5" s="787">
        <f t="shared" ref="I5:I6" si="0">B5-D5-G5</f>
        <v>293</v>
      </c>
      <c r="J5" s="784"/>
    </row>
    <row r="6" spans="1:10" s="765" customFormat="1" ht="21.75" thickBot="1">
      <c r="A6" s="776" t="s">
        <v>1846</v>
      </c>
      <c r="B6" s="777">
        <v>28</v>
      </c>
      <c r="C6" s="777">
        <v>12</v>
      </c>
      <c r="D6" s="777">
        <v>12</v>
      </c>
      <c r="E6" s="777">
        <v>5</v>
      </c>
      <c r="F6" s="777">
        <f>D6-C6</f>
        <v>0</v>
      </c>
      <c r="G6" s="777">
        <v>0</v>
      </c>
      <c r="H6" s="782">
        <v>0</v>
      </c>
      <c r="I6" s="792">
        <f t="shared" si="0"/>
        <v>16</v>
      </c>
      <c r="J6" s="785"/>
    </row>
    <row r="7" spans="1:10" s="765" customFormat="1" ht="21.75" thickBot="1">
      <c r="A7" s="788" t="s">
        <v>1847</v>
      </c>
      <c r="B7" s="789">
        <f>SUM(B4:B6)</f>
        <v>504</v>
      </c>
      <c r="C7" s="789">
        <f t="shared" ref="C7:H7" si="1">SUM(C4:C6)</f>
        <v>79</v>
      </c>
      <c r="D7" s="789">
        <f t="shared" si="1"/>
        <v>90</v>
      </c>
      <c r="E7" s="789">
        <f t="shared" si="1"/>
        <v>75</v>
      </c>
      <c r="F7" s="789">
        <f t="shared" si="1"/>
        <v>11</v>
      </c>
      <c r="G7" s="789">
        <f t="shared" si="1"/>
        <v>10</v>
      </c>
      <c r="H7" s="789">
        <f t="shared" si="1"/>
        <v>10</v>
      </c>
      <c r="I7" s="786">
        <f>SUM(I4:I6)</f>
        <v>404</v>
      </c>
      <c r="J7" s="790"/>
    </row>
    <row r="8" spans="1:10" ht="15.75" thickBot="1"/>
    <row r="9" spans="1:10" s="765" customFormat="1" ht="21" customHeight="1">
      <c r="A9" s="1326" t="s">
        <v>1442</v>
      </c>
      <c r="B9" s="1328" t="s">
        <v>873</v>
      </c>
      <c r="C9" s="1328" t="s">
        <v>1848</v>
      </c>
      <c r="D9" s="1328" t="s">
        <v>1849</v>
      </c>
      <c r="E9" s="1328" t="s">
        <v>1850</v>
      </c>
      <c r="F9" s="1328" t="s">
        <v>1851</v>
      </c>
      <c r="G9" s="1328" t="s">
        <v>978</v>
      </c>
      <c r="H9" s="1328" t="s">
        <v>1755</v>
      </c>
      <c r="I9" s="1328" t="s">
        <v>981</v>
      </c>
      <c r="J9" s="1334" t="s">
        <v>2</v>
      </c>
    </row>
    <row r="10" spans="1:10" s="765" customFormat="1" ht="21.75" thickBot="1">
      <c r="A10" s="1327"/>
      <c r="B10" s="1329"/>
      <c r="C10" s="1329"/>
      <c r="D10" s="1329"/>
      <c r="E10" s="1329"/>
      <c r="F10" s="1329"/>
      <c r="G10" s="1329"/>
      <c r="H10" s="1329"/>
      <c r="I10" s="1329"/>
      <c r="J10" s="1335"/>
    </row>
    <row r="11" spans="1:10" s="765" customFormat="1" ht="21">
      <c r="A11" s="771" t="s">
        <v>1844</v>
      </c>
      <c r="B11" s="772">
        <v>128</v>
      </c>
      <c r="C11" s="772">
        <v>0</v>
      </c>
      <c r="D11" s="772">
        <v>0</v>
      </c>
      <c r="E11" s="772">
        <v>10</v>
      </c>
      <c r="F11" s="772">
        <v>0</v>
      </c>
      <c r="G11" s="772">
        <v>1</v>
      </c>
      <c r="H11" s="772">
        <v>1</v>
      </c>
      <c r="I11" s="791">
        <f>B11-D11-G11</f>
        <v>127</v>
      </c>
      <c r="J11" s="773"/>
    </row>
    <row r="12" spans="1:10" s="765" customFormat="1" ht="21">
      <c r="A12" s="774" t="s">
        <v>1845</v>
      </c>
      <c r="B12" s="766">
        <v>348</v>
      </c>
      <c r="C12" s="766">
        <v>0</v>
      </c>
      <c r="D12" s="766">
        <v>0</v>
      </c>
      <c r="E12" s="766">
        <v>4</v>
      </c>
      <c r="F12" s="766">
        <v>0</v>
      </c>
      <c r="G12" s="766">
        <v>0</v>
      </c>
      <c r="H12" s="766">
        <v>0</v>
      </c>
      <c r="I12" s="787">
        <f t="shared" ref="I12:I13" si="2">B12-D12-G12</f>
        <v>348</v>
      </c>
      <c r="J12" s="775"/>
    </row>
    <row r="13" spans="1:10" s="765" customFormat="1" ht="21.75" thickBot="1">
      <c r="A13" s="776" t="s">
        <v>1846</v>
      </c>
      <c r="B13" s="777">
        <v>28</v>
      </c>
      <c r="C13" s="777">
        <v>1</v>
      </c>
      <c r="D13" s="777">
        <v>2</v>
      </c>
      <c r="E13" s="777">
        <v>6</v>
      </c>
      <c r="F13" s="777">
        <v>1</v>
      </c>
      <c r="G13" s="777">
        <v>1</v>
      </c>
      <c r="H13" s="777">
        <v>1</v>
      </c>
      <c r="I13" s="792">
        <f t="shared" si="2"/>
        <v>25</v>
      </c>
      <c r="J13" s="778"/>
    </row>
    <row r="14" spans="1:10" s="765" customFormat="1" ht="21.75" thickBot="1">
      <c r="A14" s="767" t="s">
        <v>1847</v>
      </c>
      <c r="B14" s="768">
        <f>SUM(B11:B13)</f>
        <v>504</v>
      </c>
      <c r="C14" s="768">
        <f t="shared" ref="C14" si="3">SUM(C11:C13)</f>
        <v>1</v>
      </c>
      <c r="D14" s="768">
        <f t="shared" ref="D14" si="4">SUM(D11:D13)</f>
        <v>2</v>
      </c>
      <c r="E14" s="768">
        <f t="shared" ref="E14" si="5">SUM(E11:E13)</f>
        <v>20</v>
      </c>
      <c r="F14" s="768">
        <f t="shared" ref="F14" si="6">SUM(F11:F13)</f>
        <v>1</v>
      </c>
      <c r="G14" s="768">
        <f t="shared" ref="G14" si="7">SUM(G11:G13)</f>
        <v>2</v>
      </c>
      <c r="H14" s="768">
        <f t="shared" ref="H14" si="8">SUM(H11:H13)</f>
        <v>2</v>
      </c>
      <c r="I14" s="786">
        <f>SUM(I11:I13)</f>
        <v>500</v>
      </c>
      <c r="J14" s="769"/>
    </row>
  </sheetData>
  <mergeCells count="21">
    <mergeCell ref="A1:J1"/>
    <mergeCell ref="F9:F10"/>
    <mergeCell ref="G9:G10"/>
    <mergeCell ref="H9:H10"/>
    <mergeCell ref="I9:I10"/>
    <mergeCell ref="J9:J10"/>
    <mergeCell ref="D2:D3"/>
    <mergeCell ref="I2:I3"/>
    <mergeCell ref="D9:D10"/>
    <mergeCell ref="J2:J3"/>
    <mergeCell ref="E2:E3"/>
    <mergeCell ref="F2:F3"/>
    <mergeCell ref="G2:G3"/>
    <mergeCell ref="H2:H3"/>
    <mergeCell ref="E9:E10"/>
    <mergeCell ref="A2:A3"/>
    <mergeCell ref="A9:A10"/>
    <mergeCell ref="B9:B10"/>
    <mergeCell ref="B2:B3"/>
    <mergeCell ref="C2:C3"/>
    <mergeCell ref="C9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/>
  </sheetPr>
  <dimension ref="A1:F63"/>
  <sheetViews>
    <sheetView view="pageBreakPreview" zoomScaleNormal="100" zoomScaleSheetLayoutView="100" workbookViewId="0">
      <selection activeCell="H7" sqref="H7"/>
    </sheetView>
  </sheetViews>
  <sheetFormatPr defaultRowHeight="15"/>
  <cols>
    <col min="1" max="1" width="27" bestFit="1" customWidth="1"/>
    <col min="2" max="2" width="11.7109375" customWidth="1"/>
    <col min="3" max="3" width="16.7109375" customWidth="1"/>
    <col min="4" max="4" width="18.85546875" customWidth="1"/>
    <col min="5" max="5" width="14.28515625" customWidth="1"/>
    <col min="6" max="6" width="18.28515625" bestFit="1" customWidth="1"/>
    <col min="257" max="257" width="11.7109375" customWidth="1"/>
    <col min="258" max="258" width="15.7109375" customWidth="1"/>
    <col min="259" max="259" width="14.140625" customWidth="1"/>
    <col min="260" max="260" width="16.5703125" customWidth="1"/>
    <col min="262" max="262" width="25.7109375" customWidth="1"/>
    <col min="513" max="513" width="11.7109375" customWidth="1"/>
    <col min="514" max="514" width="15.7109375" customWidth="1"/>
    <col min="515" max="515" width="14.140625" customWidth="1"/>
    <col min="516" max="516" width="16.5703125" customWidth="1"/>
    <col min="518" max="518" width="25.7109375" customWidth="1"/>
    <col min="769" max="769" width="11.7109375" customWidth="1"/>
    <col min="770" max="770" width="15.7109375" customWidth="1"/>
    <col min="771" max="771" width="14.140625" customWidth="1"/>
    <col min="772" max="772" width="16.5703125" customWidth="1"/>
    <col min="774" max="774" width="25.7109375" customWidth="1"/>
    <col min="1025" max="1025" width="11.7109375" customWidth="1"/>
    <col min="1026" max="1026" width="15.7109375" customWidth="1"/>
    <col min="1027" max="1027" width="14.140625" customWidth="1"/>
    <col min="1028" max="1028" width="16.5703125" customWidth="1"/>
    <col min="1030" max="1030" width="25.7109375" customWidth="1"/>
    <col min="1281" max="1281" width="11.7109375" customWidth="1"/>
    <col min="1282" max="1282" width="15.7109375" customWidth="1"/>
    <col min="1283" max="1283" width="14.140625" customWidth="1"/>
    <col min="1284" max="1284" width="16.5703125" customWidth="1"/>
    <col min="1286" max="1286" width="25.7109375" customWidth="1"/>
    <col min="1537" max="1537" width="11.7109375" customWidth="1"/>
    <col min="1538" max="1538" width="15.7109375" customWidth="1"/>
    <col min="1539" max="1539" width="14.140625" customWidth="1"/>
    <col min="1540" max="1540" width="16.5703125" customWidth="1"/>
    <col min="1542" max="1542" width="25.7109375" customWidth="1"/>
    <col min="1793" max="1793" width="11.7109375" customWidth="1"/>
    <col min="1794" max="1794" width="15.7109375" customWidth="1"/>
    <col min="1795" max="1795" width="14.140625" customWidth="1"/>
    <col min="1796" max="1796" width="16.5703125" customWidth="1"/>
    <col min="1798" max="1798" width="25.7109375" customWidth="1"/>
    <col min="2049" max="2049" width="11.7109375" customWidth="1"/>
    <col min="2050" max="2050" width="15.7109375" customWidth="1"/>
    <col min="2051" max="2051" width="14.140625" customWidth="1"/>
    <col min="2052" max="2052" width="16.5703125" customWidth="1"/>
    <col min="2054" max="2054" width="25.7109375" customWidth="1"/>
    <col min="2305" max="2305" width="11.7109375" customWidth="1"/>
    <col min="2306" max="2306" width="15.7109375" customWidth="1"/>
    <col min="2307" max="2307" width="14.140625" customWidth="1"/>
    <col min="2308" max="2308" width="16.5703125" customWidth="1"/>
    <col min="2310" max="2310" width="25.7109375" customWidth="1"/>
    <col min="2561" max="2561" width="11.7109375" customWidth="1"/>
    <col min="2562" max="2562" width="15.7109375" customWidth="1"/>
    <col min="2563" max="2563" width="14.140625" customWidth="1"/>
    <col min="2564" max="2564" width="16.5703125" customWidth="1"/>
    <col min="2566" max="2566" width="25.7109375" customWidth="1"/>
    <col min="2817" max="2817" width="11.7109375" customWidth="1"/>
    <col min="2818" max="2818" width="15.7109375" customWidth="1"/>
    <col min="2819" max="2819" width="14.140625" customWidth="1"/>
    <col min="2820" max="2820" width="16.5703125" customWidth="1"/>
    <col min="2822" max="2822" width="25.7109375" customWidth="1"/>
    <col min="3073" max="3073" width="11.7109375" customWidth="1"/>
    <col min="3074" max="3074" width="15.7109375" customWidth="1"/>
    <col min="3075" max="3075" width="14.140625" customWidth="1"/>
    <col min="3076" max="3076" width="16.5703125" customWidth="1"/>
    <col min="3078" max="3078" width="25.7109375" customWidth="1"/>
    <col min="3329" max="3329" width="11.7109375" customWidth="1"/>
    <col min="3330" max="3330" width="15.7109375" customWidth="1"/>
    <col min="3331" max="3331" width="14.140625" customWidth="1"/>
    <col min="3332" max="3332" width="16.5703125" customWidth="1"/>
    <col min="3334" max="3334" width="25.7109375" customWidth="1"/>
    <col min="3585" max="3585" width="11.7109375" customWidth="1"/>
    <col min="3586" max="3586" width="15.7109375" customWidth="1"/>
    <col min="3587" max="3587" width="14.140625" customWidth="1"/>
    <col min="3588" max="3588" width="16.5703125" customWidth="1"/>
    <col min="3590" max="3590" width="25.7109375" customWidth="1"/>
    <col min="3841" max="3841" width="11.7109375" customWidth="1"/>
    <col min="3842" max="3842" width="15.7109375" customWidth="1"/>
    <col min="3843" max="3843" width="14.140625" customWidth="1"/>
    <col min="3844" max="3844" width="16.5703125" customWidth="1"/>
    <col min="3846" max="3846" width="25.7109375" customWidth="1"/>
    <col min="4097" max="4097" width="11.7109375" customWidth="1"/>
    <col min="4098" max="4098" width="15.7109375" customWidth="1"/>
    <col min="4099" max="4099" width="14.140625" customWidth="1"/>
    <col min="4100" max="4100" width="16.5703125" customWidth="1"/>
    <col min="4102" max="4102" width="25.7109375" customWidth="1"/>
    <col min="4353" max="4353" width="11.7109375" customWidth="1"/>
    <col min="4354" max="4354" width="15.7109375" customWidth="1"/>
    <col min="4355" max="4355" width="14.140625" customWidth="1"/>
    <col min="4356" max="4356" width="16.5703125" customWidth="1"/>
    <col min="4358" max="4358" width="25.7109375" customWidth="1"/>
    <col min="4609" max="4609" width="11.7109375" customWidth="1"/>
    <col min="4610" max="4610" width="15.7109375" customWidth="1"/>
    <col min="4611" max="4611" width="14.140625" customWidth="1"/>
    <col min="4612" max="4612" width="16.5703125" customWidth="1"/>
    <col min="4614" max="4614" width="25.7109375" customWidth="1"/>
    <col min="4865" max="4865" width="11.7109375" customWidth="1"/>
    <col min="4866" max="4866" width="15.7109375" customWidth="1"/>
    <col min="4867" max="4867" width="14.140625" customWidth="1"/>
    <col min="4868" max="4868" width="16.5703125" customWidth="1"/>
    <col min="4870" max="4870" width="25.7109375" customWidth="1"/>
    <col min="5121" max="5121" width="11.7109375" customWidth="1"/>
    <col min="5122" max="5122" width="15.7109375" customWidth="1"/>
    <col min="5123" max="5123" width="14.140625" customWidth="1"/>
    <col min="5124" max="5124" width="16.5703125" customWidth="1"/>
    <col min="5126" max="5126" width="25.7109375" customWidth="1"/>
    <col min="5377" max="5377" width="11.7109375" customWidth="1"/>
    <col min="5378" max="5378" width="15.7109375" customWidth="1"/>
    <col min="5379" max="5379" width="14.140625" customWidth="1"/>
    <col min="5380" max="5380" width="16.5703125" customWidth="1"/>
    <col min="5382" max="5382" width="25.7109375" customWidth="1"/>
    <col min="5633" max="5633" width="11.7109375" customWidth="1"/>
    <col min="5634" max="5634" width="15.7109375" customWidth="1"/>
    <col min="5635" max="5635" width="14.140625" customWidth="1"/>
    <col min="5636" max="5636" width="16.5703125" customWidth="1"/>
    <col min="5638" max="5638" width="25.7109375" customWidth="1"/>
    <col min="5889" max="5889" width="11.7109375" customWidth="1"/>
    <col min="5890" max="5890" width="15.7109375" customWidth="1"/>
    <col min="5891" max="5891" width="14.140625" customWidth="1"/>
    <col min="5892" max="5892" width="16.5703125" customWidth="1"/>
    <col min="5894" max="5894" width="25.7109375" customWidth="1"/>
    <col min="6145" max="6145" width="11.7109375" customWidth="1"/>
    <col min="6146" max="6146" width="15.7109375" customWidth="1"/>
    <col min="6147" max="6147" width="14.140625" customWidth="1"/>
    <col min="6148" max="6148" width="16.5703125" customWidth="1"/>
    <col min="6150" max="6150" width="25.7109375" customWidth="1"/>
    <col min="6401" max="6401" width="11.7109375" customWidth="1"/>
    <col min="6402" max="6402" width="15.7109375" customWidth="1"/>
    <col min="6403" max="6403" width="14.140625" customWidth="1"/>
    <col min="6404" max="6404" width="16.5703125" customWidth="1"/>
    <col min="6406" max="6406" width="25.7109375" customWidth="1"/>
    <col min="6657" max="6657" width="11.7109375" customWidth="1"/>
    <col min="6658" max="6658" width="15.7109375" customWidth="1"/>
    <col min="6659" max="6659" width="14.140625" customWidth="1"/>
    <col min="6660" max="6660" width="16.5703125" customWidth="1"/>
    <col min="6662" max="6662" width="25.7109375" customWidth="1"/>
    <col min="6913" max="6913" width="11.7109375" customWidth="1"/>
    <col min="6914" max="6914" width="15.7109375" customWidth="1"/>
    <col min="6915" max="6915" width="14.140625" customWidth="1"/>
    <col min="6916" max="6916" width="16.5703125" customWidth="1"/>
    <col min="6918" max="6918" width="25.7109375" customWidth="1"/>
    <col min="7169" max="7169" width="11.7109375" customWidth="1"/>
    <col min="7170" max="7170" width="15.7109375" customWidth="1"/>
    <col min="7171" max="7171" width="14.140625" customWidth="1"/>
    <col min="7172" max="7172" width="16.5703125" customWidth="1"/>
    <col min="7174" max="7174" width="25.7109375" customWidth="1"/>
    <col min="7425" max="7425" width="11.7109375" customWidth="1"/>
    <col min="7426" max="7426" width="15.7109375" customWidth="1"/>
    <col min="7427" max="7427" width="14.140625" customWidth="1"/>
    <col min="7428" max="7428" width="16.5703125" customWidth="1"/>
    <col min="7430" max="7430" width="25.7109375" customWidth="1"/>
    <col min="7681" max="7681" width="11.7109375" customWidth="1"/>
    <col min="7682" max="7682" width="15.7109375" customWidth="1"/>
    <col min="7683" max="7683" width="14.140625" customWidth="1"/>
    <col min="7684" max="7684" width="16.5703125" customWidth="1"/>
    <col min="7686" max="7686" width="25.7109375" customWidth="1"/>
    <col min="7937" max="7937" width="11.7109375" customWidth="1"/>
    <col min="7938" max="7938" width="15.7109375" customWidth="1"/>
    <col min="7939" max="7939" width="14.140625" customWidth="1"/>
    <col min="7940" max="7940" width="16.5703125" customWidth="1"/>
    <col min="7942" max="7942" width="25.7109375" customWidth="1"/>
    <col min="8193" max="8193" width="11.7109375" customWidth="1"/>
    <col min="8194" max="8194" width="15.7109375" customWidth="1"/>
    <col min="8195" max="8195" width="14.140625" customWidth="1"/>
    <col min="8196" max="8196" width="16.5703125" customWidth="1"/>
    <col min="8198" max="8198" width="25.7109375" customWidth="1"/>
    <col min="8449" max="8449" width="11.7109375" customWidth="1"/>
    <col min="8450" max="8450" width="15.7109375" customWidth="1"/>
    <col min="8451" max="8451" width="14.140625" customWidth="1"/>
    <col min="8452" max="8452" width="16.5703125" customWidth="1"/>
    <col min="8454" max="8454" width="25.7109375" customWidth="1"/>
    <col min="8705" max="8705" width="11.7109375" customWidth="1"/>
    <col min="8706" max="8706" width="15.7109375" customWidth="1"/>
    <col min="8707" max="8707" width="14.140625" customWidth="1"/>
    <col min="8708" max="8708" width="16.5703125" customWidth="1"/>
    <col min="8710" max="8710" width="25.7109375" customWidth="1"/>
    <col min="8961" max="8961" width="11.7109375" customWidth="1"/>
    <col min="8962" max="8962" width="15.7109375" customWidth="1"/>
    <col min="8963" max="8963" width="14.140625" customWidth="1"/>
    <col min="8964" max="8964" width="16.5703125" customWidth="1"/>
    <col min="8966" max="8966" width="25.7109375" customWidth="1"/>
    <col min="9217" max="9217" width="11.7109375" customWidth="1"/>
    <col min="9218" max="9218" width="15.7109375" customWidth="1"/>
    <col min="9219" max="9219" width="14.140625" customWidth="1"/>
    <col min="9220" max="9220" width="16.5703125" customWidth="1"/>
    <col min="9222" max="9222" width="25.7109375" customWidth="1"/>
    <col min="9473" max="9473" width="11.7109375" customWidth="1"/>
    <col min="9474" max="9474" width="15.7109375" customWidth="1"/>
    <col min="9475" max="9475" width="14.140625" customWidth="1"/>
    <col min="9476" max="9476" width="16.5703125" customWidth="1"/>
    <col min="9478" max="9478" width="25.7109375" customWidth="1"/>
    <col min="9729" max="9729" width="11.7109375" customWidth="1"/>
    <col min="9730" max="9730" width="15.7109375" customWidth="1"/>
    <col min="9731" max="9731" width="14.140625" customWidth="1"/>
    <col min="9732" max="9732" width="16.5703125" customWidth="1"/>
    <col min="9734" max="9734" width="25.7109375" customWidth="1"/>
    <col min="9985" max="9985" width="11.7109375" customWidth="1"/>
    <col min="9986" max="9986" width="15.7109375" customWidth="1"/>
    <col min="9987" max="9987" width="14.140625" customWidth="1"/>
    <col min="9988" max="9988" width="16.5703125" customWidth="1"/>
    <col min="9990" max="9990" width="25.7109375" customWidth="1"/>
    <col min="10241" max="10241" width="11.7109375" customWidth="1"/>
    <col min="10242" max="10242" width="15.7109375" customWidth="1"/>
    <col min="10243" max="10243" width="14.140625" customWidth="1"/>
    <col min="10244" max="10244" width="16.5703125" customWidth="1"/>
    <col min="10246" max="10246" width="25.7109375" customWidth="1"/>
    <col min="10497" max="10497" width="11.7109375" customWidth="1"/>
    <col min="10498" max="10498" width="15.7109375" customWidth="1"/>
    <col min="10499" max="10499" width="14.140625" customWidth="1"/>
    <col min="10500" max="10500" width="16.5703125" customWidth="1"/>
    <col min="10502" max="10502" width="25.7109375" customWidth="1"/>
    <col min="10753" max="10753" width="11.7109375" customWidth="1"/>
    <col min="10754" max="10754" width="15.7109375" customWidth="1"/>
    <col min="10755" max="10755" width="14.140625" customWidth="1"/>
    <col min="10756" max="10756" width="16.5703125" customWidth="1"/>
    <col min="10758" max="10758" width="25.7109375" customWidth="1"/>
    <col min="11009" max="11009" width="11.7109375" customWidth="1"/>
    <col min="11010" max="11010" width="15.7109375" customWidth="1"/>
    <col min="11011" max="11011" width="14.140625" customWidth="1"/>
    <col min="11012" max="11012" width="16.5703125" customWidth="1"/>
    <col min="11014" max="11014" width="25.7109375" customWidth="1"/>
    <col min="11265" max="11265" width="11.7109375" customWidth="1"/>
    <col min="11266" max="11266" width="15.7109375" customWidth="1"/>
    <col min="11267" max="11267" width="14.140625" customWidth="1"/>
    <col min="11268" max="11268" width="16.5703125" customWidth="1"/>
    <col min="11270" max="11270" width="25.7109375" customWidth="1"/>
    <col min="11521" max="11521" width="11.7109375" customWidth="1"/>
    <col min="11522" max="11522" width="15.7109375" customWidth="1"/>
    <col min="11523" max="11523" width="14.140625" customWidth="1"/>
    <col min="11524" max="11524" width="16.5703125" customWidth="1"/>
    <col min="11526" max="11526" width="25.7109375" customWidth="1"/>
    <col min="11777" max="11777" width="11.7109375" customWidth="1"/>
    <col min="11778" max="11778" width="15.7109375" customWidth="1"/>
    <col min="11779" max="11779" width="14.140625" customWidth="1"/>
    <col min="11780" max="11780" width="16.5703125" customWidth="1"/>
    <col min="11782" max="11782" width="25.7109375" customWidth="1"/>
    <col min="12033" max="12033" width="11.7109375" customWidth="1"/>
    <col min="12034" max="12034" width="15.7109375" customWidth="1"/>
    <col min="12035" max="12035" width="14.140625" customWidth="1"/>
    <col min="12036" max="12036" width="16.5703125" customWidth="1"/>
    <col min="12038" max="12038" width="25.7109375" customWidth="1"/>
    <col min="12289" max="12289" width="11.7109375" customWidth="1"/>
    <col min="12290" max="12290" width="15.7109375" customWidth="1"/>
    <col min="12291" max="12291" width="14.140625" customWidth="1"/>
    <col min="12292" max="12292" width="16.5703125" customWidth="1"/>
    <col min="12294" max="12294" width="25.7109375" customWidth="1"/>
    <col min="12545" max="12545" width="11.7109375" customWidth="1"/>
    <col min="12546" max="12546" width="15.7109375" customWidth="1"/>
    <col min="12547" max="12547" width="14.140625" customWidth="1"/>
    <col min="12548" max="12548" width="16.5703125" customWidth="1"/>
    <col min="12550" max="12550" width="25.7109375" customWidth="1"/>
    <col min="12801" max="12801" width="11.7109375" customWidth="1"/>
    <col min="12802" max="12802" width="15.7109375" customWidth="1"/>
    <col min="12803" max="12803" width="14.140625" customWidth="1"/>
    <col min="12804" max="12804" width="16.5703125" customWidth="1"/>
    <col min="12806" max="12806" width="25.7109375" customWidth="1"/>
    <col min="13057" max="13057" width="11.7109375" customWidth="1"/>
    <col min="13058" max="13058" width="15.7109375" customWidth="1"/>
    <col min="13059" max="13059" width="14.140625" customWidth="1"/>
    <col min="13060" max="13060" width="16.5703125" customWidth="1"/>
    <col min="13062" max="13062" width="25.7109375" customWidth="1"/>
    <col min="13313" max="13313" width="11.7109375" customWidth="1"/>
    <col min="13314" max="13314" width="15.7109375" customWidth="1"/>
    <col min="13315" max="13315" width="14.140625" customWidth="1"/>
    <col min="13316" max="13316" width="16.5703125" customWidth="1"/>
    <col min="13318" max="13318" width="25.7109375" customWidth="1"/>
    <col min="13569" max="13569" width="11.7109375" customWidth="1"/>
    <col min="13570" max="13570" width="15.7109375" customWidth="1"/>
    <col min="13571" max="13571" width="14.140625" customWidth="1"/>
    <col min="13572" max="13572" width="16.5703125" customWidth="1"/>
    <col min="13574" max="13574" width="25.7109375" customWidth="1"/>
    <col min="13825" max="13825" width="11.7109375" customWidth="1"/>
    <col min="13826" max="13826" width="15.7109375" customWidth="1"/>
    <col min="13827" max="13827" width="14.140625" customWidth="1"/>
    <col min="13828" max="13828" width="16.5703125" customWidth="1"/>
    <col min="13830" max="13830" width="25.7109375" customWidth="1"/>
    <col min="14081" max="14081" width="11.7109375" customWidth="1"/>
    <col min="14082" max="14082" width="15.7109375" customWidth="1"/>
    <col min="14083" max="14083" width="14.140625" customWidth="1"/>
    <col min="14084" max="14084" width="16.5703125" customWidth="1"/>
    <col min="14086" max="14086" width="25.7109375" customWidth="1"/>
    <col min="14337" max="14337" width="11.7109375" customWidth="1"/>
    <col min="14338" max="14338" width="15.7109375" customWidth="1"/>
    <col min="14339" max="14339" width="14.140625" customWidth="1"/>
    <col min="14340" max="14340" width="16.5703125" customWidth="1"/>
    <col min="14342" max="14342" width="25.7109375" customWidth="1"/>
    <col min="14593" max="14593" width="11.7109375" customWidth="1"/>
    <col min="14594" max="14594" width="15.7109375" customWidth="1"/>
    <col min="14595" max="14595" width="14.140625" customWidth="1"/>
    <col min="14596" max="14596" width="16.5703125" customWidth="1"/>
    <col min="14598" max="14598" width="25.7109375" customWidth="1"/>
    <col min="14849" max="14849" width="11.7109375" customWidth="1"/>
    <col min="14850" max="14850" width="15.7109375" customWidth="1"/>
    <col min="14851" max="14851" width="14.140625" customWidth="1"/>
    <col min="14852" max="14852" width="16.5703125" customWidth="1"/>
    <col min="14854" max="14854" width="25.7109375" customWidth="1"/>
    <col min="15105" max="15105" width="11.7109375" customWidth="1"/>
    <col min="15106" max="15106" width="15.7109375" customWidth="1"/>
    <col min="15107" max="15107" width="14.140625" customWidth="1"/>
    <col min="15108" max="15108" width="16.5703125" customWidth="1"/>
    <col min="15110" max="15110" width="25.7109375" customWidth="1"/>
    <col min="15361" max="15361" width="11.7109375" customWidth="1"/>
    <col min="15362" max="15362" width="15.7109375" customWidth="1"/>
    <col min="15363" max="15363" width="14.140625" customWidth="1"/>
    <col min="15364" max="15364" width="16.5703125" customWidth="1"/>
    <col min="15366" max="15366" width="25.7109375" customWidth="1"/>
    <col min="15617" max="15617" width="11.7109375" customWidth="1"/>
    <col min="15618" max="15618" width="15.7109375" customWidth="1"/>
    <col min="15619" max="15619" width="14.140625" customWidth="1"/>
    <col min="15620" max="15620" width="16.5703125" customWidth="1"/>
    <col min="15622" max="15622" width="25.7109375" customWidth="1"/>
    <col min="15873" max="15873" width="11.7109375" customWidth="1"/>
    <col min="15874" max="15874" width="15.7109375" customWidth="1"/>
    <col min="15875" max="15875" width="14.140625" customWidth="1"/>
    <col min="15876" max="15876" width="16.5703125" customWidth="1"/>
    <col min="15878" max="15878" width="25.7109375" customWidth="1"/>
    <col min="16129" max="16129" width="11.7109375" customWidth="1"/>
    <col min="16130" max="16130" width="15.7109375" customWidth="1"/>
    <col min="16131" max="16131" width="14.140625" customWidth="1"/>
    <col min="16132" max="16132" width="16.5703125" customWidth="1"/>
    <col min="16134" max="16134" width="25.7109375" customWidth="1"/>
  </cols>
  <sheetData>
    <row r="1" spans="1:6" ht="19.5" thickBot="1">
      <c r="A1" s="1353" t="s">
        <v>1051</v>
      </c>
      <c r="B1" s="1354"/>
      <c r="C1" s="1355"/>
      <c r="D1" s="1355"/>
      <c r="E1" s="1355"/>
      <c r="F1" s="1356"/>
    </row>
    <row r="2" spans="1:6" ht="16.5" thickBot="1">
      <c r="A2" s="1357" t="s">
        <v>1034</v>
      </c>
      <c r="B2" s="1358"/>
      <c r="C2" s="1358"/>
      <c r="D2" s="1358"/>
      <c r="E2" s="1358"/>
      <c r="F2" s="705" t="str">
        <f>'Summary-'!M3</f>
        <v>Date-24/06/2026</v>
      </c>
    </row>
    <row r="3" spans="1:6" ht="15.75">
      <c r="A3" s="519" t="s">
        <v>1035</v>
      </c>
      <c r="B3" s="520" t="s">
        <v>1052</v>
      </c>
      <c r="C3" s="520"/>
      <c r="D3" s="520"/>
      <c r="E3" s="520"/>
      <c r="F3" s="521"/>
    </row>
    <row r="4" spans="1:6" ht="16.5" thickBot="1">
      <c r="A4" s="522" t="s">
        <v>1036</v>
      </c>
      <c r="B4" s="523" t="s">
        <v>1053</v>
      </c>
      <c r="C4" s="523"/>
      <c r="D4" s="523"/>
      <c r="E4" s="523"/>
      <c r="F4" s="524"/>
    </row>
    <row r="5" spans="1:6" ht="15.75" thickBot="1">
      <c r="A5" s="1347" t="s">
        <v>1037</v>
      </c>
      <c r="B5" s="1348"/>
      <c r="C5" s="1348"/>
      <c r="D5" s="1348"/>
      <c r="E5" s="1348"/>
      <c r="F5" s="1349"/>
    </row>
    <row r="6" spans="1:6" ht="30.75" thickBot="1">
      <c r="A6" s="467" t="s">
        <v>1054</v>
      </c>
      <c r="B6" s="468" t="s">
        <v>1038</v>
      </c>
      <c r="C6" s="468" t="s">
        <v>1039</v>
      </c>
      <c r="D6" s="468" t="s">
        <v>1040</v>
      </c>
      <c r="E6" s="468" t="s">
        <v>1041</v>
      </c>
      <c r="F6" s="469" t="s">
        <v>1042</v>
      </c>
    </row>
    <row r="7" spans="1:6">
      <c r="A7" s="465" t="s">
        <v>1055</v>
      </c>
      <c r="B7" s="466">
        <f>'Summary-'!D28</f>
        <v>41.272999999999996</v>
      </c>
      <c r="C7" s="466">
        <f>'Summary-'!E28</f>
        <v>41.272999999999996</v>
      </c>
      <c r="D7" s="466">
        <f>'Summary-'!H28</f>
        <v>0</v>
      </c>
      <c r="E7" s="466">
        <f>C7+D7</f>
        <v>41.272999999999996</v>
      </c>
      <c r="F7" s="473">
        <f>B7-E7</f>
        <v>0</v>
      </c>
    </row>
    <row r="8" spans="1:6">
      <c r="A8" s="456" t="s">
        <v>1056</v>
      </c>
      <c r="B8" s="470">
        <f>'Summary-'!D47</f>
        <v>102.96</v>
      </c>
      <c r="C8" s="461">
        <f>'Summary-'!E47</f>
        <v>102.96</v>
      </c>
      <c r="D8" s="461">
        <f>'Summary-'!H47</f>
        <v>0</v>
      </c>
      <c r="E8" s="457">
        <f>C8+D8</f>
        <v>102.96</v>
      </c>
      <c r="F8" s="472">
        <f t="shared" ref="F8:F9" si="0">B8-E8</f>
        <v>0</v>
      </c>
    </row>
    <row r="9" spans="1:6" ht="15.75" thickBot="1">
      <c r="A9" s="459" t="s">
        <v>1057</v>
      </c>
      <c r="B9" s="483">
        <f>'Summary-'!D11</f>
        <v>6.6</v>
      </c>
      <c r="C9" s="463">
        <f>'Summary-'!E11</f>
        <v>6.6</v>
      </c>
      <c r="D9" s="463">
        <f>'Summary-'!H11</f>
        <v>0</v>
      </c>
      <c r="E9" s="463">
        <f>C9+D9</f>
        <v>6.6</v>
      </c>
      <c r="F9" s="484">
        <f t="shared" si="0"/>
        <v>0</v>
      </c>
    </row>
    <row r="10" spans="1:6" ht="15.75" thickBot="1">
      <c r="A10" s="485" t="s">
        <v>1059</v>
      </c>
      <c r="B10" s="487">
        <f>SUM(B7:B9)</f>
        <v>150.833</v>
      </c>
      <c r="C10" s="487">
        <f>SUM(C7:C9)</f>
        <v>150.833</v>
      </c>
      <c r="D10" s="487">
        <f>SUM(D7:D9)</f>
        <v>0</v>
      </c>
      <c r="E10" s="487">
        <f>SUM(E7:E9)</f>
        <v>150.833</v>
      </c>
      <c r="F10" s="486">
        <f>SUM(F7:F9)</f>
        <v>0</v>
      </c>
    </row>
    <row r="11" spans="1:6" ht="15.75" thickBot="1">
      <c r="A11" s="1347" t="s">
        <v>1164</v>
      </c>
      <c r="B11" s="1348"/>
      <c r="C11" s="1348"/>
      <c r="D11" s="1348"/>
      <c r="E11" s="1348"/>
      <c r="F11" s="1349"/>
    </row>
    <row r="12" spans="1:6" ht="30.75" thickBot="1">
      <c r="A12" s="467" t="s">
        <v>1054</v>
      </c>
      <c r="B12" s="468" t="s">
        <v>1038</v>
      </c>
      <c r="C12" s="468" t="s">
        <v>1039</v>
      </c>
      <c r="D12" s="468" t="s">
        <v>1040</v>
      </c>
      <c r="E12" s="468" t="s">
        <v>1041</v>
      </c>
      <c r="F12" s="469" t="s">
        <v>1042</v>
      </c>
    </row>
    <row r="13" spans="1:6">
      <c r="A13" s="465" t="s">
        <v>1055</v>
      </c>
      <c r="B13" s="570">
        <f>'Summary-'!D34</f>
        <v>40</v>
      </c>
      <c r="C13" s="570">
        <f>'Summary-'!I34</f>
        <v>40</v>
      </c>
      <c r="D13" s="570">
        <f>'Summary-'!H34</f>
        <v>0</v>
      </c>
      <c r="E13" s="466">
        <f>C13+D13</f>
        <v>40</v>
      </c>
      <c r="F13" s="473">
        <f>B13-E13</f>
        <v>0</v>
      </c>
    </row>
    <row r="14" spans="1:6">
      <c r="A14" s="456" t="s">
        <v>1056</v>
      </c>
      <c r="B14" s="476">
        <f>'Summary-'!D53</f>
        <v>100</v>
      </c>
      <c r="C14" s="475">
        <f>'Summary-'!D53</f>
        <v>100</v>
      </c>
      <c r="D14" s="475">
        <f>'Summary-'!H53</f>
        <v>0</v>
      </c>
      <c r="E14" s="476">
        <f>C14+D14</f>
        <v>100</v>
      </c>
      <c r="F14" s="472">
        <f t="shared" ref="F14:F15" si="1">B14-E14</f>
        <v>0</v>
      </c>
    </row>
    <row r="15" spans="1:6" ht="15.75" thickBot="1">
      <c r="A15" s="459" t="s">
        <v>1057</v>
      </c>
      <c r="B15" s="571">
        <f>'Summary-'!D17</f>
        <v>7</v>
      </c>
      <c r="C15" s="463">
        <f>'Summary-'!E17</f>
        <v>7</v>
      </c>
      <c r="D15" s="571">
        <f>'Summary-'!H17</f>
        <v>0</v>
      </c>
      <c r="E15" s="463">
        <f>C15+D15</f>
        <v>7</v>
      </c>
      <c r="F15" s="484">
        <f t="shared" si="1"/>
        <v>0</v>
      </c>
    </row>
    <row r="16" spans="1:6" ht="15.75" thickBot="1">
      <c r="A16" s="485" t="s">
        <v>1059</v>
      </c>
      <c r="B16" s="488">
        <f>SUM(B13:B15)</f>
        <v>147</v>
      </c>
      <c r="C16" s="488">
        <f>SUM(C13:C15)</f>
        <v>147</v>
      </c>
      <c r="D16" s="488">
        <f>SUM(D13:D15)</f>
        <v>0</v>
      </c>
      <c r="E16" s="488">
        <f>SUM(E13:E15)</f>
        <v>147</v>
      </c>
      <c r="F16" s="488">
        <f>SUM(F13:F15)</f>
        <v>0</v>
      </c>
    </row>
    <row r="17" spans="1:6" ht="15.75" thickBot="1">
      <c r="A17" s="1350" t="s">
        <v>1043</v>
      </c>
      <c r="B17" s="1351"/>
      <c r="C17" s="1351"/>
      <c r="D17" s="1351"/>
      <c r="E17" s="1351"/>
      <c r="F17" s="1352"/>
    </row>
    <row r="18" spans="1:6" ht="30.75" thickBot="1">
      <c r="A18" s="467" t="s">
        <v>1054</v>
      </c>
      <c r="B18" s="468" t="s">
        <v>1038</v>
      </c>
      <c r="C18" s="468" t="s">
        <v>1039</v>
      </c>
      <c r="D18" s="468" t="s">
        <v>1040</v>
      </c>
      <c r="E18" s="468" t="s">
        <v>1041</v>
      </c>
      <c r="F18" s="469" t="s">
        <v>1042</v>
      </c>
    </row>
    <row r="19" spans="1:6">
      <c r="A19" s="460" t="s">
        <v>1055</v>
      </c>
      <c r="B19" s="461">
        <f>'Summary-'!D31</f>
        <v>41.273000000000003</v>
      </c>
      <c r="C19" s="466">
        <f>'Summary-'!E31</f>
        <v>37.576000000000001</v>
      </c>
      <c r="D19" s="466">
        <f>'Summary-'!H31</f>
        <v>0</v>
      </c>
      <c r="E19" s="575">
        <f>C19+D19</f>
        <v>37.576000000000001</v>
      </c>
      <c r="F19" s="473">
        <f>B19-E19</f>
        <v>3.6970000000000027</v>
      </c>
    </row>
    <row r="20" spans="1:6">
      <c r="A20" s="456" t="s">
        <v>1056</v>
      </c>
      <c r="B20" s="470">
        <f>'Summary-'!D50</f>
        <v>102.96</v>
      </c>
      <c r="C20" s="461">
        <f>'Summary-'!E50</f>
        <v>99.073000000000008</v>
      </c>
      <c r="D20" s="461">
        <f>'Summary-'!H50</f>
        <v>0</v>
      </c>
      <c r="E20" s="575">
        <f>C20+D20</f>
        <v>99.073000000000008</v>
      </c>
      <c r="F20" s="472">
        <f t="shared" ref="F20:F21" si="2">B20-E20</f>
        <v>3.8869999999999862</v>
      </c>
    </row>
    <row r="21" spans="1:6" ht="15.75" thickBot="1">
      <c r="A21" s="462" t="s">
        <v>1057</v>
      </c>
      <c r="B21" s="471">
        <f>'Summary-'!D14</f>
        <v>6.6</v>
      </c>
      <c r="C21" s="685">
        <f>'Summary-'!E14</f>
        <v>6.27</v>
      </c>
      <c r="D21" s="464">
        <f>'Summary-'!H14</f>
        <v>0</v>
      </c>
      <c r="E21" s="461">
        <f>C21+D21</f>
        <v>6.27</v>
      </c>
      <c r="F21" s="474">
        <f t="shared" si="2"/>
        <v>0.33000000000000007</v>
      </c>
    </row>
    <row r="22" spans="1:6" ht="15.75" thickBot="1">
      <c r="A22" s="485" t="s">
        <v>1059</v>
      </c>
      <c r="B22" s="487">
        <f>SUM(B19:B21)</f>
        <v>150.833</v>
      </c>
      <c r="C22" s="487">
        <f>SUM(C19:C21)</f>
        <v>142.91900000000001</v>
      </c>
      <c r="D22" s="487">
        <f>SUM(D19:D21)</f>
        <v>0</v>
      </c>
      <c r="E22" s="487">
        <f>SUM(E19:E21)</f>
        <v>142.91900000000001</v>
      </c>
      <c r="F22" s="486">
        <f>SUM(F19:F21)</f>
        <v>7.913999999999989</v>
      </c>
    </row>
    <row r="23" spans="1:6" ht="15.75" thickBot="1">
      <c r="A23" s="1342" t="s">
        <v>1044</v>
      </c>
      <c r="B23" s="1343"/>
      <c r="C23" s="1343"/>
      <c r="D23" s="1343"/>
      <c r="E23" s="1343"/>
      <c r="F23" s="1344"/>
    </row>
    <row r="24" spans="1:6" ht="30.75" thickBot="1">
      <c r="A24" s="467" t="s">
        <v>1054</v>
      </c>
      <c r="B24" s="468" t="s">
        <v>1038</v>
      </c>
      <c r="C24" s="468" t="s">
        <v>1039</v>
      </c>
      <c r="D24" s="468" t="s">
        <v>1040</v>
      </c>
      <c r="E24" s="468" t="s">
        <v>1041</v>
      </c>
      <c r="F24" s="469" t="s">
        <v>1042</v>
      </c>
    </row>
    <row r="25" spans="1:6" ht="15.75" thickBot="1">
      <c r="A25" s="460" t="s">
        <v>1055</v>
      </c>
      <c r="B25" s="461">
        <f>'Summary-'!D33</f>
        <v>41.273000000000003</v>
      </c>
      <c r="C25" s="478">
        <f>'Summary-'!E33</f>
        <v>14.5</v>
      </c>
      <c r="D25" s="713">
        <f>'Summary-'!H33</f>
        <v>0</v>
      </c>
      <c r="E25" s="478">
        <f>C25+D25</f>
        <v>14.5</v>
      </c>
      <c r="F25" s="479">
        <f>B25-E25</f>
        <v>26.773000000000003</v>
      </c>
    </row>
    <row r="26" spans="1:6">
      <c r="A26" s="456" t="s">
        <v>1056</v>
      </c>
      <c r="B26" s="470">
        <f>'Summary-'!D52</f>
        <v>102.96</v>
      </c>
      <c r="C26" s="461">
        <f>'Summary-'!E52</f>
        <v>82.37700000000001</v>
      </c>
      <c r="D26" s="575">
        <f>'Summary-'!H52</f>
        <v>0</v>
      </c>
      <c r="E26" s="478">
        <f>C26+D26</f>
        <v>82.37700000000001</v>
      </c>
      <c r="F26" s="480">
        <f t="shared" ref="F26:F27" si="3">B26-E26</f>
        <v>20.582999999999984</v>
      </c>
    </row>
    <row r="27" spans="1:6" ht="15.75" thickBot="1">
      <c r="A27" s="462" t="s">
        <v>1057</v>
      </c>
      <c r="B27" s="471">
        <f>'Summary-'!D16</f>
        <v>6.6</v>
      </c>
      <c r="C27" s="464">
        <f>'Summary-'!E16</f>
        <v>5.5389999999999997</v>
      </c>
      <c r="D27" s="464">
        <f>'Summary-'!H16</f>
        <v>0</v>
      </c>
      <c r="E27" s="481">
        <f>C27+D27</f>
        <v>5.5389999999999997</v>
      </c>
      <c r="F27" s="482">
        <f t="shared" si="3"/>
        <v>1.0609999999999999</v>
      </c>
    </row>
    <row r="28" spans="1:6" ht="15.75" thickBot="1">
      <c r="A28" s="485" t="s">
        <v>1059</v>
      </c>
      <c r="B28" s="487">
        <f>SUM(B25:B27)</f>
        <v>150.833</v>
      </c>
      <c r="C28" s="487">
        <f>SUM(C25:C27)</f>
        <v>102.41600000000001</v>
      </c>
      <c r="D28" s="487">
        <f>SUM(D25:D27)</f>
        <v>0</v>
      </c>
      <c r="E28" s="487">
        <f>SUM(E25:E27)</f>
        <v>102.41600000000001</v>
      </c>
      <c r="F28" s="486">
        <f>SUM(F25:F27)</f>
        <v>48.416999999999987</v>
      </c>
    </row>
    <row r="29" spans="1:6" ht="15.75" thickBot="1">
      <c r="A29" s="1345" t="s">
        <v>1045</v>
      </c>
      <c r="B29" s="1346"/>
      <c r="C29" s="1346"/>
      <c r="D29" s="1343"/>
      <c r="E29" s="1343"/>
      <c r="F29" s="1344"/>
    </row>
    <row r="30" spans="1:6" ht="30.75" thickBot="1">
      <c r="A30" s="467" t="s">
        <v>1054</v>
      </c>
      <c r="B30" s="468" t="s">
        <v>1038</v>
      </c>
      <c r="C30" s="468" t="s">
        <v>1039</v>
      </c>
      <c r="D30" s="468" t="s">
        <v>1040</v>
      </c>
      <c r="E30" s="468" t="s">
        <v>1041</v>
      </c>
      <c r="F30" s="469" t="s">
        <v>1042</v>
      </c>
    </row>
    <row r="31" spans="1:6">
      <c r="A31" s="460" t="s">
        <v>1055</v>
      </c>
      <c r="B31" s="475">
        <f>'Summary-'!D36</f>
        <v>129</v>
      </c>
      <c r="C31" s="475">
        <f>'Summary-'!E36</f>
        <v>80</v>
      </c>
      <c r="D31" s="713">
        <f>'Summary-'!H36</f>
        <v>6</v>
      </c>
      <c r="E31" s="714">
        <f t="shared" ref="E31:E33" si="4">C31+D31</f>
        <v>86</v>
      </c>
      <c r="F31" s="473">
        <f>B31-E31</f>
        <v>43</v>
      </c>
    </row>
    <row r="32" spans="1:6">
      <c r="A32" s="456" t="s">
        <v>1056</v>
      </c>
      <c r="B32" s="476">
        <f>'Summary-'!D55</f>
        <v>348</v>
      </c>
      <c r="C32" s="476">
        <f>'Summary-'!E55</f>
        <v>163</v>
      </c>
      <c r="D32" s="575">
        <f>'Summary-'!H55</f>
        <v>24</v>
      </c>
      <c r="E32" s="714">
        <f t="shared" si="4"/>
        <v>187</v>
      </c>
      <c r="F32" s="472">
        <f t="shared" ref="F32:F33" si="5">B32-E32</f>
        <v>161</v>
      </c>
    </row>
    <row r="33" spans="1:6" ht="15.75" thickBot="1">
      <c r="A33" s="462" t="s">
        <v>1057</v>
      </c>
      <c r="B33" s="464">
        <f>'Summary-'!D19</f>
        <v>28</v>
      </c>
      <c r="C33" s="556">
        <f>'Summary-'!E19</f>
        <v>21</v>
      </c>
      <c r="D33" s="464">
        <f>'Summary-'!H19</f>
        <v>2</v>
      </c>
      <c r="E33" s="475">
        <f t="shared" si="4"/>
        <v>23</v>
      </c>
      <c r="F33" s="474">
        <f t="shared" si="5"/>
        <v>5</v>
      </c>
    </row>
    <row r="34" spans="1:6" ht="15.75" thickBot="1">
      <c r="A34" s="485" t="s">
        <v>1059</v>
      </c>
      <c r="B34" s="488">
        <f>SUM(B31:B33)</f>
        <v>505</v>
      </c>
      <c r="C34" s="488">
        <f>SUM(C31:C33)</f>
        <v>264</v>
      </c>
      <c r="D34" s="488">
        <f>SUM(D31:D33)</f>
        <v>32</v>
      </c>
      <c r="E34" s="488">
        <f>SUM(E31:E33)</f>
        <v>296</v>
      </c>
      <c r="F34" s="489">
        <f>SUM(F31:F33)</f>
        <v>209</v>
      </c>
    </row>
    <row r="35" spans="1:6" ht="15.75" thickBot="1">
      <c r="A35" s="1338" t="s">
        <v>1046</v>
      </c>
      <c r="B35" s="1339"/>
      <c r="C35" s="1340"/>
      <c r="D35" s="1340"/>
      <c r="E35" s="1340"/>
      <c r="F35" s="1341"/>
    </row>
    <row r="36" spans="1:6" ht="30.75" thickBot="1">
      <c r="A36" s="467" t="s">
        <v>1054</v>
      </c>
      <c r="B36" s="468" t="s">
        <v>1038</v>
      </c>
      <c r="C36" s="468" t="s">
        <v>1039</v>
      </c>
      <c r="D36" s="468" t="s">
        <v>1040</v>
      </c>
      <c r="E36" s="468" t="s">
        <v>1041</v>
      </c>
      <c r="F36" s="469" t="s">
        <v>1042</v>
      </c>
    </row>
    <row r="37" spans="1:6" ht="15.75" thickBot="1">
      <c r="A37" s="460" t="s">
        <v>1055</v>
      </c>
      <c r="B37" s="475">
        <f>'Summary-'!D37</f>
        <v>129</v>
      </c>
      <c r="C37" s="475">
        <f>'Summary-'!E37</f>
        <v>52</v>
      </c>
      <c r="D37" s="475">
        <f>'Summary-'!H37</f>
        <v>9</v>
      </c>
      <c r="E37" s="466">
        <f>C37+D37</f>
        <v>61</v>
      </c>
      <c r="F37" s="473">
        <f>B37-E37</f>
        <v>68</v>
      </c>
    </row>
    <row r="38" spans="1:6" ht="15.75" thickBot="1">
      <c r="A38" s="456" t="s">
        <v>1056</v>
      </c>
      <c r="B38" s="476">
        <f>'Summary-'!D56</f>
        <v>348</v>
      </c>
      <c r="C38" s="476">
        <f>'Summary-'!E56</f>
        <v>119</v>
      </c>
      <c r="D38" s="475">
        <f>'Summary-'!H56</f>
        <v>19</v>
      </c>
      <c r="E38" s="466">
        <f t="shared" ref="E38:E39" si="6">C38+D38</f>
        <v>138</v>
      </c>
      <c r="F38" s="472">
        <f t="shared" ref="F38:F39" si="7">B38-E38</f>
        <v>210</v>
      </c>
    </row>
    <row r="39" spans="1:6" ht="15.75" thickBot="1">
      <c r="A39" s="462" t="s">
        <v>1057</v>
      </c>
      <c r="B39" s="464">
        <f>'Summary-'!D20</f>
        <v>28</v>
      </c>
      <c r="C39" s="556">
        <f>'Summary-'!E20</f>
        <v>14</v>
      </c>
      <c r="D39" s="475">
        <f>'Summary-'!H20</f>
        <v>1</v>
      </c>
      <c r="E39" s="466">
        <f t="shared" si="6"/>
        <v>15</v>
      </c>
      <c r="F39" s="474">
        <f t="shared" si="7"/>
        <v>13</v>
      </c>
    </row>
    <row r="40" spans="1:6" ht="15.75" thickBot="1">
      <c r="A40" s="485" t="s">
        <v>1059</v>
      </c>
      <c r="B40" s="488">
        <f>SUM(B37:B39)</f>
        <v>505</v>
      </c>
      <c r="C40" s="488">
        <f>SUM(C37:C39)</f>
        <v>185</v>
      </c>
      <c r="D40" s="488">
        <f>SUM(D37:D39)</f>
        <v>29</v>
      </c>
      <c r="E40" s="488">
        <f>SUM(E37:E39)</f>
        <v>214</v>
      </c>
      <c r="F40" s="489">
        <f>SUM(F37:F39)</f>
        <v>291</v>
      </c>
    </row>
    <row r="41" spans="1:6" ht="15.75" thickBot="1">
      <c r="A41" s="1342" t="s">
        <v>1047</v>
      </c>
      <c r="B41" s="1343"/>
      <c r="C41" s="1343"/>
      <c r="D41" s="1343"/>
      <c r="E41" s="1343"/>
      <c r="F41" s="1344"/>
    </row>
    <row r="42" spans="1:6" ht="30.75" thickBot="1">
      <c r="A42" s="467" t="s">
        <v>1054</v>
      </c>
      <c r="B42" s="468" t="s">
        <v>1038</v>
      </c>
      <c r="C42" s="468" t="s">
        <v>1039</v>
      </c>
      <c r="D42" s="468" t="s">
        <v>1040</v>
      </c>
      <c r="E42" s="468" t="s">
        <v>1041</v>
      </c>
      <c r="F42" s="469" t="s">
        <v>1042</v>
      </c>
    </row>
    <row r="43" spans="1:6">
      <c r="A43" s="460" t="s">
        <v>1055</v>
      </c>
      <c r="B43" s="475">
        <f>'Summary-'!D38</f>
        <v>129</v>
      </c>
      <c r="C43" s="475">
        <f>'Summary-'!E38</f>
        <v>31</v>
      </c>
      <c r="D43" s="475">
        <f>'Summary-'!H38</f>
        <v>12</v>
      </c>
      <c r="E43" s="466">
        <f>C43+D43</f>
        <v>43</v>
      </c>
      <c r="F43" s="473">
        <f>B43-E43</f>
        <v>86</v>
      </c>
    </row>
    <row r="44" spans="1:6">
      <c r="A44" s="456" t="s">
        <v>1056</v>
      </c>
      <c r="B44" s="476">
        <f>'Summary-'!D57</f>
        <v>348</v>
      </c>
      <c r="C44" s="476">
        <f>'Summary-'!E57</f>
        <v>48</v>
      </c>
      <c r="D44" s="476">
        <f>'Summary-'!H57</f>
        <v>23</v>
      </c>
      <c r="E44" s="457">
        <f>C44+D44</f>
        <v>71</v>
      </c>
      <c r="F44" s="472">
        <f t="shared" ref="F44:F45" si="8">B44-E44</f>
        <v>277</v>
      </c>
    </row>
    <row r="45" spans="1:6" ht="15.75" thickBot="1">
      <c r="A45" s="462" t="s">
        <v>1057</v>
      </c>
      <c r="B45" s="464">
        <f>'Summary-'!D21</f>
        <v>28</v>
      </c>
      <c r="C45" s="464">
        <f>'Summary-'!E21</f>
        <v>8</v>
      </c>
      <c r="D45" s="464">
        <f>'Summary-'!H21</f>
        <v>3</v>
      </c>
      <c r="E45" s="464">
        <f>C45+D45</f>
        <v>11</v>
      </c>
      <c r="F45" s="474">
        <f t="shared" si="8"/>
        <v>17</v>
      </c>
    </row>
    <row r="46" spans="1:6" ht="15.75" thickBot="1">
      <c r="A46" s="485" t="s">
        <v>1059</v>
      </c>
      <c r="B46" s="488">
        <f>SUM(B43:B45)</f>
        <v>505</v>
      </c>
      <c r="C46" s="488">
        <f>SUM(C43:C45)</f>
        <v>87</v>
      </c>
      <c r="D46" s="488">
        <f>SUM(D43:D45)</f>
        <v>38</v>
      </c>
      <c r="E46" s="488">
        <f>SUM(E43:E45)</f>
        <v>125</v>
      </c>
      <c r="F46" s="489">
        <f>SUM(F43:F45)</f>
        <v>380</v>
      </c>
    </row>
    <row r="47" spans="1:6" ht="15.75" thickBot="1">
      <c r="A47" s="1342" t="s">
        <v>1048</v>
      </c>
      <c r="B47" s="1343"/>
      <c r="C47" s="1343"/>
      <c r="D47" s="1343"/>
      <c r="E47" s="1343"/>
      <c r="F47" s="1344"/>
    </row>
    <row r="48" spans="1:6" ht="30.75" thickBot="1">
      <c r="A48" s="467" t="s">
        <v>1054</v>
      </c>
      <c r="B48" s="468" t="s">
        <v>1038</v>
      </c>
      <c r="C48" s="468" t="s">
        <v>1039</v>
      </c>
      <c r="D48" s="468" t="s">
        <v>1040</v>
      </c>
      <c r="E48" s="468" t="s">
        <v>1041</v>
      </c>
      <c r="F48" s="469" t="s">
        <v>1042</v>
      </c>
    </row>
    <row r="49" spans="1:6">
      <c r="A49" s="460" t="s">
        <v>1055</v>
      </c>
      <c r="B49" s="477">
        <f>'Summary-'!D40</f>
        <v>41.273000000000003</v>
      </c>
      <c r="C49" s="477">
        <f>'Summary-'!E40</f>
        <v>0</v>
      </c>
      <c r="D49" s="477">
        <f>'Summary-'!H40</f>
        <v>0</v>
      </c>
      <c r="E49" s="466">
        <f>C49+D49</f>
        <v>0</v>
      </c>
      <c r="F49" s="473">
        <f>B49-E49</f>
        <v>41.273000000000003</v>
      </c>
    </row>
    <row r="50" spans="1:6">
      <c r="A50" s="456" t="s">
        <v>1056</v>
      </c>
      <c r="B50" s="470">
        <f>'Summary-'!D59</f>
        <v>102.96</v>
      </c>
      <c r="C50" s="470">
        <f>'Summary-'!E59</f>
        <v>0</v>
      </c>
      <c r="D50" s="470">
        <f>'Summary-'!H59</f>
        <v>3.1989999999999998</v>
      </c>
      <c r="E50" s="457">
        <f>C50+D50</f>
        <v>3.1989999999999998</v>
      </c>
      <c r="F50" s="472">
        <f t="shared" ref="F50:F51" si="9">B50-E50</f>
        <v>99.760999999999996</v>
      </c>
    </row>
    <row r="51" spans="1:6" ht="15.75" thickBot="1">
      <c r="A51" s="462" t="s">
        <v>1057</v>
      </c>
      <c r="B51" s="471">
        <f>'Summary-'!D23</f>
        <v>6.6</v>
      </c>
      <c r="C51" s="471">
        <f>'Summary-'!E23</f>
        <v>0</v>
      </c>
      <c r="D51" s="471">
        <f>'Summary-'!H23</f>
        <v>0</v>
      </c>
      <c r="E51" s="464">
        <f>C51+D51</f>
        <v>0</v>
      </c>
      <c r="F51" s="474">
        <f t="shared" si="9"/>
        <v>6.6</v>
      </c>
    </row>
    <row r="52" spans="1:6" ht="15.75" thickBot="1">
      <c r="A52" s="485" t="s">
        <v>1059</v>
      </c>
      <c r="B52" s="487">
        <f>SUM(B49:B51)</f>
        <v>150.833</v>
      </c>
      <c r="C52" s="487">
        <f>SUM(C49:C51)</f>
        <v>0</v>
      </c>
      <c r="D52" s="487">
        <f>SUM(D49:D51)</f>
        <v>3.1989999999999998</v>
      </c>
      <c r="E52" s="487">
        <f>SUM(E49:E51)</f>
        <v>3.1989999999999998</v>
      </c>
      <c r="F52" s="486">
        <f>SUM(F49:F51)</f>
        <v>147.63399999999999</v>
      </c>
    </row>
    <row r="53" spans="1:6" ht="15.75" thickBot="1">
      <c r="A53" s="1342" t="s">
        <v>1049</v>
      </c>
      <c r="B53" s="1343"/>
      <c r="C53" s="1343"/>
      <c r="D53" s="1343"/>
      <c r="E53" s="1343"/>
      <c r="F53" s="1344"/>
    </row>
    <row r="54" spans="1:6" ht="30.75" thickBot="1">
      <c r="A54" s="467" t="s">
        <v>1054</v>
      </c>
      <c r="B54" s="468" t="s">
        <v>1038</v>
      </c>
      <c r="C54" s="468" t="s">
        <v>1039</v>
      </c>
      <c r="D54" s="468" t="s">
        <v>1040</v>
      </c>
      <c r="E54" s="468" t="s">
        <v>1041</v>
      </c>
      <c r="F54" s="469" t="s">
        <v>1042</v>
      </c>
    </row>
    <row r="55" spans="1:6">
      <c r="A55" s="460" t="s">
        <v>1055</v>
      </c>
      <c r="B55" s="477">
        <f>'Summary-'!D41</f>
        <v>41.273000000000003</v>
      </c>
      <c r="C55" s="477">
        <f>'Summary-'!E41</f>
        <v>0</v>
      </c>
      <c r="D55" s="477">
        <f>'Summary-'!H41</f>
        <v>0</v>
      </c>
      <c r="E55" s="478">
        <f>C55+D55</f>
        <v>0</v>
      </c>
      <c r="F55" s="479">
        <f>B55-E55</f>
        <v>41.273000000000003</v>
      </c>
    </row>
    <row r="56" spans="1:6">
      <c r="A56" s="456" t="s">
        <v>1056</v>
      </c>
      <c r="B56" s="470">
        <f>'Summary-'!D60</f>
        <v>102.96</v>
      </c>
      <c r="C56" s="470">
        <f>'Summary-'!E60</f>
        <v>0</v>
      </c>
      <c r="D56" s="470">
        <f>'Summary-'!H60</f>
        <v>0</v>
      </c>
      <c r="E56" s="458">
        <f>C56+D56</f>
        <v>0</v>
      </c>
      <c r="F56" s="480">
        <f t="shared" ref="F56:F57" si="10">B56-E56</f>
        <v>102.96</v>
      </c>
    </row>
    <row r="57" spans="1:6" ht="15.75" thickBot="1">
      <c r="A57" s="462" t="s">
        <v>1057</v>
      </c>
      <c r="B57" s="471">
        <f>'Summary-'!D24</f>
        <v>6.6</v>
      </c>
      <c r="C57" s="471">
        <f>'Summary-'!E24</f>
        <v>0</v>
      </c>
      <c r="D57" s="471">
        <f>'Summary-'!H24</f>
        <v>0</v>
      </c>
      <c r="E57" s="481">
        <f>C57+D57</f>
        <v>0</v>
      </c>
      <c r="F57" s="482">
        <f t="shared" si="10"/>
        <v>6.6</v>
      </c>
    </row>
    <row r="58" spans="1:6" ht="15.75" thickBot="1">
      <c r="A58" s="485" t="s">
        <v>1059</v>
      </c>
      <c r="B58" s="487">
        <f>SUM(B55:B57)</f>
        <v>150.833</v>
      </c>
      <c r="C58" s="487">
        <f>SUM(C55:C57)</f>
        <v>0</v>
      </c>
      <c r="D58" s="487">
        <f>SUM(D55:D57)</f>
        <v>0</v>
      </c>
      <c r="E58" s="487">
        <f>SUM(E55:E57)</f>
        <v>0</v>
      </c>
      <c r="F58" s="486">
        <f>SUM(F55:F57)</f>
        <v>150.833</v>
      </c>
    </row>
    <row r="59" spans="1:6" ht="15.75" thickBot="1">
      <c r="A59" s="1338" t="s">
        <v>1050</v>
      </c>
      <c r="B59" s="1339"/>
      <c r="C59" s="1340"/>
      <c r="D59" s="1340"/>
      <c r="E59" s="1340"/>
      <c r="F59" s="1341"/>
    </row>
    <row r="60" spans="1:6">
      <c r="A60" s="460" t="s">
        <v>1055</v>
      </c>
      <c r="B60" s="475">
        <f>'Summary-'!D39</f>
        <v>129</v>
      </c>
      <c r="C60" s="475">
        <f>'Summary-'!E39</f>
        <v>10</v>
      </c>
      <c r="D60" s="475">
        <f>'Summary-'!H39</f>
        <v>0</v>
      </c>
      <c r="E60" s="466">
        <f>C60+D60</f>
        <v>10</v>
      </c>
      <c r="F60" s="473">
        <f>B60-E60</f>
        <v>119</v>
      </c>
    </row>
    <row r="61" spans="1:6">
      <c r="A61" s="456" t="s">
        <v>1056</v>
      </c>
      <c r="B61" s="476">
        <f>'Summary-'!D58</f>
        <v>348</v>
      </c>
      <c r="C61" s="476">
        <f>'Summary-'!E58</f>
        <v>11</v>
      </c>
      <c r="D61" s="476">
        <f>'Summary-'!H58</f>
        <v>0</v>
      </c>
      <c r="E61" s="457">
        <f>C61+D61</f>
        <v>11</v>
      </c>
      <c r="F61" s="472">
        <f t="shared" ref="F61:F62" si="11">B61-E61</f>
        <v>337</v>
      </c>
    </row>
    <row r="62" spans="1:6" ht="15.75" thickBot="1">
      <c r="A62" s="462" t="s">
        <v>1057</v>
      </c>
      <c r="B62" s="464">
        <f>'Summary-'!D22</f>
        <v>28</v>
      </c>
      <c r="C62" s="464">
        <f>'Summary-'!E22</f>
        <v>0</v>
      </c>
      <c r="D62" s="464">
        <f>'Summary-'!H22</f>
        <v>0</v>
      </c>
      <c r="E62" s="464">
        <f>C62+D62</f>
        <v>0</v>
      </c>
      <c r="F62" s="474">
        <f t="shared" si="11"/>
        <v>28</v>
      </c>
    </row>
    <row r="63" spans="1:6" ht="15.75" thickBot="1">
      <c r="A63" s="485" t="s">
        <v>1059</v>
      </c>
      <c r="B63" s="488">
        <f>SUM(B60:B62)</f>
        <v>505</v>
      </c>
      <c r="C63" s="488">
        <f>SUM(C60:C62)</f>
        <v>21</v>
      </c>
      <c r="D63" s="488">
        <f>SUM(D60:D62)</f>
        <v>0</v>
      </c>
      <c r="E63" s="488">
        <f>SUM(E60:E62)</f>
        <v>21</v>
      </c>
      <c r="F63" s="489">
        <f>SUM(F60:F62)</f>
        <v>484</v>
      </c>
    </row>
  </sheetData>
  <mergeCells count="12">
    <mergeCell ref="A23:F23"/>
    <mergeCell ref="A29:F29"/>
    <mergeCell ref="A5:F5"/>
    <mergeCell ref="A17:F17"/>
    <mergeCell ref="A1:F1"/>
    <mergeCell ref="A2:E2"/>
    <mergeCell ref="A11:F11"/>
    <mergeCell ref="A59:F59"/>
    <mergeCell ref="A47:F47"/>
    <mergeCell ref="A53:F53"/>
    <mergeCell ref="A35:F35"/>
    <mergeCell ref="A41:F41"/>
  </mergeCells>
  <printOptions horizontalCentered="1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9" tint="-0.249977111117893"/>
  </sheetPr>
  <dimension ref="A1:K159"/>
  <sheetViews>
    <sheetView view="pageBreakPreview" topLeftCell="A118" zoomScaleNormal="100" zoomScaleSheetLayoutView="100" zoomScalePageLayoutView="40" workbookViewId="0">
      <selection activeCell="B135" sqref="B135"/>
    </sheetView>
  </sheetViews>
  <sheetFormatPr defaultColWidth="9.140625" defaultRowHeight="18.75"/>
  <cols>
    <col min="1" max="1" width="23.140625" style="494" bestFit="1" customWidth="1"/>
    <col min="2" max="2" width="11.7109375" style="494" bestFit="1" customWidth="1"/>
    <col min="3" max="3" width="18.7109375" style="515" bestFit="1" customWidth="1"/>
    <col min="4" max="4" width="13.42578125" style="510" bestFit="1" customWidth="1"/>
    <col min="5" max="5" width="13.140625" style="515" bestFit="1" customWidth="1"/>
    <col min="6" max="6" width="12.7109375" style="494" bestFit="1" customWidth="1"/>
    <col min="7" max="7" width="12" style="494" bestFit="1" customWidth="1"/>
    <col min="8" max="8" width="12.140625" style="494" bestFit="1" customWidth="1"/>
    <col min="9" max="9" width="10.28515625" style="494" bestFit="1" customWidth="1"/>
    <col min="10" max="10" width="41.42578125" style="494" bestFit="1" customWidth="1"/>
    <col min="11" max="11" width="8" style="494" bestFit="1" customWidth="1"/>
    <col min="12" max="12" width="15.7109375" style="494" bestFit="1" customWidth="1"/>
    <col min="13" max="16384" width="9.140625" style="494"/>
  </cols>
  <sheetData>
    <row r="1" spans="1:11">
      <c r="A1" s="1360" t="str">
        <f>'DPR Sheet '!A1:F1</f>
        <v>KEC INTERNATIONAL LIMITED</v>
      </c>
      <c r="B1" s="1361"/>
      <c r="C1" s="1362"/>
      <c r="D1" s="1362"/>
      <c r="E1" s="1362"/>
      <c r="F1" s="1362"/>
      <c r="G1" s="1362"/>
      <c r="H1" s="1362"/>
      <c r="I1" s="1363"/>
      <c r="J1" s="1364"/>
    </row>
    <row r="2" spans="1:11">
      <c r="A2" s="1376" t="str">
        <f>'DPR Sheet '!A2:E2</f>
        <v xml:space="preserve">DAILY PROGRESS REPORT : STATUS AS ON </v>
      </c>
      <c r="B2" s="1377"/>
      <c r="C2" s="1377"/>
      <c r="D2" s="1377"/>
      <c r="E2" s="1377"/>
      <c r="F2" s="1377"/>
      <c r="G2" s="1377"/>
      <c r="H2" s="1377"/>
      <c r="I2" s="1378"/>
      <c r="J2" s="686" t="str">
        <f>'Summary-'!M3</f>
        <v>Date-24/06/2026</v>
      </c>
    </row>
    <row r="3" spans="1:11">
      <c r="A3" s="1365" t="s">
        <v>1035</v>
      </c>
      <c r="B3" s="1366"/>
      <c r="C3" s="1366"/>
      <c r="D3" s="516" t="str">
        <f>'DPR Sheet '!B3</f>
        <v>TB-412 T/L</v>
      </c>
      <c r="E3" s="517"/>
      <c r="F3" s="517"/>
      <c r="G3" s="517"/>
      <c r="H3" s="517"/>
      <c r="I3" s="517"/>
      <c r="J3" s="518"/>
    </row>
    <row r="4" spans="1:11">
      <c r="A4" s="1365" t="s">
        <v>1060</v>
      </c>
      <c r="B4" s="1366"/>
      <c r="C4" s="1367"/>
      <c r="D4" s="1368" t="str">
        <f>'DPR Sheet '!B4</f>
        <v>NOA Supply/Service-18,19, Dated 27.12.2023</v>
      </c>
      <c r="E4" s="1369"/>
      <c r="F4" s="1369"/>
      <c r="G4" s="1369"/>
      <c r="H4" s="1369"/>
      <c r="I4" s="1369"/>
      <c r="J4" s="1370"/>
    </row>
    <row r="5" spans="1:11" s="495" customFormat="1">
      <c r="A5" s="1371" t="s">
        <v>1061</v>
      </c>
      <c r="B5" s="1372"/>
      <c r="C5" s="1373"/>
      <c r="D5" s="1373"/>
      <c r="E5" s="1373"/>
      <c r="F5" s="1373"/>
      <c r="G5" s="1373"/>
      <c r="H5" s="1373"/>
      <c r="I5" s="1374"/>
      <c r="J5" s="1375"/>
    </row>
    <row r="6" spans="1:11" s="500" customFormat="1" ht="15.75">
      <c r="A6" s="496" t="s">
        <v>1054</v>
      </c>
      <c r="B6" s="525" t="s">
        <v>1062</v>
      </c>
      <c r="C6" s="497" t="s">
        <v>1063</v>
      </c>
      <c r="D6" s="498" t="s">
        <v>965</v>
      </c>
      <c r="E6" s="497" t="s">
        <v>1064</v>
      </c>
      <c r="F6" s="497" t="s">
        <v>1065</v>
      </c>
      <c r="G6" s="497" t="s">
        <v>1066</v>
      </c>
      <c r="H6" s="497" t="s">
        <v>1067</v>
      </c>
      <c r="I6" s="794" t="s">
        <v>1854</v>
      </c>
      <c r="J6" s="499" t="s">
        <v>122</v>
      </c>
    </row>
    <row r="7" spans="1:11" s="495" customFormat="1">
      <c r="A7" s="525" t="s">
        <v>2026</v>
      </c>
      <c r="B7" s="855">
        <v>1</v>
      </c>
      <c r="C7" s="855" t="s">
        <v>30</v>
      </c>
      <c r="D7" s="949" t="s">
        <v>399</v>
      </c>
      <c r="E7" s="988" t="s">
        <v>48</v>
      </c>
      <c r="F7" s="987" t="s">
        <v>42</v>
      </c>
      <c r="G7" s="1200">
        <v>46169</v>
      </c>
      <c r="H7" s="879">
        <f>G7+9</f>
        <v>46178</v>
      </c>
      <c r="I7" s="855"/>
      <c r="J7" s="506" t="s">
        <v>29</v>
      </c>
      <c r="K7" s="507"/>
    </row>
    <row r="8" spans="1:11" s="495" customFormat="1">
      <c r="A8" s="525" t="s">
        <v>2026</v>
      </c>
      <c r="B8" s="855">
        <v>2</v>
      </c>
      <c r="C8" s="855" t="s">
        <v>30</v>
      </c>
      <c r="D8" s="949" t="s">
        <v>326</v>
      </c>
      <c r="E8" s="1226" t="s">
        <v>53</v>
      </c>
      <c r="F8" s="1225" t="s">
        <v>42</v>
      </c>
      <c r="G8" s="879">
        <v>46178</v>
      </c>
      <c r="H8" s="879">
        <f>G8+5</f>
        <v>46183</v>
      </c>
      <c r="I8" s="855"/>
      <c r="J8" s="506" t="s">
        <v>29</v>
      </c>
      <c r="K8" s="507"/>
    </row>
    <row r="9" spans="1:11" s="495" customFormat="1">
      <c r="A9" s="525" t="s">
        <v>1887</v>
      </c>
      <c r="B9" s="855">
        <v>3</v>
      </c>
      <c r="C9" s="855" t="s">
        <v>1886</v>
      </c>
      <c r="D9" s="948" t="s">
        <v>174</v>
      </c>
      <c r="E9" s="1014" t="s">
        <v>1181</v>
      </c>
      <c r="F9" s="855" t="s">
        <v>42</v>
      </c>
      <c r="G9" s="879">
        <v>46178</v>
      </c>
      <c r="H9" s="879">
        <f>G9+9</f>
        <v>46187</v>
      </c>
      <c r="I9" s="855"/>
      <c r="J9" s="506" t="s">
        <v>29</v>
      </c>
      <c r="K9" s="507"/>
    </row>
    <row r="10" spans="1:11" s="495" customFormat="1">
      <c r="A10" s="525" t="s">
        <v>1887</v>
      </c>
      <c r="B10" s="855">
        <v>4</v>
      </c>
      <c r="C10" s="855" t="s">
        <v>30</v>
      </c>
      <c r="D10" s="949" t="s">
        <v>66</v>
      </c>
      <c r="E10" s="1198" t="s">
        <v>1181</v>
      </c>
      <c r="F10" s="855" t="s">
        <v>42</v>
      </c>
      <c r="G10" s="879">
        <v>46184</v>
      </c>
      <c r="H10" s="879">
        <f>G10+5</f>
        <v>46189</v>
      </c>
      <c r="I10" s="855"/>
      <c r="J10" s="506" t="s">
        <v>29</v>
      </c>
      <c r="K10" s="507"/>
    </row>
    <row r="11" spans="1:11" s="495" customFormat="1">
      <c r="A11" s="525" t="s">
        <v>1887</v>
      </c>
      <c r="B11" s="855">
        <v>5</v>
      </c>
      <c r="C11" s="855" t="s">
        <v>30</v>
      </c>
      <c r="D11" s="949" t="s">
        <v>213</v>
      </c>
      <c r="E11" s="1238" t="s">
        <v>1424</v>
      </c>
      <c r="F11" s="1015" t="s">
        <v>42</v>
      </c>
      <c r="G11" s="879">
        <v>46190</v>
      </c>
      <c r="H11" s="879">
        <f>G11+4</f>
        <v>46194</v>
      </c>
      <c r="I11" s="940"/>
      <c r="J11" s="506" t="s">
        <v>29</v>
      </c>
      <c r="K11" s="507"/>
    </row>
    <row r="12" spans="1:11" s="495" customFormat="1">
      <c r="A12" s="525" t="s">
        <v>1887</v>
      </c>
      <c r="B12" s="525">
        <v>6</v>
      </c>
      <c r="C12" s="855" t="s">
        <v>30</v>
      </c>
      <c r="D12" s="949" t="s">
        <v>65</v>
      </c>
      <c r="E12" s="1279" t="s">
        <v>1181</v>
      </c>
      <c r="F12" s="855" t="s">
        <v>42</v>
      </c>
      <c r="G12" s="879">
        <v>46190</v>
      </c>
      <c r="H12" s="879">
        <f>G12+7</f>
        <v>46197</v>
      </c>
      <c r="I12" s="940"/>
      <c r="J12" s="506" t="s">
        <v>29</v>
      </c>
      <c r="K12" s="507"/>
    </row>
    <row r="13" spans="1:11" s="495" customFormat="1">
      <c r="A13" s="525" t="s">
        <v>1887</v>
      </c>
      <c r="B13" s="855">
        <v>7</v>
      </c>
      <c r="C13" s="855" t="s">
        <v>2047</v>
      </c>
      <c r="D13" s="949" t="s">
        <v>55</v>
      </c>
      <c r="E13" s="1014" t="s">
        <v>1423</v>
      </c>
      <c r="F13" s="1015" t="s">
        <v>42</v>
      </c>
      <c r="G13" s="879">
        <v>46184</v>
      </c>
      <c r="H13" s="879"/>
      <c r="I13" s="940">
        <v>12</v>
      </c>
      <c r="J13" s="506" t="s">
        <v>2153</v>
      </c>
      <c r="K13" s="507"/>
    </row>
    <row r="14" spans="1:11" s="495" customFormat="1">
      <c r="A14" s="525" t="s">
        <v>2026</v>
      </c>
      <c r="B14" s="855">
        <v>8</v>
      </c>
      <c r="C14" s="855" t="s">
        <v>30</v>
      </c>
      <c r="D14" s="949" t="s">
        <v>67</v>
      </c>
      <c r="E14" s="988" t="s">
        <v>1175</v>
      </c>
      <c r="F14" s="1015" t="s">
        <v>42</v>
      </c>
      <c r="G14" s="879">
        <v>46194</v>
      </c>
      <c r="H14" s="879"/>
      <c r="I14" s="940">
        <v>12</v>
      </c>
      <c r="J14" s="506" t="s">
        <v>2175</v>
      </c>
      <c r="K14" s="507"/>
    </row>
    <row r="15" spans="1:11" s="495" customFormat="1">
      <c r="A15" s="525" t="s">
        <v>1887</v>
      </c>
      <c r="B15" s="855">
        <v>9</v>
      </c>
      <c r="C15" s="855" t="s">
        <v>1886</v>
      </c>
      <c r="D15" s="948" t="s">
        <v>1859</v>
      </c>
      <c r="E15" s="1165" t="s">
        <v>1181</v>
      </c>
      <c r="F15" s="855" t="s">
        <v>42</v>
      </c>
      <c r="G15" s="879">
        <v>46193</v>
      </c>
      <c r="H15" s="879"/>
      <c r="I15" s="855">
        <v>12</v>
      </c>
      <c r="J15" s="506" t="s">
        <v>2153</v>
      </c>
      <c r="K15" s="507"/>
    </row>
    <row r="16" spans="1:11" s="495" customFormat="1">
      <c r="A16" s="525" t="s">
        <v>1887</v>
      </c>
      <c r="B16" s="526">
        <v>10</v>
      </c>
      <c r="C16" s="855" t="s">
        <v>30</v>
      </c>
      <c r="D16" s="949" t="s">
        <v>64</v>
      </c>
      <c r="E16" s="1279" t="s">
        <v>1424</v>
      </c>
      <c r="F16" s="855" t="s">
        <v>42</v>
      </c>
      <c r="G16" s="879">
        <v>46198</v>
      </c>
      <c r="H16" s="879"/>
      <c r="I16" s="855">
        <v>12</v>
      </c>
      <c r="J16" s="506" t="s">
        <v>2155</v>
      </c>
      <c r="K16" s="507"/>
    </row>
    <row r="17" spans="1:11" s="495" customFormat="1">
      <c r="A17" s="525"/>
      <c r="B17" s="855"/>
      <c r="C17" s="855"/>
      <c r="D17" s="74"/>
      <c r="E17" s="74"/>
      <c r="F17" s="1015"/>
      <c r="G17" s="879"/>
      <c r="H17" s="879"/>
      <c r="I17" s="855"/>
      <c r="J17" s="506"/>
      <c r="K17" s="507"/>
    </row>
    <row r="18" spans="1:11" s="495" customFormat="1">
      <c r="A18" s="525"/>
      <c r="B18" s="855"/>
      <c r="C18" s="941"/>
      <c r="D18" s="949"/>
      <c r="E18" s="1008"/>
      <c r="F18" s="1015"/>
      <c r="G18" s="879"/>
      <c r="H18" s="879"/>
      <c r="I18" s="855"/>
      <c r="J18" s="506"/>
      <c r="K18" s="507"/>
    </row>
    <row r="19" spans="1:11" s="495" customFormat="1">
      <c r="A19" s="525"/>
      <c r="B19" s="855"/>
      <c r="C19" s="941"/>
      <c r="D19" s="74"/>
      <c r="E19" s="74"/>
      <c r="F19" s="1015"/>
      <c r="G19" s="879"/>
      <c r="H19" s="879"/>
      <c r="I19" s="855"/>
      <c r="J19" s="506"/>
      <c r="K19" s="507"/>
    </row>
    <row r="20" spans="1:11" s="495" customFormat="1">
      <c r="A20" s="525"/>
      <c r="B20" s="855"/>
      <c r="C20" s="855"/>
      <c r="D20" s="948"/>
      <c r="E20" s="1165"/>
      <c r="F20" s="1168"/>
      <c r="G20" s="879"/>
      <c r="H20" s="879"/>
      <c r="I20" s="855"/>
      <c r="J20" s="506"/>
      <c r="K20" s="507"/>
    </row>
    <row r="21" spans="1:11" s="495" customFormat="1">
      <c r="A21" s="525"/>
      <c r="B21" s="855"/>
      <c r="C21" s="855"/>
      <c r="D21" s="572"/>
      <c r="E21" s="74"/>
      <c r="F21" s="1015"/>
      <c r="G21" s="879"/>
      <c r="H21" s="879"/>
      <c r="I21" s="855"/>
      <c r="J21" s="506"/>
      <c r="K21" s="507"/>
    </row>
    <row r="22" spans="1:11" s="495" customFormat="1">
      <c r="A22" s="525"/>
      <c r="B22" s="855"/>
      <c r="C22" s="941"/>
      <c r="D22" s="74"/>
      <c r="E22" s="74"/>
      <c r="F22" s="942"/>
      <c r="G22" s="879"/>
      <c r="H22" s="879"/>
      <c r="I22" s="855"/>
      <c r="J22" s="506"/>
      <c r="K22" s="507"/>
    </row>
    <row r="23" spans="1:11" s="495" customFormat="1">
      <c r="A23" s="525"/>
      <c r="B23" s="855"/>
      <c r="C23" s="941"/>
      <c r="D23" s="572"/>
      <c r="E23" s="74"/>
      <c r="F23" s="1015"/>
      <c r="G23" s="879"/>
      <c r="H23" s="879"/>
      <c r="I23" s="855"/>
      <c r="J23" s="506"/>
      <c r="K23" s="507"/>
    </row>
    <row r="24" spans="1:11" s="495" customFormat="1">
      <c r="A24" s="525"/>
      <c r="B24" s="855"/>
      <c r="C24" s="855"/>
      <c r="D24" s="949"/>
      <c r="E24" s="1014"/>
      <c r="F24" s="1015"/>
      <c r="G24" s="879"/>
      <c r="H24" s="879"/>
      <c r="I24" s="940"/>
      <c r="J24" s="506"/>
      <c r="K24" s="507"/>
    </row>
    <row r="25" spans="1:11" s="495" customFormat="1">
      <c r="A25" s="525"/>
      <c r="B25" s="855"/>
      <c r="C25" s="941"/>
      <c r="D25" s="74"/>
      <c r="E25" s="74"/>
      <c r="F25" s="942"/>
      <c r="G25" s="879"/>
      <c r="H25" s="1159"/>
      <c r="I25" s="940"/>
      <c r="J25" s="506"/>
      <c r="K25" s="507"/>
    </row>
    <row r="26" spans="1:11" s="495" customFormat="1">
      <c r="A26" s="498" t="s">
        <v>1071</v>
      </c>
      <c r="B26" s="526">
        <v>1</v>
      </c>
      <c r="C26" s="855" t="s">
        <v>30</v>
      </c>
      <c r="D26" s="810" t="s">
        <v>58</v>
      </c>
      <c r="E26" s="74" t="s">
        <v>671</v>
      </c>
      <c r="F26" s="1132" t="s">
        <v>61</v>
      </c>
      <c r="G26" s="1153">
        <v>46178</v>
      </c>
      <c r="H26" s="1153">
        <v>46192</v>
      </c>
      <c r="I26" s="940"/>
      <c r="J26" s="506" t="s">
        <v>29</v>
      </c>
      <c r="K26" s="507"/>
    </row>
    <row r="27" spans="1:11" s="495" customFormat="1">
      <c r="A27" s="525"/>
      <c r="B27" s="526">
        <v>2</v>
      </c>
      <c r="C27" s="855" t="s">
        <v>30</v>
      </c>
      <c r="D27" s="810" t="s">
        <v>59</v>
      </c>
      <c r="E27" s="509" t="s">
        <v>586</v>
      </c>
      <c r="F27" s="1187" t="s">
        <v>61</v>
      </c>
      <c r="G27" s="1153">
        <v>46192</v>
      </c>
      <c r="H27" s="1153">
        <v>46197</v>
      </c>
      <c r="I27" s="940"/>
      <c r="J27" s="506" t="s">
        <v>29</v>
      </c>
      <c r="K27" s="507"/>
    </row>
    <row r="28" spans="1:11" s="495" customFormat="1">
      <c r="A28" s="525"/>
      <c r="B28" s="526">
        <v>3</v>
      </c>
      <c r="C28" s="855" t="s">
        <v>30</v>
      </c>
      <c r="D28" s="810" t="s">
        <v>55</v>
      </c>
      <c r="E28" s="509" t="s">
        <v>671</v>
      </c>
      <c r="F28" s="1187" t="s">
        <v>61</v>
      </c>
      <c r="G28" s="1153">
        <f>H27</f>
        <v>46197</v>
      </c>
      <c r="H28" s="1153"/>
      <c r="I28" s="940">
        <v>12</v>
      </c>
      <c r="J28" s="506" t="s">
        <v>2155</v>
      </c>
      <c r="K28" s="507"/>
    </row>
    <row r="29" spans="1:11" s="495" customFormat="1">
      <c r="A29" s="525"/>
      <c r="B29" s="526"/>
      <c r="C29" s="855"/>
      <c r="D29" s="810"/>
      <c r="E29" s="74"/>
      <c r="F29" s="1132"/>
      <c r="G29" s="879"/>
      <c r="H29" s="1153"/>
      <c r="I29" s="940"/>
      <c r="J29" s="506"/>
      <c r="K29" s="507"/>
    </row>
    <row r="30" spans="1:11" s="495" customFormat="1">
      <c r="A30" s="525"/>
      <c r="B30" s="526"/>
      <c r="C30" s="855"/>
      <c r="D30" s="1185"/>
      <c r="E30" s="1186"/>
      <c r="F30" s="1187"/>
      <c r="G30" s="879"/>
      <c r="H30" s="879"/>
      <c r="I30" s="940"/>
      <c r="J30" s="506"/>
      <c r="K30" s="507"/>
    </row>
    <row r="31" spans="1:11" s="495" customFormat="1">
      <c r="A31" s="525"/>
      <c r="B31" s="526"/>
      <c r="C31" s="855"/>
      <c r="D31" s="1188"/>
      <c r="E31" s="74"/>
      <c r="F31" s="1132"/>
      <c r="G31" s="879"/>
      <c r="H31" s="879"/>
      <c r="I31" s="940"/>
      <c r="J31" s="506"/>
      <c r="K31" s="507"/>
    </row>
    <row r="32" spans="1:11" s="495" customFormat="1" ht="21" customHeight="1">
      <c r="A32" s="501"/>
      <c r="B32" s="526"/>
      <c r="C32" s="323"/>
      <c r="D32" s="323"/>
      <c r="E32" s="74"/>
      <c r="F32" s="848"/>
      <c r="G32" s="504"/>
      <c r="H32" s="504"/>
      <c r="I32" s="675"/>
      <c r="J32" s="506"/>
      <c r="K32" s="507"/>
    </row>
    <row r="33" spans="1:11" s="495" customFormat="1" ht="21" customHeight="1">
      <c r="A33" s="498" t="s">
        <v>1072</v>
      </c>
      <c r="B33" s="849">
        <v>1</v>
      </c>
      <c r="C33" s="509" t="s">
        <v>1928</v>
      </c>
      <c r="D33" s="993" t="s">
        <v>1395</v>
      </c>
      <c r="E33" s="999" t="s">
        <v>1181</v>
      </c>
      <c r="F33" s="999" t="s">
        <v>42</v>
      </c>
      <c r="G33" s="1016">
        <v>46172</v>
      </c>
      <c r="H33" s="504">
        <v>46177</v>
      </c>
      <c r="I33" s="940"/>
      <c r="J33" s="506" t="s">
        <v>29</v>
      </c>
      <c r="K33" s="507"/>
    </row>
    <row r="34" spans="1:11" s="495" customFormat="1" ht="21" customHeight="1">
      <c r="A34" s="849"/>
      <c r="B34" s="849">
        <f t="shared" ref="B34:B64" si="0">B33+1</f>
        <v>2</v>
      </c>
      <c r="C34" s="509" t="s">
        <v>1855</v>
      </c>
      <c r="D34" s="993" t="s">
        <v>1411</v>
      </c>
      <c r="E34" s="999" t="s">
        <v>48</v>
      </c>
      <c r="F34" s="999" t="s">
        <v>42</v>
      </c>
      <c r="G34" s="1016">
        <v>46175</v>
      </c>
      <c r="H34" s="504">
        <v>46178</v>
      </c>
      <c r="I34" s="940"/>
      <c r="J34" s="506" t="s">
        <v>29</v>
      </c>
      <c r="K34" s="507"/>
    </row>
    <row r="35" spans="1:11" s="495" customFormat="1" ht="21" customHeight="1">
      <c r="A35" s="849"/>
      <c r="B35" s="849">
        <f t="shared" si="0"/>
        <v>3</v>
      </c>
      <c r="C35" s="509" t="s">
        <v>41</v>
      </c>
      <c r="D35" s="993" t="s">
        <v>1192</v>
      </c>
      <c r="E35" s="999" t="s">
        <v>32</v>
      </c>
      <c r="F35" s="999" t="s">
        <v>61</v>
      </c>
      <c r="G35" s="1016">
        <v>46175</v>
      </c>
      <c r="H35" s="504">
        <v>46180</v>
      </c>
      <c r="I35" s="940"/>
      <c r="J35" s="506" t="s">
        <v>29</v>
      </c>
      <c r="K35" s="507"/>
    </row>
    <row r="36" spans="1:11" s="495" customFormat="1" ht="21" customHeight="1">
      <c r="A36" s="849"/>
      <c r="B36" s="849">
        <f t="shared" si="0"/>
        <v>4</v>
      </c>
      <c r="C36" s="509" t="s">
        <v>1928</v>
      </c>
      <c r="D36" s="993" t="s">
        <v>1397</v>
      </c>
      <c r="E36" s="999" t="s">
        <v>32</v>
      </c>
      <c r="F36" s="999" t="s">
        <v>42</v>
      </c>
      <c r="G36" s="1016">
        <v>46175</v>
      </c>
      <c r="H36" s="504">
        <v>46181</v>
      </c>
      <c r="I36" s="940"/>
      <c r="J36" s="506" t="s">
        <v>29</v>
      </c>
      <c r="K36" s="507"/>
    </row>
    <row r="37" spans="1:11" s="495" customFormat="1" ht="21" customHeight="1">
      <c r="A37" s="849"/>
      <c r="B37" s="849">
        <f t="shared" si="0"/>
        <v>5</v>
      </c>
      <c r="C37" s="509" t="s">
        <v>1927</v>
      </c>
      <c r="D37" s="993" t="s">
        <v>1248</v>
      </c>
      <c r="E37" s="999" t="s">
        <v>50</v>
      </c>
      <c r="F37" s="999" t="s">
        <v>61</v>
      </c>
      <c r="G37" s="1016">
        <v>46177</v>
      </c>
      <c r="H37" s="504">
        <v>46183</v>
      </c>
      <c r="I37" s="940"/>
      <c r="J37" s="506" t="s">
        <v>29</v>
      </c>
      <c r="K37" s="507"/>
    </row>
    <row r="38" spans="1:11" s="495" customFormat="1" ht="21" customHeight="1">
      <c r="A38" s="849"/>
      <c r="B38" s="849">
        <f t="shared" si="0"/>
        <v>6</v>
      </c>
      <c r="C38" s="509" t="s">
        <v>1958</v>
      </c>
      <c r="D38" s="993" t="s">
        <v>1316</v>
      </c>
      <c r="E38" s="999" t="s">
        <v>48</v>
      </c>
      <c r="F38" s="999" t="s">
        <v>42</v>
      </c>
      <c r="G38" s="1016">
        <v>46175</v>
      </c>
      <c r="H38" s="504">
        <v>46183</v>
      </c>
      <c r="I38" s="940"/>
      <c r="J38" s="506" t="s">
        <v>29</v>
      </c>
      <c r="K38" s="507"/>
    </row>
    <row r="39" spans="1:11" s="495" customFormat="1" ht="21" customHeight="1">
      <c r="A39" s="498"/>
      <c r="B39" s="849">
        <f t="shared" si="0"/>
        <v>7</v>
      </c>
      <c r="C39" s="509" t="s">
        <v>2156</v>
      </c>
      <c r="D39" s="993" t="s">
        <v>1271</v>
      </c>
      <c r="E39" s="999" t="s">
        <v>57</v>
      </c>
      <c r="F39" s="999" t="s">
        <v>61</v>
      </c>
      <c r="G39" s="1016">
        <v>46175</v>
      </c>
      <c r="H39" s="504">
        <v>46185</v>
      </c>
      <c r="I39" s="940"/>
      <c r="J39" s="506" t="s">
        <v>29</v>
      </c>
      <c r="K39" s="507"/>
    </row>
    <row r="40" spans="1:11" s="495" customFormat="1" ht="21" customHeight="1">
      <c r="A40" s="849"/>
      <c r="B40" s="849">
        <f t="shared" si="0"/>
        <v>8</v>
      </c>
      <c r="C40" s="509" t="s">
        <v>41</v>
      </c>
      <c r="D40" s="993" t="s">
        <v>1289</v>
      </c>
      <c r="E40" s="999" t="s">
        <v>2154</v>
      </c>
      <c r="F40" s="999" t="s">
        <v>61</v>
      </c>
      <c r="G40" s="1016">
        <v>46180</v>
      </c>
      <c r="H40" s="504">
        <v>46186</v>
      </c>
      <c r="I40" s="940"/>
      <c r="J40" s="506" t="s">
        <v>29</v>
      </c>
      <c r="K40" s="507"/>
    </row>
    <row r="41" spans="1:11" s="495" customFormat="1" ht="21" customHeight="1">
      <c r="A41" s="849"/>
      <c r="B41" s="849">
        <f t="shared" si="0"/>
        <v>9</v>
      </c>
      <c r="C41" s="509" t="s">
        <v>1948</v>
      </c>
      <c r="D41" s="993" t="s">
        <v>1317</v>
      </c>
      <c r="E41" s="999" t="s">
        <v>1423</v>
      </c>
      <c r="F41" s="999" t="s">
        <v>42</v>
      </c>
      <c r="G41" s="1016">
        <v>46175</v>
      </c>
      <c r="H41" s="504">
        <v>46187</v>
      </c>
      <c r="I41" s="940"/>
      <c r="J41" s="506" t="s">
        <v>29</v>
      </c>
      <c r="K41" s="507"/>
    </row>
    <row r="42" spans="1:11" s="495" customFormat="1" ht="21" customHeight="1">
      <c r="A42" s="849"/>
      <c r="B42" s="849">
        <f t="shared" si="0"/>
        <v>10</v>
      </c>
      <c r="C42" s="509" t="s">
        <v>1928</v>
      </c>
      <c r="D42" s="993" t="s">
        <v>1398</v>
      </c>
      <c r="E42" s="999" t="s">
        <v>57</v>
      </c>
      <c r="F42" s="999" t="s">
        <v>42</v>
      </c>
      <c r="G42" s="1016">
        <v>46182</v>
      </c>
      <c r="H42" s="504">
        <v>46187</v>
      </c>
      <c r="I42" s="940"/>
      <c r="J42" s="506" t="s">
        <v>29</v>
      </c>
      <c r="K42" s="507"/>
    </row>
    <row r="43" spans="1:11" s="495" customFormat="1" ht="21" customHeight="1">
      <c r="A43" s="849"/>
      <c r="B43" s="849">
        <f t="shared" si="0"/>
        <v>11</v>
      </c>
      <c r="C43" s="509" t="s">
        <v>1855</v>
      </c>
      <c r="D43" s="993" t="s">
        <v>1410</v>
      </c>
      <c r="E43" s="999" t="s">
        <v>49</v>
      </c>
      <c r="F43" s="999" t="s">
        <v>42</v>
      </c>
      <c r="G43" s="1016">
        <v>46179</v>
      </c>
      <c r="H43" s="504">
        <v>46185</v>
      </c>
      <c r="I43" s="940"/>
      <c r="J43" s="506" t="s">
        <v>29</v>
      </c>
      <c r="K43" s="507"/>
    </row>
    <row r="44" spans="1:11" s="495" customFormat="1" ht="21" customHeight="1">
      <c r="A44" s="849"/>
      <c r="B44" s="849">
        <f t="shared" si="0"/>
        <v>12</v>
      </c>
      <c r="C44" s="509" t="s">
        <v>1928</v>
      </c>
      <c r="D44" s="993" t="s">
        <v>1428</v>
      </c>
      <c r="E44" s="999" t="s">
        <v>1427</v>
      </c>
      <c r="F44" s="999" t="s">
        <v>42</v>
      </c>
      <c r="G44" s="1016">
        <v>46182</v>
      </c>
      <c r="H44" s="504">
        <v>46189</v>
      </c>
      <c r="I44" s="940"/>
      <c r="J44" s="506" t="s">
        <v>29</v>
      </c>
      <c r="K44" s="507"/>
    </row>
    <row r="45" spans="1:11" s="495" customFormat="1" ht="21" customHeight="1">
      <c r="A45" s="849"/>
      <c r="B45" s="849">
        <f t="shared" si="0"/>
        <v>13</v>
      </c>
      <c r="C45" s="509" t="s">
        <v>41</v>
      </c>
      <c r="D45" s="993" t="s">
        <v>1184</v>
      </c>
      <c r="E45" s="999" t="s">
        <v>2174</v>
      </c>
      <c r="F45" s="999" t="s">
        <v>61</v>
      </c>
      <c r="G45" s="1016">
        <v>46186</v>
      </c>
      <c r="H45" s="504">
        <v>46190</v>
      </c>
      <c r="I45" s="940"/>
      <c r="J45" s="506" t="s">
        <v>29</v>
      </c>
      <c r="K45" s="507"/>
    </row>
    <row r="46" spans="1:11" s="495" customFormat="1" ht="21" customHeight="1">
      <c r="A46" s="849"/>
      <c r="B46" s="849">
        <f t="shared" si="0"/>
        <v>14</v>
      </c>
      <c r="C46" s="509" t="s">
        <v>1927</v>
      </c>
      <c r="D46" s="993" t="s">
        <v>1249</v>
      </c>
      <c r="E46" s="999" t="s">
        <v>2171</v>
      </c>
      <c r="F46" s="999" t="s">
        <v>61</v>
      </c>
      <c r="G46" s="1016">
        <v>46184</v>
      </c>
      <c r="H46" s="504">
        <v>46192</v>
      </c>
      <c r="I46" s="940"/>
      <c r="J46" s="506" t="s">
        <v>29</v>
      </c>
      <c r="K46" s="507"/>
    </row>
    <row r="47" spans="1:11" s="495" customFormat="1" ht="21" customHeight="1">
      <c r="A47" s="849"/>
      <c r="B47" s="849">
        <f t="shared" si="0"/>
        <v>15</v>
      </c>
      <c r="C47" s="509" t="s">
        <v>1855</v>
      </c>
      <c r="D47" s="993" t="s">
        <v>1409</v>
      </c>
      <c r="E47" s="999" t="s">
        <v>45</v>
      </c>
      <c r="F47" s="999" t="s">
        <v>61</v>
      </c>
      <c r="G47" s="1016">
        <v>46186</v>
      </c>
      <c r="H47" s="504">
        <v>46192</v>
      </c>
      <c r="I47" s="940"/>
      <c r="J47" s="506" t="s">
        <v>29</v>
      </c>
      <c r="K47" s="507"/>
    </row>
    <row r="48" spans="1:11" s="495" customFormat="1" ht="21" customHeight="1">
      <c r="A48" s="849"/>
      <c r="B48" s="849">
        <f t="shared" si="0"/>
        <v>16</v>
      </c>
      <c r="C48" s="509" t="s">
        <v>1958</v>
      </c>
      <c r="D48" s="993" t="s">
        <v>1368</v>
      </c>
      <c r="E48" s="999" t="s">
        <v>34</v>
      </c>
      <c r="F48" s="999" t="s">
        <v>42</v>
      </c>
      <c r="G48" s="1016">
        <v>46188</v>
      </c>
      <c r="H48" s="504">
        <v>46192</v>
      </c>
      <c r="I48" s="940"/>
      <c r="J48" s="506" t="s">
        <v>29</v>
      </c>
      <c r="K48" s="507"/>
    </row>
    <row r="49" spans="1:11" s="495" customFormat="1" ht="21" customHeight="1">
      <c r="A49" s="849"/>
      <c r="B49" s="849">
        <f t="shared" si="0"/>
        <v>17</v>
      </c>
      <c r="C49" s="509" t="s">
        <v>1855</v>
      </c>
      <c r="D49" s="993" t="s">
        <v>1388</v>
      </c>
      <c r="E49" s="999" t="s">
        <v>1175</v>
      </c>
      <c r="F49" s="999" t="s">
        <v>42</v>
      </c>
      <c r="G49" s="1016">
        <v>46192</v>
      </c>
      <c r="H49" s="504">
        <v>46193</v>
      </c>
      <c r="I49" s="940"/>
      <c r="J49" s="506" t="s">
        <v>29</v>
      </c>
      <c r="K49" s="507"/>
    </row>
    <row r="50" spans="1:11" s="495" customFormat="1" ht="21" customHeight="1">
      <c r="A50" s="849"/>
      <c r="B50" s="849">
        <f t="shared" si="0"/>
        <v>18</v>
      </c>
      <c r="C50" s="509" t="s">
        <v>1928</v>
      </c>
      <c r="D50" s="993" t="s">
        <v>1399</v>
      </c>
      <c r="E50" s="999" t="s">
        <v>1425</v>
      </c>
      <c r="F50" s="999" t="s">
        <v>42</v>
      </c>
      <c r="G50" s="1016">
        <v>46190</v>
      </c>
      <c r="H50" s="504">
        <v>46193</v>
      </c>
      <c r="I50" s="940"/>
      <c r="J50" s="506" t="s">
        <v>29</v>
      </c>
      <c r="K50" s="507"/>
    </row>
    <row r="51" spans="1:11" s="495" customFormat="1" ht="21" customHeight="1">
      <c r="A51" s="849"/>
      <c r="B51" s="849">
        <f t="shared" si="0"/>
        <v>19</v>
      </c>
      <c r="C51" s="509" t="s">
        <v>41</v>
      </c>
      <c r="D51" s="993" t="s">
        <v>1183</v>
      </c>
      <c r="E51" s="999" t="s">
        <v>2073</v>
      </c>
      <c r="F51" s="999" t="s">
        <v>61</v>
      </c>
      <c r="G51" s="1016">
        <v>46189</v>
      </c>
      <c r="H51" s="504">
        <v>46194</v>
      </c>
      <c r="I51" s="940"/>
      <c r="J51" s="506" t="s">
        <v>29</v>
      </c>
      <c r="K51" s="507"/>
    </row>
    <row r="52" spans="1:11" s="495" customFormat="1" ht="21" customHeight="1">
      <c r="A52" s="849"/>
      <c r="B52" s="849">
        <f t="shared" si="0"/>
        <v>20</v>
      </c>
      <c r="C52" s="509" t="s">
        <v>1927</v>
      </c>
      <c r="D52" s="993" t="s">
        <v>1250</v>
      </c>
      <c r="E52" s="999" t="s">
        <v>1911</v>
      </c>
      <c r="F52" s="999" t="s">
        <v>61</v>
      </c>
      <c r="G52" s="1016">
        <v>46192</v>
      </c>
      <c r="H52" s="504">
        <v>46195</v>
      </c>
      <c r="I52" s="940"/>
      <c r="J52" s="506" t="s">
        <v>29</v>
      </c>
      <c r="K52" s="507"/>
    </row>
    <row r="53" spans="1:11" s="495" customFormat="1" ht="21" customHeight="1">
      <c r="A53" s="849"/>
      <c r="B53" s="849">
        <f t="shared" si="0"/>
        <v>21</v>
      </c>
      <c r="C53" s="509" t="s">
        <v>1928</v>
      </c>
      <c r="D53" s="993" t="s">
        <v>2188</v>
      </c>
      <c r="E53" s="999" t="s">
        <v>45</v>
      </c>
      <c r="F53" s="999" t="s">
        <v>42</v>
      </c>
      <c r="G53" s="1016">
        <v>46193</v>
      </c>
      <c r="H53" s="504">
        <v>46196</v>
      </c>
      <c r="I53" s="940"/>
      <c r="J53" s="506" t="s">
        <v>29</v>
      </c>
      <c r="K53" s="507"/>
    </row>
    <row r="54" spans="1:11" s="2012" customFormat="1" ht="21" customHeight="1">
      <c r="A54" s="849"/>
      <c r="B54" s="849">
        <f t="shared" si="0"/>
        <v>22</v>
      </c>
      <c r="C54" s="509" t="s">
        <v>41</v>
      </c>
      <c r="D54" s="993" t="s">
        <v>1185</v>
      </c>
      <c r="E54" s="999" t="s">
        <v>49</v>
      </c>
      <c r="F54" s="999" t="s">
        <v>42</v>
      </c>
      <c r="G54" s="1016">
        <v>46189</v>
      </c>
      <c r="H54" s="504">
        <v>46197</v>
      </c>
      <c r="I54" s="940"/>
      <c r="J54" s="506" t="s">
        <v>29</v>
      </c>
      <c r="K54" s="2011"/>
    </row>
    <row r="55" spans="1:11" s="2012" customFormat="1" ht="21" customHeight="1">
      <c r="A55" s="849"/>
      <c r="B55" s="849">
        <f t="shared" si="0"/>
        <v>23</v>
      </c>
      <c r="C55" s="509" t="s">
        <v>1958</v>
      </c>
      <c r="D55" s="993" t="s">
        <v>1367</v>
      </c>
      <c r="E55" s="999" t="s">
        <v>32</v>
      </c>
      <c r="F55" s="999" t="s">
        <v>42</v>
      </c>
      <c r="G55" s="1016">
        <v>46192</v>
      </c>
      <c r="H55" s="504">
        <v>46197</v>
      </c>
      <c r="I55" s="940"/>
      <c r="J55" s="506" t="s">
        <v>29</v>
      </c>
      <c r="K55" s="2011"/>
    </row>
    <row r="56" spans="1:11" s="2012" customFormat="1" ht="21" customHeight="1">
      <c r="A56" s="849"/>
      <c r="B56" s="849">
        <f t="shared" si="0"/>
        <v>24</v>
      </c>
      <c r="C56" s="509" t="s">
        <v>1928</v>
      </c>
      <c r="D56" s="993" t="s">
        <v>1401</v>
      </c>
      <c r="E56" s="999" t="s">
        <v>43</v>
      </c>
      <c r="F56" s="999" t="s">
        <v>42</v>
      </c>
      <c r="G56" s="1016">
        <v>46193</v>
      </c>
      <c r="H56" s="504">
        <v>46197</v>
      </c>
      <c r="I56" s="940"/>
      <c r="J56" s="506" t="s">
        <v>29</v>
      </c>
      <c r="K56" s="2011"/>
    </row>
    <row r="57" spans="1:11" s="495" customFormat="1" ht="21" customHeight="1">
      <c r="A57" s="849"/>
      <c r="B57" s="849">
        <f t="shared" si="0"/>
        <v>25</v>
      </c>
      <c r="C57" s="509" t="s">
        <v>2071</v>
      </c>
      <c r="D57" s="993" t="s">
        <v>1272</v>
      </c>
      <c r="E57" s="999" t="s">
        <v>2154</v>
      </c>
      <c r="F57" s="999" t="s">
        <v>61</v>
      </c>
      <c r="G57" s="1016">
        <v>46187</v>
      </c>
      <c r="H57" s="504"/>
      <c r="I57" s="940">
        <v>8</v>
      </c>
      <c r="J57" s="506" t="s">
        <v>2153</v>
      </c>
      <c r="K57" s="507"/>
    </row>
    <row r="58" spans="1:11" s="495" customFormat="1" ht="21" customHeight="1">
      <c r="A58" s="498"/>
      <c r="B58" s="849">
        <f t="shared" si="0"/>
        <v>26</v>
      </c>
      <c r="C58" s="509" t="s">
        <v>2156</v>
      </c>
      <c r="D58" s="993" t="s">
        <v>1274</v>
      </c>
      <c r="E58" s="999" t="s">
        <v>1929</v>
      </c>
      <c r="F58" s="999" t="s">
        <v>61</v>
      </c>
      <c r="G58" s="1016">
        <v>46189</v>
      </c>
      <c r="H58" s="504"/>
      <c r="I58" s="940">
        <v>9</v>
      </c>
      <c r="J58" s="506" t="s">
        <v>2153</v>
      </c>
      <c r="K58" s="507"/>
    </row>
    <row r="59" spans="1:11" s="495" customFormat="1" ht="21" customHeight="1">
      <c r="A59" s="849"/>
      <c r="B59" s="849">
        <f t="shared" si="0"/>
        <v>27</v>
      </c>
      <c r="C59" s="509" t="s">
        <v>1948</v>
      </c>
      <c r="D59" s="993" t="s">
        <v>1309</v>
      </c>
      <c r="E59" s="999" t="s">
        <v>32</v>
      </c>
      <c r="F59" s="999" t="s">
        <v>42</v>
      </c>
      <c r="G59" s="1016">
        <v>46194</v>
      </c>
      <c r="H59" s="504"/>
      <c r="I59" s="940">
        <v>10</v>
      </c>
      <c r="J59" s="506" t="s">
        <v>2155</v>
      </c>
      <c r="K59" s="507"/>
    </row>
    <row r="60" spans="1:11" s="495" customFormat="1" ht="21" customHeight="1">
      <c r="A60" s="849"/>
      <c r="B60" s="849">
        <f t="shared" si="0"/>
        <v>28</v>
      </c>
      <c r="C60" s="509" t="s">
        <v>1855</v>
      </c>
      <c r="D60" s="993" t="s">
        <v>1406</v>
      </c>
      <c r="E60" s="999" t="s">
        <v>32</v>
      </c>
      <c r="F60" s="999" t="s">
        <v>61</v>
      </c>
      <c r="G60" s="1016">
        <v>46192</v>
      </c>
      <c r="H60" s="1148"/>
      <c r="I60" s="940">
        <v>8</v>
      </c>
      <c r="J60" s="506" t="s">
        <v>2153</v>
      </c>
      <c r="K60" s="507"/>
    </row>
    <row r="61" spans="1:11" s="495" customFormat="1" ht="21" customHeight="1">
      <c r="A61" s="849"/>
      <c r="B61" s="849">
        <f t="shared" si="0"/>
        <v>29</v>
      </c>
      <c r="C61" s="509" t="s">
        <v>1927</v>
      </c>
      <c r="D61" s="993" t="s">
        <v>1245</v>
      </c>
      <c r="E61" s="999" t="s">
        <v>50</v>
      </c>
      <c r="F61" s="999" t="s">
        <v>61</v>
      </c>
      <c r="G61" s="1016">
        <v>46195</v>
      </c>
      <c r="H61" s="504"/>
      <c r="I61" s="940">
        <v>10</v>
      </c>
      <c r="J61" s="506" t="s">
        <v>2155</v>
      </c>
      <c r="K61" s="507"/>
    </row>
    <row r="62" spans="1:11" s="495" customFormat="1" ht="21" customHeight="1">
      <c r="A62" s="849"/>
      <c r="B62" s="849">
        <f t="shared" si="0"/>
        <v>30</v>
      </c>
      <c r="C62" s="509" t="s">
        <v>41</v>
      </c>
      <c r="D62" s="993" t="s">
        <v>1268</v>
      </c>
      <c r="E62" s="999" t="s">
        <v>48</v>
      </c>
      <c r="F62" s="999" t="s">
        <v>42</v>
      </c>
      <c r="G62" s="1016">
        <v>46197</v>
      </c>
      <c r="H62" s="1148"/>
      <c r="I62" s="940">
        <v>10</v>
      </c>
      <c r="J62" s="506" t="s">
        <v>2155</v>
      </c>
      <c r="K62" s="507"/>
    </row>
    <row r="63" spans="1:11" s="495" customFormat="1" ht="21" customHeight="1">
      <c r="A63" s="849"/>
      <c r="B63" s="849">
        <f t="shared" si="0"/>
        <v>31</v>
      </c>
      <c r="C63" s="509" t="s">
        <v>1958</v>
      </c>
      <c r="D63" s="993" t="s">
        <v>1394</v>
      </c>
      <c r="E63" s="999" t="s">
        <v>1423</v>
      </c>
      <c r="F63" s="999" t="s">
        <v>42</v>
      </c>
      <c r="G63" s="1016">
        <v>46197</v>
      </c>
      <c r="H63" s="1156"/>
      <c r="I63" s="940">
        <v>10</v>
      </c>
      <c r="J63" s="506" t="s">
        <v>2197</v>
      </c>
      <c r="K63" s="507"/>
    </row>
    <row r="64" spans="1:11" s="495" customFormat="1" ht="21" customHeight="1">
      <c r="A64" s="849"/>
      <c r="B64" s="849">
        <f t="shared" si="0"/>
        <v>32</v>
      </c>
      <c r="C64" s="509" t="s">
        <v>1928</v>
      </c>
      <c r="D64" s="993" t="s">
        <v>1402</v>
      </c>
      <c r="E64" s="999" t="s">
        <v>32</v>
      </c>
      <c r="F64" s="999" t="s">
        <v>42</v>
      </c>
      <c r="G64" s="1016">
        <v>46197</v>
      </c>
      <c r="H64" s="1160"/>
      <c r="I64" s="940">
        <v>10</v>
      </c>
      <c r="J64" s="506" t="s">
        <v>2197</v>
      </c>
      <c r="K64" s="507"/>
    </row>
    <row r="65" spans="1:11" s="495" customFormat="1" ht="21" customHeight="1">
      <c r="A65" s="849"/>
      <c r="B65" s="849"/>
      <c r="C65" s="509"/>
      <c r="D65" s="993"/>
      <c r="E65" s="999"/>
      <c r="F65" s="999"/>
      <c r="G65" s="879"/>
      <c r="H65" s="1166"/>
      <c r="I65" s="940"/>
      <c r="J65" s="1163"/>
      <c r="K65" s="507"/>
    </row>
    <row r="66" spans="1:11" s="495" customFormat="1" ht="21" customHeight="1">
      <c r="A66" s="849"/>
      <c r="B66" s="849"/>
      <c r="C66" s="509"/>
      <c r="D66" s="993"/>
      <c r="E66" s="999"/>
      <c r="F66" s="999"/>
      <c r="G66" s="1016"/>
      <c r="H66" s="1166"/>
      <c r="I66" s="940"/>
      <c r="J66" s="1163"/>
      <c r="K66" s="507"/>
    </row>
    <row r="67" spans="1:11" s="495" customFormat="1" ht="21" customHeight="1">
      <c r="A67" s="849"/>
      <c r="B67" s="849"/>
      <c r="C67" s="509"/>
      <c r="D67" s="993"/>
      <c r="E67" s="999"/>
      <c r="F67" s="999"/>
      <c r="G67" s="1016"/>
      <c r="H67" s="1166"/>
      <c r="I67" s="940"/>
      <c r="J67" s="1163"/>
      <c r="K67" s="507"/>
    </row>
    <row r="68" spans="1:11" s="857" customFormat="1">
      <c r="C68" s="858"/>
      <c r="D68" s="859"/>
      <c r="E68" s="858"/>
    </row>
    <row r="69" spans="1:11" s="495" customFormat="1" ht="12.75" customHeight="1">
      <c r="A69" s="501"/>
      <c r="B69" s="526"/>
      <c r="C69" s="74"/>
      <c r="D69" s="502"/>
      <c r="E69" s="74"/>
      <c r="F69" s="503"/>
      <c r="G69" s="508"/>
      <c r="H69" s="505"/>
      <c r="I69" s="795"/>
      <c r="J69" s="506"/>
      <c r="K69" s="507"/>
    </row>
    <row r="70" spans="1:11" s="510" customFormat="1" ht="12.75" customHeight="1">
      <c r="A70" s="1379" t="s">
        <v>1068</v>
      </c>
      <c r="B70" s="1380"/>
      <c r="C70" s="1380"/>
      <c r="D70" s="1380"/>
      <c r="E70" s="1380"/>
      <c r="F70" s="1380"/>
      <c r="G70" s="1380"/>
      <c r="H70" s="1380"/>
      <c r="I70" s="1380"/>
      <c r="J70" s="1381"/>
    </row>
    <row r="71" spans="1:11" s="513" customFormat="1" ht="12.75" customHeight="1">
      <c r="A71" s="496" t="s">
        <v>1054</v>
      </c>
      <c r="B71" s="525" t="s">
        <v>1062</v>
      </c>
      <c r="C71" s="703" t="s">
        <v>1069</v>
      </c>
      <c r="D71" s="703" t="s">
        <v>965</v>
      </c>
      <c r="E71" s="511" t="s">
        <v>1064</v>
      </c>
      <c r="F71" s="512" t="s">
        <v>1066</v>
      </c>
      <c r="G71" s="704" t="s">
        <v>1067</v>
      </c>
      <c r="H71" s="869" t="s">
        <v>1854</v>
      </c>
      <c r="I71" s="1382" t="s">
        <v>2</v>
      </c>
      <c r="J71" s="1383"/>
    </row>
    <row r="72" spans="1:11" ht="18.75" customHeight="1">
      <c r="A72" s="527" t="s">
        <v>1887</v>
      </c>
      <c r="B72" s="514">
        <v>1</v>
      </c>
      <c r="C72" s="726" t="s">
        <v>1894</v>
      </c>
      <c r="D72" s="759" t="s">
        <v>326</v>
      </c>
      <c r="E72" s="74" t="s">
        <v>1181</v>
      </c>
      <c r="F72" s="727">
        <v>46170</v>
      </c>
      <c r="G72" s="727">
        <v>46174</v>
      </c>
      <c r="H72" s="1224"/>
      <c r="I72" s="1359" t="s">
        <v>1007</v>
      </c>
      <c r="J72" s="1359"/>
    </row>
    <row r="73" spans="1:11" ht="18.75" customHeight="1">
      <c r="A73" s="527" t="s">
        <v>2026</v>
      </c>
      <c r="B73" s="1218">
        <f>B72+1</f>
        <v>2</v>
      </c>
      <c r="C73" s="726" t="s">
        <v>1919</v>
      </c>
      <c r="D73" s="726" t="s">
        <v>393</v>
      </c>
      <c r="E73" s="74" t="s">
        <v>1175</v>
      </c>
      <c r="F73" s="727">
        <v>46173</v>
      </c>
      <c r="G73" s="727">
        <v>46177</v>
      </c>
      <c r="H73" s="1003"/>
      <c r="I73" s="1359" t="s">
        <v>1007</v>
      </c>
      <c r="J73" s="1359"/>
    </row>
    <row r="74" spans="1:11" ht="18.75" customHeight="1">
      <c r="A74" s="527" t="s">
        <v>2026</v>
      </c>
      <c r="B74" s="1218">
        <f>B73+1</f>
        <v>3</v>
      </c>
      <c r="C74" s="726" t="s">
        <v>1894</v>
      </c>
      <c r="D74" s="759" t="s">
        <v>332</v>
      </c>
      <c r="E74" s="74" t="s">
        <v>48</v>
      </c>
      <c r="F74" s="727">
        <v>46173</v>
      </c>
      <c r="G74" s="727">
        <v>46178</v>
      </c>
      <c r="H74" s="796"/>
      <c r="I74" s="1359" t="s">
        <v>1007</v>
      </c>
      <c r="J74" s="1359"/>
    </row>
    <row r="75" spans="1:11" ht="18.75" customHeight="1">
      <c r="A75" s="527" t="s">
        <v>1072</v>
      </c>
      <c r="B75" s="1218">
        <f t="shared" ref="B75:B116" si="1">B74+1</f>
        <v>4</v>
      </c>
      <c r="C75" s="726" t="s">
        <v>2157</v>
      </c>
      <c r="D75" s="759" t="s">
        <v>1694</v>
      </c>
      <c r="E75" s="74" t="s">
        <v>1181</v>
      </c>
      <c r="F75" s="727">
        <v>46173</v>
      </c>
      <c r="G75" s="727">
        <v>46178</v>
      </c>
      <c r="H75" s="796"/>
      <c r="I75" s="1359" t="s">
        <v>1007</v>
      </c>
      <c r="J75" s="1359"/>
    </row>
    <row r="76" spans="1:11" ht="18.75" customHeight="1">
      <c r="A76" s="527" t="s">
        <v>1072</v>
      </c>
      <c r="B76" s="1218">
        <f t="shared" si="1"/>
        <v>5</v>
      </c>
      <c r="C76" s="726" t="s">
        <v>1920</v>
      </c>
      <c r="D76" s="759" t="s">
        <v>1683</v>
      </c>
      <c r="E76" s="74" t="s">
        <v>50</v>
      </c>
      <c r="F76" s="727">
        <v>46173</v>
      </c>
      <c r="G76" s="727">
        <v>46178</v>
      </c>
      <c r="H76" s="796"/>
      <c r="I76" s="1359" t="s">
        <v>1007</v>
      </c>
      <c r="J76" s="1359"/>
    </row>
    <row r="77" spans="1:11" ht="18.75" customHeight="1">
      <c r="A77" s="527" t="s">
        <v>1072</v>
      </c>
      <c r="B77" s="1218">
        <f t="shared" si="1"/>
        <v>6</v>
      </c>
      <c r="C77" s="726" t="s">
        <v>1930</v>
      </c>
      <c r="D77" s="759" t="s">
        <v>1351</v>
      </c>
      <c r="E77" s="74" t="s">
        <v>50</v>
      </c>
      <c r="F77" s="727">
        <v>46177</v>
      </c>
      <c r="G77" s="727">
        <v>46180</v>
      </c>
      <c r="H77" s="796"/>
      <c r="I77" s="1359" t="s">
        <v>1007</v>
      </c>
      <c r="J77" s="1359"/>
    </row>
    <row r="78" spans="1:11" ht="18.75" customHeight="1">
      <c r="A78" s="527" t="s">
        <v>1072</v>
      </c>
      <c r="B78" s="1218">
        <f t="shared" si="1"/>
        <v>7</v>
      </c>
      <c r="C78" s="726" t="s">
        <v>2157</v>
      </c>
      <c r="D78" s="759" t="s">
        <v>1695</v>
      </c>
      <c r="E78" s="74" t="s">
        <v>32</v>
      </c>
      <c r="F78" s="727">
        <v>46177</v>
      </c>
      <c r="G78" s="727">
        <v>46180</v>
      </c>
      <c r="H78" s="796"/>
      <c r="I78" s="1359" t="s">
        <v>1007</v>
      </c>
      <c r="J78" s="1359"/>
    </row>
    <row r="79" spans="1:11" ht="18.75" customHeight="1">
      <c r="A79" s="527" t="s">
        <v>2026</v>
      </c>
      <c r="B79" s="1218">
        <f t="shared" si="1"/>
        <v>8</v>
      </c>
      <c r="C79" s="726" t="s">
        <v>1894</v>
      </c>
      <c r="D79" s="759" t="s">
        <v>239</v>
      </c>
      <c r="E79" s="74" t="s">
        <v>34</v>
      </c>
      <c r="F79" s="727">
        <v>46179</v>
      </c>
      <c r="G79" s="727">
        <v>46183</v>
      </c>
      <c r="H79" s="796"/>
      <c r="I79" s="1359" t="s">
        <v>1007</v>
      </c>
      <c r="J79" s="1359"/>
    </row>
    <row r="80" spans="1:11" ht="18.75" customHeight="1">
      <c r="A80" s="527" t="s">
        <v>1887</v>
      </c>
      <c r="B80" s="1218">
        <f t="shared" si="1"/>
        <v>9</v>
      </c>
      <c r="C80" s="726" t="s">
        <v>2158</v>
      </c>
      <c r="D80" s="759" t="s">
        <v>689</v>
      </c>
      <c r="E80" s="74" t="s">
        <v>50</v>
      </c>
      <c r="F80" s="727">
        <v>46162</v>
      </c>
      <c r="G80" s="727">
        <v>46183</v>
      </c>
      <c r="H80" s="796"/>
      <c r="I80" s="1359" t="s">
        <v>1007</v>
      </c>
      <c r="J80" s="1359"/>
    </row>
    <row r="81" spans="1:10" ht="18.75" customHeight="1">
      <c r="A81" s="527" t="s">
        <v>1072</v>
      </c>
      <c r="B81" s="1218">
        <f t="shared" si="1"/>
        <v>10</v>
      </c>
      <c r="C81" s="726" t="s">
        <v>2157</v>
      </c>
      <c r="D81" s="759" t="s">
        <v>1696</v>
      </c>
      <c r="E81" s="74" t="s">
        <v>32</v>
      </c>
      <c r="F81" s="727">
        <v>46177</v>
      </c>
      <c r="G81" s="727">
        <v>46183</v>
      </c>
      <c r="H81" s="796"/>
      <c r="I81" s="1359" t="s">
        <v>1007</v>
      </c>
      <c r="J81" s="1359"/>
    </row>
    <row r="82" spans="1:10" ht="18.75" customHeight="1">
      <c r="A82" s="527" t="s">
        <v>1072</v>
      </c>
      <c r="B82" s="1218">
        <f t="shared" si="1"/>
        <v>11</v>
      </c>
      <c r="C82" s="726" t="s">
        <v>2168</v>
      </c>
      <c r="D82" s="759" t="s">
        <v>1200</v>
      </c>
      <c r="E82" s="74" t="s">
        <v>34</v>
      </c>
      <c r="F82" s="727">
        <v>46180</v>
      </c>
      <c r="G82" s="727">
        <v>46183</v>
      </c>
      <c r="H82" s="796"/>
      <c r="I82" s="1359" t="s">
        <v>1007</v>
      </c>
      <c r="J82" s="1359"/>
    </row>
    <row r="83" spans="1:10" ht="18.75" customHeight="1">
      <c r="A83" s="527" t="s">
        <v>1072</v>
      </c>
      <c r="B83" s="1218">
        <f t="shared" si="1"/>
        <v>12</v>
      </c>
      <c r="C83" s="726" t="s">
        <v>1920</v>
      </c>
      <c r="D83" s="759" t="s">
        <v>1692</v>
      </c>
      <c r="E83" s="74" t="s">
        <v>53</v>
      </c>
      <c r="F83" s="727">
        <v>46177</v>
      </c>
      <c r="G83" s="727">
        <v>46184</v>
      </c>
      <c r="H83" s="796"/>
      <c r="I83" s="1359" t="s">
        <v>1007</v>
      </c>
      <c r="J83" s="1359"/>
    </row>
    <row r="84" spans="1:10" ht="18.75" customHeight="1">
      <c r="A84" s="527" t="s">
        <v>1071</v>
      </c>
      <c r="B84" s="1218">
        <f t="shared" si="1"/>
        <v>13</v>
      </c>
      <c r="C84" s="726" t="s">
        <v>2170</v>
      </c>
      <c r="D84" s="759" t="s">
        <v>65</v>
      </c>
      <c r="E84" s="74" t="s">
        <v>53</v>
      </c>
      <c r="F84" s="727">
        <v>46177</v>
      </c>
      <c r="G84" s="727">
        <v>46186</v>
      </c>
      <c r="H84" s="796"/>
      <c r="I84" s="1359" t="s">
        <v>1007</v>
      </c>
      <c r="J84" s="1359"/>
    </row>
    <row r="85" spans="1:10" ht="18.75" customHeight="1">
      <c r="A85" s="527" t="s">
        <v>1072</v>
      </c>
      <c r="B85" s="1218">
        <f t="shared" si="1"/>
        <v>14</v>
      </c>
      <c r="C85" s="726" t="s">
        <v>2157</v>
      </c>
      <c r="D85" s="759" t="s">
        <v>1697</v>
      </c>
      <c r="E85" s="74" t="s">
        <v>48</v>
      </c>
      <c r="F85" s="727">
        <v>46184</v>
      </c>
      <c r="G85" s="727">
        <v>46186</v>
      </c>
      <c r="H85" s="796"/>
      <c r="I85" s="1359" t="s">
        <v>1007</v>
      </c>
      <c r="J85" s="1359"/>
    </row>
    <row r="86" spans="1:10" ht="18.75" customHeight="1">
      <c r="A86" s="527" t="s">
        <v>1072</v>
      </c>
      <c r="B86" s="1218">
        <f t="shared" si="1"/>
        <v>15</v>
      </c>
      <c r="C86" s="726" t="s">
        <v>1920</v>
      </c>
      <c r="D86" s="759" t="s">
        <v>1693</v>
      </c>
      <c r="E86" s="74" t="s">
        <v>32</v>
      </c>
      <c r="F86" s="727">
        <v>46184</v>
      </c>
      <c r="G86" s="727">
        <v>46186</v>
      </c>
      <c r="H86" s="796"/>
      <c r="I86" s="1359" t="s">
        <v>1007</v>
      </c>
      <c r="J86" s="1359"/>
    </row>
    <row r="87" spans="1:10" ht="18.75" customHeight="1">
      <c r="A87" s="527" t="s">
        <v>1072</v>
      </c>
      <c r="B87" s="1218">
        <f t="shared" si="1"/>
        <v>16</v>
      </c>
      <c r="C87" s="726" t="s">
        <v>2168</v>
      </c>
      <c r="D87" s="759" t="s">
        <v>1302</v>
      </c>
      <c r="E87" s="74" t="s">
        <v>34</v>
      </c>
      <c r="F87" s="727">
        <v>46184</v>
      </c>
      <c r="G87" s="727">
        <v>46186</v>
      </c>
      <c r="H87" s="796"/>
      <c r="I87" s="1359" t="s">
        <v>1007</v>
      </c>
      <c r="J87" s="1359"/>
    </row>
    <row r="88" spans="1:10" ht="18.75" customHeight="1">
      <c r="A88" s="527" t="s">
        <v>1072</v>
      </c>
      <c r="B88" s="1218">
        <f t="shared" si="1"/>
        <v>17</v>
      </c>
      <c r="C88" s="726" t="s">
        <v>1930</v>
      </c>
      <c r="D88" s="759" t="s">
        <v>1345</v>
      </c>
      <c r="E88" s="74" t="s">
        <v>1181</v>
      </c>
      <c r="F88" s="727">
        <v>46177</v>
      </c>
      <c r="G88" s="727">
        <v>46187</v>
      </c>
      <c r="H88" s="796"/>
      <c r="I88" s="1359" t="s">
        <v>1007</v>
      </c>
      <c r="J88" s="1359"/>
    </row>
    <row r="89" spans="1:10" ht="18.75" customHeight="1">
      <c r="A89" s="527" t="s">
        <v>1072</v>
      </c>
      <c r="B89" s="1218">
        <f t="shared" si="1"/>
        <v>18</v>
      </c>
      <c r="C89" s="726" t="s">
        <v>2168</v>
      </c>
      <c r="D89" s="759" t="s">
        <v>1303</v>
      </c>
      <c r="E89" s="74" t="s">
        <v>32</v>
      </c>
      <c r="F89" s="727">
        <v>46186</v>
      </c>
      <c r="G89" s="727">
        <v>46187</v>
      </c>
      <c r="H89" s="796"/>
      <c r="I89" s="1359" t="s">
        <v>1007</v>
      </c>
      <c r="J89" s="1359"/>
    </row>
    <row r="90" spans="1:10" ht="18.75" customHeight="1">
      <c r="A90" s="527" t="s">
        <v>1072</v>
      </c>
      <c r="B90" s="1218">
        <f t="shared" si="1"/>
        <v>19</v>
      </c>
      <c r="C90" s="726" t="s">
        <v>2157</v>
      </c>
      <c r="D90" s="759" t="s">
        <v>1698</v>
      </c>
      <c r="E90" s="74" t="s">
        <v>48</v>
      </c>
      <c r="F90" s="727">
        <v>46187</v>
      </c>
      <c r="G90" s="727">
        <v>46189</v>
      </c>
      <c r="H90" s="796"/>
      <c r="I90" s="1359" t="s">
        <v>1007</v>
      </c>
      <c r="J90" s="1359"/>
    </row>
    <row r="91" spans="1:10" ht="18.75" customHeight="1">
      <c r="A91" s="527" t="s">
        <v>1887</v>
      </c>
      <c r="B91" s="1218">
        <f t="shared" si="1"/>
        <v>20</v>
      </c>
      <c r="C91" s="726" t="s">
        <v>1919</v>
      </c>
      <c r="D91" s="759" t="s">
        <v>40</v>
      </c>
      <c r="E91" s="74" t="s">
        <v>45</v>
      </c>
      <c r="F91" s="727">
        <v>46177</v>
      </c>
      <c r="G91" s="727">
        <v>46189</v>
      </c>
      <c r="H91" s="796"/>
      <c r="I91" s="1359" t="s">
        <v>1007</v>
      </c>
      <c r="J91" s="1359"/>
    </row>
    <row r="92" spans="1:10" ht="18.75" customHeight="1">
      <c r="A92" s="527" t="s">
        <v>2026</v>
      </c>
      <c r="B92" s="1218">
        <f t="shared" si="1"/>
        <v>21</v>
      </c>
      <c r="C92" s="726" t="s">
        <v>1894</v>
      </c>
      <c r="D92" s="759" t="s">
        <v>234</v>
      </c>
      <c r="E92" s="74" t="s">
        <v>34</v>
      </c>
      <c r="F92" s="727">
        <v>46179</v>
      </c>
      <c r="G92" s="727">
        <v>46189</v>
      </c>
      <c r="H92" s="796"/>
      <c r="I92" s="1359" t="s">
        <v>1007</v>
      </c>
      <c r="J92" s="1359"/>
    </row>
    <row r="93" spans="1:10" ht="18.75" customHeight="1">
      <c r="A93" s="527" t="s">
        <v>2026</v>
      </c>
      <c r="B93" s="1218">
        <f t="shared" si="1"/>
        <v>22</v>
      </c>
      <c r="C93" s="726" t="s">
        <v>1894</v>
      </c>
      <c r="D93" s="759" t="s">
        <v>230</v>
      </c>
      <c r="E93" s="74" t="s">
        <v>34</v>
      </c>
      <c r="F93" s="727">
        <v>46189</v>
      </c>
      <c r="G93" s="727">
        <v>46190</v>
      </c>
      <c r="H93" s="796"/>
      <c r="I93" s="1359" t="s">
        <v>1007</v>
      </c>
      <c r="J93" s="1359"/>
    </row>
    <row r="94" spans="1:10" ht="18.75" customHeight="1">
      <c r="A94" s="527" t="s">
        <v>1072</v>
      </c>
      <c r="B94" s="1218">
        <f t="shared" si="1"/>
        <v>23</v>
      </c>
      <c r="C94" s="726" t="s">
        <v>2168</v>
      </c>
      <c r="D94" s="759" t="s">
        <v>1202</v>
      </c>
      <c r="E94" s="74" t="s">
        <v>32</v>
      </c>
      <c r="F94" s="727">
        <v>46188</v>
      </c>
      <c r="G94" s="727">
        <v>46190</v>
      </c>
      <c r="H94" s="796"/>
      <c r="I94" s="1359" t="s">
        <v>1007</v>
      </c>
      <c r="J94" s="1359"/>
    </row>
    <row r="95" spans="1:10" ht="18.75" customHeight="1">
      <c r="A95" s="527" t="s">
        <v>1072</v>
      </c>
      <c r="B95" s="1218">
        <f t="shared" si="1"/>
        <v>24</v>
      </c>
      <c r="C95" s="726" t="s">
        <v>1920</v>
      </c>
      <c r="D95" s="759" t="s">
        <v>1276</v>
      </c>
      <c r="E95" s="74" t="s">
        <v>53</v>
      </c>
      <c r="F95" s="727">
        <v>46187</v>
      </c>
      <c r="G95" s="727">
        <v>46190</v>
      </c>
      <c r="H95" s="796"/>
      <c r="I95" s="1359" t="s">
        <v>1007</v>
      </c>
      <c r="J95" s="1359"/>
    </row>
    <row r="96" spans="1:10" ht="18.75" customHeight="1">
      <c r="A96" s="527" t="s">
        <v>1072</v>
      </c>
      <c r="B96" s="1218">
        <f t="shared" si="1"/>
        <v>25</v>
      </c>
      <c r="C96" s="726" t="s">
        <v>2157</v>
      </c>
      <c r="D96" s="759" t="s">
        <v>1699</v>
      </c>
      <c r="E96" s="74" t="s">
        <v>34</v>
      </c>
      <c r="F96" s="727">
        <v>46189</v>
      </c>
      <c r="G96" s="727">
        <v>46190</v>
      </c>
      <c r="H96" s="796"/>
      <c r="I96" s="1359" t="s">
        <v>1007</v>
      </c>
      <c r="J96" s="1359"/>
    </row>
    <row r="97" spans="1:10" ht="18.75" customHeight="1">
      <c r="A97" s="527" t="s">
        <v>1072</v>
      </c>
      <c r="B97" s="1218">
        <f t="shared" si="1"/>
        <v>26</v>
      </c>
      <c r="C97" s="726" t="s">
        <v>2157</v>
      </c>
      <c r="D97" s="759" t="s">
        <v>1700</v>
      </c>
      <c r="E97" s="74" t="s">
        <v>1175</v>
      </c>
      <c r="F97" s="727">
        <v>46189</v>
      </c>
      <c r="G97" s="727">
        <v>46192</v>
      </c>
      <c r="H97" s="796"/>
      <c r="I97" s="1359" t="s">
        <v>1007</v>
      </c>
      <c r="J97" s="1359"/>
    </row>
    <row r="98" spans="1:10" ht="18.75" customHeight="1">
      <c r="A98" s="527" t="s">
        <v>1072</v>
      </c>
      <c r="B98" s="1218">
        <f t="shared" si="1"/>
        <v>27</v>
      </c>
      <c r="C98" s="726" t="s">
        <v>2168</v>
      </c>
      <c r="D98" s="759" t="s">
        <v>1203</v>
      </c>
      <c r="E98" s="74" t="s">
        <v>48</v>
      </c>
      <c r="F98" s="727">
        <v>46188</v>
      </c>
      <c r="G98" s="727">
        <v>46192</v>
      </c>
      <c r="H98" s="796"/>
      <c r="I98" s="1359" t="s">
        <v>1007</v>
      </c>
      <c r="J98" s="1359"/>
    </row>
    <row r="99" spans="1:10" ht="18.75" customHeight="1">
      <c r="A99" s="527" t="s">
        <v>1072</v>
      </c>
      <c r="B99" s="1218">
        <f t="shared" si="1"/>
        <v>28</v>
      </c>
      <c r="C99" s="726" t="s">
        <v>2168</v>
      </c>
      <c r="D99" s="759" t="s">
        <v>1305</v>
      </c>
      <c r="E99" s="74" t="s">
        <v>32</v>
      </c>
      <c r="F99" s="727">
        <v>46192</v>
      </c>
      <c r="G99" s="727">
        <v>46193</v>
      </c>
      <c r="H99" s="796"/>
      <c r="I99" s="1359" t="s">
        <v>1007</v>
      </c>
      <c r="J99" s="1359"/>
    </row>
    <row r="100" spans="1:10" ht="18.75" customHeight="1">
      <c r="A100" s="527" t="s">
        <v>1072</v>
      </c>
      <c r="B100" s="1218">
        <f t="shared" si="1"/>
        <v>29</v>
      </c>
      <c r="C100" s="726" t="s">
        <v>1920</v>
      </c>
      <c r="D100" s="759" t="s">
        <v>1277</v>
      </c>
      <c r="E100" s="74" t="s">
        <v>32</v>
      </c>
      <c r="F100" s="727">
        <v>46192</v>
      </c>
      <c r="G100" s="727">
        <v>46194</v>
      </c>
      <c r="H100" s="796"/>
      <c r="I100" s="1359" t="s">
        <v>1007</v>
      </c>
      <c r="J100" s="1359"/>
    </row>
    <row r="101" spans="1:10" ht="18.75" customHeight="1">
      <c r="A101" s="527" t="s">
        <v>2026</v>
      </c>
      <c r="B101" s="1218">
        <f t="shared" si="1"/>
        <v>30</v>
      </c>
      <c r="C101" s="726" t="s">
        <v>2170</v>
      </c>
      <c r="D101" s="759" t="s">
        <v>407</v>
      </c>
      <c r="E101" s="74" t="s">
        <v>34</v>
      </c>
      <c r="F101" s="727">
        <v>46182</v>
      </c>
      <c r="G101" s="727">
        <v>46194</v>
      </c>
      <c r="H101" s="796"/>
      <c r="I101" s="1359" t="s">
        <v>1007</v>
      </c>
      <c r="J101" s="1359"/>
    </row>
    <row r="102" spans="1:10" ht="18.75" customHeight="1">
      <c r="A102" s="527" t="s">
        <v>1072</v>
      </c>
      <c r="B102" s="1218">
        <f t="shared" si="1"/>
        <v>31</v>
      </c>
      <c r="C102" s="726" t="s">
        <v>2157</v>
      </c>
      <c r="D102" s="759" t="s">
        <v>1711</v>
      </c>
      <c r="E102" s="74" t="s">
        <v>1175</v>
      </c>
      <c r="F102" s="727">
        <v>46192</v>
      </c>
      <c r="G102" s="727">
        <v>46195</v>
      </c>
      <c r="H102" s="796"/>
      <c r="I102" s="1359" t="s">
        <v>1007</v>
      </c>
      <c r="J102" s="1359"/>
    </row>
    <row r="103" spans="1:10" ht="18.75" customHeight="1">
      <c r="A103" s="527" t="s">
        <v>1887</v>
      </c>
      <c r="B103" s="1218">
        <f t="shared" si="1"/>
        <v>32</v>
      </c>
      <c r="C103" s="726" t="s">
        <v>1919</v>
      </c>
      <c r="D103" s="759" t="s">
        <v>75</v>
      </c>
      <c r="E103" s="74" t="s">
        <v>1181</v>
      </c>
      <c r="F103" s="727">
        <v>46191</v>
      </c>
      <c r="G103" s="727">
        <v>46195</v>
      </c>
      <c r="H103" s="796"/>
      <c r="I103" s="1359" t="s">
        <v>1007</v>
      </c>
      <c r="J103" s="1359"/>
    </row>
    <row r="104" spans="1:10" ht="18.75" customHeight="1">
      <c r="A104" s="527" t="s">
        <v>1072</v>
      </c>
      <c r="B104" s="1218">
        <f t="shared" si="1"/>
        <v>33</v>
      </c>
      <c r="C104" s="726" t="s">
        <v>2157</v>
      </c>
      <c r="D104" s="759" t="s">
        <v>1712</v>
      </c>
      <c r="E104" s="74" t="s">
        <v>48</v>
      </c>
      <c r="F104" s="727">
        <v>46196</v>
      </c>
      <c r="G104" s="727">
        <v>46196</v>
      </c>
      <c r="H104" s="796"/>
      <c r="I104" s="1359" t="s">
        <v>1007</v>
      </c>
      <c r="J104" s="1359"/>
    </row>
    <row r="105" spans="1:10" s="510" customFormat="1" ht="18.75" customHeight="1">
      <c r="A105" s="527" t="s">
        <v>1071</v>
      </c>
      <c r="B105" s="1218">
        <f t="shared" si="1"/>
        <v>34</v>
      </c>
      <c r="C105" s="503" t="s">
        <v>2158</v>
      </c>
      <c r="D105" s="1212" t="s">
        <v>64</v>
      </c>
      <c r="E105" s="509" t="s">
        <v>1181</v>
      </c>
      <c r="F105" s="2013">
        <v>46189</v>
      </c>
      <c r="G105" s="727">
        <v>46197</v>
      </c>
      <c r="H105" s="796"/>
      <c r="I105" s="1359" t="s">
        <v>1007</v>
      </c>
      <c r="J105" s="1359"/>
    </row>
    <row r="106" spans="1:10" ht="18.75" customHeight="1">
      <c r="A106" s="527" t="s">
        <v>1071</v>
      </c>
      <c r="B106" s="1218">
        <f t="shared" si="1"/>
        <v>35</v>
      </c>
      <c r="C106" s="726" t="s">
        <v>2182</v>
      </c>
      <c r="D106" s="759" t="s">
        <v>181</v>
      </c>
      <c r="E106" s="74" t="s">
        <v>53</v>
      </c>
      <c r="F106" s="727">
        <v>46190</v>
      </c>
      <c r="G106" s="727">
        <v>46197</v>
      </c>
      <c r="H106" s="796"/>
      <c r="I106" s="1359" t="s">
        <v>1007</v>
      </c>
      <c r="J106" s="1359"/>
    </row>
    <row r="107" spans="1:10" s="510" customFormat="1" ht="18.75" customHeight="1">
      <c r="A107" s="527" t="s">
        <v>1072</v>
      </c>
      <c r="B107" s="1218">
        <f t="shared" si="1"/>
        <v>36</v>
      </c>
      <c r="C107" s="503" t="s">
        <v>2168</v>
      </c>
      <c r="D107" s="1212" t="s">
        <v>1306</v>
      </c>
      <c r="E107" s="509" t="s">
        <v>48</v>
      </c>
      <c r="F107" s="2013">
        <v>46194</v>
      </c>
      <c r="G107" s="727">
        <v>46197</v>
      </c>
      <c r="H107" s="2016"/>
      <c r="I107" s="1359" t="s">
        <v>1007</v>
      </c>
      <c r="J107" s="1359"/>
    </row>
    <row r="108" spans="1:10" s="510" customFormat="1" ht="18.75" customHeight="1">
      <c r="A108" s="527" t="s">
        <v>2026</v>
      </c>
      <c r="B108" s="1218">
        <f t="shared" si="1"/>
        <v>37</v>
      </c>
      <c r="C108" s="503" t="s">
        <v>2170</v>
      </c>
      <c r="D108" s="1212" t="s">
        <v>722</v>
      </c>
      <c r="E108" s="509" t="s">
        <v>34</v>
      </c>
      <c r="F108" s="2013">
        <v>46193</v>
      </c>
      <c r="G108" s="727">
        <v>46197</v>
      </c>
      <c r="H108" s="2016"/>
      <c r="I108" s="1359" t="s">
        <v>1007</v>
      </c>
      <c r="J108" s="1359"/>
    </row>
    <row r="109" spans="1:10" s="510" customFormat="1" ht="18.75" customHeight="1">
      <c r="A109" s="527" t="s">
        <v>1887</v>
      </c>
      <c r="B109" s="1218">
        <f t="shared" si="1"/>
        <v>38</v>
      </c>
      <c r="C109" s="503" t="s">
        <v>1894</v>
      </c>
      <c r="D109" s="1212" t="s">
        <v>47</v>
      </c>
      <c r="E109" s="509" t="s">
        <v>1425</v>
      </c>
      <c r="F109" s="2013">
        <v>46191</v>
      </c>
      <c r="G109" s="727">
        <v>46197</v>
      </c>
      <c r="H109" s="2016"/>
      <c r="I109" s="1359" t="s">
        <v>1007</v>
      </c>
      <c r="J109" s="1359"/>
    </row>
    <row r="110" spans="1:10" ht="18.75" customHeight="1">
      <c r="A110" s="527" t="s">
        <v>1887</v>
      </c>
      <c r="B110" s="1218">
        <f t="shared" si="1"/>
        <v>39</v>
      </c>
      <c r="C110" s="726" t="s">
        <v>1919</v>
      </c>
      <c r="D110" s="759" t="s">
        <v>699</v>
      </c>
      <c r="E110" s="74" t="s">
        <v>1181</v>
      </c>
      <c r="F110" s="727">
        <v>46198</v>
      </c>
      <c r="G110" s="727"/>
      <c r="H110" s="2014">
        <v>10</v>
      </c>
      <c r="I110" s="1359" t="s">
        <v>2189</v>
      </c>
      <c r="J110" s="1359"/>
    </row>
    <row r="111" spans="1:10" ht="18.75" customHeight="1">
      <c r="A111" s="527" t="s">
        <v>1072</v>
      </c>
      <c r="B111" s="1218">
        <f t="shared" si="1"/>
        <v>40</v>
      </c>
      <c r="C111" s="726" t="s">
        <v>2157</v>
      </c>
      <c r="D111" s="759" t="s">
        <v>1232</v>
      </c>
      <c r="E111" s="74" t="s">
        <v>1181</v>
      </c>
      <c r="F111" s="727">
        <v>46198</v>
      </c>
      <c r="G111" s="727"/>
      <c r="H111" s="2014">
        <v>17</v>
      </c>
      <c r="I111" s="1359" t="s">
        <v>2189</v>
      </c>
      <c r="J111" s="1359"/>
    </row>
    <row r="112" spans="1:10" s="510" customFormat="1" ht="18.75" customHeight="1">
      <c r="A112" s="527" t="s">
        <v>2026</v>
      </c>
      <c r="B112" s="1218">
        <f t="shared" si="1"/>
        <v>41</v>
      </c>
      <c r="C112" s="503" t="s">
        <v>2025</v>
      </c>
      <c r="D112" s="1212" t="s">
        <v>326</v>
      </c>
      <c r="E112" s="74" t="s">
        <v>50</v>
      </c>
      <c r="F112" s="727">
        <v>46198</v>
      </c>
      <c r="G112" s="2013"/>
      <c r="H112" s="2014">
        <v>17</v>
      </c>
      <c r="I112" s="2015" t="s">
        <v>2169</v>
      </c>
      <c r="J112" s="2015"/>
    </row>
    <row r="113" spans="1:10" s="510" customFormat="1" ht="18.75" customHeight="1">
      <c r="A113" s="527" t="s">
        <v>1072</v>
      </c>
      <c r="B113" s="1218">
        <f t="shared" si="1"/>
        <v>42</v>
      </c>
      <c r="C113" s="503" t="s">
        <v>2168</v>
      </c>
      <c r="D113" s="1212" t="s">
        <v>1318</v>
      </c>
      <c r="E113" s="74" t="s">
        <v>34</v>
      </c>
      <c r="F113" s="727">
        <v>46198</v>
      </c>
      <c r="G113" s="2013"/>
      <c r="H113" s="2014">
        <v>25</v>
      </c>
      <c r="I113" s="2015" t="s">
        <v>2169</v>
      </c>
      <c r="J113" s="2015"/>
    </row>
    <row r="114" spans="1:10" s="510" customFormat="1" ht="18.75" customHeight="1">
      <c r="A114" s="527" t="s">
        <v>1887</v>
      </c>
      <c r="B114" s="1218">
        <f t="shared" si="1"/>
        <v>43</v>
      </c>
      <c r="C114" s="503" t="s">
        <v>2170</v>
      </c>
      <c r="D114" s="1212" t="s">
        <v>729</v>
      </c>
      <c r="E114" s="74" t="s">
        <v>48</v>
      </c>
      <c r="F114" s="727">
        <v>46198</v>
      </c>
      <c r="G114" s="2013"/>
      <c r="H114" s="796">
        <v>25</v>
      </c>
      <c r="I114" s="2015" t="s">
        <v>2169</v>
      </c>
      <c r="J114" s="2015"/>
    </row>
    <row r="115" spans="1:10" s="510" customFormat="1" ht="18.75" customHeight="1">
      <c r="A115" s="527" t="s">
        <v>1071</v>
      </c>
      <c r="B115" s="1218">
        <f t="shared" si="1"/>
        <v>44</v>
      </c>
      <c r="C115" s="726" t="s">
        <v>2182</v>
      </c>
      <c r="D115" s="759" t="s">
        <v>186</v>
      </c>
      <c r="E115" s="509" t="s">
        <v>32</v>
      </c>
      <c r="F115" s="727">
        <v>46198</v>
      </c>
      <c r="G115" s="2013"/>
      <c r="H115" s="2014">
        <v>17</v>
      </c>
      <c r="I115" s="2015" t="s">
        <v>2173</v>
      </c>
      <c r="J115" s="2015"/>
    </row>
    <row r="116" spans="1:10" s="510" customFormat="1" ht="18.75" customHeight="1">
      <c r="A116" s="527" t="s">
        <v>1072</v>
      </c>
      <c r="B116" s="1218">
        <f t="shared" si="1"/>
        <v>45</v>
      </c>
      <c r="C116" s="503" t="s">
        <v>1920</v>
      </c>
      <c r="D116" s="1212" t="s">
        <v>1275</v>
      </c>
      <c r="E116" s="509" t="s">
        <v>32</v>
      </c>
      <c r="F116" s="2013">
        <v>46193</v>
      </c>
      <c r="G116" s="727"/>
      <c r="H116" s="2014">
        <v>17</v>
      </c>
      <c r="I116" s="2015" t="s">
        <v>2201</v>
      </c>
      <c r="J116" s="2015"/>
    </row>
    <row r="117" spans="1:10" s="510" customFormat="1" ht="18.75" customHeight="1">
      <c r="A117" s="527"/>
      <c r="B117" s="1218"/>
      <c r="C117" s="503"/>
      <c r="D117" s="1212"/>
      <c r="E117" s="509"/>
      <c r="F117" s="2013"/>
      <c r="G117" s="2013"/>
      <c r="H117" s="796"/>
      <c r="I117" s="1278"/>
      <c r="J117" s="1278"/>
    </row>
    <row r="118" spans="1:10" s="510" customFormat="1" ht="18.75" customHeight="1">
      <c r="A118" s="527"/>
      <c r="B118" s="1218"/>
      <c r="C118" s="503"/>
      <c r="D118" s="1212"/>
      <c r="E118" s="509"/>
      <c r="F118" s="2013"/>
      <c r="G118" s="2013"/>
      <c r="H118" s="796"/>
      <c r="I118" s="1278"/>
      <c r="J118" s="1278"/>
    </row>
    <row r="119" spans="1:10" s="510" customFormat="1" ht="18.75" customHeight="1">
      <c r="A119" s="527"/>
      <c r="B119" s="1218"/>
      <c r="C119" s="503"/>
      <c r="D119" s="1212"/>
      <c r="E119" s="509"/>
      <c r="F119" s="2013"/>
      <c r="G119" s="2013"/>
      <c r="H119" s="796"/>
      <c r="I119" s="1278"/>
      <c r="J119" s="1278"/>
    </row>
    <row r="120" spans="1:10" ht="18.75" customHeight="1">
      <c r="A120" s="496"/>
      <c r="B120" s="514"/>
      <c r="C120" s="726"/>
      <c r="D120" s="759"/>
      <c r="E120" s="74"/>
      <c r="F120" s="727"/>
      <c r="G120" s="727"/>
      <c r="H120" s="796"/>
      <c r="I120" s="1359"/>
      <c r="J120" s="1359"/>
    </row>
    <row r="121" spans="1:10" ht="18.75" customHeight="1">
      <c r="A121" s="1379" t="s">
        <v>2152</v>
      </c>
      <c r="B121" s="1380"/>
      <c r="C121" s="1380"/>
      <c r="D121" s="1380"/>
      <c r="E121" s="1380"/>
      <c r="F121" s="1380"/>
      <c r="G121" s="1380"/>
      <c r="H121" s="1380"/>
      <c r="I121" s="1380"/>
      <c r="J121" s="1381"/>
    </row>
    <row r="122" spans="1:10" ht="18.75" customHeight="1">
      <c r="A122" s="1379" t="s">
        <v>2163</v>
      </c>
      <c r="B122" s="1380"/>
      <c r="C122" s="1380"/>
      <c r="D122" s="1380"/>
      <c r="E122" s="1380"/>
      <c r="F122" s="1380"/>
      <c r="G122" s="1380"/>
      <c r="H122" s="1380"/>
      <c r="I122" s="1380"/>
      <c r="J122" s="1381"/>
    </row>
    <row r="123" spans="1:10" ht="18.75" customHeight="1">
      <c r="A123" s="496" t="s">
        <v>1054</v>
      </c>
      <c r="B123" s="525" t="s">
        <v>1062</v>
      </c>
      <c r="C123" s="869" t="s">
        <v>1069</v>
      </c>
      <c r="D123" s="869" t="s">
        <v>2160</v>
      </c>
      <c r="E123" s="511" t="s">
        <v>2161</v>
      </c>
      <c r="F123" s="512" t="s">
        <v>2162</v>
      </c>
      <c r="G123" s="704" t="s">
        <v>1066</v>
      </c>
      <c r="H123" s="704" t="s">
        <v>1066</v>
      </c>
      <c r="I123" s="869" t="s">
        <v>1854</v>
      </c>
      <c r="J123" s="869" t="s">
        <v>2</v>
      </c>
    </row>
    <row r="124" spans="1:10" ht="18.75" customHeight="1">
      <c r="A124" s="527" t="s">
        <v>1072</v>
      </c>
      <c r="B124" s="514">
        <v>1</v>
      </c>
      <c r="C124" s="726" t="s">
        <v>2159</v>
      </c>
      <c r="D124" s="759" t="s">
        <v>1169</v>
      </c>
      <c r="E124" s="74" t="s">
        <v>1210</v>
      </c>
      <c r="F124" s="1219">
        <v>0.34399999999999997</v>
      </c>
      <c r="G124" s="1213">
        <v>46176</v>
      </c>
      <c r="H124" s="727">
        <v>46177</v>
      </c>
      <c r="I124" s="1221">
        <v>21</v>
      </c>
      <c r="J124" s="1220" t="s">
        <v>29</v>
      </c>
    </row>
    <row r="125" spans="1:10" ht="18.75" customHeight="1">
      <c r="A125" s="496"/>
      <c r="B125" s="514"/>
      <c r="C125" s="726" t="s">
        <v>2159</v>
      </c>
      <c r="D125" s="759" t="s">
        <v>1210</v>
      </c>
      <c r="E125" s="74" t="s">
        <v>1180</v>
      </c>
      <c r="F125" s="1219">
        <v>1.373</v>
      </c>
      <c r="G125" s="727">
        <v>46178</v>
      </c>
      <c r="H125" s="727">
        <v>46179</v>
      </c>
      <c r="I125" s="1221">
        <v>21</v>
      </c>
      <c r="J125" s="1220" t="s">
        <v>29</v>
      </c>
    </row>
    <row r="126" spans="1:10" ht="18.75" customHeight="1">
      <c r="A126" s="496"/>
      <c r="B126" s="514"/>
      <c r="C126" s="726" t="s">
        <v>2159</v>
      </c>
      <c r="D126" s="759" t="s">
        <v>1180</v>
      </c>
      <c r="E126" s="74" t="s">
        <v>1198</v>
      </c>
      <c r="F126" s="1219">
        <v>1.4830000000000001</v>
      </c>
      <c r="G126" s="727">
        <v>46179</v>
      </c>
      <c r="H126" s="727">
        <v>46180</v>
      </c>
      <c r="I126" s="1221">
        <v>21</v>
      </c>
      <c r="J126" s="1220" t="s">
        <v>29</v>
      </c>
    </row>
    <row r="127" spans="1:10" ht="18.75" customHeight="1">
      <c r="A127" s="496"/>
      <c r="B127" s="514"/>
      <c r="C127" s="726"/>
      <c r="D127" s="759" t="s">
        <v>1278</v>
      </c>
      <c r="E127" s="74" t="s">
        <v>1279</v>
      </c>
      <c r="F127" s="1219">
        <v>0.34899999999999998</v>
      </c>
      <c r="G127" s="727"/>
      <c r="H127" s="796"/>
      <c r="I127" s="1359" t="s">
        <v>2207</v>
      </c>
      <c r="J127" s="1359"/>
    </row>
    <row r="128" spans="1:10" ht="18.75" customHeight="1">
      <c r="A128" s="496"/>
      <c r="B128" s="514"/>
      <c r="C128" s="726"/>
      <c r="D128" s="759"/>
      <c r="E128" s="74"/>
      <c r="F128" s="727"/>
      <c r="G128" s="727"/>
      <c r="H128" s="796"/>
      <c r="I128" s="1359"/>
      <c r="J128" s="1359"/>
    </row>
    <row r="129" spans="1:10">
      <c r="A129" s="1379" t="s">
        <v>2192</v>
      </c>
      <c r="B129" s="1380"/>
      <c r="C129" s="1380"/>
      <c r="D129" s="1380"/>
      <c r="E129" s="1380"/>
      <c r="F129" s="1380"/>
      <c r="G129" s="1380"/>
      <c r="H129" s="1380"/>
      <c r="I129" s="1380"/>
      <c r="J129" s="1381"/>
    </row>
    <row r="130" spans="1:10" ht="18.75" customHeight="1">
      <c r="A130" s="496" t="s">
        <v>1054</v>
      </c>
      <c r="B130" s="525" t="s">
        <v>1062</v>
      </c>
      <c r="C130" s="869" t="s">
        <v>1069</v>
      </c>
      <c r="D130" s="869" t="s">
        <v>2160</v>
      </c>
      <c r="E130" s="511" t="s">
        <v>2161</v>
      </c>
      <c r="F130" s="512" t="s">
        <v>2162</v>
      </c>
      <c r="G130" s="704" t="s">
        <v>1066</v>
      </c>
      <c r="H130" s="704" t="s">
        <v>1066</v>
      </c>
      <c r="I130" s="869" t="s">
        <v>1854</v>
      </c>
      <c r="J130" s="869" t="s">
        <v>2</v>
      </c>
    </row>
    <row r="131" spans="1:10" ht="18.75" customHeight="1">
      <c r="A131" s="527" t="s">
        <v>1072</v>
      </c>
      <c r="B131" s="514">
        <v>1</v>
      </c>
      <c r="C131" s="726" t="s">
        <v>2159</v>
      </c>
      <c r="D131" s="759" t="s">
        <v>1169</v>
      </c>
      <c r="E131" s="74" t="s">
        <v>1210</v>
      </c>
      <c r="F131" s="1219">
        <v>0.34399999999999997</v>
      </c>
      <c r="G131" s="727">
        <v>46187</v>
      </c>
      <c r="H131" s="727">
        <v>46188</v>
      </c>
      <c r="I131" s="1221"/>
      <c r="J131" s="869" t="s">
        <v>2184</v>
      </c>
    </row>
    <row r="132" spans="1:10" ht="18.75" customHeight="1">
      <c r="A132" s="496"/>
      <c r="B132" s="514">
        <v>2</v>
      </c>
      <c r="C132" s="726" t="s">
        <v>2159</v>
      </c>
      <c r="D132" s="759" t="s">
        <v>1210</v>
      </c>
      <c r="E132" s="74" t="s">
        <v>1180</v>
      </c>
      <c r="F132" s="1219">
        <v>1.373</v>
      </c>
      <c r="G132" s="727">
        <v>46189</v>
      </c>
      <c r="H132" s="727">
        <v>46191</v>
      </c>
      <c r="I132" s="1221"/>
      <c r="J132" s="869" t="s">
        <v>2184</v>
      </c>
    </row>
    <row r="133" spans="1:10" ht="18.75" customHeight="1">
      <c r="A133" s="496"/>
      <c r="B133" s="514">
        <v>3</v>
      </c>
      <c r="C133" s="726" t="s">
        <v>2159</v>
      </c>
      <c r="D133" s="759" t="s">
        <v>1180</v>
      </c>
      <c r="E133" s="74" t="s">
        <v>1198</v>
      </c>
      <c r="F133" s="1219">
        <v>1.4830000000000001</v>
      </c>
      <c r="G133" s="727">
        <v>46192</v>
      </c>
      <c r="H133" s="727">
        <v>46197</v>
      </c>
      <c r="I133" s="1221"/>
      <c r="J133" s="869" t="s">
        <v>2184</v>
      </c>
    </row>
    <row r="134" spans="1:10" ht="18.75" customHeight="1">
      <c r="A134" s="496"/>
      <c r="B134" s="514"/>
      <c r="C134" s="726"/>
      <c r="D134" s="759"/>
      <c r="E134" s="74"/>
      <c r="F134" s="727"/>
      <c r="G134" s="727"/>
      <c r="H134" s="796"/>
      <c r="I134" s="1359"/>
      <c r="J134" s="1359"/>
    </row>
    <row r="135" spans="1:10" ht="18.75" customHeight="1">
      <c r="A135" s="496"/>
      <c r="B135" s="514"/>
      <c r="C135" s="726"/>
      <c r="D135" s="759"/>
      <c r="E135" s="74"/>
      <c r="F135" s="727"/>
      <c r="G135" s="727"/>
      <c r="H135" s="796"/>
      <c r="I135" s="1359"/>
      <c r="J135" s="1359"/>
    </row>
    <row r="136" spans="1:10" ht="18.75" customHeight="1">
      <c r="A136" s="496"/>
      <c r="B136" s="514"/>
      <c r="C136" s="726"/>
      <c r="D136" s="759"/>
      <c r="E136" s="74"/>
      <c r="F136" s="727"/>
      <c r="G136" s="727"/>
      <c r="H136" s="796"/>
      <c r="I136" s="1359"/>
      <c r="J136" s="1359"/>
    </row>
    <row r="137" spans="1:10" ht="18.75" customHeight="1">
      <c r="A137" s="496"/>
      <c r="B137" s="514"/>
      <c r="C137" s="726"/>
      <c r="D137" s="759"/>
      <c r="E137" s="74"/>
      <c r="F137" s="727"/>
      <c r="G137" s="727"/>
      <c r="H137" s="796"/>
      <c r="I137" s="1359"/>
      <c r="J137" s="1359"/>
    </row>
    <row r="138" spans="1:10" ht="18.75" customHeight="1">
      <c r="A138" s="496"/>
      <c r="B138" s="514"/>
      <c r="C138" s="726"/>
      <c r="D138" s="759"/>
      <c r="E138" s="74"/>
      <c r="F138" s="727"/>
      <c r="G138" s="727"/>
      <c r="H138" s="796"/>
      <c r="I138" s="1359"/>
      <c r="J138" s="1359"/>
    </row>
    <row r="139" spans="1:10" ht="18.75" customHeight="1">
      <c r="A139" s="496"/>
      <c r="B139" s="514"/>
      <c r="C139" s="726"/>
      <c r="D139" s="1165"/>
      <c r="E139" s="1165"/>
      <c r="F139" s="727"/>
      <c r="G139" s="727"/>
      <c r="H139" s="796"/>
      <c r="I139" s="1359"/>
      <c r="J139" s="1359"/>
    </row>
    <row r="140" spans="1:10" ht="18.75" customHeight="1">
      <c r="A140" s="496"/>
      <c r="B140" s="514"/>
      <c r="C140" s="726"/>
      <c r="D140" s="759"/>
      <c r="E140" s="74"/>
      <c r="F140" s="727"/>
      <c r="G140" s="727"/>
      <c r="H140" s="796"/>
      <c r="I140" s="1359"/>
      <c r="J140" s="1359"/>
    </row>
    <row r="141" spans="1:10" ht="18.75" customHeight="1">
      <c r="A141" s="496"/>
      <c r="B141" s="514"/>
      <c r="C141" s="726"/>
      <c r="D141" s="759"/>
      <c r="E141" s="74"/>
      <c r="F141" s="727"/>
      <c r="G141" s="727"/>
      <c r="H141" s="796"/>
      <c r="I141" s="1359"/>
      <c r="J141" s="1359"/>
    </row>
    <row r="142" spans="1:10" ht="18.75" customHeight="1">
      <c r="A142" s="496"/>
      <c r="B142" s="514"/>
      <c r="C142" s="726"/>
      <c r="D142" s="759"/>
      <c r="E142" s="74"/>
      <c r="F142" s="727"/>
      <c r="G142" s="727"/>
      <c r="H142" s="796"/>
      <c r="I142" s="1359"/>
      <c r="J142" s="1359"/>
    </row>
    <row r="143" spans="1:10" ht="18.75" customHeight="1">
      <c r="A143" s="496"/>
      <c r="B143" s="514"/>
      <c r="C143" s="726"/>
      <c r="D143" s="759"/>
      <c r="E143" s="74"/>
      <c r="F143" s="727"/>
      <c r="G143" s="727"/>
      <c r="H143" s="796"/>
      <c r="I143" s="1359"/>
      <c r="J143" s="1359"/>
    </row>
    <row r="144" spans="1:10" ht="18.75" customHeight="1">
      <c r="A144" s="496"/>
      <c r="B144" s="514"/>
      <c r="C144" s="726"/>
      <c r="D144" s="759"/>
      <c r="E144" s="74"/>
      <c r="F144" s="727"/>
      <c r="G144" s="727"/>
      <c r="H144" s="796"/>
      <c r="I144" s="1359"/>
      <c r="J144" s="1359"/>
    </row>
    <row r="145" spans="1:10">
      <c r="A145" s="496"/>
      <c r="B145" s="514"/>
      <c r="C145" s="726"/>
      <c r="D145" s="759"/>
      <c r="E145" s="74"/>
      <c r="F145" s="727"/>
      <c r="G145" s="727"/>
      <c r="H145" s="796"/>
      <c r="I145" s="1359"/>
      <c r="J145" s="1359"/>
    </row>
    <row r="146" spans="1:10" s="1018" customFormat="1">
      <c r="A146" s="494"/>
      <c r="B146" s="1384"/>
      <c r="C146" s="1384"/>
      <c r="D146" s="1384"/>
      <c r="E146" s="1384"/>
      <c r="F146" s="1384"/>
      <c r="G146" s="1384"/>
      <c r="H146" s="1384"/>
      <c r="I146" s="1384"/>
      <c r="J146" s="1384"/>
    </row>
    <row r="147" spans="1:10" s="1018" customFormat="1" ht="12.75">
      <c r="B147" s="1081"/>
      <c r="C147" s="1019"/>
      <c r="D147" s="1020"/>
      <c r="E147" s="1019"/>
      <c r="F147" s="1021"/>
      <c r="G147" s="1081"/>
      <c r="J147" s="1021"/>
    </row>
    <row r="148" spans="1:10" s="1018" customFormat="1" ht="12.75">
      <c r="C148" s="1019"/>
      <c r="D148" s="1020"/>
      <c r="E148" s="1019"/>
      <c r="F148" s="1021"/>
      <c r="J148" s="1021"/>
    </row>
    <row r="149" spans="1:10" s="1018" customFormat="1" ht="12.75">
      <c r="C149" s="1019"/>
      <c r="D149" s="1020"/>
      <c r="E149" s="1019"/>
      <c r="F149" s="1021"/>
    </row>
    <row r="150" spans="1:10" s="1018" customFormat="1" ht="12.75">
      <c r="C150" s="1019"/>
      <c r="D150" s="1020"/>
      <c r="E150" s="1019"/>
      <c r="F150" s="1021"/>
    </row>
    <row r="151" spans="1:10" s="1018" customFormat="1" ht="12.75">
      <c r="C151" s="1019"/>
      <c r="D151" s="1020"/>
      <c r="E151" s="1019"/>
      <c r="F151" s="1021"/>
    </row>
    <row r="152" spans="1:10" s="1018" customFormat="1" ht="12.75">
      <c r="C152" s="1019"/>
      <c r="D152" s="1020"/>
      <c r="E152" s="1019"/>
      <c r="F152" s="1021"/>
    </row>
    <row r="153" spans="1:10" s="1018" customFormat="1" ht="12.75">
      <c r="C153" s="1019"/>
      <c r="D153" s="1020"/>
      <c r="E153" s="1019"/>
      <c r="F153" s="1021"/>
    </row>
    <row r="154" spans="1:10" s="1018" customFormat="1" ht="12.75">
      <c r="C154" s="1019"/>
      <c r="D154" s="1020"/>
      <c r="E154" s="1019"/>
      <c r="F154" s="1021"/>
    </row>
    <row r="155" spans="1:10" s="1018" customFormat="1" ht="12.75">
      <c r="C155" s="1019"/>
      <c r="D155" s="1020"/>
      <c r="E155" s="1019"/>
    </row>
    <row r="156" spans="1:10" s="1018" customFormat="1" ht="12.75">
      <c r="C156" s="1019"/>
      <c r="D156" s="1020"/>
      <c r="E156" s="1019"/>
    </row>
    <row r="157" spans="1:10" s="1018" customFormat="1" ht="12.75">
      <c r="C157" s="1019"/>
      <c r="D157" s="1020"/>
      <c r="E157" s="1019"/>
    </row>
    <row r="158" spans="1:10" s="1018" customFormat="1" ht="12.75">
      <c r="C158" s="1019"/>
      <c r="D158" s="1020"/>
      <c r="E158" s="1019"/>
    </row>
    <row r="159" spans="1:10">
      <c r="A159" s="1018"/>
      <c r="B159" s="1018"/>
      <c r="C159" s="1019"/>
      <c r="D159" s="1020"/>
      <c r="E159" s="1019"/>
      <c r="F159" s="1018"/>
      <c r="G159" s="1018"/>
      <c r="H159" s="1018"/>
      <c r="I159" s="1018"/>
      <c r="J159" s="1018"/>
    </row>
  </sheetData>
  <autoFilter ref="A71:K142">
    <filterColumn colId="8" showButton="0"/>
  </autoFilter>
  <mergeCells count="73">
    <mergeCell ref="I112:J112"/>
    <mergeCell ref="I114:J114"/>
    <mergeCell ref="I113:J113"/>
    <mergeCell ref="I115:J115"/>
    <mergeCell ref="I116:J116"/>
    <mergeCell ref="I101:J101"/>
    <mergeCell ref="I103:J103"/>
    <mergeCell ref="I104:J104"/>
    <mergeCell ref="I111:J111"/>
    <mergeCell ref="A129:J129"/>
    <mergeCell ref="I107:J107"/>
    <mergeCell ref="I120:J120"/>
    <mergeCell ref="I91:J91"/>
    <mergeCell ref="I92:J92"/>
    <mergeCell ref="A121:J121"/>
    <mergeCell ref="A122:J122"/>
    <mergeCell ref="I93:J93"/>
    <mergeCell ref="I106:J106"/>
    <mergeCell ref="I97:J97"/>
    <mergeCell ref="I94:J94"/>
    <mergeCell ref="I95:J95"/>
    <mergeCell ref="I96:J96"/>
    <mergeCell ref="I109:J109"/>
    <mergeCell ref="I98:J98"/>
    <mergeCell ref="I99:J99"/>
    <mergeCell ref="B146:F146"/>
    <mergeCell ref="G146:J146"/>
    <mergeCell ref="I145:J145"/>
    <mergeCell ref="I140:J140"/>
    <mergeCell ref="I144:J144"/>
    <mergeCell ref="I143:J143"/>
    <mergeCell ref="I141:J141"/>
    <mergeCell ref="I142:J142"/>
    <mergeCell ref="I137:J137"/>
    <mergeCell ref="I139:J139"/>
    <mergeCell ref="I135:J135"/>
    <mergeCell ref="I138:J138"/>
    <mergeCell ref="I134:J134"/>
    <mergeCell ref="I136:J136"/>
    <mergeCell ref="A70:J70"/>
    <mergeCell ref="I88:J88"/>
    <mergeCell ref="I110:J110"/>
    <mergeCell ref="I128:J128"/>
    <mergeCell ref="I127:J127"/>
    <mergeCell ref="I71:J71"/>
    <mergeCell ref="I76:J76"/>
    <mergeCell ref="I105:J105"/>
    <mergeCell ref="I73:J73"/>
    <mergeCell ref="I75:J75"/>
    <mergeCell ref="I72:J72"/>
    <mergeCell ref="I108:J108"/>
    <mergeCell ref="I79:J79"/>
    <mergeCell ref="I80:J80"/>
    <mergeCell ref="I81:J81"/>
    <mergeCell ref="A1:J1"/>
    <mergeCell ref="A3:C3"/>
    <mergeCell ref="A4:C4"/>
    <mergeCell ref="D4:J4"/>
    <mergeCell ref="A5:J5"/>
    <mergeCell ref="A2:I2"/>
    <mergeCell ref="I82:J82"/>
    <mergeCell ref="I74:J74"/>
    <mergeCell ref="I78:J78"/>
    <mergeCell ref="I77:J77"/>
    <mergeCell ref="I102:J102"/>
    <mergeCell ref="I83:J83"/>
    <mergeCell ref="I86:J86"/>
    <mergeCell ref="I87:J87"/>
    <mergeCell ref="I84:J84"/>
    <mergeCell ref="I89:J89"/>
    <mergeCell ref="I90:J90"/>
    <mergeCell ref="I85:J85"/>
    <mergeCell ref="I100:J100"/>
  </mergeCells>
  <phoneticPr fontId="65" type="noConversion"/>
  <conditionalFormatting sqref="D32">
    <cfRule type="duplicateValues" dxfId="547" priority="76"/>
  </conditionalFormatting>
  <conditionalFormatting sqref="D59">
    <cfRule type="duplicateValues" dxfId="546" priority="17"/>
  </conditionalFormatting>
  <conditionalFormatting sqref="D66">
    <cfRule type="duplicateValues" dxfId="545" priority="1451"/>
  </conditionalFormatting>
  <conditionalFormatting sqref="D35">
    <cfRule type="duplicateValues" dxfId="544" priority="9"/>
  </conditionalFormatting>
  <conditionalFormatting sqref="D38">
    <cfRule type="duplicateValues" dxfId="543" priority="8"/>
  </conditionalFormatting>
  <conditionalFormatting sqref="D40">
    <cfRule type="duplicateValues" dxfId="542" priority="7"/>
  </conditionalFormatting>
  <conditionalFormatting sqref="D41">
    <cfRule type="duplicateValues" dxfId="541" priority="6"/>
  </conditionalFormatting>
  <conditionalFormatting sqref="D45">
    <cfRule type="duplicateValues" dxfId="540" priority="5"/>
  </conditionalFormatting>
  <conditionalFormatting sqref="D51">
    <cfRule type="duplicateValues" dxfId="539" priority="4"/>
  </conditionalFormatting>
  <conditionalFormatting sqref="D64">
    <cfRule type="duplicateValues" dxfId="538" priority="2"/>
  </conditionalFormatting>
  <conditionalFormatting sqref="D62">
    <cfRule type="duplicateValues" dxfId="537" priority="1"/>
  </conditionalFormatting>
  <printOptions horizontalCentered="1"/>
  <pageMargins left="0.23622047244094491" right="0" top="0.15748031496062992" bottom="0" header="0" footer="0"/>
  <pageSetup paperSize="9" scale="44" orientation="landscape" r:id="rId1"/>
  <headerFooter alignWithMargins="0"/>
  <rowBreaks count="1" manualBreakCount="1">
    <brk id="67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opLeftCell="A26" zoomScaleNormal="100" workbookViewId="0">
      <selection activeCell="E38" sqref="E38"/>
    </sheetView>
  </sheetViews>
  <sheetFormatPr defaultRowHeight="15"/>
  <cols>
    <col min="1" max="1" width="16.5703125" customWidth="1"/>
    <col min="2" max="2" width="11.5703125" bestFit="1" customWidth="1"/>
    <col min="3" max="3" width="11" bestFit="1" customWidth="1"/>
    <col min="4" max="4" width="17.28515625" bestFit="1" customWidth="1"/>
    <col min="5" max="5" width="25.28515625" style="851" customWidth="1"/>
    <col min="6" max="6" width="13.42578125" customWidth="1"/>
    <col min="7" max="7" width="18.5703125" bestFit="1" customWidth="1"/>
    <col min="8" max="8" width="13.85546875" customWidth="1"/>
    <col min="9" max="9" width="28.42578125" bestFit="1" customWidth="1"/>
    <col min="10" max="10" width="28.5703125" bestFit="1" customWidth="1"/>
    <col min="11" max="11" width="20.140625" bestFit="1" customWidth="1"/>
    <col min="12" max="13" width="10.42578125" bestFit="1" customWidth="1"/>
    <col min="14" max="14" width="9.5703125" bestFit="1" customWidth="1"/>
    <col min="15" max="15" width="13.28515625" bestFit="1" customWidth="1"/>
    <col min="16" max="16" width="12.28515625" customWidth="1"/>
    <col min="17" max="17" width="11.85546875" customWidth="1"/>
    <col min="18" max="18" width="13.42578125" customWidth="1"/>
    <col min="19" max="19" width="10.85546875" bestFit="1" customWidth="1"/>
    <col min="20" max="20" width="9.140625" customWidth="1"/>
  </cols>
  <sheetData>
    <row r="1" spans="1:19">
      <c r="A1" s="1385" t="s">
        <v>1061</v>
      </c>
      <c r="B1" s="1385"/>
      <c r="C1" s="1385"/>
      <c r="D1" s="1385"/>
      <c r="E1" s="1385"/>
      <c r="F1" s="1385"/>
      <c r="G1" s="1385"/>
      <c r="H1" s="1385"/>
    </row>
    <row r="2" spans="1:19" s="634" customFormat="1" ht="38.25">
      <c r="A2" s="819" t="s">
        <v>1054</v>
      </c>
      <c r="B2" s="819" t="s">
        <v>2017</v>
      </c>
      <c r="C2" s="819" t="s">
        <v>1189</v>
      </c>
      <c r="D2" s="819" t="s">
        <v>1187</v>
      </c>
      <c r="E2" s="819" t="s">
        <v>2018</v>
      </c>
      <c r="F2" s="819" t="s">
        <v>978</v>
      </c>
      <c r="G2" s="819" t="s">
        <v>2019</v>
      </c>
      <c r="H2" s="819" t="s">
        <v>2</v>
      </c>
    </row>
    <row r="3" spans="1:19" s="821" customFormat="1" ht="25.5">
      <c r="A3" s="817" t="s">
        <v>1055</v>
      </c>
      <c r="B3" s="817">
        <v>25</v>
      </c>
      <c r="C3" s="817">
        <v>5</v>
      </c>
      <c r="D3" s="822">
        <f>I85+I90+I95+I100+I105</f>
        <v>46</v>
      </c>
      <c r="E3" s="820">
        <v>11</v>
      </c>
      <c r="F3" s="820">
        <v>5</v>
      </c>
      <c r="G3" s="539">
        <f>B3-E3-F3</f>
        <v>9</v>
      </c>
      <c r="H3" s="673"/>
    </row>
    <row r="4" spans="1:19" s="821" customFormat="1" ht="25.5">
      <c r="A4" s="817" t="s">
        <v>1056</v>
      </c>
      <c r="B4" s="818">
        <v>65</v>
      </c>
      <c r="C4" s="817">
        <v>8</v>
      </c>
      <c r="D4" s="820">
        <f>I10+I16+I25+I40+I45+I50+I55+I60+I65</f>
        <v>68</v>
      </c>
      <c r="E4" s="820">
        <v>27</v>
      </c>
      <c r="F4" s="820">
        <v>8</v>
      </c>
      <c r="G4" s="539">
        <f t="shared" ref="G4:G5" si="0">B4-E4-F4</f>
        <v>30</v>
      </c>
      <c r="H4" s="539"/>
    </row>
    <row r="5" spans="1:19" s="821" customFormat="1" ht="25.5">
      <c r="A5" s="817" t="s">
        <v>1057</v>
      </c>
      <c r="B5" s="818">
        <v>10</v>
      </c>
      <c r="C5" s="817">
        <v>2</v>
      </c>
      <c r="D5" s="820">
        <f>I75+I80</f>
        <v>18</v>
      </c>
      <c r="E5" s="820">
        <v>4</v>
      </c>
      <c r="F5" s="820">
        <v>2</v>
      </c>
      <c r="G5" s="539">
        <f t="shared" si="0"/>
        <v>4</v>
      </c>
      <c r="H5" s="539"/>
    </row>
    <row r="6" spans="1:19" s="573" customFormat="1">
      <c r="A6" s="576" t="s">
        <v>1059</v>
      </c>
      <c r="B6" s="576">
        <f>SUM(B3:B5)</f>
        <v>100</v>
      </c>
      <c r="C6" s="576">
        <f>SUM(C3:C5)</f>
        <v>15</v>
      </c>
      <c r="D6" s="576">
        <f>SUM(D3:D5)</f>
        <v>132</v>
      </c>
      <c r="E6" s="576">
        <f t="shared" ref="E6:F6" si="1">SUM(E3:E5)</f>
        <v>42</v>
      </c>
      <c r="F6" s="576">
        <f t="shared" si="1"/>
        <v>15</v>
      </c>
      <c r="G6" s="576">
        <f>SUM(G3:G5)</f>
        <v>43</v>
      </c>
      <c r="H6" s="576"/>
    </row>
    <row r="7" spans="1:19" s="699" customFormat="1">
      <c r="A7" s="1072"/>
      <c r="B7" s="1072"/>
      <c r="C7" s="1072"/>
      <c r="D7" s="1072"/>
      <c r="E7" s="1072"/>
      <c r="F7" s="1072"/>
      <c r="G7" s="1072"/>
      <c r="H7" s="1072"/>
      <c r="I7" s="1072"/>
    </row>
    <row r="8" spans="1:19" s="573" customFormat="1" ht="15" customHeight="1">
      <c r="A8" s="1386" t="s">
        <v>2002</v>
      </c>
      <c r="B8" s="1387"/>
      <c r="C8" s="1387"/>
      <c r="D8" s="1387"/>
      <c r="E8" s="1387"/>
      <c r="F8" s="1387"/>
      <c r="G8" s="1387"/>
      <c r="H8" s="1387"/>
      <c r="I8" s="1387"/>
      <c r="J8" s="1387"/>
      <c r="K8" s="1387"/>
      <c r="L8" s="1387"/>
      <c r="M8" s="1387"/>
      <c r="N8" s="1387"/>
      <c r="O8" s="1387"/>
      <c r="P8" s="1387"/>
      <c r="Q8" s="1387"/>
      <c r="R8" s="1387"/>
      <c r="S8" s="1388"/>
    </row>
    <row r="9" spans="1:19" s="573" customFormat="1" ht="21">
      <c r="A9" s="1022" t="s">
        <v>1962</v>
      </c>
      <c r="B9" s="1023" t="s">
        <v>1963</v>
      </c>
      <c r="C9" s="1022" t="s">
        <v>989</v>
      </c>
      <c r="D9" s="1022" t="s">
        <v>1964</v>
      </c>
      <c r="E9" s="1022" t="s">
        <v>1965</v>
      </c>
      <c r="F9" s="1022" t="s">
        <v>1966</v>
      </c>
      <c r="G9" s="1022" t="s">
        <v>1967</v>
      </c>
      <c r="H9" s="1023" t="s">
        <v>1069</v>
      </c>
      <c r="I9" s="1023" t="s">
        <v>2003</v>
      </c>
      <c r="J9" s="1022" t="s">
        <v>1968</v>
      </c>
      <c r="K9" s="1022" t="s">
        <v>1969</v>
      </c>
      <c r="L9" s="1022" t="s">
        <v>1970</v>
      </c>
      <c r="M9" s="1022" t="s">
        <v>1971</v>
      </c>
      <c r="N9" s="1022" t="s">
        <v>1972</v>
      </c>
      <c r="O9" s="1022" t="s">
        <v>1973</v>
      </c>
      <c r="P9" s="1022" t="s">
        <v>1974</v>
      </c>
      <c r="Q9" s="1022" t="s">
        <v>1975</v>
      </c>
      <c r="R9" s="1022" t="s">
        <v>1976</v>
      </c>
      <c r="S9" s="1023" t="s">
        <v>2</v>
      </c>
    </row>
    <row r="10" spans="1:19" s="573" customFormat="1">
      <c r="A10" s="557">
        <v>1</v>
      </c>
      <c r="B10" s="1004" t="s">
        <v>1275</v>
      </c>
      <c r="C10" s="1004" t="s">
        <v>32</v>
      </c>
      <c r="D10" s="1004">
        <v>1</v>
      </c>
      <c r="E10" s="557" t="s">
        <v>61</v>
      </c>
      <c r="F10" s="1024">
        <v>46143</v>
      </c>
      <c r="G10" s="1024">
        <f>F10+4</f>
        <v>46147</v>
      </c>
      <c r="H10" s="1025" t="s">
        <v>1930</v>
      </c>
      <c r="I10" s="1389">
        <v>8</v>
      </c>
      <c r="J10" s="1073">
        <v>140.36000000000001</v>
      </c>
      <c r="K10" s="982">
        <v>1.96</v>
      </c>
      <c r="L10" s="982">
        <v>14.51</v>
      </c>
      <c r="M10" s="882">
        <v>0.94499999999999995</v>
      </c>
      <c r="N10" s="885">
        <v>204</v>
      </c>
      <c r="O10" s="885">
        <v>8390</v>
      </c>
      <c r="P10" s="885">
        <v>9675</v>
      </c>
      <c r="Q10" s="885">
        <v>78403</v>
      </c>
      <c r="R10" s="1026">
        <f>(J10*N10+K10*O10+L10*P10+M10*Q10)</f>
        <v>259552.92499999999</v>
      </c>
      <c r="S10" s="557" t="s">
        <v>29</v>
      </c>
    </row>
    <row r="11" spans="1:19" s="573" customFormat="1">
      <c r="A11" s="557">
        <v>2</v>
      </c>
      <c r="B11" s="1004" t="s">
        <v>1273</v>
      </c>
      <c r="C11" s="1004" t="s">
        <v>34</v>
      </c>
      <c r="D11" s="1004">
        <v>1</v>
      </c>
      <c r="E11" s="982" t="s">
        <v>42</v>
      </c>
      <c r="F11" s="1024">
        <f>G10</f>
        <v>46147</v>
      </c>
      <c r="G11" s="1024">
        <f>F11+5</f>
        <v>46152</v>
      </c>
      <c r="H11" s="1025" t="s">
        <v>1930</v>
      </c>
      <c r="I11" s="1389"/>
      <c r="J11" s="1073">
        <v>84.27</v>
      </c>
      <c r="K11" s="982">
        <v>1.1000000000000001</v>
      </c>
      <c r="L11" s="982">
        <v>11.09</v>
      </c>
      <c r="M11" s="882">
        <v>0.751</v>
      </c>
      <c r="N11" s="885">
        <v>204</v>
      </c>
      <c r="O11" s="885">
        <v>8390</v>
      </c>
      <c r="P11" s="885">
        <v>9675</v>
      </c>
      <c r="Q11" s="885">
        <v>78403</v>
      </c>
      <c r="R11" s="1026">
        <f>(J11*N11+K11*O11+L11*P11+M11*Q11)</f>
        <v>192596.48299999998</v>
      </c>
      <c r="S11" s="557" t="s">
        <v>978</v>
      </c>
    </row>
    <row r="12" spans="1:19" s="573" customFormat="1">
      <c r="A12" s="557">
        <v>3</v>
      </c>
      <c r="B12" s="1004" t="s">
        <v>1274</v>
      </c>
      <c r="C12" s="1004" t="s">
        <v>32</v>
      </c>
      <c r="D12" s="1004">
        <v>1</v>
      </c>
      <c r="E12" s="557" t="s">
        <v>61</v>
      </c>
      <c r="F12" s="1024">
        <f t="shared" ref="F12:F15" si="2">G11</f>
        <v>46152</v>
      </c>
      <c r="G12" s="1024">
        <f t="shared" ref="G12:G14" si="3">F12+5</f>
        <v>46157</v>
      </c>
      <c r="H12" s="1025" t="s">
        <v>1930</v>
      </c>
      <c r="I12" s="1389"/>
      <c r="J12" s="1073">
        <v>140.36000000000001</v>
      </c>
      <c r="K12" s="982">
        <v>1.96</v>
      </c>
      <c r="L12" s="982">
        <v>14.51</v>
      </c>
      <c r="M12" s="882">
        <v>0.94499999999999995</v>
      </c>
      <c r="N12" s="885">
        <v>204</v>
      </c>
      <c r="O12" s="885">
        <v>8390</v>
      </c>
      <c r="P12" s="885">
        <v>9675</v>
      </c>
      <c r="Q12" s="885">
        <v>78403</v>
      </c>
      <c r="R12" s="1026">
        <f>(J12*N12+K12*O12+L12*P12+M12*Q12)</f>
        <v>259552.92499999999</v>
      </c>
      <c r="S12" s="557"/>
    </row>
    <row r="13" spans="1:19" s="573" customFormat="1">
      <c r="A13" s="557">
        <v>4</v>
      </c>
      <c r="B13" s="1004" t="s">
        <v>1272</v>
      </c>
      <c r="C13" s="1004" t="s">
        <v>1181</v>
      </c>
      <c r="D13" s="1004">
        <v>1</v>
      </c>
      <c r="E13" s="557" t="s">
        <v>61</v>
      </c>
      <c r="F13" s="1024">
        <f t="shared" si="2"/>
        <v>46157</v>
      </c>
      <c r="G13" s="1024">
        <f t="shared" si="3"/>
        <v>46162</v>
      </c>
      <c r="H13" s="1025" t="s">
        <v>1930</v>
      </c>
      <c r="I13" s="1389"/>
      <c r="J13" s="1073">
        <v>329.49</v>
      </c>
      <c r="K13" s="982">
        <v>4.88</v>
      </c>
      <c r="L13" s="982">
        <v>32.619999999999997</v>
      </c>
      <c r="M13" s="883">
        <v>2.6070000000000002</v>
      </c>
      <c r="N13" s="885">
        <v>204</v>
      </c>
      <c r="O13" s="885">
        <v>8390</v>
      </c>
      <c r="P13" s="885">
        <v>9675</v>
      </c>
      <c r="Q13" s="885">
        <v>78403</v>
      </c>
      <c r="R13" s="1026">
        <f t="shared" ref="R13:R42" si="4">(J13*N13+K13*O13+L13*P13+M13*Q13)</f>
        <v>628154.28100000008</v>
      </c>
      <c r="S13" s="557"/>
    </row>
    <row r="14" spans="1:19" s="573" customFormat="1">
      <c r="A14" s="557">
        <v>5</v>
      </c>
      <c r="B14" s="1004" t="s">
        <v>1271</v>
      </c>
      <c r="C14" s="1004" t="s">
        <v>57</v>
      </c>
      <c r="D14" s="1004"/>
      <c r="E14" s="557" t="s">
        <v>42</v>
      </c>
      <c r="F14" s="1024">
        <f t="shared" si="2"/>
        <v>46162</v>
      </c>
      <c r="G14" s="1024">
        <f t="shared" si="3"/>
        <v>46167</v>
      </c>
      <c r="H14" s="1025" t="s">
        <v>1930</v>
      </c>
      <c r="I14" s="1389"/>
      <c r="J14" s="1073">
        <v>166.06</v>
      </c>
      <c r="K14" s="982">
        <v>2.34</v>
      </c>
      <c r="L14" s="982">
        <v>16.38</v>
      </c>
      <c r="M14" s="883">
        <v>0.95099999999999996</v>
      </c>
      <c r="N14" s="885">
        <v>204</v>
      </c>
      <c r="O14" s="885">
        <v>8390</v>
      </c>
      <c r="P14" s="885">
        <v>9675</v>
      </c>
      <c r="Q14" s="885">
        <v>78403</v>
      </c>
      <c r="R14" s="1026">
        <f t="shared" si="4"/>
        <v>286546.59299999999</v>
      </c>
      <c r="S14" s="557"/>
    </row>
    <row r="15" spans="1:19" s="573" customFormat="1">
      <c r="A15" s="557">
        <v>6</v>
      </c>
      <c r="B15" s="1004" t="s">
        <v>1270</v>
      </c>
      <c r="C15" s="1004" t="s">
        <v>1423</v>
      </c>
      <c r="D15" s="1004"/>
      <c r="E15" s="557" t="s">
        <v>42</v>
      </c>
      <c r="F15" s="1024">
        <f t="shared" si="2"/>
        <v>46167</v>
      </c>
      <c r="G15" s="1024">
        <f>F15+6</f>
        <v>46173</v>
      </c>
      <c r="H15" s="1025" t="s">
        <v>1930</v>
      </c>
      <c r="I15" s="1389"/>
      <c r="J15" s="1073">
        <v>270.75</v>
      </c>
      <c r="K15" s="982">
        <v>3.96</v>
      </c>
      <c r="L15" s="982">
        <v>25.67</v>
      </c>
      <c r="M15" s="883">
        <v>1.84</v>
      </c>
      <c r="N15" s="885">
        <v>204</v>
      </c>
      <c r="O15" s="885">
        <v>8390</v>
      </c>
      <c r="P15" s="885">
        <v>9675</v>
      </c>
      <c r="Q15" s="885">
        <v>78403</v>
      </c>
      <c r="R15" s="1026">
        <f t="shared" si="4"/>
        <v>481076.17000000004</v>
      </c>
      <c r="S15" s="557"/>
    </row>
    <row r="16" spans="1:19" s="573" customFormat="1">
      <c r="A16" s="557">
        <v>7</v>
      </c>
      <c r="B16" s="1004" t="s">
        <v>1236</v>
      </c>
      <c r="C16" s="1004" t="s">
        <v>34</v>
      </c>
      <c r="D16" s="1004"/>
      <c r="E16" s="557" t="s">
        <v>61</v>
      </c>
      <c r="F16" s="1024">
        <v>46143</v>
      </c>
      <c r="G16" s="1024">
        <f t="shared" ref="G16:G22" si="5">F16+3</f>
        <v>46146</v>
      </c>
      <c r="H16" s="1025" t="s">
        <v>1961</v>
      </c>
      <c r="I16" s="1389">
        <v>8</v>
      </c>
      <c r="J16" s="1073">
        <v>108</v>
      </c>
      <c r="K16" s="982">
        <v>1.46</v>
      </c>
      <c r="L16" s="982">
        <v>10.98</v>
      </c>
      <c r="M16" s="883">
        <v>0.60599999999999998</v>
      </c>
      <c r="N16" s="885">
        <v>204</v>
      </c>
      <c r="O16" s="885">
        <v>8390</v>
      </c>
      <c r="P16" s="885">
        <v>9675</v>
      </c>
      <c r="Q16" s="885">
        <v>78403</v>
      </c>
      <c r="R16" s="1026">
        <f>(J16*N16+K16*O16+L16*P16+M16*Q16)</f>
        <v>188025.11799999999</v>
      </c>
      <c r="S16" s="557" t="s">
        <v>29</v>
      </c>
    </row>
    <row r="17" spans="1:19" s="573" customFormat="1">
      <c r="A17" s="557">
        <v>8</v>
      </c>
      <c r="B17" s="1004" t="s">
        <v>1237</v>
      </c>
      <c r="C17" s="1004" t="s">
        <v>34</v>
      </c>
      <c r="D17" s="1004"/>
      <c r="E17" s="557" t="s">
        <v>61</v>
      </c>
      <c r="F17" s="1024">
        <f>G16</f>
        <v>46146</v>
      </c>
      <c r="G17" s="1024">
        <f t="shared" si="5"/>
        <v>46149</v>
      </c>
      <c r="H17" s="1025" t="s">
        <v>1961</v>
      </c>
      <c r="I17" s="1389"/>
      <c r="J17" s="1073">
        <v>133.87</v>
      </c>
      <c r="K17" s="982">
        <v>1.85</v>
      </c>
      <c r="L17" s="982">
        <v>11.71</v>
      </c>
      <c r="M17" s="883">
        <v>0.69699999999999995</v>
      </c>
      <c r="N17" s="885">
        <v>204</v>
      </c>
      <c r="O17" s="885">
        <v>8390</v>
      </c>
      <c r="P17" s="885">
        <v>9675</v>
      </c>
      <c r="Q17" s="885">
        <v>78403</v>
      </c>
      <c r="R17" s="1026">
        <f t="shared" si="4"/>
        <v>210772.12100000001</v>
      </c>
      <c r="S17" s="557" t="s">
        <v>29</v>
      </c>
    </row>
    <row r="18" spans="1:19" s="573" customFormat="1">
      <c r="A18" s="557">
        <v>9</v>
      </c>
      <c r="B18" s="1004" t="s">
        <v>1233</v>
      </c>
      <c r="C18" s="1004" t="s">
        <v>32</v>
      </c>
      <c r="D18" s="1004"/>
      <c r="E18" s="557" t="s">
        <v>61</v>
      </c>
      <c r="F18" s="1024">
        <f t="shared" ref="F18:F23" si="6">G17</f>
        <v>46149</v>
      </c>
      <c r="G18" s="1024">
        <f t="shared" si="5"/>
        <v>46152</v>
      </c>
      <c r="H18" s="1025" t="s">
        <v>1961</v>
      </c>
      <c r="I18" s="1389"/>
      <c r="J18" s="1073">
        <v>133.87</v>
      </c>
      <c r="K18" s="982">
        <v>1.85</v>
      </c>
      <c r="L18" s="982">
        <v>11.71</v>
      </c>
      <c r="M18" s="883">
        <v>0.69699999999999995</v>
      </c>
      <c r="N18" s="885">
        <v>204</v>
      </c>
      <c r="O18" s="885">
        <v>8390</v>
      </c>
      <c r="P18" s="885">
        <v>9675</v>
      </c>
      <c r="Q18" s="885">
        <v>78403</v>
      </c>
      <c r="R18" s="1026">
        <f>(J18*N18+K18*O18+L18*P18+M18*Q18)</f>
        <v>210772.12100000001</v>
      </c>
      <c r="S18" s="557"/>
    </row>
    <row r="19" spans="1:19" s="573" customFormat="1">
      <c r="A19" s="557">
        <v>10</v>
      </c>
      <c r="B19" s="1004" t="s">
        <v>1232</v>
      </c>
      <c r="C19" s="1004" t="s">
        <v>1181</v>
      </c>
      <c r="D19" s="1004"/>
      <c r="E19" s="557" t="s">
        <v>61</v>
      </c>
      <c r="F19" s="1024">
        <f t="shared" si="6"/>
        <v>46152</v>
      </c>
      <c r="G19" s="1024">
        <f t="shared" si="5"/>
        <v>46155</v>
      </c>
      <c r="H19" s="1025" t="s">
        <v>1961</v>
      </c>
      <c r="I19" s="1389"/>
      <c r="J19" s="1073">
        <v>329.49</v>
      </c>
      <c r="K19" s="982">
        <v>4.88</v>
      </c>
      <c r="L19" s="982">
        <v>31.12</v>
      </c>
      <c r="M19" s="883">
        <v>2.3119999999999998</v>
      </c>
      <c r="N19" s="885">
        <v>204</v>
      </c>
      <c r="O19" s="885">
        <v>8390</v>
      </c>
      <c r="P19" s="885">
        <v>9675</v>
      </c>
      <c r="Q19" s="885">
        <v>78403</v>
      </c>
      <c r="R19" s="1026">
        <f t="shared" si="4"/>
        <v>590512.89599999995</v>
      </c>
      <c r="S19" s="557"/>
    </row>
    <row r="20" spans="1:19" s="573" customFormat="1">
      <c r="A20" s="557">
        <v>11</v>
      </c>
      <c r="B20" s="1004" t="s">
        <v>1711</v>
      </c>
      <c r="C20" s="1004" t="s">
        <v>1175</v>
      </c>
      <c r="D20" s="1004"/>
      <c r="E20" s="557" t="s">
        <v>61</v>
      </c>
      <c r="F20" s="1024">
        <f t="shared" si="6"/>
        <v>46155</v>
      </c>
      <c r="G20" s="1024">
        <f t="shared" si="5"/>
        <v>46158</v>
      </c>
      <c r="H20" s="1025" t="s">
        <v>1961</v>
      </c>
      <c r="I20" s="1389"/>
      <c r="J20" s="1073">
        <v>161.63</v>
      </c>
      <c r="K20" s="982">
        <v>2.27</v>
      </c>
      <c r="L20" s="982">
        <v>15.51</v>
      </c>
      <c r="M20" s="883">
        <v>0.84799999999999998</v>
      </c>
      <c r="N20" s="885">
        <v>204</v>
      </c>
      <c r="O20" s="885">
        <v>8390</v>
      </c>
      <c r="P20" s="885">
        <v>9675</v>
      </c>
      <c r="Q20" s="885">
        <v>78403</v>
      </c>
      <c r="R20" s="1026">
        <f t="shared" si="4"/>
        <v>268562.81400000001</v>
      </c>
      <c r="S20" s="557"/>
    </row>
    <row r="21" spans="1:19" s="573" customFormat="1">
      <c r="A21" s="557">
        <v>12</v>
      </c>
      <c r="B21" s="1004" t="s">
        <v>1712</v>
      </c>
      <c r="C21" s="1004" t="s">
        <v>48</v>
      </c>
      <c r="D21" s="1004"/>
      <c r="E21" s="557" t="s">
        <v>61</v>
      </c>
      <c r="F21" s="1024">
        <f t="shared" si="6"/>
        <v>46158</v>
      </c>
      <c r="G21" s="1024">
        <f t="shared" si="5"/>
        <v>46161</v>
      </c>
      <c r="H21" s="1025" t="s">
        <v>1961</v>
      </c>
      <c r="I21" s="1389"/>
      <c r="J21" s="1073">
        <v>133.87</v>
      </c>
      <c r="K21" s="982">
        <v>1.85</v>
      </c>
      <c r="L21" s="982">
        <v>11.71</v>
      </c>
      <c r="M21" s="883">
        <v>0.69699999999999995</v>
      </c>
      <c r="N21" s="885">
        <v>204</v>
      </c>
      <c r="O21" s="885">
        <v>8390</v>
      </c>
      <c r="P21" s="885">
        <v>9675</v>
      </c>
      <c r="Q21" s="885">
        <v>78403</v>
      </c>
      <c r="R21" s="1026">
        <f t="shared" si="4"/>
        <v>210772.12100000001</v>
      </c>
      <c r="S21" s="557"/>
    </row>
    <row r="22" spans="1:19" s="573" customFormat="1">
      <c r="A22" s="557">
        <v>13</v>
      </c>
      <c r="B22" s="1004" t="s">
        <v>1682</v>
      </c>
      <c r="C22" s="1004" t="s">
        <v>39</v>
      </c>
      <c r="D22" s="1004">
        <v>1</v>
      </c>
      <c r="E22" s="557" t="s">
        <v>61</v>
      </c>
      <c r="F22" s="1024">
        <f t="shared" si="6"/>
        <v>46161</v>
      </c>
      <c r="G22" s="1024">
        <f t="shared" si="5"/>
        <v>46164</v>
      </c>
      <c r="H22" s="1025" t="s">
        <v>1961</v>
      </c>
      <c r="I22" s="1389"/>
      <c r="J22" s="1073">
        <v>161.63</v>
      </c>
      <c r="K22" s="982">
        <v>2.27</v>
      </c>
      <c r="L22" s="882">
        <v>18.32</v>
      </c>
      <c r="M22" s="882">
        <v>1.099</v>
      </c>
      <c r="N22" s="885">
        <v>204</v>
      </c>
      <c r="O22" s="885">
        <v>8390</v>
      </c>
      <c r="P22" s="885">
        <v>9675</v>
      </c>
      <c r="Q22" s="885">
        <v>78403</v>
      </c>
      <c r="R22" s="1026">
        <f t="shared" si="4"/>
        <v>315428.717</v>
      </c>
      <c r="S22" s="557"/>
    </row>
    <row r="23" spans="1:19" s="573" customFormat="1">
      <c r="A23" s="557">
        <v>14</v>
      </c>
      <c r="B23" s="1004" t="s">
        <v>1681</v>
      </c>
      <c r="C23" s="1004" t="s">
        <v>45</v>
      </c>
      <c r="D23" s="1004">
        <v>1</v>
      </c>
      <c r="E23" s="557" t="s">
        <v>61</v>
      </c>
      <c r="F23" s="1024">
        <f t="shared" si="6"/>
        <v>46164</v>
      </c>
      <c r="G23" s="1024">
        <v>46167</v>
      </c>
      <c r="H23" s="1025" t="s">
        <v>1961</v>
      </c>
      <c r="I23" s="1389"/>
      <c r="J23" s="1073">
        <v>329.49</v>
      </c>
      <c r="K23" s="982">
        <v>4.88</v>
      </c>
      <c r="L23" s="982">
        <v>32.619999999999997</v>
      </c>
      <c r="M23" s="883">
        <v>2.6070000000000002</v>
      </c>
      <c r="N23" s="885">
        <v>204</v>
      </c>
      <c r="O23" s="885">
        <v>8390</v>
      </c>
      <c r="P23" s="885">
        <v>9675</v>
      </c>
      <c r="Q23" s="885">
        <v>78403</v>
      </c>
      <c r="R23" s="1026">
        <f t="shared" si="4"/>
        <v>628154.28100000008</v>
      </c>
      <c r="S23" s="557"/>
    </row>
    <row r="24" spans="1:19" s="573" customFormat="1">
      <c r="A24" s="557">
        <v>15</v>
      </c>
      <c r="B24" s="1004" t="s">
        <v>1680</v>
      </c>
      <c r="C24" s="1004" t="s">
        <v>1181</v>
      </c>
      <c r="D24" s="1004">
        <v>1</v>
      </c>
      <c r="E24" s="557" t="s">
        <v>61</v>
      </c>
      <c r="F24" s="1024">
        <v>46167</v>
      </c>
      <c r="G24" s="1024">
        <v>46173</v>
      </c>
      <c r="H24" s="1025" t="s">
        <v>1961</v>
      </c>
      <c r="I24" s="1389"/>
      <c r="J24" s="1073">
        <v>329.49</v>
      </c>
      <c r="K24" s="982">
        <v>4.88</v>
      </c>
      <c r="L24" s="982">
        <v>32.619999999999997</v>
      </c>
      <c r="M24" s="883">
        <v>2.6070000000000002</v>
      </c>
      <c r="N24" s="885">
        <v>204</v>
      </c>
      <c r="O24" s="885">
        <v>8390</v>
      </c>
      <c r="P24" s="885">
        <v>9675</v>
      </c>
      <c r="Q24" s="885">
        <v>78403</v>
      </c>
      <c r="R24" s="1026">
        <f t="shared" si="4"/>
        <v>628154.28100000008</v>
      </c>
      <c r="S24" s="557"/>
    </row>
    <row r="25" spans="1:19" s="573" customFormat="1">
      <c r="A25" s="557">
        <v>16</v>
      </c>
      <c r="B25" s="1004" t="s">
        <v>1330</v>
      </c>
      <c r="C25" s="1027" t="s">
        <v>1426</v>
      </c>
      <c r="D25" s="1004">
        <v>1</v>
      </c>
      <c r="E25" s="557" t="s">
        <v>61</v>
      </c>
      <c r="F25" s="1024">
        <v>46143</v>
      </c>
      <c r="G25" s="1024">
        <f>F25+2</f>
        <v>46145</v>
      </c>
      <c r="H25" s="1025" t="s">
        <v>1928</v>
      </c>
      <c r="I25" s="1389">
        <v>12</v>
      </c>
      <c r="J25" s="1073">
        <v>344.76</v>
      </c>
      <c r="K25" s="982">
        <v>5.12</v>
      </c>
      <c r="L25" s="982">
        <v>34.770000000000003</v>
      </c>
      <c r="M25" s="883">
        <v>2.726</v>
      </c>
      <c r="N25" s="885">
        <v>204</v>
      </c>
      <c r="O25" s="885">
        <v>8390</v>
      </c>
      <c r="P25" s="885">
        <v>9675</v>
      </c>
      <c r="Q25" s="885">
        <v>78403</v>
      </c>
      <c r="R25" s="1026">
        <f t="shared" si="4"/>
        <v>663414.16800000006</v>
      </c>
      <c r="S25" s="557" t="s">
        <v>29</v>
      </c>
    </row>
    <row r="26" spans="1:19" s="573" customFormat="1">
      <c r="A26" s="557">
        <v>17</v>
      </c>
      <c r="B26" s="1004" t="s">
        <v>1331</v>
      </c>
      <c r="C26" s="1027" t="s">
        <v>1426</v>
      </c>
      <c r="D26" s="1004">
        <v>1</v>
      </c>
      <c r="E26" s="557" t="s">
        <v>61</v>
      </c>
      <c r="F26" s="1024">
        <f>G25</f>
        <v>46145</v>
      </c>
      <c r="G26" s="1024">
        <f>F26+2</f>
        <v>46147</v>
      </c>
      <c r="H26" s="1025" t="s">
        <v>1928</v>
      </c>
      <c r="I26" s="1389"/>
      <c r="J26" s="1073">
        <v>344.76</v>
      </c>
      <c r="K26" s="982">
        <v>5.12</v>
      </c>
      <c r="L26" s="982">
        <v>34.770000000000003</v>
      </c>
      <c r="M26" s="883">
        <v>2.726</v>
      </c>
      <c r="N26" s="885">
        <v>204</v>
      </c>
      <c r="O26" s="885">
        <v>8390</v>
      </c>
      <c r="P26" s="885">
        <v>9675</v>
      </c>
      <c r="Q26" s="885">
        <v>78403</v>
      </c>
      <c r="R26" s="1026">
        <f t="shared" si="4"/>
        <v>663414.16800000006</v>
      </c>
      <c r="S26" s="557" t="s">
        <v>29</v>
      </c>
    </row>
    <row r="27" spans="1:19" s="573" customFormat="1">
      <c r="A27" s="557">
        <v>18</v>
      </c>
      <c r="B27" s="1004" t="s">
        <v>1394</v>
      </c>
      <c r="C27" s="1027" t="s">
        <v>1423</v>
      </c>
      <c r="D27" s="1004"/>
      <c r="E27" s="557" t="s">
        <v>61</v>
      </c>
      <c r="F27" s="1024">
        <f t="shared" ref="F27:F34" si="7">G26</f>
        <v>46147</v>
      </c>
      <c r="G27" s="1024">
        <f>F27+2</f>
        <v>46149</v>
      </c>
      <c r="H27" s="1025" t="s">
        <v>1928</v>
      </c>
      <c r="I27" s="1389"/>
      <c r="J27" s="1073">
        <v>329.49</v>
      </c>
      <c r="K27" s="982">
        <v>4.88</v>
      </c>
      <c r="L27" s="982">
        <v>31.12</v>
      </c>
      <c r="M27" s="883">
        <v>2.3119999999999998</v>
      </c>
      <c r="N27" s="885">
        <v>204</v>
      </c>
      <c r="O27" s="885">
        <v>8390</v>
      </c>
      <c r="P27" s="885">
        <v>9675</v>
      </c>
      <c r="Q27" s="885">
        <v>78403</v>
      </c>
      <c r="R27" s="1026">
        <f t="shared" si="4"/>
        <v>590512.89599999995</v>
      </c>
      <c r="S27" s="557" t="s">
        <v>978</v>
      </c>
    </row>
    <row r="28" spans="1:19" s="573" customFormat="1">
      <c r="A28" s="557">
        <v>19</v>
      </c>
      <c r="B28" s="1004" t="s">
        <v>1395</v>
      </c>
      <c r="C28" s="1027" t="s">
        <v>1181</v>
      </c>
      <c r="D28" s="1004"/>
      <c r="E28" s="557" t="s">
        <v>61</v>
      </c>
      <c r="F28" s="1024">
        <f t="shared" si="7"/>
        <v>46149</v>
      </c>
      <c r="G28" s="1024">
        <f>F28+2</f>
        <v>46151</v>
      </c>
      <c r="H28" s="1025" t="s">
        <v>1928</v>
      </c>
      <c r="I28" s="1389"/>
      <c r="J28" s="1073">
        <v>329.49</v>
      </c>
      <c r="K28" s="982">
        <v>4.88</v>
      </c>
      <c r="L28" s="982">
        <v>31.12</v>
      </c>
      <c r="M28" s="883">
        <v>2.3119999999999998</v>
      </c>
      <c r="N28" s="885">
        <v>204</v>
      </c>
      <c r="O28" s="885">
        <v>8390</v>
      </c>
      <c r="P28" s="885">
        <v>9675</v>
      </c>
      <c r="Q28" s="885">
        <v>78403</v>
      </c>
      <c r="R28" s="1026">
        <f t="shared" si="4"/>
        <v>590512.89599999995</v>
      </c>
      <c r="S28" s="557"/>
    </row>
    <row r="29" spans="1:19" s="573" customFormat="1">
      <c r="A29" s="557">
        <v>20</v>
      </c>
      <c r="B29" s="1004" t="s">
        <v>1396</v>
      </c>
      <c r="C29" s="1027" t="s">
        <v>34</v>
      </c>
      <c r="D29" s="1004"/>
      <c r="E29" s="557" t="s">
        <v>61</v>
      </c>
      <c r="F29" s="1024">
        <f t="shared" si="7"/>
        <v>46151</v>
      </c>
      <c r="G29" s="1024">
        <f>F29+2</f>
        <v>46153</v>
      </c>
      <c r="H29" s="1025" t="s">
        <v>1928</v>
      </c>
      <c r="I29" s="1389"/>
      <c r="J29" s="1073">
        <v>108</v>
      </c>
      <c r="K29" s="982">
        <v>1.46</v>
      </c>
      <c r="L29" s="982">
        <v>10.98</v>
      </c>
      <c r="M29" s="883">
        <v>0.60599999999999998</v>
      </c>
      <c r="N29" s="885">
        <v>204</v>
      </c>
      <c r="O29" s="885">
        <v>8390</v>
      </c>
      <c r="P29" s="885">
        <v>9675</v>
      </c>
      <c r="Q29" s="885">
        <v>78403</v>
      </c>
      <c r="R29" s="1026">
        <f t="shared" si="4"/>
        <v>188025.11799999999</v>
      </c>
      <c r="S29" s="557"/>
    </row>
    <row r="30" spans="1:19" s="573" customFormat="1">
      <c r="A30" s="557">
        <v>21</v>
      </c>
      <c r="B30" s="1004" t="s">
        <v>1397</v>
      </c>
      <c r="C30" s="1027" t="s">
        <v>32</v>
      </c>
      <c r="D30" s="1004"/>
      <c r="E30" s="557" t="s">
        <v>42</v>
      </c>
      <c r="F30" s="1024">
        <f t="shared" si="7"/>
        <v>46153</v>
      </c>
      <c r="G30" s="1024">
        <f t="shared" ref="G30:G39" si="8">F30+2</f>
        <v>46155</v>
      </c>
      <c r="H30" s="1025" t="s">
        <v>1928</v>
      </c>
      <c r="I30" s="1389"/>
      <c r="J30" s="1074">
        <v>108</v>
      </c>
      <c r="K30" s="883">
        <v>1.46</v>
      </c>
      <c r="L30" s="883">
        <v>9.7100000000000009</v>
      </c>
      <c r="M30" s="883">
        <v>0.61299999999999999</v>
      </c>
      <c r="N30" s="885">
        <v>204</v>
      </c>
      <c r="O30" s="885">
        <v>8390</v>
      </c>
      <c r="P30" s="885">
        <v>9675</v>
      </c>
      <c r="Q30" s="885">
        <v>78403</v>
      </c>
      <c r="R30" s="1026">
        <f t="shared" si="4"/>
        <v>176286.68900000001</v>
      </c>
      <c r="S30" s="557"/>
    </row>
    <row r="31" spans="1:19" s="573" customFormat="1">
      <c r="A31" s="557">
        <v>22</v>
      </c>
      <c r="B31" s="1004" t="s">
        <v>1398</v>
      </c>
      <c r="C31" s="1027" t="s">
        <v>57</v>
      </c>
      <c r="D31" s="1004"/>
      <c r="E31" s="557" t="s">
        <v>61</v>
      </c>
      <c r="F31" s="1024">
        <f t="shared" si="7"/>
        <v>46155</v>
      </c>
      <c r="G31" s="1024">
        <f t="shared" si="8"/>
        <v>46157</v>
      </c>
      <c r="H31" s="1025" t="s">
        <v>1928</v>
      </c>
      <c r="I31" s="1389"/>
      <c r="J31" s="1073">
        <v>206.67</v>
      </c>
      <c r="K31" s="982">
        <v>2.96</v>
      </c>
      <c r="L31" s="982">
        <v>20.239999999999998</v>
      </c>
      <c r="M31" s="883">
        <v>1.129</v>
      </c>
      <c r="N31" s="885">
        <v>204</v>
      </c>
      <c r="O31" s="885">
        <v>8390</v>
      </c>
      <c r="P31" s="885">
        <v>9675</v>
      </c>
      <c r="Q31" s="885">
        <v>78403</v>
      </c>
      <c r="R31" s="1026">
        <f t="shared" si="4"/>
        <v>351334.06699999992</v>
      </c>
      <c r="S31" s="557"/>
    </row>
    <row r="32" spans="1:19" s="573" customFormat="1">
      <c r="A32" s="557">
        <v>23</v>
      </c>
      <c r="B32" s="1004" t="s">
        <v>1399</v>
      </c>
      <c r="C32" s="1027" t="s">
        <v>1425</v>
      </c>
      <c r="D32" s="1004"/>
      <c r="E32" s="557" t="s">
        <v>42</v>
      </c>
      <c r="F32" s="1024">
        <f t="shared" si="7"/>
        <v>46157</v>
      </c>
      <c r="G32" s="1024">
        <f t="shared" si="8"/>
        <v>46159</v>
      </c>
      <c r="H32" s="1025" t="s">
        <v>1928</v>
      </c>
      <c r="I32" s="1389"/>
      <c r="J32" s="1073">
        <v>166.06</v>
      </c>
      <c r="K32" s="982">
        <v>2.34</v>
      </c>
      <c r="L32" s="982">
        <v>16.38</v>
      </c>
      <c r="M32" s="883">
        <v>0.95099999999999996</v>
      </c>
      <c r="N32" s="885">
        <v>204</v>
      </c>
      <c r="O32" s="885">
        <v>8390</v>
      </c>
      <c r="P32" s="885">
        <v>9675</v>
      </c>
      <c r="Q32" s="885">
        <v>78403</v>
      </c>
      <c r="R32" s="1026">
        <f t="shared" si="4"/>
        <v>286546.59299999999</v>
      </c>
      <c r="S32" s="557"/>
    </row>
    <row r="33" spans="1:19" s="573" customFormat="1">
      <c r="A33" s="557">
        <v>24</v>
      </c>
      <c r="B33" s="1004" t="s">
        <v>1400</v>
      </c>
      <c r="C33" s="1027" t="s">
        <v>45</v>
      </c>
      <c r="D33" s="1004"/>
      <c r="E33" s="557" t="s">
        <v>61</v>
      </c>
      <c r="F33" s="1024">
        <f t="shared" si="7"/>
        <v>46159</v>
      </c>
      <c r="G33" s="1024">
        <f t="shared" si="8"/>
        <v>46161</v>
      </c>
      <c r="H33" s="1025" t="s">
        <v>1928</v>
      </c>
      <c r="I33" s="1389"/>
      <c r="J33" s="1073">
        <v>329.49</v>
      </c>
      <c r="K33" s="982">
        <v>4.88</v>
      </c>
      <c r="L33" s="982">
        <v>31.12</v>
      </c>
      <c r="M33" s="883">
        <v>2.3119999999999998</v>
      </c>
      <c r="N33" s="885">
        <v>204</v>
      </c>
      <c r="O33" s="885">
        <v>8390</v>
      </c>
      <c r="P33" s="885">
        <v>9675</v>
      </c>
      <c r="Q33" s="885">
        <v>78403</v>
      </c>
      <c r="R33" s="1026">
        <f t="shared" si="4"/>
        <v>590512.89599999995</v>
      </c>
      <c r="S33" s="557"/>
    </row>
    <row r="34" spans="1:19" s="573" customFormat="1">
      <c r="A34" s="557">
        <v>25</v>
      </c>
      <c r="B34" s="1005" t="s">
        <v>1401</v>
      </c>
      <c r="C34" s="1027" t="s">
        <v>43</v>
      </c>
      <c r="D34" s="1005"/>
      <c r="E34" s="1028" t="s">
        <v>61</v>
      </c>
      <c r="F34" s="1029">
        <f t="shared" si="7"/>
        <v>46161</v>
      </c>
      <c r="G34" s="1024">
        <f t="shared" si="8"/>
        <v>46163</v>
      </c>
      <c r="H34" s="1030" t="s">
        <v>1928</v>
      </c>
      <c r="I34" s="1389"/>
      <c r="J34" s="1075">
        <v>206.67</v>
      </c>
      <c r="K34" s="999">
        <v>2.96</v>
      </c>
      <c r="L34" s="999">
        <v>20.239999999999998</v>
      </c>
      <c r="M34" s="1031">
        <v>1.129</v>
      </c>
      <c r="N34" s="884">
        <v>204</v>
      </c>
      <c r="O34" s="884">
        <v>8390</v>
      </c>
      <c r="P34" s="884">
        <v>9675</v>
      </c>
      <c r="Q34" s="884">
        <v>78403</v>
      </c>
      <c r="R34" s="1026">
        <f t="shared" si="4"/>
        <v>351334.06699999992</v>
      </c>
      <c r="S34" s="1028"/>
    </row>
    <row r="35" spans="1:19" s="573" customFormat="1">
      <c r="A35" s="557">
        <v>26</v>
      </c>
      <c r="B35" s="1004" t="s">
        <v>1402</v>
      </c>
      <c r="C35" s="1027" t="s">
        <v>32</v>
      </c>
      <c r="D35" s="1032"/>
      <c r="E35" s="557" t="s">
        <v>42</v>
      </c>
      <c r="F35" s="1029">
        <f>G34</f>
        <v>46163</v>
      </c>
      <c r="G35" s="1024">
        <f t="shared" si="8"/>
        <v>46165</v>
      </c>
      <c r="H35" s="1030" t="s">
        <v>1928</v>
      </c>
      <c r="I35" s="1389"/>
      <c r="J35" s="1074">
        <v>108</v>
      </c>
      <c r="K35" s="883">
        <v>1.46</v>
      </c>
      <c r="L35" s="883">
        <v>9.7100000000000009</v>
      </c>
      <c r="M35" s="883">
        <v>0.61299999999999999</v>
      </c>
      <c r="N35" s="885">
        <v>204</v>
      </c>
      <c r="O35" s="885">
        <v>8390</v>
      </c>
      <c r="P35" s="885">
        <v>9675</v>
      </c>
      <c r="Q35" s="885">
        <v>78403</v>
      </c>
      <c r="R35" s="1026">
        <f t="shared" si="4"/>
        <v>176286.68900000001</v>
      </c>
      <c r="S35" s="1032"/>
    </row>
    <row r="36" spans="1:19" s="573" customFormat="1">
      <c r="A36" s="557">
        <v>27</v>
      </c>
      <c r="B36" s="1004" t="s">
        <v>1403</v>
      </c>
      <c r="C36" s="1027" t="s">
        <v>32</v>
      </c>
      <c r="D36" s="1032"/>
      <c r="E36" s="557" t="s">
        <v>42</v>
      </c>
      <c r="F36" s="1029">
        <f>G35</f>
        <v>46165</v>
      </c>
      <c r="G36" s="1024">
        <f t="shared" si="8"/>
        <v>46167</v>
      </c>
      <c r="H36" s="1030" t="s">
        <v>1928</v>
      </c>
      <c r="I36" s="1389"/>
      <c r="J36" s="1074">
        <v>108</v>
      </c>
      <c r="K36" s="883">
        <v>1.46</v>
      </c>
      <c r="L36" s="883">
        <v>9.7100000000000009</v>
      </c>
      <c r="M36" s="883">
        <v>0.61299999999999999</v>
      </c>
      <c r="N36" s="885">
        <v>204</v>
      </c>
      <c r="O36" s="885">
        <v>8390</v>
      </c>
      <c r="P36" s="885">
        <v>9675</v>
      </c>
      <c r="Q36" s="885">
        <v>78403</v>
      </c>
      <c r="R36" s="1026">
        <f t="shared" si="4"/>
        <v>176286.68900000001</v>
      </c>
      <c r="S36" s="1032"/>
    </row>
    <row r="37" spans="1:19" s="573" customFormat="1">
      <c r="A37" s="557">
        <v>28</v>
      </c>
      <c r="B37" s="1004" t="s">
        <v>1404</v>
      </c>
      <c r="C37" s="1027" t="s">
        <v>48</v>
      </c>
      <c r="D37" s="1032"/>
      <c r="E37" s="557" t="s">
        <v>42</v>
      </c>
      <c r="F37" s="1029">
        <f>G36</f>
        <v>46167</v>
      </c>
      <c r="G37" s="1024">
        <f t="shared" si="8"/>
        <v>46169</v>
      </c>
      <c r="H37" s="1030" t="s">
        <v>1928</v>
      </c>
      <c r="I37" s="1389"/>
      <c r="J37" s="1074">
        <v>108</v>
      </c>
      <c r="K37" s="883">
        <v>1.46</v>
      </c>
      <c r="L37" s="883">
        <v>9.7100000000000009</v>
      </c>
      <c r="M37" s="883">
        <v>0.61299999999999999</v>
      </c>
      <c r="N37" s="885">
        <v>204</v>
      </c>
      <c r="O37" s="885">
        <v>8390</v>
      </c>
      <c r="P37" s="885">
        <v>9675</v>
      </c>
      <c r="Q37" s="885">
        <v>78403</v>
      </c>
      <c r="R37" s="1026">
        <f t="shared" si="4"/>
        <v>176286.68900000001</v>
      </c>
      <c r="S37" s="1032"/>
    </row>
    <row r="38" spans="1:19" s="573" customFormat="1">
      <c r="A38" s="557">
        <v>29</v>
      </c>
      <c r="B38" s="1004" t="s">
        <v>1405</v>
      </c>
      <c r="C38" s="1027" t="s">
        <v>1181</v>
      </c>
      <c r="D38" s="1032"/>
      <c r="E38" s="1028" t="s">
        <v>61</v>
      </c>
      <c r="F38" s="1029">
        <f>G37</f>
        <v>46169</v>
      </c>
      <c r="G38" s="1024">
        <f t="shared" si="8"/>
        <v>46171</v>
      </c>
      <c r="H38" s="1030" t="s">
        <v>1928</v>
      </c>
      <c r="I38" s="1389"/>
      <c r="J38" s="1073">
        <v>329.49</v>
      </c>
      <c r="K38" s="982">
        <v>4.88</v>
      </c>
      <c r="L38" s="982">
        <v>31.12</v>
      </c>
      <c r="M38" s="883">
        <v>2.3119999999999998</v>
      </c>
      <c r="N38" s="885">
        <v>204</v>
      </c>
      <c r="O38" s="885">
        <v>8390</v>
      </c>
      <c r="P38" s="885">
        <v>9675</v>
      </c>
      <c r="Q38" s="885">
        <v>78403</v>
      </c>
      <c r="R38" s="1026">
        <f t="shared" si="4"/>
        <v>590512.89599999995</v>
      </c>
      <c r="S38" s="1032"/>
    </row>
    <row r="39" spans="1:19" s="573" customFormat="1">
      <c r="A39" s="557">
        <v>30</v>
      </c>
      <c r="B39" s="1004" t="s">
        <v>1406</v>
      </c>
      <c r="C39" s="1027" t="s">
        <v>32</v>
      </c>
      <c r="D39" s="1032"/>
      <c r="E39" s="557" t="s">
        <v>42</v>
      </c>
      <c r="F39" s="1024">
        <f>G38</f>
        <v>46171</v>
      </c>
      <c r="G39" s="1024">
        <f t="shared" si="8"/>
        <v>46173</v>
      </c>
      <c r="H39" s="1025" t="s">
        <v>1928</v>
      </c>
      <c r="I39" s="1389"/>
      <c r="J39" s="1074">
        <v>108</v>
      </c>
      <c r="K39" s="883">
        <v>1.46</v>
      </c>
      <c r="L39" s="883">
        <v>9.7100000000000009</v>
      </c>
      <c r="M39" s="883">
        <v>0.61299999999999999</v>
      </c>
      <c r="N39" s="885">
        <v>204</v>
      </c>
      <c r="O39" s="885">
        <v>8390</v>
      </c>
      <c r="P39" s="885">
        <v>9675</v>
      </c>
      <c r="Q39" s="885">
        <v>78403</v>
      </c>
      <c r="R39" s="1026">
        <f t="shared" si="4"/>
        <v>176286.68900000001</v>
      </c>
      <c r="S39" s="1032"/>
    </row>
    <row r="40" spans="1:19" s="573" customFormat="1">
      <c r="A40" s="557">
        <v>31</v>
      </c>
      <c r="B40" s="1006" t="s">
        <v>1377</v>
      </c>
      <c r="C40" s="1006" t="s">
        <v>32</v>
      </c>
      <c r="D40" s="1006"/>
      <c r="E40" s="1033" t="s">
        <v>42</v>
      </c>
      <c r="F40" s="1034">
        <v>46143</v>
      </c>
      <c r="G40" s="1034">
        <f>F40+7</f>
        <v>46150</v>
      </c>
      <c r="H40" s="1035" t="s">
        <v>1855</v>
      </c>
      <c r="I40" s="1395">
        <v>8</v>
      </c>
      <c r="J40" s="882">
        <v>108</v>
      </c>
      <c r="K40" s="882">
        <v>1.46</v>
      </c>
      <c r="L40" s="882">
        <v>9.7100000000000009</v>
      </c>
      <c r="M40" s="882">
        <v>0.61299999999999999</v>
      </c>
      <c r="N40" s="1036">
        <v>204</v>
      </c>
      <c r="O40" s="1036">
        <v>8390</v>
      </c>
      <c r="P40" s="1036">
        <v>9675</v>
      </c>
      <c r="Q40" s="1036">
        <v>78403</v>
      </c>
      <c r="R40" s="1037">
        <f t="shared" si="4"/>
        <v>176286.68900000001</v>
      </c>
      <c r="S40" s="1033" t="s">
        <v>29</v>
      </c>
    </row>
    <row r="41" spans="1:19" s="573" customFormat="1">
      <c r="A41" s="557">
        <v>32</v>
      </c>
      <c r="B41" s="1004" t="s">
        <v>1373</v>
      </c>
      <c r="C41" s="1004" t="s">
        <v>32</v>
      </c>
      <c r="D41" s="1004"/>
      <c r="E41" s="557" t="s">
        <v>42</v>
      </c>
      <c r="F41" s="1024">
        <f>G40</f>
        <v>46150</v>
      </c>
      <c r="G41" s="1024">
        <f>F41+7</f>
        <v>46157</v>
      </c>
      <c r="H41" s="1025" t="s">
        <v>1855</v>
      </c>
      <c r="I41" s="1396"/>
      <c r="J41" s="883">
        <v>108</v>
      </c>
      <c r="K41" s="883">
        <v>1.46</v>
      </c>
      <c r="L41" s="883">
        <v>9.7100000000000009</v>
      </c>
      <c r="M41" s="883">
        <v>0.61299999999999999</v>
      </c>
      <c r="N41" s="885">
        <v>204</v>
      </c>
      <c r="O41" s="885">
        <v>8390</v>
      </c>
      <c r="P41" s="885">
        <v>9675</v>
      </c>
      <c r="Q41" s="885">
        <v>78403</v>
      </c>
      <c r="R41" s="1026">
        <f t="shared" si="4"/>
        <v>176286.68900000001</v>
      </c>
      <c r="S41" s="557"/>
    </row>
    <row r="42" spans="1:19" s="573" customFormat="1">
      <c r="A42" s="557">
        <v>33</v>
      </c>
      <c r="B42" s="1004" t="s">
        <v>1374</v>
      </c>
      <c r="C42" s="1004" t="s">
        <v>48</v>
      </c>
      <c r="D42" s="1004"/>
      <c r="E42" s="557" t="s">
        <v>42</v>
      </c>
      <c r="F42" s="1024">
        <f t="shared" ref="F42:F44" si="9">G41</f>
        <v>46157</v>
      </c>
      <c r="G42" s="1024">
        <f>F42+7</f>
        <v>46164</v>
      </c>
      <c r="H42" s="1025" t="s">
        <v>1855</v>
      </c>
      <c r="I42" s="1396"/>
      <c r="J42" s="883">
        <v>108</v>
      </c>
      <c r="K42" s="883">
        <v>1.46</v>
      </c>
      <c r="L42" s="883">
        <v>9.7100000000000009</v>
      </c>
      <c r="M42" s="883">
        <v>0.61299999999999999</v>
      </c>
      <c r="N42" s="885">
        <v>204</v>
      </c>
      <c r="O42" s="885">
        <v>8390</v>
      </c>
      <c r="P42" s="885">
        <v>9675</v>
      </c>
      <c r="Q42" s="885">
        <v>78403</v>
      </c>
      <c r="R42" s="1026">
        <f t="shared" si="4"/>
        <v>176286.68900000001</v>
      </c>
      <c r="S42" s="557"/>
    </row>
    <row r="43" spans="1:19" s="573" customFormat="1">
      <c r="A43" s="557">
        <v>34</v>
      </c>
      <c r="B43" s="1004" t="s">
        <v>1375</v>
      </c>
      <c r="C43" s="1004" t="s">
        <v>48</v>
      </c>
      <c r="D43" s="1004"/>
      <c r="E43" s="557" t="s">
        <v>42</v>
      </c>
      <c r="F43" s="1024">
        <f t="shared" si="9"/>
        <v>46164</v>
      </c>
      <c r="G43" s="1024">
        <f>F43+5</f>
        <v>46169</v>
      </c>
      <c r="H43" s="1025" t="s">
        <v>1855</v>
      </c>
      <c r="I43" s="1396"/>
      <c r="J43" s="883">
        <v>108</v>
      </c>
      <c r="K43" s="883">
        <v>1.46</v>
      </c>
      <c r="L43" s="883">
        <v>9.7100000000000009</v>
      </c>
      <c r="M43" s="883">
        <v>0.61299999999999999</v>
      </c>
      <c r="N43" s="885">
        <v>204</v>
      </c>
      <c r="O43" s="885">
        <v>8390</v>
      </c>
      <c r="P43" s="885">
        <v>9675</v>
      </c>
      <c r="Q43" s="885">
        <v>78403</v>
      </c>
      <c r="R43" s="1026">
        <f>(J44*N43+K44*O43+L44*P43+M44*Q43)</f>
        <v>210772.12100000001</v>
      </c>
      <c r="S43" s="557"/>
    </row>
    <row r="44" spans="1:19" s="573" customFormat="1">
      <c r="A44" s="557">
        <v>35</v>
      </c>
      <c r="B44" s="1004" t="s">
        <v>1376</v>
      </c>
      <c r="C44" s="1004" t="s">
        <v>49</v>
      </c>
      <c r="D44" s="1004"/>
      <c r="E44" s="557" t="s">
        <v>61</v>
      </c>
      <c r="F44" s="1024">
        <f t="shared" si="9"/>
        <v>46169</v>
      </c>
      <c r="G44" s="1024">
        <f>F44+4</f>
        <v>46173</v>
      </c>
      <c r="H44" s="1025" t="s">
        <v>1855</v>
      </c>
      <c r="I44" s="1397"/>
      <c r="J44" s="982">
        <v>133.87</v>
      </c>
      <c r="K44" s="982">
        <v>1.85</v>
      </c>
      <c r="L44" s="982">
        <v>11.71</v>
      </c>
      <c r="M44" s="883">
        <v>0.69699999999999995</v>
      </c>
      <c r="N44" s="885">
        <v>204</v>
      </c>
      <c r="O44" s="885">
        <v>8390</v>
      </c>
      <c r="P44" s="885">
        <v>9675</v>
      </c>
      <c r="Q44" s="885">
        <v>78403</v>
      </c>
      <c r="R44" s="1026">
        <f>(J45*N44+K45*O44+L45*P44+M45*Q44)</f>
        <v>176286.68900000001</v>
      </c>
      <c r="S44" s="1033" t="s">
        <v>978</v>
      </c>
    </row>
    <row r="45" spans="1:19" s="573" customFormat="1">
      <c r="A45" s="557">
        <v>36</v>
      </c>
      <c r="B45" s="1004" t="s">
        <v>1419</v>
      </c>
      <c r="C45" s="1004" t="s">
        <v>32</v>
      </c>
      <c r="D45" s="1004"/>
      <c r="E45" s="557" t="s">
        <v>42</v>
      </c>
      <c r="F45" s="1024">
        <v>46143</v>
      </c>
      <c r="G45" s="1024">
        <f>F45+7</f>
        <v>46150</v>
      </c>
      <c r="H45" s="1025" t="s">
        <v>1892</v>
      </c>
      <c r="I45" s="1395">
        <v>8</v>
      </c>
      <c r="J45" s="883">
        <v>108</v>
      </c>
      <c r="K45" s="883">
        <v>1.46</v>
      </c>
      <c r="L45" s="883">
        <v>9.7100000000000009</v>
      </c>
      <c r="M45" s="883">
        <v>0.61299999999999999</v>
      </c>
      <c r="N45" s="885">
        <v>204</v>
      </c>
      <c r="O45" s="885">
        <v>8390</v>
      </c>
      <c r="P45" s="885">
        <v>9675</v>
      </c>
      <c r="Q45" s="885">
        <v>78403</v>
      </c>
      <c r="R45" s="1026">
        <f>(J46*N45+K46*O45+L46*P45+M46*Q45)</f>
        <v>188025.11799999999</v>
      </c>
      <c r="S45" s="557" t="s">
        <v>29</v>
      </c>
    </row>
    <row r="46" spans="1:19" s="573" customFormat="1">
      <c r="A46" s="557">
        <v>37</v>
      </c>
      <c r="B46" s="1004" t="s">
        <v>1420</v>
      </c>
      <c r="C46" s="1004" t="s">
        <v>34</v>
      </c>
      <c r="D46" s="1004"/>
      <c r="E46" s="557" t="s">
        <v>61</v>
      </c>
      <c r="F46" s="1024">
        <f>G45</f>
        <v>46150</v>
      </c>
      <c r="G46" s="1024">
        <f>F46+7</f>
        <v>46157</v>
      </c>
      <c r="H46" s="1025" t="s">
        <v>1892</v>
      </c>
      <c r="I46" s="1396"/>
      <c r="J46" s="982">
        <v>108</v>
      </c>
      <c r="K46" s="982">
        <v>1.46</v>
      </c>
      <c r="L46" s="982">
        <v>10.98</v>
      </c>
      <c r="M46" s="883">
        <v>0.60599999999999998</v>
      </c>
      <c r="N46" s="885">
        <v>204</v>
      </c>
      <c r="O46" s="885">
        <v>8390</v>
      </c>
      <c r="P46" s="885">
        <v>9675</v>
      </c>
      <c r="Q46" s="885">
        <v>78403</v>
      </c>
      <c r="R46" s="1026">
        <f>(J47*N46+K47*O46+L47*P46+M47*Q46)</f>
        <v>210772.12100000001</v>
      </c>
      <c r="S46" s="557" t="s">
        <v>978</v>
      </c>
    </row>
    <row r="47" spans="1:19" s="573" customFormat="1">
      <c r="A47" s="557">
        <v>38</v>
      </c>
      <c r="B47" s="1004" t="s">
        <v>1411</v>
      </c>
      <c r="C47" s="1004" t="s">
        <v>48</v>
      </c>
      <c r="D47" s="1004"/>
      <c r="E47" s="557" t="s">
        <v>61</v>
      </c>
      <c r="F47" s="1024">
        <f t="shared" ref="F47:F49" si="10">G46</f>
        <v>46157</v>
      </c>
      <c r="G47" s="1024">
        <f>F47+7</f>
        <v>46164</v>
      </c>
      <c r="H47" s="1025" t="s">
        <v>1892</v>
      </c>
      <c r="I47" s="1396"/>
      <c r="J47" s="982">
        <v>133.87</v>
      </c>
      <c r="K47" s="982">
        <v>1.85</v>
      </c>
      <c r="L47" s="982">
        <v>11.71</v>
      </c>
      <c r="M47" s="883">
        <v>0.69699999999999995</v>
      </c>
      <c r="N47" s="885">
        <v>204</v>
      </c>
      <c r="O47" s="885">
        <v>8390</v>
      </c>
      <c r="P47" s="885">
        <v>9675</v>
      </c>
      <c r="Q47" s="885">
        <v>78403</v>
      </c>
      <c r="R47" s="1026">
        <f>(J48*N47+K48*O47+L48*P47+M48*Q47)</f>
        <v>286546.59299999999</v>
      </c>
      <c r="S47" s="557"/>
    </row>
    <row r="48" spans="1:19" s="573" customFormat="1">
      <c r="A48" s="557">
        <v>39</v>
      </c>
      <c r="B48" s="1004" t="s">
        <v>1412</v>
      </c>
      <c r="C48" s="1004" t="s">
        <v>43</v>
      </c>
      <c r="D48" s="1004"/>
      <c r="E48" s="557" t="s">
        <v>42</v>
      </c>
      <c r="F48" s="1024">
        <f t="shared" si="10"/>
        <v>46164</v>
      </c>
      <c r="G48" s="1024">
        <f>F48+5</f>
        <v>46169</v>
      </c>
      <c r="H48" s="1025" t="s">
        <v>1892</v>
      </c>
      <c r="I48" s="1396"/>
      <c r="J48" s="982">
        <v>166.06</v>
      </c>
      <c r="K48" s="982">
        <v>2.34</v>
      </c>
      <c r="L48" s="982">
        <v>16.38</v>
      </c>
      <c r="M48" s="883">
        <v>0.95099999999999996</v>
      </c>
      <c r="N48" s="885">
        <v>204</v>
      </c>
      <c r="O48" s="885">
        <v>8390</v>
      </c>
      <c r="P48" s="885">
        <v>9675</v>
      </c>
      <c r="Q48" s="885">
        <v>78403</v>
      </c>
      <c r="R48" s="1026">
        <f>(J43*N48+K43*O48+L43*P48+M43*Q48)</f>
        <v>176286.68900000001</v>
      </c>
      <c r="S48" s="557"/>
    </row>
    <row r="49" spans="1:19" s="573" customFormat="1">
      <c r="A49" s="557">
        <v>40</v>
      </c>
      <c r="B49" s="1004" t="s">
        <v>1413</v>
      </c>
      <c r="C49" s="1004" t="s">
        <v>32</v>
      </c>
      <c r="D49" s="1004"/>
      <c r="E49" s="557" t="s">
        <v>42</v>
      </c>
      <c r="F49" s="1024">
        <f t="shared" si="10"/>
        <v>46169</v>
      </c>
      <c r="G49" s="1024">
        <f>F49+4</f>
        <v>46173</v>
      </c>
      <c r="H49" s="1025" t="s">
        <v>1892</v>
      </c>
      <c r="I49" s="1397"/>
      <c r="J49" s="883">
        <v>108</v>
      </c>
      <c r="K49" s="883">
        <v>1.46</v>
      </c>
      <c r="L49" s="883">
        <v>9.7100000000000009</v>
      </c>
      <c r="M49" s="883">
        <v>0.61299999999999999</v>
      </c>
      <c r="N49" s="885">
        <v>204</v>
      </c>
      <c r="O49" s="885">
        <v>8390</v>
      </c>
      <c r="P49" s="885">
        <v>9675</v>
      </c>
      <c r="Q49" s="885">
        <v>78403</v>
      </c>
      <c r="R49" s="1026">
        <f t="shared" ref="R49:R59" si="11">(J49*N49+K49*O49+L49*P49+M49*Q49)</f>
        <v>176286.68900000001</v>
      </c>
      <c r="S49" s="557"/>
    </row>
    <row r="50" spans="1:19" s="573" customFormat="1">
      <c r="A50" s="557">
        <v>41</v>
      </c>
      <c r="B50" s="1027" t="s">
        <v>1320</v>
      </c>
      <c r="C50" s="1027" t="s">
        <v>34</v>
      </c>
      <c r="D50" s="1004">
        <v>1</v>
      </c>
      <c r="E50" s="557" t="s">
        <v>42</v>
      </c>
      <c r="F50" s="1024">
        <v>46143</v>
      </c>
      <c r="G50" s="1024">
        <f>F50+7</f>
        <v>46150</v>
      </c>
      <c r="H50" s="1025" t="s">
        <v>1948</v>
      </c>
      <c r="I50" s="1395">
        <v>8</v>
      </c>
      <c r="J50" s="982">
        <v>84.27</v>
      </c>
      <c r="K50" s="982">
        <v>1.1000000000000001</v>
      </c>
      <c r="L50" s="982">
        <v>11.09</v>
      </c>
      <c r="M50" s="882">
        <v>0.751</v>
      </c>
      <c r="N50" s="885">
        <v>204</v>
      </c>
      <c r="O50" s="885">
        <v>8390</v>
      </c>
      <c r="P50" s="885">
        <v>9675</v>
      </c>
      <c r="Q50" s="885">
        <v>78403</v>
      </c>
      <c r="R50" s="1026">
        <f t="shared" si="11"/>
        <v>192596.48299999998</v>
      </c>
      <c r="S50" s="557" t="s">
        <v>978</v>
      </c>
    </row>
    <row r="51" spans="1:19" s="688" customFormat="1">
      <c r="A51" s="557">
        <v>42</v>
      </c>
      <c r="B51" s="1027" t="s">
        <v>1319</v>
      </c>
      <c r="C51" s="1027" t="s">
        <v>34</v>
      </c>
      <c r="D51" s="1004">
        <v>1</v>
      </c>
      <c r="E51" s="557" t="s">
        <v>42</v>
      </c>
      <c r="F51" s="1024">
        <f>G50</f>
        <v>46150</v>
      </c>
      <c r="G51" s="1024">
        <f>F51+7</f>
        <v>46157</v>
      </c>
      <c r="H51" s="1025" t="s">
        <v>1948</v>
      </c>
      <c r="I51" s="1396"/>
      <c r="J51" s="982">
        <v>84.27</v>
      </c>
      <c r="K51" s="982">
        <v>1.1000000000000001</v>
      </c>
      <c r="L51" s="982">
        <v>11.09</v>
      </c>
      <c r="M51" s="882">
        <v>0.751</v>
      </c>
      <c r="N51" s="885">
        <v>204</v>
      </c>
      <c r="O51" s="885">
        <v>8390</v>
      </c>
      <c r="P51" s="885">
        <v>9675</v>
      </c>
      <c r="Q51" s="885">
        <v>78403</v>
      </c>
      <c r="R51" s="1026">
        <f t="shared" si="11"/>
        <v>192596.48299999998</v>
      </c>
      <c r="S51" s="557"/>
    </row>
    <row r="52" spans="1:19" s="887" customFormat="1">
      <c r="A52" s="557">
        <v>43</v>
      </c>
      <c r="B52" s="1027" t="s">
        <v>1296</v>
      </c>
      <c r="C52" s="1027" t="s">
        <v>32</v>
      </c>
      <c r="D52" s="1004"/>
      <c r="E52" s="557" t="s">
        <v>61</v>
      </c>
      <c r="F52" s="1024">
        <f t="shared" ref="F52:F54" si="12">G51</f>
        <v>46157</v>
      </c>
      <c r="G52" s="1024">
        <f>F52+7</f>
        <v>46164</v>
      </c>
      <c r="H52" s="1025" t="s">
        <v>1948</v>
      </c>
      <c r="I52" s="1396"/>
      <c r="J52" s="883">
        <v>133.87</v>
      </c>
      <c r="K52" s="883">
        <v>1.85</v>
      </c>
      <c r="L52" s="883">
        <v>11.77</v>
      </c>
      <c r="M52" s="883">
        <v>0.69699999999999995</v>
      </c>
      <c r="N52" s="885">
        <v>204</v>
      </c>
      <c r="O52" s="885">
        <v>8390</v>
      </c>
      <c r="P52" s="885">
        <v>9675</v>
      </c>
      <c r="Q52" s="885">
        <v>78403</v>
      </c>
      <c r="R52" s="1026">
        <f t="shared" si="11"/>
        <v>211352.62099999998</v>
      </c>
      <c r="S52" s="557"/>
    </row>
    <row r="53" spans="1:19" s="688" customFormat="1">
      <c r="A53" s="557">
        <v>44</v>
      </c>
      <c r="B53" s="1027" t="s">
        <v>1297</v>
      </c>
      <c r="C53" s="1027" t="s">
        <v>34</v>
      </c>
      <c r="D53" s="1004"/>
      <c r="E53" s="557" t="s">
        <v>61</v>
      </c>
      <c r="F53" s="1024">
        <f t="shared" si="12"/>
        <v>46164</v>
      </c>
      <c r="G53" s="1024">
        <f>F53+5</f>
        <v>46169</v>
      </c>
      <c r="H53" s="1025" t="s">
        <v>1948</v>
      </c>
      <c r="I53" s="1396"/>
      <c r="J53" s="982">
        <v>108</v>
      </c>
      <c r="K53" s="982">
        <v>1.46</v>
      </c>
      <c r="L53" s="982">
        <v>10.98</v>
      </c>
      <c r="M53" s="883">
        <v>0.60599999999999998</v>
      </c>
      <c r="N53" s="885">
        <v>204</v>
      </c>
      <c r="O53" s="885">
        <v>8390</v>
      </c>
      <c r="P53" s="885">
        <v>9675</v>
      </c>
      <c r="Q53" s="885">
        <v>78403</v>
      </c>
      <c r="R53" s="1026">
        <f t="shared" si="11"/>
        <v>188025.11799999999</v>
      </c>
      <c r="S53" s="557"/>
    </row>
    <row r="54" spans="1:19" s="688" customFormat="1">
      <c r="A54" s="557">
        <v>45</v>
      </c>
      <c r="B54" s="1027" t="s">
        <v>1298</v>
      </c>
      <c r="C54" s="1027" t="s">
        <v>34</v>
      </c>
      <c r="D54" s="1004"/>
      <c r="E54" s="557" t="s">
        <v>61</v>
      </c>
      <c r="F54" s="1024">
        <f t="shared" si="12"/>
        <v>46169</v>
      </c>
      <c r="G54" s="1024">
        <f>F54+4</f>
        <v>46173</v>
      </c>
      <c r="H54" s="1025" t="s">
        <v>1948</v>
      </c>
      <c r="I54" s="1396"/>
      <c r="J54" s="982">
        <v>108</v>
      </c>
      <c r="K54" s="982">
        <v>1.46</v>
      </c>
      <c r="L54" s="982">
        <v>10.98</v>
      </c>
      <c r="M54" s="883">
        <v>0.60599999999999998</v>
      </c>
      <c r="N54" s="885">
        <v>204</v>
      </c>
      <c r="O54" s="885">
        <v>8390</v>
      </c>
      <c r="P54" s="885">
        <v>9675</v>
      </c>
      <c r="Q54" s="885">
        <v>78403</v>
      </c>
      <c r="R54" s="1026">
        <f t="shared" si="11"/>
        <v>188025.11799999999</v>
      </c>
      <c r="S54" s="557"/>
    </row>
    <row r="55" spans="1:19" s="688" customFormat="1">
      <c r="A55" s="557">
        <v>46</v>
      </c>
      <c r="B55" s="1004" t="s">
        <v>1315</v>
      </c>
      <c r="C55" s="1004" t="s">
        <v>32</v>
      </c>
      <c r="D55" s="1004"/>
      <c r="E55" s="557" t="s">
        <v>61</v>
      </c>
      <c r="F55" s="1024">
        <v>46143</v>
      </c>
      <c r="G55" s="1024">
        <f>F55+7</f>
        <v>46150</v>
      </c>
      <c r="H55" s="1025" t="s">
        <v>1958</v>
      </c>
      <c r="I55" s="1389">
        <v>8</v>
      </c>
      <c r="J55" s="1073">
        <v>108</v>
      </c>
      <c r="K55" s="982">
        <v>1.46</v>
      </c>
      <c r="L55" s="982">
        <v>10.98</v>
      </c>
      <c r="M55" s="883">
        <v>0.60599999999999998</v>
      </c>
      <c r="N55" s="885">
        <v>204</v>
      </c>
      <c r="O55" s="885">
        <v>8390</v>
      </c>
      <c r="P55" s="885">
        <v>9675</v>
      </c>
      <c r="Q55" s="885">
        <v>78403</v>
      </c>
      <c r="R55" s="1026">
        <f t="shared" si="11"/>
        <v>188025.11799999999</v>
      </c>
      <c r="S55" s="557"/>
    </row>
    <row r="56" spans="1:19" s="688" customFormat="1">
      <c r="A56" s="557">
        <v>47</v>
      </c>
      <c r="B56" s="1004" t="s">
        <v>1313</v>
      </c>
      <c r="C56" s="1004" t="s">
        <v>32</v>
      </c>
      <c r="D56" s="1004"/>
      <c r="E56" s="557" t="s">
        <v>42</v>
      </c>
      <c r="F56" s="1024">
        <f>G55</f>
        <v>46150</v>
      </c>
      <c r="G56" s="1024">
        <f>F56+7</f>
        <v>46157</v>
      </c>
      <c r="H56" s="1025" t="s">
        <v>1958</v>
      </c>
      <c r="I56" s="1389"/>
      <c r="J56" s="1074">
        <v>108</v>
      </c>
      <c r="K56" s="883">
        <v>1.46</v>
      </c>
      <c r="L56" s="883">
        <v>9.7100000000000009</v>
      </c>
      <c r="M56" s="883">
        <v>0.61299999999999999</v>
      </c>
      <c r="N56" s="885">
        <v>204</v>
      </c>
      <c r="O56" s="885">
        <v>8390</v>
      </c>
      <c r="P56" s="885">
        <v>9675</v>
      </c>
      <c r="Q56" s="885">
        <v>78403</v>
      </c>
      <c r="R56" s="1026">
        <f t="shared" si="11"/>
        <v>176286.68900000001</v>
      </c>
      <c r="S56" s="557"/>
    </row>
    <row r="57" spans="1:19" s="688" customFormat="1">
      <c r="A57" s="557">
        <v>48</v>
      </c>
      <c r="B57" s="1004" t="s">
        <v>1312</v>
      </c>
      <c r="C57" s="1004" t="s">
        <v>34</v>
      </c>
      <c r="D57" s="1004"/>
      <c r="E57" s="557" t="s">
        <v>42</v>
      </c>
      <c r="F57" s="1024">
        <f t="shared" ref="F57:F59" si="13">G56</f>
        <v>46157</v>
      </c>
      <c r="G57" s="1024">
        <f>F57+7</f>
        <v>46164</v>
      </c>
      <c r="H57" s="1025" t="s">
        <v>1958</v>
      </c>
      <c r="I57" s="1389"/>
      <c r="J57" s="1074">
        <v>108</v>
      </c>
      <c r="K57" s="883">
        <v>1.46</v>
      </c>
      <c r="L57" s="883">
        <v>9.7100000000000009</v>
      </c>
      <c r="M57" s="883">
        <v>0.61299999999999999</v>
      </c>
      <c r="N57" s="885">
        <v>204</v>
      </c>
      <c r="O57" s="885">
        <v>8390</v>
      </c>
      <c r="P57" s="885">
        <v>9675</v>
      </c>
      <c r="Q57" s="885">
        <v>78403</v>
      </c>
      <c r="R57" s="1026">
        <f t="shared" si="11"/>
        <v>176286.68900000001</v>
      </c>
      <c r="S57" s="557"/>
    </row>
    <row r="58" spans="1:19" s="688" customFormat="1">
      <c r="A58" s="557">
        <v>49</v>
      </c>
      <c r="B58" s="1004" t="s">
        <v>1316</v>
      </c>
      <c r="C58" s="1004" t="s">
        <v>48</v>
      </c>
      <c r="D58" s="1004"/>
      <c r="E58" s="557" t="s">
        <v>42</v>
      </c>
      <c r="F58" s="1024">
        <f t="shared" si="13"/>
        <v>46164</v>
      </c>
      <c r="G58" s="1024">
        <f>F58+5</f>
        <v>46169</v>
      </c>
      <c r="H58" s="1025" t="s">
        <v>1958</v>
      </c>
      <c r="I58" s="1389"/>
      <c r="J58" s="1074">
        <v>108</v>
      </c>
      <c r="K58" s="883">
        <v>1.46</v>
      </c>
      <c r="L58" s="883">
        <v>9.7100000000000009</v>
      </c>
      <c r="M58" s="883">
        <v>0.61299999999999999</v>
      </c>
      <c r="N58" s="885">
        <v>204</v>
      </c>
      <c r="O58" s="885">
        <v>8390</v>
      </c>
      <c r="P58" s="885">
        <v>9675</v>
      </c>
      <c r="Q58" s="885">
        <v>78403</v>
      </c>
      <c r="R58" s="1026">
        <f t="shared" si="11"/>
        <v>176286.68900000001</v>
      </c>
      <c r="S58" s="557"/>
    </row>
    <row r="59" spans="1:19" s="688" customFormat="1">
      <c r="A59" s="557">
        <v>50</v>
      </c>
      <c r="B59" s="1004" t="s">
        <v>1317</v>
      </c>
      <c r="C59" s="1004" t="s">
        <v>1423</v>
      </c>
      <c r="D59" s="1004"/>
      <c r="E59" s="557" t="s">
        <v>42</v>
      </c>
      <c r="F59" s="1024">
        <f t="shared" si="13"/>
        <v>46169</v>
      </c>
      <c r="G59" s="1024">
        <f>F59+4</f>
        <v>46173</v>
      </c>
      <c r="H59" s="1025" t="s">
        <v>1958</v>
      </c>
      <c r="I59" s="1389"/>
      <c r="J59" s="1077">
        <v>270.75</v>
      </c>
      <c r="K59" s="993">
        <v>3.96</v>
      </c>
      <c r="L59" s="993">
        <v>25.67</v>
      </c>
      <c r="M59" s="883">
        <v>1.84</v>
      </c>
      <c r="N59" s="885">
        <v>204</v>
      </c>
      <c r="O59" s="885">
        <v>8390</v>
      </c>
      <c r="P59" s="885">
        <v>9675</v>
      </c>
      <c r="Q59" s="885">
        <v>78403</v>
      </c>
      <c r="R59" s="1038">
        <f t="shared" si="11"/>
        <v>481076.17000000004</v>
      </c>
      <c r="S59" s="557"/>
    </row>
    <row r="60" spans="1:19" s="688" customFormat="1">
      <c r="A60" s="557">
        <v>51</v>
      </c>
      <c r="B60" s="1027" t="s">
        <v>1203</v>
      </c>
      <c r="C60" s="1027" t="s">
        <v>48</v>
      </c>
      <c r="D60" s="1004">
        <v>1</v>
      </c>
      <c r="E60" s="557" t="s">
        <v>61</v>
      </c>
      <c r="F60" s="1024">
        <v>46143</v>
      </c>
      <c r="G60" s="1024">
        <f>F60+7</f>
        <v>46150</v>
      </c>
      <c r="H60" s="1025" t="s">
        <v>1881</v>
      </c>
      <c r="I60" s="1396">
        <v>8</v>
      </c>
      <c r="J60" s="982">
        <v>140.36000000000001</v>
      </c>
      <c r="K60" s="982">
        <v>1.96</v>
      </c>
      <c r="L60" s="982">
        <v>14.51</v>
      </c>
      <c r="M60" s="882">
        <v>0.94499999999999995</v>
      </c>
      <c r="N60" s="885">
        <v>204</v>
      </c>
      <c r="O60" s="885">
        <v>8390</v>
      </c>
      <c r="P60" s="885">
        <v>9675</v>
      </c>
      <c r="Q60" s="885">
        <v>78403</v>
      </c>
      <c r="R60" s="1026">
        <f>(J60*N60+K60*O60+L60*P60+M60*Q60)</f>
        <v>259552.92499999999</v>
      </c>
      <c r="S60" s="557" t="s">
        <v>978</v>
      </c>
    </row>
    <row r="61" spans="1:19" s="688" customFormat="1">
      <c r="A61" s="557">
        <v>52</v>
      </c>
      <c r="B61" s="1027" t="s">
        <v>1308</v>
      </c>
      <c r="C61" s="1027" t="s">
        <v>1181</v>
      </c>
      <c r="D61" s="1004"/>
      <c r="E61" s="557" t="s">
        <v>42</v>
      </c>
      <c r="F61" s="1024">
        <f>G60</f>
        <v>46150</v>
      </c>
      <c r="G61" s="1024">
        <f>F61+7</f>
        <v>46157</v>
      </c>
      <c r="H61" s="1025" t="s">
        <v>1881</v>
      </c>
      <c r="I61" s="1396"/>
      <c r="J61" s="982">
        <v>270.75</v>
      </c>
      <c r="K61" s="982">
        <v>3.96</v>
      </c>
      <c r="L61" s="982">
        <v>25.67</v>
      </c>
      <c r="M61" s="883">
        <v>1.84</v>
      </c>
      <c r="N61" s="885">
        <v>204</v>
      </c>
      <c r="O61" s="885">
        <v>8390</v>
      </c>
      <c r="P61" s="885">
        <v>9675</v>
      </c>
      <c r="Q61" s="885">
        <v>78403</v>
      </c>
      <c r="R61" s="1026">
        <f>(J61*N61+K61*O61+L61*P61+M61*Q61)</f>
        <v>481076.17000000004</v>
      </c>
      <c r="S61" s="557"/>
    </row>
    <row r="62" spans="1:19" s="688" customFormat="1">
      <c r="A62" s="557">
        <v>53</v>
      </c>
      <c r="B62" s="1004" t="s">
        <v>1309</v>
      </c>
      <c r="C62" s="1004" t="s">
        <v>32</v>
      </c>
      <c r="D62" s="1004"/>
      <c r="E62" s="557" t="s">
        <v>42</v>
      </c>
      <c r="F62" s="1024">
        <f t="shared" ref="F62:F64" si="14">G61</f>
        <v>46157</v>
      </c>
      <c r="G62" s="1024">
        <f>F62+7</f>
        <v>46164</v>
      </c>
      <c r="H62" s="1025" t="s">
        <v>1881</v>
      </c>
      <c r="I62" s="1396"/>
      <c r="J62" s="883">
        <v>108</v>
      </c>
      <c r="K62" s="883">
        <v>1.46</v>
      </c>
      <c r="L62" s="883">
        <v>9.7100000000000009</v>
      </c>
      <c r="M62" s="883">
        <v>0.61299999999999999</v>
      </c>
      <c r="N62" s="885">
        <v>204</v>
      </c>
      <c r="O62" s="885">
        <v>8390</v>
      </c>
      <c r="P62" s="885">
        <v>9675</v>
      </c>
      <c r="Q62" s="885">
        <v>78403</v>
      </c>
      <c r="R62" s="1026">
        <f>(J62*N62+K62*O62+L62*P62+M62*Q62)</f>
        <v>176286.68900000001</v>
      </c>
      <c r="S62" s="557"/>
    </row>
    <row r="63" spans="1:19" s="688" customFormat="1">
      <c r="A63" s="557">
        <v>54</v>
      </c>
      <c r="B63" s="1004" t="s">
        <v>1310</v>
      </c>
      <c r="C63" s="1004" t="s">
        <v>48</v>
      </c>
      <c r="D63" s="1004"/>
      <c r="E63" s="557" t="s">
        <v>61</v>
      </c>
      <c r="F63" s="1024">
        <f t="shared" si="14"/>
        <v>46164</v>
      </c>
      <c r="G63" s="1024">
        <f>F63+5</f>
        <v>46169</v>
      </c>
      <c r="H63" s="1025" t="s">
        <v>1881</v>
      </c>
      <c r="I63" s="1396"/>
      <c r="J63" s="982">
        <v>133.87</v>
      </c>
      <c r="K63" s="982">
        <v>1.85</v>
      </c>
      <c r="L63" s="982">
        <v>11.71</v>
      </c>
      <c r="M63" s="883">
        <v>0.69699999999999995</v>
      </c>
      <c r="N63" s="885">
        <v>204</v>
      </c>
      <c r="O63" s="885">
        <v>8390</v>
      </c>
      <c r="P63" s="885">
        <v>9675</v>
      </c>
      <c r="Q63" s="885">
        <v>78403</v>
      </c>
      <c r="R63" s="1026">
        <f>(J63*N63+K63*O63+L63*P63+M63*Q63)</f>
        <v>210772.12100000001</v>
      </c>
      <c r="S63" s="557"/>
    </row>
    <row r="64" spans="1:19" s="688" customFormat="1">
      <c r="A64" s="557">
        <v>55</v>
      </c>
      <c r="B64" s="1004" t="s">
        <v>1311</v>
      </c>
      <c r="C64" s="1004" t="s">
        <v>32</v>
      </c>
      <c r="D64" s="1004"/>
      <c r="E64" s="557" t="s">
        <v>61</v>
      </c>
      <c r="F64" s="1024">
        <f t="shared" si="14"/>
        <v>46169</v>
      </c>
      <c r="G64" s="1024">
        <f>F64+4</f>
        <v>46173</v>
      </c>
      <c r="H64" s="1025" t="s">
        <v>1881</v>
      </c>
      <c r="I64" s="1397"/>
      <c r="J64" s="982">
        <v>133.87</v>
      </c>
      <c r="K64" s="982">
        <v>1.85</v>
      </c>
      <c r="L64" s="982">
        <v>11.71</v>
      </c>
      <c r="M64" s="883">
        <v>0.69699999999999995</v>
      </c>
      <c r="N64" s="885">
        <v>204</v>
      </c>
      <c r="O64" s="885">
        <v>8390</v>
      </c>
      <c r="P64" s="885">
        <v>9675</v>
      </c>
      <c r="Q64" s="885">
        <v>78403</v>
      </c>
      <c r="R64" s="1026">
        <f>(J64*N64+K64*O64+L64*P64+M64*Q64)</f>
        <v>210772.12100000001</v>
      </c>
      <c r="S64" s="557"/>
    </row>
    <row r="65" spans="1:19" s="688" customFormat="1">
      <c r="A65" s="557">
        <v>56</v>
      </c>
      <c r="B65" s="1004" t="s">
        <v>1705</v>
      </c>
      <c r="C65" s="1004" t="s">
        <v>49</v>
      </c>
      <c r="D65" s="1004"/>
      <c r="E65" s="557" t="s">
        <v>42</v>
      </c>
      <c r="F65" s="1024">
        <v>46145</v>
      </c>
      <c r="G65" s="1024">
        <f>F65+2</f>
        <v>46147</v>
      </c>
      <c r="H65" s="1398" t="s">
        <v>2020</v>
      </c>
      <c r="I65" s="1389"/>
      <c r="J65" s="1074">
        <v>108</v>
      </c>
      <c r="K65" s="883">
        <v>1.46</v>
      </c>
      <c r="L65" s="883">
        <v>9.7100000000000009</v>
      </c>
      <c r="M65" s="883">
        <v>0.61299999999999999</v>
      </c>
      <c r="N65" s="885">
        <v>204</v>
      </c>
      <c r="O65" s="885">
        <v>8390</v>
      </c>
      <c r="P65" s="885">
        <v>9675</v>
      </c>
      <c r="Q65" s="885">
        <v>78403</v>
      </c>
      <c r="R65" s="1026">
        <f t="shared" ref="R65:R74" si="15">(J65*N65+K65*O65+L65*P65+M65*Q65)</f>
        <v>176286.68900000001</v>
      </c>
      <c r="S65" s="557"/>
    </row>
    <row r="66" spans="1:19" s="688" customFormat="1">
      <c r="A66" s="557">
        <v>57</v>
      </c>
      <c r="B66" s="1004" t="s">
        <v>1706</v>
      </c>
      <c r="C66" s="1004" t="s">
        <v>32</v>
      </c>
      <c r="D66" s="1004"/>
      <c r="E66" s="557" t="s">
        <v>42</v>
      </c>
      <c r="F66" s="1024">
        <f>G65</f>
        <v>46147</v>
      </c>
      <c r="G66" s="1024">
        <f>F66+3</f>
        <v>46150</v>
      </c>
      <c r="H66" s="1399"/>
      <c r="I66" s="1389"/>
      <c r="J66" s="1074">
        <v>108</v>
      </c>
      <c r="K66" s="883">
        <v>1.46</v>
      </c>
      <c r="L66" s="883">
        <v>9.7100000000000009</v>
      </c>
      <c r="M66" s="883">
        <v>0.61299999999999999</v>
      </c>
      <c r="N66" s="885">
        <v>204</v>
      </c>
      <c r="O66" s="885">
        <v>8390</v>
      </c>
      <c r="P66" s="885">
        <v>9675</v>
      </c>
      <c r="Q66" s="885">
        <v>78403</v>
      </c>
      <c r="R66" s="1026">
        <f t="shared" si="15"/>
        <v>176286.68900000001</v>
      </c>
      <c r="S66" s="557"/>
    </row>
    <row r="67" spans="1:19" s="688" customFormat="1">
      <c r="A67" s="557">
        <v>58</v>
      </c>
      <c r="B67" s="1004" t="s">
        <v>1707</v>
      </c>
      <c r="C67" s="1004" t="s">
        <v>32</v>
      </c>
      <c r="D67" s="1004"/>
      <c r="E67" s="557" t="s">
        <v>42</v>
      </c>
      <c r="F67" s="1024">
        <f t="shared" ref="F67:F74" si="16">G66</f>
        <v>46150</v>
      </c>
      <c r="G67" s="1024">
        <f t="shared" ref="G67:G73" si="17">F67+3</f>
        <v>46153</v>
      </c>
      <c r="H67" s="1399"/>
      <c r="I67" s="1389"/>
      <c r="J67" s="1074">
        <v>108</v>
      </c>
      <c r="K67" s="883">
        <v>1.46</v>
      </c>
      <c r="L67" s="883">
        <v>9.7100000000000009</v>
      </c>
      <c r="M67" s="883">
        <v>0.61299999999999999</v>
      </c>
      <c r="N67" s="885">
        <v>204</v>
      </c>
      <c r="O67" s="885">
        <v>8390</v>
      </c>
      <c r="P67" s="885">
        <v>9675</v>
      </c>
      <c r="Q67" s="885">
        <v>78403</v>
      </c>
      <c r="R67" s="1026">
        <f t="shared" si="15"/>
        <v>176286.68900000001</v>
      </c>
      <c r="S67" s="557"/>
    </row>
    <row r="68" spans="1:19" s="688" customFormat="1">
      <c r="A68" s="557">
        <v>59</v>
      </c>
      <c r="B68" s="1004" t="s">
        <v>1708</v>
      </c>
      <c r="C68" s="1004" t="s">
        <v>48</v>
      </c>
      <c r="D68" s="1004"/>
      <c r="E68" s="557" t="s">
        <v>42</v>
      </c>
      <c r="F68" s="1024">
        <f t="shared" si="16"/>
        <v>46153</v>
      </c>
      <c r="G68" s="1024">
        <f t="shared" si="17"/>
        <v>46156</v>
      </c>
      <c r="H68" s="1399"/>
      <c r="I68" s="1389"/>
      <c r="J68" s="1074">
        <v>108</v>
      </c>
      <c r="K68" s="883">
        <v>1.46</v>
      </c>
      <c r="L68" s="883">
        <v>9.7100000000000009</v>
      </c>
      <c r="M68" s="883">
        <v>0.61299999999999999</v>
      </c>
      <c r="N68" s="885">
        <v>204</v>
      </c>
      <c r="O68" s="885">
        <v>8390</v>
      </c>
      <c r="P68" s="885">
        <v>9675</v>
      </c>
      <c r="Q68" s="885">
        <v>78403</v>
      </c>
      <c r="R68" s="1026">
        <f t="shared" si="15"/>
        <v>176286.68900000001</v>
      </c>
      <c r="S68" s="557"/>
    </row>
    <row r="69" spans="1:19" s="688" customFormat="1">
      <c r="A69" s="557">
        <v>60</v>
      </c>
      <c r="B69" s="1004" t="s">
        <v>1676</v>
      </c>
      <c r="C69" s="1004" t="s">
        <v>48</v>
      </c>
      <c r="D69" s="1004"/>
      <c r="E69" s="557" t="s">
        <v>42</v>
      </c>
      <c r="F69" s="1024">
        <f t="shared" si="16"/>
        <v>46156</v>
      </c>
      <c r="G69" s="1024">
        <f t="shared" si="17"/>
        <v>46159</v>
      </c>
      <c r="H69" s="1399"/>
      <c r="I69" s="1389"/>
      <c r="J69" s="1074">
        <v>108</v>
      </c>
      <c r="K69" s="883">
        <v>1.46</v>
      </c>
      <c r="L69" s="883">
        <v>9.7100000000000009</v>
      </c>
      <c r="M69" s="883">
        <v>0.61299999999999999</v>
      </c>
      <c r="N69" s="885">
        <v>204</v>
      </c>
      <c r="O69" s="885">
        <v>8390</v>
      </c>
      <c r="P69" s="885">
        <v>9675</v>
      </c>
      <c r="Q69" s="885">
        <v>78403</v>
      </c>
      <c r="R69" s="1026">
        <f t="shared" si="15"/>
        <v>176286.68900000001</v>
      </c>
      <c r="S69" s="557"/>
    </row>
    <row r="70" spans="1:19" s="688" customFormat="1">
      <c r="A70" s="557">
        <v>61</v>
      </c>
      <c r="B70" s="1004" t="s">
        <v>1675</v>
      </c>
      <c r="C70" s="1004" t="s">
        <v>32</v>
      </c>
      <c r="D70" s="1004"/>
      <c r="E70" s="557" t="s">
        <v>61</v>
      </c>
      <c r="F70" s="1024">
        <f t="shared" si="16"/>
        <v>46159</v>
      </c>
      <c r="G70" s="1024">
        <f t="shared" si="17"/>
        <v>46162</v>
      </c>
      <c r="H70" s="1399"/>
      <c r="I70" s="1389"/>
      <c r="J70" s="1073">
        <v>133.87</v>
      </c>
      <c r="K70" s="982">
        <v>1.85</v>
      </c>
      <c r="L70" s="982">
        <v>11.71</v>
      </c>
      <c r="M70" s="883">
        <v>0.69699999999999995</v>
      </c>
      <c r="N70" s="885">
        <v>204</v>
      </c>
      <c r="O70" s="885">
        <v>8390</v>
      </c>
      <c r="P70" s="885">
        <v>9675</v>
      </c>
      <c r="Q70" s="885">
        <v>78403</v>
      </c>
      <c r="R70" s="1026">
        <f t="shared" si="15"/>
        <v>210772.12100000001</v>
      </c>
      <c r="S70" s="557"/>
    </row>
    <row r="71" spans="1:19" s="990" customFormat="1">
      <c r="A71" s="557">
        <v>62</v>
      </c>
      <c r="B71" s="1004" t="s">
        <v>1663</v>
      </c>
      <c r="C71" s="1004" t="s">
        <v>48</v>
      </c>
      <c r="D71" s="1004"/>
      <c r="E71" s="557" t="s">
        <v>61</v>
      </c>
      <c r="F71" s="1024">
        <f t="shared" si="16"/>
        <v>46162</v>
      </c>
      <c r="G71" s="1024">
        <f t="shared" si="17"/>
        <v>46165</v>
      </c>
      <c r="H71" s="1399"/>
      <c r="I71" s="1389"/>
      <c r="J71" s="1073">
        <v>133.87</v>
      </c>
      <c r="K71" s="982">
        <v>1.85</v>
      </c>
      <c r="L71" s="982">
        <v>11.71</v>
      </c>
      <c r="M71" s="883">
        <v>0.69699999999999995</v>
      </c>
      <c r="N71" s="885">
        <v>204</v>
      </c>
      <c r="O71" s="885">
        <v>8390</v>
      </c>
      <c r="P71" s="885">
        <v>9675</v>
      </c>
      <c r="Q71" s="885">
        <v>78403</v>
      </c>
      <c r="R71" s="1026">
        <f t="shared" si="15"/>
        <v>210772.12100000001</v>
      </c>
      <c r="S71" s="557"/>
    </row>
    <row r="72" spans="1:19" s="688" customFormat="1">
      <c r="A72" s="557">
        <v>63</v>
      </c>
      <c r="B72" s="1004" t="s">
        <v>1664</v>
      </c>
      <c r="C72" s="1004" t="s">
        <v>34</v>
      </c>
      <c r="D72" s="1004"/>
      <c r="E72" s="557" t="s">
        <v>61</v>
      </c>
      <c r="F72" s="1024">
        <f t="shared" si="16"/>
        <v>46165</v>
      </c>
      <c r="G72" s="1024">
        <f t="shared" si="17"/>
        <v>46168</v>
      </c>
      <c r="H72" s="1399"/>
      <c r="I72" s="1389"/>
      <c r="J72" s="1073">
        <v>133.87</v>
      </c>
      <c r="K72" s="982">
        <v>1.85</v>
      </c>
      <c r="L72" s="982">
        <v>11.71</v>
      </c>
      <c r="M72" s="883">
        <v>0.69699999999999995</v>
      </c>
      <c r="N72" s="885">
        <v>204</v>
      </c>
      <c r="O72" s="885">
        <v>8390</v>
      </c>
      <c r="P72" s="885">
        <v>9675</v>
      </c>
      <c r="Q72" s="885">
        <v>78403</v>
      </c>
      <c r="R72" s="1026">
        <f t="shared" si="15"/>
        <v>210772.12100000001</v>
      </c>
      <c r="S72" s="557"/>
    </row>
    <row r="73" spans="1:19" s="688" customFormat="1" ht="15" customHeight="1">
      <c r="A73" s="557">
        <v>64</v>
      </c>
      <c r="B73" s="1004" t="s">
        <v>1665</v>
      </c>
      <c r="C73" s="1004" t="s">
        <v>49</v>
      </c>
      <c r="D73" s="1004"/>
      <c r="E73" s="557" t="s">
        <v>61</v>
      </c>
      <c r="F73" s="1024">
        <f t="shared" si="16"/>
        <v>46168</v>
      </c>
      <c r="G73" s="1024">
        <f t="shared" si="17"/>
        <v>46171</v>
      </c>
      <c r="H73" s="1399"/>
      <c r="I73" s="1389"/>
      <c r="J73" s="1073">
        <v>133.87</v>
      </c>
      <c r="K73" s="982">
        <v>1.85</v>
      </c>
      <c r="L73" s="982">
        <v>11.71</v>
      </c>
      <c r="M73" s="883">
        <v>0.69699999999999995</v>
      </c>
      <c r="N73" s="885">
        <v>204</v>
      </c>
      <c r="O73" s="885">
        <v>8390</v>
      </c>
      <c r="P73" s="885">
        <v>9675</v>
      </c>
      <c r="Q73" s="885">
        <v>78403</v>
      </c>
      <c r="R73" s="1026">
        <f t="shared" si="15"/>
        <v>210772.12100000001</v>
      </c>
      <c r="S73" s="557"/>
    </row>
    <row r="74" spans="1:19" s="688" customFormat="1">
      <c r="A74" s="557">
        <v>65</v>
      </c>
      <c r="B74" s="1004" t="s">
        <v>1666</v>
      </c>
      <c r="C74" s="1004" t="s">
        <v>50</v>
      </c>
      <c r="D74" s="1004"/>
      <c r="E74" s="557" t="s">
        <v>61</v>
      </c>
      <c r="F74" s="1024">
        <f t="shared" si="16"/>
        <v>46171</v>
      </c>
      <c r="G74" s="1024">
        <f>F74+2</f>
        <v>46173</v>
      </c>
      <c r="H74" s="1400"/>
      <c r="I74" s="1389"/>
      <c r="J74" s="1073">
        <v>133.87</v>
      </c>
      <c r="K74" s="982">
        <v>1.85</v>
      </c>
      <c r="L74" s="982">
        <v>11.71</v>
      </c>
      <c r="M74" s="883">
        <v>0.69699999999999995</v>
      </c>
      <c r="N74" s="885">
        <v>204</v>
      </c>
      <c r="O74" s="885">
        <v>8390</v>
      </c>
      <c r="P74" s="885">
        <v>9675</v>
      </c>
      <c r="Q74" s="885">
        <v>78403</v>
      </c>
      <c r="R74" s="1026">
        <f t="shared" si="15"/>
        <v>210772.12100000001</v>
      </c>
      <c r="S74" s="557"/>
    </row>
    <row r="75" spans="1:19" s="688" customFormat="1">
      <c r="A75" s="557">
        <v>66</v>
      </c>
      <c r="B75" s="74" t="s">
        <v>152</v>
      </c>
      <c r="C75" s="74" t="s">
        <v>658</v>
      </c>
      <c r="D75" s="1004"/>
      <c r="E75" s="981" t="s">
        <v>42</v>
      </c>
      <c r="F75" s="1047">
        <v>46141</v>
      </c>
      <c r="G75" s="1047">
        <f>F75+7</f>
        <v>46148</v>
      </c>
      <c r="H75" s="1048" t="s">
        <v>1952</v>
      </c>
      <c r="I75" s="1391">
        <v>10</v>
      </c>
      <c r="J75" s="1073">
        <v>374.98</v>
      </c>
      <c r="K75" s="982">
        <v>5.6</v>
      </c>
      <c r="L75" s="982">
        <v>41.61</v>
      </c>
      <c r="M75" s="850">
        <v>3.2010000000000001</v>
      </c>
      <c r="N75" s="850">
        <v>256</v>
      </c>
      <c r="O75" s="850">
        <v>10487</v>
      </c>
      <c r="P75" s="850">
        <v>12093</v>
      </c>
      <c r="Q75" s="850">
        <v>98000</v>
      </c>
      <c r="R75" s="1049">
        <f t="shared" ref="R75:R109" si="18">(J75*N75+K75*O75+L75*P75+M75*Q75)</f>
        <v>971609.81</v>
      </c>
      <c r="S75" s="725" t="s">
        <v>29</v>
      </c>
    </row>
    <row r="76" spans="1:19" s="688" customFormat="1">
      <c r="A76" s="557">
        <v>67</v>
      </c>
      <c r="B76" s="74" t="s">
        <v>67</v>
      </c>
      <c r="C76" s="74" t="s">
        <v>586</v>
      </c>
      <c r="D76" s="1004"/>
      <c r="E76" s="981" t="s">
        <v>42</v>
      </c>
      <c r="F76" s="1047">
        <f>G75</f>
        <v>46148</v>
      </c>
      <c r="G76" s="1047">
        <f>F76+7</f>
        <v>46155</v>
      </c>
      <c r="H76" s="1048" t="s">
        <v>1952</v>
      </c>
      <c r="I76" s="1391"/>
      <c r="J76" s="1076">
        <v>238.7</v>
      </c>
      <c r="K76" s="850">
        <v>3.46</v>
      </c>
      <c r="L76" s="850">
        <v>23.6</v>
      </c>
      <c r="M76" s="850">
        <v>1.7410000000000001</v>
      </c>
      <c r="N76" s="850">
        <v>256</v>
      </c>
      <c r="O76" s="850">
        <v>10487</v>
      </c>
      <c r="P76" s="850">
        <v>12093</v>
      </c>
      <c r="Q76" s="850">
        <v>98000</v>
      </c>
      <c r="R76" s="1050">
        <f t="shared" si="18"/>
        <v>553405.02</v>
      </c>
      <c r="S76" s="725"/>
    </row>
    <row r="77" spans="1:19" s="688" customFormat="1">
      <c r="A77" s="557">
        <v>68</v>
      </c>
      <c r="B77" s="74" t="s">
        <v>55</v>
      </c>
      <c r="C77" s="74" t="s">
        <v>671</v>
      </c>
      <c r="D77" s="1004"/>
      <c r="E77" s="981" t="s">
        <v>42</v>
      </c>
      <c r="F77" s="1047">
        <f>G76</f>
        <v>46155</v>
      </c>
      <c r="G77" s="1047">
        <f>F77+8</f>
        <v>46163</v>
      </c>
      <c r="H77" s="1048" t="s">
        <v>1952</v>
      </c>
      <c r="I77" s="1391"/>
      <c r="J77" s="1073">
        <v>374.98</v>
      </c>
      <c r="K77" s="982">
        <v>5.6</v>
      </c>
      <c r="L77" s="982">
        <v>41.61</v>
      </c>
      <c r="M77" s="850">
        <v>3.2010000000000001</v>
      </c>
      <c r="N77" s="850">
        <v>256</v>
      </c>
      <c r="O77" s="850">
        <v>10487</v>
      </c>
      <c r="P77" s="850">
        <v>12093</v>
      </c>
      <c r="Q77" s="850">
        <v>98000</v>
      </c>
      <c r="R77" s="1050">
        <f t="shared" si="18"/>
        <v>971609.81</v>
      </c>
      <c r="S77" s="725" t="s">
        <v>977</v>
      </c>
    </row>
    <row r="78" spans="1:19" s="688" customFormat="1">
      <c r="A78" s="557">
        <v>69</v>
      </c>
      <c r="B78" s="74" t="s">
        <v>59</v>
      </c>
      <c r="C78" s="74" t="s">
        <v>586</v>
      </c>
      <c r="D78" s="1004"/>
      <c r="E78" s="1051" t="s">
        <v>42</v>
      </c>
      <c r="F78" s="1047">
        <f t="shared" ref="F78:F79" si="19">G77</f>
        <v>46163</v>
      </c>
      <c r="G78" s="1047">
        <f>F78+4</f>
        <v>46167</v>
      </c>
      <c r="H78" s="1048" t="s">
        <v>1952</v>
      </c>
      <c r="I78" s="1391"/>
      <c r="J78" s="1073">
        <v>374.98</v>
      </c>
      <c r="K78" s="982">
        <v>5.6</v>
      </c>
      <c r="L78" s="982">
        <v>41.61</v>
      </c>
      <c r="M78" s="850">
        <v>3.2010000000000001</v>
      </c>
      <c r="N78" s="850">
        <v>256</v>
      </c>
      <c r="O78" s="850">
        <v>10487</v>
      </c>
      <c r="P78" s="850">
        <v>12093</v>
      </c>
      <c r="Q78" s="850">
        <v>98000</v>
      </c>
      <c r="R78" s="1050">
        <f t="shared" si="18"/>
        <v>971609.81</v>
      </c>
      <c r="S78" s="725" t="s">
        <v>977</v>
      </c>
    </row>
    <row r="79" spans="1:19" s="688" customFormat="1">
      <c r="A79" s="557">
        <v>70</v>
      </c>
      <c r="B79" s="74" t="s">
        <v>58</v>
      </c>
      <c r="C79" s="74" t="s">
        <v>671</v>
      </c>
      <c r="D79" s="1004"/>
      <c r="E79" s="1051" t="s">
        <v>42</v>
      </c>
      <c r="F79" s="1047">
        <f t="shared" si="19"/>
        <v>46167</v>
      </c>
      <c r="G79" s="1047">
        <f t="shared" ref="G79" si="20">F79+5</f>
        <v>46172</v>
      </c>
      <c r="H79" s="1048" t="s">
        <v>1952</v>
      </c>
      <c r="I79" s="1391"/>
      <c r="J79" s="1075">
        <v>374.98</v>
      </c>
      <c r="K79" s="999">
        <v>5.6</v>
      </c>
      <c r="L79" s="999">
        <v>41.61</v>
      </c>
      <c r="M79" s="850">
        <v>3.2010000000000001</v>
      </c>
      <c r="N79" s="850">
        <v>256</v>
      </c>
      <c r="O79" s="850">
        <v>10487</v>
      </c>
      <c r="P79" s="850">
        <v>12093</v>
      </c>
      <c r="Q79" s="850">
        <v>98000</v>
      </c>
      <c r="R79" s="1052">
        <f t="shared" si="18"/>
        <v>971609.81</v>
      </c>
      <c r="S79" s="725" t="s">
        <v>977</v>
      </c>
    </row>
    <row r="80" spans="1:19" s="688" customFormat="1">
      <c r="A80" s="557">
        <v>71</v>
      </c>
      <c r="B80" s="74" t="s">
        <v>181</v>
      </c>
      <c r="C80" s="74" t="s">
        <v>53</v>
      </c>
      <c r="D80" s="1004"/>
      <c r="E80" s="1051" t="s">
        <v>42</v>
      </c>
      <c r="F80" s="1047">
        <v>46141</v>
      </c>
      <c r="G80" s="1047">
        <f>F80+7</f>
        <v>46148</v>
      </c>
      <c r="H80" s="1048" t="s">
        <v>1892</v>
      </c>
      <c r="I80" s="1391">
        <v>8</v>
      </c>
      <c r="J80" s="982">
        <v>374.98</v>
      </c>
      <c r="K80" s="982">
        <v>5.6</v>
      </c>
      <c r="L80" s="982">
        <v>41.61</v>
      </c>
      <c r="M80" s="850">
        <v>3.2010000000000001</v>
      </c>
      <c r="N80" s="850">
        <v>256</v>
      </c>
      <c r="O80" s="850">
        <v>10487</v>
      </c>
      <c r="P80" s="850">
        <v>12093</v>
      </c>
      <c r="Q80" s="850">
        <v>98000</v>
      </c>
      <c r="R80" s="1050">
        <f t="shared" si="18"/>
        <v>971609.81</v>
      </c>
      <c r="S80" s="725" t="s">
        <v>978</v>
      </c>
    </row>
    <row r="81" spans="1:19" s="688" customFormat="1">
      <c r="A81" s="557">
        <v>72</v>
      </c>
      <c r="B81" s="74" t="s">
        <v>250</v>
      </c>
      <c r="C81" s="74" t="s">
        <v>603</v>
      </c>
      <c r="D81" s="1004"/>
      <c r="E81" s="1051" t="s">
        <v>42</v>
      </c>
      <c r="F81" s="1047">
        <f>G80</f>
        <v>46148</v>
      </c>
      <c r="G81" s="1047">
        <f>F81+7</f>
        <v>46155</v>
      </c>
      <c r="H81" s="1048" t="s">
        <v>1892</v>
      </c>
      <c r="I81" s="1391"/>
      <c r="J81" s="993">
        <v>116.81</v>
      </c>
      <c r="K81" s="993">
        <v>1.69</v>
      </c>
      <c r="L81" s="993">
        <v>11.78</v>
      </c>
      <c r="M81" s="850">
        <v>0.73299999999999998</v>
      </c>
      <c r="N81" s="850">
        <v>256</v>
      </c>
      <c r="O81" s="850">
        <v>10487</v>
      </c>
      <c r="P81" s="850">
        <v>12093</v>
      </c>
      <c r="Q81" s="850">
        <v>98000</v>
      </c>
      <c r="R81" s="1053">
        <f t="shared" si="18"/>
        <v>261915.93</v>
      </c>
      <c r="S81" s="725" t="s">
        <v>978</v>
      </c>
    </row>
    <row r="82" spans="1:19" s="688" customFormat="1">
      <c r="A82" s="557">
        <v>73</v>
      </c>
      <c r="B82" s="74" t="s">
        <v>68</v>
      </c>
      <c r="C82" s="74" t="s">
        <v>648</v>
      </c>
      <c r="D82" s="1004"/>
      <c r="E82" s="1051" t="s">
        <v>61</v>
      </c>
      <c r="F82" s="1047">
        <f>G81</f>
        <v>46155</v>
      </c>
      <c r="G82" s="1047">
        <f>F82+8</f>
        <v>46163</v>
      </c>
      <c r="H82" s="1082" t="s">
        <v>1952</v>
      </c>
      <c r="I82" s="1391"/>
      <c r="J82" s="993">
        <v>462.8</v>
      </c>
      <c r="K82" s="993">
        <v>7</v>
      </c>
      <c r="L82" s="993">
        <v>52.1</v>
      </c>
      <c r="M82" s="850">
        <v>3.601</v>
      </c>
      <c r="N82" s="850">
        <v>256</v>
      </c>
      <c r="O82" s="850">
        <v>10487</v>
      </c>
      <c r="P82" s="850">
        <v>12093</v>
      </c>
      <c r="Q82" s="850">
        <v>98000</v>
      </c>
      <c r="R82" s="1054">
        <f t="shared" si="18"/>
        <v>1174829.1000000001</v>
      </c>
      <c r="S82" s="725"/>
    </row>
    <row r="83" spans="1:19" s="688" customFormat="1">
      <c r="A83" s="557">
        <v>74</v>
      </c>
      <c r="B83" s="74" t="s">
        <v>56</v>
      </c>
      <c r="C83" s="74" t="s">
        <v>653</v>
      </c>
      <c r="D83" s="1004"/>
      <c r="E83" s="1051" t="s">
        <v>42</v>
      </c>
      <c r="F83" s="1047">
        <f t="shared" ref="F83:F84" si="21">G82</f>
        <v>46163</v>
      </c>
      <c r="G83" s="1047">
        <f>F83+4</f>
        <v>46167</v>
      </c>
      <c r="H83" s="1048" t="s">
        <v>1892</v>
      </c>
      <c r="I83" s="1391"/>
      <c r="J83" s="993">
        <v>385.5</v>
      </c>
      <c r="K83" s="993">
        <v>5.77</v>
      </c>
      <c r="L83" s="993">
        <v>43.5</v>
      </c>
      <c r="M83" s="850">
        <v>3.2010000000000001</v>
      </c>
      <c r="N83" s="850">
        <v>256</v>
      </c>
      <c r="O83" s="850">
        <v>10487</v>
      </c>
      <c r="P83" s="850">
        <v>12093</v>
      </c>
      <c r="Q83" s="850">
        <v>98000</v>
      </c>
      <c r="R83" s="1054">
        <f t="shared" si="18"/>
        <v>998941.49</v>
      </c>
      <c r="S83" s="725"/>
    </row>
    <row r="84" spans="1:19" s="688" customFormat="1">
      <c r="A84" s="557">
        <v>75</v>
      </c>
      <c r="B84" s="1055" t="s">
        <v>60</v>
      </c>
      <c r="C84" s="74" t="s">
        <v>1977</v>
      </c>
      <c r="D84" s="1004"/>
      <c r="E84" s="1051" t="s">
        <v>61</v>
      </c>
      <c r="F84" s="1047">
        <f t="shared" si="21"/>
        <v>46167</v>
      </c>
      <c r="G84" s="1047">
        <f t="shared" ref="G84" si="22">F84+5</f>
        <v>46172</v>
      </c>
      <c r="H84" s="1048" t="s">
        <v>1892</v>
      </c>
      <c r="I84" s="1391"/>
      <c r="J84" s="993">
        <v>449.45</v>
      </c>
      <c r="K84" s="993">
        <v>6.77</v>
      </c>
      <c r="L84" s="993">
        <v>64.180000000000007</v>
      </c>
      <c r="M84" s="850">
        <v>4.4169999999999998</v>
      </c>
      <c r="N84" s="850">
        <v>256</v>
      </c>
      <c r="O84" s="850">
        <v>10487</v>
      </c>
      <c r="P84" s="850">
        <v>12093</v>
      </c>
      <c r="Q84" s="850">
        <v>98000</v>
      </c>
      <c r="R84" s="1054">
        <f t="shared" si="18"/>
        <v>1395050.9300000002</v>
      </c>
      <c r="S84" s="725"/>
    </row>
    <row r="85" spans="1:19" s="688" customFormat="1">
      <c r="A85" s="557">
        <v>76</v>
      </c>
      <c r="B85" s="975" t="s">
        <v>1978</v>
      </c>
      <c r="C85" s="975" t="s">
        <v>32</v>
      </c>
      <c r="D85" s="1004"/>
      <c r="E85" s="975" t="s">
        <v>61</v>
      </c>
      <c r="F85" s="1056">
        <v>46141</v>
      </c>
      <c r="G85" s="1056">
        <f>F85+6</f>
        <v>46147</v>
      </c>
      <c r="H85" s="975" t="s">
        <v>1925</v>
      </c>
      <c r="I85" s="1391">
        <v>12</v>
      </c>
      <c r="J85" s="1057">
        <v>370</v>
      </c>
      <c r="K85" s="982">
        <v>5.51</v>
      </c>
      <c r="L85" s="982">
        <v>41.93</v>
      </c>
      <c r="M85" s="886">
        <v>2.7829999999999999</v>
      </c>
      <c r="N85" s="886">
        <v>256</v>
      </c>
      <c r="O85" s="886">
        <v>10487</v>
      </c>
      <c r="P85" s="886">
        <v>12093</v>
      </c>
      <c r="Q85" s="886">
        <v>98000</v>
      </c>
      <c r="R85" s="1053">
        <f t="shared" si="18"/>
        <v>932296.86</v>
      </c>
      <c r="S85" s="1053" t="s">
        <v>29</v>
      </c>
    </row>
    <row r="86" spans="1:19" s="688" customFormat="1">
      <c r="A86" s="557">
        <v>93</v>
      </c>
      <c r="B86" s="880" t="s">
        <v>1994</v>
      </c>
      <c r="C86" s="975" t="s">
        <v>48</v>
      </c>
      <c r="D86" s="1013"/>
      <c r="E86" s="975" t="s">
        <v>42</v>
      </c>
      <c r="F86" s="1056">
        <f>G85</f>
        <v>46147</v>
      </c>
      <c r="G86" s="1056">
        <f>F86+8</f>
        <v>46155</v>
      </c>
      <c r="H86" s="975" t="s">
        <v>1926</v>
      </c>
      <c r="I86" s="1391"/>
      <c r="J86" s="873">
        <v>306</v>
      </c>
      <c r="K86" s="850">
        <v>4.51</v>
      </c>
      <c r="L86" s="850">
        <v>36.020000000000003</v>
      </c>
      <c r="M86" s="850">
        <v>2.419</v>
      </c>
      <c r="N86" s="850">
        <v>256</v>
      </c>
      <c r="O86" s="850">
        <v>10487</v>
      </c>
      <c r="P86" s="850">
        <v>12093</v>
      </c>
      <c r="Q86" s="850">
        <v>98000</v>
      </c>
      <c r="R86" s="1053">
        <f t="shared" ref="R86" si="23">(J86*N86+K86*O86+L86*P86+M86*Q86)</f>
        <v>798284.23</v>
      </c>
      <c r="S86" s="34"/>
    </row>
    <row r="87" spans="1:19" s="688" customFormat="1">
      <c r="A87" s="557">
        <v>78</v>
      </c>
      <c r="B87" s="880" t="s">
        <v>2049</v>
      </c>
      <c r="C87" s="975" t="s">
        <v>50</v>
      </c>
      <c r="D87" s="1004"/>
      <c r="E87" s="975" t="s">
        <v>61</v>
      </c>
      <c r="F87" s="1056">
        <f>G86</f>
        <v>46155</v>
      </c>
      <c r="G87" s="1056">
        <f>F87+4</f>
        <v>46159</v>
      </c>
      <c r="H87" s="975" t="s">
        <v>1925</v>
      </c>
      <c r="I87" s="1391"/>
      <c r="J87" s="873">
        <v>306</v>
      </c>
      <c r="K87" s="850">
        <v>4.51</v>
      </c>
      <c r="L87" s="850">
        <v>36.020000000000003</v>
      </c>
      <c r="M87" s="850">
        <v>2.419</v>
      </c>
      <c r="N87" s="850">
        <v>256</v>
      </c>
      <c r="O87" s="850">
        <v>10487</v>
      </c>
      <c r="P87" s="850">
        <v>12093</v>
      </c>
      <c r="Q87" s="850">
        <v>98000</v>
      </c>
      <c r="R87" s="1053">
        <f t="shared" si="18"/>
        <v>798284.23</v>
      </c>
      <c r="S87" s="1053" t="s">
        <v>978</v>
      </c>
    </row>
    <row r="88" spans="1:19" s="688" customFormat="1">
      <c r="A88" s="557">
        <v>79</v>
      </c>
      <c r="B88" s="975" t="s">
        <v>1979</v>
      </c>
      <c r="C88" s="975" t="s">
        <v>1424</v>
      </c>
      <c r="D88" s="1004"/>
      <c r="E88" s="975" t="s">
        <v>42</v>
      </c>
      <c r="F88" s="1056">
        <f>G87</f>
        <v>46159</v>
      </c>
      <c r="G88" s="1056">
        <f>F88+8</f>
        <v>46167</v>
      </c>
      <c r="H88" s="975" t="s">
        <v>1925</v>
      </c>
      <c r="I88" s="1391"/>
      <c r="J88" s="1058">
        <v>555</v>
      </c>
      <c r="K88" s="1058">
        <v>8.4499999999999993</v>
      </c>
      <c r="L88" s="1058">
        <v>70.78</v>
      </c>
      <c r="M88" s="850">
        <v>5.2329999999999997</v>
      </c>
      <c r="N88" s="850">
        <v>256</v>
      </c>
      <c r="O88" s="850">
        <v>10487</v>
      </c>
      <c r="P88" s="850">
        <v>12093</v>
      </c>
      <c r="Q88" s="850">
        <v>98000</v>
      </c>
      <c r="R88" s="1053">
        <f t="shared" si="18"/>
        <v>1599471.69</v>
      </c>
      <c r="S88" s="1053"/>
    </row>
    <row r="89" spans="1:19" s="688" customFormat="1">
      <c r="A89" s="557">
        <v>80</v>
      </c>
      <c r="B89" s="975" t="s">
        <v>1980</v>
      </c>
      <c r="C89" s="975" t="s">
        <v>48</v>
      </c>
      <c r="D89" s="1004"/>
      <c r="E89" s="975" t="s">
        <v>61</v>
      </c>
      <c r="F89" s="1056">
        <f>G88</f>
        <v>46167</v>
      </c>
      <c r="G89" s="1056">
        <f>F89+5</f>
        <v>46172</v>
      </c>
      <c r="H89" s="975" t="s">
        <v>1925</v>
      </c>
      <c r="I89" s="1391"/>
      <c r="J89" s="1057">
        <v>370</v>
      </c>
      <c r="K89" s="982">
        <v>5.51</v>
      </c>
      <c r="L89" s="982">
        <v>41.93</v>
      </c>
      <c r="M89" s="886">
        <v>2.7829999999999999</v>
      </c>
      <c r="N89" s="850">
        <v>256</v>
      </c>
      <c r="O89" s="850">
        <v>10487</v>
      </c>
      <c r="P89" s="850">
        <v>12093</v>
      </c>
      <c r="Q89" s="850">
        <v>98000</v>
      </c>
      <c r="R89" s="1053">
        <f t="shared" si="18"/>
        <v>932296.86</v>
      </c>
      <c r="S89" s="1053"/>
    </row>
    <row r="90" spans="1:19" s="688" customFormat="1">
      <c r="A90" s="557">
        <v>81</v>
      </c>
      <c r="B90" s="975" t="s">
        <v>1981</v>
      </c>
      <c r="C90" s="975" t="s">
        <v>32</v>
      </c>
      <c r="D90" s="1004"/>
      <c r="E90" s="975" t="s">
        <v>61</v>
      </c>
      <c r="F90" s="1056">
        <v>46143</v>
      </c>
      <c r="G90" s="1056">
        <f>F90+5</f>
        <v>46148</v>
      </c>
      <c r="H90" s="975" t="s">
        <v>1901</v>
      </c>
      <c r="I90" s="1391">
        <v>14</v>
      </c>
      <c r="J90" s="1057">
        <v>370</v>
      </c>
      <c r="K90" s="982">
        <v>5.51</v>
      </c>
      <c r="L90" s="982">
        <v>41.93</v>
      </c>
      <c r="M90" s="886">
        <v>2.7829999999999999</v>
      </c>
      <c r="N90" s="850">
        <v>256</v>
      </c>
      <c r="O90" s="850">
        <v>10487</v>
      </c>
      <c r="P90" s="850">
        <v>12093</v>
      </c>
      <c r="Q90" s="850">
        <v>98000</v>
      </c>
      <c r="R90" s="1053">
        <f t="shared" si="18"/>
        <v>932296.86</v>
      </c>
      <c r="S90" s="34" t="s">
        <v>29</v>
      </c>
    </row>
    <row r="91" spans="1:19" s="688" customFormat="1">
      <c r="A91" s="557">
        <v>82</v>
      </c>
      <c r="B91" s="880" t="s">
        <v>1982</v>
      </c>
      <c r="C91" s="975" t="s">
        <v>1175</v>
      </c>
      <c r="D91" s="1004"/>
      <c r="E91" s="975" t="s">
        <v>42</v>
      </c>
      <c r="F91" s="1056">
        <f>G90</f>
        <v>46148</v>
      </c>
      <c r="G91" s="1056">
        <f>F91+6</f>
        <v>46154</v>
      </c>
      <c r="H91" s="975" t="s">
        <v>1901</v>
      </c>
      <c r="I91" s="1391"/>
      <c r="J91" s="1058">
        <v>555</v>
      </c>
      <c r="K91" s="1058">
        <v>8.4499999999999993</v>
      </c>
      <c r="L91" s="1058">
        <v>70.78</v>
      </c>
      <c r="M91" s="850">
        <v>5.2329999999999997</v>
      </c>
      <c r="N91" s="850">
        <v>256</v>
      </c>
      <c r="O91" s="850">
        <v>10487</v>
      </c>
      <c r="P91" s="850">
        <v>12093</v>
      </c>
      <c r="Q91" s="850">
        <v>98000</v>
      </c>
      <c r="R91" s="1053">
        <f t="shared" si="18"/>
        <v>1599471.69</v>
      </c>
      <c r="S91" s="34" t="s">
        <v>977</v>
      </c>
    </row>
    <row r="92" spans="1:19" s="688" customFormat="1">
      <c r="A92" s="557">
        <v>83</v>
      </c>
      <c r="B92" s="880" t="s">
        <v>1983</v>
      </c>
      <c r="C92" s="975" t="s">
        <v>1181</v>
      </c>
      <c r="D92" s="1004"/>
      <c r="E92" s="975" t="s">
        <v>42</v>
      </c>
      <c r="F92" s="1056">
        <f>G91</f>
        <v>46154</v>
      </c>
      <c r="G92" s="1056">
        <f>F92+8</f>
        <v>46162</v>
      </c>
      <c r="H92" s="975" t="s">
        <v>1901</v>
      </c>
      <c r="I92" s="1391"/>
      <c r="J92" s="1059">
        <v>908.28</v>
      </c>
      <c r="K92" s="687">
        <v>14.11</v>
      </c>
      <c r="L92" s="687">
        <v>135.68</v>
      </c>
      <c r="M92" s="850">
        <v>12.17</v>
      </c>
      <c r="N92" s="850">
        <v>256</v>
      </c>
      <c r="O92" s="850">
        <v>10487</v>
      </c>
      <c r="P92" s="850">
        <v>12093</v>
      </c>
      <c r="Q92" s="850">
        <v>98000</v>
      </c>
      <c r="R92" s="1053">
        <f t="shared" si="18"/>
        <v>3213929.49</v>
      </c>
      <c r="S92" s="34" t="s">
        <v>977</v>
      </c>
    </row>
    <row r="93" spans="1:19" s="688" customFormat="1">
      <c r="A93" s="557">
        <v>84</v>
      </c>
      <c r="B93" s="975" t="s">
        <v>1984</v>
      </c>
      <c r="C93" s="975" t="s">
        <v>1424</v>
      </c>
      <c r="D93" s="1004"/>
      <c r="E93" s="975" t="s">
        <v>42</v>
      </c>
      <c r="F93" s="1056">
        <f>G92</f>
        <v>46162</v>
      </c>
      <c r="G93" s="1056">
        <f>F93+6</f>
        <v>46168</v>
      </c>
      <c r="H93" s="975" t="s">
        <v>1901</v>
      </c>
      <c r="I93" s="1391"/>
      <c r="J93" s="1058">
        <v>555</v>
      </c>
      <c r="K93" s="1058">
        <v>8.4499999999999993</v>
      </c>
      <c r="L93" s="1058">
        <v>70.78</v>
      </c>
      <c r="M93" s="850">
        <v>5.2329999999999997</v>
      </c>
      <c r="N93" s="850">
        <v>256</v>
      </c>
      <c r="O93" s="850">
        <v>10487</v>
      </c>
      <c r="P93" s="850">
        <v>12093</v>
      </c>
      <c r="Q93" s="850">
        <v>98000</v>
      </c>
      <c r="R93" s="1053">
        <f t="shared" si="18"/>
        <v>1599471.69</v>
      </c>
      <c r="S93" s="34" t="s">
        <v>1985</v>
      </c>
    </row>
    <row r="94" spans="1:19" s="688" customFormat="1">
      <c r="A94" s="557">
        <v>85</v>
      </c>
      <c r="B94" s="975" t="s">
        <v>1986</v>
      </c>
      <c r="C94" s="975" t="s">
        <v>1181</v>
      </c>
      <c r="D94" s="1004"/>
      <c r="E94" s="975" t="s">
        <v>42</v>
      </c>
      <c r="F94" s="1056">
        <f>G93</f>
        <v>46168</v>
      </c>
      <c r="G94" s="1056">
        <f>F94+5</f>
        <v>46173</v>
      </c>
      <c r="H94" s="975" t="s">
        <v>1901</v>
      </c>
      <c r="I94" s="1391"/>
      <c r="J94" s="1059">
        <v>908.28</v>
      </c>
      <c r="K94" s="687">
        <v>14.11</v>
      </c>
      <c r="L94" s="687">
        <v>135.68</v>
      </c>
      <c r="M94" s="850">
        <v>12.17</v>
      </c>
      <c r="N94" s="850">
        <v>256</v>
      </c>
      <c r="O94" s="850">
        <v>10487</v>
      </c>
      <c r="P94" s="850">
        <v>12093</v>
      </c>
      <c r="Q94" s="850">
        <v>98000</v>
      </c>
      <c r="R94" s="1053">
        <f t="shared" si="18"/>
        <v>3213929.49</v>
      </c>
      <c r="S94" s="34" t="s">
        <v>1985</v>
      </c>
    </row>
    <row r="95" spans="1:19" s="688" customFormat="1">
      <c r="A95" s="557">
        <v>86</v>
      </c>
      <c r="B95" s="975" t="s">
        <v>1987</v>
      </c>
      <c r="C95" s="975" t="s">
        <v>32</v>
      </c>
      <c r="D95" s="1004"/>
      <c r="E95" s="975" t="s">
        <v>61</v>
      </c>
      <c r="F95" s="1056">
        <v>46143</v>
      </c>
      <c r="G95" s="1056">
        <f>F95+5</f>
        <v>46148</v>
      </c>
      <c r="H95" s="975" t="s">
        <v>1886</v>
      </c>
      <c r="I95" s="1391">
        <v>10</v>
      </c>
      <c r="J95" s="1057">
        <v>370</v>
      </c>
      <c r="K95" s="982">
        <v>5.51</v>
      </c>
      <c r="L95" s="982">
        <v>41.93</v>
      </c>
      <c r="M95" s="886">
        <v>2.7829999999999999</v>
      </c>
      <c r="N95" s="850">
        <v>256</v>
      </c>
      <c r="O95" s="850">
        <v>10487</v>
      </c>
      <c r="P95" s="850">
        <v>12093</v>
      </c>
      <c r="Q95" s="850">
        <v>98000</v>
      </c>
      <c r="R95" s="1053">
        <f t="shared" si="18"/>
        <v>932296.86</v>
      </c>
      <c r="S95" s="1053" t="s">
        <v>978</v>
      </c>
    </row>
    <row r="96" spans="1:19" s="688" customFormat="1">
      <c r="A96" s="557">
        <v>87</v>
      </c>
      <c r="B96" s="975" t="s">
        <v>1988</v>
      </c>
      <c r="C96" s="975" t="s">
        <v>1423</v>
      </c>
      <c r="D96" s="1004"/>
      <c r="E96" s="975" t="s">
        <v>61</v>
      </c>
      <c r="F96" s="1056">
        <f>G95</f>
        <v>46148</v>
      </c>
      <c r="G96" s="1056">
        <f>F96+6</f>
        <v>46154</v>
      </c>
      <c r="H96" s="975" t="s">
        <v>1886</v>
      </c>
      <c r="I96" s="1391"/>
      <c r="J96" s="886">
        <v>1083</v>
      </c>
      <c r="K96" s="886">
        <v>16.93</v>
      </c>
      <c r="L96" s="886">
        <v>160.88</v>
      </c>
      <c r="M96" s="886">
        <v>13.832000000000001</v>
      </c>
      <c r="N96" s="850">
        <v>256</v>
      </c>
      <c r="O96" s="850">
        <v>10487</v>
      </c>
      <c r="P96" s="850">
        <v>12093</v>
      </c>
      <c r="Q96" s="850">
        <v>98000</v>
      </c>
      <c r="R96" s="1053">
        <f t="shared" si="18"/>
        <v>3755850.75</v>
      </c>
      <c r="S96" s="1053" t="s">
        <v>978</v>
      </c>
    </row>
    <row r="97" spans="1:20" s="688" customFormat="1">
      <c r="A97" s="557">
        <v>88</v>
      </c>
      <c r="B97" s="975" t="s">
        <v>1989</v>
      </c>
      <c r="C97" s="975" t="s">
        <v>1424</v>
      </c>
      <c r="D97" s="1004"/>
      <c r="E97" s="975" t="s">
        <v>61</v>
      </c>
      <c r="F97" s="1056">
        <f>G96</f>
        <v>46154</v>
      </c>
      <c r="G97" s="1056">
        <f>F97+8</f>
        <v>46162</v>
      </c>
      <c r="H97" s="975" t="s">
        <v>1886</v>
      </c>
      <c r="I97" s="1391"/>
      <c r="J97" s="886">
        <v>1083</v>
      </c>
      <c r="K97" s="886">
        <v>16.93</v>
      </c>
      <c r="L97" s="886">
        <v>160.88</v>
      </c>
      <c r="M97" s="886">
        <v>13.832000000000001</v>
      </c>
      <c r="N97" s="850">
        <v>256</v>
      </c>
      <c r="O97" s="850">
        <v>10487</v>
      </c>
      <c r="P97" s="850">
        <v>12093</v>
      </c>
      <c r="Q97" s="850">
        <v>98000</v>
      </c>
      <c r="R97" s="1053">
        <f t="shared" si="18"/>
        <v>3755850.75</v>
      </c>
      <c r="S97" s="74"/>
    </row>
    <row r="98" spans="1:20" s="688" customFormat="1">
      <c r="A98" s="557">
        <v>89</v>
      </c>
      <c r="B98" s="975" t="s">
        <v>1990</v>
      </c>
      <c r="C98" s="975" t="s">
        <v>1424</v>
      </c>
      <c r="D98" s="1004"/>
      <c r="E98" s="975" t="s">
        <v>42</v>
      </c>
      <c r="F98" s="1056">
        <f>G97</f>
        <v>46162</v>
      </c>
      <c r="G98" s="1056">
        <f>F98+6</f>
        <v>46168</v>
      </c>
      <c r="H98" s="975" t="s">
        <v>1886</v>
      </c>
      <c r="I98" s="1391"/>
      <c r="J98" s="1058">
        <v>555</v>
      </c>
      <c r="K98" s="1058">
        <v>8.4499999999999993</v>
      </c>
      <c r="L98" s="1058">
        <v>70.78</v>
      </c>
      <c r="M98" s="850">
        <v>5.2329999999999997</v>
      </c>
      <c r="N98" s="850">
        <v>256</v>
      </c>
      <c r="O98" s="850">
        <v>10487</v>
      </c>
      <c r="P98" s="850">
        <v>12093</v>
      </c>
      <c r="Q98" s="850">
        <v>98000</v>
      </c>
      <c r="R98" s="1053">
        <f t="shared" si="18"/>
        <v>1599471.69</v>
      </c>
      <c r="S98" s="34" t="s">
        <v>1985</v>
      </c>
    </row>
    <row r="99" spans="1:20" s="688" customFormat="1">
      <c r="A99" s="557">
        <v>90</v>
      </c>
      <c r="B99" s="975" t="s">
        <v>1991</v>
      </c>
      <c r="C99" s="975" t="s">
        <v>1181</v>
      </c>
      <c r="D99" s="1004"/>
      <c r="E99" s="975" t="s">
        <v>42</v>
      </c>
      <c r="F99" s="1056">
        <f>G98</f>
        <v>46168</v>
      </c>
      <c r="G99" s="1056">
        <f>F99+5</f>
        <v>46173</v>
      </c>
      <c r="H99" s="975" t="s">
        <v>1886</v>
      </c>
      <c r="I99" s="1391"/>
      <c r="J99" s="1059">
        <v>908.28</v>
      </c>
      <c r="K99" s="687">
        <v>14.11</v>
      </c>
      <c r="L99" s="687">
        <v>135.68</v>
      </c>
      <c r="M99" s="850">
        <v>12.17</v>
      </c>
      <c r="N99" s="850">
        <v>256</v>
      </c>
      <c r="O99" s="850">
        <v>10487</v>
      </c>
      <c r="P99" s="850">
        <v>12093</v>
      </c>
      <c r="Q99" s="850">
        <v>98000</v>
      </c>
      <c r="R99" s="1053">
        <f t="shared" si="18"/>
        <v>3213929.49</v>
      </c>
      <c r="S99" s="34" t="s">
        <v>1985</v>
      </c>
    </row>
    <row r="100" spans="1:20" s="688" customFormat="1">
      <c r="A100" s="557">
        <v>91</v>
      </c>
      <c r="B100" s="880" t="s">
        <v>1992</v>
      </c>
      <c r="C100" s="975" t="s">
        <v>32</v>
      </c>
      <c r="D100" s="1004"/>
      <c r="E100" s="975" t="s">
        <v>42</v>
      </c>
      <c r="F100" s="1056">
        <v>46143</v>
      </c>
      <c r="G100" s="1056">
        <f>F100+5</f>
        <v>46148</v>
      </c>
      <c r="H100" s="975" t="s">
        <v>1926</v>
      </c>
      <c r="I100" s="1391">
        <v>10</v>
      </c>
      <c r="J100" s="873">
        <v>306</v>
      </c>
      <c r="K100" s="850">
        <v>4.51</v>
      </c>
      <c r="L100" s="850">
        <v>36.020000000000003</v>
      </c>
      <c r="M100" s="850">
        <v>2.419</v>
      </c>
      <c r="N100" s="850">
        <v>256</v>
      </c>
      <c r="O100" s="850">
        <v>10487</v>
      </c>
      <c r="P100" s="850">
        <v>12093</v>
      </c>
      <c r="Q100" s="850">
        <v>98000</v>
      </c>
      <c r="R100" s="1053">
        <f t="shared" si="18"/>
        <v>798284.23</v>
      </c>
      <c r="S100" s="1053" t="s">
        <v>29</v>
      </c>
    </row>
    <row r="101" spans="1:20" s="688" customFormat="1">
      <c r="A101" s="557">
        <v>92</v>
      </c>
      <c r="B101" s="1060" t="s">
        <v>1993</v>
      </c>
      <c r="C101" s="975" t="s">
        <v>32</v>
      </c>
      <c r="D101" s="1004"/>
      <c r="E101" s="975" t="s">
        <v>42</v>
      </c>
      <c r="F101" s="1056">
        <f>G100</f>
        <v>46148</v>
      </c>
      <c r="G101" s="1056">
        <f>F101+6</f>
        <v>46154</v>
      </c>
      <c r="H101" s="975" t="s">
        <v>1926</v>
      </c>
      <c r="I101" s="1391"/>
      <c r="J101" s="873">
        <v>306</v>
      </c>
      <c r="K101" s="850">
        <v>4.51</v>
      </c>
      <c r="L101" s="850">
        <v>36.020000000000003</v>
      </c>
      <c r="M101" s="850">
        <v>2.419</v>
      </c>
      <c r="N101" s="850">
        <v>256</v>
      </c>
      <c r="O101" s="850">
        <v>10487</v>
      </c>
      <c r="P101" s="850">
        <v>12093</v>
      </c>
      <c r="Q101" s="850">
        <v>98000</v>
      </c>
      <c r="R101" s="1053">
        <f t="shared" si="18"/>
        <v>798284.23</v>
      </c>
      <c r="S101" s="1053" t="s">
        <v>29</v>
      </c>
    </row>
    <row r="102" spans="1:20" s="688" customFormat="1">
      <c r="A102" s="557">
        <v>93</v>
      </c>
      <c r="B102" s="880" t="s">
        <v>1996</v>
      </c>
      <c r="C102" s="975" t="s">
        <v>34</v>
      </c>
      <c r="D102" s="1004"/>
      <c r="E102" s="975" t="s">
        <v>42</v>
      </c>
      <c r="F102" s="1056">
        <f>G101</f>
        <v>46154</v>
      </c>
      <c r="G102" s="1056">
        <f>F102+8</f>
        <v>46162</v>
      </c>
      <c r="H102" s="975" t="s">
        <v>1926</v>
      </c>
      <c r="I102" s="1391"/>
      <c r="J102" s="873">
        <v>306</v>
      </c>
      <c r="K102" s="850">
        <v>4.51</v>
      </c>
      <c r="L102" s="850">
        <v>36.020000000000003</v>
      </c>
      <c r="M102" s="850">
        <v>2.419</v>
      </c>
      <c r="N102" s="850">
        <v>256</v>
      </c>
      <c r="O102" s="850">
        <v>10487</v>
      </c>
      <c r="P102" s="850">
        <v>12093</v>
      </c>
      <c r="Q102" s="850">
        <v>98000</v>
      </c>
      <c r="R102" s="1053">
        <f t="shared" si="18"/>
        <v>798284.23</v>
      </c>
      <c r="S102" s="34" t="s">
        <v>978</v>
      </c>
    </row>
    <row r="103" spans="1:20" s="688" customFormat="1">
      <c r="A103" s="557">
        <v>94</v>
      </c>
      <c r="B103" s="880" t="s">
        <v>1995</v>
      </c>
      <c r="C103" s="975" t="s">
        <v>34</v>
      </c>
      <c r="D103" s="1004"/>
      <c r="E103" s="975" t="s">
        <v>42</v>
      </c>
      <c r="F103" s="1056">
        <f>G102</f>
        <v>46162</v>
      </c>
      <c r="G103" s="1056">
        <f>F103+6</f>
        <v>46168</v>
      </c>
      <c r="H103" s="975" t="s">
        <v>1926</v>
      </c>
      <c r="I103" s="1391"/>
      <c r="J103" s="873">
        <v>306</v>
      </c>
      <c r="K103" s="850">
        <v>4.51</v>
      </c>
      <c r="L103" s="850">
        <v>36.020000000000003</v>
      </c>
      <c r="M103" s="850">
        <v>2.419</v>
      </c>
      <c r="N103" s="850">
        <v>256</v>
      </c>
      <c r="O103" s="850">
        <v>10487</v>
      </c>
      <c r="P103" s="850">
        <v>12093</v>
      </c>
      <c r="Q103" s="850">
        <v>98000</v>
      </c>
      <c r="R103" s="1053">
        <f t="shared" si="18"/>
        <v>798284.23</v>
      </c>
      <c r="S103" s="34" t="s">
        <v>977</v>
      </c>
    </row>
    <row r="104" spans="1:20" s="688" customFormat="1">
      <c r="A104" s="557">
        <v>95</v>
      </c>
      <c r="B104" s="880" t="s">
        <v>1994</v>
      </c>
      <c r="C104" s="975" t="s">
        <v>48</v>
      </c>
      <c r="D104" s="1004"/>
      <c r="E104" s="975" t="s">
        <v>42</v>
      </c>
      <c r="F104" s="1056">
        <f>G103</f>
        <v>46168</v>
      </c>
      <c r="G104" s="1056">
        <f>F104+5</f>
        <v>46173</v>
      </c>
      <c r="H104" s="975" t="s">
        <v>1926</v>
      </c>
      <c r="I104" s="1391"/>
      <c r="J104" s="873">
        <v>306</v>
      </c>
      <c r="K104" s="850">
        <v>4.51</v>
      </c>
      <c r="L104" s="850">
        <v>36.020000000000003</v>
      </c>
      <c r="M104" s="850">
        <v>2.419</v>
      </c>
      <c r="N104" s="850">
        <v>256</v>
      </c>
      <c r="O104" s="850">
        <v>10487</v>
      </c>
      <c r="P104" s="850">
        <v>12093</v>
      </c>
      <c r="Q104" s="850">
        <v>98000</v>
      </c>
      <c r="R104" s="1053">
        <f t="shared" si="18"/>
        <v>798284.23</v>
      </c>
      <c r="S104" s="34" t="s">
        <v>977</v>
      </c>
    </row>
    <row r="105" spans="1:20" s="688" customFormat="1">
      <c r="A105" s="557">
        <v>96</v>
      </c>
      <c r="B105" s="1061" t="s">
        <v>1997</v>
      </c>
      <c r="C105" s="975" t="s">
        <v>32</v>
      </c>
      <c r="D105" s="1004"/>
      <c r="E105" s="975" t="s">
        <v>42</v>
      </c>
      <c r="F105" s="1056">
        <v>46150</v>
      </c>
      <c r="G105" s="1056">
        <f>F105+4</f>
        <v>46154</v>
      </c>
      <c r="H105" s="1413" t="s">
        <v>2021</v>
      </c>
      <c r="I105" s="1391"/>
      <c r="J105" s="873">
        <v>306</v>
      </c>
      <c r="K105" s="850">
        <v>4.51</v>
      </c>
      <c r="L105" s="850">
        <v>36.020000000000003</v>
      </c>
      <c r="M105" s="850">
        <v>2.419</v>
      </c>
      <c r="N105" s="850">
        <v>256</v>
      </c>
      <c r="O105" s="850">
        <v>10487</v>
      </c>
      <c r="P105" s="850">
        <v>12093</v>
      </c>
      <c r="Q105" s="850">
        <v>98000</v>
      </c>
      <c r="R105" s="1053">
        <f t="shared" si="18"/>
        <v>798284.23</v>
      </c>
      <c r="S105" s="34"/>
    </row>
    <row r="106" spans="1:20" s="688" customFormat="1">
      <c r="A106" s="557">
        <v>97</v>
      </c>
      <c r="B106" s="880" t="s">
        <v>1998</v>
      </c>
      <c r="C106" s="975" t="s">
        <v>45</v>
      </c>
      <c r="D106" s="1004"/>
      <c r="E106" s="975" t="s">
        <v>31</v>
      </c>
      <c r="F106" s="1056">
        <f>G105</f>
        <v>46154</v>
      </c>
      <c r="G106" s="1056">
        <f>F106+6</f>
        <v>46160</v>
      </c>
      <c r="H106" s="1414"/>
      <c r="I106" s="1391"/>
      <c r="J106" s="873">
        <v>758</v>
      </c>
      <c r="K106" s="850">
        <v>11.7</v>
      </c>
      <c r="L106" s="850">
        <v>113.63</v>
      </c>
      <c r="M106" s="850">
        <v>10.175000000000001</v>
      </c>
      <c r="N106" s="850">
        <v>256</v>
      </c>
      <c r="O106" s="850">
        <v>10487</v>
      </c>
      <c r="P106" s="850">
        <v>12093</v>
      </c>
      <c r="Q106" s="850">
        <v>98000</v>
      </c>
      <c r="R106" s="1053">
        <f t="shared" si="18"/>
        <v>2688023.4899999998</v>
      </c>
      <c r="S106" s="34" t="s">
        <v>977</v>
      </c>
    </row>
    <row r="107" spans="1:20" s="688" customFormat="1">
      <c r="A107" s="557">
        <v>98</v>
      </c>
      <c r="B107" s="880" t="s">
        <v>1999</v>
      </c>
      <c r="C107" s="975" t="s">
        <v>57</v>
      </c>
      <c r="D107" s="1004"/>
      <c r="E107" s="975" t="s">
        <v>31</v>
      </c>
      <c r="F107" s="1056">
        <f>G106</f>
        <v>46160</v>
      </c>
      <c r="G107" s="1056">
        <f>F107+4</f>
        <v>46164</v>
      </c>
      <c r="H107" s="1414"/>
      <c r="I107" s="1391"/>
      <c r="J107" s="873">
        <v>580</v>
      </c>
      <c r="K107" s="850">
        <v>8.84</v>
      </c>
      <c r="L107" s="850">
        <v>80.349999999999994</v>
      </c>
      <c r="M107" s="850">
        <v>6.0960000000000001</v>
      </c>
      <c r="N107" s="850">
        <v>256</v>
      </c>
      <c r="O107" s="850">
        <v>10487</v>
      </c>
      <c r="P107" s="850">
        <v>12093</v>
      </c>
      <c r="Q107" s="850">
        <v>98000</v>
      </c>
      <c r="R107" s="1053">
        <f t="shared" si="18"/>
        <v>1810265.63</v>
      </c>
      <c r="S107" s="34" t="s">
        <v>977</v>
      </c>
    </row>
    <row r="108" spans="1:20" s="688" customFormat="1">
      <c r="A108" s="557">
        <v>99</v>
      </c>
      <c r="B108" s="880" t="s">
        <v>2000</v>
      </c>
      <c r="C108" s="975" t="s">
        <v>53</v>
      </c>
      <c r="D108" s="1004"/>
      <c r="E108" s="975" t="s">
        <v>42</v>
      </c>
      <c r="F108" s="1056">
        <f>G107</f>
        <v>46164</v>
      </c>
      <c r="G108" s="1056">
        <f>F108+5</f>
        <v>46169</v>
      </c>
      <c r="H108" s="1414"/>
      <c r="I108" s="1391"/>
      <c r="J108" s="1058">
        <v>693.12</v>
      </c>
      <c r="K108" s="687">
        <v>10.66</v>
      </c>
      <c r="L108" s="687">
        <v>95.43</v>
      </c>
      <c r="M108" s="850">
        <v>7.2220000000000004</v>
      </c>
      <c r="N108" s="850">
        <v>256</v>
      </c>
      <c r="O108" s="850">
        <v>10487</v>
      </c>
      <c r="P108" s="850">
        <v>12093</v>
      </c>
      <c r="Q108" s="850">
        <v>98000</v>
      </c>
      <c r="R108" s="1053">
        <f t="shared" si="18"/>
        <v>2151021.13</v>
      </c>
      <c r="S108" s="34" t="s">
        <v>977</v>
      </c>
    </row>
    <row r="109" spans="1:20" s="688" customFormat="1">
      <c r="A109" s="557">
        <v>100</v>
      </c>
      <c r="B109" s="880" t="s">
        <v>2001</v>
      </c>
      <c r="C109" s="975" t="s">
        <v>53</v>
      </c>
      <c r="D109" s="1004"/>
      <c r="E109" s="975" t="s">
        <v>61</v>
      </c>
      <c r="F109" s="1056">
        <f>G108</f>
        <v>46169</v>
      </c>
      <c r="G109" s="1056">
        <f t="shared" ref="G109" si="24">F109+4</f>
        <v>46173</v>
      </c>
      <c r="H109" s="1415"/>
      <c r="I109" s="1391"/>
      <c r="J109" s="1058">
        <v>817</v>
      </c>
      <c r="K109" s="687">
        <v>12.64</v>
      </c>
      <c r="L109" s="687">
        <v>111.89</v>
      </c>
      <c r="M109" s="850">
        <v>8.1890000000000001</v>
      </c>
      <c r="N109" s="850">
        <v>256</v>
      </c>
      <c r="O109" s="850">
        <v>10487</v>
      </c>
      <c r="P109" s="850">
        <v>12093</v>
      </c>
      <c r="Q109" s="850">
        <v>98000</v>
      </c>
      <c r="R109" s="1053">
        <f t="shared" si="18"/>
        <v>2497315.4500000002</v>
      </c>
      <c r="S109" s="34" t="s">
        <v>977</v>
      </c>
    </row>
    <row r="110" spans="1:20" s="688" customFormat="1">
      <c r="B110" s="1039"/>
      <c r="C110" s="1040"/>
      <c r="D110" s="1040"/>
      <c r="E110" s="1040"/>
      <c r="F110" s="1039"/>
      <c r="G110" s="1041"/>
      <c r="H110" s="1041"/>
      <c r="I110" s="1041"/>
      <c r="J110" s="1042"/>
      <c r="K110" s="1043"/>
      <c r="L110" s="1043"/>
      <c r="M110" s="1043"/>
      <c r="N110" s="1044"/>
      <c r="O110" s="1045"/>
      <c r="P110" s="1045"/>
      <c r="Q110" s="1045"/>
      <c r="R110" s="1045"/>
      <c r="S110" s="1046"/>
      <c r="T110" s="1039"/>
    </row>
    <row r="111" spans="1:20" s="688" customFormat="1">
      <c r="B111" s="1039"/>
      <c r="C111" s="1040"/>
      <c r="D111" s="1040"/>
      <c r="E111" s="1040"/>
      <c r="F111" s="1039"/>
      <c r="G111" s="1041"/>
      <c r="H111" s="1041"/>
      <c r="I111" s="1041"/>
      <c r="J111" s="1042"/>
      <c r="K111" s="1043"/>
      <c r="L111" s="1043"/>
      <c r="M111" s="1043"/>
      <c r="N111" s="1044"/>
      <c r="O111" s="1045"/>
      <c r="P111" s="1045"/>
      <c r="Q111" s="1045"/>
      <c r="R111" s="1045"/>
      <c r="S111" s="1046"/>
      <c r="T111" s="1039"/>
    </row>
    <row r="113" spans="1:10">
      <c r="A113" s="1392" t="s">
        <v>928</v>
      </c>
      <c r="B113" s="1393"/>
      <c r="C113" s="1393"/>
      <c r="D113" s="1393"/>
      <c r="E113" s="1393"/>
      <c r="F113" s="1393"/>
      <c r="G113" s="1394"/>
    </row>
    <row r="114" spans="1:10" s="574" customFormat="1" ht="38.25">
      <c r="A114" s="819" t="s">
        <v>1054</v>
      </c>
      <c r="B114" s="819" t="s">
        <v>2017</v>
      </c>
      <c r="C114" s="819" t="s">
        <v>1189</v>
      </c>
      <c r="D114" s="819" t="s">
        <v>1187</v>
      </c>
      <c r="E114" s="819" t="s">
        <v>2018</v>
      </c>
      <c r="F114" s="819" t="s">
        <v>978</v>
      </c>
      <c r="G114" s="819" t="s">
        <v>2019</v>
      </c>
    </row>
    <row r="115" spans="1:10">
      <c r="A115" s="820" t="s">
        <v>1055</v>
      </c>
      <c r="B115" s="820">
        <v>15</v>
      </c>
      <c r="C115" s="820">
        <v>3</v>
      </c>
      <c r="D115" s="822">
        <f>H187+H192+H197</f>
        <v>51</v>
      </c>
      <c r="E115" s="820">
        <v>10</v>
      </c>
      <c r="F115" s="820">
        <v>3</v>
      </c>
      <c r="G115" s="539">
        <f>B115-E115-F115</f>
        <v>2</v>
      </c>
    </row>
    <row r="116" spans="1:10" ht="25.5">
      <c r="A116" s="820" t="s">
        <v>1056</v>
      </c>
      <c r="B116" s="824">
        <v>55</v>
      </c>
      <c r="C116" s="820">
        <v>3</v>
      </c>
      <c r="D116" s="822">
        <f>H122+H134+H149+H159+H168</f>
        <v>47</v>
      </c>
      <c r="E116" s="820">
        <v>18</v>
      </c>
      <c r="F116" s="820">
        <v>3</v>
      </c>
      <c r="G116" s="539">
        <f>B116-E116-F116</f>
        <v>34</v>
      </c>
    </row>
    <row r="117" spans="1:10" ht="25.5">
      <c r="A117" s="820" t="s">
        <v>1057</v>
      </c>
      <c r="B117" s="824">
        <v>10</v>
      </c>
      <c r="C117" s="820">
        <v>1</v>
      </c>
      <c r="D117" s="820">
        <f>H168+H177</f>
        <v>0</v>
      </c>
      <c r="E117" s="820">
        <v>2</v>
      </c>
      <c r="F117" s="820">
        <v>1</v>
      </c>
      <c r="G117" s="539">
        <f>B117-E117-F117</f>
        <v>7</v>
      </c>
    </row>
    <row r="118" spans="1:10">
      <c r="A118" s="825" t="s">
        <v>1059</v>
      </c>
      <c r="B118" s="825">
        <f>SUM(B115:B117)</f>
        <v>80</v>
      </c>
      <c r="C118" s="825">
        <f>SUM(C115:C117)</f>
        <v>7</v>
      </c>
      <c r="D118" s="825">
        <f>SUM(D115:D117)</f>
        <v>98</v>
      </c>
      <c r="E118" s="825">
        <f>SUM(E115:E117)</f>
        <v>30</v>
      </c>
      <c r="F118" s="825">
        <f t="shared" ref="F118" si="25">SUM(F115:F117)</f>
        <v>7</v>
      </c>
      <c r="G118" s="825">
        <f>SUM(G115:G117)</f>
        <v>43</v>
      </c>
    </row>
    <row r="120" spans="1:10">
      <c r="A120" s="1390" t="s">
        <v>2010</v>
      </c>
      <c r="B120" s="1390"/>
      <c r="C120" s="1390"/>
      <c r="D120" s="1390"/>
      <c r="E120" s="1390"/>
      <c r="F120" s="1390"/>
      <c r="G120" s="1390"/>
      <c r="H120" s="1390"/>
      <c r="I120" s="1390"/>
    </row>
    <row r="121" spans="1:10" ht="21">
      <c r="A121" s="1022" t="s">
        <v>2004</v>
      </c>
      <c r="B121" s="1023" t="s">
        <v>2005</v>
      </c>
      <c r="C121" s="1022" t="s">
        <v>989</v>
      </c>
      <c r="D121" s="1022" t="s">
        <v>1831</v>
      </c>
      <c r="E121" s="1022" t="s">
        <v>1966</v>
      </c>
      <c r="F121" s="1022" t="s">
        <v>1967</v>
      </c>
      <c r="G121" s="1023" t="s">
        <v>1069</v>
      </c>
      <c r="H121" s="1023" t="s">
        <v>1854</v>
      </c>
      <c r="I121" s="1022" t="s">
        <v>1976</v>
      </c>
      <c r="J121" s="1023" t="s">
        <v>2</v>
      </c>
    </row>
    <row r="122" spans="1:10">
      <c r="A122" s="557">
        <v>1</v>
      </c>
      <c r="B122" s="1004" t="s">
        <v>1640</v>
      </c>
      <c r="C122" s="1027" t="s">
        <v>32</v>
      </c>
      <c r="D122" s="1004">
        <v>5.1669999999999998</v>
      </c>
      <c r="E122" s="1017">
        <v>46143</v>
      </c>
      <c r="F122" s="1017">
        <f t="shared" ref="F122:F127" si="26">E122+2</f>
        <v>46145</v>
      </c>
      <c r="G122" s="1004" t="s">
        <v>1920</v>
      </c>
      <c r="H122" s="1389">
        <v>16</v>
      </c>
      <c r="I122" s="1071">
        <f t="shared" ref="I122:I154" si="27">D122*9798</f>
        <v>50626.265999999996</v>
      </c>
      <c r="J122" s="1032" t="s">
        <v>29</v>
      </c>
    </row>
    <row r="123" spans="1:10">
      <c r="A123" s="557">
        <v>2</v>
      </c>
      <c r="B123" s="1004" t="s">
        <v>1687</v>
      </c>
      <c r="C123" s="1004" t="s">
        <v>1181</v>
      </c>
      <c r="D123" s="1004">
        <v>8.0860000000000003</v>
      </c>
      <c r="E123" s="1017">
        <f>F122</f>
        <v>46145</v>
      </c>
      <c r="F123" s="1017">
        <f t="shared" si="26"/>
        <v>46147</v>
      </c>
      <c r="G123" s="1004" t="s">
        <v>1920</v>
      </c>
      <c r="H123" s="1389"/>
      <c r="I123" s="1071">
        <f t="shared" si="27"/>
        <v>79226.627999999997</v>
      </c>
      <c r="J123" s="1032" t="s">
        <v>29</v>
      </c>
    </row>
    <row r="124" spans="1:10">
      <c r="A124" s="557">
        <v>3</v>
      </c>
      <c r="B124" s="1113" t="s">
        <v>1686</v>
      </c>
      <c r="C124" s="1146" t="s">
        <v>34</v>
      </c>
      <c r="D124" s="1146">
        <v>4.3780000000000001</v>
      </c>
      <c r="E124" s="1017">
        <f t="shared" ref="E124:E133" si="28">F123</f>
        <v>46147</v>
      </c>
      <c r="F124" s="1017">
        <f t="shared" si="26"/>
        <v>46149</v>
      </c>
      <c r="G124" s="1004" t="s">
        <v>1920</v>
      </c>
      <c r="H124" s="1389"/>
      <c r="I124" s="1071">
        <f t="shared" si="27"/>
        <v>42895.644</v>
      </c>
      <c r="J124" s="1032" t="s">
        <v>29</v>
      </c>
    </row>
    <row r="125" spans="1:10">
      <c r="A125" s="557">
        <v>4</v>
      </c>
      <c r="B125" s="1004" t="s">
        <v>1685</v>
      </c>
      <c r="C125" s="1027" t="s">
        <v>48</v>
      </c>
      <c r="D125" s="1004">
        <v>5.7130000000000001</v>
      </c>
      <c r="E125" s="1017">
        <f t="shared" si="28"/>
        <v>46149</v>
      </c>
      <c r="F125" s="1017">
        <f t="shared" si="26"/>
        <v>46151</v>
      </c>
      <c r="G125" s="1004" t="s">
        <v>1920</v>
      </c>
      <c r="H125" s="1389"/>
      <c r="I125" s="1071">
        <f t="shared" si="27"/>
        <v>55975.974000000002</v>
      </c>
      <c r="J125" s="1032" t="s">
        <v>978</v>
      </c>
    </row>
    <row r="126" spans="1:10">
      <c r="A126" s="557">
        <v>5</v>
      </c>
      <c r="B126" s="1004" t="s">
        <v>1684</v>
      </c>
      <c r="C126" s="1027" t="s">
        <v>32</v>
      </c>
      <c r="D126" s="1004">
        <v>5.1669999999999998</v>
      </c>
      <c r="E126" s="1017">
        <f t="shared" si="28"/>
        <v>46151</v>
      </c>
      <c r="F126" s="1017">
        <f t="shared" si="26"/>
        <v>46153</v>
      </c>
      <c r="G126" s="1004" t="s">
        <v>1920</v>
      </c>
      <c r="H126" s="1389"/>
      <c r="I126" s="1071">
        <f t="shared" si="27"/>
        <v>50626.265999999996</v>
      </c>
      <c r="J126" s="1032"/>
    </row>
    <row r="127" spans="1:10">
      <c r="A127" s="557">
        <v>6</v>
      </c>
      <c r="B127" s="1004" t="s">
        <v>1683</v>
      </c>
      <c r="C127" s="1027" t="s">
        <v>50</v>
      </c>
      <c r="D127" s="1004">
        <v>9.7910000000000004</v>
      </c>
      <c r="E127" s="1017">
        <f t="shared" si="28"/>
        <v>46153</v>
      </c>
      <c r="F127" s="1017">
        <f t="shared" si="26"/>
        <v>46155</v>
      </c>
      <c r="G127" s="1004" t="s">
        <v>1920</v>
      </c>
      <c r="H127" s="1389"/>
      <c r="I127" s="1071">
        <f t="shared" si="27"/>
        <v>95932.218000000008</v>
      </c>
      <c r="J127" s="1032"/>
    </row>
    <row r="128" spans="1:10">
      <c r="A128" s="557">
        <v>7</v>
      </c>
      <c r="B128" s="1004" t="s">
        <v>1692</v>
      </c>
      <c r="C128" s="1027" t="s">
        <v>53</v>
      </c>
      <c r="D128" s="1004">
        <v>6.5629999999999997</v>
      </c>
      <c r="E128" s="1017">
        <f t="shared" si="28"/>
        <v>46155</v>
      </c>
      <c r="F128" s="1017">
        <f t="shared" ref="F128:F133" si="29">E128+3</f>
        <v>46158</v>
      </c>
      <c r="G128" s="1004" t="s">
        <v>1920</v>
      </c>
      <c r="H128" s="1389"/>
      <c r="I128" s="1071">
        <f t="shared" si="27"/>
        <v>64304.273999999998</v>
      </c>
      <c r="J128" s="1032"/>
    </row>
    <row r="129" spans="1:10">
      <c r="A129" s="557">
        <v>8</v>
      </c>
      <c r="B129" s="1004" t="s">
        <v>1693</v>
      </c>
      <c r="C129" s="1027" t="s">
        <v>32</v>
      </c>
      <c r="D129" s="1004">
        <v>5.1669999999999998</v>
      </c>
      <c r="E129" s="1017">
        <f t="shared" si="28"/>
        <v>46158</v>
      </c>
      <c r="F129" s="1017">
        <f t="shared" si="29"/>
        <v>46161</v>
      </c>
      <c r="G129" s="1004" t="s">
        <v>1920</v>
      </c>
      <c r="H129" s="1389"/>
      <c r="I129" s="1071">
        <f t="shared" si="27"/>
        <v>50626.265999999996</v>
      </c>
      <c r="J129" s="1032"/>
    </row>
    <row r="130" spans="1:10">
      <c r="A130" s="557">
        <v>9</v>
      </c>
      <c r="B130" s="1004" t="s">
        <v>1694</v>
      </c>
      <c r="C130" s="1027" t="s">
        <v>1181</v>
      </c>
      <c r="D130" s="1004">
        <v>8.0860000000000003</v>
      </c>
      <c r="E130" s="1017">
        <f t="shared" si="28"/>
        <v>46161</v>
      </c>
      <c r="F130" s="1017">
        <f t="shared" si="29"/>
        <v>46164</v>
      </c>
      <c r="G130" s="1004" t="s">
        <v>1920</v>
      </c>
      <c r="H130" s="1389"/>
      <c r="I130" s="1071">
        <f t="shared" si="27"/>
        <v>79226.627999999997</v>
      </c>
      <c r="J130" s="1032"/>
    </row>
    <row r="131" spans="1:10">
      <c r="A131" s="557">
        <v>10</v>
      </c>
      <c r="B131" s="1004" t="s">
        <v>1235</v>
      </c>
      <c r="C131" s="1027" t="s">
        <v>50</v>
      </c>
      <c r="D131" s="1004">
        <v>9.7910000000000004</v>
      </c>
      <c r="E131" s="1017">
        <f t="shared" si="28"/>
        <v>46164</v>
      </c>
      <c r="F131" s="1017">
        <f t="shared" si="29"/>
        <v>46167</v>
      </c>
      <c r="G131" s="1004" t="s">
        <v>1920</v>
      </c>
      <c r="H131" s="1389"/>
      <c r="I131" s="1071">
        <f t="shared" si="27"/>
        <v>95932.218000000008</v>
      </c>
      <c r="J131" s="1032"/>
    </row>
    <row r="132" spans="1:10">
      <c r="A132" s="557">
        <v>11</v>
      </c>
      <c r="B132" s="1004" t="s">
        <v>1236</v>
      </c>
      <c r="C132" s="1027" t="s">
        <v>34</v>
      </c>
      <c r="D132" s="1004">
        <v>4.3780000000000001</v>
      </c>
      <c r="E132" s="1017">
        <f t="shared" si="28"/>
        <v>46167</v>
      </c>
      <c r="F132" s="1017">
        <f t="shared" si="29"/>
        <v>46170</v>
      </c>
      <c r="G132" s="1004" t="s">
        <v>1920</v>
      </c>
      <c r="H132" s="1389"/>
      <c r="I132" s="1071">
        <f t="shared" si="27"/>
        <v>42895.644</v>
      </c>
      <c r="J132" s="1032"/>
    </row>
    <row r="133" spans="1:10">
      <c r="A133" s="557">
        <v>12</v>
      </c>
      <c r="B133" s="1004" t="s">
        <v>1237</v>
      </c>
      <c r="C133" s="1027" t="s">
        <v>34</v>
      </c>
      <c r="D133" s="1004">
        <v>4.3780000000000001</v>
      </c>
      <c r="E133" s="1017">
        <f t="shared" si="28"/>
        <v>46170</v>
      </c>
      <c r="F133" s="1017">
        <f t="shared" si="29"/>
        <v>46173</v>
      </c>
      <c r="G133" s="1004" t="s">
        <v>1920</v>
      </c>
      <c r="H133" s="1389"/>
      <c r="I133" s="1071">
        <f t="shared" si="27"/>
        <v>42895.644</v>
      </c>
      <c r="J133" s="1032"/>
    </row>
    <row r="134" spans="1:10">
      <c r="A134" s="557">
        <v>13</v>
      </c>
      <c r="B134" s="1004" t="s">
        <v>1337</v>
      </c>
      <c r="C134" s="1027" t="s">
        <v>32</v>
      </c>
      <c r="D134" s="1004">
        <v>5.1669999999999998</v>
      </c>
      <c r="E134" s="1017">
        <v>46143</v>
      </c>
      <c r="F134" s="1017">
        <f t="shared" ref="F134:F146" si="30">E134+2</f>
        <v>46145</v>
      </c>
      <c r="G134" s="1004" t="s">
        <v>2006</v>
      </c>
      <c r="H134" s="1410">
        <v>15</v>
      </c>
      <c r="I134" s="1071">
        <f t="shared" si="27"/>
        <v>50626.265999999996</v>
      </c>
      <c r="J134" s="1032" t="s">
        <v>29</v>
      </c>
    </row>
    <row r="135" spans="1:10">
      <c r="A135" s="557">
        <v>14</v>
      </c>
      <c r="B135" s="1004" t="s">
        <v>1342</v>
      </c>
      <c r="C135" s="1027" t="s">
        <v>32</v>
      </c>
      <c r="D135" s="1013">
        <v>5.1669999999999998</v>
      </c>
      <c r="E135" s="1017">
        <f>F134</f>
        <v>46145</v>
      </c>
      <c r="F135" s="1017">
        <f t="shared" si="30"/>
        <v>46147</v>
      </c>
      <c r="G135" s="1004" t="s">
        <v>2006</v>
      </c>
      <c r="H135" s="1411"/>
      <c r="I135" s="1071">
        <f t="shared" si="27"/>
        <v>50626.265999999996</v>
      </c>
      <c r="J135" s="1032" t="s">
        <v>29</v>
      </c>
    </row>
    <row r="136" spans="1:10">
      <c r="A136" s="557">
        <v>15</v>
      </c>
      <c r="B136" s="1113" t="s">
        <v>1288</v>
      </c>
      <c r="C136" s="1113" t="s">
        <v>1424</v>
      </c>
      <c r="D136" s="1113">
        <v>5.97</v>
      </c>
      <c r="E136" s="1017">
        <f t="shared" ref="E136:E158" si="31">F135</f>
        <v>46147</v>
      </c>
      <c r="F136" s="1017">
        <f t="shared" si="30"/>
        <v>46149</v>
      </c>
      <c r="G136" s="1004" t="s">
        <v>2006</v>
      </c>
      <c r="H136" s="1411"/>
      <c r="I136" s="1071">
        <f t="shared" si="27"/>
        <v>58494.06</v>
      </c>
      <c r="J136" s="1032" t="s">
        <v>29</v>
      </c>
    </row>
    <row r="137" spans="1:10">
      <c r="A137" s="557">
        <v>16</v>
      </c>
      <c r="B137" s="1140" t="s">
        <v>1286</v>
      </c>
      <c r="C137" s="1140" t="s">
        <v>43</v>
      </c>
      <c r="D137" s="1140">
        <v>8.0860000000000003</v>
      </c>
      <c r="E137" s="1017">
        <f t="shared" si="31"/>
        <v>46149</v>
      </c>
      <c r="F137" s="1017">
        <f t="shared" si="30"/>
        <v>46151</v>
      </c>
      <c r="G137" s="1004" t="s">
        <v>2006</v>
      </c>
      <c r="H137" s="1411"/>
      <c r="I137" s="1071">
        <f t="shared" si="27"/>
        <v>79226.627999999997</v>
      </c>
      <c r="J137" s="1032" t="s">
        <v>29</v>
      </c>
    </row>
    <row r="138" spans="1:10">
      <c r="A138" s="557">
        <v>17</v>
      </c>
      <c r="B138" s="1146" t="s">
        <v>1287</v>
      </c>
      <c r="C138" s="1146" t="s">
        <v>48</v>
      </c>
      <c r="D138" s="1146">
        <v>5.7130000000000001</v>
      </c>
      <c r="E138" s="1017">
        <f t="shared" si="31"/>
        <v>46151</v>
      </c>
      <c r="F138" s="1017">
        <f t="shared" si="30"/>
        <v>46153</v>
      </c>
      <c r="G138" s="1004" t="s">
        <v>2006</v>
      </c>
      <c r="H138" s="1411"/>
      <c r="I138" s="1071">
        <f t="shared" si="27"/>
        <v>55975.974000000002</v>
      </c>
      <c r="J138" s="1032" t="s">
        <v>29</v>
      </c>
    </row>
    <row r="139" spans="1:10">
      <c r="A139" s="557">
        <v>18</v>
      </c>
      <c r="B139" s="1146" t="s">
        <v>1285</v>
      </c>
      <c r="C139" s="1146" t="s">
        <v>48</v>
      </c>
      <c r="D139" s="1146">
        <v>5.7130000000000001</v>
      </c>
      <c r="E139" s="1017">
        <f t="shared" si="31"/>
        <v>46153</v>
      </c>
      <c r="F139" s="1017">
        <f t="shared" si="30"/>
        <v>46155</v>
      </c>
      <c r="G139" s="1004" t="s">
        <v>2006</v>
      </c>
      <c r="H139" s="1411"/>
      <c r="I139" s="1071">
        <f t="shared" si="27"/>
        <v>55975.974000000002</v>
      </c>
      <c r="J139" s="1032" t="s">
        <v>29</v>
      </c>
    </row>
    <row r="140" spans="1:10">
      <c r="A140" s="557">
        <v>19</v>
      </c>
      <c r="B140" s="1146" t="s">
        <v>1284</v>
      </c>
      <c r="C140" s="1146" t="s">
        <v>32</v>
      </c>
      <c r="D140" s="1146">
        <v>5.1669999999999998</v>
      </c>
      <c r="E140" s="1017">
        <f t="shared" si="31"/>
        <v>46155</v>
      </c>
      <c r="F140" s="1017">
        <f t="shared" si="30"/>
        <v>46157</v>
      </c>
      <c r="G140" s="1004" t="s">
        <v>2006</v>
      </c>
      <c r="H140" s="1411"/>
      <c r="I140" s="1071">
        <f t="shared" si="27"/>
        <v>50626.265999999996</v>
      </c>
      <c r="J140" s="1032" t="s">
        <v>29</v>
      </c>
    </row>
    <row r="141" spans="1:10">
      <c r="A141" s="557">
        <v>21</v>
      </c>
      <c r="B141" s="1155" t="s">
        <v>1193</v>
      </c>
      <c r="C141" s="1027" t="s">
        <v>50</v>
      </c>
      <c r="D141" s="1155">
        <v>9.7910000000000004</v>
      </c>
      <c r="E141" s="1017">
        <f t="shared" ref="E141" si="32">F140</f>
        <v>46157</v>
      </c>
      <c r="F141" s="1017">
        <f t="shared" ref="F141" si="33">E141+2</f>
        <v>46159</v>
      </c>
      <c r="G141" s="1155" t="s">
        <v>2006</v>
      </c>
      <c r="H141" s="1411"/>
      <c r="I141" s="1071">
        <f t="shared" ref="I141" si="34">D141*9798</f>
        <v>95932.218000000008</v>
      </c>
      <c r="J141" s="1032" t="s">
        <v>978</v>
      </c>
    </row>
    <row r="142" spans="1:10">
      <c r="A142" s="557">
        <v>20</v>
      </c>
      <c r="B142" s="1004" t="s">
        <v>1194</v>
      </c>
      <c r="C142" s="1004" t="s">
        <v>1181</v>
      </c>
      <c r="D142" s="1004">
        <v>8.0860000000000003</v>
      </c>
      <c r="E142" s="1017">
        <f>F140</f>
        <v>46157</v>
      </c>
      <c r="F142" s="1017">
        <f t="shared" si="30"/>
        <v>46159</v>
      </c>
      <c r="G142" s="1004" t="s">
        <v>2006</v>
      </c>
      <c r="H142" s="1411"/>
      <c r="I142" s="1071">
        <f t="shared" si="27"/>
        <v>79226.627999999997</v>
      </c>
      <c r="J142" s="1032"/>
    </row>
    <row r="143" spans="1:10">
      <c r="A143" s="557">
        <v>21</v>
      </c>
      <c r="B143" s="1004" t="s">
        <v>1193</v>
      </c>
      <c r="C143" s="1027" t="s">
        <v>50</v>
      </c>
      <c r="D143" s="1004">
        <v>9.7910000000000004</v>
      </c>
      <c r="E143" s="1017">
        <f t="shared" si="31"/>
        <v>46159</v>
      </c>
      <c r="F143" s="1017">
        <f t="shared" si="30"/>
        <v>46161</v>
      </c>
      <c r="G143" s="1004" t="s">
        <v>2006</v>
      </c>
      <c r="H143" s="1411"/>
      <c r="I143" s="1071">
        <f t="shared" si="27"/>
        <v>95932.218000000008</v>
      </c>
      <c r="J143" s="1032"/>
    </row>
    <row r="144" spans="1:10">
      <c r="A144" s="557">
        <v>22</v>
      </c>
      <c r="B144" s="1004" t="s">
        <v>1284</v>
      </c>
      <c r="C144" s="1004" t="s">
        <v>32</v>
      </c>
      <c r="D144" s="1004">
        <v>5.1669999999999998</v>
      </c>
      <c r="E144" s="1017">
        <f t="shared" si="31"/>
        <v>46161</v>
      </c>
      <c r="F144" s="1017">
        <f t="shared" si="30"/>
        <v>46163</v>
      </c>
      <c r="G144" s="1004" t="s">
        <v>2006</v>
      </c>
      <c r="H144" s="1411"/>
      <c r="I144" s="1071">
        <f t="shared" si="27"/>
        <v>50626.265999999996</v>
      </c>
      <c r="J144" s="1032"/>
    </row>
    <row r="145" spans="1:10">
      <c r="A145" s="557">
        <v>23</v>
      </c>
      <c r="B145" s="1004" t="s">
        <v>1285</v>
      </c>
      <c r="C145" s="1004" t="s">
        <v>48</v>
      </c>
      <c r="D145" s="1004">
        <v>5.7130000000000001</v>
      </c>
      <c r="E145" s="1017">
        <f t="shared" si="31"/>
        <v>46163</v>
      </c>
      <c r="F145" s="1017">
        <f t="shared" si="30"/>
        <v>46165</v>
      </c>
      <c r="G145" s="1004" t="s">
        <v>2006</v>
      </c>
      <c r="H145" s="1411"/>
      <c r="I145" s="1071">
        <f t="shared" si="27"/>
        <v>55975.974000000002</v>
      </c>
      <c r="J145" s="1032"/>
    </row>
    <row r="146" spans="1:10">
      <c r="A146" s="557">
        <v>24</v>
      </c>
      <c r="B146" s="1004" t="s">
        <v>1286</v>
      </c>
      <c r="C146" s="1004" t="s">
        <v>43</v>
      </c>
      <c r="D146" s="1004">
        <v>8.0860000000000003</v>
      </c>
      <c r="E146" s="1017">
        <f t="shared" si="31"/>
        <v>46165</v>
      </c>
      <c r="F146" s="1017">
        <f t="shared" si="30"/>
        <v>46167</v>
      </c>
      <c r="G146" s="1004" t="s">
        <v>2006</v>
      </c>
      <c r="H146" s="1411"/>
      <c r="I146" s="1071">
        <f t="shared" si="27"/>
        <v>79226.627999999997</v>
      </c>
      <c r="J146" s="1032"/>
    </row>
    <row r="147" spans="1:10">
      <c r="A147" s="557">
        <v>25</v>
      </c>
      <c r="B147" s="1004" t="s">
        <v>1287</v>
      </c>
      <c r="C147" s="1004" t="s">
        <v>48</v>
      </c>
      <c r="D147" s="1004">
        <v>5.7130000000000001</v>
      </c>
      <c r="E147" s="1017">
        <f t="shared" si="31"/>
        <v>46167</v>
      </c>
      <c r="F147" s="1017">
        <f t="shared" ref="F147" si="35">E147+4</f>
        <v>46171</v>
      </c>
      <c r="G147" s="1004" t="s">
        <v>2006</v>
      </c>
      <c r="H147" s="1411"/>
      <c r="I147" s="1071">
        <f t="shared" si="27"/>
        <v>55975.974000000002</v>
      </c>
      <c r="J147" s="1032"/>
    </row>
    <row r="148" spans="1:10">
      <c r="A148" s="557">
        <v>26</v>
      </c>
      <c r="B148" s="1004" t="s">
        <v>1288</v>
      </c>
      <c r="C148" s="1004" t="s">
        <v>1424</v>
      </c>
      <c r="D148" s="1004">
        <v>5.97</v>
      </c>
      <c r="E148" s="1017">
        <f t="shared" si="31"/>
        <v>46171</v>
      </c>
      <c r="F148" s="1017">
        <f>E148+2</f>
        <v>46173</v>
      </c>
      <c r="G148" s="1004" t="s">
        <v>2006</v>
      </c>
      <c r="H148" s="1412"/>
      <c r="I148" s="1071">
        <f t="shared" si="27"/>
        <v>58494.06</v>
      </c>
      <c r="J148" s="1032"/>
    </row>
    <row r="149" spans="1:10">
      <c r="A149" s="557">
        <v>27</v>
      </c>
      <c r="B149" s="1004" t="s">
        <v>1280</v>
      </c>
      <c r="C149" s="1004" t="s">
        <v>34</v>
      </c>
      <c r="D149" s="1004">
        <v>6.5629999999999997</v>
      </c>
      <c r="E149" s="1017">
        <v>46143</v>
      </c>
      <c r="F149" s="1017">
        <f>E149+3</f>
        <v>46146</v>
      </c>
      <c r="G149" s="1004" t="s">
        <v>1930</v>
      </c>
      <c r="H149" s="1410">
        <v>16</v>
      </c>
      <c r="I149" s="1071">
        <f t="shared" si="27"/>
        <v>64304.273999999998</v>
      </c>
      <c r="J149" s="1032" t="s">
        <v>978</v>
      </c>
    </row>
    <row r="150" spans="1:10">
      <c r="A150" s="557">
        <v>28</v>
      </c>
      <c r="B150" s="1004" t="s">
        <v>1350</v>
      </c>
      <c r="C150" s="1004" t="s">
        <v>49</v>
      </c>
      <c r="D150" s="1004">
        <v>6.3250000000000002</v>
      </c>
      <c r="E150" s="1017">
        <f t="shared" si="31"/>
        <v>46146</v>
      </c>
      <c r="F150" s="1017">
        <f>E150+3</f>
        <v>46149</v>
      </c>
      <c r="G150" s="1004" t="s">
        <v>1930</v>
      </c>
      <c r="H150" s="1411"/>
      <c r="I150" s="1071">
        <f t="shared" si="27"/>
        <v>61972.35</v>
      </c>
      <c r="J150" s="1032"/>
    </row>
    <row r="151" spans="1:10">
      <c r="A151" s="557">
        <v>29</v>
      </c>
      <c r="B151" s="1004" t="s">
        <v>1351</v>
      </c>
      <c r="C151" s="1004" t="s">
        <v>50</v>
      </c>
      <c r="D151" s="1004">
        <v>9.7910000000000004</v>
      </c>
      <c r="E151" s="1017">
        <f t="shared" si="31"/>
        <v>46149</v>
      </c>
      <c r="F151" s="1017">
        <f>E151+4</f>
        <v>46153</v>
      </c>
      <c r="G151" s="1004" t="s">
        <v>1930</v>
      </c>
      <c r="H151" s="1411"/>
      <c r="I151" s="1071">
        <f t="shared" si="27"/>
        <v>95932.218000000008</v>
      </c>
      <c r="J151" s="1032"/>
    </row>
    <row r="152" spans="1:10">
      <c r="A152" s="557">
        <v>30</v>
      </c>
      <c r="B152" s="1004" t="s">
        <v>1352</v>
      </c>
      <c r="C152" s="1004" t="s">
        <v>1181</v>
      </c>
      <c r="D152" s="1004">
        <v>8.0860000000000003</v>
      </c>
      <c r="E152" s="1017">
        <f t="shared" si="31"/>
        <v>46153</v>
      </c>
      <c r="F152" s="1017">
        <f>E152+4</f>
        <v>46157</v>
      </c>
      <c r="G152" s="1004" t="s">
        <v>1930</v>
      </c>
      <c r="H152" s="1411"/>
      <c r="I152" s="1071">
        <f t="shared" si="27"/>
        <v>79226.627999999997</v>
      </c>
      <c r="J152" s="1032"/>
    </row>
    <row r="153" spans="1:10">
      <c r="A153" s="557">
        <v>31</v>
      </c>
      <c r="B153" s="1004" t="s">
        <v>1353</v>
      </c>
      <c r="C153" s="1027" t="s">
        <v>48</v>
      </c>
      <c r="D153" s="1004">
        <v>5.7130000000000001</v>
      </c>
      <c r="E153" s="1017">
        <f t="shared" si="31"/>
        <v>46157</v>
      </c>
      <c r="F153" s="1017">
        <f>E153+3</f>
        <v>46160</v>
      </c>
      <c r="G153" s="1004" t="s">
        <v>1930</v>
      </c>
      <c r="H153" s="1411"/>
      <c r="I153" s="1071">
        <f t="shared" si="27"/>
        <v>55975.974000000002</v>
      </c>
      <c r="J153" s="1032"/>
    </row>
    <row r="154" spans="1:10">
      <c r="A154" s="557">
        <v>32</v>
      </c>
      <c r="B154" s="1004" t="s">
        <v>1354</v>
      </c>
      <c r="C154" s="1027" t="s">
        <v>1426</v>
      </c>
      <c r="D154" s="1004">
        <v>15.971</v>
      </c>
      <c r="E154" s="1017">
        <f t="shared" si="31"/>
        <v>46160</v>
      </c>
      <c r="F154" s="1017">
        <f>E154+3</f>
        <v>46163</v>
      </c>
      <c r="G154" s="1004" t="s">
        <v>1930</v>
      </c>
      <c r="H154" s="1411"/>
      <c r="I154" s="1071">
        <f t="shared" si="27"/>
        <v>156483.85800000001</v>
      </c>
      <c r="J154" s="1032"/>
    </row>
    <row r="155" spans="1:10">
      <c r="A155" s="557">
        <v>33</v>
      </c>
      <c r="B155" s="1004" t="s">
        <v>1355</v>
      </c>
      <c r="C155" s="1027" t="s">
        <v>1427</v>
      </c>
      <c r="D155" s="1004">
        <v>18.623000000000001</v>
      </c>
      <c r="E155" s="1017">
        <f t="shared" si="31"/>
        <v>46163</v>
      </c>
      <c r="F155" s="1017">
        <f>E155+3</f>
        <v>46166</v>
      </c>
      <c r="G155" s="1004" t="s">
        <v>1930</v>
      </c>
      <c r="H155" s="1411"/>
      <c r="I155" s="1071">
        <f t="shared" ref="I155:I177" si="36">D155*9798</f>
        <v>182468.15400000001</v>
      </c>
      <c r="J155" s="1032"/>
    </row>
    <row r="156" spans="1:10">
      <c r="A156" s="557">
        <v>34</v>
      </c>
      <c r="B156" s="1004" t="s">
        <v>1356</v>
      </c>
      <c r="C156" s="1027" t="s">
        <v>1425</v>
      </c>
      <c r="D156" s="1004">
        <v>6.3250000000000002</v>
      </c>
      <c r="E156" s="1017">
        <f t="shared" si="31"/>
        <v>46166</v>
      </c>
      <c r="F156" s="1017">
        <f>E156+3</f>
        <v>46169</v>
      </c>
      <c r="G156" s="1004" t="s">
        <v>1930</v>
      </c>
      <c r="H156" s="1411"/>
      <c r="I156" s="1071">
        <f t="shared" si="36"/>
        <v>61972.35</v>
      </c>
      <c r="J156" s="1032"/>
    </row>
    <row r="157" spans="1:10">
      <c r="A157" s="557">
        <v>35</v>
      </c>
      <c r="B157" s="1004" t="s">
        <v>1357</v>
      </c>
      <c r="C157" s="1027" t="s">
        <v>48</v>
      </c>
      <c r="D157" s="1004">
        <v>5.7130000000000001</v>
      </c>
      <c r="E157" s="1017">
        <f t="shared" si="31"/>
        <v>46169</v>
      </c>
      <c r="F157" s="1017">
        <f t="shared" ref="F157:F158" si="37">E157+2</f>
        <v>46171</v>
      </c>
      <c r="G157" s="1004" t="s">
        <v>1930</v>
      </c>
      <c r="H157" s="1411"/>
      <c r="I157" s="1071">
        <f t="shared" si="36"/>
        <v>55975.974000000002</v>
      </c>
      <c r="J157" s="1032"/>
    </row>
    <row r="158" spans="1:10">
      <c r="A158" s="557">
        <v>36</v>
      </c>
      <c r="B158" s="1004" t="s">
        <v>1358</v>
      </c>
      <c r="C158" s="1027" t="s">
        <v>53</v>
      </c>
      <c r="D158" s="1004">
        <v>6.5629999999999997</v>
      </c>
      <c r="E158" s="1017">
        <f t="shared" si="31"/>
        <v>46171</v>
      </c>
      <c r="F158" s="1017">
        <f t="shared" si="37"/>
        <v>46173</v>
      </c>
      <c r="G158" s="1004" t="s">
        <v>1930</v>
      </c>
      <c r="H158" s="1412"/>
      <c r="I158" s="1071">
        <f t="shared" si="36"/>
        <v>64304.273999999998</v>
      </c>
      <c r="J158" s="1032"/>
    </row>
    <row r="159" spans="1:10">
      <c r="A159" s="557">
        <v>37</v>
      </c>
      <c r="B159" s="1004" t="s">
        <v>1332</v>
      </c>
      <c r="C159" s="1027" t="s">
        <v>50</v>
      </c>
      <c r="D159" s="1004">
        <v>9.7910000000000004</v>
      </c>
      <c r="E159" s="1017">
        <v>46147</v>
      </c>
      <c r="F159" s="1017">
        <f t="shared" ref="F159:F165" si="38">E159+3</f>
        <v>46150</v>
      </c>
      <c r="G159" s="1004" t="s">
        <v>2007</v>
      </c>
      <c r="H159" s="1389"/>
      <c r="I159" s="1071">
        <f t="shared" si="36"/>
        <v>95932.218000000008</v>
      </c>
      <c r="J159" s="1032" t="s">
        <v>2008</v>
      </c>
    </row>
    <row r="160" spans="1:10">
      <c r="A160" s="557">
        <v>38</v>
      </c>
      <c r="B160" s="1004" t="s">
        <v>1333</v>
      </c>
      <c r="C160" s="1027" t="s">
        <v>48</v>
      </c>
      <c r="D160" s="1004">
        <v>5.7130000000000001</v>
      </c>
      <c r="E160" s="1017">
        <f t="shared" ref="E160:E167" si="39">F159</f>
        <v>46150</v>
      </c>
      <c r="F160" s="1017">
        <f t="shared" si="38"/>
        <v>46153</v>
      </c>
      <c r="G160" s="1004" t="s">
        <v>2007</v>
      </c>
      <c r="H160" s="1389"/>
      <c r="I160" s="1071">
        <f t="shared" si="36"/>
        <v>55975.974000000002</v>
      </c>
      <c r="J160" s="1032"/>
    </row>
    <row r="161" spans="1:10">
      <c r="A161" s="557">
        <v>39</v>
      </c>
      <c r="B161" s="1004" t="s">
        <v>1334</v>
      </c>
      <c r="C161" s="1027" t="s">
        <v>48</v>
      </c>
      <c r="D161" s="1004">
        <v>5.7130000000000001</v>
      </c>
      <c r="E161" s="1017">
        <f t="shared" si="39"/>
        <v>46153</v>
      </c>
      <c r="F161" s="1017">
        <f t="shared" si="38"/>
        <v>46156</v>
      </c>
      <c r="G161" s="1004" t="s">
        <v>2007</v>
      </c>
      <c r="H161" s="1389"/>
      <c r="I161" s="1071">
        <f t="shared" si="36"/>
        <v>55975.974000000002</v>
      </c>
      <c r="J161" s="1032"/>
    </row>
    <row r="162" spans="1:10">
      <c r="A162" s="557">
        <v>40</v>
      </c>
      <c r="B162" s="1004" t="s">
        <v>1335</v>
      </c>
      <c r="C162" s="1027" t="s">
        <v>34</v>
      </c>
      <c r="D162" s="1004">
        <v>4.3780000000000001</v>
      </c>
      <c r="E162" s="1017">
        <f t="shared" si="39"/>
        <v>46156</v>
      </c>
      <c r="F162" s="1017">
        <f t="shared" si="38"/>
        <v>46159</v>
      </c>
      <c r="G162" s="1004" t="s">
        <v>2007</v>
      </c>
      <c r="H162" s="1389"/>
      <c r="I162" s="1071">
        <f t="shared" si="36"/>
        <v>42895.644</v>
      </c>
      <c r="J162" s="1032"/>
    </row>
    <row r="163" spans="1:10">
      <c r="A163" s="557">
        <v>41</v>
      </c>
      <c r="B163" s="1004" t="s">
        <v>1336</v>
      </c>
      <c r="C163" s="1027" t="s">
        <v>43</v>
      </c>
      <c r="D163" s="1004">
        <v>8.0860000000000003</v>
      </c>
      <c r="E163" s="1017">
        <f t="shared" si="39"/>
        <v>46159</v>
      </c>
      <c r="F163" s="1017">
        <f t="shared" si="38"/>
        <v>46162</v>
      </c>
      <c r="G163" s="1004" t="s">
        <v>2007</v>
      </c>
      <c r="H163" s="1389"/>
      <c r="I163" s="1071">
        <f t="shared" si="36"/>
        <v>79226.627999999997</v>
      </c>
      <c r="J163" s="1032"/>
    </row>
    <row r="164" spans="1:10">
      <c r="A164" s="557">
        <v>42</v>
      </c>
      <c r="B164" s="1004" t="s">
        <v>1369</v>
      </c>
      <c r="C164" s="1027" t="s">
        <v>1175</v>
      </c>
      <c r="D164" s="1004">
        <v>6</v>
      </c>
      <c r="E164" s="1017">
        <f t="shared" si="39"/>
        <v>46162</v>
      </c>
      <c r="F164" s="1017">
        <f t="shared" si="38"/>
        <v>46165</v>
      </c>
      <c r="G164" s="1004" t="s">
        <v>2007</v>
      </c>
      <c r="H164" s="1389"/>
      <c r="I164" s="1071">
        <f t="shared" si="36"/>
        <v>58788</v>
      </c>
      <c r="J164" s="1032"/>
    </row>
    <row r="165" spans="1:10">
      <c r="A165" s="557">
        <v>43</v>
      </c>
      <c r="B165" s="1004" t="s">
        <v>1370</v>
      </c>
      <c r="C165" s="1027" t="s">
        <v>48</v>
      </c>
      <c r="D165" s="1004">
        <v>5.7130000000000001</v>
      </c>
      <c r="E165" s="1017">
        <f t="shared" si="39"/>
        <v>46165</v>
      </c>
      <c r="F165" s="1017">
        <f t="shared" si="38"/>
        <v>46168</v>
      </c>
      <c r="G165" s="1004" t="s">
        <v>2007</v>
      </c>
      <c r="H165" s="1389"/>
      <c r="I165" s="1071">
        <f t="shared" si="36"/>
        <v>55975.974000000002</v>
      </c>
      <c r="J165" s="1032"/>
    </row>
    <row r="166" spans="1:10">
      <c r="A166" s="557">
        <v>44</v>
      </c>
      <c r="B166" s="1004" t="s">
        <v>1371</v>
      </c>
      <c r="C166" s="1027" t="s">
        <v>32</v>
      </c>
      <c r="D166" s="1004">
        <v>5.1669999999999998</v>
      </c>
      <c r="E166" s="1017">
        <f t="shared" si="39"/>
        <v>46168</v>
      </c>
      <c r="F166" s="1017">
        <f>E166+2</f>
        <v>46170</v>
      </c>
      <c r="G166" s="1004" t="s">
        <v>2007</v>
      </c>
      <c r="H166" s="1389"/>
      <c r="I166" s="1071">
        <f t="shared" si="36"/>
        <v>50626.265999999996</v>
      </c>
      <c r="J166" s="1032"/>
    </row>
    <row r="167" spans="1:10">
      <c r="A167" s="557">
        <v>45</v>
      </c>
      <c r="B167" s="1004" t="s">
        <v>1372</v>
      </c>
      <c r="C167" s="1027" t="s">
        <v>43</v>
      </c>
      <c r="D167" s="1004">
        <v>8.0860000000000003</v>
      </c>
      <c r="E167" s="1017">
        <f t="shared" si="39"/>
        <v>46170</v>
      </c>
      <c r="F167" s="1017">
        <f>E167+3</f>
        <v>46173</v>
      </c>
      <c r="G167" s="1004" t="s">
        <v>2007</v>
      </c>
      <c r="H167" s="1389"/>
      <c r="I167" s="1071">
        <f t="shared" si="36"/>
        <v>79226.627999999997</v>
      </c>
      <c r="J167" s="1032"/>
    </row>
    <row r="168" spans="1:10">
      <c r="A168" s="557">
        <v>46</v>
      </c>
      <c r="B168" s="1004" t="s">
        <v>1200</v>
      </c>
      <c r="C168" s="1027" t="s">
        <v>34</v>
      </c>
      <c r="D168" s="1004">
        <v>4.3780000000000001</v>
      </c>
      <c r="E168" s="1017">
        <v>46150</v>
      </c>
      <c r="F168" s="1017">
        <f t="shared" ref="F168:F172" si="40">E168+2</f>
        <v>46152</v>
      </c>
      <c r="G168" s="1004" t="s">
        <v>2009</v>
      </c>
      <c r="H168" s="1410"/>
      <c r="I168" s="1071">
        <f t="shared" si="36"/>
        <v>42895.644</v>
      </c>
      <c r="J168" s="1032"/>
    </row>
    <row r="169" spans="1:10">
      <c r="A169" s="557">
        <v>47</v>
      </c>
      <c r="B169" s="1004" t="s">
        <v>1202</v>
      </c>
      <c r="C169" s="1027" t="s">
        <v>32</v>
      </c>
      <c r="D169" s="1004">
        <v>5.1669999999999998</v>
      </c>
      <c r="E169" s="1017">
        <f>F168</f>
        <v>46152</v>
      </c>
      <c r="F169" s="1017">
        <f t="shared" si="40"/>
        <v>46154</v>
      </c>
      <c r="G169" s="1004" t="s">
        <v>2009</v>
      </c>
      <c r="H169" s="1411"/>
      <c r="I169" s="1071">
        <f t="shared" si="36"/>
        <v>50626.265999999996</v>
      </c>
      <c r="J169" s="1032"/>
    </row>
    <row r="170" spans="1:10">
      <c r="A170" s="557">
        <v>48</v>
      </c>
      <c r="B170" s="1004" t="s">
        <v>1203</v>
      </c>
      <c r="C170" s="1027" t="s">
        <v>48</v>
      </c>
      <c r="D170" s="1004">
        <v>5.7130000000000001</v>
      </c>
      <c r="E170" s="1017">
        <f t="shared" ref="E170:E172" si="41">F169</f>
        <v>46154</v>
      </c>
      <c r="F170" s="1017">
        <f t="shared" si="40"/>
        <v>46156</v>
      </c>
      <c r="G170" s="1004" t="s">
        <v>2009</v>
      </c>
      <c r="H170" s="1411"/>
      <c r="I170" s="1071">
        <f t="shared" si="36"/>
        <v>55975.974000000002</v>
      </c>
      <c r="J170" s="1032"/>
    </row>
    <row r="171" spans="1:10">
      <c r="A171" s="557">
        <v>49</v>
      </c>
      <c r="B171" s="1004" t="s">
        <v>1305</v>
      </c>
      <c r="C171" s="1027" t="s">
        <v>32</v>
      </c>
      <c r="D171" s="1004">
        <v>5.1669999999999998</v>
      </c>
      <c r="E171" s="1017">
        <f t="shared" si="41"/>
        <v>46156</v>
      </c>
      <c r="F171" s="1017">
        <f t="shared" si="40"/>
        <v>46158</v>
      </c>
      <c r="G171" s="1004" t="s">
        <v>2009</v>
      </c>
      <c r="H171" s="1411"/>
      <c r="I171" s="1071">
        <f t="shared" si="36"/>
        <v>50626.265999999996</v>
      </c>
      <c r="J171" s="1032"/>
    </row>
    <row r="172" spans="1:10">
      <c r="A172" s="557">
        <v>50</v>
      </c>
      <c r="B172" s="1004" t="s">
        <v>1306</v>
      </c>
      <c r="C172" s="1027" t="s">
        <v>48</v>
      </c>
      <c r="D172" s="1004">
        <v>5.7130000000000001</v>
      </c>
      <c r="E172" s="1017">
        <f t="shared" si="41"/>
        <v>46158</v>
      </c>
      <c r="F172" s="1017">
        <f t="shared" si="40"/>
        <v>46160</v>
      </c>
      <c r="G172" s="1004" t="s">
        <v>2009</v>
      </c>
      <c r="H172" s="1411"/>
      <c r="I172" s="1071">
        <f t="shared" si="36"/>
        <v>55975.974000000002</v>
      </c>
      <c r="J172" s="1032"/>
    </row>
    <row r="173" spans="1:10">
      <c r="A173" s="557">
        <v>52</v>
      </c>
      <c r="B173" s="1004" t="s">
        <v>1414</v>
      </c>
      <c r="C173" s="1027" t="s">
        <v>48</v>
      </c>
      <c r="D173" s="1004">
        <v>5.7130000000000001</v>
      </c>
      <c r="E173" s="1017">
        <f>X173</f>
        <v>0</v>
      </c>
      <c r="F173" s="1017">
        <f>E173+2</f>
        <v>2</v>
      </c>
      <c r="G173" s="1004" t="s">
        <v>2009</v>
      </c>
      <c r="H173" s="1411"/>
      <c r="I173" s="1071">
        <f t="shared" si="36"/>
        <v>55975.974000000002</v>
      </c>
      <c r="J173" s="1032"/>
    </row>
    <row r="174" spans="1:10">
      <c r="A174" s="557">
        <v>53</v>
      </c>
      <c r="B174" s="1004" t="s">
        <v>1415</v>
      </c>
      <c r="C174" s="1027" t="s">
        <v>48</v>
      </c>
      <c r="D174" s="1004">
        <v>6.3250000000000002</v>
      </c>
      <c r="E174" s="1017">
        <f>F173</f>
        <v>2</v>
      </c>
      <c r="F174" s="1017">
        <f>E174+3</f>
        <v>5</v>
      </c>
      <c r="G174" s="1004" t="s">
        <v>2009</v>
      </c>
      <c r="H174" s="1411"/>
      <c r="I174" s="1071">
        <f t="shared" si="36"/>
        <v>61972.35</v>
      </c>
      <c r="J174" s="1032"/>
    </row>
    <row r="175" spans="1:10">
      <c r="A175" s="557">
        <v>54</v>
      </c>
      <c r="B175" s="1004" t="s">
        <v>1418</v>
      </c>
      <c r="C175" s="1027" t="s">
        <v>48</v>
      </c>
      <c r="D175" s="1004">
        <v>6.3250000000000002</v>
      </c>
      <c r="E175" s="1017">
        <f>F174</f>
        <v>5</v>
      </c>
      <c r="F175" s="1017">
        <f>E175+3</f>
        <v>8</v>
      </c>
      <c r="G175" s="1004" t="s">
        <v>2009</v>
      </c>
      <c r="H175" s="1411"/>
      <c r="I175" s="1071">
        <f t="shared" si="36"/>
        <v>61972.35</v>
      </c>
      <c r="J175" s="1032"/>
    </row>
    <row r="176" spans="1:10">
      <c r="A176" s="557">
        <v>55</v>
      </c>
      <c r="B176" s="1004" t="s">
        <v>1419</v>
      </c>
      <c r="C176" s="1027" t="s">
        <v>32</v>
      </c>
      <c r="D176" s="1004">
        <v>5.1669999999999998</v>
      </c>
      <c r="E176" s="1017">
        <f>F175</f>
        <v>8</v>
      </c>
      <c r="F176" s="1017">
        <f>E176+3</f>
        <v>11</v>
      </c>
      <c r="G176" s="1004" t="s">
        <v>2009</v>
      </c>
      <c r="H176" s="1412"/>
      <c r="I176" s="1071">
        <f t="shared" si="36"/>
        <v>50626.265999999996</v>
      </c>
      <c r="J176" s="1032"/>
    </row>
    <row r="177" spans="1:10">
      <c r="A177" s="557">
        <v>56</v>
      </c>
      <c r="B177" s="74" t="s">
        <v>186</v>
      </c>
      <c r="C177" s="74" t="s">
        <v>582</v>
      </c>
      <c r="D177" s="873">
        <v>8.3339999999999996</v>
      </c>
      <c r="E177" s="1062">
        <v>46150</v>
      </c>
      <c r="F177" s="1063">
        <f>E177+3</f>
        <v>46153</v>
      </c>
      <c r="G177" s="1401" t="s">
        <v>2027</v>
      </c>
      <c r="H177" s="1391"/>
      <c r="I177" s="1049">
        <f t="shared" si="36"/>
        <v>81656.531999999992</v>
      </c>
      <c r="J177" s="1064"/>
    </row>
    <row r="178" spans="1:10">
      <c r="A178" s="557">
        <v>57</v>
      </c>
      <c r="B178" s="74" t="s">
        <v>64</v>
      </c>
      <c r="C178" s="74" t="s">
        <v>586</v>
      </c>
      <c r="D178" s="873">
        <v>13.664</v>
      </c>
      <c r="E178" s="1047">
        <f>F177-1</f>
        <v>46152</v>
      </c>
      <c r="F178" s="1063">
        <f>E178+3</f>
        <v>46155</v>
      </c>
      <c r="G178" s="1402"/>
      <c r="H178" s="1391"/>
      <c r="I178" s="1049">
        <f t="shared" ref="I178:I186" si="42">D178*9798</f>
        <v>133879.872</v>
      </c>
      <c r="J178" s="1064"/>
    </row>
    <row r="179" spans="1:10">
      <c r="A179" s="557">
        <v>58</v>
      </c>
      <c r="B179" s="74" t="s">
        <v>198</v>
      </c>
      <c r="C179" s="74" t="s">
        <v>591</v>
      </c>
      <c r="D179" s="873">
        <v>6.8090000000000002</v>
      </c>
      <c r="E179" s="1047">
        <f t="shared" ref="E179:E186" si="43">F178-1</f>
        <v>46154</v>
      </c>
      <c r="F179" s="1063">
        <f t="shared" ref="F179:F186" si="44">E179+3</f>
        <v>46157</v>
      </c>
      <c r="G179" s="1402"/>
      <c r="H179" s="1391"/>
      <c r="I179" s="1049">
        <f t="shared" si="42"/>
        <v>66714.581999999995</v>
      </c>
      <c r="J179" s="1064"/>
    </row>
    <row r="180" spans="1:10">
      <c r="A180" s="557">
        <v>59</v>
      </c>
      <c r="B180" s="74" t="s">
        <v>65</v>
      </c>
      <c r="C180" s="1008" t="s">
        <v>53</v>
      </c>
      <c r="D180" s="873">
        <v>10.593999999999999</v>
      </c>
      <c r="E180" s="1047">
        <f t="shared" si="43"/>
        <v>46156</v>
      </c>
      <c r="F180" s="1063">
        <f t="shared" si="44"/>
        <v>46159</v>
      </c>
      <c r="G180" s="1402"/>
      <c r="H180" s="1391"/>
      <c r="I180" s="1049">
        <f t="shared" si="42"/>
        <v>103800.01199999999</v>
      </c>
      <c r="J180" s="1064"/>
    </row>
    <row r="181" spans="1:10">
      <c r="A181" s="557">
        <v>60</v>
      </c>
      <c r="B181" s="74" t="s">
        <v>598</v>
      </c>
      <c r="C181" s="74" t="s">
        <v>582</v>
      </c>
      <c r="D181" s="873">
        <v>8.3339999999999996</v>
      </c>
      <c r="E181" s="1047">
        <f t="shared" si="43"/>
        <v>46158</v>
      </c>
      <c r="F181" s="1063">
        <f t="shared" si="44"/>
        <v>46161</v>
      </c>
      <c r="G181" s="1402"/>
      <c r="H181" s="1391"/>
      <c r="I181" s="1049">
        <f t="shared" si="42"/>
        <v>81656.531999999992</v>
      </c>
      <c r="J181" s="1064" t="s">
        <v>978</v>
      </c>
    </row>
    <row r="182" spans="1:10">
      <c r="A182" s="557">
        <v>61</v>
      </c>
      <c r="B182" s="74" t="s">
        <v>602</v>
      </c>
      <c r="C182" s="74" t="s">
        <v>603</v>
      </c>
      <c r="D182" s="873">
        <v>9.048</v>
      </c>
      <c r="E182" s="1047">
        <f t="shared" si="43"/>
        <v>46160</v>
      </c>
      <c r="F182" s="1063">
        <f t="shared" si="44"/>
        <v>46163</v>
      </c>
      <c r="G182" s="1402"/>
      <c r="H182" s="1391"/>
      <c r="I182" s="1049">
        <f t="shared" si="42"/>
        <v>88652.304000000004</v>
      </c>
      <c r="J182" s="1064"/>
    </row>
    <row r="183" spans="1:10">
      <c r="A183" s="557">
        <v>62</v>
      </c>
      <c r="B183" s="1065" t="s">
        <v>213</v>
      </c>
      <c r="C183" s="1008" t="s">
        <v>57</v>
      </c>
      <c r="D183" s="873">
        <v>14.337</v>
      </c>
      <c r="E183" s="1047">
        <f t="shared" si="43"/>
        <v>46162</v>
      </c>
      <c r="F183" s="1063">
        <f t="shared" si="44"/>
        <v>46165</v>
      </c>
      <c r="G183" s="1402"/>
      <c r="H183" s="1391"/>
      <c r="I183" s="1049">
        <f t="shared" si="42"/>
        <v>140473.92600000001</v>
      </c>
      <c r="J183" s="1066"/>
    </row>
    <row r="184" spans="1:10">
      <c r="A184" s="557">
        <v>63</v>
      </c>
      <c r="B184" s="1065" t="s">
        <v>224</v>
      </c>
      <c r="C184" s="1008" t="s">
        <v>53</v>
      </c>
      <c r="D184" s="873">
        <v>10.593999999999999</v>
      </c>
      <c r="E184" s="1047">
        <f t="shared" si="43"/>
        <v>46164</v>
      </c>
      <c r="F184" s="1063">
        <f t="shared" si="44"/>
        <v>46167</v>
      </c>
      <c r="G184" s="1402"/>
      <c r="H184" s="1391"/>
      <c r="I184" s="1049">
        <f t="shared" si="42"/>
        <v>103800.01199999999</v>
      </c>
      <c r="J184" s="1066"/>
    </row>
    <row r="185" spans="1:10">
      <c r="A185" s="557">
        <v>64</v>
      </c>
      <c r="B185" s="1067" t="s">
        <v>637</v>
      </c>
      <c r="C185" s="687" t="s">
        <v>34</v>
      </c>
      <c r="D185" s="873">
        <v>6.8090000000000002</v>
      </c>
      <c r="E185" s="1047">
        <f t="shared" si="43"/>
        <v>46166</v>
      </c>
      <c r="F185" s="1063">
        <f t="shared" si="44"/>
        <v>46169</v>
      </c>
      <c r="G185" s="1402"/>
      <c r="H185" s="1391"/>
      <c r="I185" s="1049">
        <f t="shared" si="42"/>
        <v>66714.581999999995</v>
      </c>
      <c r="J185" s="1066"/>
    </row>
    <row r="186" spans="1:10">
      <c r="A186" s="557">
        <v>65</v>
      </c>
      <c r="B186" s="1068" t="s">
        <v>152</v>
      </c>
      <c r="C186" s="74" t="s">
        <v>671</v>
      </c>
      <c r="D186" s="873">
        <v>16.943000000000001</v>
      </c>
      <c r="E186" s="1047">
        <f t="shared" si="43"/>
        <v>46168</v>
      </c>
      <c r="F186" s="1063">
        <f t="shared" si="44"/>
        <v>46171</v>
      </c>
      <c r="G186" s="1403"/>
      <c r="H186" s="1391"/>
      <c r="I186" s="1049">
        <f t="shared" si="42"/>
        <v>166007.51400000002</v>
      </c>
      <c r="J186" s="1066"/>
    </row>
    <row r="187" spans="1:10">
      <c r="A187" s="557">
        <v>66</v>
      </c>
      <c r="B187" s="975" t="s">
        <v>1918</v>
      </c>
      <c r="C187" s="74" t="s">
        <v>153</v>
      </c>
      <c r="D187" s="873">
        <v>16.922000000000001</v>
      </c>
      <c r="E187" s="1047">
        <v>46143</v>
      </c>
      <c r="F187" s="1047">
        <f>E187+7</f>
        <v>46150</v>
      </c>
      <c r="G187" s="1404" t="s">
        <v>1894</v>
      </c>
      <c r="H187" s="1404">
        <v>25</v>
      </c>
      <c r="I187" s="1049">
        <f>D187*9798</f>
        <v>165801.75599999999</v>
      </c>
      <c r="J187" s="1069" t="s">
        <v>29</v>
      </c>
    </row>
    <row r="188" spans="1:10">
      <c r="A188" s="557">
        <v>67</v>
      </c>
      <c r="B188" s="975" t="s">
        <v>2011</v>
      </c>
      <c r="C188" s="74" t="s">
        <v>167</v>
      </c>
      <c r="D188" s="873">
        <v>31.21</v>
      </c>
      <c r="E188" s="1047">
        <f>F187</f>
        <v>46150</v>
      </c>
      <c r="F188" s="1047">
        <f>E188+7</f>
        <v>46157</v>
      </c>
      <c r="G188" s="1405"/>
      <c r="H188" s="1405"/>
      <c r="I188" s="1049">
        <f t="shared" ref="I188:I201" si="45">D188*9798</f>
        <v>305795.58</v>
      </c>
      <c r="J188" s="1069" t="s">
        <v>29</v>
      </c>
    </row>
    <row r="189" spans="1:10">
      <c r="A189" s="557">
        <v>68</v>
      </c>
      <c r="B189" s="880" t="s">
        <v>1944</v>
      </c>
      <c r="C189" s="509" t="s">
        <v>153</v>
      </c>
      <c r="D189" s="873">
        <v>16.922000000000001</v>
      </c>
      <c r="E189" s="1047">
        <f t="shared" ref="E189:E191" si="46">F188</f>
        <v>46157</v>
      </c>
      <c r="F189" s="1047">
        <f t="shared" ref="F189:F191" si="47">E189+5</f>
        <v>46162</v>
      </c>
      <c r="G189" s="1405"/>
      <c r="H189" s="1405"/>
      <c r="I189" s="1049">
        <f t="shared" si="45"/>
        <v>165801.75599999999</v>
      </c>
      <c r="J189" s="1069" t="s">
        <v>29</v>
      </c>
    </row>
    <row r="190" spans="1:10">
      <c r="A190" s="557">
        <v>69</v>
      </c>
      <c r="B190" s="880" t="s">
        <v>2052</v>
      </c>
      <c r="C190" s="74" t="s">
        <v>133</v>
      </c>
      <c r="D190" s="873">
        <v>37.869999999999997</v>
      </c>
      <c r="E190" s="1047">
        <f t="shared" si="46"/>
        <v>46162</v>
      </c>
      <c r="F190" s="1047">
        <f t="shared" si="47"/>
        <v>46167</v>
      </c>
      <c r="G190" s="1405"/>
      <c r="H190" s="1405"/>
      <c r="I190" s="1049">
        <f t="shared" si="45"/>
        <v>371050.25999999995</v>
      </c>
      <c r="J190" s="1070" t="s">
        <v>1950</v>
      </c>
    </row>
    <row r="191" spans="1:10">
      <c r="A191" s="557">
        <v>70</v>
      </c>
      <c r="B191" s="880" t="s">
        <v>1924</v>
      </c>
      <c r="C191" s="509" t="s">
        <v>153</v>
      </c>
      <c r="D191" s="873">
        <v>16.922000000000001</v>
      </c>
      <c r="E191" s="1047">
        <f t="shared" si="46"/>
        <v>46167</v>
      </c>
      <c r="F191" s="1047">
        <f t="shared" si="47"/>
        <v>46172</v>
      </c>
      <c r="G191" s="1406"/>
      <c r="H191" s="1406"/>
      <c r="I191" s="1049">
        <f t="shared" si="45"/>
        <v>165801.75599999999</v>
      </c>
      <c r="J191" s="1070"/>
    </row>
    <row r="192" spans="1:10">
      <c r="A192" s="557">
        <v>71</v>
      </c>
      <c r="B192" s="975" t="s">
        <v>1917</v>
      </c>
      <c r="C192" s="74" t="s">
        <v>133</v>
      </c>
      <c r="D192" s="873">
        <v>37.869999999999997</v>
      </c>
      <c r="E192" s="1047">
        <v>46143</v>
      </c>
      <c r="F192" s="1047">
        <f>E192+7</f>
        <v>46150</v>
      </c>
      <c r="G192" s="1404" t="s">
        <v>1919</v>
      </c>
      <c r="H192" s="1404">
        <v>26</v>
      </c>
      <c r="I192" s="1049">
        <f t="shared" si="45"/>
        <v>371050.25999999995</v>
      </c>
      <c r="J192" s="1069" t="s">
        <v>29</v>
      </c>
    </row>
    <row r="193" spans="1:10">
      <c r="A193" s="557">
        <v>72</v>
      </c>
      <c r="B193" s="880" t="s">
        <v>2015</v>
      </c>
      <c r="C193" s="74" t="s">
        <v>344</v>
      </c>
      <c r="D193" s="873">
        <v>40.17</v>
      </c>
      <c r="E193" s="1047">
        <f>F192</f>
        <v>46150</v>
      </c>
      <c r="F193" s="1047">
        <f>E193+7</f>
        <v>46157</v>
      </c>
      <c r="G193" s="1405"/>
      <c r="H193" s="1405"/>
      <c r="I193" s="1049">
        <f t="shared" si="45"/>
        <v>393585.66000000003</v>
      </c>
      <c r="J193" s="1069" t="s">
        <v>29</v>
      </c>
    </row>
    <row r="194" spans="1:10">
      <c r="A194" s="557">
        <v>73</v>
      </c>
      <c r="B194" s="975" t="s">
        <v>2012</v>
      </c>
      <c r="C194" s="74" t="s">
        <v>133</v>
      </c>
      <c r="D194" s="873">
        <v>37.869999999999997</v>
      </c>
      <c r="E194" s="1047">
        <f t="shared" ref="E194:E196" si="48">F193</f>
        <v>46157</v>
      </c>
      <c r="F194" s="1047">
        <f t="shared" ref="F194:F196" si="49">E194+5</f>
        <v>46162</v>
      </c>
      <c r="G194" s="1405"/>
      <c r="H194" s="1405"/>
      <c r="I194" s="1049">
        <f t="shared" si="45"/>
        <v>371050.25999999995</v>
      </c>
      <c r="J194" s="1069" t="s">
        <v>978</v>
      </c>
    </row>
    <row r="195" spans="1:10">
      <c r="A195" s="557">
        <v>74</v>
      </c>
      <c r="B195" s="975" t="s">
        <v>1922</v>
      </c>
      <c r="C195" s="74" t="s">
        <v>153</v>
      </c>
      <c r="D195" s="873">
        <v>16.922000000000001</v>
      </c>
      <c r="E195" s="1047">
        <f t="shared" si="48"/>
        <v>46162</v>
      </c>
      <c r="F195" s="1047">
        <f t="shared" si="49"/>
        <v>46167</v>
      </c>
      <c r="G195" s="1405"/>
      <c r="H195" s="1405"/>
      <c r="I195" s="1049">
        <f t="shared" si="45"/>
        <v>165801.75599999999</v>
      </c>
      <c r="J195" s="1070"/>
    </row>
    <row r="196" spans="1:10">
      <c r="A196" s="557">
        <v>75</v>
      </c>
      <c r="B196" s="1060" t="s">
        <v>1951</v>
      </c>
      <c r="C196" s="74" t="s">
        <v>301</v>
      </c>
      <c r="D196" s="873">
        <v>20.631</v>
      </c>
      <c r="E196" s="1047">
        <f t="shared" si="48"/>
        <v>46167</v>
      </c>
      <c r="F196" s="1047">
        <f t="shared" si="49"/>
        <v>46172</v>
      </c>
      <c r="G196" s="1406"/>
      <c r="H196" s="1406"/>
      <c r="I196" s="1049">
        <f t="shared" si="45"/>
        <v>202142.538</v>
      </c>
      <c r="J196" s="1070"/>
    </row>
    <row r="197" spans="1:10">
      <c r="A197" s="557">
        <v>76</v>
      </c>
      <c r="B197" s="1060" t="s">
        <v>2013</v>
      </c>
      <c r="C197" s="509" t="s">
        <v>153</v>
      </c>
      <c r="D197" s="873">
        <v>16.922000000000001</v>
      </c>
      <c r="E197" s="1047">
        <v>46143</v>
      </c>
      <c r="F197" s="1047">
        <f>E197+7</f>
        <v>46150</v>
      </c>
      <c r="G197" s="1407" t="s">
        <v>2014</v>
      </c>
      <c r="H197" s="1407"/>
      <c r="I197" s="1049">
        <f t="shared" si="45"/>
        <v>165801.75599999999</v>
      </c>
      <c r="J197" s="1069"/>
    </row>
    <row r="198" spans="1:10">
      <c r="A198" s="557">
        <v>77</v>
      </c>
      <c r="B198" s="880" t="s">
        <v>1923</v>
      </c>
      <c r="C198" s="509" t="s">
        <v>153</v>
      </c>
      <c r="D198" s="873">
        <v>16.922000000000001</v>
      </c>
      <c r="E198" s="1047">
        <f>F197</f>
        <v>46150</v>
      </c>
      <c r="F198" s="1047">
        <f>E198+7</f>
        <v>46157</v>
      </c>
      <c r="G198" s="1408"/>
      <c r="H198" s="1408"/>
      <c r="I198" s="1049">
        <f t="shared" si="45"/>
        <v>165801.75599999999</v>
      </c>
      <c r="J198" s="1070"/>
    </row>
    <row r="199" spans="1:10">
      <c r="A199" s="557">
        <v>78</v>
      </c>
      <c r="B199" s="880" t="s">
        <v>1934</v>
      </c>
      <c r="C199" s="509" t="s">
        <v>301</v>
      </c>
      <c r="D199" s="873">
        <v>20.631</v>
      </c>
      <c r="E199" s="1047">
        <f t="shared" ref="E199:E201" si="50">F198</f>
        <v>46157</v>
      </c>
      <c r="F199" s="1047">
        <f t="shared" ref="F199:F201" si="51">E199+5</f>
        <v>46162</v>
      </c>
      <c r="G199" s="1408"/>
      <c r="H199" s="1408"/>
      <c r="I199" s="1049">
        <f t="shared" si="45"/>
        <v>202142.538</v>
      </c>
      <c r="J199" s="1070"/>
    </row>
    <row r="200" spans="1:10">
      <c r="A200" s="557">
        <v>79</v>
      </c>
      <c r="B200" s="880" t="s">
        <v>2015</v>
      </c>
      <c r="C200" s="74" t="s">
        <v>344</v>
      </c>
      <c r="D200" s="873">
        <v>40.17</v>
      </c>
      <c r="E200" s="1047">
        <f t="shared" si="50"/>
        <v>46162</v>
      </c>
      <c r="F200" s="1047">
        <f t="shared" si="51"/>
        <v>46167</v>
      </c>
      <c r="G200" s="1408"/>
      <c r="H200" s="1408"/>
      <c r="I200" s="1049">
        <f t="shared" si="45"/>
        <v>393585.66000000003</v>
      </c>
      <c r="J200" s="1070"/>
    </row>
    <row r="201" spans="1:10">
      <c r="A201" s="557">
        <v>80</v>
      </c>
      <c r="B201" s="880" t="s">
        <v>2016</v>
      </c>
      <c r="C201" s="74" t="s">
        <v>133</v>
      </c>
      <c r="D201" s="873">
        <v>37.869999999999997</v>
      </c>
      <c r="E201" s="1047">
        <f t="shared" si="50"/>
        <v>46167</v>
      </c>
      <c r="F201" s="1047">
        <f t="shared" si="51"/>
        <v>46172</v>
      </c>
      <c r="G201" s="1409"/>
      <c r="H201" s="1409"/>
      <c r="I201" s="1053">
        <f t="shared" si="45"/>
        <v>371050.25999999995</v>
      </c>
      <c r="J201" s="1070"/>
    </row>
  </sheetData>
  <mergeCells count="35">
    <mergeCell ref="H105:H109"/>
    <mergeCell ref="I60:I64"/>
    <mergeCell ref="I65:I74"/>
    <mergeCell ref="I75:I79"/>
    <mergeCell ref="I80:I84"/>
    <mergeCell ref="I85:I89"/>
    <mergeCell ref="G177:G186"/>
    <mergeCell ref="G187:G191"/>
    <mergeCell ref="G192:G196"/>
    <mergeCell ref="G197:G201"/>
    <mergeCell ref="H122:H133"/>
    <mergeCell ref="H134:H148"/>
    <mergeCell ref="H149:H158"/>
    <mergeCell ref="H159:H167"/>
    <mergeCell ref="H168:H176"/>
    <mergeCell ref="H177:H186"/>
    <mergeCell ref="H187:H191"/>
    <mergeCell ref="H192:H196"/>
    <mergeCell ref="H197:H201"/>
    <mergeCell ref="A1:H1"/>
    <mergeCell ref="A8:S8"/>
    <mergeCell ref="I10:I15"/>
    <mergeCell ref="I16:I24"/>
    <mergeCell ref="A120:I120"/>
    <mergeCell ref="I90:I94"/>
    <mergeCell ref="I95:I99"/>
    <mergeCell ref="I100:I104"/>
    <mergeCell ref="I105:I109"/>
    <mergeCell ref="A113:G113"/>
    <mergeCell ref="I25:I39"/>
    <mergeCell ref="I40:I44"/>
    <mergeCell ref="I45:I49"/>
    <mergeCell ref="I50:I54"/>
    <mergeCell ref="I55:I59"/>
    <mergeCell ref="H65:H74"/>
  </mergeCells>
  <conditionalFormatting sqref="D2">
    <cfRule type="duplicateValues" dxfId="536" priority="30"/>
  </conditionalFormatting>
  <conditionalFormatting sqref="D114">
    <cfRule type="duplicateValues" dxfId="535" priority="29"/>
  </conditionalFormatting>
  <conditionalFormatting sqref="B85 B106:B109 B87:B101 B103:B104">
    <cfRule type="duplicateValues" dxfId="534" priority="3"/>
  </conditionalFormatting>
  <conditionalFormatting sqref="B86">
    <cfRule type="duplicateValues" dxfId="533" priority="2"/>
  </conditionalFormatting>
  <conditionalFormatting sqref="B102">
    <cfRule type="duplicateValues" dxfId="532" priority="1"/>
  </conditionalFormatting>
  <pageMargins left="0.70866141732283472" right="0.70866141732283472" top="0.74803149606299213" bottom="0.74803149606299213" header="0.31496062992125984" footer="0.31496062992125984"/>
  <pageSetup paperSize="9" scale="68" fitToHeight="4" orientation="portrait" verticalDpi="300" r:id="rId1"/>
  <rowBreaks count="1" manualBreakCount="1">
    <brk id="111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10"/>
  <sheetViews>
    <sheetView topLeftCell="A129" zoomScale="110" zoomScaleNormal="110" workbookViewId="0">
      <selection activeCell="C142" sqref="C142"/>
    </sheetView>
  </sheetViews>
  <sheetFormatPr defaultColWidth="14.42578125" defaultRowHeight="15"/>
  <cols>
    <col min="1" max="1" width="6.5703125" bestFit="1" customWidth="1"/>
    <col min="2" max="2" width="12.28515625" bestFit="1" customWidth="1"/>
    <col min="3" max="3" width="16.42578125" bestFit="1" customWidth="1"/>
    <col min="4" max="4" width="12.7109375" bestFit="1" customWidth="1"/>
    <col min="5" max="5" width="33.28515625" bestFit="1" customWidth="1"/>
    <col min="6" max="6" width="8.85546875" customWidth="1"/>
    <col min="7" max="7" width="14.7109375" customWidth="1"/>
    <col min="8" max="8" width="13.5703125" customWidth="1"/>
    <col min="9" max="9" width="8.28515625" customWidth="1"/>
  </cols>
  <sheetData>
    <row r="1" spans="1:9" ht="21">
      <c r="A1" s="1430" t="s">
        <v>80</v>
      </c>
      <c r="B1" s="1430"/>
      <c r="C1" s="1430"/>
      <c r="D1" s="1430"/>
      <c r="E1" s="1430"/>
      <c r="F1" s="2"/>
      <c r="G1" s="574"/>
      <c r="H1" s="574"/>
      <c r="I1" s="574"/>
    </row>
    <row r="2" spans="1:9">
      <c r="A2" s="1423" t="s">
        <v>1153</v>
      </c>
      <c r="B2" s="1423"/>
      <c r="C2" s="1423"/>
      <c r="D2" s="1423"/>
      <c r="E2" s="1423"/>
      <c r="F2" s="2"/>
      <c r="G2" s="577" t="s">
        <v>1201</v>
      </c>
      <c r="H2" s="1419" t="str">
        <f>'DPR Sheet '!F2</f>
        <v>Date-24/06/2026</v>
      </c>
      <c r="I2" s="1420"/>
    </row>
    <row r="3" spans="1:9" ht="30">
      <c r="A3" s="492" t="s">
        <v>82</v>
      </c>
      <c r="B3" s="492" t="s">
        <v>63</v>
      </c>
      <c r="C3" s="493" t="s">
        <v>81</v>
      </c>
      <c r="D3" s="493" t="s">
        <v>37</v>
      </c>
      <c r="E3" s="493" t="s">
        <v>2</v>
      </c>
      <c r="F3" s="2"/>
      <c r="G3" s="565" t="s">
        <v>1154</v>
      </c>
      <c r="H3" s="565" t="s">
        <v>1159</v>
      </c>
      <c r="I3" s="566" t="s">
        <v>1161</v>
      </c>
    </row>
    <row r="4" spans="1:9" ht="12.75" customHeight="1">
      <c r="A4" s="490">
        <v>1</v>
      </c>
      <c r="B4" s="490" t="s">
        <v>131</v>
      </c>
      <c r="C4" s="491">
        <v>45896</v>
      </c>
      <c r="D4" s="490" t="s">
        <v>31</v>
      </c>
      <c r="E4" s="1428" t="s">
        <v>1027</v>
      </c>
      <c r="F4" s="2"/>
      <c r="G4" s="1416" t="s">
        <v>1160</v>
      </c>
      <c r="H4" s="561" t="s">
        <v>1155</v>
      </c>
      <c r="I4" s="564">
        <v>40</v>
      </c>
    </row>
    <row r="5" spans="1:9" ht="12.75" customHeight="1">
      <c r="A5" s="26">
        <v>2</v>
      </c>
      <c r="B5" s="26" t="s">
        <v>165</v>
      </c>
      <c r="C5" s="27">
        <v>45896</v>
      </c>
      <c r="D5" s="26" t="s">
        <v>42</v>
      </c>
      <c r="E5" s="1428"/>
      <c r="F5" s="2"/>
      <c r="G5" s="1417"/>
      <c r="H5" s="561" t="s">
        <v>1007</v>
      </c>
      <c r="I5" s="564">
        <v>40</v>
      </c>
    </row>
    <row r="6" spans="1:9" ht="12.75" customHeight="1">
      <c r="A6" s="26">
        <v>3</v>
      </c>
      <c r="B6" s="26" t="s">
        <v>173</v>
      </c>
      <c r="C6" s="27">
        <v>45896</v>
      </c>
      <c r="D6" s="26" t="s">
        <v>42</v>
      </c>
      <c r="E6" s="1428"/>
      <c r="F6" s="2"/>
      <c r="G6" s="1417"/>
      <c r="H6" s="564" t="s">
        <v>1156</v>
      </c>
      <c r="I6" s="564">
        <v>40</v>
      </c>
    </row>
    <row r="7" spans="1:9" ht="12.75" customHeight="1">
      <c r="A7" s="26">
        <v>4</v>
      </c>
      <c r="B7" s="26" t="s">
        <v>192</v>
      </c>
      <c r="C7" s="27">
        <v>45896</v>
      </c>
      <c r="D7" s="26" t="s">
        <v>42</v>
      </c>
      <c r="E7" s="1428"/>
      <c r="F7" s="2"/>
      <c r="G7" s="1417"/>
      <c r="H7" s="564" t="s">
        <v>1158</v>
      </c>
      <c r="I7" s="564">
        <v>40</v>
      </c>
    </row>
    <row r="8" spans="1:9" ht="12.75" customHeight="1">
      <c r="A8" s="26">
        <v>5</v>
      </c>
      <c r="B8" s="26" t="s">
        <v>553</v>
      </c>
      <c r="C8" s="27">
        <v>45896</v>
      </c>
      <c r="D8" s="26" t="s">
        <v>42</v>
      </c>
      <c r="E8" s="1428"/>
      <c r="F8" s="2"/>
      <c r="G8" s="1418"/>
      <c r="H8" s="561" t="s">
        <v>1157</v>
      </c>
      <c r="I8" s="564">
        <v>0</v>
      </c>
    </row>
    <row r="9" spans="1:9" ht="12.75" customHeight="1">
      <c r="A9" s="812">
        <v>6</v>
      </c>
      <c r="B9" s="812" t="s">
        <v>212</v>
      </c>
      <c r="C9" s="813">
        <v>45897</v>
      </c>
      <c r="D9" s="812" t="s">
        <v>42</v>
      </c>
      <c r="E9" s="1428"/>
      <c r="F9" s="2"/>
      <c r="G9" s="563"/>
      <c r="H9" s="561"/>
      <c r="I9" s="564"/>
    </row>
    <row r="10" spans="1:9" ht="12.75" customHeight="1">
      <c r="A10" s="812">
        <v>7</v>
      </c>
      <c r="B10" s="812" t="s">
        <v>218</v>
      </c>
      <c r="C10" s="813">
        <v>45897</v>
      </c>
      <c r="D10" s="812" t="s">
        <v>42</v>
      </c>
      <c r="E10" s="1428"/>
      <c r="F10" s="2"/>
      <c r="G10" s="1416" t="s">
        <v>86</v>
      </c>
      <c r="H10" s="561" t="s">
        <v>1155</v>
      </c>
      <c r="I10" s="564">
        <v>7</v>
      </c>
    </row>
    <row r="11" spans="1:9" ht="12.75" customHeight="1">
      <c r="A11" s="812">
        <v>8</v>
      </c>
      <c r="B11" s="812" t="s">
        <v>223</v>
      </c>
      <c r="C11" s="813">
        <v>45896</v>
      </c>
      <c r="D11" s="812" t="s">
        <v>42</v>
      </c>
      <c r="E11" s="1428"/>
      <c r="F11" s="2"/>
      <c r="G11" s="1417"/>
      <c r="H11" s="561" t="s">
        <v>1007</v>
      </c>
      <c r="I11" s="564">
        <v>7</v>
      </c>
    </row>
    <row r="12" spans="1:9" ht="12.75" customHeight="1">
      <c r="A12" s="26">
        <v>9</v>
      </c>
      <c r="B12" s="26" t="s">
        <v>256</v>
      </c>
      <c r="C12" s="27">
        <v>45897</v>
      </c>
      <c r="D12" s="26" t="s">
        <v>31</v>
      </c>
      <c r="E12" s="1428"/>
      <c r="F12" s="2"/>
      <c r="G12" s="1417"/>
      <c r="H12" s="564" t="s">
        <v>1156</v>
      </c>
      <c r="I12" s="564">
        <v>7</v>
      </c>
    </row>
    <row r="13" spans="1:9" ht="12.75" customHeight="1">
      <c r="A13" s="26">
        <v>10</v>
      </c>
      <c r="B13" s="26" t="s">
        <v>263</v>
      </c>
      <c r="C13" s="27">
        <v>45897</v>
      </c>
      <c r="D13" s="26" t="s">
        <v>31</v>
      </c>
      <c r="E13" s="1428"/>
      <c r="F13" s="2"/>
      <c r="G13" s="1417"/>
      <c r="H13" s="564" t="s">
        <v>1158</v>
      </c>
      <c r="I13" s="564">
        <v>7</v>
      </c>
    </row>
    <row r="14" spans="1:9" ht="12.75" customHeight="1">
      <c r="A14" s="26">
        <v>11</v>
      </c>
      <c r="B14" s="26" t="s">
        <v>270</v>
      </c>
      <c r="C14" s="27">
        <v>45897</v>
      </c>
      <c r="D14" s="26" t="s">
        <v>42</v>
      </c>
      <c r="E14" s="1428"/>
      <c r="F14" s="2"/>
      <c r="G14" s="1418"/>
      <c r="H14" s="561" t="s">
        <v>1157</v>
      </c>
      <c r="I14" s="564">
        <v>0</v>
      </c>
    </row>
    <row r="15" spans="1:9" ht="12.75" customHeight="1">
      <c r="A15" s="26">
        <v>12</v>
      </c>
      <c r="B15" s="26" t="s">
        <v>286</v>
      </c>
      <c r="C15" s="27">
        <v>45898</v>
      </c>
      <c r="D15" s="26" t="s">
        <v>42</v>
      </c>
      <c r="E15" s="1428"/>
      <c r="F15" s="2"/>
      <c r="G15" s="562"/>
      <c r="H15" s="561"/>
      <c r="I15" s="564"/>
    </row>
    <row r="16" spans="1:9" ht="12.75" customHeight="1">
      <c r="A16" s="812">
        <v>13</v>
      </c>
      <c r="B16" s="812" t="s">
        <v>291</v>
      </c>
      <c r="C16" s="813">
        <v>45898</v>
      </c>
      <c r="D16" s="812" t="s">
        <v>42</v>
      </c>
      <c r="E16" s="1428"/>
      <c r="F16" s="2"/>
      <c r="G16" s="1416" t="s">
        <v>1162</v>
      </c>
      <c r="H16" s="567" t="s">
        <v>1155</v>
      </c>
      <c r="I16" s="564">
        <v>100</v>
      </c>
    </row>
    <row r="17" spans="1:9" ht="12.75" customHeight="1">
      <c r="A17" s="26">
        <v>14</v>
      </c>
      <c r="B17" s="26" t="s">
        <v>325</v>
      </c>
      <c r="C17" s="27">
        <v>45898</v>
      </c>
      <c r="D17" s="26" t="s">
        <v>61</v>
      </c>
      <c r="E17" s="1428"/>
      <c r="F17" s="2"/>
      <c r="G17" s="1417"/>
      <c r="H17" s="567" t="s">
        <v>1007</v>
      </c>
      <c r="I17" s="564">
        <v>100</v>
      </c>
    </row>
    <row r="18" spans="1:9" ht="12.75" customHeight="1">
      <c r="A18" s="812">
        <v>15</v>
      </c>
      <c r="B18" s="812" t="s">
        <v>336</v>
      </c>
      <c r="C18" s="813">
        <v>45898</v>
      </c>
      <c r="D18" s="812" t="s">
        <v>61</v>
      </c>
      <c r="E18" s="1428"/>
      <c r="F18" s="2"/>
      <c r="G18" s="1417"/>
      <c r="H18" s="568" t="s">
        <v>1188</v>
      </c>
      <c r="I18" s="564">
        <v>25</v>
      </c>
    </row>
    <row r="19" spans="1:9" ht="12.75" customHeight="1">
      <c r="A19" s="812">
        <v>16</v>
      </c>
      <c r="B19" s="812" t="s">
        <v>363</v>
      </c>
      <c r="C19" s="813">
        <v>45898</v>
      </c>
      <c r="D19" s="812" t="s">
        <v>42</v>
      </c>
      <c r="E19" s="1428"/>
      <c r="F19" s="2"/>
      <c r="G19" s="1417"/>
      <c r="H19" s="568" t="s">
        <v>1158</v>
      </c>
      <c r="I19" s="564">
        <v>21</v>
      </c>
    </row>
    <row r="20" spans="1:9" ht="12.75" customHeight="1">
      <c r="A20" s="812">
        <v>17</v>
      </c>
      <c r="B20" s="812" t="s">
        <v>370</v>
      </c>
      <c r="C20" s="813">
        <v>45898</v>
      </c>
      <c r="D20" s="812" t="s">
        <v>42</v>
      </c>
      <c r="E20" s="1428"/>
      <c r="F20" s="2"/>
      <c r="G20" s="1417"/>
      <c r="H20" s="567" t="s">
        <v>1163</v>
      </c>
      <c r="I20" s="564">
        <v>36</v>
      </c>
    </row>
    <row r="21" spans="1:9" ht="12.75" customHeight="1">
      <c r="A21" s="1078">
        <v>18</v>
      </c>
      <c r="B21" s="1078" t="s">
        <v>379</v>
      </c>
      <c r="C21" s="1079">
        <v>45899</v>
      </c>
      <c r="D21" s="1078" t="s">
        <v>42</v>
      </c>
      <c r="E21" s="1428"/>
      <c r="F21" s="2"/>
      <c r="G21" s="1418"/>
      <c r="H21" s="567" t="s">
        <v>1157</v>
      </c>
      <c r="I21" s="564">
        <f>I16-I17</f>
        <v>0</v>
      </c>
    </row>
    <row r="22" spans="1:9" ht="12.75" customHeight="1">
      <c r="A22" s="812">
        <v>19</v>
      </c>
      <c r="B22" s="812" t="s">
        <v>415</v>
      </c>
      <c r="C22" s="813">
        <v>45899</v>
      </c>
      <c r="D22" s="812" t="s">
        <v>42</v>
      </c>
      <c r="E22" s="1428"/>
      <c r="F22" s="2"/>
    </row>
    <row r="23" spans="1:9" ht="12.75" customHeight="1">
      <c r="A23" s="812">
        <v>20</v>
      </c>
      <c r="B23" s="812" t="s">
        <v>448</v>
      </c>
      <c r="C23" s="813">
        <v>45899</v>
      </c>
      <c r="D23" s="812" t="s">
        <v>61</v>
      </c>
      <c r="E23" s="1429"/>
      <c r="F23" s="2"/>
    </row>
    <row r="24" spans="1:9" ht="12.75" customHeight="1">
      <c r="A24" s="26">
        <v>21</v>
      </c>
      <c r="B24" s="26" t="s">
        <v>131</v>
      </c>
      <c r="C24" s="27">
        <v>45905</v>
      </c>
      <c r="D24" s="26" t="s">
        <v>31</v>
      </c>
      <c r="E24" s="1427" t="s">
        <v>1028</v>
      </c>
      <c r="F24" s="2"/>
    </row>
    <row r="25" spans="1:9" ht="12.75" customHeight="1">
      <c r="A25" s="26">
        <v>22</v>
      </c>
      <c r="B25" s="26" t="s">
        <v>556</v>
      </c>
      <c r="C25" s="27">
        <v>45899</v>
      </c>
      <c r="D25" s="26" t="s">
        <v>31</v>
      </c>
      <c r="E25" s="1428"/>
      <c r="F25" s="2"/>
    </row>
    <row r="26" spans="1:9" ht="12.75" customHeight="1">
      <c r="A26" s="26">
        <v>23</v>
      </c>
      <c r="B26" s="26" t="s">
        <v>557</v>
      </c>
      <c r="C26" s="27">
        <v>45899</v>
      </c>
      <c r="D26" s="26" t="s">
        <v>42</v>
      </c>
      <c r="E26" s="1428"/>
      <c r="F26" s="2"/>
    </row>
    <row r="27" spans="1:9" ht="12.75" customHeight="1">
      <c r="A27" s="26">
        <v>24</v>
      </c>
      <c r="B27" s="26" t="s">
        <v>558</v>
      </c>
      <c r="C27" s="27">
        <v>45900</v>
      </c>
      <c r="D27" s="26" t="s">
        <v>42</v>
      </c>
      <c r="E27" s="1428"/>
      <c r="F27" s="2"/>
    </row>
    <row r="28" spans="1:9" ht="12.75" customHeight="1">
      <c r="A28" s="26">
        <v>25</v>
      </c>
      <c r="B28" s="26" t="s">
        <v>212</v>
      </c>
      <c r="C28" s="27">
        <v>45900</v>
      </c>
      <c r="D28" s="26" t="s">
        <v>42</v>
      </c>
      <c r="E28" s="1428"/>
      <c r="F28" s="2"/>
    </row>
    <row r="29" spans="1:9" ht="12.75" customHeight="1">
      <c r="A29" s="26">
        <v>26</v>
      </c>
      <c r="B29" s="26" t="s">
        <v>223</v>
      </c>
      <c r="C29" s="27">
        <v>45900</v>
      </c>
      <c r="D29" s="26" t="s">
        <v>42</v>
      </c>
      <c r="E29" s="1428"/>
      <c r="F29" s="2"/>
    </row>
    <row r="30" spans="1:9" ht="12.75" customHeight="1">
      <c r="A30" s="26">
        <v>27</v>
      </c>
      <c r="B30" s="26" t="s">
        <v>244</v>
      </c>
      <c r="C30" s="27">
        <v>45901</v>
      </c>
      <c r="D30" s="26" t="s">
        <v>42</v>
      </c>
      <c r="E30" s="1428"/>
      <c r="F30" s="2"/>
    </row>
    <row r="31" spans="1:9" ht="12.75" customHeight="1">
      <c r="A31" s="26">
        <v>28</v>
      </c>
      <c r="B31" s="26" t="s">
        <v>270</v>
      </c>
      <c r="C31" s="27">
        <v>45901</v>
      </c>
      <c r="D31" s="26" t="s">
        <v>42</v>
      </c>
      <c r="E31" s="1428"/>
      <c r="F31" s="2"/>
    </row>
    <row r="32" spans="1:9" ht="12.75" customHeight="1">
      <c r="A32" s="26">
        <v>29</v>
      </c>
      <c r="B32" s="26" t="s">
        <v>559</v>
      </c>
      <c r="C32" s="27">
        <v>45901</v>
      </c>
      <c r="D32" s="26" t="s">
        <v>42</v>
      </c>
      <c r="E32" s="1428"/>
      <c r="F32" s="2"/>
    </row>
    <row r="33" spans="1:6" ht="12.75" customHeight="1">
      <c r="A33" s="26">
        <v>30</v>
      </c>
      <c r="B33" s="26" t="s">
        <v>286</v>
      </c>
      <c r="C33" s="27">
        <v>45902</v>
      </c>
      <c r="D33" s="26" t="s">
        <v>42</v>
      </c>
      <c r="E33" s="1428"/>
      <c r="F33" s="2"/>
    </row>
    <row r="34" spans="1:6" ht="12.75" customHeight="1">
      <c r="A34" s="26">
        <v>31</v>
      </c>
      <c r="B34" s="26" t="s">
        <v>291</v>
      </c>
      <c r="C34" s="27">
        <v>45902</v>
      </c>
      <c r="D34" s="26" t="s">
        <v>31</v>
      </c>
      <c r="E34" s="1428"/>
      <c r="F34" s="2"/>
    </row>
    <row r="35" spans="1:6" ht="12.75" customHeight="1">
      <c r="A35" s="26">
        <v>32</v>
      </c>
      <c r="B35" s="26" t="s">
        <v>305</v>
      </c>
      <c r="C35" s="27">
        <v>45903</v>
      </c>
      <c r="D35" s="26" t="s">
        <v>42</v>
      </c>
      <c r="E35" s="1428"/>
      <c r="F35" s="2"/>
    </row>
    <row r="36" spans="1:6" ht="12.75" customHeight="1">
      <c r="A36" s="812">
        <v>33</v>
      </c>
      <c r="B36" s="812" t="s">
        <v>336</v>
      </c>
      <c r="C36" s="813">
        <v>45902</v>
      </c>
      <c r="D36" s="812" t="s">
        <v>42</v>
      </c>
      <c r="E36" s="1428"/>
      <c r="F36" s="2"/>
    </row>
    <row r="37" spans="1:6" ht="12.75" customHeight="1">
      <c r="A37" s="812">
        <v>34</v>
      </c>
      <c r="B37" s="812" t="s">
        <v>370</v>
      </c>
      <c r="C37" s="813">
        <v>45903</v>
      </c>
      <c r="D37" s="812" t="s">
        <v>61</v>
      </c>
      <c r="E37" s="1428"/>
      <c r="F37" s="2"/>
    </row>
    <row r="38" spans="1:6" ht="12.75" customHeight="1">
      <c r="A38" s="812">
        <v>35</v>
      </c>
      <c r="B38" s="812" t="s">
        <v>379</v>
      </c>
      <c r="C38" s="813">
        <v>45903</v>
      </c>
      <c r="D38" s="812" t="s">
        <v>61</v>
      </c>
      <c r="E38" s="1428"/>
      <c r="F38" s="2"/>
    </row>
    <row r="39" spans="1:6" ht="12.75" customHeight="1">
      <c r="A39" s="812">
        <v>36</v>
      </c>
      <c r="B39" s="812" t="s">
        <v>415</v>
      </c>
      <c r="C39" s="813">
        <v>45904</v>
      </c>
      <c r="D39" s="812" t="s">
        <v>42</v>
      </c>
      <c r="E39" s="1428"/>
      <c r="F39" s="2"/>
    </row>
    <row r="40" spans="1:6" ht="12.75" customHeight="1">
      <c r="A40" s="812">
        <v>37</v>
      </c>
      <c r="B40" s="812" t="s">
        <v>435</v>
      </c>
      <c r="C40" s="813">
        <v>45904</v>
      </c>
      <c r="D40" s="812" t="s">
        <v>31</v>
      </c>
      <c r="E40" s="1428"/>
      <c r="F40" s="2"/>
    </row>
    <row r="41" spans="1:6" ht="12.75" customHeight="1">
      <c r="A41" s="812">
        <v>38</v>
      </c>
      <c r="B41" s="812" t="s">
        <v>442</v>
      </c>
      <c r="C41" s="813">
        <v>45904</v>
      </c>
      <c r="D41" s="812" t="s">
        <v>42</v>
      </c>
      <c r="E41" s="1428"/>
      <c r="F41" s="2"/>
    </row>
    <row r="42" spans="1:6" ht="12.75" customHeight="1">
      <c r="A42" s="812">
        <v>39</v>
      </c>
      <c r="B42" s="812" t="s">
        <v>456</v>
      </c>
      <c r="C42" s="813">
        <v>45905</v>
      </c>
      <c r="D42" s="812" t="s">
        <v>42</v>
      </c>
      <c r="E42" s="1428"/>
      <c r="F42" s="2"/>
    </row>
    <row r="43" spans="1:6" ht="12.75" customHeight="1">
      <c r="A43" s="26">
        <v>40</v>
      </c>
      <c r="B43" s="26" t="s">
        <v>560</v>
      </c>
      <c r="C43" s="27">
        <v>45905</v>
      </c>
      <c r="D43" s="26" t="s">
        <v>61</v>
      </c>
      <c r="E43" s="1429"/>
      <c r="F43" s="2"/>
    </row>
    <row r="44" spans="1:6" ht="12.75" customHeight="1">
      <c r="A44" s="1421" t="s">
        <v>79</v>
      </c>
      <c r="B44" s="1422"/>
      <c r="C44" s="28">
        <f>COUNTA(C4:C43)</f>
        <v>40</v>
      </c>
      <c r="D44" s="28"/>
      <c r="E44" s="38"/>
      <c r="F44" s="2"/>
    </row>
    <row r="45" spans="1:6" ht="12.75" customHeight="1">
      <c r="A45" s="29"/>
      <c r="B45" s="29"/>
      <c r="C45" s="29"/>
      <c r="D45" s="29"/>
      <c r="E45" s="2"/>
      <c r="F45" s="2"/>
    </row>
    <row r="46" spans="1:6">
      <c r="A46" s="1431" t="s">
        <v>1152</v>
      </c>
      <c r="B46" s="1431"/>
      <c r="C46" s="1431"/>
      <c r="D46" s="1431"/>
      <c r="E46" s="1431"/>
      <c r="F46" s="2"/>
    </row>
    <row r="47" spans="1:6" ht="31.15" customHeight="1">
      <c r="A47" s="559" t="s">
        <v>82</v>
      </c>
      <c r="B47" s="560" t="s">
        <v>551</v>
      </c>
      <c r="C47" s="32" t="s">
        <v>81</v>
      </c>
      <c r="D47" s="32" t="s">
        <v>37</v>
      </c>
      <c r="E47" s="37" t="s">
        <v>2</v>
      </c>
      <c r="F47" s="2"/>
    </row>
    <row r="48" spans="1:6" ht="12.75" customHeight="1">
      <c r="A48" s="26">
        <v>1</v>
      </c>
      <c r="B48" s="26" t="s">
        <v>64</v>
      </c>
      <c r="C48" s="27">
        <v>45459</v>
      </c>
      <c r="D48" s="26" t="s">
        <v>52</v>
      </c>
      <c r="E48" s="1424" t="s">
        <v>1586</v>
      </c>
      <c r="F48" s="2"/>
    </row>
    <row r="49" spans="1:6" ht="12.75" customHeight="1">
      <c r="A49" s="26">
        <v>2</v>
      </c>
      <c r="B49" s="26" t="s">
        <v>65</v>
      </c>
      <c r="C49" s="27">
        <v>45459</v>
      </c>
      <c r="D49" s="26" t="s">
        <v>52</v>
      </c>
      <c r="E49" s="1425"/>
      <c r="F49" s="2"/>
    </row>
    <row r="50" spans="1:6" ht="12.75" customHeight="1">
      <c r="A50" s="26">
        <v>3</v>
      </c>
      <c r="B50" s="26" t="s">
        <v>66</v>
      </c>
      <c r="C50" s="27">
        <v>45459</v>
      </c>
      <c r="D50" s="26" t="s">
        <v>52</v>
      </c>
      <c r="E50" s="1425"/>
      <c r="F50" s="2"/>
    </row>
    <row r="51" spans="1:6" ht="12.75" customHeight="1">
      <c r="A51" s="26">
        <v>4</v>
      </c>
      <c r="B51" s="26" t="s">
        <v>67</v>
      </c>
      <c r="C51" s="27">
        <v>45459</v>
      </c>
      <c r="D51" s="26" t="s">
        <v>52</v>
      </c>
      <c r="E51" s="1425"/>
      <c r="F51" s="2"/>
    </row>
    <row r="52" spans="1:6" ht="12.75" customHeight="1">
      <c r="A52" s="812">
        <v>5</v>
      </c>
      <c r="B52" s="812" t="s">
        <v>56</v>
      </c>
      <c r="C52" s="813">
        <v>45458</v>
      </c>
      <c r="D52" s="812" t="s">
        <v>52</v>
      </c>
      <c r="E52" s="1425"/>
      <c r="F52" s="2"/>
    </row>
    <row r="53" spans="1:6" ht="12.75" customHeight="1">
      <c r="A53" s="812">
        <v>6</v>
      </c>
      <c r="B53" s="812" t="s">
        <v>60</v>
      </c>
      <c r="C53" s="813">
        <v>45458</v>
      </c>
      <c r="D53" s="812" t="s">
        <v>61</v>
      </c>
      <c r="E53" s="1425"/>
      <c r="F53" s="2"/>
    </row>
    <row r="54" spans="1:6" ht="12.75" customHeight="1">
      <c r="A54" s="812">
        <v>7</v>
      </c>
      <c r="B54" s="812" t="s">
        <v>59</v>
      </c>
      <c r="C54" s="813">
        <v>45460</v>
      </c>
      <c r="D54" s="812" t="s">
        <v>52</v>
      </c>
      <c r="E54" s="1425"/>
      <c r="F54" s="2"/>
    </row>
    <row r="55" spans="1:6" ht="12.75" customHeight="1">
      <c r="A55" s="812">
        <v>8</v>
      </c>
      <c r="B55" s="812" t="s">
        <v>46</v>
      </c>
      <c r="C55" s="813">
        <v>45460</v>
      </c>
      <c r="D55" s="812" t="s">
        <v>52</v>
      </c>
      <c r="E55" s="1425"/>
      <c r="F55" s="2"/>
    </row>
    <row r="56" spans="1:6" ht="12.75" customHeight="1">
      <c r="A56" s="26">
        <v>9</v>
      </c>
      <c r="B56" s="26" t="s">
        <v>69</v>
      </c>
      <c r="C56" s="27">
        <v>45460</v>
      </c>
      <c r="D56" s="26" t="s">
        <v>52</v>
      </c>
      <c r="E56" s="1425"/>
      <c r="F56" s="2"/>
    </row>
    <row r="57" spans="1:6" ht="12.75" customHeight="1">
      <c r="A57" s="26">
        <v>10</v>
      </c>
      <c r="B57" s="26" t="s">
        <v>70</v>
      </c>
      <c r="C57" s="27">
        <v>45460</v>
      </c>
      <c r="D57" s="26" t="s">
        <v>52</v>
      </c>
      <c r="E57" s="1425"/>
      <c r="F57" s="2"/>
    </row>
    <row r="58" spans="1:6" ht="12.75" customHeight="1">
      <c r="A58" s="26">
        <v>11</v>
      </c>
      <c r="B58" s="26" t="s">
        <v>71</v>
      </c>
      <c r="C58" s="27">
        <v>45461</v>
      </c>
      <c r="D58" s="26" t="s">
        <v>52</v>
      </c>
      <c r="E58" s="1425"/>
      <c r="F58" s="2"/>
    </row>
    <row r="59" spans="1:6" ht="12.75" customHeight="1">
      <c r="A59" s="26">
        <v>12</v>
      </c>
      <c r="B59" s="26" t="s">
        <v>72</v>
      </c>
      <c r="C59" s="27">
        <v>45461</v>
      </c>
      <c r="D59" s="26" t="s">
        <v>52</v>
      </c>
      <c r="E59" s="1425"/>
      <c r="F59" s="2"/>
    </row>
    <row r="60" spans="1:6" ht="12.75" customHeight="1">
      <c r="A60" s="26">
        <v>13</v>
      </c>
      <c r="B60" s="26" t="s">
        <v>73</v>
      </c>
      <c r="C60" s="27">
        <v>45461</v>
      </c>
      <c r="D60" s="26" t="s">
        <v>52</v>
      </c>
      <c r="E60" s="1425"/>
      <c r="F60" s="2"/>
    </row>
    <row r="61" spans="1:6" ht="12.75" customHeight="1">
      <c r="A61" s="812">
        <v>14</v>
      </c>
      <c r="B61" s="812" t="s">
        <v>44</v>
      </c>
      <c r="C61" s="813">
        <v>45461</v>
      </c>
      <c r="D61" s="812" t="s">
        <v>52</v>
      </c>
      <c r="E61" s="1425"/>
      <c r="F61" s="2"/>
    </row>
    <row r="62" spans="1:6" ht="12.75" customHeight="1">
      <c r="A62" s="812">
        <v>15</v>
      </c>
      <c r="B62" s="812" t="s">
        <v>40</v>
      </c>
      <c r="C62" s="813">
        <v>45462</v>
      </c>
      <c r="D62" s="812" t="s">
        <v>52</v>
      </c>
      <c r="E62" s="1425"/>
      <c r="F62" s="2"/>
    </row>
    <row r="63" spans="1:6" ht="12.75" customHeight="1">
      <c r="A63" s="26">
        <v>16</v>
      </c>
      <c r="B63" s="26" t="s">
        <v>74</v>
      </c>
      <c r="C63" s="27">
        <v>45462</v>
      </c>
      <c r="D63" s="26" t="s">
        <v>52</v>
      </c>
      <c r="E63" s="1425"/>
      <c r="F63" s="2"/>
    </row>
    <row r="64" spans="1:6" ht="12.75" customHeight="1">
      <c r="A64" s="26">
        <v>17</v>
      </c>
      <c r="B64" s="676" t="s">
        <v>75</v>
      </c>
      <c r="C64" s="677">
        <v>45462</v>
      </c>
      <c r="D64" s="676" t="s">
        <v>52</v>
      </c>
      <c r="E64" s="1425"/>
      <c r="F64" s="2"/>
    </row>
    <row r="65" spans="1:6" ht="12.75" customHeight="1">
      <c r="A65" s="812">
        <v>18</v>
      </c>
      <c r="B65" s="814" t="s">
        <v>51</v>
      </c>
      <c r="C65" s="815">
        <v>45462</v>
      </c>
      <c r="D65" s="814" t="s">
        <v>52</v>
      </c>
      <c r="E65" s="1425"/>
      <c r="F65" s="2"/>
    </row>
    <row r="66" spans="1:6" ht="12.75" customHeight="1">
      <c r="A66" s="26">
        <v>19</v>
      </c>
      <c r="B66" s="676" t="s">
        <v>76</v>
      </c>
      <c r="C66" s="677">
        <v>45463</v>
      </c>
      <c r="D66" s="676" t="s">
        <v>52</v>
      </c>
      <c r="E66" s="1425"/>
      <c r="F66" s="2"/>
    </row>
    <row r="67" spans="1:6" ht="12.75" customHeight="1">
      <c r="A67" s="26">
        <v>20</v>
      </c>
      <c r="B67" s="676" t="s">
        <v>77</v>
      </c>
      <c r="C67" s="677">
        <v>45463</v>
      </c>
      <c r="D67" s="676" t="s">
        <v>52</v>
      </c>
      <c r="E67" s="1425"/>
      <c r="F67" s="2"/>
    </row>
    <row r="68" spans="1:6" ht="12.75" customHeight="1">
      <c r="A68" s="132">
        <v>21</v>
      </c>
      <c r="B68" s="676" t="s">
        <v>78</v>
      </c>
      <c r="C68" s="678">
        <v>45463</v>
      </c>
      <c r="D68" s="676" t="s">
        <v>52</v>
      </c>
      <c r="E68" s="1426"/>
      <c r="F68" s="2"/>
    </row>
    <row r="69" spans="1:6">
      <c r="A69" s="26">
        <v>22</v>
      </c>
      <c r="B69" s="676" t="s">
        <v>180</v>
      </c>
      <c r="C69" s="677">
        <v>46005</v>
      </c>
      <c r="D69" s="676" t="s">
        <v>42</v>
      </c>
      <c r="E69" s="38"/>
      <c r="F69" s="2"/>
    </row>
    <row r="70" spans="1:6">
      <c r="A70" s="26">
        <v>23</v>
      </c>
      <c r="B70" s="676" t="s">
        <v>482</v>
      </c>
      <c r="C70" s="677">
        <v>46005</v>
      </c>
      <c r="D70" s="676" t="s">
        <v>61</v>
      </c>
      <c r="E70" s="38"/>
      <c r="F70" s="2"/>
    </row>
    <row r="71" spans="1:6">
      <c r="A71" s="26">
        <v>24</v>
      </c>
      <c r="B71" s="676" t="s">
        <v>223</v>
      </c>
      <c r="C71" s="679">
        <v>45986</v>
      </c>
      <c r="D71" s="401" t="s">
        <v>42</v>
      </c>
      <c r="E71" s="1427" t="s">
        <v>1585</v>
      </c>
      <c r="F71" s="2"/>
    </row>
    <row r="72" spans="1:6">
      <c r="A72" s="26">
        <v>25</v>
      </c>
      <c r="B72" s="676" t="s">
        <v>256</v>
      </c>
      <c r="C72" s="679">
        <v>45986</v>
      </c>
      <c r="D72" s="401" t="s">
        <v>61</v>
      </c>
      <c r="E72" s="1428"/>
      <c r="F72" s="2"/>
    </row>
    <row r="73" spans="1:6">
      <c r="A73" s="26">
        <v>26</v>
      </c>
      <c r="B73" s="676" t="s">
        <v>291</v>
      </c>
      <c r="C73" s="679">
        <v>45986</v>
      </c>
      <c r="D73" s="401" t="s">
        <v>42</v>
      </c>
      <c r="E73" s="1428"/>
      <c r="F73" s="2"/>
    </row>
    <row r="74" spans="1:6">
      <c r="A74" s="26">
        <v>27</v>
      </c>
      <c r="B74" s="676" t="s">
        <v>1148</v>
      </c>
      <c r="C74" s="679">
        <v>45985</v>
      </c>
      <c r="D74" s="401" t="s">
        <v>61</v>
      </c>
      <c r="E74" s="1428"/>
      <c r="F74" s="2"/>
    </row>
    <row r="75" spans="1:6">
      <c r="A75" s="26">
        <v>28</v>
      </c>
      <c r="B75" s="676" t="s">
        <v>363</v>
      </c>
      <c r="C75" s="679">
        <v>45985</v>
      </c>
      <c r="D75" s="401" t="s">
        <v>42</v>
      </c>
      <c r="E75" s="1428"/>
      <c r="F75" s="2"/>
    </row>
    <row r="76" spans="1:6">
      <c r="A76" s="26">
        <v>29</v>
      </c>
      <c r="B76" s="676" t="s">
        <v>435</v>
      </c>
      <c r="C76" s="679">
        <v>45985</v>
      </c>
      <c r="D76" s="401" t="s">
        <v>61</v>
      </c>
      <c r="E76" s="1428"/>
      <c r="F76" s="2"/>
    </row>
    <row r="77" spans="1:6">
      <c r="A77" s="26">
        <v>30</v>
      </c>
      <c r="B77" s="676" t="s">
        <v>456</v>
      </c>
      <c r="C77" s="679">
        <v>45984</v>
      </c>
      <c r="D77" s="401" t="s">
        <v>61</v>
      </c>
      <c r="E77" s="1428"/>
      <c r="F77" s="2"/>
    </row>
    <row r="78" spans="1:6">
      <c r="A78" s="26">
        <v>31</v>
      </c>
      <c r="B78" s="676" t="s">
        <v>1149</v>
      </c>
      <c r="C78" s="679">
        <v>45984</v>
      </c>
      <c r="D78" s="401" t="s">
        <v>61</v>
      </c>
      <c r="E78" s="1428"/>
      <c r="F78" s="2"/>
    </row>
    <row r="79" spans="1:6">
      <c r="A79" s="26">
        <v>32</v>
      </c>
      <c r="B79" s="676" t="s">
        <v>705</v>
      </c>
      <c r="C79" s="679">
        <v>45984</v>
      </c>
      <c r="D79" s="401" t="s">
        <v>61</v>
      </c>
      <c r="E79" s="1428"/>
      <c r="F79" s="2"/>
    </row>
    <row r="80" spans="1:6">
      <c r="A80" s="26">
        <v>33</v>
      </c>
      <c r="B80" s="676" t="s">
        <v>483</v>
      </c>
      <c r="C80" s="679">
        <v>45983</v>
      </c>
      <c r="D80" s="401" t="s">
        <v>42</v>
      </c>
      <c r="E80" s="1428"/>
      <c r="F80" s="2"/>
    </row>
    <row r="81" spans="1:6">
      <c r="A81" s="26">
        <v>34</v>
      </c>
      <c r="B81" s="676" t="s">
        <v>484</v>
      </c>
      <c r="C81" s="679">
        <v>45983</v>
      </c>
      <c r="D81" s="401" t="s">
        <v>42</v>
      </c>
      <c r="E81" s="1428"/>
      <c r="F81" s="2"/>
    </row>
    <row r="82" spans="1:6">
      <c r="A82" s="26">
        <v>35</v>
      </c>
      <c r="B82" s="676" t="s">
        <v>485</v>
      </c>
      <c r="C82" s="679">
        <v>45983</v>
      </c>
      <c r="D82" s="401" t="s">
        <v>61</v>
      </c>
      <c r="E82" s="1429"/>
      <c r="F82" s="2"/>
    </row>
    <row r="83" spans="1:6">
      <c r="A83" s="812">
        <v>36</v>
      </c>
      <c r="B83" s="814" t="s">
        <v>486</v>
      </c>
      <c r="C83" s="815">
        <v>45982</v>
      </c>
      <c r="D83" s="974" t="s">
        <v>61</v>
      </c>
      <c r="E83" s="1427" t="s">
        <v>1585</v>
      </c>
      <c r="F83" s="2"/>
    </row>
    <row r="84" spans="1:6">
      <c r="A84" s="812">
        <v>37</v>
      </c>
      <c r="B84" s="814" t="s">
        <v>487</v>
      </c>
      <c r="C84" s="815">
        <v>45982</v>
      </c>
      <c r="D84" s="816" t="s">
        <v>42</v>
      </c>
      <c r="E84" s="1428"/>
      <c r="F84" s="2"/>
    </row>
    <row r="85" spans="1:6">
      <c r="A85" s="26">
        <v>38</v>
      </c>
      <c r="B85" s="676" t="s">
        <v>488</v>
      </c>
      <c r="C85" s="677">
        <v>45982</v>
      </c>
      <c r="D85" s="680" t="s">
        <v>31</v>
      </c>
      <c r="E85" s="1428"/>
      <c r="F85" s="2"/>
    </row>
    <row r="86" spans="1:6">
      <c r="A86" s="812">
        <v>39</v>
      </c>
      <c r="B86" s="814" t="s">
        <v>489</v>
      </c>
      <c r="C86" s="815">
        <v>45981</v>
      </c>
      <c r="D86" s="816" t="s">
        <v>61</v>
      </c>
      <c r="E86" s="1428"/>
      <c r="F86" s="2"/>
    </row>
    <row r="87" spans="1:6">
      <c r="A87" s="861">
        <v>40</v>
      </c>
      <c r="B87" s="862" t="s">
        <v>490</v>
      </c>
      <c r="C87" s="863">
        <v>45981</v>
      </c>
      <c r="D87" s="864" t="s">
        <v>61</v>
      </c>
      <c r="E87" s="1428"/>
      <c r="F87" s="2"/>
    </row>
    <row r="88" spans="1:6">
      <c r="A88" s="26">
        <v>41</v>
      </c>
      <c r="B88" s="676" t="s">
        <v>491</v>
      </c>
      <c r="C88" s="677">
        <v>45981</v>
      </c>
      <c r="D88" s="680" t="s">
        <v>61</v>
      </c>
      <c r="E88" s="1428"/>
      <c r="F88" s="2"/>
    </row>
    <row r="89" spans="1:6">
      <c r="A89" s="26">
        <v>42</v>
      </c>
      <c r="B89" s="676" t="s">
        <v>492</v>
      </c>
      <c r="C89" s="677">
        <v>45980</v>
      </c>
      <c r="D89" s="680" t="s">
        <v>61</v>
      </c>
      <c r="E89" s="1428"/>
      <c r="F89" s="2"/>
    </row>
    <row r="90" spans="1:6">
      <c r="A90" s="26">
        <v>43</v>
      </c>
      <c r="B90" s="676" t="s">
        <v>493</v>
      </c>
      <c r="C90" s="677">
        <v>45980</v>
      </c>
      <c r="D90" s="680" t="s">
        <v>61</v>
      </c>
      <c r="E90" s="1428"/>
      <c r="F90" s="2"/>
    </row>
    <row r="91" spans="1:6">
      <c r="A91" s="26">
        <v>44</v>
      </c>
      <c r="B91" s="676" t="s">
        <v>494</v>
      </c>
      <c r="C91" s="677">
        <v>45980</v>
      </c>
      <c r="D91" s="680" t="s">
        <v>61</v>
      </c>
      <c r="E91" s="1428"/>
      <c r="F91" s="2"/>
    </row>
    <row r="92" spans="1:6">
      <c r="A92" s="812">
        <v>45</v>
      </c>
      <c r="B92" s="814" t="s">
        <v>495</v>
      </c>
      <c r="C92" s="815">
        <v>45978</v>
      </c>
      <c r="D92" s="816" t="s">
        <v>61</v>
      </c>
      <c r="E92" s="1428"/>
      <c r="F92" s="2"/>
    </row>
    <row r="93" spans="1:6">
      <c r="A93" s="861">
        <v>46</v>
      </c>
      <c r="B93" s="862" t="s">
        <v>496</v>
      </c>
      <c r="C93" s="863">
        <v>45978</v>
      </c>
      <c r="D93" s="864" t="s">
        <v>61</v>
      </c>
      <c r="E93" s="1428"/>
      <c r="F93" s="2"/>
    </row>
    <row r="94" spans="1:6">
      <c r="A94" s="26">
        <v>47</v>
      </c>
      <c r="B94" s="676" t="s">
        <v>550</v>
      </c>
      <c r="C94" s="677">
        <v>45978</v>
      </c>
      <c r="D94" s="680" t="s">
        <v>61</v>
      </c>
      <c r="E94" s="1428"/>
      <c r="F94" s="2"/>
    </row>
    <row r="95" spans="1:6">
      <c r="A95" s="26">
        <v>48</v>
      </c>
      <c r="B95" s="676" t="s">
        <v>497</v>
      </c>
      <c r="C95" s="677">
        <v>45977</v>
      </c>
      <c r="D95" s="680" t="s">
        <v>61</v>
      </c>
      <c r="E95" s="1428"/>
      <c r="F95" s="2"/>
    </row>
    <row r="96" spans="1:6">
      <c r="A96" s="26">
        <v>49</v>
      </c>
      <c r="B96" s="676" t="s">
        <v>498</v>
      </c>
      <c r="C96" s="677">
        <v>45977</v>
      </c>
      <c r="D96" s="680" t="s">
        <v>61</v>
      </c>
      <c r="E96" s="1428"/>
      <c r="F96" s="2"/>
    </row>
    <row r="97" spans="1:6">
      <c r="A97" s="26">
        <v>50</v>
      </c>
      <c r="B97" s="676" t="s">
        <v>499</v>
      </c>
      <c r="C97" s="677">
        <v>45977</v>
      </c>
      <c r="D97" s="680" t="s">
        <v>61</v>
      </c>
      <c r="E97" s="1428"/>
      <c r="F97" s="2"/>
    </row>
    <row r="98" spans="1:6">
      <c r="A98" s="26">
        <v>51</v>
      </c>
      <c r="B98" s="676" t="s">
        <v>500</v>
      </c>
      <c r="C98" s="677">
        <v>45976</v>
      </c>
      <c r="D98" s="680" t="s">
        <v>61</v>
      </c>
      <c r="E98" s="1428"/>
      <c r="F98" s="2"/>
    </row>
    <row r="99" spans="1:6">
      <c r="A99" s="26">
        <v>52</v>
      </c>
      <c r="B99" s="676" t="s">
        <v>501</v>
      </c>
      <c r="C99" s="677">
        <v>45976</v>
      </c>
      <c r="D99" s="680" t="s">
        <v>42</v>
      </c>
      <c r="E99" s="1428"/>
      <c r="F99" s="2"/>
    </row>
    <row r="100" spans="1:6">
      <c r="A100" s="26">
        <v>53</v>
      </c>
      <c r="B100" s="676" t="s">
        <v>502</v>
      </c>
      <c r="C100" s="677">
        <v>45976</v>
      </c>
      <c r="D100" s="680" t="s">
        <v>42</v>
      </c>
      <c r="E100" s="1428"/>
      <c r="F100" s="2"/>
    </row>
    <row r="101" spans="1:6" ht="15" customHeight="1">
      <c r="A101" s="26">
        <v>54</v>
      </c>
      <c r="B101" s="676" t="s">
        <v>503</v>
      </c>
      <c r="C101" s="677">
        <v>45975</v>
      </c>
      <c r="D101" s="680" t="s">
        <v>42</v>
      </c>
      <c r="E101" s="1428"/>
      <c r="F101" s="2"/>
    </row>
    <row r="102" spans="1:6">
      <c r="A102" s="26">
        <v>55</v>
      </c>
      <c r="B102" s="676" t="s">
        <v>504</v>
      </c>
      <c r="C102" s="677">
        <v>45975</v>
      </c>
      <c r="D102" s="680" t="s">
        <v>61</v>
      </c>
      <c r="E102" s="1428"/>
      <c r="F102" s="2"/>
    </row>
    <row r="103" spans="1:6">
      <c r="A103" s="861">
        <v>56</v>
      </c>
      <c r="B103" s="862" t="s">
        <v>505</v>
      </c>
      <c r="C103" s="863">
        <v>45975</v>
      </c>
      <c r="D103" s="864" t="s">
        <v>61</v>
      </c>
      <c r="E103" s="1428"/>
      <c r="F103" s="2"/>
    </row>
    <row r="104" spans="1:6">
      <c r="A104" s="812">
        <v>57</v>
      </c>
      <c r="B104" s="814" t="s">
        <v>506</v>
      </c>
      <c r="C104" s="815">
        <v>45974</v>
      </c>
      <c r="D104" s="816" t="s">
        <v>61</v>
      </c>
      <c r="E104" s="1428"/>
      <c r="F104" s="2"/>
    </row>
    <row r="105" spans="1:6">
      <c r="A105" s="812">
        <v>58</v>
      </c>
      <c r="B105" s="814" t="s">
        <v>507</v>
      </c>
      <c r="C105" s="815">
        <v>45974</v>
      </c>
      <c r="D105" s="816" t="s">
        <v>61</v>
      </c>
      <c r="E105" s="1428"/>
      <c r="F105" s="2"/>
    </row>
    <row r="106" spans="1:6">
      <c r="A106" s="812">
        <v>59</v>
      </c>
      <c r="B106" s="814" t="s">
        <v>508</v>
      </c>
      <c r="C106" s="815">
        <v>45974</v>
      </c>
      <c r="D106" s="816" t="s">
        <v>61</v>
      </c>
      <c r="E106" s="1428"/>
      <c r="F106" s="2"/>
    </row>
    <row r="107" spans="1:6">
      <c r="A107" s="812">
        <v>60</v>
      </c>
      <c r="B107" s="814" t="s">
        <v>509</v>
      </c>
      <c r="C107" s="815">
        <v>45973</v>
      </c>
      <c r="D107" s="816" t="s">
        <v>42</v>
      </c>
      <c r="E107" s="1428"/>
      <c r="F107" s="2"/>
    </row>
    <row r="108" spans="1:6">
      <c r="A108" s="26">
        <v>61</v>
      </c>
      <c r="B108" s="676" t="s">
        <v>510</v>
      </c>
      <c r="C108" s="677">
        <v>45973</v>
      </c>
      <c r="D108" s="680" t="s">
        <v>42</v>
      </c>
      <c r="E108" s="1428"/>
      <c r="F108" s="2"/>
    </row>
    <row r="109" spans="1:6">
      <c r="A109" s="532">
        <v>62</v>
      </c>
      <c r="B109" s="676" t="s">
        <v>511</v>
      </c>
      <c r="C109" s="679">
        <v>45973</v>
      </c>
      <c r="D109" s="680" t="s">
        <v>42</v>
      </c>
      <c r="E109" s="1429"/>
      <c r="F109" s="2"/>
    </row>
    <row r="110" spans="1:6">
      <c r="A110" s="532">
        <v>63</v>
      </c>
      <c r="B110" s="676" t="s">
        <v>512</v>
      </c>
      <c r="C110" s="677">
        <v>45972</v>
      </c>
      <c r="D110" s="681" t="s">
        <v>42</v>
      </c>
      <c r="E110" s="1424" t="s">
        <v>1585</v>
      </c>
      <c r="F110" s="2"/>
    </row>
    <row r="111" spans="1:6">
      <c r="A111" s="532">
        <v>64</v>
      </c>
      <c r="B111" s="676" t="s">
        <v>513</v>
      </c>
      <c r="C111" s="677">
        <v>45972</v>
      </c>
      <c r="D111" s="676" t="s">
        <v>42</v>
      </c>
      <c r="E111" s="1425"/>
      <c r="F111" s="2"/>
    </row>
    <row r="112" spans="1:6">
      <c r="A112" s="812">
        <v>65</v>
      </c>
      <c r="B112" s="814" t="s">
        <v>514</v>
      </c>
      <c r="C112" s="815">
        <v>45971</v>
      </c>
      <c r="D112" s="814" t="s">
        <v>42</v>
      </c>
      <c r="E112" s="1425"/>
      <c r="F112" s="2"/>
    </row>
    <row r="113" spans="1:6">
      <c r="A113" s="812">
        <v>66</v>
      </c>
      <c r="B113" s="814" t="s">
        <v>515</v>
      </c>
      <c r="C113" s="815">
        <v>45971</v>
      </c>
      <c r="D113" s="814" t="s">
        <v>42</v>
      </c>
      <c r="E113" s="1426"/>
      <c r="F113" s="2"/>
    </row>
    <row r="114" spans="1:6">
      <c r="A114" s="812">
        <v>67</v>
      </c>
      <c r="B114" s="814" t="s">
        <v>516</v>
      </c>
      <c r="C114" s="815">
        <v>46005</v>
      </c>
      <c r="D114" s="814" t="s">
        <v>61</v>
      </c>
      <c r="E114" s="38" t="s">
        <v>42</v>
      </c>
      <c r="F114" s="2"/>
    </row>
    <row r="115" spans="1:6">
      <c r="A115" s="26">
        <v>68</v>
      </c>
      <c r="B115" s="676" t="s">
        <v>517</v>
      </c>
      <c r="C115" s="677">
        <v>46005</v>
      </c>
      <c r="D115" s="676" t="s">
        <v>61</v>
      </c>
      <c r="E115" s="38"/>
      <c r="F115" s="2"/>
    </row>
    <row r="116" spans="1:6">
      <c r="A116" s="26">
        <v>69</v>
      </c>
      <c r="B116" s="676" t="s">
        <v>518</v>
      </c>
      <c r="C116" s="677">
        <v>46004</v>
      </c>
      <c r="D116" s="676" t="s">
        <v>42</v>
      </c>
      <c r="E116" s="38"/>
      <c r="F116" s="2"/>
    </row>
    <row r="117" spans="1:6">
      <c r="A117" s="26">
        <v>70</v>
      </c>
      <c r="B117" s="720" t="s">
        <v>519</v>
      </c>
      <c r="C117" s="721">
        <v>46004</v>
      </c>
      <c r="D117" s="720" t="s">
        <v>61</v>
      </c>
      <c r="E117" s="722"/>
      <c r="F117" s="2"/>
    </row>
    <row r="118" spans="1:6">
      <c r="A118" s="132">
        <v>71</v>
      </c>
      <c r="B118" s="723" t="s">
        <v>520</v>
      </c>
      <c r="C118" s="724">
        <v>46004</v>
      </c>
      <c r="D118" s="723" t="s">
        <v>42</v>
      </c>
      <c r="E118" s="38"/>
      <c r="F118" s="2"/>
    </row>
    <row r="119" spans="1:6">
      <c r="A119" s="132">
        <v>72</v>
      </c>
      <c r="B119" s="723" t="s">
        <v>521</v>
      </c>
      <c r="C119" s="724">
        <v>46004</v>
      </c>
      <c r="D119" s="723" t="s">
        <v>61</v>
      </c>
      <c r="E119" s="38"/>
      <c r="F119" s="2"/>
    </row>
    <row r="120" spans="1:6">
      <c r="A120" s="132">
        <v>73</v>
      </c>
      <c r="B120" s="723" t="s">
        <v>522</v>
      </c>
      <c r="C120" s="724">
        <v>46003</v>
      </c>
      <c r="D120" s="723" t="s">
        <v>61</v>
      </c>
      <c r="E120" s="38"/>
      <c r="F120" s="2"/>
    </row>
    <row r="121" spans="1:6">
      <c r="A121" s="132">
        <v>74</v>
      </c>
      <c r="B121" s="723" t="s">
        <v>523</v>
      </c>
      <c r="C121" s="724">
        <v>46003</v>
      </c>
      <c r="D121" s="723" t="s">
        <v>61</v>
      </c>
      <c r="E121" s="38"/>
      <c r="F121" s="2"/>
    </row>
    <row r="122" spans="1:6">
      <c r="A122" s="26">
        <v>75</v>
      </c>
      <c r="B122" s="681" t="s">
        <v>524</v>
      </c>
      <c r="C122" s="718">
        <v>46003</v>
      </c>
      <c r="D122" s="681" t="s">
        <v>61</v>
      </c>
      <c r="E122" s="719"/>
      <c r="F122" s="2"/>
    </row>
    <row r="123" spans="1:6">
      <c r="A123" s="26">
        <v>76</v>
      </c>
      <c r="B123" s="676" t="s">
        <v>525</v>
      </c>
      <c r="C123" s="677">
        <v>46003</v>
      </c>
      <c r="D123" s="676" t="s">
        <v>61</v>
      </c>
      <c r="E123" s="38"/>
      <c r="F123" s="2"/>
    </row>
    <row r="124" spans="1:6">
      <c r="A124" s="812">
        <v>77</v>
      </c>
      <c r="B124" s="814" t="s">
        <v>526</v>
      </c>
      <c r="C124" s="815" t="s">
        <v>1431</v>
      </c>
      <c r="D124" s="814" t="s">
        <v>61</v>
      </c>
      <c r="E124" s="38"/>
      <c r="F124" s="2"/>
    </row>
    <row r="125" spans="1:6">
      <c r="A125" s="812">
        <v>78</v>
      </c>
      <c r="B125" s="814" t="s">
        <v>527</v>
      </c>
      <c r="C125" s="815" t="s">
        <v>1431</v>
      </c>
      <c r="D125" s="814" t="s">
        <v>42</v>
      </c>
      <c r="E125" s="38"/>
      <c r="F125" s="2"/>
    </row>
    <row r="126" spans="1:6">
      <c r="A126" s="812">
        <v>79</v>
      </c>
      <c r="B126" s="814" t="s">
        <v>528</v>
      </c>
      <c r="C126" s="815" t="s">
        <v>1431</v>
      </c>
      <c r="D126" s="814" t="s">
        <v>61</v>
      </c>
      <c r="E126" s="38"/>
      <c r="F126" s="2"/>
    </row>
    <row r="127" spans="1:6">
      <c r="A127" s="26">
        <v>80</v>
      </c>
      <c r="B127" s="676" t="s">
        <v>529</v>
      </c>
      <c r="C127" s="677" t="s">
        <v>1431</v>
      </c>
      <c r="D127" s="676" t="s">
        <v>61</v>
      </c>
      <c r="E127" s="38"/>
      <c r="F127" s="2"/>
    </row>
    <row r="128" spans="1:6">
      <c r="A128" s="26">
        <v>81</v>
      </c>
      <c r="B128" s="676" t="s">
        <v>530</v>
      </c>
      <c r="C128" s="677" t="s">
        <v>1432</v>
      </c>
      <c r="D128" s="676" t="s">
        <v>61</v>
      </c>
      <c r="E128" s="38"/>
      <c r="F128" s="2"/>
    </row>
    <row r="129" spans="1:6">
      <c r="A129" s="26">
        <v>82</v>
      </c>
      <c r="B129" s="676" t="s">
        <v>531</v>
      </c>
      <c r="C129" s="677" t="s">
        <v>1432</v>
      </c>
      <c r="D129" s="676" t="s">
        <v>61</v>
      </c>
      <c r="E129" s="38"/>
      <c r="F129" s="2"/>
    </row>
    <row r="130" spans="1:6">
      <c r="A130" s="26">
        <v>83</v>
      </c>
      <c r="B130" s="676" t="s">
        <v>532</v>
      </c>
      <c r="C130" s="677" t="s">
        <v>1432</v>
      </c>
      <c r="D130" s="676" t="s">
        <v>61</v>
      </c>
      <c r="E130" s="38"/>
      <c r="F130" s="2"/>
    </row>
    <row r="131" spans="1:6">
      <c r="A131" s="26">
        <v>84</v>
      </c>
      <c r="B131" s="676" t="s">
        <v>533</v>
      </c>
      <c r="C131" s="677" t="s">
        <v>1432</v>
      </c>
      <c r="D131" s="676" t="s">
        <v>61</v>
      </c>
      <c r="E131" s="38"/>
      <c r="F131" s="2"/>
    </row>
    <row r="132" spans="1:6">
      <c r="A132" s="812">
        <v>85</v>
      </c>
      <c r="B132" s="814" t="s">
        <v>534</v>
      </c>
      <c r="C132" s="815">
        <v>46000</v>
      </c>
      <c r="D132" s="814" t="s">
        <v>42</v>
      </c>
      <c r="E132" s="38"/>
      <c r="F132" s="2"/>
    </row>
    <row r="133" spans="1:6">
      <c r="A133" s="812">
        <v>86</v>
      </c>
      <c r="B133" s="814" t="s">
        <v>535</v>
      </c>
      <c r="C133" s="815">
        <v>46000</v>
      </c>
      <c r="D133" s="814" t="s">
        <v>61</v>
      </c>
      <c r="E133" s="38"/>
      <c r="F133" s="2"/>
    </row>
    <row r="134" spans="1:6">
      <c r="A134" s="812">
        <v>87</v>
      </c>
      <c r="B134" s="814" t="s">
        <v>536</v>
      </c>
      <c r="C134" s="815">
        <v>46000</v>
      </c>
      <c r="D134" s="814" t="s">
        <v>61</v>
      </c>
      <c r="E134" s="38"/>
      <c r="F134" s="2"/>
    </row>
    <row r="135" spans="1:6">
      <c r="A135" s="812">
        <v>88</v>
      </c>
      <c r="B135" s="814" t="s">
        <v>537</v>
      </c>
      <c r="C135" s="815">
        <v>46000</v>
      </c>
      <c r="D135" s="814" t="s">
        <v>42</v>
      </c>
      <c r="E135" s="38"/>
      <c r="F135" s="2"/>
    </row>
    <row r="136" spans="1:6">
      <c r="A136" s="26">
        <v>89</v>
      </c>
      <c r="B136" s="676" t="s">
        <v>538</v>
      </c>
      <c r="C136" s="677">
        <v>45999</v>
      </c>
      <c r="D136" s="676" t="s">
        <v>61</v>
      </c>
      <c r="E136" s="38"/>
      <c r="F136" s="2"/>
    </row>
    <row r="137" spans="1:6">
      <c r="A137" s="26">
        <v>90</v>
      </c>
      <c r="B137" s="676" t="s">
        <v>539</v>
      </c>
      <c r="C137" s="677">
        <v>45999</v>
      </c>
      <c r="D137" s="676" t="s">
        <v>42</v>
      </c>
      <c r="E137" s="38"/>
      <c r="F137" s="2"/>
    </row>
    <row r="138" spans="1:6">
      <c r="A138" s="26">
        <v>91</v>
      </c>
      <c r="B138" s="676" t="s">
        <v>540</v>
      </c>
      <c r="C138" s="677">
        <v>45999</v>
      </c>
      <c r="D138" s="676" t="s">
        <v>61</v>
      </c>
      <c r="E138" s="38"/>
      <c r="F138" s="2"/>
    </row>
    <row r="139" spans="1:6">
      <c r="A139" s="26">
        <v>92</v>
      </c>
      <c r="B139" s="676" t="s">
        <v>541</v>
      </c>
      <c r="C139" s="677">
        <v>45999</v>
      </c>
      <c r="D139" s="676" t="s">
        <v>61</v>
      </c>
      <c r="E139" s="38"/>
      <c r="F139" s="2"/>
    </row>
    <row r="140" spans="1:6">
      <c r="A140" s="26">
        <v>93</v>
      </c>
      <c r="B140" s="676" t="s">
        <v>542</v>
      </c>
      <c r="C140" s="677">
        <v>45998</v>
      </c>
      <c r="D140" s="676" t="s">
        <v>61</v>
      </c>
      <c r="E140" s="38"/>
      <c r="F140" s="2"/>
    </row>
    <row r="141" spans="1:6">
      <c r="A141" s="26">
        <v>94</v>
      </c>
      <c r="B141" s="676" t="s">
        <v>543</v>
      </c>
      <c r="C141" s="677">
        <v>45998</v>
      </c>
      <c r="D141" s="676" t="s">
        <v>42</v>
      </c>
      <c r="E141" s="38"/>
      <c r="F141" s="2"/>
    </row>
    <row r="142" spans="1:6">
      <c r="A142" s="26">
        <v>95</v>
      </c>
      <c r="B142" s="676" t="s">
        <v>544</v>
      </c>
      <c r="C142" s="677">
        <v>45998</v>
      </c>
      <c r="D142" s="676" t="s">
        <v>31</v>
      </c>
      <c r="E142" s="38"/>
      <c r="F142" s="2"/>
    </row>
    <row r="143" spans="1:6">
      <c r="A143" s="26">
        <v>96</v>
      </c>
      <c r="B143" s="676" t="s">
        <v>545</v>
      </c>
      <c r="C143" s="677">
        <v>45998</v>
      </c>
      <c r="D143" s="676" t="s">
        <v>61</v>
      </c>
      <c r="E143" s="38"/>
      <c r="F143" s="2"/>
    </row>
    <row r="144" spans="1:6">
      <c r="A144" s="26">
        <v>97</v>
      </c>
      <c r="B144" s="676" t="s">
        <v>546</v>
      </c>
      <c r="C144" s="677">
        <v>45997</v>
      </c>
      <c r="D144" s="676" t="s">
        <v>42</v>
      </c>
      <c r="E144" s="38"/>
      <c r="F144" s="2"/>
    </row>
    <row r="145" spans="1:6">
      <c r="A145" s="26">
        <v>98</v>
      </c>
      <c r="B145" s="676" t="s">
        <v>547</v>
      </c>
      <c r="C145" s="677">
        <v>45997</v>
      </c>
      <c r="D145" s="676" t="s">
        <v>42</v>
      </c>
      <c r="E145" s="38"/>
      <c r="F145" s="2"/>
    </row>
    <row r="146" spans="1:6">
      <c r="A146" s="26">
        <v>99</v>
      </c>
      <c r="B146" s="676" t="s">
        <v>548</v>
      </c>
      <c r="C146" s="677">
        <v>45997</v>
      </c>
      <c r="D146" s="676" t="s">
        <v>61</v>
      </c>
      <c r="E146" s="38"/>
      <c r="F146" s="2"/>
    </row>
    <row r="147" spans="1:6">
      <c r="A147" s="26">
        <v>100</v>
      </c>
      <c r="B147" s="676" t="s">
        <v>549</v>
      </c>
      <c r="C147" s="677">
        <v>45997</v>
      </c>
      <c r="D147" s="676" t="s">
        <v>61</v>
      </c>
      <c r="E147" s="38"/>
      <c r="F147" s="2"/>
    </row>
    <row r="148" spans="1:6" ht="12.75" customHeight="1">
      <c r="A148" s="1421" t="s">
        <v>79</v>
      </c>
      <c r="B148" s="1422"/>
      <c r="C148" s="28">
        <f>COUNTA(C48:C147)</f>
        <v>100</v>
      </c>
      <c r="D148" s="28"/>
      <c r="E148" s="38"/>
      <c r="F148" s="2"/>
    </row>
    <row r="149" spans="1:6" ht="12.75" customHeight="1">
      <c r="A149" s="29"/>
      <c r="B149" s="29"/>
      <c r="C149" s="29"/>
      <c r="D149" s="29"/>
      <c r="E149" s="2"/>
      <c r="F149" s="2"/>
    </row>
    <row r="150" spans="1:6" ht="12.75" customHeight="1">
      <c r="A150" s="1432" t="s">
        <v>86</v>
      </c>
      <c r="B150" s="1433"/>
      <c r="C150" s="1433"/>
      <c r="D150" s="1433"/>
      <c r="E150" s="1433"/>
      <c r="F150" s="2"/>
    </row>
    <row r="151" spans="1:6" ht="33.75" customHeight="1">
      <c r="A151" s="31" t="s">
        <v>82</v>
      </c>
      <c r="B151" s="31" t="s">
        <v>551</v>
      </c>
      <c r="C151" s="32" t="s">
        <v>81</v>
      </c>
      <c r="D151" s="32" t="s">
        <v>37</v>
      </c>
      <c r="E151" s="37" t="s">
        <v>2</v>
      </c>
      <c r="F151" s="2"/>
    </row>
    <row r="152" spans="1:6" ht="12.75" customHeight="1">
      <c r="A152" s="26">
        <v>1</v>
      </c>
      <c r="B152" s="812" t="s">
        <v>165</v>
      </c>
      <c r="C152" s="813">
        <v>45893</v>
      </c>
      <c r="D152" s="812" t="s">
        <v>42</v>
      </c>
      <c r="E152" s="38"/>
      <c r="F152" s="2"/>
    </row>
    <row r="153" spans="1:6" ht="12.75" customHeight="1">
      <c r="A153" s="26">
        <v>2</v>
      </c>
      <c r="B153" s="812" t="s">
        <v>552</v>
      </c>
      <c r="C153" s="813">
        <v>45894</v>
      </c>
      <c r="D153" s="812" t="s">
        <v>31</v>
      </c>
      <c r="E153" s="38"/>
      <c r="F153" s="2"/>
    </row>
    <row r="154" spans="1:6" ht="12.75" customHeight="1">
      <c r="A154" s="26">
        <v>3</v>
      </c>
      <c r="B154" s="812" t="s">
        <v>212</v>
      </c>
      <c r="C154" s="813">
        <v>45894</v>
      </c>
      <c r="D154" s="812" t="s">
        <v>42</v>
      </c>
      <c r="E154" s="38"/>
      <c r="F154" s="2"/>
    </row>
    <row r="155" spans="1:6" ht="12.75" customHeight="1">
      <c r="A155" s="26">
        <v>4</v>
      </c>
      <c r="B155" s="812" t="s">
        <v>223</v>
      </c>
      <c r="C155" s="813">
        <v>45894</v>
      </c>
      <c r="D155" s="812" t="s">
        <v>42</v>
      </c>
      <c r="E155" s="38"/>
      <c r="F155" s="2"/>
    </row>
    <row r="156" spans="1:6" ht="12.75" customHeight="1">
      <c r="A156" s="26">
        <v>5</v>
      </c>
      <c r="B156" s="812" t="s">
        <v>256</v>
      </c>
      <c r="C156" s="813">
        <v>45896</v>
      </c>
      <c r="D156" s="812" t="s">
        <v>61</v>
      </c>
      <c r="E156" s="38"/>
      <c r="F156" s="2"/>
    </row>
    <row r="157" spans="1:6" ht="12.75" customHeight="1">
      <c r="A157" s="26">
        <v>6</v>
      </c>
      <c r="B157" s="26" t="s">
        <v>263</v>
      </c>
      <c r="C157" s="27">
        <v>45895</v>
      </c>
      <c r="D157" s="26" t="s">
        <v>42</v>
      </c>
      <c r="E157" s="38"/>
      <c r="F157" s="2"/>
    </row>
    <row r="158" spans="1:6" ht="12.75" customHeight="1">
      <c r="A158" s="26">
        <v>7</v>
      </c>
      <c r="B158" s="26" t="s">
        <v>270</v>
      </c>
      <c r="C158" s="27">
        <v>45895</v>
      </c>
      <c r="D158" s="26" t="s">
        <v>61</v>
      </c>
      <c r="E158" s="38"/>
      <c r="F158" s="2"/>
    </row>
    <row r="159" spans="1:6" ht="12.75" customHeight="1">
      <c r="A159" s="1421" t="s">
        <v>79</v>
      </c>
      <c r="B159" s="1422"/>
      <c r="C159" s="30">
        <f>COUNTA(C152:C158)</f>
        <v>7</v>
      </c>
      <c r="D159" s="28"/>
      <c r="E159" s="38"/>
      <c r="F159" s="2"/>
    </row>
    <row r="160" spans="1:6" ht="12.75" customHeight="1">
      <c r="A160" s="29"/>
      <c r="B160" s="29"/>
      <c r="C160" s="29"/>
      <c r="D160" s="29"/>
      <c r="E160" s="2"/>
      <c r="F160" s="2"/>
    </row>
    <row r="161" spans="1:6" ht="12.75" customHeight="1">
      <c r="A161" s="29"/>
      <c r="B161" s="29"/>
      <c r="C161" s="29"/>
      <c r="D161" s="29"/>
      <c r="E161" s="2"/>
      <c r="F161" s="2"/>
    </row>
    <row r="162" spans="1:6" ht="12.75" customHeight="1">
      <c r="A162" s="29"/>
      <c r="B162" s="29"/>
      <c r="C162" s="29"/>
      <c r="D162" s="29"/>
      <c r="E162" s="2"/>
      <c r="F162" s="2"/>
    </row>
    <row r="163" spans="1:6" ht="12.75" customHeight="1">
      <c r="A163" s="29"/>
      <c r="B163" s="29"/>
      <c r="C163" s="29"/>
      <c r="D163" s="29"/>
      <c r="E163" s="2"/>
      <c r="F163" s="2"/>
    </row>
    <row r="164" spans="1:6" ht="12.75" customHeight="1">
      <c r="A164" s="29"/>
      <c r="B164" s="29"/>
      <c r="C164" s="29"/>
      <c r="D164" s="29"/>
      <c r="E164" s="2"/>
      <c r="F164" s="2"/>
    </row>
    <row r="165" spans="1:6" ht="12.75" customHeight="1">
      <c r="A165" s="29"/>
      <c r="B165" s="29"/>
      <c r="C165" s="29"/>
      <c r="D165" s="29"/>
      <c r="E165" s="2"/>
      <c r="F165" s="2"/>
    </row>
    <row r="166" spans="1:6" ht="12.75" customHeight="1">
      <c r="A166" s="29"/>
      <c r="B166" s="29"/>
      <c r="C166" s="29"/>
      <c r="D166" s="29"/>
      <c r="E166" s="2"/>
      <c r="F166" s="2"/>
    </row>
    <row r="167" spans="1:6" ht="12.75" customHeight="1">
      <c r="A167" s="29"/>
      <c r="B167" s="29"/>
      <c r="C167" s="29"/>
      <c r="D167" s="29"/>
      <c r="E167" s="2"/>
      <c r="F167" s="2"/>
    </row>
    <row r="168" spans="1:6" ht="12.75" customHeight="1">
      <c r="A168" s="29"/>
      <c r="B168" s="29"/>
      <c r="C168" s="29"/>
      <c r="D168" s="29"/>
      <c r="E168" s="2"/>
      <c r="F168" s="2"/>
    </row>
    <row r="169" spans="1:6" ht="12.75" customHeight="1">
      <c r="A169" s="29"/>
      <c r="B169" s="29"/>
      <c r="C169" s="29"/>
      <c r="D169" s="29"/>
      <c r="E169" s="2"/>
      <c r="F169" s="2"/>
    </row>
    <row r="170" spans="1:6" ht="12.75" customHeight="1">
      <c r="A170" s="29"/>
      <c r="B170" s="29"/>
      <c r="C170" s="29"/>
      <c r="D170" s="29"/>
      <c r="E170" s="2"/>
      <c r="F170" s="2"/>
    </row>
    <row r="171" spans="1:6" ht="12.75" customHeight="1">
      <c r="A171" s="29"/>
      <c r="B171" s="29"/>
      <c r="C171" s="29"/>
      <c r="D171" s="29"/>
      <c r="E171" s="2"/>
      <c r="F171" s="2"/>
    </row>
    <row r="172" spans="1:6" ht="12.75" customHeight="1">
      <c r="A172" s="29"/>
      <c r="B172" s="29"/>
      <c r="C172" s="29"/>
      <c r="D172" s="29"/>
      <c r="E172" s="2"/>
      <c r="F172" s="2"/>
    </row>
    <row r="173" spans="1:6" ht="12.75" customHeight="1">
      <c r="A173" s="29"/>
      <c r="B173" s="29"/>
      <c r="C173" s="29"/>
      <c r="D173" s="29"/>
      <c r="E173" s="2"/>
      <c r="F173" s="2"/>
    </row>
    <row r="174" spans="1:6" ht="12.75" customHeight="1">
      <c r="A174" s="29"/>
      <c r="B174" s="29"/>
      <c r="C174" s="29"/>
      <c r="D174" s="29"/>
      <c r="E174" s="2"/>
      <c r="F174" s="2"/>
    </row>
    <row r="175" spans="1:6" ht="12.75" customHeight="1">
      <c r="A175" s="29"/>
      <c r="B175" s="29"/>
      <c r="C175" s="29"/>
      <c r="D175" s="29"/>
      <c r="E175" s="2"/>
      <c r="F175" s="2"/>
    </row>
    <row r="176" spans="1:6" ht="12.75" customHeight="1">
      <c r="A176" s="29"/>
      <c r="B176" s="29"/>
      <c r="C176" s="29"/>
      <c r="D176" s="29"/>
      <c r="E176" s="2"/>
      <c r="F176" s="2"/>
    </row>
    <row r="177" spans="1:6" ht="12.75" customHeight="1">
      <c r="A177" s="29"/>
      <c r="B177" s="29"/>
      <c r="C177" s="29"/>
      <c r="D177" s="29"/>
      <c r="E177" s="2"/>
      <c r="F177" s="2"/>
    </row>
    <row r="178" spans="1:6" ht="12.75" customHeight="1">
      <c r="A178" s="29"/>
      <c r="B178" s="29"/>
      <c r="C178" s="29"/>
      <c r="D178" s="29"/>
      <c r="E178" s="2"/>
      <c r="F178" s="2"/>
    </row>
    <row r="179" spans="1:6" ht="12.75" customHeight="1">
      <c r="A179" s="29"/>
      <c r="B179" s="29"/>
      <c r="C179" s="29"/>
      <c r="D179" s="29"/>
      <c r="E179" s="2"/>
      <c r="F179" s="2"/>
    </row>
    <row r="180" spans="1:6" ht="12.75" customHeight="1">
      <c r="A180" s="29"/>
      <c r="B180" s="29"/>
      <c r="C180" s="29"/>
      <c r="D180" s="29"/>
      <c r="E180" s="2"/>
      <c r="F180" s="2"/>
    </row>
    <row r="181" spans="1:6" ht="12.75" customHeight="1">
      <c r="A181" s="29"/>
      <c r="B181" s="29"/>
      <c r="C181" s="29"/>
      <c r="D181" s="29"/>
      <c r="E181" s="2"/>
      <c r="F181" s="2"/>
    </row>
    <row r="182" spans="1:6" ht="12.75" customHeight="1">
      <c r="A182" s="29"/>
      <c r="B182" s="29"/>
      <c r="C182" s="29"/>
      <c r="D182" s="29"/>
      <c r="E182" s="2"/>
      <c r="F182" s="2"/>
    </row>
    <row r="183" spans="1:6" ht="12.75" customHeight="1">
      <c r="A183" s="29"/>
      <c r="B183" s="29"/>
      <c r="C183" s="29"/>
      <c r="D183" s="29"/>
      <c r="E183" s="2"/>
      <c r="F183" s="2"/>
    </row>
    <row r="184" spans="1:6" ht="12.75" customHeight="1">
      <c r="A184" s="29"/>
      <c r="B184" s="29"/>
      <c r="C184" s="29"/>
      <c r="D184" s="29"/>
      <c r="E184" s="2"/>
      <c r="F184" s="2"/>
    </row>
    <row r="185" spans="1:6" ht="12.75" customHeight="1">
      <c r="A185" s="29"/>
      <c r="B185" s="29"/>
      <c r="C185" s="29"/>
      <c r="D185" s="29"/>
      <c r="E185" s="2"/>
      <c r="F185" s="2"/>
    </row>
    <row r="186" spans="1:6" ht="12.75" customHeight="1">
      <c r="A186" s="29"/>
      <c r="B186" s="29"/>
      <c r="C186" s="29"/>
      <c r="D186" s="29"/>
      <c r="E186" s="2"/>
      <c r="F186" s="2"/>
    </row>
    <row r="187" spans="1:6" ht="12.75" customHeight="1">
      <c r="A187" s="29"/>
      <c r="B187" s="29"/>
      <c r="C187" s="29"/>
      <c r="D187" s="29"/>
      <c r="E187" s="2"/>
      <c r="F187" s="2"/>
    </row>
    <row r="188" spans="1:6" ht="12.75" customHeight="1">
      <c r="A188" s="29"/>
      <c r="B188" s="29"/>
      <c r="C188" s="29"/>
      <c r="D188" s="29"/>
      <c r="E188" s="2"/>
      <c r="F188" s="2"/>
    </row>
    <row r="189" spans="1:6" ht="12.75" customHeight="1">
      <c r="A189" s="29"/>
      <c r="B189" s="29"/>
      <c r="C189" s="29"/>
      <c r="D189" s="29"/>
      <c r="E189" s="2"/>
      <c r="F189" s="2"/>
    </row>
    <row r="190" spans="1:6" ht="12.75" customHeight="1">
      <c r="A190" s="29"/>
      <c r="B190" s="29"/>
      <c r="C190" s="29"/>
      <c r="D190" s="29"/>
      <c r="E190" s="2"/>
      <c r="F190" s="2"/>
    </row>
    <row r="191" spans="1:6" ht="12.75" customHeight="1">
      <c r="A191" s="29"/>
      <c r="B191" s="29"/>
      <c r="C191" s="29"/>
      <c r="D191" s="29"/>
      <c r="E191" s="2"/>
      <c r="F191" s="2"/>
    </row>
    <row r="192" spans="1:6" ht="12.75" customHeight="1">
      <c r="A192" s="29"/>
      <c r="B192" s="29"/>
      <c r="C192" s="29"/>
      <c r="D192" s="29"/>
      <c r="E192" s="2"/>
      <c r="F192" s="2"/>
    </row>
    <row r="193" spans="1:6" ht="12.75" customHeight="1">
      <c r="A193" s="29"/>
      <c r="B193" s="29"/>
      <c r="C193" s="29"/>
      <c r="D193" s="29"/>
      <c r="E193" s="2"/>
      <c r="F193" s="2"/>
    </row>
    <row r="194" spans="1:6" ht="12.75" customHeight="1">
      <c r="A194" s="29"/>
      <c r="B194" s="29"/>
      <c r="C194" s="29"/>
      <c r="D194" s="29"/>
      <c r="E194" s="2"/>
      <c r="F194" s="2"/>
    </row>
    <row r="195" spans="1:6" ht="12.75" customHeight="1">
      <c r="A195" s="29"/>
      <c r="B195" s="29"/>
      <c r="C195" s="29"/>
      <c r="D195" s="29"/>
      <c r="E195" s="2"/>
      <c r="F195" s="2"/>
    </row>
    <row r="196" spans="1:6" ht="12.75" customHeight="1">
      <c r="A196" s="29"/>
      <c r="B196" s="29"/>
      <c r="C196" s="29"/>
      <c r="D196" s="29"/>
      <c r="E196" s="2"/>
      <c r="F196" s="2"/>
    </row>
    <row r="197" spans="1:6" ht="12.75" customHeight="1">
      <c r="A197" s="29"/>
      <c r="B197" s="29"/>
      <c r="C197" s="29"/>
      <c r="D197" s="29"/>
      <c r="E197" s="2"/>
      <c r="F197" s="2"/>
    </row>
    <row r="198" spans="1:6" ht="12.75" customHeight="1">
      <c r="A198" s="29"/>
      <c r="B198" s="29"/>
      <c r="C198" s="29"/>
      <c r="D198" s="29"/>
      <c r="E198" s="2"/>
      <c r="F198" s="2"/>
    </row>
    <row r="199" spans="1:6" ht="12.75" customHeight="1">
      <c r="A199" s="29"/>
      <c r="B199" s="29"/>
      <c r="C199" s="29"/>
      <c r="D199" s="29"/>
      <c r="E199" s="2"/>
      <c r="F199" s="2"/>
    </row>
    <row r="200" spans="1:6" ht="12.75" customHeight="1">
      <c r="A200" s="29"/>
      <c r="B200" s="29"/>
      <c r="C200" s="29"/>
      <c r="D200" s="29"/>
      <c r="E200" s="2"/>
      <c r="F200" s="2"/>
    </row>
    <row r="201" spans="1:6" ht="12.75" customHeight="1">
      <c r="A201" s="29"/>
      <c r="B201" s="29"/>
      <c r="C201" s="29"/>
      <c r="D201" s="29"/>
      <c r="E201" s="2"/>
      <c r="F201" s="2"/>
    </row>
    <row r="202" spans="1:6" ht="12.75" customHeight="1">
      <c r="A202" s="29"/>
      <c r="B202" s="29"/>
      <c r="C202" s="29"/>
      <c r="D202" s="29"/>
      <c r="E202" s="2"/>
      <c r="F202" s="2"/>
    </row>
    <row r="203" spans="1:6" ht="12.75" customHeight="1">
      <c r="A203" s="29"/>
      <c r="B203" s="29"/>
      <c r="C203" s="29"/>
      <c r="D203" s="29"/>
      <c r="E203" s="2"/>
      <c r="F203" s="2"/>
    </row>
    <row r="204" spans="1:6" ht="12.75" customHeight="1">
      <c r="A204" s="29"/>
      <c r="B204" s="29"/>
      <c r="C204" s="29"/>
      <c r="D204" s="29"/>
      <c r="E204" s="2"/>
      <c r="F204" s="2"/>
    </row>
    <row r="205" spans="1:6" ht="12.75" customHeight="1">
      <c r="A205" s="29"/>
      <c r="B205" s="29"/>
      <c r="C205" s="29"/>
      <c r="D205" s="29"/>
      <c r="E205" s="2"/>
      <c r="F205" s="2"/>
    </row>
    <row r="206" spans="1:6" ht="12.75" customHeight="1">
      <c r="A206" s="29"/>
      <c r="B206" s="29"/>
      <c r="C206" s="29"/>
      <c r="D206" s="29"/>
      <c r="E206" s="2"/>
      <c r="F206" s="2"/>
    </row>
    <row r="207" spans="1:6" ht="12.75" customHeight="1">
      <c r="A207" s="29"/>
      <c r="B207" s="29"/>
      <c r="C207" s="29"/>
      <c r="D207" s="29"/>
      <c r="E207" s="2"/>
      <c r="F207" s="2"/>
    </row>
    <row r="208" spans="1:6" ht="12.75" customHeight="1">
      <c r="A208" s="29"/>
      <c r="B208" s="29"/>
      <c r="C208" s="29"/>
      <c r="D208" s="29"/>
      <c r="E208" s="2"/>
      <c r="F208" s="2"/>
    </row>
    <row r="209" spans="1:6" ht="12.75" customHeight="1">
      <c r="A209" s="29"/>
      <c r="B209" s="29"/>
      <c r="C209" s="29"/>
      <c r="D209" s="29"/>
      <c r="E209" s="2"/>
      <c r="F209" s="2"/>
    </row>
    <row r="210" spans="1:6" ht="12.75" customHeight="1">
      <c r="A210" s="29"/>
      <c r="B210" s="29"/>
      <c r="C210" s="29"/>
      <c r="D210" s="29"/>
      <c r="E210" s="2"/>
      <c r="F210" s="2"/>
    </row>
    <row r="211" spans="1:6" ht="12.75" customHeight="1">
      <c r="A211" s="29"/>
      <c r="B211" s="29"/>
      <c r="C211" s="29"/>
      <c r="D211" s="29"/>
      <c r="E211" s="2"/>
      <c r="F211" s="2"/>
    </row>
    <row r="212" spans="1:6" ht="12.75" customHeight="1">
      <c r="A212" s="29"/>
      <c r="B212" s="29"/>
      <c r="C212" s="29"/>
      <c r="D212" s="29"/>
      <c r="E212" s="2"/>
      <c r="F212" s="2"/>
    </row>
    <row r="213" spans="1:6" ht="12.75" customHeight="1">
      <c r="A213" s="29"/>
      <c r="B213" s="29"/>
      <c r="C213" s="29"/>
      <c r="D213" s="29"/>
      <c r="E213" s="2"/>
      <c r="F213" s="2"/>
    </row>
    <row r="214" spans="1:6" ht="12.75" customHeight="1">
      <c r="A214" s="29"/>
      <c r="B214" s="29"/>
      <c r="C214" s="29"/>
      <c r="D214" s="29"/>
      <c r="E214" s="2"/>
      <c r="F214" s="2"/>
    </row>
    <row r="215" spans="1:6" ht="12.75" customHeight="1">
      <c r="A215" s="29"/>
      <c r="B215" s="29"/>
      <c r="C215" s="29"/>
      <c r="D215" s="29"/>
      <c r="E215" s="2"/>
      <c r="F215" s="2"/>
    </row>
    <row r="216" spans="1:6" ht="12.75" customHeight="1">
      <c r="A216" s="29"/>
      <c r="B216" s="29"/>
      <c r="C216" s="29"/>
      <c r="D216" s="29"/>
      <c r="E216" s="2"/>
      <c r="F216" s="2"/>
    </row>
    <row r="217" spans="1:6" ht="12.75" customHeight="1">
      <c r="A217" s="29"/>
      <c r="B217" s="29"/>
      <c r="C217" s="29"/>
      <c r="D217" s="29"/>
      <c r="E217" s="2"/>
      <c r="F217" s="2"/>
    </row>
    <row r="218" spans="1:6" ht="12.75" customHeight="1">
      <c r="A218" s="29"/>
      <c r="B218" s="29"/>
      <c r="C218" s="29"/>
      <c r="D218" s="29"/>
      <c r="E218" s="2"/>
      <c r="F218" s="2"/>
    </row>
    <row r="219" spans="1:6" ht="12.75" customHeight="1">
      <c r="A219" s="29"/>
      <c r="B219" s="29"/>
      <c r="C219" s="29"/>
      <c r="D219" s="29"/>
      <c r="E219" s="2"/>
      <c r="F219" s="2"/>
    </row>
    <row r="220" spans="1:6" ht="12.75" customHeight="1">
      <c r="A220" s="29"/>
      <c r="B220" s="29"/>
      <c r="C220" s="29"/>
      <c r="D220" s="29"/>
      <c r="E220" s="2"/>
      <c r="F220" s="2"/>
    </row>
    <row r="221" spans="1:6" ht="12.75" customHeight="1">
      <c r="A221" s="29"/>
      <c r="B221" s="29"/>
      <c r="C221" s="29"/>
      <c r="D221" s="29"/>
      <c r="E221" s="2"/>
      <c r="F221" s="2"/>
    </row>
    <row r="222" spans="1:6" ht="12.75" customHeight="1">
      <c r="A222" s="29"/>
      <c r="B222" s="29"/>
      <c r="C222" s="29"/>
      <c r="D222" s="29"/>
      <c r="E222" s="2"/>
      <c r="F222" s="2"/>
    </row>
    <row r="223" spans="1:6" ht="12.75" customHeight="1">
      <c r="A223" s="29"/>
      <c r="B223" s="29"/>
      <c r="C223" s="29"/>
      <c r="D223" s="29"/>
      <c r="E223" s="2"/>
      <c r="F223" s="2"/>
    </row>
    <row r="224" spans="1:6" ht="12.75" customHeight="1">
      <c r="A224" s="29"/>
      <c r="B224" s="29"/>
      <c r="C224" s="29"/>
      <c r="D224" s="29"/>
      <c r="E224" s="2"/>
      <c r="F224" s="2"/>
    </row>
    <row r="225" spans="1:6" ht="12.75" customHeight="1">
      <c r="A225" s="29"/>
      <c r="B225" s="29"/>
      <c r="C225" s="29"/>
      <c r="D225" s="29"/>
      <c r="E225" s="2"/>
      <c r="F225" s="2"/>
    </row>
    <row r="226" spans="1:6" ht="12.75" customHeight="1">
      <c r="A226" s="29"/>
      <c r="B226" s="29"/>
      <c r="C226" s="29"/>
      <c r="D226" s="29"/>
      <c r="E226" s="2"/>
      <c r="F226" s="2"/>
    </row>
    <row r="227" spans="1:6" ht="12.75" customHeight="1">
      <c r="A227" s="29"/>
      <c r="B227" s="29"/>
      <c r="C227" s="29"/>
      <c r="D227" s="29"/>
      <c r="E227" s="2"/>
      <c r="F227" s="2"/>
    </row>
    <row r="228" spans="1:6" ht="12.75" customHeight="1">
      <c r="A228" s="29"/>
      <c r="B228" s="29"/>
      <c r="C228" s="29"/>
      <c r="D228" s="29"/>
      <c r="E228" s="2"/>
      <c r="F228" s="2"/>
    </row>
    <row r="229" spans="1:6" ht="12.75" customHeight="1">
      <c r="A229" s="29"/>
      <c r="B229" s="29"/>
      <c r="C229" s="29"/>
      <c r="D229" s="29"/>
      <c r="E229" s="2"/>
      <c r="F229" s="2"/>
    </row>
    <row r="230" spans="1:6" ht="12.75" customHeight="1">
      <c r="A230" s="29"/>
      <c r="B230" s="29"/>
      <c r="C230" s="29"/>
      <c r="D230" s="29"/>
      <c r="E230" s="2"/>
      <c r="F230" s="2"/>
    </row>
    <row r="231" spans="1:6" ht="12.75" customHeight="1">
      <c r="A231" s="29"/>
      <c r="B231" s="29"/>
      <c r="C231" s="29"/>
      <c r="D231" s="29"/>
      <c r="E231" s="2"/>
      <c r="F231" s="2"/>
    </row>
    <row r="232" spans="1:6" ht="12.75" customHeight="1">
      <c r="A232" s="29"/>
      <c r="B232" s="29"/>
      <c r="C232" s="29"/>
      <c r="D232" s="29"/>
      <c r="E232" s="2"/>
      <c r="F232" s="2"/>
    </row>
    <row r="233" spans="1:6" ht="12.75" customHeight="1">
      <c r="A233" s="29"/>
      <c r="B233" s="29"/>
      <c r="C233" s="29"/>
      <c r="D233" s="29"/>
      <c r="E233" s="2"/>
      <c r="F233" s="2"/>
    </row>
    <row r="234" spans="1:6" ht="12.75" customHeight="1">
      <c r="A234" s="29"/>
      <c r="B234" s="29"/>
      <c r="C234" s="29"/>
      <c r="D234" s="29"/>
      <c r="E234" s="2"/>
      <c r="F234" s="2"/>
    </row>
    <row r="235" spans="1:6" ht="12.75" customHeight="1">
      <c r="A235" s="29"/>
      <c r="B235" s="29"/>
      <c r="C235" s="29"/>
      <c r="D235" s="29"/>
      <c r="E235" s="2"/>
      <c r="F235" s="2"/>
    </row>
    <row r="236" spans="1:6" ht="12.75" customHeight="1">
      <c r="A236" s="29"/>
      <c r="B236" s="29"/>
      <c r="C236" s="29"/>
      <c r="D236" s="29"/>
      <c r="E236" s="2"/>
      <c r="F236" s="2"/>
    </row>
    <row r="237" spans="1:6" ht="12.75" customHeight="1">
      <c r="A237" s="29"/>
      <c r="B237" s="29"/>
      <c r="C237" s="29"/>
      <c r="D237" s="29"/>
      <c r="E237" s="2"/>
      <c r="F237" s="2"/>
    </row>
    <row r="238" spans="1:6" ht="12.75" customHeight="1">
      <c r="A238" s="29"/>
      <c r="B238" s="29"/>
      <c r="C238" s="29"/>
      <c r="D238" s="29"/>
      <c r="E238" s="2"/>
      <c r="F238" s="2"/>
    </row>
    <row r="239" spans="1:6" ht="12.75" customHeight="1">
      <c r="A239" s="29"/>
      <c r="B239" s="29"/>
      <c r="C239" s="29"/>
      <c r="D239" s="29"/>
      <c r="E239" s="2"/>
      <c r="F239" s="2"/>
    </row>
    <row r="240" spans="1:6" ht="12.75" customHeight="1">
      <c r="A240" s="29"/>
      <c r="B240" s="29"/>
      <c r="C240" s="29"/>
      <c r="D240" s="29"/>
      <c r="E240" s="2"/>
      <c r="F240" s="2"/>
    </row>
    <row r="241" spans="1:6" ht="12.75" customHeight="1">
      <c r="A241" s="29"/>
      <c r="B241" s="29"/>
      <c r="C241" s="29"/>
      <c r="D241" s="29"/>
      <c r="E241" s="2"/>
      <c r="F241" s="2"/>
    </row>
    <row r="242" spans="1:6" ht="12.75" customHeight="1">
      <c r="A242" s="29"/>
      <c r="B242" s="29"/>
      <c r="C242" s="29"/>
      <c r="D242" s="29"/>
      <c r="E242" s="2"/>
      <c r="F242" s="2"/>
    </row>
    <row r="243" spans="1:6" ht="12.75" customHeight="1">
      <c r="A243" s="29"/>
      <c r="B243" s="29"/>
      <c r="C243" s="29"/>
      <c r="D243" s="29"/>
      <c r="E243" s="2"/>
      <c r="F243" s="2"/>
    </row>
    <row r="244" spans="1:6" ht="12.75" customHeight="1">
      <c r="A244" s="29"/>
      <c r="B244" s="29"/>
      <c r="C244" s="29"/>
      <c r="D244" s="29"/>
      <c r="E244" s="2"/>
      <c r="F244" s="2"/>
    </row>
    <row r="245" spans="1:6" ht="12.75" customHeight="1">
      <c r="A245" s="29"/>
      <c r="B245" s="29"/>
      <c r="C245" s="29"/>
      <c r="D245" s="29"/>
      <c r="E245" s="2"/>
      <c r="F245" s="2"/>
    </row>
    <row r="246" spans="1:6" ht="12.75" customHeight="1">
      <c r="A246" s="29"/>
      <c r="B246" s="29"/>
      <c r="C246" s="29"/>
      <c r="D246" s="29"/>
      <c r="E246" s="2"/>
      <c r="F246" s="2"/>
    </row>
    <row r="247" spans="1:6" ht="12.75" customHeight="1">
      <c r="A247" s="29"/>
      <c r="B247" s="29"/>
      <c r="C247" s="29"/>
      <c r="D247" s="29"/>
      <c r="E247" s="2"/>
      <c r="F247" s="2"/>
    </row>
    <row r="248" spans="1:6" ht="12.75" customHeight="1">
      <c r="A248" s="29"/>
      <c r="B248" s="29"/>
      <c r="C248" s="29"/>
      <c r="D248" s="29"/>
      <c r="E248" s="2"/>
      <c r="F248" s="2"/>
    </row>
    <row r="249" spans="1:6" ht="12.75" customHeight="1">
      <c r="A249" s="29"/>
      <c r="B249" s="29"/>
      <c r="C249" s="29"/>
      <c r="D249" s="29"/>
      <c r="E249" s="2"/>
      <c r="F249" s="2"/>
    </row>
    <row r="250" spans="1:6" ht="12.75" customHeight="1">
      <c r="A250" s="29"/>
      <c r="B250" s="29"/>
      <c r="C250" s="29"/>
      <c r="D250" s="29"/>
      <c r="E250" s="2"/>
      <c r="F250" s="2"/>
    </row>
    <row r="251" spans="1:6" ht="12.75" customHeight="1">
      <c r="A251" s="29"/>
      <c r="B251" s="29"/>
      <c r="C251" s="29"/>
      <c r="D251" s="29"/>
      <c r="E251" s="2"/>
      <c r="F251" s="2"/>
    </row>
    <row r="252" spans="1:6" ht="12.75" customHeight="1">
      <c r="A252" s="29"/>
      <c r="B252" s="29"/>
      <c r="C252" s="29"/>
      <c r="D252" s="29"/>
      <c r="E252" s="2"/>
      <c r="F252" s="2"/>
    </row>
    <row r="253" spans="1:6" ht="12.75" customHeight="1">
      <c r="A253" s="29"/>
      <c r="B253" s="29"/>
      <c r="C253" s="29"/>
      <c r="D253" s="29"/>
      <c r="E253" s="2"/>
      <c r="F253" s="2"/>
    </row>
    <row r="254" spans="1:6" ht="12.75" customHeight="1">
      <c r="A254" s="29"/>
      <c r="B254" s="29"/>
      <c r="C254" s="29"/>
      <c r="D254" s="29"/>
      <c r="E254" s="2"/>
      <c r="F254" s="2"/>
    </row>
    <row r="255" spans="1:6" ht="12.75" customHeight="1">
      <c r="A255" s="29"/>
      <c r="B255" s="29"/>
      <c r="C255" s="29"/>
      <c r="D255" s="29"/>
      <c r="E255" s="2"/>
      <c r="F255" s="2"/>
    </row>
    <row r="256" spans="1:6" ht="12.75" customHeight="1">
      <c r="A256" s="29"/>
      <c r="B256" s="29"/>
      <c r="C256" s="29"/>
      <c r="D256" s="29"/>
      <c r="E256" s="2"/>
      <c r="F256" s="2"/>
    </row>
    <row r="257" spans="1:6" ht="12.75" customHeight="1">
      <c r="A257" s="29"/>
      <c r="B257" s="29"/>
      <c r="C257" s="29"/>
      <c r="D257" s="29"/>
      <c r="E257" s="2"/>
      <c r="F257" s="2"/>
    </row>
    <row r="258" spans="1:6" ht="12.75" customHeight="1">
      <c r="A258" s="29"/>
      <c r="B258" s="29"/>
      <c r="C258" s="29"/>
      <c r="D258" s="29"/>
      <c r="E258" s="2"/>
      <c r="F258" s="2"/>
    </row>
    <row r="259" spans="1:6" ht="12.75" customHeight="1">
      <c r="A259" s="29"/>
      <c r="B259" s="29"/>
      <c r="C259" s="29"/>
      <c r="D259" s="29"/>
      <c r="E259" s="2"/>
      <c r="F259" s="2"/>
    </row>
    <row r="260" spans="1:6" ht="12.75" customHeight="1">
      <c r="A260" s="29"/>
      <c r="B260" s="29"/>
      <c r="C260" s="29"/>
      <c r="D260" s="29"/>
      <c r="E260" s="2"/>
      <c r="F260" s="2"/>
    </row>
    <row r="261" spans="1:6" ht="12.75" customHeight="1">
      <c r="A261" s="29"/>
      <c r="B261" s="29"/>
      <c r="C261" s="29"/>
      <c r="D261" s="29"/>
      <c r="E261" s="2"/>
      <c r="F261" s="2"/>
    </row>
    <row r="262" spans="1:6" ht="12.75" customHeight="1">
      <c r="A262" s="29"/>
      <c r="B262" s="29"/>
      <c r="C262" s="29"/>
      <c r="D262" s="29"/>
      <c r="E262" s="2"/>
      <c r="F262" s="2"/>
    </row>
    <row r="263" spans="1:6" ht="12.75" customHeight="1">
      <c r="A263" s="29"/>
      <c r="B263" s="29"/>
      <c r="C263" s="29"/>
      <c r="D263" s="29"/>
      <c r="E263" s="2"/>
      <c r="F263" s="2"/>
    </row>
    <row r="264" spans="1:6" ht="12.75" customHeight="1">
      <c r="A264" s="29"/>
      <c r="B264" s="29"/>
      <c r="C264" s="29"/>
      <c r="D264" s="29"/>
      <c r="E264" s="2"/>
      <c r="F264" s="2"/>
    </row>
    <row r="265" spans="1:6" ht="12.75" customHeight="1">
      <c r="A265" s="29"/>
      <c r="B265" s="29"/>
      <c r="C265" s="29"/>
      <c r="D265" s="29"/>
      <c r="E265" s="2"/>
      <c r="F265" s="2"/>
    </row>
    <row r="266" spans="1:6" ht="12.75" customHeight="1">
      <c r="A266" s="29"/>
      <c r="B266" s="29"/>
      <c r="C266" s="29"/>
      <c r="D266" s="29"/>
      <c r="E266" s="2"/>
      <c r="F266" s="2"/>
    </row>
    <row r="267" spans="1:6" ht="12.75" customHeight="1">
      <c r="A267" s="29"/>
      <c r="B267" s="29"/>
      <c r="C267" s="29"/>
      <c r="D267" s="29"/>
      <c r="E267" s="2"/>
      <c r="F267" s="2"/>
    </row>
    <row r="268" spans="1:6" ht="12.75" customHeight="1">
      <c r="A268" s="29"/>
      <c r="B268" s="29"/>
      <c r="C268" s="29"/>
      <c r="D268" s="29"/>
      <c r="E268" s="2"/>
      <c r="F268" s="2"/>
    </row>
    <row r="269" spans="1:6" ht="12.75" customHeight="1">
      <c r="A269" s="29"/>
      <c r="B269" s="29"/>
      <c r="C269" s="29"/>
      <c r="D269" s="29"/>
      <c r="E269" s="2"/>
      <c r="F269" s="2"/>
    </row>
    <row r="270" spans="1:6" ht="12.75" customHeight="1">
      <c r="A270" s="29"/>
      <c r="B270" s="29"/>
      <c r="C270" s="29"/>
      <c r="D270" s="29"/>
      <c r="E270" s="2"/>
      <c r="F270" s="2"/>
    </row>
    <row r="271" spans="1:6" ht="12.75" customHeight="1">
      <c r="A271" s="29"/>
      <c r="B271" s="29"/>
      <c r="C271" s="29"/>
      <c r="D271" s="29"/>
      <c r="E271" s="2"/>
      <c r="F271" s="2"/>
    </row>
    <row r="272" spans="1:6" ht="12.75" customHeight="1">
      <c r="A272" s="29"/>
      <c r="B272" s="29"/>
      <c r="C272" s="29"/>
      <c r="D272" s="29"/>
      <c r="E272" s="2"/>
      <c r="F272" s="2"/>
    </row>
    <row r="273" spans="1:6" ht="12.75" customHeight="1">
      <c r="A273" s="29"/>
      <c r="B273" s="29"/>
      <c r="C273" s="29"/>
      <c r="D273" s="29"/>
      <c r="E273" s="2"/>
      <c r="F273" s="2"/>
    </row>
    <row r="274" spans="1:6" ht="12.75" customHeight="1">
      <c r="A274" s="29"/>
      <c r="B274" s="29"/>
      <c r="C274" s="29"/>
      <c r="D274" s="29"/>
      <c r="E274" s="2"/>
      <c r="F274" s="2"/>
    </row>
    <row r="275" spans="1:6" ht="12.75" customHeight="1">
      <c r="A275" s="29"/>
      <c r="B275" s="29"/>
      <c r="C275" s="29"/>
      <c r="D275" s="29"/>
      <c r="E275" s="2"/>
      <c r="F275" s="2"/>
    </row>
    <row r="276" spans="1:6" ht="12.75" customHeight="1">
      <c r="A276" s="29"/>
      <c r="B276" s="29"/>
      <c r="C276" s="29"/>
      <c r="D276" s="29"/>
      <c r="E276" s="2"/>
      <c r="F276" s="2"/>
    </row>
    <row r="277" spans="1:6" ht="12.75" customHeight="1">
      <c r="A277" s="29"/>
      <c r="B277" s="29"/>
      <c r="C277" s="29"/>
      <c r="D277" s="29"/>
      <c r="E277" s="2"/>
      <c r="F277" s="2"/>
    </row>
    <row r="278" spans="1:6" ht="12.75" customHeight="1">
      <c r="A278" s="29"/>
      <c r="B278" s="29"/>
      <c r="C278" s="29"/>
      <c r="D278" s="29"/>
      <c r="E278" s="2"/>
      <c r="F278" s="2"/>
    </row>
    <row r="279" spans="1:6" ht="12.75" customHeight="1">
      <c r="A279" s="29"/>
      <c r="B279" s="29"/>
      <c r="C279" s="29"/>
      <c r="D279" s="29"/>
      <c r="E279" s="2"/>
      <c r="F279" s="2"/>
    </row>
    <row r="280" spans="1:6" ht="12.75" customHeight="1">
      <c r="A280" s="29"/>
      <c r="B280" s="29"/>
      <c r="C280" s="29"/>
      <c r="D280" s="29"/>
      <c r="E280" s="2"/>
      <c r="F280" s="2"/>
    </row>
    <row r="281" spans="1:6" ht="12.75" customHeight="1">
      <c r="A281" s="29"/>
      <c r="B281" s="29"/>
      <c r="C281" s="29"/>
      <c r="D281" s="29"/>
      <c r="E281" s="2"/>
      <c r="F281" s="2"/>
    </row>
    <row r="282" spans="1:6" ht="12.75" customHeight="1">
      <c r="A282" s="29"/>
      <c r="B282" s="29"/>
      <c r="C282" s="29"/>
      <c r="D282" s="29"/>
      <c r="E282" s="2"/>
      <c r="F282" s="2"/>
    </row>
    <row r="283" spans="1:6" ht="12.75" customHeight="1">
      <c r="A283" s="29"/>
      <c r="B283" s="29"/>
      <c r="C283" s="29"/>
      <c r="D283" s="29"/>
      <c r="E283" s="2"/>
      <c r="F283" s="2"/>
    </row>
    <row r="284" spans="1:6" ht="12.75" customHeight="1">
      <c r="A284" s="29"/>
      <c r="B284" s="29"/>
      <c r="C284" s="29"/>
      <c r="D284" s="29"/>
      <c r="E284" s="2"/>
      <c r="F284" s="2"/>
    </row>
    <row r="285" spans="1:6" ht="12.75" customHeight="1">
      <c r="A285" s="29"/>
      <c r="B285" s="29"/>
      <c r="C285" s="29"/>
      <c r="D285" s="29"/>
      <c r="E285" s="2"/>
      <c r="F285" s="2"/>
    </row>
    <row r="286" spans="1:6" ht="12.75" customHeight="1">
      <c r="A286" s="29"/>
      <c r="B286" s="29"/>
      <c r="C286" s="29"/>
      <c r="D286" s="29"/>
      <c r="E286" s="2"/>
      <c r="F286" s="2"/>
    </row>
    <row r="287" spans="1:6" ht="12.75" customHeight="1">
      <c r="A287" s="29"/>
      <c r="B287" s="29"/>
      <c r="C287" s="29"/>
      <c r="D287" s="29"/>
      <c r="E287" s="2"/>
      <c r="F287" s="2"/>
    </row>
    <row r="288" spans="1:6" ht="12.75" customHeight="1">
      <c r="A288" s="29"/>
      <c r="B288" s="29"/>
      <c r="C288" s="29"/>
      <c r="D288" s="29"/>
      <c r="E288" s="2"/>
      <c r="F288" s="2"/>
    </row>
    <row r="289" spans="1:6" ht="12.75" customHeight="1">
      <c r="A289" s="29"/>
      <c r="B289" s="29"/>
      <c r="C289" s="29"/>
      <c r="D289" s="29"/>
      <c r="E289" s="2"/>
      <c r="F289" s="2"/>
    </row>
    <row r="290" spans="1:6" ht="12.75" customHeight="1">
      <c r="A290" s="29"/>
      <c r="B290" s="29"/>
      <c r="C290" s="29"/>
      <c r="D290" s="29"/>
      <c r="E290" s="2"/>
      <c r="F290" s="2"/>
    </row>
    <row r="291" spans="1:6" ht="12.75" customHeight="1">
      <c r="A291" s="29"/>
      <c r="B291" s="29"/>
      <c r="C291" s="29"/>
      <c r="D291" s="29"/>
      <c r="E291" s="2"/>
      <c r="F291" s="2"/>
    </row>
    <row r="292" spans="1:6" ht="12.75" customHeight="1">
      <c r="A292" s="29"/>
      <c r="B292" s="29"/>
      <c r="C292" s="29"/>
      <c r="D292" s="29"/>
      <c r="E292" s="2"/>
      <c r="F292" s="2"/>
    </row>
    <row r="293" spans="1:6" ht="12.75" customHeight="1">
      <c r="A293" s="29"/>
      <c r="B293" s="29"/>
      <c r="C293" s="29"/>
      <c r="D293" s="29"/>
      <c r="E293" s="2"/>
      <c r="F293" s="2"/>
    </row>
    <row r="294" spans="1:6" ht="12.75" customHeight="1">
      <c r="A294" s="29"/>
      <c r="B294" s="29"/>
      <c r="C294" s="29"/>
      <c r="D294" s="29"/>
      <c r="E294" s="2"/>
      <c r="F294" s="2"/>
    </row>
    <row r="295" spans="1:6" ht="12.75" customHeight="1">
      <c r="A295" s="29"/>
      <c r="B295" s="29"/>
      <c r="C295" s="29"/>
      <c r="D295" s="29"/>
      <c r="E295" s="2"/>
      <c r="F295" s="2"/>
    </row>
    <row r="296" spans="1:6" ht="12.75" customHeight="1">
      <c r="A296" s="29"/>
      <c r="B296" s="29"/>
      <c r="C296" s="29"/>
      <c r="D296" s="29"/>
      <c r="E296" s="2"/>
      <c r="F296" s="2"/>
    </row>
    <row r="297" spans="1:6" ht="12.75" customHeight="1">
      <c r="A297" s="29"/>
      <c r="B297" s="29"/>
      <c r="C297" s="29"/>
      <c r="D297" s="29"/>
      <c r="E297" s="2"/>
      <c r="F297" s="2"/>
    </row>
    <row r="298" spans="1:6" ht="12.75" customHeight="1">
      <c r="A298" s="29"/>
      <c r="B298" s="29"/>
      <c r="C298" s="29"/>
      <c r="D298" s="29"/>
      <c r="E298" s="2"/>
      <c r="F298" s="2"/>
    </row>
    <row r="299" spans="1:6" ht="12.75" customHeight="1">
      <c r="A299" s="29"/>
      <c r="B299" s="29"/>
      <c r="C299" s="29"/>
      <c r="D299" s="29"/>
      <c r="E299" s="2"/>
      <c r="F299" s="2"/>
    </row>
    <row r="300" spans="1:6" ht="12.75" customHeight="1">
      <c r="A300" s="29"/>
      <c r="B300" s="29"/>
      <c r="C300" s="29"/>
      <c r="D300" s="29"/>
      <c r="E300" s="2"/>
      <c r="F300" s="2"/>
    </row>
    <row r="301" spans="1:6" ht="12.75" customHeight="1">
      <c r="A301" s="29"/>
      <c r="B301" s="29"/>
      <c r="C301" s="29"/>
      <c r="D301" s="29"/>
      <c r="E301" s="2"/>
      <c r="F301" s="2"/>
    </row>
    <row r="302" spans="1:6" ht="12.75" customHeight="1">
      <c r="A302" s="29"/>
      <c r="B302" s="29"/>
      <c r="C302" s="29"/>
      <c r="D302" s="29"/>
      <c r="E302" s="2"/>
      <c r="F302" s="2"/>
    </row>
    <row r="303" spans="1:6" ht="12.75" customHeight="1">
      <c r="A303" s="29"/>
      <c r="B303" s="29"/>
      <c r="C303" s="29"/>
      <c r="D303" s="29"/>
      <c r="E303" s="2"/>
      <c r="F303" s="2"/>
    </row>
    <row r="304" spans="1:6" ht="12.75" customHeight="1">
      <c r="A304" s="29"/>
      <c r="B304" s="29"/>
      <c r="C304" s="29"/>
      <c r="D304" s="29"/>
      <c r="E304" s="2"/>
      <c r="F304" s="2"/>
    </row>
    <row r="305" spans="1:6" ht="12.75" customHeight="1">
      <c r="A305" s="29"/>
      <c r="B305" s="29"/>
      <c r="C305" s="29"/>
      <c r="D305" s="29"/>
      <c r="E305" s="2"/>
      <c r="F305" s="2"/>
    </row>
    <row r="306" spans="1:6" ht="12.75" customHeight="1">
      <c r="A306" s="29"/>
      <c r="B306" s="29"/>
      <c r="C306" s="29"/>
      <c r="D306" s="29"/>
      <c r="E306" s="2"/>
      <c r="F306" s="2"/>
    </row>
    <row r="307" spans="1:6" ht="12.75" customHeight="1">
      <c r="A307" s="29"/>
      <c r="B307" s="29"/>
      <c r="C307" s="29"/>
      <c r="D307" s="29"/>
      <c r="E307" s="2"/>
      <c r="F307" s="2"/>
    </row>
    <row r="308" spans="1:6" ht="12.75" customHeight="1">
      <c r="A308" s="29"/>
      <c r="B308" s="29"/>
      <c r="C308" s="29"/>
      <c r="D308" s="29"/>
      <c r="E308" s="2"/>
      <c r="F308" s="2"/>
    </row>
    <row r="309" spans="1:6" ht="12.75" customHeight="1">
      <c r="A309" s="29"/>
      <c r="B309" s="29"/>
      <c r="C309" s="29"/>
      <c r="D309" s="29"/>
      <c r="E309" s="2"/>
      <c r="F309" s="2"/>
    </row>
    <row r="310" spans="1:6" ht="12.75" customHeight="1">
      <c r="A310" s="29"/>
      <c r="B310" s="29"/>
      <c r="C310" s="29"/>
      <c r="D310" s="29"/>
      <c r="E310" s="2"/>
      <c r="F310" s="2"/>
    </row>
    <row r="311" spans="1:6" ht="12.75" customHeight="1">
      <c r="A311" s="29"/>
      <c r="B311" s="29"/>
      <c r="C311" s="29"/>
      <c r="D311" s="29"/>
      <c r="E311" s="2"/>
      <c r="F311" s="2"/>
    </row>
    <row r="312" spans="1:6" ht="12.75" customHeight="1">
      <c r="A312" s="29"/>
      <c r="B312" s="29"/>
      <c r="C312" s="29"/>
      <c r="D312" s="29"/>
      <c r="E312" s="2"/>
      <c r="F312" s="2"/>
    </row>
    <row r="313" spans="1:6" ht="12.75" customHeight="1">
      <c r="A313" s="29"/>
      <c r="B313" s="29"/>
      <c r="C313" s="29"/>
      <c r="D313" s="29"/>
      <c r="E313" s="2"/>
      <c r="F313" s="2"/>
    </row>
    <row r="314" spans="1:6" ht="12.75" customHeight="1">
      <c r="A314" s="29"/>
      <c r="B314" s="29"/>
      <c r="C314" s="29"/>
      <c r="D314" s="29"/>
      <c r="E314" s="2"/>
      <c r="F314" s="2"/>
    </row>
    <row r="315" spans="1:6" ht="12.75" customHeight="1">
      <c r="A315" s="29"/>
      <c r="B315" s="29"/>
      <c r="C315" s="29"/>
      <c r="D315" s="29"/>
      <c r="E315" s="2"/>
      <c r="F315" s="2"/>
    </row>
    <row r="316" spans="1:6" ht="12.75" customHeight="1">
      <c r="A316" s="29"/>
      <c r="B316" s="29"/>
      <c r="C316" s="29"/>
      <c r="D316" s="29"/>
      <c r="E316" s="2"/>
      <c r="F316" s="2"/>
    </row>
    <row r="317" spans="1:6" ht="12.75" customHeight="1">
      <c r="A317" s="29"/>
      <c r="B317" s="29"/>
      <c r="C317" s="29"/>
      <c r="D317" s="29"/>
      <c r="E317" s="2"/>
      <c r="F317" s="2"/>
    </row>
    <row r="318" spans="1:6" ht="12.75" customHeight="1">
      <c r="A318" s="29"/>
      <c r="B318" s="29"/>
      <c r="C318" s="29"/>
      <c r="D318" s="29"/>
      <c r="E318" s="2"/>
      <c r="F318" s="2"/>
    </row>
    <row r="319" spans="1:6" ht="12.75" customHeight="1">
      <c r="A319" s="29"/>
      <c r="B319" s="29"/>
      <c r="C319" s="29"/>
      <c r="D319" s="29"/>
      <c r="E319" s="2"/>
      <c r="F319" s="2"/>
    </row>
    <row r="320" spans="1:6" ht="12.75" customHeight="1">
      <c r="A320" s="29"/>
      <c r="B320" s="29"/>
      <c r="C320" s="29"/>
      <c r="D320" s="29"/>
      <c r="E320" s="2"/>
      <c r="F320" s="2"/>
    </row>
    <row r="321" spans="1:6" ht="12.75" customHeight="1">
      <c r="A321" s="29"/>
      <c r="B321" s="29"/>
      <c r="C321" s="29"/>
      <c r="D321" s="29"/>
      <c r="E321" s="2"/>
      <c r="F321" s="2"/>
    </row>
    <row r="322" spans="1:6" ht="12.75" customHeight="1">
      <c r="A322" s="29"/>
      <c r="B322" s="29"/>
      <c r="C322" s="29"/>
      <c r="D322" s="29"/>
      <c r="E322" s="2"/>
      <c r="F322" s="2"/>
    </row>
    <row r="323" spans="1:6" ht="12.75" customHeight="1">
      <c r="A323" s="29"/>
      <c r="B323" s="29"/>
      <c r="C323" s="29"/>
      <c r="D323" s="29"/>
      <c r="E323" s="2"/>
      <c r="F323" s="2"/>
    </row>
    <row r="324" spans="1:6" ht="12.75" customHeight="1">
      <c r="A324" s="29"/>
      <c r="B324" s="29"/>
      <c r="C324" s="29"/>
      <c r="D324" s="29"/>
      <c r="E324" s="2"/>
      <c r="F324" s="2"/>
    </row>
    <row r="325" spans="1:6" ht="12.75" customHeight="1">
      <c r="A325" s="29"/>
      <c r="B325" s="29"/>
      <c r="C325" s="29"/>
      <c r="D325" s="29"/>
      <c r="E325" s="2"/>
      <c r="F325" s="2"/>
    </row>
    <row r="326" spans="1:6" ht="12.75" customHeight="1">
      <c r="A326" s="29"/>
      <c r="B326" s="29"/>
      <c r="C326" s="29"/>
      <c r="D326" s="29"/>
      <c r="E326" s="2"/>
      <c r="F326" s="2"/>
    </row>
    <row r="327" spans="1:6" ht="12.75" customHeight="1">
      <c r="A327" s="29"/>
      <c r="B327" s="29"/>
      <c r="C327" s="29"/>
      <c r="D327" s="29"/>
      <c r="E327" s="2"/>
      <c r="F327" s="2"/>
    </row>
    <row r="328" spans="1:6" ht="12.75" customHeight="1">
      <c r="A328" s="29"/>
      <c r="B328" s="29"/>
      <c r="C328" s="29"/>
      <c r="D328" s="29"/>
      <c r="E328" s="2"/>
      <c r="F328" s="2"/>
    </row>
    <row r="329" spans="1:6" ht="12.75" customHeight="1">
      <c r="A329" s="29"/>
      <c r="B329" s="29"/>
      <c r="C329" s="29"/>
      <c r="D329" s="29"/>
      <c r="E329" s="2"/>
      <c r="F329" s="2"/>
    </row>
    <row r="330" spans="1:6" ht="12.75" customHeight="1">
      <c r="A330" s="29"/>
      <c r="B330" s="29"/>
      <c r="C330" s="29"/>
      <c r="D330" s="29"/>
      <c r="E330" s="2"/>
      <c r="F330" s="2"/>
    </row>
    <row r="331" spans="1:6" ht="12.75" customHeight="1">
      <c r="A331" s="29"/>
      <c r="B331" s="29"/>
      <c r="C331" s="29"/>
      <c r="D331" s="29"/>
      <c r="E331" s="2"/>
      <c r="F331" s="2"/>
    </row>
    <row r="332" spans="1:6" ht="12.75" customHeight="1">
      <c r="A332" s="29"/>
      <c r="B332" s="29"/>
      <c r="C332" s="29"/>
      <c r="D332" s="29"/>
      <c r="E332" s="2"/>
      <c r="F332" s="2"/>
    </row>
    <row r="333" spans="1:6" ht="12.75" customHeight="1">
      <c r="A333" s="29"/>
      <c r="B333" s="29"/>
      <c r="C333" s="29"/>
      <c r="D333" s="29"/>
      <c r="E333" s="2"/>
      <c r="F333" s="2"/>
    </row>
    <row r="334" spans="1:6" ht="12.75" customHeight="1">
      <c r="A334" s="29"/>
      <c r="B334" s="29"/>
      <c r="C334" s="29"/>
      <c r="D334" s="29"/>
      <c r="E334" s="2"/>
      <c r="F334" s="2"/>
    </row>
    <row r="335" spans="1:6" ht="12.75" customHeight="1">
      <c r="A335" s="29"/>
      <c r="B335" s="29"/>
      <c r="C335" s="29"/>
      <c r="D335" s="29"/>
      <c r="E335" s="2"/>
      <c r="F335" s="2"/>
    </row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</sheetData>
  <mergeCells count="17">
    <mergeCell ref="A1:E1"/>
    <mergeCell ref="A46:E46"/>
    <mergeCell ref="E24:E43"/>
    <mergeCell ref="E4:E23"/>
    <mergeCell ref="A150:E150"/>
    <mergeCell ref="G4:G8"/>
    <mergeCell ref="G10:G14"/>
    <mergeCell ref="G16:G21"/>
    <mergeCell ref="H2:I2"/>
    <mergeCell ref="A159:B159"/>
    <mergeCell ref="A2:E2"/>
    <mergeCell ref="A44:B44"/>
    <mergeCell ref="A148:B148"/>
    <mergeCell ref="E110:E113"/>
    <mergeCell ref="E83:E109"/>
    <mergeCell ref="E48:E68"/>
    <mergeCell ref="E71:E8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rowBreaks count="2" manualBreakCount="2">
    <brk id="44" max="16383" man="1"/>
    <brk id="119" max="16383" man="1"/>
  </rowBreaks>
  <colBreaks count="1" manualBreakCount="1">
    <brk id="5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31"/>
  <sheetViews>
    <sheetView zoomScale="75" workbookViewId="0">
      <selection activeCell="L10" sqref="L10"/>
    </sheetView>
  </sheetViews>
  <sheetFormatPr defaultRowHeight="15"/>
  <cols>
    <col min="1" max="1" width="6.5703125" customWidth="1"/>
    <col min="2" max="2" width="12" bestFit="1" customWidth="1"/>
    <col min="3" max="3" width="16.42578125" bestFit="1" customWidth="1"/>
    <col min="4" max="4" width="11.28515625" style="117" bestFit="1" customWidth="1"/>
    <col min="5" max="5" width="11.7109375" bestFit="1" customWidth="1"/>
    <col min="6" max="6" width="17.5703125" customWidth="1"/>
    <col min="7" max="7" width="25.140625" bestFit="1" customWidth="1"/>
  </cols>
  <sheetData>
    <row r="1" spans="1:7" s="538" customFormat="1" ht="15.75" thickBot="1">
      <c r="A1" s="1439" t="s">
        <v>481</v>
      </c>
      <c r="B1" s="1440"/>
      <c r="C1" s="1440"/>
      <c r="D1" s="1440"/>
      <c r="E1" s="1440"/>
      <c r="F1" s="1440"/>
      <c r="G1" s="1441"/>
    </row>
    <row r="2" spans="1:7">
      <c r="A2" s="1443" t="s">
        <v>82</v>
      </c>
      <c r="B2" s="1445" t="s">
        <v>551</v>
      </c>
      <c r="C2" s="1447" t="s">
        <v>81</v>
      </c>
      <c r="D2" s="1445" t="s">
        <v>1086</v>
      </c>
      <c r="E2" s="1442" t="s">
        <v>1087</v>
      </c>
      <c r="F2" s="1442"/>
      <c r="G2" s="1437" t="s">
        <v>1147</v>
      </c>
    </row>
    <row r="3" spans="1:7" ht="21" customHeight="1" thickBot="1">
      <c r="A3" s="1444"/>
      <c r="B3" s="1446"/>
      <c r="C3" s="1448"/>
      <c r="D3" s="1446"/>
      <c r="E3" s="542" t="s">
        <v>1088</v>
      </c>
      <c r="F3" s="542" t="s">
        <v>1089</v>
      </c>
      <c r="G3" s="1438"/>
    </row>
    <row r="4" spans="1:7">
      <c r="A4" s="543">
        <v>1</v>
      </c>
      <c r="B4" s="544" t="s">
        <v>486</v>
      </c>
      <c r="C4" s="545">
        <v>45982</v>
      </c>
      <c r="D4" s="554" t="s">
        <v>61</v>
      </c>
      <c r="E4" s="546" t="s">
        <v>1090</v>
      </c>
      <c r="F4" s="546" t="s">
        <v>1091</v>
      </c>
      <c r="G4" s="547"/>
    </row>
    <row r="5" spans="1:7">
      <c r="A5" s="548">
        <v>2</v>
      </c>
      <c r="B5" s="539" t="s">
        <v>487</v>
      </c>
      <c r="C5" s="540">
        <v>45982</v>
      </c>
      <c r="D5" s="34" t="s">
        <v>42</v>
      </c>
      <c r="E5" s="541" t="s">
        <v>1092</v>
      </c>
      <c r="F5" s="541" t="s">
        <v>1093</v>
      </c>
      <c r="G5" s="89"/>
    </row>
    <row r="6" spans="1:7">
      <c r="A6" s="548">
        <v>3</v>
      </c>
      <c r="B6" s="539" t="s">
        <v>488</v>
      </c>
      <c r="C6" s="540">
        <v>45982</v>
      </c>
      <c r="D6" s="34" t="s">
        <v>31</v>
      </c>
      <c r="E6" s="541" t="s">
        <v>1094</v>
      </c>
      <c r="F6" s="541" t="s">
        <v>1095</v>
      </c>
      <c r="G6" s="89"/>
    </row>
    <row r="7" spans="1:7">
      <c r="A7" s="548">
        <v>4</v>
      </c>
      <c r="B7" s="539" t="s">
        <v>489</v>
      </c>
      <c r="C7" s="540">
        <v>45981</v>
      </c>
      <c r="D7" s="34" t="s">
        <v>61</v>
      </c>
      <c r="E7" s="541" t="s">
        <v>1096</v>
      </c>
      <c r="F7" s="541" t="s">
        <v>1097</v>
      </c>
      <c r="G7" s="89"/>
    </row>
    <row r="8" spans="1:7">
      <c r="A8" s="548">
        <v>5</v>
      </c>
      <c r="B8" s="539" t="s">
        <v>490</v>
      </c>
      <c r="C8" s="540">
        <v>45981</v>
      </c>
      <c r="D8" s="34" t="s">
        <v>61</v>
      </c>
      <c r="E8" s="541" t="s">
        <v>1098</v>
      </c>
      <c r="F8" s="541" t="s">
        <v>1099</v>
      </c>
      <c r="G8" s="89"/>
    </row>
    <row r="9" spans="1:7">
      <c r="A9" s="548">
        <v>6</v>
      </c>
      <c r="B9" s="539" t="s">
        <v>491</v>
      </c>
      <c r="C9" s="540">
        <v>45981</v>
      </c>
      <c r="D9" s="34" t="s">
        <v>61</v>
      </c>
      <c r="E9" s="541" t="s">
        <v>1100</v>
      </c>
      <c r="F9" s="541" t="s">
        <v>1101</v>
      </c>
      <c r="G9" s="89"/>
    </row>
    <row r="10" spans="1:7">
      <c r="A10" s="548">
        <v>7</v>
      </c>
      <c r="B10" s="539" t="s">
        <v>492</v>
      </c>
      <c r="C10" s="540">
        <v>45980</v>
      </c>
      <c r="D10" s="34" t="s">
        <v>61</v>
      </c>
      <c r="E10" s="541" t="s">
        <v>1102</v>
      </c>
      <c r="F10" s="541" t="s">
        <v>1103</v>
      </c>
      <c r="G10" s="89"/>
    </row>
    <row r="11" spans="1:7">
      <c r="A11" s="548">
        <v>8</v>
      </c>
      <c r="B11" s="539" t="s">
        <v>493</v>
      </c>
      <c r="C11" s="540">
        <v>45980</v>
      </c>
      <c r="D11" s="34" t="s">
        <v>61</v>
      </c>
      <c r="E11" s="541" t="s">
        <v>1104</v>
      </c>
      <c r="F11" s="541" t="s">
        <v>1105</v>
      </c>
      <c r="G11" s="89"/>
    </row>
    <row r="12" spans="1:7">
      <c r="A12" s="548">
        <v>9</v>
      </c>
      <c r="B12" s="539" t="s">
        <v>494</v>
      </c>
      <c r="C12" s="540">
        <v>45980</v>
      </c>
      <c r="D12" s="34" t="s">
        <v>61</v>
      </c>
      <c r="E12" s="541" t="s">
        <v>1106</v>
      </c>
      <c r="F12" s="541" t="s">
        <v>1107</v>
      </c>
      <c r="G12" s="89"/>
    </row>
    <row r="13" spans="1:7">
      <c r="A13" s="548">
        <v>10</v>
      </c>
      <c r="B13" s="539" t="s">
        <v>495</v>
      </c>
      <c r="C13" s="540">
        <v>45978</v>
      </c>
      <c r="D13" s="34" t="s">
        <v>42</v>
      </c>
      <c r="E13" s="541" t="s">
        <v>1108</v>
      </c>
      <c r="F13" s="541" t="s">
        <v>1109</v>
      </c>
      <c r="G13" s="89"/>
    </row>
    <row r="14" spans="1:7">
      <c r="A14" s="548">
        <v>11</v>
      </c>
      <c r="B14" s="539" t="s">
        <v>496</v>
      </c>
      <c r="C14" s="540">
        <v>45978</v>
      </c>
      <c r="D14" s="34" t="s">
        <v>42</v>
      </c>
      <c r="E14" s="541" t="s">
        <v>1110</v>
      </c>
      <c r="F14" s="541" t="s">
        <v>1111</v>
      </c>
      <c r="G14" s="89"/>
    </row>
    <row r="15" spans="1:7">
      <c r="A15" s="548">
        <v>12</v>
      </c>
      <c r="B15" s="539" t="s">
        <v>550</v>
      </c>
      <c r="C15" s="540">
        <v>45978</v>
      </c>
      <c r="D15" s="34" t="s">
        <v>61</v>
      </c>
      <c r="E15" s="541" t="s">
        <v>1112</v>
      </c>
      <c r="F15" s="541" t="s">
        <v>1113</v>
      </c>
      <c r="G15" s="1434" t="s">
        <v>1144</v>
      </c>
    </row>
    <row r="16" spans="1:7">
      <c r="A16" s="548">
        <v>13</v>
      </c>
      <c r="B16" s="539" t="s">
        <v>497</v>
      </c>
      <c r="C16" s="540">
        <v>45977</v>
      </c>
      <c r="D16" s="34" t="s">
        <v>61</v>
      </c>
      <c r="E16" s="541" t="s">
        <v>1114</v>
      </c>
      <c r="F16" s="541" t="s">
        <v>1115</v>
      </c>
      <c r="G16" s="1434"/>
    </row>
    <row r="17" spans="1:7">
      <c r="A17" s="548">
        <v>14</v>
      </c>
      <c r="B17" s="539" t="s">
        <v>498</v>
      </c>
      <c r="C17" s="540">
        <v>45977</v>
      </c>
      <c r="D17" s="34" t="s">
        <v>61</v>
      </c>
      <c r="E17" s="541" t="s">
        <v>1116</v>
      </c>
      <c r="F17" s="541" t="s">
        <v>1117</v>
      </c>
      <c r="G17" s="1434" t="s">
        <v>1145</v>
      </c>
    </row>
    <row r="18" spans="1:7">
      <c r="A18" s="548">
        <v>15</v>
      </c>
      <c r="B18" s="539" t="s">
        <v>499</v>
      </c>
      <c r="C18" s="540">
        <v>45977</v>
      </c>
      <c r="D18" s="34" t="s">
        <v>61</v>
      </c>
      <c r="E18" s="541" t="s">
        <v>1118</v>
      </c>
      <c r="F18" s="541" t="s">
        <v>1119</v>
      </c>
      <c r="G18" s="1434"/>
    </row>
    <row r="19" spans="1:7">
      <c r="A19" s="548">
        <v>16</v>
      </c>
      <c r="B19" s="539" t="s">
        <v>500</v>
      </c>
      <c r="C19" s="540">
        <v>45976</v>
      </c>
      <c r="D19" s="34" t="s">
        <v>61</v>
      </c>
      <c r="E19" s="541" t="s">
        <v>1120</v>
      </c>
      <c r="F19" s="541" t="s">
        <v>1121</v>
      </c>
      <c r="G19" s="549" t="s">
        <v>921</v>
      </c>
    </row>
    <row r="20" spans="1:7">
      <c r="A20" s="548">
        <v>17</v>
      </c>
      <c r="B20" s="539" t="s">
        <v>501</v>
      </c>
      <c r="C20" s="540">
        <v>45976</v>
      </c>
      <c r="D20" s="34" t="s">
        <v>42</v>
      </c>
      <c r="E20" s="541" t="s">
        <v>1122</v>
      </c>
      <c r="F20" s="541" t="s">
        <v>1123</v>
      </c>
      <c r="G20" s="89"/>
    </row>
    <row r="21" spans="1:7">
      <c r="A21" s="548">
        <v>18</v>
      </c>
      <c r="B21" s="539" t="s">
        <v>502</v>
      </c>
      <c r="C21" s="540">
        <v>45976</v>
      </c>
      <c r="D21" s="34" t="s">
        <v>42</v>
      </c>
      <c r="E21" s="541" t="s">
        <v>1124</v>
      </c>
      <c r="F21" s="541" t="s">
        <v>1125</v>
      </c>
      <c r="G21" s="89"/>
    </row>
    <row r="22" spans="1:7">
      <c r="A22" s="548">
        <v>19</v>
      </c>
      <c r="B22" s="539" t="s">
        <v>503</v>
      </c>
      <c r="C22" s="540">
        <v>45975</v>
      </c>
      <c r="D22" s="34" t="s">
        <v>42</v>
      </c>
      <c r="E22" s="541" t="s">
        <v>1126</v>
      </c>
      <c r="F22" s="541" t="s">
        <v>1127</v>
      </c>
      <c r="G22" s="89"/>
    </row>
    <row r="23" spans="1:7">
      <c r="A23" s="548">
        <v>20</v>
      </c>
      <c r="B23" s="539" t="s">
        <v>504</v>
      </c>
      <c r="C23" s="540">
        <v>45975</v>
      </c>
      <c r="D23" s="34" t="s">
        <v>61</v>
      </c>
      <c r="E23" s="541" t="s">
        <v>1128</v>
      </c>
      <c r="F23" s="541" t="s">
        <v>1129</v>
      </c>
      <c r="G23" s="89"/>
    </row>
    <row r="24" spans="1:7">
      <c r="A24" s="548">
        <v>21</v>
      </c>
      <c r="B24" s="539" t="s">
        <v>505</v>
      </c>
      <c r="C24" s="540">
        <v>45975</v>
      </c>
      <c r="D24" s="34" t="s">
        <v>61</v>
      </c>
      <c r="E24" s="541" t="s">
        <v>1130</v>
      </c>
      <c r="F24" s="541" t="s">
        <v>1131</v>
      </c>
      <c r="G24" s="89"/>
    </row>
    <row r="25" spans="1:7">
      <c r="A25" s="548">
        <v>22</v>
      </c>
      <c r="B25" s="539" t="s">
        <v>506</v>
      </c>
      <c r="C25" s="540">
        <v>45974</v>
      </c>
      <c r="D25" s="34" t="s">
        <v>61</v>
      </c>
      <c r="E25" s="541" t="s">
        <v>1132</v>
      </c>
      <c r="F25" s="541" t="s">
        <v>1133</v>
      </c>
      <c r="G25" s="89"/>
    </row>
    <row r="26" spans="1:7">
      <c r="A26" s="548">
        <v>23</v>
      </c>
      <c r="B26" s="539" t="s">
        <v>507</v>
      </c>
      <c r="C26" s="540">
        <v>45974</v>
      </c>
      <c r="D26" s="34" t="s">
        <v>61</v>
      </c>
      <c r="E26" s="541" t="s">
        <v>1134</v>
      </c>
      <c r="F26" s="541" t="s">
        <v>1135</v>
      </c>
      <c r="G26" s="89"/>
    </row>
    <row r="27" spans="1:7">
      <c r="A27" s="548">
        <v>24</v>
      </c>
      <c r="B27" s="539" t="s">
        <v>508</v>
      </c>
      <c r="C27" s="540">
        <v>45974</v>
      </c>
      <c r="D27" s="34" t="s">
        <v>61</v>
      </c>
      <c r="E27" s="541" t="s">
        <v>1136</v>
      </c>
      <c r="F27" s="541" t="s">
        <v>1137</v>
      </c>
      <c r="G27" s="89"/>
    </row>
    <row r="28" spans="1:7">
      <c r="A28" s="548">
        <v>25</v>
      </c>
      <c r="B28" s="539" t="s">
        <v>509</v>
      </c>
      <c r="C28" s="540">
        <v>45973</v>
      </c>
      <c r="D28" s="34" t="s">
        <v>42</v>
      </c>
      <c r="E28" s="541" t="s">
        <v>1138</v>
      </c>
      <c r="F28" s="541" t="s">
        <v>1139</v>
      </c>
      <c r="G28" s="89"/>
    </row>
    <row r="29" spans="1:7">
      <c r="A29" s="548">
        <v>26</v>
      </c>
      <c r="B29" s="539" t="s">
        <v>510</v>
      </c>
      <c r="C29" s="540">
        <v>45973</v>
      </c>
      <c r="D29" s="34" t="s">
        <v>42</v>
      </c>
      <c r="E29" s="541" t="s">
        <v>1140</v>
      </c>
      <c r="F29" s="541" t="s">
        <v>1141</v>
      </c>
      <c r="G29" s="1435" t="s">
        <v>1146</v>
      </c>
    </row>
    <row r="30" spans="1:7" ht="15.75" thickBot="1">
      <c r="A30" s="550">
        <v>27</v>
      </c>
      <c r="B30" s="551" t="s">
        <v>511</v>
      </c>
      <c r="C30" s="552">
        <v>45973</v>
      </c>
      <c r="D30" s="555" t="s">
        <v>42</v>
      </c>
      <c r="E30" s="553" t="s">
        <v>1142</v>
      </c>
      <c r="F30" s="553" t="s">
        <v>1143</v>
      </c>
      <c r="G30" s="1436"/>
    </row>
    <row r="31" spans="1:7" ht="67.5" customHeight="1"/>
  </sheetData>
  <mergeCells count="10">
    <mergeCell ref="G17:G18"/>
    <mergeCell ref="G29:G30"/>
    <mergeCell ref="G2:G3"/>
    <mergeCell ref="A1:G1"/>
    <mergeCell ref="E2:F2"/>
    <mergeCell ref="A2:A3"/>
    <mergeCell ref="B2:B3"/>
    <mergeCell ref="C2:C3"/>
    <mergeCell ref="D2:D3"/>
    <mergeCell ref="G15:G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FK614"/>
  <sheetViews>
    <sheetView topLeftCell="L109" workbookViewId="0">
      <selection activeCell="Q132" sqref="Q132"/>
    </sheetView>
  </sheetViews>
  <sheetFormatPr defaultColWidth="10.140625" defaultRowHeight="15"/>
  <cols>
    <col min="1" max="1" width="6.5703125" style="400" bestFit="1" customWidth="1"/>
    <col min="2" max="2" width="10.7109375" style="400" bestFit="1" customWidth="1"/>
    <col min="3" max="3" width="13" style="400" customWidth="1"/>
    <col min="4" max="4" width="24.7109375" style="415" bestFit="1" customWidth="1"/>
    <col min="5" max="5" width="20.7109375" style="415" bestFit="1" customWidth="1"/>
    <col min="6" max="6" width="6.85546875" style="400" bestFit="1" customWidth="1"/>
    <col min="7" max="8" width="6.7109375" style="400" bestFit="1" customWidth="1"/>
    <col min="9" max="9" width="4.5703125" style="400" bestFit="1" customWidth="1"/>
    <col min="10" max="10" width="9.140625" style="400" customWidth="1"/>
    <col min="11" max="11" width="15.85546875" style="400" customWidth="1"/>
    <col min="12" max="12" width="15.7109375" style="400" bestFit="1" customWidth="1"/>
    <col min="13" max="13" width="17.28515625" style="424" bestFit="1" customWidth="1"/>
    <col min="14" max="14" width="23.5703125" style="424" bestFit="1" customWidth="1"/>
    <col min="15" max="15" width="14.28515625" style="425" bestFit="1" customWidth="1"/>
    <col min="16" max="16" width="14" style="422" bestFit="1" customWidth="1"/>
    <col min="17" max="17" width="16.140625" style="422" bestFit="1" customWidth="1"/>
    <col min="18" max="18" width="12.85546875" style="422" bestFit="1" customWidth="1"/>
    <col min="19" max="19" width="31.42578125" style="400" customWidth="1"/>
    <col min="20" max="20" width="20.140625" style="400" customWidth="1"/>
    <col min="21" max="16384" width="10.140625" style="400"/>
  </cols>
  <sheetData>
    <row r="1" spans="1:20" ht="15.75">
      <c r="A1" s="1452" t="s">
        <v>963</v>
      </c>
      <c r="B1" s="1453"/>
      <c r="C1" s="1454" t="s">
        <v>985</v>
      </c>
      <c r="D1" s="1455"/>
      <c r="E1" s="1456"/>
      <c r="F1" s="1457"/>
      <c r="G1" s="1457"/>
      <c r="H1" s="1457"/>
      <c r="I1" s="1457"/>
      <c r="J1" s="1457"/>
      <c r="K1" s="1457"/>
      <c r="L1" s="1457"/>
      <c r="M1" s="1457"/>
      <c r="N1" s="1457"/>
      <c r="O1" s="1458"/>
      <c r="P1" s="1459"/>
      <c r="Q1" s="1460"/>
      <c r="R1" s="445"/>
      <c r="S1" s="1461"/>
      <c r="T1" s="1489"/>
    </row>
    <row r="2" spans="1:20" ht="15.75">
      <c r="A2" s="1463" t="s">
        <v>986</v>
      </c>
      <c r="B2" s="1464"/>
      <c r="C2" s="1465" t="s">
        <v>1003</v>
      </c>
      <c r="D2" s="1466"/>
      <c r="E2" s="1467"/>
      <c r="F2" s="1468"/>
      <c r="G2" s="1468"/>
      <c r="H2" s="1468"/>
      <c r="I2" s="1468"/>
      <c r="J2" s="1468"/>
      <c r="K2" s="1468"/>
      <c r="L2" s="1468"/>
      <c r="M2" s="1468"/>
      <c r="N2" s="1468"/>
      <c r="O2" s="1469"/>
      <c r="P2" s="1470"/>
      <c r="Q2" s="1471"/>
      <c r="R2" s="446"/>
      <c r="S2" s="1461"/>
      <c r="T2" s="1461"/>
    </row>
    <row r="3" spans="1:20" ht="19.5" customHeight="1" thickBot="1">
      <c r="A3" s="1472" t="s">
        <v>988</v>
      </c>
      <c r="B3" s="1473"/>
      <c r="C3" s="1474" t="s">
        <v>987</v>
      </c>
      <c r="D3" s="1475"/>
      <c r="E3" s="1476"/>
      <c r="F3" s="1477"/>
      <c r="G3" s="1477"/>
      <c r="H3" s="1477"/>
      <c r="I3" s="1477"/>
      <c r="J3" s="1477"/>
      <c r="K3" s="1477"/>
      <c r="L3" s="1477"/>
      <c r="M3" s="1477"/>
      <c r="N3" s="1477"/>
      <c r="O3" s="1478"/>
      <c r="P3" s="1479"/>
      <c r="Q3" s="1480"/>
      <c r="R3" s="447"/>
      <c r="S3" s="1462"/>
      <c r="T3" s="1462"/>
    </row>
    <row r="4" spans="1:20" ht="14.45" customHeight="1">
      <c r="A4" s="1481" t="s">
        <v>964</v>
      </c>
      <c r="B4" s="1483" t="s">
        <v>965</v>
      </c>
      <c r="C4" s="1483" t="s">
        <v>966</v>
      </c>
      <c r="D4" s="1483" t="s">
        <v>967</v>
      </c>
      <c r="E4" s="1485" t="s">
        <v>106</v>
      </c>
      <c r="F4" s="1449" t="s">
        <v>106</v>
      </c>
      <c r="G4" s="1450"/>
      <c r="H4" s="1450"/>
      <c r="I4" s="1451"/>
      <c r="J4" s="1487" t="s">
        <v>931</v>
      </c>
      <c r="K4" s="1487" t="s">
        <v>968</v>
      </c>
      <c r="L4" s="1487" t="s">
        <v>969</v>
      </c>
      <c r="M4" s="1487" t="s">
        <v>970</v>
      </c>
      <c r="N4" s="1487" t="s">
        <v>971</v>
      </c>
      <c r="O4" s="1487" t="s">
        <v>972</v>
      </c>
      <c r="P4" s="1487" t="s">
        <v>973</v>
      </c>
      <c r="Q4" s="1487" t="s">
        <v>971</v>
      </c>
      <c r="R4" s="1487" t="s">
        <v>974</v>
      </c>
      <c r="S4" s="1490" t="s">
        <v>975</v>
      </c>
      <c r="T4" s="1490" t="s">
        <v>2</v>
      </c>
    </row>
    <row r="5" spans="1:20" ht="15.75" thickBot="1">
      <c r="A5" s="1482"/>
      <c r="B5" s="1484"/>
      <c r="C5" s="1484"/>
      <c r="D5" s="1484"/>
      <c r="E5" s="1486"/>
      <c r="F5" s="443" t="s">
        <v>123</v>
      </c>
      <c r="G5" s="443" t="s">
        <v>124</v>
      </c>
      <c r="H5" s="443" t="s">
        <v>125</v>
      </c>
      <c r="I5" s="444" t="s">
        <v>976</v>
      </c>
      <c r="J5" s="1488"/>
      <c r="K5" s="1488"/>
      <c r="L5" s="1488"/>
      <c r="M5" s="1488"/>
      <c r="N5" s="1488"/>
      <c r="O5" s="1488"/>
      <c r="P5" s="1488"/>
      <c r="Q5" s="1488"/>
      <c r="R5" s="1488"/>
      <c r="S5" s="1491"/>
      <c r="T5" s="1491"/>
    </row>
    <row r="6" spans="1:20">
      <c r="A6" s="407">
        <v>1</v>
      </c>
      <c r="B6" s="61" t="s">
        <v>132</v>
      </c>
      <c r="C6" s="61" t="s">
        <v>133</v>
      </c>
      <c r="D6" s="61" t="s">
        <v>135</v>
      </c>
      <c r="E6" s="440"/>
      <c r="F6" s="407"/>
      <c r="G6" s="407"/>
      <c r="H6" s="407"/>
      <c r="I6" s="407"/>
      <c r="J6" s="75">
        <v>112.764</v>
      </c>
      <c r="K6" s="442"/>
      <c r="L6" s="407"/>
      <c r="M6" s="75" t="s">
        <v>951</v>
      </c>
      <c r="N6" s="406"/>
      <c r="O6" s="406"/>
      <c r="P6" s="406"/>
      <c r="Q6" s="406"/>
      <c r="R6" s="406"/>
      <c r="S6" s="75" t="s">
        <v>138</v>
      </c>
      <c r="T6" s="75" t="s">
        <v>554</v>
      </c>
    </row>
    <row r="7" spans="1:20">
      <c r="A7" s="401">
        <f t="shared" ref="A7:A10" si="0">A6+1</f>
        <v>2</v>
      </c>
      <c r="B7" s="74" t="s">
        <v>141</v>
      </c>
      <c r="C7" s="74" t="s">
        <v>133</v>
      </c>
      <c r="D7" s="74" t="s">
        <v>142</v>
      </c>
      <c r="E7" s="402"/>
      <c r="F7" s="401"/>
      <c r="G7" s="401"/>
      <c r="H7" s="401"/>
      <c r="I7" s="401"/>
      <c r="J7" s="75">
        <v>158.65899999999999</v>
      </c>
      <c r="K7" s="404"/>
      <c r="L7" s="401"/>
      <c r="M7" s="75" t="s">
        <v>951</v>
      </c>
      <c r="N7" s="405"/>
      <c r="O7" s="405"/>
      <c r="P7" s="405"/>
      <c r="Q7" s="405"/>
      <c r="R7" s="405"/>
      <c r="S7" s="75" t="s">
        <v>145</v>
      </c>
      <c r="T7" s="75" t="s">
        <v>554</v>
      </c>
    </row>
    <row r="8" spans="1:20">
      <c r="A8" s="401">
        <f t="shared" si="0"/>
        <v>3</v>
      </c>
      <c r="B8" s="74" t="s">
        <v>147</v>
      </c>
      <c r="C8" s="74" t="s">
        <v>133</v>
      </c>
      <c r="D8" s="74" t="s">
        <v>148</v>
      </c>
      <c r="E8" s="402"/>
      <c r="F8" s="401"/>
      <c r="G8" s="401"/>
      <c r="H8" s="401"/>
      <c r="I8" s="401"/>
      <c r="J8" s="34">
        <v>296</v>
      </c>
      <c r="K8" s="404"/>
      <c r="L8" s="401"/>
      <c r="M8" s="75" t="s">
        <v>951</v>
      </c>
      <c r="N8" s="405"/>
      <c r="O8" s="405"/>
      <c r="P8" s="405"/>
      <c r="Q8" s="405"/>
      <c r="R8" s="405"/>
      <c r="S8" s="75" t="s">
        <v>145</v>
      </c>
      <c r="T8" s="75" t="s">
        <v>554</v>
      </c>
    </row>
    <row r="9" spans="1:20">
      <c r="A9" s="401">
        <f t="shared" si="0"/>
        <v>4</v>
      </c>
      <c r="B9" s="74" t="s">
        <v>152</v>
      </c>
      <c r="C9" s="74" t="s">
        <v>153</v>
      </c>
      <c r="D9" s="74" t="s">
        <v>134</v>
      </c>
      <c r="E9" s="402"/>
      <c r="F9" s="401"/>
      <c r="G9" s="401"/>
      <c r="H9" s="401"/>
      <c r="I9" s="401"/>
      <c r="J9" s="75">
        <v>332</v>
      </c>
      <c r="K9" s="1495"/>
      <c r="L9" s="401"/>
      <c r="M9" s="75" t="s">
        <v>951</v>
      </c>
      <c r="N9" s="405"/>
      <c r="O9" s="405"/>
      <c r="P9" s="405"/>
      <c r="Q9" s="405"/>
      <c r="R9" s="405"/>
      <c r="S9" s="75" t="s">
        <v>145</v>
      </c>
      <c r="T9" s="75" t="s">
        <v>554</v>
      </c>
    </row>
    <row r="10" spans="1:20">
      <c r="A10" s="401">
        <f t="shared" si="0"/>
        <v>5</v>
      </c>
      <c r="B10" s="74" t="s">
        <v>156</v>
      </c>
      <c r="C10" s="74" t="s">
        <v>153</v>
      </c>
      <c r="D10" s="74" t="s">
        <v>134</v>
      </c>
      <c r="E10" s="402"/>
      <c r="F10" s="401"/>
      <c r="G10" s="401"/>
      <c r="H10" s="401"/>
      <c r="I10" s="401"/>
      <c r="J10" s="75">
        <v>277</v>
      </c>
      <c r="K10" s="1496"/>
      <c r="L10" s="401"/>
      <c r="M10" s="75" t="s">
        <v>951</v>
      </c>
      <c r="N10" s="405"/>
      <c r="O10" s="405"/>
      <c r="P10" s="405"/>
      <c r="Q10" s="405"/>
      <c r="R10" s="405"/>
      <c r="S10" s="75" t="s">
        <v>145</v>
      </c>
      <c r="T10" s="75" t="s">
        <v>554</v>
      </c>
    </row>
    <row r="11" spans="1:20">
      <c r="A11" s="401">
        <f t="shared" ref="A11:A74" si="1">A10+1</f>
        <v>6</v>
      </c>
      <c r="B11" s="74" t="s">
        <v>160</v>
      </c>
      <c r="C11" s="74" t="s">
        <v>153</v>
      </c>
      <c r="D11" s="74" t="s">
        <v>134</v>
      </c>
      <c r="E11" s="402"/>
      <c r="F11" s="401"/>
      <c r="G11" s="401"/>
      <c r="H11" s="401"/>
      <c r="I11" s="401"/>
      <c r="J11" s="75">
        <v>340.68400000000003</v>
      </c>
      <c r="K11" s="404"/>
      <c r="L11" s="401"/>
      <c r="M11" s="75" t="s">
        <v>951</v>
      </c>
      <c r="N11" s="405"/>
      <c r="O11" s="405"/>
      <c r="P11" s="405"/>
      <c r="Q11" s="405"/>
      <c r="R11" s="405"/>
      <c r="S11" s="75" t="s">
        <v>163</v>
      </c>
      <c r="T11" s="75" t="s">
        <v>554</v>
      </c>
    </row>
    <row r="12" spans="1:20" ht="16.5" customHeight="1">
      <c r="A12" s="401">
        <f t="shared" si="1"/>
        <v>7</v>
      </c>
      <c r="B12" s="74" t="s">
        <v>166</v>
      </c>
      <c r="C12" s="74" t="s">
        <v>167</v>
      </c>
      <c r="D12" s="74" t="s">
        <v>168</v>
      </c>
      <c r="E12" s="402"/>
      <c r="F12" s="401"/>
      <c r="G12" s="401"/>
      <c r="H12" s="401"/>
      <c r="I12" s="401"/>
      <c r="J12" s="75">
        <v>229.84100000000001</v>
      </c>
      <c r="K12" s="1495" t="s">
        <v>1025</v>
      </c>
      <c r="L12" s="401"/>
      <c r="M12" s="75" t="s">
        <v>951</v>
      </c>
      <c r="N12" s="405"/>
      <c r="O12" s="405"/>
      <c r="P12" s="405"/>
      <c r="Q12" s="405"/>
      <c r="R12" s="405"/>
      <c r="S12" s="75" t="s">
        <v>163</v>
      </c>
      <c r="T12" s="75" t="s">
        <v>554</v>
      </c>
    </row>
    <row r="13" spans="1:20">
      <c r="A13" s="401">
        <f t="shared" si="1"/>
        <v>8</v>
      </c>
      <c r="B13" s="74" t="s">
        <v>174</v>
      </c>
      <c r="C13" s="74" t="s">
        <v>133</v>
      </c>
      <c r="D13" s="74" t="s">
        <v>175</v>
      </c>
      <c r="E13" s="402"/>
      <c r="F13" s="401"/>
      <c r="G13" s="401"/>
      <c r="H13" s="401"/>
      <c r="I13" s="401"/>
      <c r="J13" s="75">
        <v>276.92500000000001</v>
      </c>
      <c r="K13" s="1496"/>
      <c r="L13" s="401"/>
      <c r="M13" s="75" t="s">
        <v>951</v>
      </c>
      <c r="N13" s="405"/>
      <c r="O13" s="405"/>
      <c r="P13" s="405"/>
      <c r="Q13" s="405"/>
      <c r="R13" s="405"/>
      <c r="S13" s="75" t="s">
        <v>178</v>
      </c>
      <c r="T13" s="75" t="s">
        <v>554</v>
      </c>
    </row>
    <row r="14" spans="1:20">
      <c r="A14" s="401">
        <f t="shared" si="1"/>
        <v>9</v>
      </c>
      <c r="B14" s="74" t="s">
        <v>181</v>
      </c>
      <c r="C14" s="74" t="s">
        <v>133</v>
      </c>
      <c r="D14" s="74" t="s">
        <v>182</v>
      </c>
      <c r="E14" s="402"/>
      <c r="F14" s="401"/>
      <c r="G14" s="401"/>
      <c r="H14" s="401"/>
      <c r="I14" s="401"/>
      <c r="J14" s="75">
        <v>357</v>
      </c>
      <c r="K14" s="404"/>
      <c r="L14" s="401"/>
      <c r="M14" s="75" t="s">
        <v>951</v>
      </c>
      <c r="N14" s="405"/>
      <c r="O14" s="405"/>
      <c r="P14" s="405"/>
      <c r="Q14" s="405"/>
      <c r="R14" s="405"/>
      <c r="S14" s="75" t="s">
        <v>178</v>
      </c>
      <c r="T14" s="75" t="s">
        <v>554</v>
      </c>
    </row>
    <row r="15" spans="1:20">
      <c r="A15" s="401">
        <f t="shared" si="1"/>
        <v>10</v>
      </c>
      <c r="B15" s="74" t="s">
        <v>186</v>
      </c>
      <c r="C15" s="609" t="s">
        <v>187</v>
      </c>
      <c r="D15" s="74" t="s">
        <v>134</v>
      </c>
      <c r="E15" s="402"/>
      <c r="F15" s="401"/>
      <c r="G15" s="401"/>
      <c r="H15" s="401"/>
      <c r="I15" s="401"/>
      <c r="J15" s="75">
        <v>243.767</v>
      </c>
      <c r="K15" s="404"/>
      <c r="L15" s="401"/>
      <c r="M15" s="75" t="s">
        <v>951</v>
      </c>
      <c r="N15" s="405"/>
      <c r="O15" s="405"/>
      <c r="P15" s="405"/>
      <c r="Q15" s="405"/>
      <c r="R15" s="405"/>
      <c r="S15" s="75" t="s">
        <v>190</v>
      </c>
      <c r="T15" s="75" t="s">
        <v>554</v>
      </c>
    </row>
    <row r="16" spans="1:20" ht="16.5" customHeight="1">
      <c r="A16" s="401">
        <f t="shared" si="1"/>
        <v>11</v>
      </c>
      <c r="B16" s="74" t="s">
        <v>64</v>
      </c>
      <c r="C16" s="609" t="s">
        <v>193</v>
      </c>
      <c r="D16" s="74" t="s">
        <v>194</v>
      </c>
      <c r="E16" s="402"/>
      <c r="F16" s="401"/>
      <c r="G16" s="401"/>
      <c r="H16" s="401"/>
      <c r="I16" s="401"/>
      <c r="J16" s="75">
        <v>338</v>
      </c>
      <c r="K16" s="431"/>
      <c r="L16" s="401"/>
      <c r="M16" s="75" t="s">
        <v>951</v>
      </c>
      <c r="N16" s="405"/>
      <c r="O16" s="405"/>
      <c r="P16" s="405"/>
      <c r="Q16" s="405"/>
      <c r="R16" s="405"/>
      <c r="S16" s="75" t="s">
        <v>190</v>
      </c>
      <c r="T16" s="75" t="s">
        <v>554</v>
      </c>
    </row>
    <row r="17" spans="1:167" s="408" customFormat="1">
      <c r="A17" s="401">
        <f t="shared" si="1"/>
        <v>12</v>
      </c>
      <c r="B17" s="74" t="s">
        <v>198</v>
      </c>
      <c r="C17" s="74" t="s">
        <v>153</v>
      </c>
      <c r="D17" s="74" t="s">
        <v>134</v>
      </c>
      <c r="E17" s="405"/>
      <c r="F17" s="407"/>
      <c r="G17" s="407"/>
      <c r="H17" s="407"/>
      <c r="I17" s="407"/>
      <c r="J17" s="75">
        <v>309</v>
      </c>
      <c r="K17" s="1495"/>
      <c r="L17" s="401"/>
      <c r="M17" s="75" t="s">
        <v>978</v>
      </c>
      <c r="N17" s="405" t="s">
        <v>41</v>
      </c>
      <c r="O17" s="405" t="s">
        <v>978</v>
      </c>
      <c r="P17" s="405"/>
      <c r="Q17" s="405"/>
      <c r="R17" s="405"/>
      <c r="S17" s="75" t="s">
        <v>201</v>
      </c>
      <c r="T17" s="75" t="s">
        <v>554</v>
      </c>
      <c r="U17" s="400"/>
      <c r="V17" s="400"/>
      <c r="W17" s="400"/>
      <c r="X17" s="400"/>
      <c r="Y17" s="400"/>
      <c r="Z17" s="400"/>
      <c r="AA17" s="400"/>
      <c r="AB17" s="400"/>
      <c r="AC17" s="400"/>
      <c r="AD17" s="400"/>
      <c r="AE17" s="400"/>
      <c r="AF17" s="400"/>
      <c r="AG17" s="400"/>
      <c r="AH17" s="400"/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00"/>
      <c r="BH17" s="400"/>
      <c r="BI17" s="400"/>
      <c r="BJ17" s="400"/>
      <c r="BK17" s="400"/>
      <c r="BL17" s="400"/>
      <c r="BM17" s="400"/>
      <c r="BN17" s="400"/>
      <c r="BO17" s="400"/>
      <c r="BP17" s="400"/>
      <c r="BQ17" s="400"/>
      <c r="BR17" s="400"/>
      <c r="BS17" s="400"/>
      <c r="BT17" s="400"/>
      <c r="BU17" s="400"/>
      <c r="BV17" s="400"/>
      <c r="BW17" s="400"/>
      <c r="BX17" s="400"/>
      <c r="BY17" s="400"/>
      <c r="BZ17" s="400"/>
      <c r="CA17" s="400"/>
      <c r="CB17" s="400"/>
      <c r="CC17" s="400"/>
      <c r="CD17" s="400"/>
      <c r="CE17" s="400"/>
      <c r="CF17" s="400"/>
      <c r="CG17" s="400"/>
      <c r="CH17" s="400"/>
      <c r="CI17" s="400"/>
      <c r="CJ17" s="400"/>
      <c r="CK17" s="400"/>
      <c r="CL17" s="400"/>
      <c r="CM17" s="400"/>
      <c r="CN17" s="400"/>
      <c r="CO17" s="400"/>
      <c r="CP17" s="400"/>
      <c r="CQ17" s="400"/>
      <c r="CR17" s="400"/>
      <c r="CS17" s="400"/>
      <c r="CT17" s="400"/>
      <c r="CU17" s="400"/>
      <c r="CV17" s="400"/>
      <c r="CW17" s="400"/>
      <c r="CX17" s="400"/>
      <c r="CY17" s="400"/>
      <c r="CZ17" s="400"/>
      <c r="DA17" s="400"/>
      <c r="DB17" s="400"/>
      <c r="DC17" s="400"/>
      <c r="DD17" s="400"/>
      <c r="DE17" s="400"/>
      <c r="DF17" s="400"/>
      <c r="DG17" s="400"/>
      <c r="DH17" s="400"/>
      <c r="DI17" s="400"/>
      <c r="DJ17" s="400"/>
      <c r="DK17" s="400"/>
      <c r="DL17" s="400"/>
      <c r="DM17" s="400"/>
      <c r="DN17" s="400"/>
      <c r="DO17" s="400"/>
      <c r="DP17" s="400"/>
      <c r="DQ17" s="400"/>
      <c r="DR17" s="400"/>
      <c r="DS17" s="400"/>
      <c r="DT17" s="400"/>
      <c r="DU17" s="400"/>
      <c r="DV17" s="400"/>
      <c r="DW17" s="400"/>
      <c r="DX17" s="400"/>
      <c r="DY17" s="400"/>
      <c r="DZ17" s="400"/>
      <c r="EA17" s="400"/>
      <c r="EB17" s="400"/>
      <c r="EC17" s="400"/>
      <c r="ED17" s="400"/>
      <c r="EE17" s="400"/>
      <c r="EF17" s="400"/>
      <c r="EG17" s="400"/>
      <c r="EH17" s="400"/>
      <c r="EI17" s="400"/>
      <c r="EJ17" s="400"/>
      <c r="EK17" s="400"/>
      <c r="EL17" s="400"/>
      <c r="EM17" s="400"/>
      <c r="EN17" s="400"/>
      <c r="EO17" s="400"/>
      <c r="EP17" s="400"/>
      <c r="EQ17" s="400"/>
      <c r="ER17" s="400"/>
      <c r="ES17" s="400"/>
      <c r="ET17" s="400"/>
      <c r="EU17" s="400"/>
      <c r="EV17" s="400"/>
      <c r="EW17" s="400"/>
      <c r="EX17" s="400"/>
      <c r="EY17" s="400"/>
      <c r="EZ17" s="400"/>
      <c r="FA17" s="400"/>
      <c r="FB17" s="400"/>
      <c r="FC17" s="400"/>
      <c r="FD17" s="400"/>
      <c r="FE17" s="400"/>
      <c r="FF17" s="400"/>
      <c r="FG17" s="400"/>
      <c r="FH17" s="400"/>
      <c r="FI17" s="400"/>
      <c r="FJ17" s="400"/>
      <c r="FK17" s="400"/>
    </row>
    <row r="18" spans="1:167" s="408" customFormat="1">
      <c r="A18" s="401">
        <f t="shared" si="1"/>
        <v>13</v>
      </c>
      <c r="B18" s="74" t="s">
        <v>203</v>
      </c>
      <c r="C18" s="74" t="s">
        <v>153</v>
      </c>
      <c r="D18" s="74" t="s">
        <v>134</v>
      </c>
      <c r="E18" s="405"/>
      <c r="F18" s="407"/>
      <c r="G18" s="407"/>
      <c r="H18" s="407"/>
      <c r="I18" s="407"/>
      <c r="J18" s="75">
        <v>381.53399999999999</v>
      </c>
      <c r="K18" s="1496"/>
      <c r="L18" s="401"/>
      <c r="M18" s="75" t="s">
        <v>978</v>
      </c>
      <c r="N18" s="405" t="s">
        <v>2047</v>
      </c>
      <c r="O18" s="405"/>
      <c r="P18" s="405"/>
      <c r="Q18" s="405"/>
      <c r="R18" s="405"/>
      <c r="S18" s="75" t="s">
        <v>201</v>
      </c>
      <c r="T18" s="75" t="s">
        <v>554</v>
      </c>
      <c r="U18" s="400"/>
      <c r="V18" s="400"/>
      <c r="W18" s="400"/>
      <c r="X18" s="400"/>
      <c r="Y18" s="400"/>
      <c r="Z18" s="400"/>
      <c r="AA18" s="400"/>
      <c r="AB18" s="400"/>
      <c r="AC18" s="400"/>
      <c r="AD18" s="400"/>
      <c r="AE18" s="400"/>
      <c r="AF18" s="400"/>
      <c r="AG18" s="400"/>
      <c r="AH18" s="400"/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00"/>
      <c r="BH18" s="400"/>
      <c r="BI18" s="400"/>
      <c r="BJ18" s="400"/>
      <c r="BK18" s="400"/>
      <c r="BL18" s="400"/>
      <c r="BM18" s="400"/>
      <c r="BN18" s="400"/>
      <c r="BO18" s="400"/>
      <c r="BP18" s="400"/>
      <c r="BQ18" s="400"/>
      <c r="BR18" s="400"/>
      <c r="BS18" s="400"/>
      <c r="BT18" s="400"/>
      <c r="BU18" s="400"/>
      <c r="BV18" s="400"/>
      <c r="BW18" s="400"/>
      <c r="BX18" s="400"/>
      <c r="BY18" s="400"/>
      <c r="BZ18" s="400"/>
      <c r="CA18" s="400"/>
      <c r="CB18" s="400"/>
      <c r="CC18" s="400"/>
      <c r="CD18" s="400"/>
      <c r="CE18" s="400"/>
      <c r="CF18" s="400"/>
      <c r="CG18" s="400"/>
      <c r="CH18" s="400"/>
      <c r="CI18" s="400"/>
      <c r="CJ18" s="400"/>
      <c r="CK18" s="400"/>
      <c r="CL18" s="400"/>
      <c r="CM18" s="400"/>
      <c r="CN18" s="400"/>
      <c r="CO18" s="400"/>
      <c r="CP18" s="400"/>
      <c r="CQ18" s="400"/>
      <c r="CR18" s="400"/>
      <c r="CS18" s="400"/>
      <c r="CT18" s="400"/>
      <c r="CU18" s="400"/>
      <c r="CV18" s="400"/>
      <c r="CW18" s="400"/>
      <c r="CX18" s="400"/>
      <c r="CY18" s="400"/>
      <c r="CZ18" s="400"/>
      <c r="DA18" s="400"/>
      <c r="DB18" s="400"/>
      <c r="DC18" s="400"/>
      <c r="DD18" s="400"/>
      <c r="DE18" s="400"/>
      <c r="DF18" s="400"/>
      <c r="DG18" s="400"/>
      <c r="DH18" s="400"/>
      <c r="DI18" s="400"/>
      <c r="DJ18" s="400"/>
      <c r="DK18" s="400"/>
      <c r="DL18" s="400"/>
      <c r="DM18" s="400"/>
      <c r="DN18" s="400"/>
      <c r="DO18" s="400"/>
      <c r="DP18" s="400"/>
      <c r="DQ18" s="400"/>
      <c r="DR18" s="400"/>
      <c r="DS18" s="400"/>
      <c r="DT18" s="400"/>
      <c r="DU18" s="400"/>
      <c r="DV18" s="400"/>
      <c r="DW18" s="400"/>
      <c r="DX18" s="400"/>
      <c r="DY18" s="400"/>
      <c r="DZ18" s="400"/>
      <c r="EA18" s="400"/>
      <c r="EB18" s="400"/>
      <c r="EC18" s="400"/>
      <c r="ED18" s="400"/>
      <c r="EE18" s="400"/>
      <c r="EF18" s="400"/>
      <c r="EG18" s="400"/>
      <c r="EH18" s="400"/>
      <c r="EI18" s="400"/>
      <c r="EJ18" s="400"/>
      <c r="EK18" s="400"/>
      <c r="EL18" s="400"/>
      <c r="EM18" s="400"/>
      <c r="EN18" s="400"/>
      <c r="EO18" s="400"/>
      <c r="EP18" s="400"/>
      <c r="EQ18" s="400"/>
      <c r="ER18" s="400"/>
      <c r="ES18" s="400"/>
      <c r="ET18" s="400"/>
      <c r="EU18" s="400"/>
      <c r="EV18" s="400"/>
      <c r="EW18" s="400"/>
      <c r="EX18" s="400"/>
      <c r="EY18" s="400"/>
      <c r="EZ18" s="400"/>
      <c r="FA18" s="400"/>
      <c r="FB18" s="400"/>
      <c r="FC18" s="400"/>
      <c r="FD18" s="400"/>
      <c r="FE18" s="400"/>
      <c r="FF18" s="400"/>
      <c r="FG18" s="400"/>
      <c r="FH18" s="400"/>
      <c r="FI18" s="400"/>
      <c r="FJ18" s="400"/>
      <c r="FK18" s="400"/>
    </row>
    <row r="19" spans="1:167">
      <c r="A19" s="401">
        <f t="shared" si="1"/>
        <v>14</v>
      </c>
      <c r="B19" s="509" t="s">
        <v>65</v>
      </c>
      <c r="C19" s="509" t="s">
        <v>193</v>
      </c>
      <c r="D19" s="74" t="s">
        <v>208</v>
      </c>
      <c r="E19" s="402"/>
      <c r="F19" s="401"/>
      <c r="G19" s="401"/>
      <c r="H19" s="401"/>
      <c r="I19" s="401"/>
      <c r="J19" s="75">
        <v>331.87</v>
      </c>
      <c r="K19" s="1495"/>
      <c r="L19" s="401"/>
      <c r="M19" s="75" t="s">
        <v>29</v>
      </c>
      <c r="N19" s="405" t="s">
        <v>2047</v>
      </c>
      <c r="O19" s="405"/>
      <c r="P19" s="405"/>
      <c r="Q19" s="405"/>
      <c r="R19" s="405"/>
      <c r="S19" s="75" t="s">
        <v>201</v>
      </c>
      <c r="T19" s="75" t="s">
        <v>554</v>
      </c>
    </row>
    <row r="20" spans="1:167">
      <c r="A20" s="401">
        <f t="shared" si="1"/>
        <v>15</v>
      </c>
      <c r="B20" s="509" t="s">
        <v>213</v>
      </c>
      <c r="C20" s="509" t="s">
        <v>167</v>
      </c>
      <c r="D20" s="74" t="s">
        <v>214</v>
      </c>
      <c r="E20" s="402"/>
      <c r="F20" s="401"/>
      <c r="G20" s="401"/>
      <c r="H20" s="401"/>
      <c r="I20" s="401"/>
      <c r="J20" s="75">
        <v>341.21199999999999</v>
      </c>
      <c r="K20" s="1496"/>
      <c r="L20" s="401"/>
      <c r="M20" s="405" t="s">
        <v>29</v>
      </c>
      <c r="N20" s="405" t="s">
        <v>1884</v>
      </c>
      <c r="O20" s="405" t="s">
        <v>29</v>
      </c>
      <c r="P20" s="405"/>
      <c r="Q20" s="405"/>
      <c r="R20" s="405"/>
      <c r="S20" s="75" t="s">
        <v>201</v>
      </c>
      <c r="T20" s="75" t="s">
        <v>554</v>
      </c>
    </row>
    <row r="21" spans="1:167">
      <c r="A21" s="401">
        <f t="shared" si="1"/>
        <v>16</v>
      </c>
      <c r="B21" s="509" t="s">
        <v>66</v>
      </c>
      <c r="C21" s="509" t="s">
        <v>193</v>
      </c>
      <c r="D21" s="74" t="s">
        <v>219</v>
      </c>
      <c r="E21" s="402"/>
      <c r="F21" s="401"/>
      <c r="G21" s="401"/>
      <c r="H21" s="401"/>
      <c r="I21" s="401"/>
      <c r="J21" s="75">
        <v>243.495</v>
      </c>
      <c r="K21" s="754"/>
      <c r="L21" s="401"/>
      <c r="M21" s="405" t="s">
        <v>29</v>
      </c>
      <c r="N21" s="405" t="s">
        <v>1884</v>
      </c>
      <c r="O21" s="405" t="s">
        <v>29</v>
      </c>
      <c r="P21" s="405"/>
      <c r="Q21" s="405"/>
      <c r="R21" s="405"/>
      <c r="S21" s="75" t="s">
        <v>201</v>
      </c>
      <c r="T21" s="75" t="s">
        <v>554</v>
      </c>
    </row>
    <row r="22" spans="1:167">
      <c r="A22" s="401">
        <f t="shared" si="1"/>
        <v>17</v>
      </c>
      <c r="B22" s="509" t="s">
        <v>224</v>
      </c>
      <c r="C22" s="509" t="s">
        <v>133</v>
      </c>
      <c r="D22" s="74" t="s">
        <v>225</v>
      </c>
      <c r="E22" s="402"/>
      <c r="F22" s="401"/>
      <c r="G22" s="401"/>
      <c r="H22" s="401"/>
      <c r="I22" s="401"/>
      <c r="J22" s="75">
        <v>316</v>
      </c>
      <c r="K22" s="754"/>
      <c r="L22" s="401"/>
      <c r="M22" s="405" t="s">
        <v>29</v>
      </c>
      <c r="N22" s="405" t="s">
        <v>1884</v>
      </c>
      <c r="O22" s="405" t="s">
        <v>29</v>
      </c>
      <c r="P22" s="405"/>
      <c r="Q22" s="405"/>
      <c r="R22" s="405"/>
      <c r="S22" s="75" t="s">
        <v>228</v>
      </c>
      <c r="T22" s="75" t="s">
        <v>554</v>
      </c>
    </row>
    <row r="23" spans="1:167">
      <c r="A23" s="401">
        <f t="shared" si="1"/>
        <v>18</v>
      </c>
      <c r="B23" s="609" t="s">
        <v>230</v>
      </c>
      <c r="C23" s="509" t="s">
        <v>153</v>
      </c>
      <c r="D23" s="74" t="s">
        <v>134</v>
      </c>
      <c r="E23" s="402"/>
      <c r="F23" s="401"/>
      <c r="G23" s="401"/>
      <c r="H23" s="401"/>
      <c r="I23" s="401"/>
      <c r="J23" s="75">
        <v>325</v>
      </c>
      <c r="K23" s="404"/>
      <c r="L23" s="401"/>
      <c r="M23" s="405" t="s">
        <v>29</v>
      </c>
      <c r="N23" s="405" t="s">
        <v>41</v>
      </c>
      <c r="O23" s="405" t="s">
        <v>29</v>
      </c>
      <c r="P23" s="405"/>
      <c r="Q23" s="405"/>
      <c r="R23" s="405"/>
      <c r="S23" s="75" t="s">
        <v>228</v>
      </c>
      <c r="T23" s="75" t="s">
        <v>554</v>
      </c>
    </row>
    <row r="24" spans="1:167">
      <c r="A24" s="401">
        <f t="shared" si="1"/>
        <v>19</v>
      </c>
      <c r="B24" s="509" t="s">
        <v>234</v>
      </c>
      <c r="C24" s="509" t="s">
        <v>153</v>
      </c>
      <c r="D24" s="74" t="s">
        <v>134</v>
      </c>
      <c r="E24" s="402"/>
      <c r="F24" s="401"/>
      <c r="G24" s="401"/>
      <c r="H24" s="401"/>
      <c r="I24" s="401"/>
      <c r="J24" s="75">
        <v>269</v>
      </c>
      <c r="K24" s="404"/>
      <c r="L24" s="401"/>
      <c r="M24" s="405" t="s">
        <v>29</v>
      </c>
      <c r="N24" s="405" t="s">
        <v>1638</v>
      </c>
      <c r="O24" s="405"/>
      <c r="P24" s="405"/>
      <c r="Q24" s="405"/>
      <c r="R24" s="405"/>
      <c r="S24" s="75" t="s">
        <v>237</v>
      </c>
      <c r="T24" s="75" t="s">
        <v>554</v>
      </c>
    </row>
    <row r="25" spans="1:167">
      <c r="A25" s="401">
        <f t="shared" si="1"/>
        <v>20</v>
      </c>
      <c r="B25" s="509" t="s">
        <v>239</v>
      </c>
      <c r="C25" s="509" t="s">
        <v>153</v>
      </c>
      <c r="D25" s="74" t="s">
        <v>134</v>
      </c>
      <c r="E25" s="402"/>
      <c r="F25" s="401"/>
      <c r="G25" s="401"/>
      <c r="H25" s="401"/>
      <c r="I25" s="401"/>
      <c r="J25" s="75">
        <v>281.82799999999997</v>
      </c>
      <c r="K25" s="404"/>
      <c r="L25" s="401"/>
      <c r="M25" s="405" t="s">
        <v>29</v>
      </c>
      <c r="N25" s="405" t="s">
        <v>41</v>
      </c>
      <c r="O25" s="405"/>
      <c r="P25" s="405"/>
      <c r="Q25" s="405"/>
      <c r="R25" s="405"/>
      <c r="S25" s="75" t="s">
        <v>237</v>
      </c>
      <c r="T25" s="75" t="s">
        <v>554</v>
      </c>
    </row>
    <row r="26" spans="1:167">
      <c r="A26" s="401">
        <f t="shared" si="1"/>
        <v>21</v>
      </c>
      <c r="B26" s="509" t="s">
        <v>67</v>
      </c>
      <c r="C26" s="509" t="s">
        <v>245</v>
      </c>
      <c r="D26" s="74" t="s">
        <v>246</v>
      </c>
      <c r="E26" s="402"/>
      <c r="F26" s="401"/>
      <c r="G26" s="401"/>
      <c r="H26" s="401"/>
      <c r="I26" s="401"/>
      <c r="J26" s="75">
        <v>423</v>
      </c>
      <c r="K26" s="404"/>
      <c r="L26" s="401" t="s">
        <v>977</v>
      </c>
      <c r="M26" s="401" t="s">
        <v>977</v>
      </c>
      <c r="N26" s="405"/>
      <c r="O26" s="405"/>
      <c r="P26" s="405"/>
      <c r="Q26" s="405"/>
      <c r="R26" s="405"/>
      <c r="S26" s="75" t="s">
        <v>237</v>
      </c>
      <c r="T26" s="75" t="s">
        <v>554</v>
      </c>
    </row>
    <row r="27" spans="1:167">
      <c r="A27" s="401">
        <f t="shared" si="1"/>
        <v>22</v>
      </c>
      <c r="B27" s="509" t="s">
        <v>250</v>
      </c>
      <c r="C27" s="509" t="s">
        <v>251</v>
      </c>
      <c r="D27" s="74" t="s">
        <v>134</v>
      </c>
      <c r="E27" s="402"/>
      <c r="F27" s="401"/>
      <c r="G27" s="401"/>
      <c r="H27" s="401"/>
      <c r="I27" s="401"/>
      <c r="J27" s="75">
        <v>376.09500000000003</v>
      </c>
      <c r="K27" s="404"/>
      <c r="L27" s="401"/>
      <c r="M27" s="405" t="s">
        <v>29</v>
      </c>
      <c r="N27" s="405" t="s">
        <v>41</v>
      </c>
      <c r="O27" s="405"/>
      <c r="P27" s="405"/>
      <c r="Q27" s="405"/>
      <c r="R27" s="405"/>
      <c r="S27" s="75" t="s">
        <v>254</v>
      </c>
      <c r="T27" s="75" t="s">
        <v>554</v>
      </c>
    </row>
    <row r="28" spans="1:167">
      <c r="A28" s="401">
        <f t="shared" si="1"/>
        <v>23</v>
      </c>
      <c r="B28" s="509" t="s">
        <v>68</v>
      </c>
      <c r="C28" s="509" t="s">
        <v>257</v>
      </c>
      <c r="D28" s="74" t="s">
        <v>258</v>
      </c>
      <c r="E28" s="402"/>
      <c r="F28" s="401"/>
      <c r="G28" s="401"/>
      <c r="H28" s="401"/>
      <c r="I28" s="401"/>
      <c r="J28" s="75">
        <v>439.07600000000002</v>
      </c>
      <c r="K28" s="404"/>
      <c r="L28" s="401" t="s">
        <v>977</v>
      </c>
      <c r="M28" s="401" t="s">
        <v>977</v>
      </c>
      <c r="N28" s="405"/>
      <c r="O28" s="405"/>
      <c r="P28" s="405"/>
      <c r="Q28" s="405"/>
      <c r="R28" s="405"/>
      <c r="S28" s="75" t="s">
        <v>261</v>
      </c>
      <c r="T28" s="75" t="s">
        <v>554</v>
      </c>
    </row>
    <row r="29" spans="1:167">
      <c r="A29" s="401">
        <f t="shared" si="1"/>
        <v>24</v>
      </c>
      <c r="B29" s="509" t="s">
        <v>56</v>
      </c>
      <c r="C29" s="509" t="s">
        <v>264</v>
      </c>
      <c r="D29" s="74" t="s">
        <v>265</v>
      </c>
      <c r="E29" s="402"/>
      <c r="F29" s="401"/>
      <c r="G29" s="401"/>
      <c r="H29" s="401"/>
      <c r="I29" s="401"/>
      <c r="J29" s="75">
        <v>317.98899999999998</v>
      </c>
      <c r="K29" s="404"/>
      <c r="L29" s="401" t="s">
        <v>977</v>
      </c>
      <c r="M29" s="401" t="s">
        <v>977</v>
      </c>
      <c r="N29" s="405"/>
      <c r="O29" s="405"/>
      <c r="P29" s="405"/>
      <c r="Q29" s="405"/>
      <c r="R29" s="405"/>
      <c r="S29" s="75" t="s">
        <v>268</v>
      </c>
      <c r="T29" s="75" t="s">
        <v>554</v>
      </c>
    </row>
    <row r="30" spans="1:167">
      <c r="A30" s="401">
        <f t="shared" si="1"/>
        <v>25</v>
      </c>
      <c r="B30" s="509" t="s">
        <v>60</v>
      </c>
      <c r="C30" s="509" t="s">
        <v>167</v>
      </c>
      <c r="D30" s="74" t="s">
        <v>271</v>
      </c>
      <c r="E30" s="402"/>
      <c r="F30" s="401"/>
      <c r="G30" s="401"/>
      <c r="H30" s="401"/>
      <c r="I30" s="401"/>
      <c r="J30" s="75">
        <v>350</v>
      </c>
      <c r="K30" s="404"/>
      <c r="L30" s="401" t="s">
        <v>977</v>
      </c>
      <c r="M30" s="401" t="s">
        <v>977</v>
      </c>
      <c r="N30" s="405"/>
      <c r="O30" s="405"/>
      <c r="P30" s="405"/>
      <c r="Q30" s="405"/>
      <c r="R30" s="405"/>
      <c r="S30" s="75" t="s">
        <v>254</v>
      </c>
      <c r="T30" s="75" t="s">
        <v>554</v>
      </c>
    </row>
    <row r="31" spans="1:167">
      <c r="A31" s="401">
        <f t="shared" si="1"/>
        <v>26</v>
      </c>
      <c r="B31" s="509" t="s">
        <v>275</v>
      </c>
      <c r="C31" s="509" t="s">
        <v>187</v>
      </c>
      <c r="D31" s="74" t="s">
        <v>134</v>
      </c>
      <c r="E31" s="402"/>
      <c r="F31" s="401"/>
      <c r="G31" s="401"/>
      <c r="H31" s="401"/>
      <c r="I31" s="401"/>
      <c r="J31" s="75">
        <v>434.14100000000002</v>
      </c>
      <c r="K31" s="404"/>
      <c r="L31" s="401" t="s">
        <v>977</v>
      </c>
      <c r="M31" s="401" t="s">
        <v>977</v>
      </c>
      <c r="N31" s="405"/>
      <c r="O31" s="405"/>
      <c r="P31" s="405"/>
      <c r="Q31" s="405"/>
      <c r="R31" s="405"/>
      <c r="S31" s="75" t="s">
        <v>278</v>
      </c>
      <c r="T31" s="75" t="s">
        <v>554</v>
      </c>
    </row>
    <row r="32" spans="1:167" ht="15.75" customHeight="1">
      <c r="A32" s="401">
        <f t="shared" si="1"/>
        <v>27</v>
      </c>
      <c r="B32" s="509" t="s">
        <v>55</v>
      </c>
      <c r="C32" s="509" t="s">
        <v>281</v>
      </c>
      <c r="D32" s="74" t="s">
        <v>282</v>
      </c>
      <c r="E32" s="402"/>
      <c r="F32" s="401"/>
      <c r="G32" s="401"/>
      <c r="H32" s="401"/>
      <c r="I32" s="401"/>
      <c r="J32" s="75">
        <v>271.00299999999999</v>
      </c>
      <c r="K32" s="1493" t="s">
        <v>1000</v>
      </c>
      <c r="L32" s="401" t="s">
        <v>2022</v>
      </c>
      <c r="M32" s="405"/>
      <c r="N32" s="405"/>
      <c r="O32" s="405"/>
      <c r="P32" s="405"/>
      <c r="Q32" s="405"/>
      <c r="R32" s="405"/>
      <c r="S32" s="75" t="s">
        <v>278</v>
      </c>
      <c r="T32" s="75" t="s">
        <v>554</v>
      </c>
    </row>
    <row r="33" spans="1:20">
      <c r="A33" s="401">
        <f t="shared" si="1"/>
        <v>28</v>
      </c>
      <c r="B33" s="509" t="s">
        <v>59</v>
      </c>
      <c r="C33" s="509" t="s">
        <v>287</v>
      </c>
      <c r="D33" s="74" t="s">
        <v>288</v>
      </c>
      <c r="E33" s="402"/>
      <c r="F33" s="401"/>
      <c r="G33" s="401"/>
      <c r="H33" s="401"/>
      <c r="I33" s="401"/>
      <c r="J33" s="75">
        <v>190.90899999999999</v>
      </c>
      <c r="K33" s="1494"/>
      <c r="L33" s="401" t="s">
        <v>2022</v>
      </c>
      <c r="M33" s="405"/>
      <c r="N33" s="405"/>
      <c r="O33" s="405"/>
      <c r="P33" s="405"/>
      <c r="Q33" s="405"/>
      <c r="R33" s="405"/>
      <c r="S33" s="75" t="s">
        <v>278</v>
      </c>
      <c r="T33" s="75" t="s">
        <v>554</v>
      </c>
    </row>
    <row r="34" spans="1:20">
      <c r="A34" s="401">
        <f t="shared" si="1"/>
        <v>29</v>
      </c>
      <c r="B34" s="509" t="s">
        <v>58</v>
      </c>
      <c r="C34" s="509" t="s">
        <v>264</v>
      </c>
      <c r="D34" s="74" t="s">
        <v>292</v>
      </c>
      <c r="E34" s="402"/>
      <c r="F34" s="401"/>
      <c r="G34" s="401"/>
      <c r="H34" s="401"/>
      <c r="I34" s="401"/>
      <c r="J34" s="75">
        <v>411</v>
      </c>
      <c r="K34" s="404"/>
      <c r="L34" s="401"/>
      <c r="M34" s="405" t="s">
        <v>29</v>
      </c>
      <c r="N34" s="405" t="s">
        <v>1186</v>
      </c>
      <c r="O34" s="405" t="s">
        <v>29</v>
      </c>
      <c r="P34" s="405" t="s">
        <v>29</v>
      </c>
      <c r="Q34" s="405" t="s">
        <v>1894</v>
      </c>
      <c r="R34" s="405"/>
      <c r="S34" s="75" t="s">
        <v>278</v>
      </c>
      <c r="T34" s="75" t="s">
        <v>554</v>
      </c>
    </row>
    <row r="35" spans="1:20">
      <c r="A35" s="401">
        <f t="shared" si="1"/>
        <v>30</v>
      </c>
      <c r="B35" s="509" t="s">
        <v>296</v>
      </c>
      <c r="C35" s="509" t="s">
        <v>187</v>
      </c>
      <c r="D35" s="74" t="s">
        <v>134</v>
      </c>
      <c r="E35" s="402"/>
      <c r="F35" s="401"/>
      <c r="G35" s="401"/>
      <c r="H35" s="401"/>
      <c r="I35" s="401"/>
      <c r="J35" s="75">
        <v>387</v>
      </c>
      <c r="K35" s="404"/>
      <c r="L35" s="401"/>
      <c r="M35" s="405" t="s">
        <v>29</v>
      </c>
      <c r="N35" s="405" t="s">
        <v>1186</v>
      </c>
      <c r="O35" s="405" t="s">
        <v>29</v>
      </c>
      <c r="P35" s="405" t="s">
        <v>29</v>
      </c>
      <c r="Q35" s="405" t="s">
        <v>1894</v>
      </c>
      <c r="R35" s="405"/>
      <c r="S35" s="75" t="s">
        <v>268</v>
      </c>
      <c r="T35" s="75" t="s">
        <v>554</v>
      </c>
    </row>
    <row r="36" spans="1:20">
      <c r="A36" s="401">
        <f t="shared" si="1"/>
        <v>31</v>
      </c>
      <c r="B36" s="509" t="s">
        <v>300</v>
      </c>
      <c r="C36" s="509" t="s">
        <v>301</v>
      </c>
      <c r="D36" s="74" t="s">
        <v>134</v>
      </c>
      <c r="E36" s="402"/>
      <c r="F36" s="401"/>
      <c r="G36" s="401"/>
      <c r="H36" s="401"/>
      <c r="I36" s="401"/>
      <c r="J36" s="75">
        <v>377.351</v>
      </c>
      <c r="K36" s="404"/>
      <c r="L36" s="401"/>
      <c r="M36" s="405" t="s">
        <v>29</v>
      </c>
      <c r="N36" s="405" t="s">
        <v>1186</v>
      </c>
      <c r="O36" s="405" t="s">
        <v>29</v>
      </c>
      <c r="P36" s="405" t="s">
        <v>29</v>
      </c>
      <c r="Q36" s="405" t="s">
        <v>1894</v>
      </c>
      <c r="R36" s="405"/>
      <c r="S36" s="75" t="s">
        <v>268</v>
      </c>
      <c r="T36" s="75" t="s">
        <v>554</v>
      </c>
    </row>
    <row r="37" spans="1:20">
      <c r="A37" s="401">
        <f t="shared" si="1"/>
        <v>32</v>
      </c>
      <c r="B37" s="509" t="s">
        <v>46</v>
      </c>
      <c r="C37" s="509" t="s">
        <v>245</v>
      </c>
      <c r="D37" s="74" t="s">
        <v>306</v>
      </c>
      <c r="E37" s="402"/>
      <c r="F37" s="401"/>
      <c r="G37" s="401"/>
      <c r="H37" s="401"/>
      <c r="I37" s="401"/>
      <c r="J37" s="75">
        <v>392</v>
      </c>
      <c r="K37" s="404"/>
      <c r="L37" s="401"/>
      <c r="M37" s="405" t="s">
        <v>29</v>
      </c>
      <c r="N37" s="405" t="s">
        <v>1186</v>
      </c>
      <c r="O37" s="405" t="s">
        <v>29</v>
      </c>
      <c r="P37" s="405" t="s">
        <v>29</v>
      </c>
      <c r="Q37" s="405" t="s">
        <v>1894</v>
      </c>
      <c r="R37" s="405"/>
      <c r="S37" s="75" t="s">
        <v>268</v>
      </c>
      <c r="T37" s="75" t="s">
        <v>554</v>
      </c>
    </row>
    <row r="38" spans="1:20">
      <c r="A38" s="401">
        <f t="shared" si="1"/>
        <v>33</v>
      </c>
      <c r="B38" s="509" t="s">
        <v>310</v>
      </c>
      <c r="C38" s="509" t="s">
        <v>153</v>
      </c>
      <c r="D38" s="74" t="s">
        <v>134</v>
      </c>
      <c r="E38" s="402"/>
      <c r="F38" s="401"/>
      <c r="G38" s="401"/>
      <c r="H38" s="401"/>
      <c r="I38" s="401"/>
      <c r="J38" s="75">
        <v>313</v>
      </c>
      <c r="K38" s="404"/>
      <c r="L38" s="401"/>
      <c r="M38" s="405" t="s">
        <v>29</v>
      </c>
      <c r="N38" s="405" t="s">
        <v>1186</v>
      </c>
      <c r="O38" s="405" t="s">
        <v>29</v>
      </c>
      <c r="P38" s="405" t="s">
        <v>29</v>
      </c>
      <c r="Q38" s="405" t="s">
        <v>1894</v>
      </c>
      <c r="R38" s="405"/>
      <c r="S38" s="75" t="s">
        <v>268</v>
      </c>
      <c r="T38" s="75" t="s">
        <v>554</v>
      </c>
    </row>
    <row r="39" spans="1:20">
      <c r="A39" s="401">
        <f t="shared" si="1"/>
        <v>34</v>
      </c>
      <c r="B39" s="509" t="s">
        <v>314</v>
      </c>
      <c r="C39" s="509" t="s">
        <v>153</v>
      </c>
      <c r="D39" s="74" t="s">
        <v>134</v>
      </c>
      <c r="E39" s="402"/>
      <c r="F39" s="401"/>
      <c r="G39" s="401"/>
      <c r="H39" s="401"/>
      <c r="I39" s="401"/>
      <c r="J39" s="75">
        <v>318</v>
      </c>
      <c r="K39" s="404"/>
      <c r="L39" s="401"/>
      <c r="M39" s="405" t="s">
        <v>29</v>
      </c>
      <c r="N39" s="405" t="s">
        <v>1186</v>
      </c>
      <c r="O39" s="405" t="s">
        <v>29</v>
      </c>
      <c r="P39" s="405" t="s">
        <v>29</v>
      </c>
      <c r="Q39" s="405" t="s">
        <v>1894</v>
      </c>
      <c r="R39" s="405"/>
      <c r="S39" s="75" t="s">
        <v>317</v>
      </c>
      <c r="T39" s="75" t="s">
        <v>554</v>
      </c>
    </row>
    <row r="40" spans="1:20">
      <c r="A40" s="401">
        <f t="shared" si="1"/>
        <v>35</v>
      </c>
      <c r="B40" s="509" t="s">
        <v>318</v>
      </c>
      <c r="C40" s="509" t="s">
        <v>153</v>
      </c>
      <c r="D40" s="74" t="s">
        <v>134</v>
      </c>
      <c r="E40" s="402"/>
      <c r="F40" s="401"/>
      <c r="G40" s="401"/>
      <c r="H40" s="401"/>
      <c r="I40" s="401"/>
      <c r="J40" s="75">
        <v>347</v>
      </c>
      <c r="K40" s="404"/>
      <c r="L40" s="401"/>
      <c r="M40" s="405" t="s">
        <v>29</v>
      </c>
      <c r="N40" s="405" t="s">
        <v>1186</v>
      </c>
      <c r="O40" s="405"/>
      <c r="P40" s="405" t="s">
        <v>29</v>
      </c>
      <c r="Q40" s="405" t="s">
        <v>1894</v>
      </c>
      <c r="R40" s="405"/>
      <c r="S40" s="75" t="s">
        <v>317</v>
      </c>
      <c r="T40" s="75" t="s">
        <v>554</v>
      </c>
    </row>
    <row r="41" spans="1:20">
      <c r="A41" s="401">
        <f t="shared" si="1"/>
        <v>36</v>
      </c>
      <c r="B41" s="509" t="s">
        <v>322</v>
      </c>
      <c r="C41" s="509" t="s">
        <v>153</v>
      </c>
      <c r="D41" s="74" t="s">
        <v>134</v>
      </c>
      <c r="E41" s="402"/>
      <c r="F41" s="401"/>
      <c r="G41" s="401"/>
      <c r="H41" s="401"/>
      <c r="I41" s="401"/>
      <c r="J41" s="75">
        <v>387.51499999999999</v>
      </c>
      <c r="K41" s="404"/>
      <c r="L41" s="401"/>
      <c r="M41" s="405" t="s">
        <v>29</v>
      </c>
      <c r="N41" s="75" t="s">
        <v>30</v>
      </c>
      <c r="O41" s="702"/>
      <c r="P41" s="405" t="s">
        <v>29</v>
      </c>
      <c r="Q41" s="405" t="s">
        <v>1894</v>
      </c>
      <c r="R41" s="405"/>
      <c r="S41" s="75" t="s">
        <v>317</v>
      </c>
      <c r="T41" s="75" t="s">
        <v>554</v>
      </c>
    </row>
    <row r="42" spans="1:20">
      <c r="A42" s="401">
        <f t="shared" si="1"/>
        <v>37</v>
      </c>
      <c r="B42" s="509" t="s">
        <v>326</v>
      </c>
      <c r="C42" s="509" t="s">
        <v>167</v>
      </c>
      <c r="D42" s="74" t="s">
        <v>327</v>
      </c>
      <c r="E42" s="402"/>
      <c r="F42" s="401"/>
      <c r="G42" s="401"/>
      <c r="H42" s="401"/>
      <c r="I42" s="401"/>
      <c r="J42" s="75">
        <v>345</v>
      </c>
      <c r="K42" s="404"/>
      <c r="L42" s="401" t="s">
        <v>977</v>
      </c>
      <c r="M42" s="401" t="s">
        <v>977</v>
      </c>
      <c r="N42" s="405"/>
      <c r="O42" s="405"/>
      <c r="P42" s="405"/>
      <c r="Q42" s="405"/>
      <c r="R42" s="405"/>
      <c r="S42" s="75" t="s">
        <v>330</v>
      </c>
      <c r="T42" s="75" t="s">
        <v>554</v>
      </c>
    </row>
    <row r="43" spans="1:20">
      <c r="A43" s="401">
        <f t="shared" si="1"/>
        <v>38</v>
      </c>
      <c r="B43" s="509" t="s">
        <v>332</v>
      </c>
      <c r="C43" s="509" t="s">
        <v>301</v>
      </c>
      <c r="D43" s="74" t="s">
        <v>134</v>
      </c>
      <c r="E43" s="402"/>
      <c r="F43" s="401"/>
      <c r="G43" s="401"/>
      <c r="H43" s="401"/>
      <c r="I43" s="401"/>
      <c r="J43" s="75">
        <v>410.29300000000001</v>
      </c>
      <c r="K43" s="404"/>
      <c r="L43" s="401"/>
      <c r="M43" s="405" t="s">
        <v>29</v>
      </c>
      <c r="N43" s="405" t="s">
        <v>30</v>
      </c>
      <c r="O43" s="405"/>
      <c r="P43" s="405"/>
      <c r="Q43" s="405"/>
      <c r="R43" s="405"/>
      <c r="S43" s="75" t="s">
        <v>330</v>
      </c>
      <c r="T43" s="75" t="s">
        <v>554</v>
      </c>
    </row>
    <row r="44" spans="1:20">
      <c r="A44" s="401">
        <f t="shared" si="1"/>
        <v>39</v>
      </c>
      <c r="B44" s="509" t="s">
        <v>47</v>
      </c>
      <c r="C44" s="509" t="s">
        <v>337</v>
      </c>
      <c r="D44" s="74" t="s">
        <v>338</v>
      </c>
      <c r="E44" s="402"/>
      <c r="F44" s="401"/>
      <c r="G44" s="401"/>
      <c r="H44" s="401"/>
      <c r="I44" s="401"/>
      <c r="J44" s="75">
        <v>391.73</v>
      </c>
      <c r="K44" s="404"/>
      <c r="L44" s="401"/>
      <c r="M44" s="405" t="s">
        <v>29</v>
      </c>
      <c r="N44" s="75" t="s">
        <v>30</v>
      </c>
      <c r="O44" s="405" t="s">
        <v>29</v>
      </c>
      <c r="P44" s="405"/>
      <c r="Q44" s="405"/>
      <c r="R44" s="405"/>
      <c r="S44" s="75" t="s">
        <v>341</v>
      </c>
      <c r="T44" s="75" t="s">
        <v>554</v>
      </c>
    </row>
    <row r="45" spans="1:20">
      <c r="A45" s="401">
        <f t="shared" si="1"/>
        <v>40</v>
      </c>
      <c r="B45" s="509" t="s">
        <v>69</v>
      </c>
      <c r="C45" s="509" t="s">
        <v>344</v>
      </c>
      <c r="D45" s="74" t="s">
        <v>345</v>
      </c>
      <c r="E45" s="402"/>
      <c r="F45" s="401"/>
      <c r="G45" s="401"/>
      <c r="H45" s="401"/>
      <c r="I45" s="401"/>
      <c r="J45" s="75">
        <v>300</v>
      </c>
      <c r="K45" s="404"/>
      <c r="L45" s="401"/>
      <c r="M45" s="405" t="s">
        <v>29</v>
      </c>
      <c r="N45" s="75" t="s">
        <v>30</v>
      </c>
      <c r="O45" s="405" t="s">
        <v>29</v>
      </c>
      <c r="P45" s="405"/>
      <c r="Q45" s="405"/>
      <c r="R45" s="405"/>
      <c r="S45" s="75" t="s">
        <v>341</v>
      </c>
      <c r="T45" s="75" t="s">
        <v>554</v>
      </c>
    </row>
    <row r="46" spans="1:20">
      <c r="A46" s="401">
        <f t="shared" si="1"/>
        <v>41</v>
      </c>
      <c r="B46" s="509" t="s">
        <v>349</v>
      </c>
      <c r="C46" s="509" t="s">
        <v>281</v>
      </c>
      <c r="D46" s="74" t="s">
        <v>134</v>
      </c>
      <c r="E46" s="402"/>
      <c r="F46" s="401"/>
      <c r="G46" s="401"/>
      <c r="H46" s="401"/>
      <c r="I46" s="401"/>
      <c r="J46" s="75">
        <v>458.61599999999999</v>
      </c>
      <c r="K46" s="404"/>
      <c r="L46" s="401"/>
      <c r="M46" s="405"/>
      <c r="N46" s="405"/>
      <c r="O46" s="405"/>
      <c r="P46" s="405"/>
      <c r="Q46" s="405"/>
      <c r="R46" s="405"/>
      <c r="S46" s="75" t="s">
        <v>352</v>
      </c>
      <c r="T46" s="75" t="s">
        <v>554</v>
      </c>
    </row>
    <row r="47" spans="1:20">
      <c r="A47" s="401">
        <f t="shared" si="1"/>
        <v>42</v>
      </c>
      <c r="B47" s="509" t="s">
        <v>356</v>
      </c>
      <c r="C47" s="509" t="s">
        <v>357</v>
      </c>
      <c r="D47" s="74" t="s">
        <v>358</v>
      </c>
      <c r="E47" s="402">
        <v>3</v>
      </c>
      <c r="F47" s="401">
        <v>3</v>
      </c>
      <c r="G47" s="401">
        <v>3</v>
      </c>
      <c r="H47" s="401">
        <v>3</v>
      </c>
      <c r="I47" s="401">
        <v>3</v>
      </c>
      <c r="J47" s="75">
        <v>306.18</v>
      </c>
      <c r="K47" s="404"/>
      <c r="L47" s="401" t="s">
        <v>2023</v>
      </c>
      <c r="M47" s="405"/>
      <c r="N47" s="405"/>
      <c r="O47" s="405"/>
      <c r="P47" s="405"/>
      <c r="Q47" s="405"/>
      <c r="R47" s="405"/>
      <c r="S47" s="75" t="s">
        <v>361</v>
      </c>
      <c r="T47" s="75" t="s">
        <v>554</v>
      </c>
    </row>
    <row r="48" spans="1:20">
      <c r="A48" s="401">
        <f t="shared" si="1"/>
        <v>43</v>
      </c>
      <c r="B48" s="509" t="s">
        <v>364</v>
      </c>
      <c r="C48" s="509" t="s">
        <v>344</v>
      </c>
      <c r="D48" s="74" t="s">
        <v>365</v>
      </c>
      <c r="E48" s="402"/>
      <c r="F48" s="401"/>
      <c r="G48" s="401"/>
      <c r="H48" s="401"/>
      <c r="I48" s="401"/>
      <c r="J48" s="75">
        <v>385.738</v>
      </c>
      <c r="K48" s="404"/>
      <c r="L48" s="401"/>
      <c r="M48" s="405" t="s">
        <v>29</v>
      </c>
      <c r="N48" s="75" t="s">
        <v>30</v>
      </c>
      <c r="O48" s="405" t="s">
        <v>29</v>
      </c>
      <c r="P48" s="405" t="s">
        <v>29</v>
      </c>
      <c r="Q48" s="405" t="s">
        <v>1837</v>
      </c>
      <c r="R48" s="405"/>
      <c r="S48" s="75" t="s">
        <v>368</v>
      </c>
      <c r="T48" s="75" t="s">
        <v>554</v>
      </c>
    </row>
    <row r="49" spans="1:20">
      <c r="A49" s="401">
        <f t="shared" si="1"/>
        <v>44</v>
      </c>
      <c r="B49" s="509" t="s">
        <v>371</v>
      </c>
      <c r="C49" s="509" t="s">
        <v>133</v>
      </c>
      <c r="D49" s="74" t="s">
        <v>372</v>
      </c>
      <c r="E49" s="402"/>
      <c r="F49" s="401"/>
      <c r="G49" s="401"/>
      <c r="H49" s="401"/>
      <c r="I49" s="401"/>
      <c r="J49" s="75">
        <v>340</v>
      </c>
      <c r="K49" s="404"/>
      <c r="L49" s="401"/>
      <c r="M49" s="405" t="s">
        <v>29</v>
      </c>
      <c r="N49" s="75" t="s">
        <v>30</v>
      </c>
      <c r="O49" s="405" t="s">
        <v>29</v>
      </c>
      <c r="P49" s="405" t="s">
        <v>29</v>
      </c>
      <c r="Q49" s="405" t="s">
        <v>1837</v>
      </c>
      <c r="R49" s="405"/>
      <c r="S49" s="75" t="s">
        <v>368</v>
      </c>
      <c r="T49" s="75" t="s">
        <v>554</v>
      </c>
    </row>
    <row r="50" spans="1:20">
      <c r="A50" s="401">
        <f t="shared" si="1"/>
        <v>45</v>
      </c>
      <c r="B50" s="509" t="s">
        <v>376</v>
      </c>
      <c r="C50" s="509" t="s">
        <v>187</v>
      </c>
      <c r="D50" s="74" t="s">
        <v>134</v>
      </c>
      <c r="E50" s="402"/>
      <c r="F50" s="401"/>
      <c r="G50" s="401"/>
      <c r="H50" s="401"/>
      <c r="I50" s="401"/>
      <c r="J50" s="75">
        <v>407.56599999999997</v>
      </c>
      <c r="K50" s="404"/>
      <c r="L50" s="401"/>
      <c r="M50" s="405" t="s">
        <v>29</v>
      </c>
      <c r="N50" s="405" t="s">
        <v>41</v>
      </c>
      <c r="O50" s="405"/>
      <c r="P50" s="405"/>
      <c r="Q50" s="405"/>
      <c r="R50" s="405"/>
      <c r="S50" s="75" t="s">
        <v>368</v>
      </c>
      <c r="T50" s="75" t="s">
        <v>554</v>
      </c>
    </row>
    <row r="51" spans="1:20">
      <c r="A51" s="401">
        <f t="shared" si="1"/>
        <v>46</v>
      </c>
      <c r="B51" s="509" t="s">
        <v>70</v>
      </c>
      <c r="C51" s="509" t="s">
        <v>133</v>
      </c>
      <c r="D51" s="74" t="s">
        <v>380</v>
      </c>
      <c r="E51" s="402"/>
      <c r="F51" s="401"/>
      <c r="G51" s="401"/>
      <c r="H51" s="401"/>
      <c r="I51" s="401"/>
      <c r="J51" s="75">
        <v>324</v>
      </c>
      <c r="K51" s="404"/>
      <c r="L51" s="401" t="s">
        <v>977</v>
      </c>
      <c r="M51" s="401" t="s">
        <v>1896</v>
      </c>
      <c r="N51" s="405"/>
      <c r="O51" s="405"/>
      <c r="P51" s="405"/>
      <c r="Q51" s="405"/>
      <c r="R51" s="405"/>
      <c r="S51" s="75" t="s">
        <v>368</v>
      </c>
      <c r="T51" s="75" t="s">
        <v>554</v>
      </c>
    </row>
    <row r="52" spans="1:20">
      <c r="A52" s="401">
        <f t="shared" si="1"/>
        <v>47</v>
      </c>
      <c r="B52" s="509" t="s">
        <v>384</v>
      </c>
      <c r="C52" s="509" t="s">
        <v>187</v>
      </c>
      <c r="D52" s="74" t="s">
        <v>134</v>
      </c>
      <c r="E52" s="402"/>
      <c r="F52" s="401"/>
      <c r="G52" s="401"/>
      <c r="H52" s="401"/>
      <c r="I52" s="401"/>
      <c r="J52" s="75">
        <v>381</v>
      </c>
      <c r="K52" s="404"/>
      <c r="L52" s="401"/>
      <c r="M52" s="405" t="s">
        <v>29</v>
      </c>
      <c r="N52" s="405" t="s">
        <v>41</v>
      </c>
      <c r="O52" s="405"/>
      <c r="P52" s="405"/>
      <c r="Q52" s="405"/>
      <c r="R52" s="405"/>
      <c r="S52" s="75" t="s">
        <v>368</v>
      </c>
      <c r="T52" s="75" t="s">
        <v>554</v>
      </c>
    </row>
    <row r="53" spans="1:20">
      <c r="A53" s="401">
        <f t="shared" si="1"/>
        <v>48</v>
      </c>
      <c r="B53" s="609" t="s">
        <v>388</v>
      </c>
      <c r="C53" s="509" t="s">
        <v>301</v>
      </c>
      <c r="D53" s="74" t="s">
        <v>134</v>
      </c>
      <c r="E53" s="402"/>
      <c r="F53" s="401"/>
      <c r="G53" s="401"/>
      <c r="H53" s="401"/>
      <c r="I53" s="401"/>
      <c r="J53" s="75">
        <v>369.15</v>
      </c>
      <c r="K53" s="404"/>
      <c r="L53" s="401"/>
      <c r="M53" s="405" t="s">
        <v>29</v>
      </c>
      <c r="N53" s="75" t="s">
        <v>30</v>
      </c>
      <c r="O53" s="405" t="s">
        <v>29</v>
      </c>
      <c r="P53" s="405" t="s">
        <v>978</v>
      </c>
      <c r="Q53" s="405" t="s">
        <v>1837</v>
      </c>
      <c r="R53" s="405"/>
      <c r="S53" s="75" t="s">
        <v>368</v>
      </c>
      <c r="T53" s="75" t="s">
        <v>554</v>
      </c>
    </row>
    <row r="54" spans="1:20">
      <c r="A54" s="401">
        <f t="shared" si="1"/>
        <v>49</v>
      </c>
      <c r="B54" s="509" t="s">
        <v>393</v>
      </c>
      <c r="C54" s="509" t="s">
        <v>245</v>
      </c>
      <c r="D54" s="74" t="s">
        <v>394</v>
      </c>
      <c r="E54" s="402"/>
      <c r="F54" s="401"/>
      <c r="G54" s="401"/>
      <c r="H54" s="401"/>
      <c r="I54" s="401"/>
      <c r="J54" s="75">
        <v>414</v>
      </c>
      <c r="K54" s="404"/>
      <c r="L54" s="401"/>
      <c r="M54" s="405" t="s">
        <v>29</v>
      </c>
      <c r="N54" s="75" t="s">
        <v>30</v>
      </c>
      <c r="O54" s="405" t="s">
        <v>29</v>
      </c>
      <c r="P54" s="405"/>
      <c r="Q54" s="405"/>
      <c r="R54" s="405"/>
      <c r="S54" s="75" t="s">
        <v>397</v>
      </c>
      <c r="T54" s="75" t="s">
        <v>554</v>
      </c>
    </row>
    <row r="55" spans="1:20">
      <c r="A55" s="401">
        <f t="shared" si="1"/>
        <v>50</v>
      </c>
      <c r="B55" s="509" t="s">
        <v>399</v>
      </c>
      <c r="C55" s="509" t="s">
        <v>301</v>
      </c>
      <c r="D55" s="74" t="s">
        <v>134</v>
      </c>
      <c r="E55" s="402"/>
      <c r="F55" s="401"/>
      <c r="G55" s="401"/>
      <c r="H55" s="401"/>
      <c r="I55" s="401"/>
      <c r="J55" s="75">
        <v>370</v>
      </c>
      <c r="K55" s="404"/>
      <c r="L55" s="401" t="s">
        <v>977</v>
      </c>
      <c r="M55" s="405" t="s">
        <v>978</v>
      </c>
      <c r="N55" s="75" t="s">
        <v>30</v>
      </c>
      <c r="O55" s="405"/>
      <c r="P55" s="405"/>
      <c r="Q55" s="405"/>
      <c r="R55" s="405"/>
      <c r="S55" s="75" t="s">
        <v>397</v>
      </c>
      <c r="T55" s="75" t="s">
        <v>554</v>
      </c>
    </row>
    <row r="56" spans="1:20">
      <c r="A56" s="401">
        <f t="shared" si="1"/>
        <v>51</v>
      </c>
      <c r="B56" s="509" t="s">
        <v>403</v>
      </c>
      <c r="C56" s="509" t="s">
        <v>153</v>
      </c>
      <c r="D56" s="74" t="s">
        <v>134</v>
      </c>
      <c r="E56" s="402"/>
      <c r="F56" s="401"/>
      <c r="G56" s="401"/>
      <c r="H56" s="401"/>
      <c r="I56" s="401"/>
      <c r="J56" s="75">
        <v>307</v>
      </c>
      <c r="K56" s="404"/>
      <c r="L56" s="401" t="s">
        <v>977</v>
      </c>
      <c r="M56" s="405" t="s">
        <v>978</v>
      </c>
      <c r="N56" s="405" t="s">
        <v>30</v>
      </c>
      <c r="O56" s="405"/>
      <c r="P56" s="405"/>
      <c r="Q56" s="405"/>
      <c r="R56" s="405"/>
      <c r="S56" s="75" t="s">
        <v>406</v>
      </c>
      <c r="T56" s="75" t="s">
        <v>554</v>
      </c>
    </row>
    <row r="57" spans="1:20">
      <c r="A57" s="401">
        <f t="shared" si="1"/>
        <v>52</v>
      </c>
      <c r="B57" s="509" t="s">
        <v>407</v>
      </c>
      <c r="C57" s="509" t="s">
        <v>153</v>
      </c>
      <c r="D57" s="74" t="s">
        <v>134</v>
      </c>
      <c r="E57" s="402"/>
      <c r="F57" s="401"/>
      <c r="G57" s="401"/>
      <c r="H57" s="401"/>
      <c r="I57" s="401"/>
      <c r="J57" s="75">
        <v>291</v>
      </c>
      <c r="K57" s="404"/>
      <c r="L57" s="401"/>
      <c r="M57" s="405" t="s">
        <v>29</v>
      </c>
      <c r="N57" s="405" t="s">
        <v>41</v>
      </c>
      <c r="O57" s="405"/>
      <c r="P57" s="405"/>
      <c r="Q57" s="405"/>
      <c r="R57" s="405"/>
      <c r="S57" s="75" t="s">
        <v>406</v>
      </c>
      <c r="T57" s="75" t="s">
        <v>554</v>
      </c>
    </row>
    <row r="58" spans="1:20">
      <c r="A58" s="401">
        <f t="shared" si="1"/>
        <v>53</v>
      </c>
      <c r="B58" s="509" t="s">
        <v>411</v>
      </c>
      <c r="C58" s="509" t="s">
        <v>153</v>
      </c>
      <c r="D58" s="74" t="s">
        <v>134</v>
      </c>
      <c r="E58" s="402"/>
      <c r="F58" s="401"/>
      <c r="G58" s="401"/>
      <c r="H58" s="401"/>
      <c r="I58" s="401"/>
      <c r="J58" s="75">
        <v>334.029</v>
      </c>
      <c r="K58" s="404"/>
      <c r="L58" s="401"/>
      <c r="M58" s="405" t="s">
        <v>29</v>
      </c>
      <c r="N58" s="75" t="s">
        <v>30</v>
      </c>
      <c r="O58" s="405" t="s">
        <v>29</v>
      </c>
      <c r="P58" s="405" t="s">
        <v>29</v>
      </c>
      <c r="Q58" s="405" t="s">
        <v>1837</v>
      </c>
      <c r="R58" s="405"/>
      <c r="S58" s="75" t="s">
        <v>406</v>
      </c>
      <c r="T58" s="75" t="s">
        <v>554</v>
      </c>
    </row>
    <row r="59" spans="1:20">
      <c r="A59" s="401">
        <f t="shared" si="1"/>
        <v>54</v>
      </c>
      <c r="B59" s="509" t="s">
        <v>416</v>
      </c>
      <c r="C59" s="509" t="s">
        <v>344</v>
      </c>
      <c r="D59" s="74" t="s">
        <v>417</v>
      </c>
      <c r="E59" s="402"/>
      <c r="F59" s="401"/>
      <c r="G59" s="401"/>
      <c r="H59" s="401"/>
      <c r="I59" s="401"/>
      <c r="J59" s="75">
        <v>266</v>
      </c>
      <c r="K59" s="404"/>
      <c r="L59" s="401"/>
      <c r="M59" s="405" t="s">
        <v>29</v>
      </c>
      <c r="N59" s="75" t="s">
        <v>30</v>
      </c>
      <c r="O59" s="405" t="s">
        <v>29</v>
      </c>
      <c r="P59" s="405" t="s">
        <v>29</v>
      </c>
      <c r="Q59" s="405" t="s">
        <v>1894</v>
      </c>
      <c r="R59" s="405"/>
      <c r="S59" s="75" t="s">
        <v>406</v>
      </c>
      <c r="T59" s="75" t="s">
        <v>554</v>
      </c>
    </row>
    <row r="60" spans="1:20">
      <c r="A60" s="401">
        <f t="shared" si="1"/>
        <v>55</v>
      </c>
      <c r="B60" s="509" t="s">
        <v>421</v>
      </c>
      <c r="C60" s="74" t="s">
        <v>153</v>
      </c>
      <c r="D60" s="74" t="s">
        <v>134</v>
      </c>
      <c r="E60" s="402"/>
      <c r="F60" s="401"/>
      <c r="G60" s="401"/>
      <c r="H60" s="401"/>
      <c r="I60" s="401"/>
      <c r="J60" s="75">
        <v>255.44499999999999</v>
      </c>
      <c r="K60" s="404"/>
      <c r="L60" s="401"/>
      <c r="M60" s="405" t="s">
        <v>29</v>
      </c>
      <c r="N60" s="75" t="s">
        <v>30</v>
      </c>
      <c r="O60" s="405" t="s">
        <v>29</v>
      </c>
      <c r="P60" s="405"/>
      <c r="Q60" s="405"/>
      <c r="R60" s="405"/>
      <c r="S60" s="75" t="s">
        <v>406</v>
      </c>
      <c r="T60" s="75" t="s">
        <v>554</v>
      </c>
    </row>
    <row r="61" spans="1:20">
      <c r="A61" s="401">
        <f t="shared" si="1"/>
        <v>56</v>
      </c>
      <c r="B61" s="509" t="s">
        <v>71</v>
      </c>
      <c r="C61" s="74" t="s">
        <v>133</v>
      </c>
      <c r="D61" s="74" t="s">
        <v>426</v>
      </c>
      <c r="E61" s="402"/>
      <c r="F61" s="401"/>
      <c r="G61" s="401"/>
      <c r="H61" s="401"/>
      <c r="I61" s="401"/>
      <c r="J61" s="75">
        <v>351</v>
      </c>
      <c r="K61" s="404"/>
      <c r="L61" s="401"/>
      <c r="M61" s="405" t="s">
        <v>29</v>
      </c>
      <c r="N61" s="405" t="s">
        <v>30</v>
      </c>
      <c r="O61" s="405" t="s">
        <v>29</v>
      </c>
      <c r="P61" s="405" t="s">
        <v>29</v>
      </c>
      <c r="Q61" s="405" t="s">
        <v>1837</v>
      </c>
      <c r="R61" s="405"/>
      <c r="S61" s="75" t="s">
        <v>406</v>
      </c>
      <c r="T61" s="75" t="s">
        <v>554</v>
      </c>
    </row>
    <row r="62" spans="1:20">
      <c r="A62" s="401">
        <f t="shared" si="1"/>
        <v>57</v>
      </c>
      <c r="B62" s="509" t="s">
        <v>430</v>
      </c>
      <c r="C62" s="74" t="s">
        <v>301</v>
      </c>
      <c r="D62" s="74" t="s">
        <v>134</v>
      </c>
      <c r="E62" s="402"/>
      <c r="F62" s="401"/>
      <c r="G62" s="401"/>
      <c r="H62" s="401"/>
      <c r="I62" s="401"/>
      <c r="J62" s="75">
        <v>422.029</v>
      </c>
      <c r="K62" s="404"/>
      <c r="L62" s="401"/>
      <c r="M62" s="405" t="s">
        <v>29</v>
      </c>
      <c r="N62" s="405" t="s">
        <v>30</v>
      </c>
      <c r="O62" s="405" t="s">
        <v>29</v>
      </c>
      <c r="P62" s="405"/>
      <c r="Q62" s="405"/>
      <c r="R62" s="405"/>
      <c r="S62" s="75" t="s">
        <v>433</v>
      </c>
      <c r="T62" s="75" t="s">
        <v>554</v>
      </c>
    </row>
    <row r="63" spans="1:20">
      <c r="A63" s="401">
        <f t="shared" si="1"/>
        <v>58</v>
      </c>
      <c r="B63" s="509" t="s">
        <v>436</v>
      </c>
      <c r="C63" s="74" t="s">
        <v>437</v>
      </c>
      <c r="D63" s="74" t="s">
        <v>438</v>
      </c>
      <c r="E63" s="402"/>
      <c r="F63" s="401"/>
      <c r="G63" s="401"/>
      <c r="H63" s="401"/>
      <c r="I63" s="401"/>
      <c r="J63" s="75">
        <v>384.08600000000001</v>
      </c>
      <c r="K63" s="404"/>
      <c r="L63" s="401"/>
      <c r="M63" s="405" t="s">
        <v>29</v>
      </c>
      <c r="N63" s="75" t="s">
        <v>30</v>
      </c>
      <c r="O63" s="405" t="s">
        <v>29</v>
      </c>
      <c r="P63" s="405"/>
      <c r="Q63" s="405"/>
      <c r="R63" s="405"/>
      <c r="S63" s="75" t="s">
        <v>441</v>
      </c>
      <c r="T63" s="75" t="s">
        <v>554</v>
      </c>
    </row>
    <row r="64" spans="1:20">
      <c r="A64" s="401">
        <f t="shared" si="1"/>
        <v>59</v>
      </c>
      <c r="B64" s="509" t="s">
        <v>443</v>
      </c>
      <c r="C64" s="74" t="s">
        <v>133</v>
      </c>
      <c r="D64" s="74" t="s">
        <v>444</v>
      </c>
      <c r="E64" s="402"/>
      <c r="F64" s="401"/>
      <c r="G64" s="401"/>
      <c r="H64" s="401"/>
      <c r="I64" s="401"/>
      <c r="J64" s="75">
        <v>366.15100000000001</v>
      </c>
      <c r="K64" s="404"/>
      <c r="L64" s="401"/>
      <c r="M64" s="405" t="s">
        <v>29</v>
      </c>
      <c r="N64" s="75" t="s">
        <v>30</v>
      </c>
      <c r="O64" s="405" t="s">
        <v>29</v>
      </c>
      <c r="P64" s="405"/>
      <c r="Q64" s="405"/>
      <c r="R64" s="405"/>
      <c r="S64" s="75" t="s">
        <v>433</v>
      </c>
      <c r="T64" s="75" t="s">
        <v>554</v>
      </c>
    </row>
    <row r="65" spans="1:20">
      <c r="A65" s="401">
        <f t="shared" si="1"/>
        <v>60</v>
      </c>
      <c r="B65" s="509" t="s">
        <v>72</v>
      </c>
      <c r="C65" s="74" t="s">
        <v>337</v>
      </c>
      <c r="D65" s="74" t="s">
        <v>449</v>
      </c>
      <c r="E65" s="402"/>
      <c r="F65" s="401"/>
      <c r="G65" s="401"/>
      <c r="H65" s="401"/>
      <c r="I65" s="401"/>
      <c r="J65" s="75">
        <v>358</v>
      </c>
      <c r="K65" s="404"/>
      <c r="L65" s="401"/>
      <c r="M65" s="405" t="s">
        <v>29</v>
      </c>
      <c r="N65" s="75" t="s">
        <v>30</v>
      </c>
      <c r="O65" s="405" t="s">
        <v>29</v>
      </c>
      <c r="P65" s="405"/>
      <c r="Q65" s="405"/>
      <c r="R65" s="405"/>
      <c r="S65" s="75" t="s">
        <v>441</v>
      </c>
      <c r="T65" s="75" t="s">
        <v>554</v>
      </c>
    </row>
    <row r="66" spans="1:20">
      <c r="A66" s="401">
        <f t="shared" si="1"/>
        <v>61</v>
      </c>
      <c r="B66" s="323" t="s">
        <v>452</v>
      </c>
      <c r="C66" s="323" t="s">
        <v>301</v>
      </c>
      <c r="D66" s="323" t="s">
        <v>134</v>
      </c>
      <c r="E66" s="448"/>
      <c r="F66" s="449"/>
      <c r="G66" s="449"/>
      <c r="H66" s="449"/>
      <c r="I66" s="449"/>
      <c r="J66" s="324">
        <v>404.49700000000001</v>
      </c>
      <c r="K66" s="404"/>
      <c r="L66" s="449"/>
      <c r="M66" s="405" t="s">
        <v>29</v>
      </c>
      <c r="N66" s="75" t="s">
        <v>30</v>
      </c>
      <c r="O66" s="405" t="s">
        <v>29</v>
      </c>
      <c r="P66" s="405" t="s">
        <v>29</v>
      </c>
      <c r="Q66" s="405" t="s">
        <v>1837</v>
      </c>
      <c r="R66" s="450"/>
      <c r="S66" s="75" t="s">
        <v>441</v>
      </c>
      <c r="T66" s="75" t="s">
        <v>554</v>
      </c>
    </row>
    <row r="67" spans="1:20">
      <c r="A67" s="401">
        <f t="shared" si="1"/>
        <v>62</v>
      </c>
      <c r="B67" s="509" t="s">
        <v>457</v>
      </c>
      <c r="C67" s="74" t="s">
        <v>344</v>
      </c>
      <c r="D67" s="74" t="s">
        <v>458</v>
      </c>
      <c r="E67" s="405"/>
      <c r="F67" s="401"/>
      <c r="G67" s="401"/>
      <c r="H67" s="401"/>
      <c r="I67" s="401"/>
      <c r="J67" s="75">
        <v>339.16199999999998</v>
      </c>
      <c r="K67" s="404"/>
      <c r="L67" s="401"/>
      <c r="M67" s="405"/>
      <c r="N67" s="405"/>
      <c r="O67" s="405"/>
      <c r="P67" s="405"/>
      <c r="Q67" s="405"/>
      <c r="R67" s="405"/>
      <c r="S67" s="75" t="s">
        <v>461</v>
      </c>
      <c r="T67" s="75" t="s">
        <v>554</v>
      </c>
    </row>
    <row r="68" spans="1:20">
      <c r="A68" s="401">
        <f t="shared" si="1"/>
        <v>63</v>
      </c>
      <c r="B68" s="74" t="s">
        <v>73</v>
      </c>
      <c r="C68" s="74" t="s">
        <v>133</v>
      </c>
      <c r="D68" s="74" t="s">
        <v>464</v>
      </c>
      <c r="E68" s="405"/>
      <c r="F68" s="401"/>
      <c r="G68" s="401"/>
      <c r="H68" s="401"/>
      <c r="I68" s="401"/>
      <c r="J68" s="75" t="s">
        <v>876</v>
      </c>
      <c r="K68" s="404"/>
      <c r="L68" s="401"/>
      <c r="M68" s="75" t="s">
        <v>951</v>
      </c>
      <c r="N68" s="405"/>
      <c r="O68" s="405"/>
      <c r="P68" s="405"/>
      <c r="Q68" s="405"/>
      <c r="R68" s="405"/>
      <c r="S68" s="75" t="s">
        <v>467</v>
      </c>
      <c r="T68" s="75" t="s">
        <v>554</v>
      </c>
    </row>
    <row r="69" spans="1:20">
      <c r="A69" s="401">
        <f t="shared" si="1"/>
        <v>64</v>
      </c>
      <c r="B69" s="74" t="s">
        <v>132</v>
      </c>
      <c r="C69" s="74" t="s">
        <v>133</v>
      </c>
      <c r="D69" s="74" t="s">
        <v>1861</v>
      </c>
      <c r="E69" s="405"/>
      <c r="F69" s="401"/>
      <c r="G69" s="401"/>
      <c r="H69" s="401"/>
      <c r="I69" s="401"/>
      <c r="J69" s="75">
        <v>106.18</v>
      </c>
      <c r="K69" s="404"/>
      <c r="L69" s="401"/>
      <c r="M69" s="75" t="s">
        <v>951</v>
      </c>
      <c r="N69" s="405"/>
      <c r="O69" s="405"/>
      <c r="P69" s="405"/>
      <c r="Q69" s="405"/>
      <c r="R69" s="405"/>
      <c r="S69" s="75"/>
      <c r="T69" s="75"/>
    </row>
    <row r="70" spans="1:20">
      <c r="A70" s="401">
        <f t="shared" si="1"/>
        <v>65</v>
      </c>
      <c r="B70" s="74" t="s">
        <v>141</v>
      </c>
      <c r="C70" s="74" t="s">
        <v>133</v>
      </c>
      <c r="D70" s="74" t="s">
        <v>1862</v>
      </c>
      <c r="E70" s="405"/>
      <c r="F70" s="401"/>
      <c r="G70" s="401"/>
      <c r="H70" s="401"/>
      <c r="I70" s="401"/>
      <c r="J70" s="75">
        <v>224.28800000000001</v>
      </c>
      <c r="K70" s="404"/>
      <c r="L70" s="401"/>
      <c r="M70" s="75" t="s">
        <v>951</v>
      </c>
      <c r="N70" s="405"/>
      <c r="O70" s="405"/>
      <c r="P70" s="405"/>
      <c r="Q70" s="405"/>
      <c r="R70" s="405"/>
      <c r="S70" s="75"/>
      <c r="T70" s="75"/>
    </row>
    <row r="71" spans="1:20">
      <c r="A71" s="401">
        <f t="shared" si="1"/>
        <v>66</v>
      </c>
      <c r="B71" s="74" t="s">
        <v>147</v>
      </c>
      <c r="C71" s="74" t="s">
        <v>245</v>
      </c>
      <c r="D71" s="74" t="s">
        <v>1863</v>
      </c>
      <c r="E71" s="405"/>
      <c r="F71" s="401"/>
      <c r="G71" s="401"/>
      <c r="H71" s="401"/>
      <c r="I71" s="401"/>
      <c r="J71" s="117">
        <v>422</v>
      </c>
      <c r="K71" s="404"/>
      <c r="L71" s="401"/>
      <c r="M71" s="75" t="s">
        <v>951</v>
      </c>
      <c r="N71" s="405"/>
      <c r="O71" s="405"/>
      <c r="P71" s="405"/>
      <c r="Q71" s="405"/>
      <c r="R71" s="405"/>
      <c r="S71" s="75"/>
      <c r="T71" s="75"/>
    </row>
    <row r="72" spans="1:20">
      <c r="A72" s="401">
        <f t="shared" si="1"/>
        <v>67</v>
      </c>
      <c r="B72" s="74" t="s">
        <v>152</v>
      </c>
      <c r="C72" s="74" t="s">
        <v>251</v>
      </c>
      <c r="D72" s="74" t="s">
        <v>134</v>
      </c>
      <c r="E72" s="405"/>
      <c r="F72" s="401"/>
      <c r="G72" s="401"/>
      <c r="H72" s="401"/>
      <c r="I72" s="401"/>
      <c r="J72" s="75">
        <v>364.19499999999999</v>
      </c>
      <c r="K72" s="404"/>
      <c r="L72" s="401"/>
      <c r="M72" s="75" t="s">
        <v>951</v>
      </c>
      <c r="N72" s="405"/>
      <c r="O72" s="405"/>
      <c r="P72" s="405"/>
      <c r="Q72" s="405"/>
      <c r="R72" s="405"/>
      <c r="S72" s="75"/>
      <c r="T72" s="75"/>
    </row>
    <row r="73" spans="1:20">
      <c r="A73" s="401">
        <f t="shared" si="1"/>
        <v>68</v>
      </c>
      <c r="B73" s="74" t="s">
        <v>166</v>
      </c>
      <c r="C73" s="74" t="s">
        <v>245</v>
      </c>
      <c r="D73" s="74" t="s">
        <v>1864</v>
      </c>
      <c r="E73" s="405"/>
      <c r="F73" s="401"/>
      <c r="G73" s="401"/>
      <c r="H73" s="401"/>
      <c r="I73" s="401"/>
      <c r="J73" s="75">
        <v>397.75299999999999</v>
      </c>
      <c r="K73" s="404"/>
      <c r="L73" s="401"/>
      <c r="M73" s="405" t="s">
        <v>29</v>
      </c>
      <c r="N73" s="405" t="s">
        <v>41</v>
      </c>
      <c r="O73" s="405" t="s">
        <v>29</v>
      </c>
      <c r="P73" s="405"/>
      <c r="Q73" s="405"/>
      <c r="R73" s="405"/>
      <c r="S73" s="75"/>
      <c r="T73" s="75"/>
    </row>
    <row r="74" spans="1:20">
      <c r="A74" s="401">
        <f t="shared" si="1"/>
        <v>69</v>
      </c>
      <c r="B74" s="74" t="s">
        <v>174</v>
      </c>
      <c r="C74" s="74" t="s">
        <v>133</v>
      </c>
      <c r="D74" s="74" t="s">
        <v>1865</v>
      </c>
      <c r="E74" s="405"/>
      <c r="F74" s="401"/>
      <c r="G74" s="401"/>
      <c r="H74" s="401"/>
      <c r="I74" s="401"/>
      <c r="J74" s="75">
        <v>253</v>
      </c>
      <c r="K74" s="404"/>
      <c r="L74" s="401"/>
      <c r="M74" s="75" t="s">
        <v>951</v>
      </c>
      <c r="N74" s="405"/>
      <c r="O74" s="405"/>
      <c r="P74" s="405"/>
      <c r="Q74" s="405"/>
      <c r="R74" s="405"/>
      <c r="S74" s="75"/>
      <c r="T74" s="75"/>
    </row>
    <row r="75" spans="1:20">
      <c r="A75" s="401">
        <f t="shared" ref="A75:A133" si="2">A74+1</f>
        <v>70</v>
      </c>
      <c r="B75" s="74" t="s">
        <v>1859</v>
      </c>
      <c r="C75" s="74" t="s">
        <v>133</v>
      </c>
      <c r="D75" s="74" t="s">
        <v>134</v>
      </c>
      <c r="E75" s="405"/>
      <c r="F75" s="401"/>
      <c r="G75" s="401"/>
      <c r="H75" s="401"/>
      <c r="I75" s="401"/>
      <c r="J75" s="75">
        <v>97.983000000000004</v>
      </c>
      <c r="K75" s="404"/>
      <c r="L75" s="401"/>
      <c r="M75" s="75" t="s">
        <v>951</v>
      </c>
      <c r="N75" s="405"/>
      <c r="O75" s="405"/>
      <c r="P75" s="405"/>
      <c r="Q75" s="405"/>
      <c r="R75" s="405"/>
      <c r="S75" s="75"/>
      <c r="T75" s="75"/>
    </row>
    <row r="76" spans="1:20">
      <c r="A76" s="401">
        <f t="shared" si="2"/>
        <v>71</v>
      </c>
      <c r="B76" s="74" t="s">
        <v>181</v>
      </c>
      <c r="C76" s="74" t="s">
        <v>1860</v>
      </c>
      <c r="D76" s="74" t="s">
        <v>1866</v>
      </c>
      <c r="E76" s="405"/>
      <c r="F76" s="401"/>
      <c r="G76" s="401"/>
      <c r="H76" s="401"/>
      <c r="I76" s="401"/>
      <c r="J76" s="75">
        <v>184.709</v>
      </c>
      <c r="K76" s="404"/>
      <c r="L76" s="401"/>
      <c r="M76" s="75" t="s">
        <v>951</v>
      </c>
      <c r="N76" s="405"/>
      <c r="O76" s="405"/>
      <c r="P76" s="405"/>
      <c r="Q76" s="405"/>
      <c r="R76" s="405"/>
      <c r="S76" s="75"/>
      <c r="T76" s="75"/>
    </row>
    <row r="77" spans="1:20">
      <c r="A77" s="401">
        <f t="shared" si="2"/>
        <v>72</v>
      </c>
      <c r="B77" s="74" t="s">
        <v>64</v>
      </c>
      <c r="C77" s="74" t="s">
        <v>193</v>
      </c>
      <c r="D77" s="74" t="s">
        <v>1867</v>
      </c>
      <c r="E77" s="405"/>
      <c r="F77" s="401"/>
      <c r="G77" s="401"/>
      <c r="H77" s="401"/>
      <c r="I77" s="401"/>
      <c r="J77" s="75">
        <v>165.679</v>
      </c>
      <c r="K77" s="404"/>
      <c r="L77" s="401"/>
      <c r="M77" s="75" t="s">
        <v>951</v>
      </c>
      <c r="N77" s="405"/>
      <c r="O77" s="405"/>
      <c r="P77" s="405"/>
      <c r="Q77" s="405"/>
      <c r="R77" s="405"/>
      <c r="S77" s="75"/>
      <c r="T77" s="75"/>
    </row>
    <row r="78" spans="1:20">
      <c r="A78" s="401">
        <f t="shared" si="2"/>
        <v>73</v>
      </c>
      <c r="B78" s="74" t="s">
        <v>65</v>
      </c>
      <c r="C78" s="74" t="s">
        <v>133</v>
      </c>
      <c r="D78" s="74" t="s">
        <v>862</v>
      </c>
      <c r="E78" s="405"/>
      <c r="F78" s="401"/>
      <c r="G78" s="401"/>
      <c r="H78" s="401"/>
      <c r="I78" s="401"/>
      <c r="J78" s="75">
        <v>181.22300000000001</v>
      </c>
      <c r="K78" s="404"/>
      <c r="L78" s="401"/>
      <c r="M78" s="75" t="s">
        <v>951</v>
      </c>
      <c r="N78" s="405"/>
      <c r="O78" s="405"/>
      <c r="P78" s="405"/>
      <c r="Q78" s="405"/>
      <c r="R78" s="405"/>
      <c r="S78" s="75"/>
      <c r="T78" s="75"/>
    </row>
    <row r="79" spans="1:20">
      <c r="A79" s="401">
        <f t="shared" si="2"/>
        <v>74</v>
      </c>
      <c r="B79" s="74" t="s">
        <v>213</v>
      </c>
      <c r="C79" s="74" t="s">
        <v>193</v>
      </c>
      <c r="D79" s="74" t="s">
        <v>857</v>
      </c>
      <c r="E79" s="405"/>
      <c r="F79" s="401"/>
      <c r="G79" s="401"/>
      <c r="H79" s="401"/>
      <c r="I79" s="401"/>
      <c r="J79" s="75">
        <v>205.952</v>
      </c>
      <c r="K79" s="404"/>
      <c r="L79" s="401"/>
      <c r="M79" s="405"/>
      <c r="N79" s="405"/>
      <c r="O79" s="405"/>
      <c r="P79" s="405"/>
      <c r="Q79" s="405"/>
      <c r="R79" s="405"/>
      <c r="S79" s="75" t="s">
        <v>854</v>
      </c>
      <c r="T79" s="75"/>
    </row>
    <row r="80" spans="1:20">
      <c r="A80" s="401">
        <f t="shared" si="2"/>
        <v>75</v>
      </c>
      <c r="B80" s="74" t="s">
        <v>66</v>
      </c>
      <c r="C80" s="74" t="s">
        <v>133</v>
      </c>
      <c r="D80" s="74" t="s">
        <v>852</v>
      </c>
      <c r="E80" s="405"/>
      <c r="F80" s="401"/>
      <c r="G80" s="401"/>
      <c r="H80" s="401"/>
      <c r="I80" s="401"/>
      <c r="J80" s="75">
        <v>311.52300000000002</v>
      </c>
      <c r="K80" s="404"/>
      <c r="L80" s="401"/>
      <c r="M80" s="405"/>
      <c r="N80" s="405"/>
      <c r="O80" s="405"/>
      <c r="P80" s="405"/>
      <c r="Q80" s="405"/>
      <c r="R80" s="405"/>
      <c r="S80" s="75" t="s">
        <v>844</v>
      </c>
      <c r="T80" s="75"/>
    </row>
    <row r="81" spans="1:20">
      <c r="A81" s="401">
        <f t="shared" si="2"/>
        <v>76</v>
      </c>
      <c r="B81" s="74" t="s">
        <v>224</v>
      </c>
      <c r="C81" s="74" t="s">
        <v>133</v>
      </c>
      <c r="D81" s="74" t="s">
        <v>847</v>
      </c>
      <c r="E81" s="405"/>
      <c r="F81" s="401"/>
      <c r="G81" s="401"/>
      <c r="H81" s="401"/>
      <c r="I81" s="401"/>
      <c r="J81" s="75">
        <v>241.03299999999999</v>
      </c>
      <c r="K81" s="404"/>
      <c r="L81" s="401"/>
      <c r="M81" s="405" t="s">
        <v>951</v>
      </c>
      <c r="N81" s="405"/>
      <c r="O81" s="405"/>
      <c r="P81" s="405"/>
      <c r="Q81" s="405"/>
      <c r="R81" s="405"/>
      <c r="S81" s="75" t="s">
        <v>844</v>
      </c>
      <c r="T81" s="75"/>
    </row>
    <row r="82" spans="1:20">
      <c r="A82" s="401">
        <f t="shared" si="2"/>
        <v>77</v>
      </c>
      <c r="B82" s="74" t="s">
        <v>67</v>
      </c>
      <c r="C82" s="74" t="s">
        <v>193</v>
      </c>
      <c r="D82" s="74" t="s">
        <v>842</v>
      </c>
      <c r="E82" s="405"/>
      <c r="F82" s="401"/>
      <c r="G82" s="401"/>
      <c r="H82" s="401"/>
      <c r="I82" s="401"/>
      <c r="J82" s="75">
        <v>130.69900000000001</v>
      </c>
      <c r="K82" s="404"/>
      <c r="L82" s="401"/>
      <c r="M82" s="405" t="s">
        <v>951</v>
      </c>
      <c r="N82" s="405"/>
      <c r="O82" s="405"/>
      <c r="P82" s="405"/>
      <c r="Q82" s="405"/>
      <c r="R82" s="405"/>
      <c r="S82" s="75" t="s">
        <v>834</v>
      </c>
      <c r="T82" s="75"/>
    </row>
    <row r="83" spans="1:20">
      <c r="A83" s="401">
        <f t="shared" si="2"/>
        <v>78</v>
      </c>
      <c r="B83" s="74" t="s">
        <v>68</v>
      </c>
      <c r="C83" s="74" t="s">
        <v>133</v>
      </c>
      <c r="D83" s="74" t="s">
        <v>837</v>
      </c>
      <c r="E83" s="405"/>
      <c r="F83" s="401"/>
      <c r="G83" s="401"/>
      <c r="H83" s="401"/>
      <c r="I83" s="401"/>
      <c r="J83" s="75">
        <v>318.82499999999999</v>
      </c>
      <c r="K83" s="404"/>
      <c r="L83" s="401"/>
      <c r="M83" s="405" t="s">
        <v>951</v>
      </c>
      <c r="N83" s="405"/>
      <c r="O83" s="405"/>
      <c r="P83" s="405"/>
      <c r="Q83" s="405"/>
      <c r="R83" s="405"/>
      <c r="S83" s="75" t="s">
        <v>834</v>
      </c>
      <c r="T83" s="75"/>
    </row>
    <row r="84" spans="1:20">
      <c r="A84" s="401">
        <f t="shared" si="2"/>
        <v>79</v>
      </c>
      <c r="B84" s="74" t="s">
        <v>56</v>
      </c>
      <c r="C84" s="609" t="s">
        <v>167</v>
      </c>
      <c r="D84" s="74" t="s">
        <v>831</v>
      </c>
      <c r="E84" s="405"/>
      <c r="F84" s="401"/>
      <c r="G84" s="401"/>
      <c r="H84" s="401"/>
      <c r="I84" s="401"/>
      <c r="J84" s="75">
        <v>205.018</v>
      </c>
      <c r="K84" s="404"/>
      <c r="L84" s="401"/>
      <c r="M84" s="405" t="s">
        <v>951</v>
      </c>
      <c r="N84" s="405"/>
      <c r="O84" s="405"/>
      <c r="P84" s="405"/>
      <c r="Q84" s="405"/>
      <c r="R84" s="405"/>
      <c r="S84" s="75" t="s">
        <v>138</v>
      </c>
      <c r="T84" s="75"/>
    </row>
    <row r="85" spans="1:20">
      <c r="A85" s="401">
        <f t="shared" si="2"/>
        <v>80</v>
      </c>
      <c r="B85" s="74" t="s">
        <v>60</v>
      </c>
      <c r="C85" s="74" t="s">
        <v>133</v>
      </c>
      <c r="D85" s="74" t="s">
        <v>828</v>
      </c>
      <c r="E85" s="405"/>
      <c r="F85" s="401"/>
      <c r="G85" s="401"/>
      <c r="H85" s="401"/>
      <c r="I85" s="401"/>
      <c r="J85" s="75">
        <v>136.578</v>
      </c>
      <c r="K85" s="404"/>
      <c r="L85" s="401"/>
      <c r="M85" s="405" t="s">
        <v>951</v>
      </c>
      <c r="N85" s="405"/>
      <c r="O85" s="405"/>
      <c r="P85" s="405"/>
      <c r="Q85" s="405"/>
      <c r="R85" s="405"/>
      <c r="S85" s="75" t="s">
        <v>138</v>
      </c>
      <c r="T85" s="75"/>
    </row>
    <row r="86" spans="1:20">
      <c r="A86" s="401">
        <f t="shared" si="2"/>
        <v>81</v>
      </c>
      <c r="B86" s="74" t="s">
        <v>55</v>
      </c>
      <c r="C86" s="609" t="s">
        <v>264</v>
      </c>
      <c r="D86" s="74" t="s">
        <v>824</v>
      </c>
      <c r="E86" s="405"/>
      <c r="F86" s="401"/>
      <c r="G86" s="401"/>
      <c r="H86" s="401"/>
      <c r="I86" s="401"/>
      <c r="J86" s="74">
        <v>134.69</v>
      </c>
      <c r="K86" s="404"/>
      <c r="L86" s="401"/>
      <c r="M86" s="405" t="s">
        <v>951</v>
      </c>
      <c r="N86" s="405"/>
      <c r="O86" s="405"/>
      <c r="P86" s="405"/>
      <c r="Q86" s="405"/>
      <c r="R86" s="405"/>
      <c r="S86" s="75" t="s">
        <v>821</v>
      </c>
      <c r="T86" s="75"/>
    </row>
    <row r="87" spans="1:20">
      <c r="A87" s="401">
        <f t="shared" si="2"/>
        <v>82</v>
      </c>
      <c r="B87" s="74" t="s">
        <v>59</v>
      </c>
      <c r="C87" s="74" t="s">
        <v>281</v>
      </c>
      <c r="D87" s="74" t="s">
        <v>1868</v>
      </c>
      <c r="E87" s="405"/>
      <c r="F87" s="401"/>
      <c r="G87" s="401"/>
      <c r="H87" s="401"/>
      <c r="I87" s="401"/>
      <c r="J87" s="74">
        <v>254</v>
      </c>
      <c r="K87" s="404"/>
      <c r="L87" s="401"/>
      <c r="M87" s="405" t="s">
        <v>951</v>
      </c>
      <c r="N87" s="405"/>
      <c r="O87" s="405"/>
      <c r="P87" s="405"/>
      <c r="Q87" s="405"/>
      <c r="R87" s="405"/>
      <c r="S87" s="75"/>
      <c r="T87" s="75"/>
    </row>
    <row r="88" spans="1:20">
      <c r="A88" s="401">
        <f t="shared" si="2"/>
        <v>83</v>
      </c>
      <c r="B88" s="74" t="s">
        <v>2072</v>
      </c>
      <c r="C88" s="74" t="s">
        <v>344</v>
      </c>
      <c r="D88" s="74" t="s">
        <v>1869</v>
      </c>
      <c r="E88" s="405"/>
      <c r="F88" s="401"/>
      <c r="G88" s="401"/>
      <c r="H88" s="401"/>
      <c r="I88" s="401"/>
      <c r="J88" s="74">
        <v>209.69</v>
      </c>
      <c r="K88" s="404"/>
      <c r="L88" s="401"/>
      <c r="M88" s="405" t="s">
        <v>978</v>
      </c>
      <c r="N88" s="405" t="s">
        <v>1186</v>
      </c>
      <c r="O88" s="405"/>
      <c r="P88" s="405"/>
      <c r="Q88" s="405"/>
      <c r="R88" s="405"/>
      <c r="S88" s="75"/>
      <c r="T88" s="75"/>
    </row>
    <row r="89" spans="1:20">
      <c r="A89" s="401">
        <f t="shared" si="2"/>
        <v>84</v>
      </c>
      <c r="B89" s="74" t="s">
        <v>46</v>
      </c>
      <c r="C89" s="74" t="s">
        <v>167</v>
      </c>
      <c r="D89" s="74" t="s">
        <v>1870</v>
      </c>
      <c r="E89" s="405"/>
      <c r="F89" s="401"/>
      <c r="G89" s="401"/>
      <c r="H89" s="401"/>
      <c r="I89" s="401"/>
      <c r="J89" s="74">
        <v>268.08</v>
      </c>
      <c r="K89" s="404"/>
      <c r="L89" s="401"/>
      <c r="M89" s="405" t="s">
        <v>29</v>
      </c>
      <c r="N89" s="405" t="s">
        <v>1186</v>
      </c>
      <c r="O89" s="405"/>
      <c r="P89" s="405"/>
      <c r="Q89" s="405"/>
      <c r="R89" s="405"/>
      <c r="S89" s="75"/>
      <c r="T89" s="75"/>
    </row>
    <row r="90" spans="1:20">
      <c r="A90" s="401">
        <f t="shared" si="2"/>
        <v>85</v>
      </c>
      <c r="B90" s="74" t="s">
        <v>326</v>
      </c>
      <c r="C90" s="74" t="s">
        <v>133</v>
      </c>
      <c r="D90" s="74" t="s">
        <v>1871</v>
      </c>
      <c r="E90" s="405"/>
      <c r="F90" s="401"/>
      <c r="G90" s="401"/>
      <c r="H90" s="401"/>
      <c r="I90" s="401"/>
      <c r="J90" s="74">
        <v>323.24</v>
      </c>
      <c r="K90" s="404"/>
      <c r="L90" s="401"/>
      <c r="M90" s="405" t="s">
        <v>29</v>
      </c>
      <c r="N90" s="405" t="s">
        <v>41</v>
      </c>
      <c r="O90" s="405"/>
      <c r="P90" s="405" t="s">
        <v>978</v>
      </c>
      <c r="Q90" s="405" t="s">
        <v>2025</v>
      </c>
      <c r="R90" s="405"/>
      <c r="S90" s="75"/>
      <c r="T90" s="75"/>
    </row>
    <row r="91" spans="1:20">
      <c r="A91" s="401">
        <f t="shared" si="2"/>
        <v>86</v>
      </c>
      <c r="B91" s="74" t="s">
        <v>47</v>
      </c>
      <c r="C91" s="74" t="s">
        <v>480</v>
      </c>
      <c r="D91" s="74" t="s">
        <v>1872</v>
      </c>
      <c r="E91" s="405"/>
      <c r="F91" s="401"/>
      <c r="G91" s="401"/>
      <c r="H91" s="401"/>
      <c r="I91" s="401"/>
      <c r="J91" s="74">
        <v>360.98</v>
      </c>
      <c r="K91" s="404"/>
      <c r="L91" s="401"/>
      <c r="M91" s="405" t="s">
        <v>29</v>
      </c>
      <c r="N91" s="405" t="s">
        <v>1186</v>
      </c>
      <c r="O91" s="405"/>
      <c r="P91" s="405"/>
      <c r="Q91" s="405"/>
      <c r="R91" s="405"/>
      <c r="S91" s="75"/>
      <c r="T91" s="75"/>
    </row>
    <row r="92" spans="1:20">
      <c r="A92" s="401">
        <f t="shared" si="2"/>
        <v>87</v>
      </c>
      <c r="B92" s="74" t="s">
        <v>69</v>
      </c>
      <c r="C92" s="74" t="s">
        <v>337</v>
      </c>
      <c r="D92" s="74" t="s">
        <v>820</v>
      </c>
      <c r="E92" s="405"/>
      <c r="F92" s="401"/>
      <c r="G92" s="401"/>
      <c r="H92" s="401"/>
      <c r="I92" s="401"/>
      <c r="J92" s="74">
        <v>253.41</v>
      </c>
      <c r="K92" s="404"/>
      <c r="L92" s="401"/>
      <c r="M92" s="405" t="s">
        <v>29</v>
      </c>
      <c r="N92" s="405" t="s">
        <v>1186</v>
      </c>
      <c r="O92" s="405"/>
      <c r="P92" s="405"/>
      <c r="Q92" s="405"/>
      <c r="R92" s="405"/>
      <c r="S92" s="75"/>
      <c r="T92" s="75"/>
    </row>
    <row r="93" spans="1:20">
      <c r="A93" s="401">
        <f t="shared" si="2"/>
        <v>88</v>
      </c>
      <c r="B93" s="74" t="s">
        <v>356</v>
      </c>
      <c r="C93" s="74" t="s">
        <v>193</v>
      </c>
      <c r="D93" s="74" t="s">
        <v>817</v>
      </c>
      <c r="E93" s="405"/>
      <c r="F93" s="401"/>
      <c r="G93" s="401"/>
      <c r="H93" s="401"/>
      <c r="I93" s="401"/>
      <c r="J93" s="75">
        <v>315</v>
      </c>
      <c r="K93" s="404"/>
      <c r="L93" s="401"/>
      <c r="M93" s="405" t="s">
        <v>29</v>
      </c>
      <c r="N93" s="405" t="s">
        <v>1186</v>
      </c>
      <c r="O93" s="405"/>
      <c r="P93" s="405"/>
      <c r="Q93" s="405"/>
      <c r="R93" s="405"/>
      <c r="S93" s="75" t="s">
        <v>814</v>
      </c>
      <c r="T93" s="75"/>
    </row>
    <row r="94" spans="1:20">
      <c r="A94" s="401">
        <f t="shared" si="2"/>
        <v>89</v>
      </c>
      <c r="B94" s="74" t="s">
        <v>811</v>
      </c>
      <c r="C94" s="74" t="s">
        <v>153</v>
      </c>
      <c r="D94" s="74" t="s">
        <v>134</v>
      </c>
      <c r="E94" s="405"/>
      <c r="F94" s="401"/>
      <c r="G94" s="401"/>
      <c r="H94" s="401"/>
      <c r="I94" s="401"/>
      <c r="J94" s="75">
        <v>297.88099999999997</v>
      </c>
      <c r="K94" s="404"/>
      <c r="L94" s="401"/>
      <c r="M94" s="405" t="s">
        <v>29</v>
      </c>
      <c r="N94" s="405" t="s">
        <v>1186</v>
      </c>
      <c r="O94" s="405"/>
      <c r="P94" s="405"/>
      <c r="Q94" s="405"/>
      <c r="R94" s="405"/>
      <c r="S94" s="75" t="s">
        <v>278</v>
      </c>
      <c r="T94" s="75"/>
    </row>
    <row r="95" spans="1:20">
      <c r="A95" s="401">
        <f t="shared" si="2"/>
        <v>90</v>
      </c>
      <c r="B95" s="74" t="s">
        <v>364</v>
      </c>
      <c r="C95" s="74" t="s">
        <v>133</v>
      </c>
      <c r="D95" s="74" t="s">
        <v>806</v>
      </c>
      <c r="E95" s="405"/>
      <c r="F95" s="401"/>
      <c r="G95" s="401"/>
      <c r="H95" s="401"/>
      <c r="I95" s="401"/>
      <c r="J95" s="75">
        <v>420</v>
      </c>
      <c r="K95" s="404"/>
      <c r="L95" s="401"/>
      <c r="M95" s="405" t="s">
        <v>29</v>
      </c>
      <c r="N95" s="405" t="s">
        <v>1186</v>
      </c>
      <c r="O95" s="405" t="s">
        <v>29</v>
      </c>
      <c r="P95" s="405"/>
      <c r="Q95" s="405"/>
      <c r="R95" s="405"/>
      <c r="S95" s="75" t="s">
        <v>278</v>
      </c>
      <c r="T95" s="75"/>
    </row>
    <row r="96" spans="1:20">
      <c r="A96" s="401">
        <f t="shared" si="2"/>
        <v>91</v>
      </c>
      <c r="B96" s="74" t="s">
        <v>803</v>
      </c>
      <c r="C96" s="74" t="s">
        <v>301</v>
      </c>
      <c r="D96" s="74" t="s">
        <v>134</v>
      </c>
      <c r="E96" s="405"/>
      <c r="F96" s="401"/>
      <c r="G96" s="401"/>
      <c r="H96" s="401"/>
      <c r="I96" s="401"/>
      <c r="J96" s="75">
        <v>356</v>
      </c>
      <c r="K96" s="404"/>
      <c r="L96" s="401"/>
      <c r="M96" s="405" t="s">
        <v>29</v>
      </c>
      <c r="N96" s="405" t="s">
        <v>1186</v>
      </c>
      <c r="O96" s="405" t="s">
        <v>29</v>
      </c>
      <c r="P96" s="405" t="s">
        <v>29</v>
      </c>
      <c r="Q96" s="405" t="s">
        <v>1895</v>
      </c>
      <c r="R96" s="405"/>
      <c r="S96" s="75" t="s">
        <v>278</v>
      </c>
      <c r="T96" s="75"/>
    </row>
    <row r="97" spans="1:20">
      <c r="A97" s="401">
        <f t="shared" si="2"/>
        <v>92</v>
      </c>
      <c r="B97" s="74" t="s">
        <v>799</v>
      </c>
      <c r="C97" s="74" t="s">
        <v>153</v>
      </c>
      <c r="D97" s="74" t="s">
        <v>134</v>
      </c>
      <c r="E97" s="405"/>
      <c r="F97" s="401"/>
      <c r="G97" s="401"/>
      <c r="H97" s="401"/>
      <c r="I97" s="401"/>
      <c r="J97" s="75">
        <v>358</v>
      </c>
      <c r="K97" s="404"/>
      <c r="L97" s="401"/>
      <c r="M97" s="405" t="s">
        <v>29</v>
      </c>
      <c r="N97" s="405" t="s">
        <v>1186</v>
      </c>
      <c r="O97" s="405" t="s">
        <v>29</v>
      </c>
      <c r="P97" s="405" t="s">
        <v>29</v>
      </c>
      <c r="Q97" s="405" t="s">
        <v>1895</v>
      </c>
      <c r="R97" s="405"/>
      <c r="S97" s="75" t="s">
        <v>268</v>
      </c>
      <c r="T97" s="75"/>
    </row>
    <row r="98" spans="1:20">
      <c r="A98" s="401">
        <f t="shared" si="2"/>
        <v>93</v>
      </c>
      <c r="B98" s="74" t="s">
        <v>795</v>
      </c>
      <c r="C98" s="74" t="s">
        <v>153</v>
      </c>
      <c r="D98" s="74" t="s">
        <v>134</v>
      </c>
      <c r="E98" s="405"/>
      <c r="F98" s="401"/>
      <c r="G98" s="401"/>
      <c r="H98" s="401"/>
      <c r="I98" s="401"/>
      <c r="J98" s="75">
        <v>317.51799999999997</v>
      </c>
      <c r="K98" s="404"/>
      <c r="L98" s="401"/>
      <c r="M98" s="405" t="s">
        <v>29</v>
      </c>
      <c r="N98" s="405" t="s">
        <v>1186</v>
      </c>
      <c r="O98" s="405" t="s">
        <v>29</v>
      </c>
      <c r="P98" s="405" t="s">
        <v>29</v>
      </c>
      <c r="Q98" s="405" t="s">
        <v>1895</v>
      </c>
      <c r="R98" s="405"/>
      <c r="S98" s="75" t="s">
        <v>268</v>
      </c>
      <c r="T98" s="75"/>
    </row>
    <row r="99" spans="1:20">
      <c r="A99" s="401">
        <f t="shared" si="2"/>
        <v>94</v>
      </c>
      <c r="B99" s="74" t="s">
        <v>371</v>
      </c>
      <c r="C99" s="74" t="s">
        <v>133</v>
      </c>
      <c r="D99" s="74" t="s">
        <v>792</v>
      </c>
      <c r="E99" s="405"/>
      <c r="F99" s="401"/>
      <c r="G99" s="401"/>
      <c r="H99" s="401"/>
      <c r="I99" s="401"/>
      <c r="J99" s="75">
        <v>269</v>
      </c>
      <c r="K99" s="404"/>
      <c r="L99" s="401"/>
      <c r="M99" s="405" t="s">
        <v>29</v>
      </c>
      <c r="N99" s="405" t="s">
        <v>1186</v>
      </c>
      <c r="O99" s="405" t="s">
        <v>29</v>
      </c>
      <c r="P99" s="405" t="s">
        <v>29</v>
      </c>
      <c r="Q99" s="405" t="s">
        <v>1837</v>
      </c>
      <c r="R99" s="405"/>
      <c r="S99" s="75" t="s">
        <v>268</v>
      </c>
      <c r="T99" s="75"/>
    </row>
    <row r="100" spans="1:20">
      <c r="A100" s="401">
        <f t="shared" si="2"/>
        <v>95</v>
      </c>
      <c r="B100" s="74" t="s">
        <v>376</v>
      </c>
      <c r="C100" s="74" t="s">
        <v>153</v>
      </c>
      <c r="D100" s="74" t="s">
        <v>134</v>
      </c>
      <c r="E100" s="405"/>
      <c r="F100" s="401"/>
      <c r="G100" s="401"/>
      <c r="H100" s="401"/>
      <c r="I100" s="401"/>
      <c r="J100" s="75">
        <v>240.12899999999999</v>
      </c>
      <c r="K100" s="404"/>
      <c r="L100" s="401"/>
      <c r="M100" s="405" t="s">
        <v>29</v>
      </c>
      <c r="N100" s="405" t="s">
        <v>1186</v>
      </c>
      <c r="O100" s="405" t="s">
        <v>29</v>
      </c>
      <c r="P100" s="405"/>
      <c r="Q100" s="405"/>
      <c r="R100" s="405"/>
      <c r="S100" s="75" t="s">
        <v>268</v>
      </c>
      <c r="T100" s="75"/>
    </row>
    <row r="101" spans="1:20">
      <c r="A101" s="401">
        <f t="shared" si="2"/>
        <v>96</v>
      </c>
      <c r="B101" s="74" t="s">
        <v>70</v>
      </c>
      <c r="C101" s="74" t="s">
        <v>167</v>
      </c>
      <c r="D101" s="74" t="s">
        <v>784</v>
      </c>
      <c r="E101" s="405"/>
      <c r="F101" s="401"/>
      <c r="G101" s="401"/>
      <c r="H101" s="401"/>
      <c r="I101" s="401"/>
      <c r="J101" s="75">
        <v>351</v>
      </c>
      <c r="K101" s="404"/>
      <c r="L101" s="401"/>
      <c r="M101" s="405" t="s">
        <v>29</v>
      </c>
      <c r="N101" s="405" t="s">
        <v>1186</v>
      </c>
      <c r="O101" s="405" t="s">
        <v>29</v>
      </c>
      <c r="P101" s="405" t="s">
        <v>29</v>
      </c>
      <c r="Q101" s="405" t="s">
        <v>1895</v>
      </c>
      <c r="R101" s="405"/>
      <c r="S101" s="75" t="s">
        <v>317</v>
      </c>
      <c r="T101" s="75"/>
    </row>
    <row r="102" spans="1:20">
      <c r="A102" s="401">
        <f t="shared" si="2"/>
        <v>97</v>
      </c>
      <c r="B102" s="74" t="s">
        <v>384</v>
      </c>
      <c r="C102" s="74" t="s">
        <v>153</v>
      </c>
      <c r="D102" s="74" t="s">
        <v>134</v>
      </c>
      <c r="E102" s="405"/>
      <c r="F102" s="401"/>
      <c r="G102" s="401"/>
      <c r="H102" s="401"/>
      <c r="I102" s="401"/>
      <c r="J102" s="75">
        <v>357.00900000000001</v>
      </c>
      <c r="K102" s="404"/>
      <c r="L102" s="401"/>
      <c r="M102" s="405" t="s">
        <v>29</v>
      </c>
      <c r="N102" s="405" t="s">
        <v>1186</v>
      </c>
      <c r="O102" s="405" t="s">
        <v>29</v>
      </c>
      <c r="P102" s="405" t="s">
        <v>29</v>
      </c>
      <c r="Q102" s="405" t="s">
        <v>1895</v>
      </c>
      <c r="R102" s="405"/>
      <c r="S102" s="75" t="s">
        <v>317</v>
      </c>
      <c r="T102" s="75"/>
    </row>
    <row r="103" spans="1:20">
      <c r="A103" s="401">
        <f t="shared" si="2"/>
        <v>98</v>
      </c>
      <c r="B103" s="74" t="s">
        <v>393</v>
      </c>
      <c r="C103" s="74" t="s">
        <v>245</v>
      </c>
      <c r="D103" s="74" t="s">
        <v>777</v>
      </c>
      <c r="E103" s="405"/>
      <c r="F103" s="401"/>
      <c r="G103" s="401"/>
      <c r="H103" s="401"/>
      <c r="I103" s="401"/>
      <c r="J103" s="75">
        <v>397.80500000000001</v>
      </c>
      <c r="K103" s="404"/>
      <c r="L103" s="401"/>
      <c r="M103" s="405" t="s">
        <v>29</v>
      </c>
      <c r="N103" s="75" t="s">
        <v>30</v>
      </c>
      <c r="O103" s="405" t="s">
        <v>29</v>
      </c>
      <c r="P103" s="405"/>
      <c r="Q103" s="405"/>
      <c r="R103" s="405"/>
      <c r="S103" s="75" t="s">
        <v>317</v>
      </c>
      <c r="T103" s="75"/>
    </row>
    <row r="104" spans="1:20">
      <c r="A104" s="401">
        <f t="shared" si="2"/>
        <v>99</v>
      </c>
      <c r="B104" s="74" t="s">
        <v>416</v>
      </c>
      <c r="C104" s="74" t="s">
        <v>133</v>
      </c>
      <c r="D104" s="74" t="s">
        <v>772</v>
      </c>
      <c r="E104" s="405"/>
      <c r="F104" s="401"/>
      <c r="G104" s="401"/>
      <c r="H104" s="401"/>
      <c r="I104" s="401"/>
      <c r="J104" s="75">
        <v>299</v>
      </c>
      <c r="K104" s="404"/>
      <c r="L104" s="401"/>
      <c r="M104" s="405" t="s">
        <v>29</v>
      </c>
      <c r="N104" s="75" t="s">
        <v>30</v>
      </c>
      <c r="O104" s="405" t="s">
        <v>29</v>
      </c>
      <c r="P104" s="405" t="s">
        <v>29</v>
      </c>
      <c r="Q104" s="405" t="s">
        <v>1837</v>
      </c>
      <c r="R104" s="405"/>
      <c r="S104" s="75" t="s">
        <v>330</v>
      </c>
      <c r="T104" s="75"/>
    </row>
    <row r="105" spans="1:20">
      <c r="A105" s="401">
        <f t="shared" si="2"/>
        <v>100</v>
      </c>
      <c r="B105" s="572" t="s">
        <v>421</v>
      </c>
      <c r="C105" s="74" t="s">
        <v>301</v>
      </c>
      <c r="D105" s="74"/>
      <c r="E105" s="405"/>
      <c r="F105" s="401"/>
      <c r="G105" s="401"/>
      <c r="H105" s="401"/>
      <c r="I105" s="401"/>
      <c r="J105" s="75">
        <v>382</v>
      </c>
      <c r="K105" s="404"/>
      <c r="L105" s="401"/>
      <c r="M105" s="405" t="s">
        <v>29</v>
      </c>
      <c r="N105" s="75" t="s">
        <v>30</v>
      </c>
      <c r="O105" s="405"/>
      <c r="P105" s="405" t="s">
        <v>29</v>
      </c>
      <c r="Q105" s="405" t="s">
        <v>1837</v>
      </c>
      <c r="R105" s="405"/>
      <c r="S105" s="75" t="s">
        <v>330</v>
      </c>
      <c r="T105" s="75"/>
    </row>
    <row r="106" spans="1:20">
      <c r="A106" s="401">
        <f t="shared" si="2"/>
        <v>101</v>
      </c>
      <c r="B106" s="74" t="s">
        <v>71</v>
      </c>
      <c r="C106" s="74" t="s">
        <v>344</v>
      </c>
      <c r="D106" s="74" t="s">
        <v>765</v>
      </c>
      <c r="E106" s="405"/>
      <c r="F106" s="401"/>
      <c r="G106" s="401"/>
      <c r="H106" s="401"/>
      <c r="I106" s="401"/>
      <c r="J106" s="75">
        <v>348.04199999999997</v>
      </c>
      <c r="K106" s="404"/>
      <c r="L106" s="401"/>
      <c r="M106" s="405" t="s">
        <v>29</v>
      </c>
      <c r="N106" s="75" t="s">
        <v>30</v>
      </c>
      <c r="O106" s="405" t="s">
        <v>29</v>
      </c>
      <c r="P106" s="405" t="s">
        <v>29</v>
      </c>
      <c r="Q106" s="405" t="s">
        <v>1837</v>
      </c>
      <c r="R106" s="405"/>
      <c r="S106" s="75" t="s">
        <v>330</v>
      </c>
      <c r="T106" s="75"/>
    </row>
    <row r="107" spans="1:20">
      <c r="A107" s="401">
        <f t="shared" si="2"/>
        <v>102</v>
      </c>
      <c r="B107" s="74" t="s">
        <v>436</v>
      </c>
      <c r="C107" s="74" t="s">
        <v>133</v>
      </c>
      <c r="D107" s="74" t="s">
        <v>762</v>
      </c>
      <c r="E107" s="405"/>
      <c r="F107" s="401"/>
      <c r="G107" s="401"/>
      <c r="H107" s="401"/>
      <c r="I107" s="401"/>
      <c r="J107" s="75">
        <v>278.54500000000002</v>
      </c>
      <c r="K107" s="404"/>
      <c r="L107" s="401"/>
      <c r="M107" s="405" t="s">
        <v>29</v>
      </c>
      <c r="N107" s="75" t="s">
        <v>30</v>
      </c>
      <c r="O107" s="405" t="s">
        <v>29</v>
      </c>
      <c r="P107" s="405" t="s">
        <v>29</v>
      </c>
      <c r="Q107" s="405" t="s">
        <v>1837</v>
      </c>
      <c r="R107" s="405"/>
      <c r="S107" s="75" t="s">
        <v>352</v>
      </c>
      <c r="T107" s="75"/>
    </row>
    <row r="108" spans="1:20">
      <c r="A108" s="401">
        <f t="shared" si="2"/>
        <v>103</v>
      </c>
      <c r="B108" s="74" t="s">
        <v>443</v>
      </c>
      <c r="C108" s="74" t="s">
        <v>133</v>
      </c>
      <c r="D108" s="74" t="s">
        <v>758</v>
      </c>
      <c r="E108" s="405"/>
      <c r="F108" s="401"/>
      <c r="G108" s="401"/>
      <c r="H108" s="401"/>
      <c r="I108" s="401"/>
      <c r="J108" s="75">
        <v>213.95699999999999</v>
      </c>
      <c r="K108" s="404"/>
      <c r="L108" s="401"/>
      <c r="M108" s="405" t="s">
        <v>29</v>
      </c>
      <c r="N108" s="75" t="s">
        <v>30</v>
      </c>
      <c r="O108" s="405" t="s">
        <v>29</v>
      </c>
      <c r="P108" s="405"/>
      <c r="Q108" s="405"/>
      <c r="R108" s="405"/>
      <c r="S108" s="75" t="s">
        <v>361</v>
      </c>
      <c r="T108" s="75"/>
    </row>
    <row r="109" spans="1:20">
      <c r="A109" s="401">
        <f t="shared" si="2"/>
        <v>104</v>
      </c>
      <c r="B109" s="74" t="s">
        <v>72</v>
      </c>
      <c r="C109" s="74" t="s">
        <v>133</v>
      </c>
      <c r="D109" s="74" t="s">
        <v>753</v>
      </c>
      <c r="E109" s="405">
        <v>1</v>
      </c>
      <c r="F109" s="401">
        <v>0</v>
      </c>
      <c r="G109" s="401">
        <v>0</v>
      </c>
      <c r="H109" s="401">
        <v>0</v>
      </c>
      <c r="I109" s="401">
        <v>0</v>
      </c>
      <c r="J109" s="75">
        <v>243.72300000000001</v>
      </c>
      <c r="K109" s="404"/>
      <c r="L109" s="401"/>
      <c r="M109" s="405"/>
      <c r="N109" s="405"/>
      <c r="O109" s="405"/>
      <c r="P109" s="405"/>
      <c r="Q109" s="405"/>
      <c r="R109" s="405"/>
      <c r="S109" s="75" t="s">
        <v>361</v>
      </c>
      <c r="T109" s="75"/>
    </row>
    <row r="110" spans="1:20">
      <c r="A110" s="401">
        <f t="shared" si="2"/>
        <v>105</v>
      </c>
      <c r="B110" s="609" t="s">
        <v>457</v>
      </c>
      <c r="C110" s="74" t="s">
        <v>133</v>
      </c>
      <c r="D110" s="74" t="s">
        <v>747</v>
      </c>
      <c r="E110" s="405"/>
      <c r="F110" s="401"/>
      <c r="G110" s="401"/>
      <c r="H110" s="401"/>
      <c r="I110" s="401"/>
      <c r="J110" s="75">
        <v>330.00099999999998</v>
      </c>
      <c r="K110" s="404"/>
      <c r="L110" s="401"/>
      <c r="M110" s="405" t="s">
        <v>29</v>
      </c>
      <c r="N110" s="75" t="s">
        <v>30</v>
      </c>
      <c r="O110" s="405" t="s">
        <v>29</v>
      </c>
      <c r="P110" s="405" t="s">
        <v>29</v>
      </c>
      <c r="Q110" s="405" t="s">
        <v>1837</v>
      </c>
      <c r="R110" s="405"/>
      <c r="S110" s="75" t="s">
        <v>744</v>
      </c>
      <c r="T110" s="75"/>
    </row>
    <row r="111" spans="1:20">
      <c r="A111" s="401">
        <f t="shared" si="2"/>
        <v>106</v>
      </c>
      <c r="B111" s="609" t="s">
        <v>1873</v>
      </c>
      <c r="C111" s="74" t="s">
        <v>153</v>
      </c>
      <c r="D111" s="74" t="s">
        <v>134</v>
      </c>
      <c r="E111" s="405"/>
      <c r="F111" s="401"/>
      <c r="G111" s="401"/>
      <c r="H111" s="401"/>
      <c r="I111" s="401"/>
      <c r="J111" s="75">
        <v>283.11200000000002</v>
      </c>
      <c r="K111" s="404"/>
      <c r="L111" s="401"/>
      <c r="M111" s="405" t="s">
        <v>29</v>
      </c>
      <c r="N111" s="405" t="s">
        <v>30</v>
      </c>
      <c r="O111" s="405" t="s">
        <v>29</v>
      </c>
      <c r="P111" s="405" t="s">
        <v>29</v>
      </c>
      <c r="Q111" s="405" t="s">
        <v>1837</v>
      </c>
      <c r="R111" s="405"/>
      <c r="S111" s="75"/>
      <c r="T111" s="75"/>
    </row>
    <row r="112" spans="1:20">
      <c r="A112" s="401">
        <f t="shared" si="2"/>
        <v>107</v>
      </c>
      <c r="B112" s="74" t="s">
        <v>73</v>
      </c>
      <c r="C112" s="74" t="s">
        <v>344</v>
      </c>
      <c r="D112" s="74" t="s">
        <v>1875</v>
      </c>
      <c r="E112" s="405"/>
      <c r="F112" s="401"/>
      <c r="G112" s="401"/>
      <c r="H112" s="401"/>
      <c r="I112" s="401"/>
      <c r="J112" s="75">
        <v>375</v>
      </c>
      <c r="K112" s="404"/>
      <c r="L112" s="401"/>
      <c r="M112" s="405" t="s">
        <v>29</v>
      </c>
      <c r="N112" s="75" t="s">
        <v>30</v>
      </c>
      <c r="O112" s="405" t="s">
        <v>29</v>
      </c>
      <c r="P112" s="405" t="s">
        <v>29</v>
      </c>
      <c r="Q112" s="405" t="s">
        <v>1837</v>
      </c>
      <c r="R112" s="405"/>
      <c r="S112" s="75"/>
      <c r="T112" s="75"/>
    </row>
    <row r="113" spans="1:20">
      <c r="A113" s="401">
        <f t="shared" si="2"/>
        <v>108</v>
      </c>
      <c r="B113" s="74" t="s">
        <v>1853</v>
      </c>
      <c r="C113" s="74" t="s">
        <v>251</v>
      </c>
      <c r="D113" s="74" t="s">
        <v>134</v>
      </c>
      <c r="E113" s="405"/>
      <c r="F113" s="401"/>
      <c r="G113" s="401"/>
      <c r="H113" s="401"/>
      <c r="I113" s="401"/>
      <c r="J113" s="75">
        <v>406.01299999999998</v>
      </c>
      <c r="K113" s="404"/>
      <c r="L113" s="401"/>
      <c r="M113" s="405" t="s">
        <v>29</v>
      </c>
      <c r="N113" s="75" t="s">
        <v>30</v>
      </c>
      <c r="O113" s="405" t="s">
        <v>29</v>
      </c>
      <c r="P113" s="405" t="s">
        <v>29</v>
      </c>
      <c r="Q113" s="405" t="s">
        <v>1837</v>
      </c>
      <c r="R113" s="405"/>
      <c r="S113" s="75"/>
      <c r="T113" s="75"/>
    </row>
    <row r="114" spans="1:20">
      <c r="A114" s="401">
        <f t="shared" si="2"/>
        <v>109</v>
      </c>
      <c r="B114" s="74" t="s">
        <v>1168</v>
      </c>
      <c r="C114" s="74" t="s">
        <v>344</v>
      </c>
      <c r="D114" s="74" t="s">
        <v>1876</v>
      </c>
      <c r="E114" s="405"/>
      <c r="F114" s="401"/>
      <c r="G114" s="401"/>
      <c r="H114" s="401"/>
      <c r="I114" s="401"/>
      <c r="J114" s="75">
        <v>398.93799999999999</v>
      </c>
      <c r="K114" s="404"/>
      <c r="L114" s="401"/>
      <c r="M114" s="405" t="s">
        <v>29</v>
      </c>
      <c r="N114" s="75" t="s">
        <v>30</v>
      </c>
      <c r="O114" s="405" t="s">
        <v>29</v>
      </c>
      <c r="P114" s="405" t="s">
        <v>29</v>
      </c>
      <c r="Q114" s="405" t="s">
        <v>1837</v>
      </c>
      <c r="R114" s="405"/>
      <c r="S114" s="75"/>
      <c r="T114" s="75"/>
    </row>
    <row r="115" spans="1:20">
      <c r="A115" s="401">
        <f t="shared" si="2"/>
        <v>110</v>
      </c>
      <c r="B115" s="74" t="s">
        <v>1206</v>
      </c>
      <c r="C115" s="74" t="s">
        <v>133</v>
      </c>
      <c r="D115" s="74" t="s">
        <v>1877</v>
      </c>
      <c r="E115" s="405"/>
      <c r="F115" s="401"/>
      <c r="G115" s="401"/>
      <c r="H115" s="401"/>
      <c r="I115" s="401"/>
      <c r="J115" s="75">
        <v>335</v>
      </c>
      <c r="K115" s="404"/>
      <c r="L115" s="401"/>
      <c r="M115" s="405" t="s">
        <v>29</v>
      </c>
      <c r="N115" s="75" t="s">
        <v>30</v>
      </c>
      <c r="O115" s="405" t="s">
        <v>29</v>
      </c>
      <c r="P115" s="405" t="s">
        <v>29</v>
      </c>
      <c r="Q115" s="405" t="s">
        <v>1837</v>
      </c>
      <c r="R115" s="405"/>
      <c r="S115" s="75"/>
      <c r="T115" s="75"/>
    </row>
    <row r="116" spans="1:20">
      <c r="A116" s="401">
        <f t="shared" si="2"/>
        <v>111</v>
      </c>
      <c r="B116" s="74" t="s">
        <v>1874</v>
      </c>
      <c r="C116" s="74" t="s">
        <v>187</v>
      </c>
      <c r="D116" s="74" t="s">
        <v>134</v>
      </c>
      <c r="E116" s="405"/>
      <c r="F116" s="401"/>
      <c r="G116" s="401"/>
      <c r="H116" s="401"/>
      <c r="I116" s="401"/>
      <c r="J116" s="75">
        <v>402.89699999999999</v>
      </c>
      <c r="K116" s="404"/>
      <c r="L116" s="401"/>
      <c r="M116" s="405"/>
      <c r="N116" s="405"/>
      <c r="O116" s="405"/>
      <c r="P116" s="405"/>
      <c r="Q116" s="405"/>
      <c r="R116" s="405"/>
      <c r="S116" s="75"/>
      <c r="T116" s="75"/>
    </row>
    <row r="117" spans="1:20">
      <c r="A117" s="401">
        <f t="shared" si="2"/>
        <v>112</v>
      </c>
      <c r="B117" s="74" t="s">
        <v>44</v>
      </c>
      <c r="C117" s="74" t="s">
        <v>357</v>
      </c>
      <c r="D117" s="74" t="s">
        <v>743</v>
      </c>
      <c r="E117" s="405"/>
      <c r="F117" s="401"/>
      <c r="G117" s="401"/>
      <c r="H117" s="401"/>
      <c r="I117" s="401"/>
      <c r="J117" s="75">
        <v>385.19900000000001</v>
      </c>
      <c r="K117" s="404"/>
      <c r="L117" s="401"/>
      <c r="M117" s="405" t="s">
        <v>29</v>
      </c>
      <c r="N117" s="405" t="s">
        <v>30</v>
      </c>
      <c r="O117" s="405"/>
      <c r="P117" s="405"/>
      <c r="Q117" s="405"/>
      <c r="R117" s="405"/>
      <c r="S117" s="75"/>
      <c r="T117" s="75"/>
    </row>
    <row r="118" spans="1:20">
      <c r="A118" s="401">
        <f t="shared" si="2"/>
        <v>113</v>
      </c>
      <c r="B118" s="609" t="s">
        <v>40</v>
      </c>
      <c r="C118" s="74" t="s">
        <v>257</v>
      </c>
      <c r="D118" s="74" t="s">
        <v>738</v>
      </c>
      <c r="E118" s="405"/>
      <c r="F118" s="401"/>
      <c r="G118" s="401"/>
      <c r="H118" s="401"/>
      <c r="I118" s="401"/>
      <c r="J118" s="75">
        <v>378.47</v>
      </c>
      <c r="K118" s="404"/>
      <c r="L118" s="401"/>
      <c r="M118" s="405" t="s">
        <v>29</v>
      </c>
      <c r="N118" s="75" t="s">
        <v>30</v>
      </c>
      <c r="O118" s="405" t="s">
        <v>29</v>
      </c>
      <c r="P118" s="405"/>
      <c r="Q118" s="405"/>
      <c r="R118" s="405"/>
      <c r="S118" s="75" t="s">
        <v>397</v>
      </c>
      <c r="T118" s="75"/>
    </row>
    <row r="119" spans="1:20">
      <c r="A119" s="401">
        <f t="shared" si="2"/>
        <v>114</v>
      </c>
      <c r="B119" s="74" t="s">
        <v>74</v>
      </c>
      <c r="C119" s="74" t="s">
        <v>193</v>
      </c>
      <c r="D119" s="74" t="s">
        <v>733</v>
      </c>
      <c r="E119" s="405"/>
      <c r="F119" s="401"/>
      <c r="G119" s="401"/>
      <c r="H119" s="401"/>
      <c r="I119" s="401"/>
      <c r="J119" s="75">
        <v>413</v>
      </c>
      <c r="K119" s="404"/>
      <c r="L119" s="401"/>
      <c r="M119" s="405"/>
      <c r="N119" s="405"/>
      <c r="O119" s="405"/>
      <c r="P119" s="405"/>
      <c r="Q119" s="405"/>
      <c r="R119" s="405"/>
      <c r="S119" s="75" t="s">
        <v>397</v>
      </c>
      <c r="T119" s="75"/>
    </row>
    <row r="120" spans="1:20">
      <c r="A120" s="401">
        <f t="shared" si="2"/>
        <v>115</v>
      </c>
      <c r="B120" s="74" t="s">
        <v>729</v>
      </c>
      <c r="C120" s="74" t="s">
        <v>301</v>
      </c>
      <c r="D120" s="74" t="s">
        <v>134</v>
      </c>
      <c r="E120" s="405"/>
      <c r="F120" s="401"/>
      <c r="G120" s="401"/>
      <c r="H120" s="401"/>
      <c r="I120" s="401"/>
      <c r="J120" s="75">
        <v>386</v>
      </c>
      <c r="K120" s="404"/>
      <c r="L120" s="401"/>
      <c r="M120" s="405" t="s">
        <v>29</v>
      </c>
      <c r="N120" s="75" t="s">
        <v>30</v>
      </c>
      <c r="O120" s="405"/>
      <c r="P120" s="405"/>
      <c r="Q120" s="405"/>
      <c r="R120" s="405"/>
      <c r="S120" s="75" t="s">
        <v>397</v>
      </c>
      <c r="T120" s="75"/>
    </row>
    <row r="121" spans="1:20">
      <c r="A121" s="401">
        <f t="shared" si="2"/>
        <v>116</v>
      </c>
      <c r="B121" s="74" t="s">
        <v>726</v>
      </c>
      <c r="C121" s="74" t="s">
        <v>187</v>
      </c>
      <c r="D121" s="74" t="s">
        <v>134</v>
      </c>
      <c r="E121" s="405"/>
      <c r="F121" s="401"/>
      <c r="G121" s="401"/>
      <c r="H121" s="401"/>
      <c r="I121" s="401"/>
      <c r="J121" s="75">
        <v>398</v>
      </c>
      <c r="K121" s="404"/>
      <c r="L121" s="401"/>
      <c r="M121" s="405" t="s">
        <v>29</v>
      </c>
      <c r="N121" s="75" t="s">
        <v>30</v>
      </c>
      <c r="O121" s="405"/>
      <c r="P121" s="405"/>
      <c r="Q121" s="405"/>
      <c r="R121" s="405"/>
      <c r="S121" s="75" t="s">
        <v>406</v>
      </c>
      <c r="T121" s="75"/>
    </row>
    <row r="122" spans="1:20">
      <c r="A122" s="401">
        <f t="shared" si="2"/>
        <v>117</v>
      </c>
      <c r="B122" s="74" t="s">
        <v>722</v>
      </c>
      <c r="C122" s="74" t="s">
        <v>153</v>
      </c>
      <c r="D122" s="74" t="s">
        <v>134</v>
      </c>
      <c r="E122" s="405"/>
      <c r="F122" s="401"/>
      <c r="G122" s="401"/>
      <c r="H122" s="401"/>
      <c r="I122" s="401"/>
      <c r="J122" s="75">
        <v>401</v>
      </c>
      <c r="K122" s="404"/>
      <c r="L122" s="401"/>
      <c r="M122" s="405" t="s">
        <v>29</v>
      </c>
      <c r="N122" s="75" t="s">
        <v>30</v>
      </c>
      <c r="O122" s="405"/>
      <c r="P122" s="405"/>
      <c r="Q122" s="405"/>
      <c r="R122" s="405"/>
      <c r="S122" s="75" t="s">
        <v>406</v>
      </c>
      <c r="T122" s="75"/>
    </row>
    <row r="123" spans="1:20">
      <c r="A123" s="401">
        <f t="shared" si="2"/>
        <v>118</v>
      </c>
      <c r="B123" s="74" t="s">
        <v>718</v>
      </c>
      <c r="C123" s="74" t="s">
        <v>187</v>
      </c>
      <c r="D123" s="74" t="s">
        <v>134</v>
      </c>
      <c r="E123" s="405"/>
      <c r="F123" s="401"/>
      <c r="G123" s="401"/>
      <c r="H123" s="401"/>
      <c r="I123" s="401"/>
      <c r="J123" s="75">
        <v>367</v>
      </c>
      <c r="K123" s="404"/>
      <c r="L123" s="401"/>
      <c r="M123" s="405" t="s">
        <v>29</v>
      </c>
      <c r="N123" s="405" t="s">
        <v>30</v>
      </c>
      <c r="O123" s="405"/>
      <c r="P123" s="405"/>
      <c r="Q123" s="405"/>
      <c r="R123" s="405"/>
      <c r="S123" s="75" t="s">
        <v>715</v>
      </c>
      <c r="T123" s="75"/>
    </row>
    <row r="124" spans="1:20">
      <c r="A124" s="401">
        <f t="shared" si="2"/>
        <v>119</v>
      </c>
      <c r="B124" s="74" t="s">
        <v>713</v>
      </c>
      <c r="C124" s="74" t="s">
        <v>187</v>
      </c>
      <c r="D124" s="74" t="s">
        <v>134</v>
      </c>
      <c r="E124" s="405"/>
      <c r="F124" s="401"/>
      <c r="G124" s="401"/>
      <c r="H124" s="401"/>
      <c r="I124" s="401"/>
      <c r="J124" s="75">
        <v>432.74299999999999</v>
      </c>
      <c r="K124" s="404"/>
      <c r="L124" s="401"/>
      <c r="M124" s="405" t="s">
        <v>29</v>
      </c>
      <c r="N124" s="405" t="s">
        <v>30</v>
      </c>
      <c r="O124" s="405"/>
      <c r="P124" s="405"/>
      <c r="Q124" s="405"/>
      <c r="R124" s="405"/>
      <c r="S124" s="75" t="s">
        <v>692</v>
      </c>
      <c r="T124" s="75"/>
    </row>
    <row r="125" spans="1:20">
      <c r="A125" s="401">
        <f t="shared" si="2"/>
        <v>120</v>
      </c>
      <c r="B125" s="74" t="s">
        <v>54</v>
      </c>
      <c r="C125" s="74" t="s">
        <v>337</v>
      </c>
      <c r="D125" s="74" t="s">
        <v>709</v>
      </c>
      <c r="E125" s="405"/>
      <c r="F125" s="401"/>
      <c r="G125" s="401"/>
      <c r="H125" s="401"/>
      <c r="I125" s="401"/>
      <c r="J125" s="75">
        <v>337.077</v>
      </c>
      <c r="K125" s="404"/>
      <c r="L125" s="401"/>
      <c r="M125" s="405" t="s">
        <v>29</v>
      </c>
      <c r="N125" s="75" t="s">
        <v>30</v>
      </c>
      <c r="O125" s="405" t="s">
        <v>29</v>
      </c>
      <c r="P125" s="405"/>
      <c r="Q125" s="405"/>
      <c r="R125" s="405"/>
      <c r="S125" s="75" t="s">
        <v>692</v>
      </c>
      <c r="T125" s="75"/>
    </row>
    <row r="126" spans="1:20">
      <c r="A126" s="401">
        <f t="shared" si="2"/>
        <v>121</v>
      </c>
      <c r="B126" s="74" t="s">
        <v>704</v>
      </c>
      <c r="C126" s="74" t="s">
        <v>167</v>
      </c>
      <c r="D126" s="74" t="s">
        <v>703</v>
      </c>
      <c r="E126" s="405"/>
      <c r="F126" s="401"/>
      <c r="G126" s="401"/>
      <c r="H126" s="401"/>
      <c r="I126" s="401"/>
      <c r="J126" s="75">
        <v>315</v>
      </c>
      <c r="K126" s="404"/>
      <c r="L126" s="401"/>
      <c r="M126" s="405" t="s">
        <v>29</v>
      </c>
      <c r="N126" s="75" t="s">
        <v>30</v>
      </c>
      <c r="O126" s="405" t="s">
        <v>29</v>
      </c>
      <c r="P126" s="405"/>
      <c r="Q126" s="405"/>
      <c r="R126" s="405"/>
      <c r="S126" s="75" t="s">
        <v>692</v>
      </c>
      <c r="T126" s="75"/>
    </row>
    <row r="127" spans="1:20">
      <c r="A127" s="401">
        <f t="shared" si="2"/>
        <v>122</v>
      </c>
      <c r="B127" s="74" t="s">
        <v>699</v>
      </c>
      <c r="C127" s="74" t="s">
        <v>153</v>
      </c>
      <c r="D127" s="74" t="s">
        <v>134</v>
      </c>
      <c r="E127" s="405"/>
      <c r="F127" s="401"/>
      <c r="G127" s="401"/>
      <c r="H127" s="401"/>
      <c r="I127" s="401"/>
      <c r="J127" s="75">
        <v>316.64499999999998</v>
      </c>
      <c r="K127" s="404"/>
      <c r="L127" s="401"/>
      <c r="M127" s="405" t="s">
        <v>29</v>
      </c>
      <c r="N127" s="75" t="s">
        <v>30</v>
      </c>
      <c r="O127" s="405" t="s">
        <v>29</v>
      </c>
      <c r="P127" s="405"/>
      <c r="Q127" s="405"/>
      <c r="R127" s="405"/>
      <c r="S127" s="75" t="s">
        <v>692</v>
      </c>
      <c r="T127" s="75"/>
    </row>
    <row r="128" spans="1:20">
      <c r="A128" s="401">
        <f t="shared" si="2"/>
        <v>123</v>
      </c>
      <c r="B128" s="74" t="s">
        <v>75</v>
      </c>
      <c r="C128" s="74" t="s">
        <v>133</v>
      </c>
      <c r="D128" s="74" t="s">
        <v>695</v>
      </c>
      <c r="E128" s="405"/>
      <c r="F128" s="401"/>
      <c r="G128" s="401"/>
      <c r="H128" s="401"/>
      <c r="I128" s="401"/>
      <c r="J128" s="75">
        <v>377.05</v>
      </c>
      <c r="K128" s="404"/>
      <c r="L128" s="401"/>
      <c r="M128" s="405" t="s">
        <v>29</v>
      </c>
      <c r="N128" s="405" t="s">
        <v>41</v>
      </c>
      <c r="O128" s="405" t="s">
        <v>29</v>
      </c>
      <c r="P128" s="405"/>
      <c r="Q128" s="405"/>
      <c r="R128" s="405"/>
      <c r="S128" s="75" t="s">
        <v>692</v>
      </c>
      <c r="T128" s="75"/>
    </row>
    <row r="129" spans="1:20">
      <c r="A129" s="401">
        <f t="shared" si="2"/>
        <v>124</v>
      </c>
      <c r="B129" s="74" t="s">
        <v>689</v>
      </c>
      <c r="C129" s="74" t="s">
        <v>344</v>
      </c>
      <c r="D129" s="74" t="s">
        <v>688</v>
      </c>
      <c r="E129" s="405"/>
      <c r="F129" s="401"/>
      <c r="G129" s="401"/>
      <c r="H129" s="401"/>
      <c r="I129" s="401"/>
      <c r="J129" s="75">
        <v>346.10300000000001</v>
      </c>
      <c r="K129" s="404"/>
      <c r="L129" s="401"/>
      <c r="M129" s="405" t="s">
        <v>29</v>
      </c>
      <c r="N129" s="405" t="s">
        <v>30</v>
      </c>
      <c r="O129" s="405" t="s">
        <v>29</v>
      </c>
      <c r="P129" s="405"/>
      <c r="Q129" s="405"/>
      <c r="R129" s="405"/>
      <c r="S129" s="75" t="s">
        <v>685</v>
      </c>
      <c r="T129" s="75"/>
    </row>
    <row r="130" spans="1:20">
      <c r="A130" s="401">
        <f t="shared" si="2"/>
        <v>125</v>
      </c>
      <c r="B130" s="609" t="s">
        <v>51</v>
      </c>
      <c r="C130" s="74" t="s">
        <v>133</v>
      </c>
      <c r="D130" s="74" t="s">
        <v>682</v>
      </c>
      <c r="E130" s="405"/>
      <c r="F130" s="401"/>
      <c r="G130" s="401"/>
      <c r="H130" s="401"/>
      <c r="I130" s="401"/>
      <c r="J130" s="75">
        <v>340.88</v>
      </c>
      <c r="K130" s="404"/>
      <c r="L130" s="401"/>
      <c r="M130" s="405" t="s">
        <v>29</v>
      </c>
      <c r="N130" s="405" t="s">
        <v>30</v>
      </c>
      <c r="O130" s="405" t="s">
        <v>29</v>
      </c>
      <c r="P130" s="405"/>
      <c r="Q130" s="405"/>
      <c r="R130" s="405"/>
      <c r="S130" s="75" t="s">
        <v>674</v>
      </c>
      <c r="T130" s="75"/>
    </row>
    <row r="131" spans="1:20">
      <c r="A131" s="401">
        <f t="shared" si="2"/>
        <v>126</v>
      </c>
      <c r="B131" s="74" t="s">
        <v>76</v>
      </c>
      <c r="C131" s="74" t="s">
        <v>344</v>
      </c>
      <c r="D131" s="74" t="s">
        <v>677</v>
      </c>
      <c r="E131" s="405"/>
      <c r="F131" s="401"/>
      <c r="G131" s="401"/>
      <c r="H131" s="401"/>
      <c r="I131" s="401"/>
      <c r="J131" s="75">
        <v>338.92599999999999</v>
      </c>
      <c r="K131" s="404"/>
      <c r="L131" s="401"/>
      <c r="M131" s="405" t="s">
        <v>29</v>
      </c>
      <c r="N131" s="405" t="s">
        <v>30</v>
      </c>
      <c r="O131" s="405"/>
      <c r="P131" s="405"/>
      <c r="Q131" s="405"/>
      <c r="R131" s="405"/>
      <c r="S131" s="75" t="s">
        <v>674</v>
      </c>
      <c r="T131" s="75"/>
    </row>
    <row r="132" spans="1:20">
      <c r="A132" s="401">
        <f t="shared" si="2"/>
        <v>127</v>
      </c>
      <c r="B132" s="74" t="s">
        <v>77</v>
      </c>
      <c r="C132" s="74" t="s">
        <v>344</v>
      </c>
      <c r="D132" s="74" t="s">
        <v>1878</v>
      </c>
      <c r="E132" s="405"/>
      <c r="F132" s="401"/>
      <c r="G132" s="401"/>
      <c r="H132" s="401"/>
      <c r="I132" s="401"/>
      <c r="J132" s="324">
        <v>299.95299999999997</v>
      </c>
      <c r="K132" s="802"/>
      <c r="L132" s="407"/>
      <c r="M132" s="405" t="s">
        <v>951</v>
      </c>
      <c r="N132" s="406"/>
      <c r="O132" s="406"/>
      <c r="P132" s="800"/>
      <c r="Q132" s="800"/>
      <c r="R132" s="800"/>
      <c r="S132" s="801"/>
      <c r="T132" s="801"/>
    </row>
    <row r="133" spans="1:20">
      <c r="A133" s="401">
        <f t="shared" si="2"/>
        <v>128</v>
      </c>
      <c r="B133" s="74" t="s">
        <v>78</v>
      </c>
      <c r="C133" s="74" t="s">
        <v>133</v>
      </c>
      <c r="D133" s="74" t="s">
        <v>1879</v>
      </c>
      <c r="E133" s="405"/>
      <c r="F133" s="401"/>
      <c r="G133" s="401"/>
      <c r="H133" s="401"/>
      <c r="I133" s="401"/>
      <c r="J133" s="75" t="s">
        <v>876</v>
      </c>
      <c r="K133" s="404"/>
      <c r="L133" s="407"/>
      <c r="M133" s="405" t="s">
        <v>951</v>
      </c>
      <c r="N133" s="406"/>
      <c r="O133" s="406"/>
      <c r="P133" s="800"/>
      <c r="Q133" s="800"/>
      <c r="R133" s="800"/>
      <c r="S133" s="801"/>
      <c r="T133" s="801"/>
    </row>
    <row r="134" spans="1:20">
      <c r="A134" s="413"/>
      <c r="B134" s="573"/>
      <c r="C134" s="573"/>
      <c r="D134" s="573"/>
      <c r="E134" s="800"/>
      <c r="F134" s="413"/>
      <c r="G134" s="413"/>
      <c r="H134" s="413"/>
      <c r="I134" s="413"/>
      <c r="J134" s="429">
        <f>SUM(J6:J132)/1000</f>
        <v>40.337674</v>
      </c>
      <c r="K134" s="802"/>
      <c r="L134" s="407"/>
      <c r="M134" s="406"/>
      <c r="N134" s="406"/>
      <c r="O134" s="406"/>
      <c r="P134" s="800"/>
      <c r="Q134" s="800"/>
      <c r="R134" s="800"/>
      <c r="S134" s="801"/>
      <c r="T134" s="801"/>
    </row>
    <row r="135" spans="1:20" s="415" customFormat="1">
      <c r="A135" s="410"/>
      <c r="B135" s="411"/>
      <c r="C135" s="411"/>
      <c r="D135" s="412"/>
      <c r="E135" s="412"/>
      <c r="F135" s="413"/>
      <c r="G135" s="413"/>
      <c r="H135" s="413"/>
      <c r="I135" s="413"/>
      <c r="K135" s="414"/>
      <c r="L135" s="1492" t="s">
        <v>979</v>
      </c>
      <c r="M135" s="1492"/>
      <c r="N135" s="1492" t="s">
        <v>980</v>
      </c>
      <c r="O135" s="1492"/>
      <c r="P135" s="410"/>
      <c r="Q135" s="412"/>
      <c r="R135" s="412"/>
      <c r="S135" s="410"/>
      <c r="T135" s="410"/>
    </row>
    <row r="136" spans="1:20" s="415" customFormat="1">
      <c r="F136" s="413"/>
      <c r="H136" s="416"/>
      <c r="J136" s="416"/>
      <c r="K136" s="416"/>
      <c r="L136" s="417" t="s">
        <v>1006</v>
      </c>
      <c r="M136" s="419">
        <f>COUNT(A6:A133)</f>
        <v>128</v>
      </c>
      <c r="N136" s="417" t="s">
        <v>1006</v>
      </c>
      <c r="O136" s="419">
        <f>COUNT(A6:A133)</f>
        <v>128</v>
      </c>
      <c r="P136" s="410"/>
      <c r="Q136" s="410"/>
      <c r="R136" s="410"/>
    </row>
    <row r="137" spans="1:20" s="415" customFormat="1">
      <c r="F137" s="413"/>
      <c r="L137" s="417" t="s">
        <v>29</v>
      </c>
      <c r="M137" s="419">
        <f>COUNTIF(M6:M133, "Completed")</f>
        <v>76</v>
      </c>
      <c r="N137" s="417" t="s">
        <v>29</v>
      </c>
      <c r="O137" s="418">
        <f>COUNTIF(P6:P133,"Completed")</f>
        <v>30</v>
      </c>
      <c r="P137" s="410"/>
      <c r="Q137" s="410"/>
      <c r="R137" s="410"/>
    </row>
    <row r="138" spans="1:20" s="415" customFormat="1">
      <c r="F138" s="413"/>
      <c r="L138" s="417" t="s">
        <v>978</v>
      </c>
      <c r="M138" s="419">
        <f>COUNTIF(M6:M133, "WIP")</f>
        <v>5</v>
      </c>
      <c r="N138" s="417" t="s">
        <v>978</v>
      </c>
      <c r="O138" s="419">
        <f>COUNTIF(P6:P133, "WIP")</f>
        <v>2</v>
      </c>
      <c r="P138" s="410"/>
      <c r="Q138" s="410"/>
      <c r="R138" s="410"/>
    </row>
    <row r="139" spans="1:20" s="415" customFormat="1">
      <c r="F139" s="413"/>
      <c r="L139" s="417" t="s">
        <v>1077</v>
      </c>
      <c r="M139" s="419">
        <f>COUNTBLANK(M6:M133)</f>
        <v>10</v>
      </c>
      <c r="N139" s="417" t="s">
        <v>1077</v>
      </c>
      <c r="O139" s="418">
        <f>COUNTBLANK(P6:P133)</f>
        <v>96</v>
      </c>
      <c r="P139" s="420"/>
      <c r="Q139" s="420"/>
      <c r="R139" s="420"/>
    </row>
    <row r="140" spans="1:20" s="415" customFormat="1">
      <c r="L140" s="417" t="s">
        <v>982</v>
      </c>
      <c r="M140" s="419">
        <f>COUNTIF(M6:M133, "HOLD")</f>
        <v>30</v>
      </c>
      <c r="N140" s="417" t="s">
        <v>982</v>
      </c>
      <c r="O140" s="418">
        <f>COUNTIF(P6:P133, "HOLD")</f>
        <v>0</v>
      </c>
      <c r="P140" s="420"/>
      <c r="Q140" s="420"/>
      <c r="R140" s="420"/>
    </row>
    <row r="141" spans="1:20">
      <c r="L141" s="417" t="s">
        <v>977</v>
      </c>
      <c r="M141" s="419">
        <f>COUNTIF(L6:L133, "ROW")</f>
        <v>9</v>
      </c>
      <c r="N141" s="417" t="s">
        <v>977</v>
      </c>
      <c r="O141" s="418">
        <f>COUNTIF(P6:P133, "ROW")</f>
        <v>0</v>
      </c>
    </row>
    <row r="142" spans="1:20" ht="30">
      <c r="L142" s="421" t="s">
        <v>983</v>
      </c>
      <c r="M142" s="419">
        <f>COUNTIF(O6:O133, "Completed")</f>
        <v>52</v>
      </c>
      <c r="N142" s="946" t="s">
        <v>984</v>
      </c>
      <c r="O142" s="418">
        <f>COUNTIF(R6:R133, "Completed")</f>
        <v>0</v>
      </c>
    </row>
    <row r="143" spans="1:20">
      <c r="L143" s="422"/>
      <c r="M143" s="422"/>
      <c r="N143" s="422"/>
    </row>
    <row r="144" spans="1:20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4">
      <c r="L353" s="422"/>
      <c r="M353" s="422"/>
      <c r="N353" s="422"/>
    </row>
    <row r="354" spans="12:14">
      <c r="L354" s="422"/>
      <c r="M354" s="422"/>
      <c r="N354" s="422"/>
    </row>
    <row r="355" spans="12:14">
      <c r="L355" s="422"/>
      <c r="M355" s="422"/>
      <c r="N355" s="422"/>
    </row>
    <row r="356" spans="12:14">
      <c r="L356" s="422"/>
      <c r="M356" s="422"/>
      <c r="N356" s="422"/>
    </row>
    <row r="357" spans="12:14">
      <c r="L357" s="422"/>
      <c r="M357" s="422"/>
      <c r="N357" s="422"/>
    </row>
    <row r="358" spans="12:14">
      <c r="L358" s="422"/>
      <c r="M358" s="422"/>
      <c r="N358" s="422"/>
    </row>
    <row r="359" spans="12:14">
      <c r="L359" s="422"/>
      <c r="M359" s="422"/>
      <c r="N359" s="422"/>
    </row>
    <row r="360" spans="12:14">
      <c r="L360" s="422"/>
      <c r="M360" s="422"/>
      <c r="N360" s="422"/>
    </row>
    <row r="361" spans="12:14">
      <c r="L361" s="422"/>
      <c r="M361" s="422"/>
      <c r="N361" s="422"/>
    </row>
    <row r="362" spans="12:14">
      <c r="L362" s="422"/>
      <c r="M362" s="422"/>
      <c r="N362" s="422"/>
    </row>
    <row r="363" spans="12:14">
      <c r="L363" s="422"/>
      <c r="M363" s="422"/>
      <c r="N363" s="422"/>
    </row>
    <row r="364" spans="12:14">
      <c r="L364" s="422"/>
      <c r="M364" s="422"/>
      <c r="N364" s="422"/>
    </row>
    <row r="365" spans="12:14">
      <c r="L365" s="422"/>
      <c r="M365" s="422"/>
      <c r="N365" s="422"/>
    </row>
    <row r="366" spans="12:14">
      <c r="L366" s="422"/>
      <c r="M366" s="422"/>
      <c r="N366" s="422"/>
    </row>
    <row r="367" spans="12:14">
      <c r="L367" s="422"/>
      <c r="M367" s="422"/>
      <c r="N367" s="422"/>
    </row>
    <row r="368" spans="12:14">
      <c r="L368" s="422"/>
      <c r="M368" s="422"/>
      <c r="N368" s="422"/>
    </row>
    <row r="369" spans="12:14">
      <c r="L369" s="422"/>
      <c r="M369" s="422"/>
      <c r="N369" s="422"/>
    </row>
    <row r="370" spans="12:14">
      <c r="L370" s="422"/>
      <c r="M370" s="422"/>
      <c r="N370" s="422"/>
    </row>
    <row r="371" spans="12:14">
      <c r="L371" s="422"/>
      <c r="M371" s="422"/>
      <c r="N371" s="422"/>
    </row>
    <row r="372" spans="12:14">
      <c r="L372" s="422"/>
      <c r="M372" s="422"/>
      <c r="N372" s="422"/>
    </row>
    <row r="373" spans="12:14">
      <c r="L373" s="422"/>
      <c r="M373" s="422"/>
      <c r="N373" s="422"/>
    </row>
    <row r="374" spans="12:14">
      <c r="L374" s="422"/>
      <c r="M374" s="422"/>
      <c r="N374" s="422"/>
    </row>
    <row r="375" spans="12:14">
      <c r="L375" s="422"/>
      <c r="M375" s="422"/>
      <c r="N375" s="422"/>
    </row>
    <row r="376" spans="12:14">
      <c r="L376" s="422"/>
      <c r="M376" s="422"/>
      <c r="N376" s="422"/>
    </row>
    <row r="377" spans="12:14">
      <c r="L377" s="422"/>
      <c r="M377" s="422"/>
      <c r="N377" s="422"/>
    </row>
    <row r="378" spans="12:14">
      <c r="L378" s="422"/>
      <c r="M378" s="422"/>
      <c r="N378" s="422"/>
    </row>
    <row r="379" spans="12:14">
      <c r="L379" s="422"/>
      <c r="M379" s="422"/>
      <c r="N379" s="422"/>
    </row>
    <row r="380" spans="12:14">
      <c r="L380" s="422"/>
      <c r="M380" s="422"/>
      <c r="N380" s="422"/>
    </row>
    <row r="381" spans="12:14">
      <c r="L381" s="422"/>
      <c r="M381" s="422"/>
      <c r="N381" s="422"/>
    </row>
    <row r="382" spans="12:14">
      <c r="L382" s="422"/>
      <c r="M382" s="422"/>
      <c r="N382" s="422"/>
    </row>
    <row r="383" spans="12:14">
      <c r="L383" s="422"/>
      <c r="M383" s="422"/>
      <c r="N383" s="422"/>
    </row>
    <row r="384" spans="12:14">
      <c r="L384" s="422"/>
      <c r="M384" s="422"/>
      <c r="N384" s="422"/>
    </row>
    <row r="385" spans="12:14">
      <c r="L385" s="422"/>
      <c r="M385" s="422"/>
      <c r="N385" s="422"/>
    </row>
    <row r="386" spans="12:14">
      <c r="L386" s="422"/>
      <c r="M386" s="422"/>
      <c r="N386" s="422"/>
    </row>
    <row r="387" spans="12:14">
      <c r="L387" s="422"/>
      <c r="M387" s="422"/>
      <c r="N387" s="422"/>
    </row>
    <row r="388" spans="12:14">
      <c r="L388" s="422"/>
      <c r="M388" s="422"/>
      <c r="N388" s="422"/>
    </row>
    <row r="389" spans="12:14">
      <c r="L389" s="422"/>
      <c r="M389" s="422"/>
      <c r="N389" s="422"/>
    </row>
    <row r="390" spans="12:14">
      <c r="L390" s="422"/>
      <c r="M390" s="422"/>
      <c r="N390" s="422"/>
    </row>
    <row r="391" spans="12:14">
      <c r="L391" s="422"/>
      <c r="M391" s="422"/>
      <c r="N391" s="422"/>
    </row>
    <row r="392" spans="12:14">
      <c r="L392" s="422"/>
      <c r="M392" s="422"/>
      <c r="N392" s="422"/>
    </row>
    <row r="393" spans="12:14">
      <c r="L393" s="422"/>
      <c r="M393" s="422"/>
      <c r="N393" s="422"/>
    </row>
    <row r="394" spans="12:14">
      <c r="L394" s="422"/>
      <c r="M394" s="422"/>
      <c r="N394" s="422"/>
    </row>
    <row r="395" spans="12:14">
      <c r="L395" s="422"/>
      <c r="M395" s="422"/>
      <c r="N395" s="422"/>
    </row>
    <row r="396" spans="12:14">
      <c r="L396" s="422"/>
      <c r="M396" s="422"/>
      <c r="N396" s="422"/>
    </row>
    <row r="397" spans="12:14">
      <c r="L397" s="422"/>
      <c r="M397" s="422"/>
      <c r="N397" s="422"/>
    </row>
    <row r="398" spans="12:14">
      <c r="L398" s="422"/>
      <c r="M398" s="422"/>
      <c r="N398" s="422"/>
    </row>
    <row r="399" spans="12:14">
      <c r="L399" s="422"/>
      <c r="M399" s="422"/>
      <c r="N399" s="422"/>
    </row>
    <row r="400" spans="12:14">
      <c r="L400" s="422"/>
      <c r="M400" s="422"/>
      <c r="N400" s="422"/>
    </row>
    <row r="401" spans="12:14">
      <c r="L401" s="422"/>
      <c r="M401" s="422"/>
      <c r="N401" s="422"/>
    </row>
    <row r="402" spans="12:14">
      <c r="L402" s="422"/>
      <c r="M402" s="422"/>
      <c r="N402" s="422"/>
    </row>
    <row r="403" spans="12:14">
      <c r="L403" s="422"/>
      <c r="M403" s="422"/>
      <c r="N403" s="422"/>
    </row>
    <row r="404" spans="12:14">
      <c r="L404" s="422"/>
      <c r="M404" s="422"/>
      <c r="N404" s="422"/>
    </row>
    <row r="405" spans="12:14">
      <c r="L405" s="422"/>
      <c r="M405" s="422"/>
      <c r="N405" s="422"/>
    </row>
    <row r="406" spans="12:14">
      <c r="L406" s="422"/>
      <c r="M406" s="422"/>
      <c r="N406" s="422"/>
    </row>
    <row r="407" spans="12:14">
      <c r="L407" s="422"/>
      <c r="M407" s="422"/>
      <c r="N407" s="422"/>
    </row>
    <row r="408" spans="12:14">
      <c r="L408" s="422"/>
      <c r="M408" s="422"/>
      <c r="N408" s="422"/>
    </row>
    <row r="409" spans="12:14">
      <c r="L409" s="422"/>
      <c r="M409" s="422"/>
      <c r="N409" s="422"/>
    </row>
    <row r="410" spans="12:14">
      <c r="L410" s="422"/>
      <c r="M410" s="422"/>
      <c r="N410" s="422"/>
    </row>
    <row r="411" spans="12:14">
      <c r="L411" s="422"/>
      <c r="M411" s="422"/>
      <c r="N411" s="422"/>
    </row>
    <row r="412" spans="12:14">
      <c r="L412" s="422"/>
      <c r="M412" s="422"/>
      <c r="N412" s="422"/>
    </row>
    <row r="413" spans="12:14">
      <c r="L413" s="422"/>
      <c r="M413" s="422"/>
      <c r="N413" s="422"/>
    </row>
    <row r="414" spans="12:14">
      <c r="L414" s="422"/>
      <c r="M414" s="422"/>
      <c r="N414" s="422"/>
    </row>
    <row r="415" spans="12:14">
      <c r="L415" s="422"/>
      <c r="M415" s="422"/>
      <c r="N415" s="422"/>
    </row>
    <row r="416" spans="12:14">
      <c r="L416" s="422"/>
      <c r="M416" s="422"/>
      <c r="N416" s="422"/>
    </row>
    <row r="417" spans="12:14">
      <c r="L417" s="422"/>
      <c r="M417" s="422"/>
      <c r="N417" s="422"/>
    </row>
    <row r="418" spans="12:14">
      <c r="L418" s="422"/>
      <c r="M418" s="422"/>
      <c r="N418" s="422"/>
    </row>
    <row r="419" spans="12:14">
      <c r="L419" s="422"/>
      <c r="M419" s="422"/>
      <c r="N419" s="422"/>
    </row>
    <row r="420" spans="12:14">
      <c r="L420" s="422"/>
      <c r="M420" s="422"/>
      <c r="N420" s="422"/>
    </row>
    <row r="421" spans="12:14">
      <c r="L421" s="422"/>
      <c r="M421" s="422"/>
      <c r="N421" s="422"/>
    </row>
    <row r="422" spans="12:14">
      <c r="L422" s="422"/>
      <c r="M422" s="422"/>
      <c r="N422" s="422"/>
    </row>
    <row r="423" spans="12:14">
      <c r="L423" s="422"/>
      <c r="M423" s="422"/>
      <c r="N423" s="422"/>
    </row>
    <row r="424" spans="12:14">
      <c r="L424" s="422"/>
      <c r="M424" s="422"/>
      <c r="N424" s="422"/>
    </row>
    <row r="425" spans="12:14">
      <c r="L425" s="422"/>
      <c r="M425" s="422"/>
      <c r="N425" s="422"/>
    </row>
    <row r="426" spans="12:14">
      <c r="L426" s="422"/>
      <c r="M426" s="422"/>
      <c r="N426" s="422"/>
    </row>
    <row r="427" spans="12:14">
      <c r="L427" s="422"/>
      <c r="M427" s="422"/>
      <c r="N427" s="422"/>
    </row>
    <row r="428" spans="12:14">
      <c r="L428" s="422"/>
      <c r="M428" s="422"/>
      <c r="N428" s="422"/>
    </row>
    <row r="429" spans="12:14">
      <c r="L429" s="422"/>
      <c r="M429" s="422"/>
      <c r="N429" s="422"/>
    </row>
    <row r="430" spans="12:14">
      <c r="L430" s="422"/>
      <c r="M430" s="422"/>
      <c r="N430" s="422"/>
    </row>
    <row r="431" spans="12:14">
      <c r="L431" s="422"/>
      <c r="M431" s="422"/>
      <c r="N431" s="422"/>
    </row>
    <row r="432" spans="12:14">
      <c r="L432" s="422"/>
      <c r="M432" s="422"/>
      <c r="N432" s="422"/>
    </row>
    <row r="433" spans="12:14">
      <c r="L433" s="422"/>
      <c r="M433" s="422"/>
      <c r="N433" s="422"/>
    </row>
    <row r="434" spans="12:14">
      <c r="L434" s="422"/>
      <c r="M434" s="422"/>
      <c r="N434" s="422"/>
    </row>
    <row r="435" spans="12:14">
      <c r="L435" s="422"/>
      <c r="M435" s="422"/>
      <c r="N435" s="422"/>
    </row>
    <row r="436" spans="12:14">
      <c r="L436" s="422"/>
      <c r="M436" s="422"/>
      <c r="N436" s="422"/>
    </row>
    <row r="437" spans="12:14">
      <c r="L437" s="422"/>
      <c r="M437" s="422"/>
      <c r="N437" s="422"/>
    </row>
    <row r="438" spans="12:14">
      <c r="L438" s="422"/>
      <c r="M438" s="422"/>
      <c r="N438" s="422"/>
    </row>
    <row r="439" spans="12:14">
      <c r="L439" s="422"/>
      <c r="M439" s="422"/>
      <c r="N439" s="422"/>
    </row>
    <row r="440" spans="12:14">
      <c r="L440" s="422"/>
      <c r="M440" s="422"/>
      <c r="N440" s="422"/>
    </row>
    <row r="441" spans="12:14">
      <c r="L441" s="422"/>
      <c r="M441" s="422"/>
      <c r="N441" s="422"/>
    </row>
    <row r="442" spans="12:14">
      <c r="L442" s="422"/>
      <c r="M442" s="422"/>
      <c r="N442" s="422"/>
    </row>
    <row r="443" spans="12:14">
      <c r="L443" s="422"/>
      <c r="M443" s="422"/>
      <c r="N443" s="422"/>
    </row>
    <row r="444" spans="12:14">
      <c r="L444" s="422"/>
      <c r="M444" s="422"/>
      <c r="N444" s="422"/>
    </row>
    <row r="445" spans="12:14">
      <c r="L445" s="422"/>
      <c r="M445" s="422"/>
      <c r="N445" s="422"/>
    </row>
    <row r="446" spans="12:14">
      <c r="L446" s="422"/>
      <c r="M446" s="422"/>
      <c r="N446" s="422"/>
    </row>
    <row r="447" spans="12:14">
      <c r="L447" s="422"/>
      <c r="M447" s="422"/>
      <c r="N447" s="422"/>
    </row>
    <row r="448" spans="12:14">
      <c r="L448" s="422"/>
      <c r="M448" s="422"/>
      <c r="N448" s="422"/>
    </row>
    <row r="449" spans="12:18">
      <c r="L449" s="422"/>
      <c r="M449" s="422"/>
      <c r="N449" s="422"/>
    </row>
    <row r="450" spans="12:18">
      <c r="L450" s="422"/>
      <c r="M450" s="422"/>
      <c r="N450" s="422"/>
    </row>
    <row r="451" spans="12:18">
      <c r="L451" s="422"/>
      <c r="M451" s="422"/>
      <c r="N451" s="422"/>
    </row>
    <row r="452" spans="12:18">
      <c r="L452" s="422"/>
      <c r="M452" s="422"/>
      <c r="N452" s="422"/>
    </row>
    <row r="453" spans="12:18">
      <c r="L453" s="422"/>
      <c r="M453" s="422"/>
      <c r="N453" s="422"/>
    </row>
    <row r="454" spans="12:18">
      <c r="L454" s="422"/>
      <c r="M454" s="422"/>
      <c r="N454" s="422"/>
    </row>
    <row r="455" spans="12:18">
      <c r="L455" s="422"/>
      <c r="M455" s="422"/>
      <c r="N455" s="422"/>
    </row>
    <row r="456" spans="12:18">
      <c r="L456" s="422"/>
      <c r="M456" s="422"/>
      <c r="N456" s="422"/>
    </row>
    <row r="457" spans="12:18">
      <c r="L457" s="422"/>
      <c r="M457" s="422"/>
      <c r="N457" s="422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2:18">
      <c r="L481" s="422"/>
      <c r="M481" s="422"/>
      <c r="N481" s="422"/>
      <c r="O481" s="400"/>
      <c r="P481" s="400"/>
      <c r="Q481" s="400"/>
      <c r="R481" s="400"/>
    </row>
    <row r="482" spans="12:18">
      <c r="L482" s="422"/>
      <c r="M482" s="422"/>
      <c r="N482" s="422"/>
      <c r="O482" s="400"/>
      <c r="P482" s="400"/>
      <c r="Q482" s="400"/>
      <c r="R482" s="400"/>
    </row>
    <row r="483" spans="12:18">
      <c r="L483" s="422"/>
      <c r="M483" s="422"/>
      <c r="N483" s="422"/>
      <c r="O483" s="400"/>
      <c r="P483" s="400"/>
      <c r="Q483" s="400"/>
      <c r="R483" s="400"/>
    </row>
    <row r="484" spans="12:18">
      <c r="L484" s="422"/>
      <c r="M484" s="422"/>
      <c r="N484" s="422"/>
      <c r="O484" s="400"/>
      <c r="P484" s="400"/>
      <c r="Q484" s="400"/>
      <c r="R484" s="400"/>
    </row>
    <row r="485" spans="12:18">
      <c r="L485" s="422"/>
      <c r="M485" s="422"/>
      <c r="N485" s="422"/>
      <c r="O485" s="400"/>
      <c r="P485" s="400"/>
      <c r="Q485" s="400"/>
      <c r="R485" s="400"/>
    </row>
    <row r="486" spans="12:18">
      <c r="L486" s="422"/>
      <c r="M486" s="422"/>
      <c r="N486" s="422"/>
      <c r="O486" s="400"/>
      <c r="P486" s="400"/>
      <c r="Q486" s="400"/>
      <c r="R486" s="400"/>
    </row>
    <row r="487" spans="12:18">
      <c r="L487" s="422"/>
      <c r="M487" s="422"/>
      <c r="N487" s="422"/>
      <c r="O487" s="400"/>
      <c r="P487" s="400"/>
      <c r="Q487" s="400"/>
      <c r="R487" s="400"/>
    </row>
    <row r="488" spans="12:18">
      <c r="L488" s="422"/>
      <c r="M488" s="422"/>
      <c r="N488" s="422"/>
      <c r="O488" s="400"/>
      <c r="P488" s="400"/>
      <c r="Q488" s="400"/>
      <c r="R488" s="400"/>
    </row>
    <row r="489" spans="12:18">
      <c r="L489" s="422"/>
      <c r="M489" s="422"/>
      <c r="N489" s="422"/>
      <c r="O489" s="400"/>
      <c r="P489" s="400"/>
      <c r="Q489" s="400"/>
      <c r="R489" s="400"/>
    </row>
    <row r="490" spans="12:18">
      <c r="L490" s="422"/>
      <c r="M490" s="422"/>
      <c r="N490" s="422"/>
      <c r="O490" s="400"/>
      <c r="P490" s="400"/>
      <c r="Q490" s="400"/>
      <c r="R490" s="400"/>
    </row>
    <row r="491" spans="12:18">
      <c r="L491" s="422"/>
      <c r="M491" s="422"/>
      <c r="N491" s="422"/>
      <c r="O491" s="400"/>
      <c r="P491" s="400"/>
      <c r="Q491" s="400"/>
      <c r="R491" s="400"/>
    </row>
    <row r="492" spans="12:18">
      <c r="L492" s="422"/>
      <c r="M492" s="422"/>
      <c r="N492" s="422"/>
      <c r="O492" s="400"/>
      <c r="P492" s="400"/>
      <c r="Q492" s="400"/>
      <c r="R492" s="400"/>
    </row>
    <row r="493" spans="12:18">
      <c r="L493" s="422"/>
      <c r="M493" s="422"/>
      <c r="N493" s="422"/>
      <c r="O493" s="400"/>
      <c r="P493" s="400"/>
      <c r="Q493" s="400"/>
      <c r="R493" s="400"/>
    </row>
    <row r="494" spans="12:18">
      <c r="L494" s="422"/>
      <c r="M494" s="422"/>
      <c r="N494" s="422"/>
      <c r="O494" s="400"/>
      <c r="P494" s="400"/>
      <c r="Q494" s="400"/>
      <c r="R494" s="400"/>
    </row>
    <row r="495" spans="12:18">
      <c r="L495" s="422"/>
      <c r="M495" s="422"/>
      <c r="N495" s="422"/>
      <c r="O495" s="400"/>
      <c r="P495" s="400"/>
      <c r="Q495" s="400"/>
      <c r="R495" s="400"/>
    </row>
    <row r="496" spans="12:18">
      <c r="L496" s="422"/>
      <c r="M496" s="422"/>
      <c r="N496" s="422"/>
      <c r="O496" s="400"/>
      <c r="P496" s="400"/>
      <c r="Q496" s="400"/>
      <c r="R496" s="400"/>
    </row>
    <row r="497" spans="12:18">
      <c r="L497" s="422"/>
      <c r="M497" s="422"/>
      <c r="N497" s="422"/>
      <c r="O497" s="400"/>
      <c r="P497" s="400"/>
      <c r="Q497" s="400"/>
      <c r="R497" s="400"/>
    </row>
    <row r="498" spans="12:18">
      <c r="L498" s="422"/>
      <c r="M498" s="422"/>
      <c r="N498" s="422"/>
      <c r="O498" s="400"/>
      <c r="P498" s="400"/>
      <c r="Q498" s="400"/>
      <c r="R498" s="400"/>
    </row>
    <row r="499" spans="12:18">
      <c r="L499" s="422"/>
      <c r="M499" s="422"/>
      <c r="N499" s="422"/>
      <c r="O499" s="400"/>
      <c r="P499" s="400"/>
      <c r="Q499" s="400"/>
      <c r="R499" s="400"/>
    </row>
    <row r="500" spans="12:18">
      <c r="L500" s="422"/>
      <c r="M500" s="422"/>
      <c r="N500" s="422"/>
      <c r="O500" s="400"/>
      <c r="P500" s="400"/>
      <c r="Q500" s="400"/>
      <c r="R500" s="400"/>
    </row>
    <row r="501" spans="12:18">
      <c r="L501" s="422"/>
      <c r="M501" s="422"/>
      <c r="N501" s="422"/>
      <c r="O501" s="400"/>
      <c r="P501" s="400"/>
      <c r="Q501" s="400"/>
      <c r="R501" s="400"/>
    </row>
    <row r="502" spans="12:18">
      <c r="L502" s="422"/>
      <c r="M502" s="422"/>
      <c r="N502" s="422"/>
      <c r="O502" s="400"/>
      <c r="P502" s="400"/>
      <c r="Q502" s="400"/>
      <c r="R502" s="400"/>
    </row>
    <row r="503" spans="12:18">
      <c r="L503" s="422"/>
      <c r="M503" s="422"/>
      <c r="N503" s="422"/>
      <c r="O503" s="400"/>
      <c r="P503" s="400"/>
      <c r="Q503" s="400"/>
      <c r="R503" s="400"/>
    </row>
    <row r="504" spans="12:18">
      <c r="L504" s="422"/>
      <c r="M504" s="422"/>
      <c r="N504" s="422"/>
      <c r="O504" s="400"/>
      <c r="P504" s="400"/>
      <c r="Q504" s="400"/>
      <c r="R504" s="400"/>
    </row>
    <row r="505" spans="12:18">
      <c r="L505" s="422"/>
      <c r="M505" s="422"/>
      <c r="N505" s="422"/>
      <c r="O505" s="400"/>
      <c r="P505" s="400"/>
      <c r="Q505" s="400"/>
      <c r="R505" s="400"/>
    </row>
    <row r="506" spans="12:18">
      <c r="L506" s="422"/>
      <c r="M506" s="422"/>
      <c r="N506" s="422"/>
      <c r="O506" s="400"/>
      <c r="P506" s="400"/>
      <c r="Q506" s="400"/>
      <c r="R506" s="400"/>
    </row>
    <row r="507" spans="12:18">
      <c r="L507" s="422"/>
      <c r="M507" s="422"/>
      <c r="N507" s="422"/>
      <c r="O507" s="400"/>
      <c r="P507" s="400"/>
      <c r="Q507" s="400"/>
      <c r="R507" s="400"/>
    </row>
    <row r="508" spans="12:18">
      <c r="L508" s="422"/>
      <c r="M508" s="422"/>
      <c r="N508" s="422"/>
      <c r="O508" s="400"/>
      <c r="P508" s="400"/>
      <c r="Q508" s="400"/>
      <c r="R508" s="400"/>
    </row>
    <row r="509" spans="12:18">
      <c r="L509" s="422"/>
      <c r="M509" s="422"/>
      <c r="N509" s="422"/>
      <c r="O509" s="400"/>
      <c r="P509" s="400"/>
      <c r="Q509" s="400"/>
      <c r="R509" s="400"/>
    </row>
    <row r="510" spans="12:18">
      <c r="L510" s="422"/>
      <c r="M510" s="422"/>
      <c r="N510" s="422"/>
      <c r="O510" s="400"/>
      <c r="P510" s="400"/>
      <c r="Q510" s="400"/>
      <c r="R510" s="400"/>
    </row>
    <row r="511" spans="12:18">
      <c r="L511" s="422"/>
      <c r="M511" s="422"/>
      <c r="N511" s="422"/>
      <c r="O511" s="400"/>
      <c r="P511" s="400"/>
      <c r="Q511" s="400"/>
      <c r="R511" s="400"/>
    </row>
    <row r="512" spans="12:18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  <row r="514" spans="12:18">
      <c r="L514" s="422"/>
      <c r="M514" s="422"/>
      <c r="N514" s="422"/>
      <c r="O514" s="400"/>
      <c r="P514" s="400"/>
      <c r="Q514" s="400"/>
      <c r="R514" s="400"/>
    </row>
    <row r="515" spans="12:18">
      <c r="L515" s="422"/>
      <c r="M515" s="422"/>
      <c r="N515" s="422"/>
      <c r="O515" s="400"/>
      <c r="P515" s="400"/>
      <c r="Q515" s="400"/>
      <c r="R515" s="400"/>
    </row>
    <row r="516" spans="12:18">
      <c r="L516" s="422"/>
      <c r="M516" s="422"/>
      <c r="N516" s="422"/>
      <c r="O516" s="400"/>
      <c r="P516" s="400"/>
      <c r="Q516" s="400"/>
      <c r="R516" s="400"/>
    </row>
    <row r="517" spans="12:18">
      <c r="L517" s="422"/>
      <c r="M517" s="422"/>
      <c r="N517" s="422"/>
      <c r="O517" s="400"/>
      <c r="P517" s="400"/>
      <c r="Q517" s="400"/>
      <c r="R517" s="400"/>
    </row>
    <row r="518" spans="12:18">
      <c r="L518" s="422"/>
      <c r="M518" s="422"/>
      <c r="N518" s="422"/>
      <c r="O518" s="400"/>
      <c r="P518" s="400"/>
      <c r="Q518" s="400"/>
      <c r="R518" s="400"/>
    </row>
    <row r="519" spans="12:18">
      <c r="L519" s="422"/>
      <c r="M519" s="422"/>
      <c r="N519" s="422"/>
      <c r="O519" s="400"/>
      <c r="P519" s="400"/>
      <c r="Q519" s="400"/>
      <c r="R519" s="400"/>
    </row>
    <row r="520" spans="12:18">
      <c r="L520" s="422"/>
      <c r="M520" s="422"/>
      <c r="N520" s="422"/>
      <c r="O520" s="400"/>
      <c r="P520" s="400"/>
      <c r="Q520" s="400"/>
      <c r="R520" s="400"/>
    </row>
    <row r="521" spans="12:18">
      <c r="L521" s="422"/>
      <c r="M521" s="422"/>
      <c r="N521" s="422"/>
      <c r="O521" s="400"/>
      <c r="P521" s="400"/>
      <c r="Q521" s="400"/>
      <c r="R521" s="400"/>
    </row>
    <row r="522" spans="12:18">
      <c r="L522" s="422"/>
      <c r="M522" s="422"/>
      <c r="N522" s="422"/>
      <c r="O522" s="400"/>
      <c r="P522" s="400"/>
      <c r="Q522" s="400"/>
      <c r="R522" s="400"/>
    </row>
    <row r="523" spans="12:18">
      <c r="L523" s="422"/>
      <c r="M523" s="422"/>
      <c r="N523" s="422"/>
      <c r="O523" s="400"/>
      <c r="P523" s="400"/>
      <c r="Q523" s="400"/>
      <c r="R523" s="400"/>
    </row>
    <row r="524" spans="12:18">
      <c r="L524" s="422"/>
      <c r="M524" s="422"/>
      <c r="N524" s="422"/>
      <c r="O524" s="400"/>
      <c r="P524" s="400"/>
      <c r="Q524" s="400"/>
      <c r="R524" s="400"/>
    </row>
    <row r="525" spans="12:18">
      <c r="L525" s="422"/>
      <c r="M525" s="422"/>
      <c r="N525" s="422"/>
      <c r="O525" s="400"/>
      <c r="P525" s="400"/>
      <c r="Q525" s="400"/>
      <c r="R525" s="400"/>
    </row>
    <row r="526" spans="12:18">
      <c r="L526" s="422"/>
      <c r="M526" s="422"/>
      <c r="N526" s="422"/>
      <c r="O526" s="400"/>
      <c r="P526" s="400"/>
      <c r="Q526" s="400"/>
      <c r="R526" s="400"/>
    </row>
    <row r="527" spans="12:18">
      <c r="L527" s="422"/>
      <c r="M527" s="422"/>
      <c r="N527" s="422"/>
      <c r="O527" s="400"/>
      <c r="P527" s="400"/>
      <c r="Q527" s="400"/>
      <c r="R527" s="400"/>
    </row>
    <row r="528" spans="12:18">
      <c r="L528" s="422"/>
      <c r="M528" s="422"/>
      <c r="N528" s="422"/>
      <c r="O528" s="400"/>
      <c r="P528" s="400"/>
      <c r="Q528" s="400"/>
      <c r="R528" s="400"/>
    </row>
    <row r="529" spans="12:18">
      <c r="L529" s="422"/>
      <c r="M529" s="422"/>
      <c r="N529" s="422"/>
      <c r="O529" s="400"/>
      <c r="P529" s="400"/>
      <c r="Q529" s="400"/>
      <c r="R529" s="400"/>
    </row>
    <row r="530" spans="12:18">
      <c r="L530" s="422"/>
      <c r="M530" s="422"/>
      <c r="N530" s="422"/>
      <c r="O530" s="400"/>
      <c r="P530" s="400"/>
      <c r="Q530" s="400"/>
      <c r="R530" s="400"/>
    </row>
    <row r="531" spans="12:18">
      <c r="L531" s="422"/>
      <c r="M531" s="422"/>
      <c r="N531" s="422"/>
      <c r="O531" s="400"/>
      <c r="P531" s="400"/>
      <c r="Q531" s="400"/>
      <c r="R531" s="400"/>
    </row>
    <row r="532" spans="12:18">
      <c r="L532" s="422"/>
      <c r="M532" s="422"/>
      <c r="N532" s="422"/>
      <c r="O532" s="400"/>
      <c r="P532" s="400"/>
      <c r="Q532" s="400"/>
      <c r="R532" s="400"/>
    </row>
    <row r="533" spans="12:18">
      <c r="L533" s="422"/>
      <c r="M533" s="422"/>
      <c r="N533" s="422"/>
      <c r="O533" s="400"/>
      <c r="P533" s="400"/>
      <c r="Q533" s="400"/>
      <c r="R533" s="400"/>
    </row>
    <row r="534" spans="12:18">
      <c r="L534" s="422"/>
      <c r="M534" s="422"/>
      <c r="N534" s="422"/>
      <c r="O534" s="400"/>
      <c r="P534" s="400"/>
      <c r="Q534" s="400"/>
      <c r="R534" s="400"/>
    </row>
    <row r="535" spans="12:18">
      <c r="L535" s="422"/>
      <c r="M535" s="422"/>
      <c r="N535" s="422"/>
      <c r="O535" s="400"/>
      <c r="P535" s="400"/>
      <c r="Q535" s="400"/>
      <c r="R535" s="400"/>
    </row>
    <row r="536" spans="12:18">
      <c r="L536" s="422"/>
      <c r="M536" s="422"/>
      <c r="N536" s="422"/>
      <c r="O536" s="400"/>
      <c r="P536" s="400"/>
      <c r="Q536" s="400"/>
      <c r="R536" s="400"/>
    </row>
    <row r="537" spans="12:18">
      <c r="L537" s="422"/>
      <c r="M537" s="422"/>
      <c r="N537" s="422"/>
      <c r="O537" s="400"/>
      <c r="P537" s="400"/>
      <c r="Q537" s="400"/>
      <c r="R537" s="400"/>
    </row>
    <row r="538" spans="12:18">
      <c r="L538" s="422"/>
      <c r="M538" s="422"/>
      <c r="N538" s="422"/>
      <c r="O538" s="400"/>
      <c r="P538" s="400"/>
      <c r="Q538" s="400"/>
      <c r="R538" s="400"/>
    </row>
    <row r="539" spans="12:18">
      <c r="L539" s="422"/>
      <c r="M539" s="422"/>
      <c r="N539" s="422"/>
      <c r="O539" s="400"/>
      <c r="P539" s="400"/>
      <c r="Q539" s="400"/>
      <c r="R539" s="400"/>
    </row>
    <row r="540" spans="12:18">
      <c r="L540" s="422"/>
      <c r="M540" s="422"/>
      <c r="N540" s="422"/>
      <c r="O540" s="400"/>
      <c r="P540" s="400"/>
      <c r="Q540" s="400"/>
      <c r="R540" s="400"/>
    </row>
    <row r="541" spans="12:18">
      <c r="L541" s="422"/>
      <c r="M541" s="422"/>
      <c r="N541" s="422"/>
      <c r="O541" s="400"/>
      <c r="P541" s="400"/>
      <c r="Q541" s="400"/>
      <c r="R541" s="400"/>
    </row>
    <row r="542" spans="12:18">
      <c r="L542" s="422"/>
      <c r="M542" s="422"/>
      <c r="N542" s="422"/>
      <c r="O542" s="400"/>
      <c r="P542" s="400"/>
      <c r="Q542" s="400"/>
      <c r="R542" s="400"/>
    </row>
    <row r="543" spans="12:18">
      <c r="L543" s="422"/>
      <c r="M543" s="422"/>
      <c r="N543" s="422"/>
      <c r="O543" s="400"/>
      <c r="P543" s="400"/>
      <c r="Q543" s="400"/>
      <c r="R543" s="400"/>
    </row>
    <row r="544" spans="12:18">
      <c r="L544" s="422"/>
      <c r="M544" s="422"/>
      <c r="N544" s="422"/>
      <c r="O544" s="400"/>
      <c r="P544" s="400"/>
      <c r="Q544" s="400"/>
      <c r="R544" s="400"/>
    </row>
    <row r="545" spans="12:18">
      <c r="L545" s="422"/>
      <c r="M545" s="422"/>
      <c r="N545" s="422"/>
      <c r="O545" s="400"/>
      <c r="P545" s="400"/>
      <c r="Q545" s="400"/>
      <c r="R545" s="400"/>
    </row>
    <row r="546" spans="12:18">
      <c r="L546" s="422"/>
      <c r="M546" s="422"/>
      <c r="N546" s="422"/>
      <c r="O546" s="400"/>
      <c r="P546" s="400"/>
      <c r="Q546" s="400"/>
      <c r="R546" s="400"/>
    </row>
    <row r="547" spans="12:18">
      <c r="L547" s="422"/>
      <c r="M547" s="422"/>
      <c r="N547" s="422"/>
      <c r="O547" s="400"/>
      <c r="P547" s="400"/>
      <c r="Q547" s="400"/>
      <c r="R547" s="400"/>
    </row>
    <row r="548" spans="12:18">
      <c r="L548" s="422"/>
      <c r="M548" s="422"/>
      <c r="N548" s="422"/>
      <c r="O548" s="400"/>
      <c r="P548" s="400"/>
      <c r="Q548" s="400"/>
      <c r="R548" s="400"/>
    </row>
    <row r="549" spans="12:18">
      <c r="L549" s="422"/>
      <c r="M549" s="422"/>
      <c r="N549" s="422"/>
      <c r="O549" s="400"/>
      <c r="P549" s="400"/>
      <c r="Q549" s="400"/>
      <c r="R549" s="400"/>
    </row>
    <row r="550" spans="12:18">
      <c r="L550" s="422"/>
      <c r="M550" s="422"/>
      <c r="N550" s="422"/>
      <c r="O550" s="400"/>
      <c r="P550" s="400"/>
      <c r="Q550" s="400"/>
      <c r="R550" s="400"/>
    </row>
    <row r="551" spans="12:18">
      <c r="L551" s="422"/>
      <c r="M551" s="422"/>
      <c r="N551" s="422"/>
      <c r="O551" s="400"/>
      <c r="P551" s="400"/>
      <c r="Q551" s="400"/>
      <c r="R551" s="400"/>
    </row>
    <row r="552" spans="12:18">
      <c r="L552" s="422"/>
      <c r="M552" s="422"/>
      <c r="N552" s="422"/>
      <c r="O552" s="400"/>
      <c r="P552" s="400"/>
      <c r="Q552" s="400"/>
      <c r="R552" s="400"/>
    </row>
    <row r="553" spans="12:18">
      <c r="L553" s="422"/>
      <c r="M553" s="422"/>
      <c r="N553" s="422"/>
      <c r="O553" s="400"/>
      <c r="P553" s="400"/>
      <c r="Q553" s="400"/>
      <c r="R553" s="400"/>
    </row>
    <row r="554" spans="12:18">
      <c r="L554" s="422"/>
      <c r="M554" s="422"/>
      <c r="N554" s="422"/>
      <c r="O554" s="400"/>
      <c r="P554" s="400"/>
      <c r="Q554" s="400"/>
      <c r="R554" s="400"/>
    </row>
    <row r="555" spans="12:18">
      <c r="L555" s="422"/>
      <c r="M555" s="422"/>
      <c r="N555" s="422"/>
      <c r="O555" s="400"/>
      <c r="P555" s="400"/>
      <c r="Q555" s="400"/>
      <c r="R555" s="400"/>
    </row>
    <row r="556" spans="12:18">
      <c r="L556" s="422"/>
      <c r="M556" s="422"/>
      <c r="N556" s="422"/>
      <c r="O556" s="400"/>
      <c r="P556" s="400"/>
      <c r="Q556" s="400"/>
      <c r="R556" s="400"/>
    </row>
    <row r="557" spans="12:18">
      <c r="L557" s="422"/>
      <c r="M557" s="422"/>
      <c r="N557" s="422"/>
      <c r="O557" s="400"/>
      <c r="P557" s="400"/>
      <c r="Q557" s="400"/>
      <c r="R557" s="400"/>
    </row>
    <row r="558" spans="12:18">
      <c r="L558" s="422"/>
      <c r="M558" s="422"/>
      <c r="N558" s="422"/>
      <c r="O558" s="400"/>
      <c r="P558" s="400"/>
      <c r="Q558" s="400"/>
      <c r="R558" s="400"/>
    </row>
    <row r="559" spans="12:18">
      <c r="L559" s="422"/>
      <c r="M559" s="422"/>
      <c r="N559" s="422"/>
      <c r="O559" s="400"/>
      <c r="P559" s="400"/>
      <c r="Q559" s="400"/>
      <c r="R559" s="400"/>
    </row>
    <row r="560" spans="12:18">
      <c r="L560" s="422"/>
      <c r="M560" s="422"/>
      <c r="N560" s="422"/>
      <c r="O560" s="400"/>
      <c r="P560" s="400"/>
      <c r="Q560" s="400"/>
      <c r="R560" s="400"/>
    </row>
    <row r="561" spans="12:18">
      <c r="L561" s="422"/>
      <c r="M561" s="422"/>
      <c r="N561" s="422"/>
      <c r="O561" s="400"/>
      <c r="P561" s="400"/>
      <c r="Q561" s="400"/>
      <c r="R561" s="400"/>
    </row>
    <row r="562" spans="12:18">
      <c r="L562" s="422"/>
      <c r="M562" s="422"/>
      <c r="N562" s="422"/>
      <c r="O562" s="400"/>
      <c r="P562" s="400"/>
      <c r="Q562" s="400"/>
      <c r="R562" s="400"/>
    </row>
    <row r="563" spans="12:18">
      <c r="L563" s="422"/>
      <c r="M563" s="422"/>
      <c r="N563" s="422"/>
      <c r="O563" s="400"/>
      <c r="P563" s="400"/>
      <c r="Q563" s="400"/>
      <c r="R563" s="400"/>
    </row>
    <row r="564" spans="12:18">
      <c r="L564" s="422"/>
      <c r="M564" s="422"/>
      <c r="N564" s="422"/>
      <c r="O564" s="400"/>
      <c r="P564" s="400"/>
      <c r="Q564" s="400"/>
      <c r="R564" s="400"/>
    </row>
    <row r="565" spans="12:18">
      <c r="L565" s="422"/>
      <c r="M565" s="422"/>
      <c r="N565" s="422"/>
      <c r="O565" s="400"/>
      <c r="P565" s="400"/>
      <c r="Q565" s="400"/>
      <c r="R565" s="400"/>
    </row>
    <row r="566" spans="12:18">
      <c r="L566" s="422"/>
      <c r="M566" s="422"/>
      <c r="N566" s="422"/>
      <c r="O566" s="400"/>
      <c r="P566" s="400"/>
      <c r="Q566" s="400"/>
      <c r="R566" s="400"/>
    </row>
    <row r="567" spans="12:18">
      <c r="L567" s="422"/>
      <c r="M567" s="422"/>
      <c r="N567" s="422"/>
      <c r="O567" s="400"/>
      <c r="P567" s="400"/>
      <c r="Q567" s="400"/>
      <c r="R567" s="400"/>
    </row>
    <row r="568" spans="12:18">
      <c r="L568" s="422"/>
      <c r="M568" s="422"/>
      <c r="N568" s="422"/>
      <c r="O568" s="400"/>
      <c r="P568" s="400"/>
      <c r="Q568" s="400"/>
      <c r="R568" s="400"/>
    </row>
    <row r="569" spans="12:18">
      <c r="L569" s="422"/>
      <c r="M569" s="422"/>
      <c r="N569" s="422"/>
      <c r="O569" s="400"/>
      <c r="P569" s="400"/>
      <c r="Q569" s="400"/>
      <c r="R569" s="400"/>
    </row>
    <row r="570" spans="12:18">
      <c r="L570" s="422"/>
      <c r="M570" s="422"/>
      <c r="N570" s="422"/>
      <c r="O570" s="400"/>
      <c r="P570" s="400"/>
      <c r="Q570" s="400"/>
      <c r="R570" s="400"/>
    </row>
    <row r="571" spans="12:18">
      <c r="L571" s="422"/>
      <c r="M571" s="422"/>
      <c r="N571" s="422"/>
      <c r="O571" s="400"/>
      <c r="P571" s="400"/>
      <c r="Q571" s="400"/>
      <c r="R571" s="400"/>
    </row>
    <row r="572" spans="12:18">
      <c r="L572" s="422"/>
      <c r="M572" s="422"/>
      <c r="N572" s="422"/>
      <c r="O572" s="400"/>
      <c r="P572" s="400"/>
      <c r="Q572" s="400"/>
      <c r="R572" s="400"/>
    </row>
    <row r="573" spans="12:18">
      <c r="L573" s="422"/>
      <c r="M573" s="422"/>
      <c r="N573" s="422"/>
      <c r="O573" s="400"/>
      <c r="P573" s="400"/>
      <c r="Q573" s="400"/>
      <c r="R573" s="400"/>
    </row>
    <row r="574" spans="12:18">
      <c r="L574" s="422"/>
      <c r="M574" s="422"/>
      <c r="N574" s="422"/>
      <c r="O574" s="400"/>
      <c r="P574" s="400"/>
      <c r="Q574" s="400"/>
      <c r="R574" s="400"/>
    </row>
    <row r="575" spans="12:18">
      <c r="L575" s="422"/>
      <c r="M575" s="422"/>
      <c r="N575" s="422"/>
      <c r="O575" s="400"/>
      <c r="P575" s="400"/>
      <c r="Q575" s="400"/>
      <c r="R575" s="400"/>
    </row>
    <row r="576" spans="12:18">
      <c r="L576" s="422"/>
      <c r="M576" s="422"/>
      <c r="N576" s="422"/>
      <c r="O576" s="400"/>
      <c r="P576" s="400"/>
      <c r="Q576" s="400"/>
      <c r="R576" s="400"/>
    </row>
    <row r="577" spans="12:18">
      <c r="L577" s="422"/>
      <c r="M577" s="422"/>
      <c r="N577" s="422"/>
      <c r="O577" s="400"/>
      <c r="P577" s="400"/>
      <c r="Q577" s="400"/>
      <c r="R577" s="400"/>
    </row>
    <row r="578" spans="12:18">
      <c r="L578" s="422"/>
      <c r="M578" s="422"/>
      <c r="N578" s="422"/>
      <c r="O578" s="400"/>
      <c r="P578" s="400"/>
      <c r="Q578" s="400"/>
      <c r="R578" s="400"/>
    </row>
    <row r="579" spans="12:18">
      <c r="L579" s="422"/>
      <c r="M579" s="422"/>
      <c r="N579" s="422"/>
      <c r="O579" s="400"/>
      <c r="P579" s="400"/>
      <c r="Q579" s="400"/>
      <c r="R579" s="400"/>
    </row>
    <row r="580" spans="12:18">
      <c r="L580" s="422"/>
      <c r="M580" s="422"/>
      <c r="N580" s="422"/>
      <c r="O580" s="400"/>
      <c r="P580" s="400"/>
      <c r="Q580" s="400"/>
      <c r="R580" s="400"/>
    </row>
    <row r="581" spans="12:18">
      <c r="L581" s="422"/>
      <c r="M581" s="422"/>
      <c r="N581" s="422"/>
      <c r="O581" s="400"/>
      <c r="P581" s="400"/>
      <c r="Q581" s="400"/>
      <c r="R581" s="400"/>
    </row>
    <row r="582" spans="12:18">
      <c r="L582" s="422"/>
      <c r="M582" s="422"/>
      <c r="N582" s="422"/>
      <c r="O582" s="400"/>
      <c r="P582" s="400"/>
      <c r="Q582" s="400"/>
      <c r="R582" s="400"/>
    </row>
    <row r="583" spans="12:18">
      <c r="L583" s="422"/>
      <c r="M583" s="422"/>
      <c r="N583" s="422"/>
      <c r="O583" s="400"/>
      <c r="P583" s="400"/>
      <c r="Q583" s="400"/>
      <c r="R583" s="400"/>
    </row>
    <row r="584" spans="12:18">
      <c r="L584" s="422"/>
      <c r="M584" s="422"/>
      <c r="N584" s="422"/>
      <c r="O584" s="400"/>
      <c r="P584" s="400"/>
      <c r="Q584" s="400"/>
      <c r="R584" s="400"/>
    </row>
    <row r="585" spans="12:18">
      <c r="L585" s="422"/>
      <c r="M585" s="422"/>
      <c r="N585" s="422"/>
      <c r="O585" s="400"/>
      <c r="P585" s="400"/>
      <c r="Q585" s="400"/>
      <c r="R585" s="400"/>
    </row>
    <row r="586" spans="12:18">
      <c r="L586" s="422"/>
      <c r="M586" s="422"/>
      <c r="N586" s="422"/>
      <c r="O586" s="400"/>
      <c r="P586" s="400"/>
      <c r="Q586" s="400"/>
      <c r="R586" s="400"/>
    </row>
    <row r="587" spans="12:18">
      <c r="L587" s="422"/>
      <c r="M587" s="422"/>
      <c r="N587" s="422"/>
      <c r="O587" s="400"/>
      <c r="P587" s="400"/>
      <c r="Q587" s="400"/>
      <c r="R587" s="400"/>
    </row>
    <row r="588" spans="12:18">
      <c r="L588" s="422"/>
      <c r="M588" s="422"/>
      <c r="N588" s="422"/>
      <c r="O588" s="400"/>
      <c r="P588" s="400"/>
      <c r="Q588" s="400"/>
      <c r="R588" s="400"/>
    </row>
    <row r="589" spans="12:18">
      <c r="L589" s="422"/>
      <c r="M589" s="422"/>
      <c r="N589" s="422"/>
      <c r="O589" s="400"/>
      <c r="P589" s="400"/>
      <c r="Q589" s="400"/>
      <c r="R589" s="400"/>
    </row>
    <row r="590" spans="12:18">
      <c r="L590" s="422"/>
      <c r="M590" s="422"/>
      <c r="N590" s="422"/>
      <c r="O590" s="400"/>
      <c r="P590" s="400"/>
      <c r="Q590" s="400"/>
      <c r="R590" s="400"/>
    </row>
    <row r="591" spans="12:18">
      <c r="L591" s="422"/>
      <c r="M591" s="422"/>
      <c r="N591" s="422"/>
      <c r="O591" s="400"/>
      <c r="P591" s="400"/>
      <c r="Q591" s="400"/>
      <c r="R591" s="400"/>
    </row>
    <row r="592" spans="12:18">
      <c r="L592" s="422"/>
      <c r="M592" s="422"/>
      <c r="N592" s="422"/>
      <c r="O592" s="400"/>
      <c r="P592" s="400"/>
      <c r="Q592" s="400"/>
      <c r="R592" s="400"/>
    </row>
    <row r="593" spans="1:20">
      <c r="L593" s="422"/>
      <c r="M593" s="422"/>
      <c r="N593" s="422"/>
      <c r="O593" s="400"/>
      <c r="P593" s="400"/>
      <c r="Q593" s="400"/>
      <c r="R593" s="400"/>
    </row>
    <row r="594" spans="1:20">
      <c r="L594" s="422"/>
      <c r="M594" s="422"/>
      <c r="N594" s="422"/>
      <c r="O594" s="400"/>
      <c r="P594" s="400"/>
      <c r="Q594" s="400"/>
      <c r="R594" s="400"/>
    </row>
    <row r="595" spans="1:20" s="424" customFormat="1">
      <c r="A595" s="400"/>
      <c r="B595" s="400"/>
      <c r="C595" s="400"/>
      <c r="D595" s="415"/>
      <c r="E595" s="415"/>
      <c r="F595" s="400"/>
      <c r="G595" s="400"/>
      <c r="H595" s="400"/>
      <c r="I595" s="400"/>
      <c r="J595" s="423"/>
      <c r="K595" s="400"/>
      <c r="L595" s="422"/>
      <c r="M595" s="422"/>
      <c r="N595" s="422"/>
      <c r="O595" s="400"/>
      <c r="P595" s="400"/>
      <c r="Q595" s="400"/>
      <c r="R595" s="400"/>
      <c r="S595" s="400"/>
      <c r="T595" s="400"/>
    </row>
    <row r="596" spans="1:20">
      <c r="L596" s="422"/>
      <c r="M596" s="422"/>
      <c r="N596" s="422"/>
      <c r="O596" s="400"/>
      <c r="P596" s="400"/>
      <c r="Q596" s="400"/>
      <c r="R596" s="400"/>
    </row>
    <row r="597" spans="1:20">
      <c r="L597" s="422"/>
      <c r="M597" s="422"/>
      <c r="N597" s="422"/>
      <c r="O597" s="400"/>
      <c r="P597" s="400"/>
      <c r="Q597" s="400"/>
      <c r="R597" s="400"/>
    </row>
    <row r="598" spans="1:20">
      <c r="L598" s="422"/>
      <c r="M598" s="422"/>
      <c r="N598" s="422"/>
      <c r="O598" s="400"/>
      <c r="P598" s="400"/>
      <c r="Q598" s="400"/>
      <c r="R598" s="400"/>
    </row>
    <row r="599" spans="1:20">
      <c r="L599" s="422"/>
      <c r="M599" s="422"/>
      <c r="N599" s="422"/>
      <c r="O599" s="400"/>
      <c r="P599" s="400"/>
      <c r="Q599" s="400"/>
      <c r="R599" s="400"/>
    </row>
    <row r="600" spans="1:20">
      <c r="L600" s="422"/>
      <c r="M600" s="422"/>
      <c r="N600" s="422"/>
      <c r="O600" s="400"/>
      <c r="P600" s="400"/>
      <c r="Q600" s="400"/>
      <c r="R600" s="400"/>
    </row>
    <row r="601" spans="1:20">
      <c r="L601" s="422"/>
      <c r="M601" s="422"/>
      <c r="N601" s="422"/>
      <c r="O601" s="400"/>
      <c r="P601" s="400"/>
      <c r="Q601" s="400"/>
      <c r="R601" s="400"/>
    </row>
    <row r="602" spans="1:20" s="424" customFormat="1">
      <c r="A602" s="400"/>
      <c r="B602" s="400"/>
      <c r="C602" s="400"/>
      <c r="D602" s="415"/>
      <c r="E602" s="415"/>
      <c r="F602" s="400"/>
      <c r="G602" s="400"/>
      <c r="H602" s="400"/>
      <c r="I602" s="400"/>
      <c r="J602" s="400"/>
      <c r="K602" s="400"/>
      <c r="L602" s="422"/>
      <c r="M602" s="422"/>
      <c r="N602" s="422"/>
      <c r="O602" s="400"/>
      <c r="P602" s="400"/>
      <c r="Q602" s="400"/>
      <c r="R602" s="400"/>
      <c r="S602" s="400"/>
      <c r="T602" s="400"/>
    </row>
    <row r="603" spans="1:20" s="424" customFormat="1">
      <c r="A603" s="400"/>
      <c r="B603" s="400"/>
      <c r="C603" s="400"/>
      <c r="D603" s="415"/>
      <c r="E603" s="415"/>
      <c r="F603" s="400"/>
      <c r="G603" s="400"/>
      <c r="H603" s="400"/>
      <c r="I603" s="400"/>
      <c r="J603" s="400"/>
      <c r="K603" s="400"/>
      <c r="L603" s="422"/>
      <c r="M603" s="422"/>
      <c r="N603" s="422"/>
      <c r="O603" s="400"/>
      <c r="P603" s="400"/>
      <c r="S603" s="400"/>
      <c r="T603" s="400"/>
    </row>
    <row r="604" spans="1:20" s="424" customFormat="1">
      <c r="A604" s="400"/>
      <c r="B604" s="400"/>
      <c r="C604" s="400"/>
      <c r="D604" s="415"/>
      <c r="E604" s="415"/>
      <c r="F604" s="400"/>
      <c r="G604" s="400"/>
      <c r="H604" s="400"/>
      <c r="I604" s="400"/>
      <c r="J604" s="400"/>
      <c r="K604" s="400"/>
      <c r="L604" s="422"/>
      <c r="M604" s="422"/>
      <c r="N604" s="422"/>
      <c r="O604" s="400"/>
      <c r="P604" s="400"/>
      <c r="Q604" s="400"/>
      <c r="R604" s="400"/>
      <c r="S604" s="400"/>
      <c r="T604" s="400"/>
    </row>
    <row r="605" spans="1:20">
      <c r="L605" s="422"/>
      <c r="M605" s="422"/>
      <c r="N605" s="422"/>
      <c r="O605" s="400"/>
      <c r="P605" s="400"/>
      <c r="Q605" s="400"/>
      <c r="R605" s="400"/>
    </row>
    <row r="606" spans="1:20">
      <c r="L606" s="422"/>
      <c r="M606" s="422"/>
      <c r="N606" s="422"/>
      <c r="O606" s="400"/>
      <c r="P606" s="400"/>
      <c r="Q606" s="400"/>
      <c r="R606" s="400"/>
    </row>
    <row r="607" spans="1:20">
      <c r="L607" s="422"/>
      <c r="M607" s="422"/>
      <c r="N607" s="422"/>
      <c r="O607" s="400"/>
      <c r="P607" s="400"/>
      <c r="Q607" s="400"/>
      <c r="R607" s="400"/>
    </row>
    <row r="608" spans="1:20">
      <c r="L608" s="422"/>
      <c r="M608" s="422"/>
      <c r="N608" s="422"/>
      <c r="O608" s="400"/>
      <c r="P608" s="400"/>
      <c r="Q608" s="400"/>
      <c r="R608" s="400"/>
    </row>
    <row r="609" spans="12:18">
      <c r="L609" s="422"/>
      <c r="M609" s="422"/>
      <c r="N609" s="422"/>
      <c r="O609" s="400"/>
      <c r="P609" s="400"/>
      <c r="Q609" s="400"/>
      <c r="R609" s="400"/>
    </row>
    <row r="610" spans="12:18">
      <c r="L610" s="422"/>
      <c r="M610" s="422"/>
      <c r="N610" s="422"/>
      <c r="O610" s="400"/>
      <c r="P610" s="400"/>
      <c r="Q610" s="424"/>
      <c r="R610" s="424"/>
    </row>
    <row r="611" spans="12:18">
      <c r="L611" s="422"/>
      <c r="M611" s="422"/>
      <c r="N611" s="422"/>
      <c r="O611" s="400"/>
      <c r="P611" s="400"/>
      <c r="Q611" s="424"/>
      <c r="R611" s="424"/>
    </row>
    <row r="612" spans="12:18">
      <c r="L612" s="422"/>
      <c r="M612" s="422"/>
      <c r="N612" s="422"/>
      <c r="O612" s="400"/>
      <c r="P612" s="400"/>
      <c r="Q612" s="424"/>
      <c r="R612" s="424"/>
    </row>
    <row r="613" spans="12:18">
      <c r="L613" s="422"/>
      <c r="M613" s="422"/>
      <c r="N613" s="422"/>
      <c r="O613" s="400"/>
      <c r="P613" s="400"/>
      <c r="Q613" s="400"/>
      <c r="R613" s="400"/>
    </row>
    <row r="614" spans="12:18">
      <c r="L614" s="422"/>
      <c r="M614" s="422"/>
      <c r="N614" s="422"/>
      <c r="O614" s="400"/>
      <c r="P614" s="400"/>
      <c r="Q614" s="400"/>
      <c r="R614" s="400"/>
    </row>
  </sheetData>
  <autoFilter ref="A5:FK142"/>
  <mergeCells count="32">
    <mergeCell ref="K32:K33"/>
    <mergeCell ref="K17:K18"/>
    <mergeCell ref="K19:K20"/>
    <mergeCell ref="S4:S5"/>
    <mergeCell ref="K9:K10"/>
    <mergeCell ref="K12:K13"/>
    <mergeCell ref="Q4:Q5"/>
    <mergeCell ref="R4:R5"/>
    <mergeCell ref="O4:O5"/>
    <mergeCell ref="T1:T3"/>
    <mergeCell ref="T4:T5"/>
    <mergeCell ref="M4:M5"/>
    <mergeCell ref="N4:N5"/>
    <mergeCell ref="L135:M135"/>
    <mergeCell ref="N135:O135"/>
    <mergeCell ref="P4:P5"/>
    <mergeCell ref="F4:I4"/>
    <mergeCell ref="A1:B1"/>
    <mergeCell ref="C1:Q1"/>
    <mergeCell ref="S1:S3"/>
    <mergeCell ref="A2:B2"/>
    <mergeCell ref="C2:Q2"/>
    <mergeCell ref="A3:B3"/>
    <mergeCell ref="C3:Q3"/>
    <mergeCell ref="A4:A5"/>
    <mergeCell ref="B4:B5"/>
    <mergeCell ref="C4:C5"/>
    <mergeCell ref="D4:D5"/>
    <mergeCell ref="E4:E5"/>
    <mergeCell ref="J4:J5"/>
    <mergeCell ref="K4:K5"/>
    <mergeCell ref="L4:L5"/>
  </mergeCells>
  <conditionalFormatting sqref="K1:K9 K34:K135">
    <cfRule type="cellIs" dxfId="531" priority="445" operator="equal">
      <formula>#REF!</formula>
    </cfRule>
  </conditionalFormatting>
  <conditionalFormatting sqref="K11:K12">
    <cfRule type="cellIs" dxfId="530" priority="511" operator="equal">
      <formula>#REF!</formula>
    </cfRule>
  </conditionalFormatting>
  <conditionalFormatting sqref="K16:K17">
    <cfRule type="cellIs" dxfId="529" priority="468" operator="equal">
      <formula>#REF!</formula>
    </cfRule>
  </conditionalFormatting>
  <conditionalFormatting sqref="K19">
    <cfRule type="cellIs" dxfId="528" priority="508" operator="equal">
      <formula>#REF!</formula>
    </cfRule>
  </conditionalFormatting>
  <conditionalFormatting sqref="K21">
    <cfRule type="cellIs" dxfId="527" priority="509" operator="equal">
      <formula>#REF!</formula>
    </cfRule>
  </conditionalFormatting>
  <conditionalFormatting sqref="K23:K32">
    <cfRule type="cellIs" dxfId="526" priority="429" operator="equal">
      <formula>#REF!</formula>
    </cfRule>
  </conditionalFormatting>
  <conditionalFormatting sqref="L6:L135">
    <cfRule type="cellIs" dxfId="525" priority="451" operator="equal">
      <formula>$L$23</formula>
    </cfRule>
    <cfRule type="cellIs" dxfId="524" priority="452" operator="equal">
      <formula>#REF!</formula>
    </cfRule>
  </conditionalFormatting>
  <conditionalFormatting sqref="L141:L142">
    <cfRule type="cellIs" dxfId="523" priority="559" operator="equal">
      <formula>#REF!</formula>
    </cfRule>
  </conditionalFormatting>
  <conditionalFormatting sqref="L136:N141 M142:N142 M465:N1048576 K14 K141:K1048576 O136:O142">
    <cfRule type="cellIs" dxfId="522" priority="586" operator="equal">
      <formula>#REF!</formula>
    </cfRule>
  </conditionalFormatting>
  <conditionalFormatting sqref="L143:N614">
    <cfRule type="cellIs" dxfId="521" priority="525" operator="equal">
      <formula>"Under Progress"</formula>
    </cfRule>
    <cfRule type="cellIs" dxfId="520" priority="526" operator="equal">
      <formula>"Completed"</formula>
    </cfRule>
  </conditionalFormatting>
  <conditionalFormatting sqref="M28:M31">
    <cfRule type="cellIs" dxfId="519" priority="395" operator="equal">
      <formula>$L$23</formula>
    </cfRule>
    <cfRule type="cellIs" dxfId="518" priority="396" operator="equal">
      <formula>#REF!</formula>
    </cfRule>
  </conditionalFormatting>
  <conditionalFormatting sqref="M51">
    <cfRule type="cellIs" dxfId="517" priority="393" operator="equal">
      <formula>$L$23</formula>
    </cfRule>
    <cfRule type="cellIs" dxfId="516" priority="394" operator="equal">
      <formula>#REF!</formula>
    </cfRule>
  </conditionalFormatting>
  <conditionalFormatting sqref="N61:N62 N95:N98 M109:N109 M116:N117 N68:N72 M114:M115 M98:N102 M119:N119 N111 M120:M122 M123:N124 M117:M118 N74:N82">
    <cfRule type="cellIs" dxfId="515" priority="514" operator="equal">
      <formula>$N$7</formula>
    </cfRule>
    <cfRule type="cellIs" dxfId="514" priority="515" operator="equal">
      <formula>"Planning"</formula>
    </cfRule>
    <cfRule type="cellIs" dxfId="513" priority="516" operator="equal">
      <formula>$N$8</formula>
    </cfRule>
    <cfRule type="cellIs" dxfId="512" priority="517" operator="equal">
      <formula>"Under Progress"</formula>
    </cfRule>
    <cfRule type="cellIs" dxfId="511" priority="518" operator="equal">
      <formula>#REF!</formula>
    </cfRule>
  </conditionalFormatting>
  <conditionalFormatting sqref="M79:M83">
    <cfRule type="cellIs" dxfId="510" priority="334" operator="equal">
      <formula>$N$7</formula>
    </cfRule>
    <cfRule type="cellIs" dxfId="509" priority="335" operator="equal">
      <formula>"Planning"</formula>
    </cfRule>
    <cfRule type="cellIs" dxfId="508" priority="336" operator="equal">
      <formula>$N$8</formula>
    </cfRule>
    <cfRule type="cellIs" dxfId="507" priority="337" operator="equal">
      <formula>"Under Progress"</formula>
    </cfRule>
    <cfRule type="cellIs" dxfId="506" priority="338" operator="equal">
      <formula>#REF!</formula>
    </cfRule>
  </conditionalFormatting>
  <conditionalFormatting sqref="M95:M97">
    <cfRule type="cellIs" dxfId="505" priority="329" operator="equal">
      <formula>$N$7</formula>
    </cfRule>
    <cfRule type="cellIs" dxfId="504" priority="330" operator="equal">
      <formula>"Planning"</formula>
    </cfRule>
    <cfRule type="cellIs" dxfId="503" priority="331" operator="equal">
      <formula>$N$8</formula>
    </cfRule>
    <cfRule type="cellIs" dxfId="502" priority="332" operator="equal">
      <formula>"Under Progress"</formula>
    </cfRule>
    <cfRule type="cellIs" dxfId="501" priority="333" operator="equal">
      <formula>#REF!</formula>
    </cfRule>
  </conditionalFormatting>
  <conditionalFormatting sqref="M103:M108">
    <cfRule type="cellIs" dxfId="500" priority="269" operator="equal">
      <formula>$N$7</formula>
    </cfRule>
    <cfRule type="cellIs" dxfId="499" priority="270" operator="equal">
      <formula>"Planning"</formula>
    </cfRule>
    <cfRule type="cellIs" dxfId="498" priority="271" operator="equal">
      <formula>$N$8</formula>
    </cfRule>
    <cfRule type="cellIs" dxfId="497" priority="272" operator="equal">
      <formula>"Under Progress"</formula>
    </cfRule>
    <cfRule type="cellIs" dxfId="496" priority="273" operator="equal">
      <formula>#REF!</formula>
    </cfRule>
  </conditionalFormatting>
  <conditionalFormatting sqref="M113">
    <cfRule type="cellIs" dxfId="495" priority="274" operator="equal">
      <formula>$N$7</formula>
    </cfRule>
    <cfRule type="cellIs" dxfId="494" priority="275" operator="equal">
      <formula>"Planning"</formula>
    </cfRule>
    <cfRule type="cellIs" dxfId="493" priority="276" operator="equal">
      <formula>$N$8</formula>
    </cfRule>
    <cfRule type="cellIs" dxfId="492" priority="277" operator="equal">
      <formula>"Under Progress"</formula>
    </cfRule>
    <cfRule type="cellIs" dxfId="491" priority="278" operator="equal">
      <formula>#REF!</formula>
    </cfRule>
  </conditionalFormatting>
  <conditionalFormatting sqref="M125:M128">
    <cfRule type="cellIs" dxfId="490" priority="264" operator="equal">
      <formula>$N$7</formula>
    </cfRule>
    <cfRule type="cellIs" dxfId="489" priority="265" operator="equal">
      <formula>"Planning"</formula>
    </cfRule>
    <cfRule type="cellIs" dxfId="488" priority="266" operator="equal">
      <formula>$N$8</formula>
    </cfRule>
    <cfRule type="cellIs" dxfId="487" priority="267" operator="equal">
      <formula>"Under Progress"</formula>
    </cfRule>
    <cfRule type="cellIs" dxfId="486" priority="268" operator="equal">
      <formula>#REF!</formula>
    </cfRule>
  </conditionalFormatting>
  <conditionalFormatting sqref="M1:N3 M136:M141 M142:N142 M465:N1048576">
    <cfRule type="cellIs" dxfId="485" priority="574" operator="equal">
      <formula>"Planning"</formula>
    </cfRule>
    <cfRule type="cellIs" dxfId="484" priority="575" operator="equal">
      <formula>$N$8</formula>
    </cfRule>
    <cfRule type="cellIs" dxfId="483" priority="576" operator="equal">
      <formula>"Under Progress"</formula>
    </cfRule>
  </conditionalFormatting>
  <conditionalFormatting sqref="M1:N3">
    <cfRule type="cellIs" dxfId="482" priority="577" operator="equal">
      <formula>#REF!</formula>
    </cfRule>
  </conditionalFormatting>
  <conditionalFormatting sqref="N28:N30 M43:N43 M50:N50 M52:N52 M23:N23 N24 M46:N47 N20:N22 M53 M25:N25 N50:N51 M27:N27 N26 N42 M55 M56:N57">
    <cfRule type="cellIs" dxfId="481" priority="430" operator="equal">
      <formula>$N$7</formula>
    </cfRule>
    <cfRule type="cellIs" dxfId="480" priority="431" operator="equal">
      <formula>"Planning"</formula>
    </cfRule>
    <cfRule type="cellIs" dxfId="479" priority="432" operator="equal">
      <formula>$N$8</formula>
    </cfRule>
    <cfRule type="cellIs" dxfId="478" priority="433" operator="equal">
      <formula>"Under Progress"</formula>
    </cfRule>
    <cfRule type="cellIs" dxfId="477" priority="434" operator="equal">
      <formula>#REF!</formula>
    </cfRule>
  </conditionalFormatting>
  <conditionalFormatting sqref="M32:N33 M40:N40 N34:N40 N31">
    <cfRule type="cellIs" dxfId="476" priority="414" operator="equal">
      <formula>$N$7</formula>
    </cfRule>
    <cfRule type="cellIs" dxfId="475" priority="415" operator="equal">
      <formula>"Planning"</formula>
    </cfRule>
    <cfRule type="cellIs" dxfId="474" priority="416" operator="equal">
      <formula>$N$8</formula>
    </cfRule>
    <cfRule type="cellIs" dxfId="473" priority="417" operator="equal">
      <formula>"Under Progress"</formula>
    </cfRule>
    <cfRule type="cellIs" dxfId="472" priority="418" operator="equal">
      <formula>#REF!</formula>
    </cfRule>
  </conditionalFormatting>
  <conditionalFormatting sqref="M94 M91:N91 N83 M84:N89">
    <cfRule type="cellIs" dxfId="471" priority="284" operator="equal">
      <formula>$N$7</formula>
    </cfRule>
    <cfRule type="cellIs" dxfId="470" priority="285" operator="equal">
      <formula>"Planning"</formula>
    </cfRule>
    <cfRule type="cellIs" dxfId="469" priority="286" operator="equal">
      <formula>$N$8</formula>
    </cfRule>
    <cfRule type="cellIs" dxfId="468" priority="287" operator="equal">
      <formula>"Under Progress"</formula>
    </cfRule>
    <cfRule type="cellIs" dxfId="467" priority="288" operator="equal">
      <formula>#REF!</formula>
    </cfRule>
  </conditionalFormatting>
  <conditionalFormatting sqref="M129:N130 N128 M132:N134 M131">
    <cfRule type="cellIs" dxfId="466" priority="314" operator="equal">
      <formula>$N$7</formula>
    </cfRule>
    <cfRule type="cellIs" dxfId="465" priority="315" operator="equal">
      <formula>"Planning"</formula>
    </cfRule>
    <cfRule type="cellIs" dxfId="464" priority="316" operator="equal">
      <formula>$N$8</formula>
    </cfRule>
    <cfRule type="cellIs" dxfId="463" priority="317" operator="equal">
      <formula>"Under Progress"</formula>
    </cfRule>
    <cfRule type="cellIs" dxfId="462" priority="318" operator="equal">
      <formula>#REF!</formula>
    </cfRule>
  </conditionalFormatting>
  <conditionalFormatting sqref="M465:N1048576 M1:N3 M136:M141 M142:N142">
    <cfRule type="cellIs" dxfId="461" priority="573" operator="equal">
      <formula>$N$7</formula>
    </cfRule>
  </conditionalFormatting>
  <conditionalFormatting sqref="N19">
    <cfRule type="cellIs" dxfId="460" priority="453" operator="equal">
      <formula>$N$7</formula>
    </cfRule>
    <cfRule type="cellIs" dxfId="459" priority="454" operator="equal">
      <formula>"Planning"</formula>
    </cfRule>
    <cfRule type="cellIs" dxfId="458" priority="455" operator="equal">
      <formula>$N$8</formula>
    </cfRule>
    <cfRule type="cellIs" dxfId="457" priority="456" operator="equal">
      <formula>"Under Progress"</formula>
    </cfRule>
    <cfRule type="cellIs" dxfId="456" priority="457" operator="equal">
      <formula>#REF!</formula>
    </cfRule>
  </conditionalFormatting>
  <conditionalFormatting sqref="N135">
    <cfRule type="cellIs" dxfId="455" priority="571" operator="equal">
      <formula>$L$23</formula>
    </cfRule>
    <cfRule type="cellIs" dxfId="454" priority="572" operator="equal">
      <formula>#REF!</formula>
    </cfRule>
  </conditionalFormatting>
  <conditionalFormatting sqref="N141:N142">
    <cfRule type="cellIs" dxfId="453" priority="558" operator="equal">
      <formula>#REF!</formula>
    </cfRule>
  </conditionalFormatting>
  <conditionalFormatting sqref="N6:R17">
    <cfRule type="cellIs" dxfId="452" priority="469" operator="equal">
      <formula>$N$7</formula>
    </cfRule>
    <cfRule type="cellIs" dxfId="451" priority="470" operator="equal">
      <formula>"Planning"</formula>
    </cfRule>
    <cfRule type="cellIs" dxfId="450" priority="471" operator="equal">
      <formula>$N$8</formula>
    </cfRule>
    <cfRule type="cellIs" dxfId="449" priority="472" operator="equal">
      <formula>"Under Progress"</formula>
    </cfRule>
    <cfRule type="cellIs" dxfId="448" priority="473" operator="equal">
      <formula>#REF!</formula>
    </cfRule>
  </conditionalFormatting>
  <conditionalFormatting sqref="O136:O142">
    <cfRule type="cellIs" dxfId="447" priority="567" operator="equal">
      <formula>$N$7</formula>
    </cfRule>
    <cfRule type="cellIs" dxfId="446" priority="568" operator="equal">
      <formula>"Planning"</formula>
    </cfRule>
    <cfRule type="cellIs" dxfId="445" priority="569" operator="equal">
      <formula>$N$8</formula>
    </cfRule>
    <cfRule type="cellIs" dxfId="444" priority="570" operator="equal">
      <formula>"Under Progress"</formula>
    </cfRule>
  </conditionalFormatting>
  <conditionalFormatting sqref="O137:O138">
    <cfRule type="cellIs" dxfId="443" priority="554" operator="equal">
      <formula>$N$7</formula>
    </cfRule>
    <cfRule type="cellIs" dxfId="442" priority="555" operator="equal">
      <formula>"Planning"</formula>
    </cfRule>
    <cfRule type="cellIs" dxfId="441" priority="556" operator="equal">
      <formula>$N$8</formula>
    </cfRule>
    <cfRule type="cellIs" dxfId="440" priority="557" operator="equal">
      <formula>"Under Progress"</formula>
    </cfRule>
  </conditionalFormatting>
  <conditionalFormatting sqref="O18:R19 O50:R53 O55:R57 P54:R54 P60:R60 P49:R49 O22:R33 P20:R21 O129:R134 P128:R128 Q34:R34 Q37:R37 Q48:R48 Q58:R59 P62:R65 Q61:R61 Q66:R66 Q96:R97 Q112:R113 O46:R47 P44:R45 P38:R39 P35:R36 O114:R127 O40:R43 P110:R110 O98:R109 O111:R111 O67:R95">
    <cfRule type="cellIs" dxfId="439" priority="343" operator="equal">
      <formula>$N$7</formula>
    </cfRule>
    <cfRule type="cellIs" dxfId="438" priority="344" operator="equal">
      <formula>"Planning"</formula>
    </cfRule>
    <cfRule type="cellIs" dxfId="437" priority="345" operator="equal">
      <formula>$N$8</formula>
    </cfRule>
    <cfRule type="cellIs" dxfId="436" priority="346" operator="equal">
      <formula>"Under Progress"</formula>
    </cfRule>
    <cfRule type="cellIs" dxfId="435" priority="347" operator="equal">
      <formula>#REF!</formula>
    </cfRule>
  </conditionalFormatting>
  <conditionalFormatting sqref="P1:R3 P139:R1048576">
    <cfRule type="cellIs" dxfId="434" priority="584" operator="equal">
      <formula>"Under Progress"</formula>
    </cfRule>
    <cfRule type="cellIs" dxfId="433" priority="585" operator="equal">
      <formula>"Completed"</formula>
    </cfRule>
  </conditionalFormatting>
  <conditionalFormatting sqref="Q135:R135">
    <cfRule type="cellIs" dxfId="432" priority="583" operator="equal">
      <formula>"Completed"</formula>
    </cfRule>
  </conditionalFormatting>
  <conditionalFormatting sqref="O136">
    <cfRule type="cellIs" dxfId="431" priority="261" operator="equal">
      <formula>"Planning"</formula>
    </cfRule>
    <cfRule type="cellIs" dxfId="430" priority="262" operator="equal">
      <formula>$N$8</formula>
    </cfRule>
    <cfRule type="cellIs" dxfId="429" priority="263" operator="equal">
      <formula>"Under Progress"</formula>
    </cfRule>
  </conditionalFormatting>
  <conditionalFormatting sqref="O136">
    <cfRule type="cellIs" dxfId="428" priority="260" operator="equal">
      <formula>$N$7</formula>
    </cfRule>
  </conditionalFormatting>
  <conditionalFormatting sqref="M112">
    <cfRule type="cellIs" dxfId="427" priority="255" operator="equal">
      <formula>$N$7</formula>
    </cfRule>
    <cfRule type="cellIs" dxfId="426" priority="256" operator="equal">
      <formula>"Planning"</formula>
    </cfRule>
    <cfRule type="cellIs" dxfId="425" priority="257" operator="equal">
      <formula>$N$8</formula>
    </cfRule>
    <cfRule type="cellIs" dxfId="424" priority="258" operator="equal">
      <formula>"Under Progress"</formula>
    </cfRule>
    <cfRule type="cellIs" dxfId="423" priority="259" operator="equal">
      <formula>#REF!</formula>
    </cfRule>
  </conditionalFormatting>
  <conditionalFormatting sqref="M20:M22">
    <cfRule type="cellIs" dxfId="422" priority="250" operator="equal">
      <formula>$N$7</formula>
    </cfRule>
    <cfRule type="cellIs" dxfId="421" priority="251" operator="equal">
      <formula>"Planning"</formula>
    </cfRule>
    <cfRule type="cellIs" dxfId="420" priority="252" operator="equal">
      <formula>$N$8</formula>
    </cfRule>
    <cfRule type="cellIs" dxfId="419" priority="253" operator="equal">
      <formula>"Under Progress"</formula>
    </cfRule>
    <cfRule type="cellIs" dxfId="418" priority="254" operator="equal">
      <formula>#REF!</formula>
    </cfRule>
  </conditionalFormatting>
  <conditionalFormatting sqref="M54 M48:M49 M41 M34:M39 M24 M58:M67">
    <cfRule type="cellIs" dxfId="417" priority="245" operator="equal">
      <formula>$N$7</formula>
    </cfRule>
    <cfRule type="cellIs" dxfId="416" priority="246" operator="equal">
      <formula>"Planning"</formula>
    </cfRule>
    <cfRule type="cellIs" dxfId="415" priority="247" operator="equal">
      <formula>$N$8</formula>
    </cfRule>
    <cfRule type="cellIs" dxfId="414" priority="248" operator="equal">
      <formula>"Under Progress"</formula>
    </cfRule>
    <cfRule type="cellIs" dxfId="413" priority="249" operator="equal">
      <formula>#REF!</formula>
    </cfRule>
  </conditionalFormatting>
  <conditionalFormatting sqref="O34:O36 O38:O39">
    <cfRule type="cellIs" dxfId="412" priority="235" operator="equal">
      <formula>$N$7</formula>
    </cfRule>
    <cfRule type="cellIs" dxfId="411" priority="236" operator="equal">
      <formula>"Planning"</formula>
    </cfRule>
    <cfRule type="cellIs" dxfId="410" priority="237" operator="equal">
      <formula>$N$8</formula>
    </cfRule>
    <cfRule type="cellIs" dxfId="409" priority="238" operator="equal">
      <formula>"Under Progress"</formula>
    </cfRule>
    <cfRule type="cellIs" dxfId="408" priority="239" operator="equal">
      <formula>#REF!</formula>
    </cfRule>
  </conditionalFormatting>
  <conditionalFormatting sqref="O60 O54 O49 O62:O65">
    <cfRule type="cellIs" dxfId="407" priority="230" operator="equal">
      <formula>$N$7</formula>
    </cfRule>
    <cfRule type="cellIs" dxfId="406" priority="231" operator="equal">
      <formula>"Planning"</formula>
    </cfRule>
    <cfRule type="cellIs" dxfId="405" priority="232" operator="equal">
      <formula>$N$8</formula>
    </cfRule>
    <cfRule type="cellIs" dxfId="404" priority="233" operator="equal">
      <formula>"Under Progress"</formula>
    </cfRule>
    <cfRule type="cellIs" dxfId="403" priority="234" operator="equal">
      <formula>#REF!</formula>
    </cfRule>
  </conditionalFormatting>
  <conditionalFormatting sqref="M44">
    <cfRule type="cellIs" dxfId="402" priority="225" operator="equal">
      <formula>$N$7</formula>
    </cfRule>
    <cfRule type="cellIs" dxfId="401" priority="226" operator="equal">
      <formula>"Planning"</formula>
    </cfRule>
    <cfRule type="cellIs" dxfId="400" priority="227" operator="equal">
      <formula>$N$8</formula>
    </cfRule>
    <cfRule type="cellIs" dxfId="399" priority="228" operator="equal">
      <formula>"Under Progress"</formula>
    </cfRule>
    <cfRule type="cellIs" dxfId="398" priority="229" operator="equal">
      <formula>#REF!</formula>
    </cfRule>
  </conditionalFormatting>
  <conditionalFormatting sqref="M45">
    <cfRule type="cellIs" dxfId="397" priority="220" operator="equal">
      <formula>$N$7</formula>
    </cfRule>
    <cfRule type="cellIs" dxfId="396" priority="221" operator="equal">
      <formula>"Planning"</formula>
    </cfRule>
    <cfRule type="cellIs" dxfId="395" priority="222" operator="equal">
      <formula>$N$8</formula>
    </cfRule>
    <cfRule type="cellIs" dxfId="394" priority="223" operator="equal">
      <formula>"Under Progress"</formula>
    </cfRule>
    <cfRule type="cellIs" dxfId="393" priority="224" operator="equal">
      <formula>#REF!</formula>
    </cfRule>
  </conditionalFormatting>
  <conditionalFormatting sqref="O128">
    <cfRule type="cellIs" dxfId="392" priority="195" operator="equal">
      <formula>$N$7</formula>
    </cfRule>
    <cfRule type="cellIs" dxfId="391" priority="196" operator="equal">
      <formula>"Planning"</formula>
    </cfRule>
    <cfRule type="cellIs" dxfId="390" priority="197" operator="equal">
      <formula>$N$8</formula>
    </cfRule>
    <cfRule type="cellIs" dxfId="389" priority="198" operator="equal">
      <formula>"Under Progress"</formula>
    </cfRule>
    <cfRule type="cellIs" dxfId="388" priority="199" operator="equal">
      <formula>#REF!</formula>
    </cfRule>
  </conditionalFormatting>
  <conditionalFormatting sqref="N93:N94">
    <cfRule type="cellIs" dxfId="387" priority="210" operator="equal">
      <formula>$N$7</formula>
    </cfRule>
    <cfRule type="cellIs" dxfId="386" priority="211" operator="equal">
      <formula>"Planning"</formula>
    </cfRule>
    <cfRule type="cellIs" dxfId="385" priority="212" operator="equal">
      <formula>$N$8</formula>
    </cfRule>
    <cfRule type="cellIs" dxfId="384" priority="213" operator="equal">
      <formula>"Under Progress"</formula>
    </cfRule>
    <cfRule type="cellIs" dxfId="383" priority="214" operator="equal">
      <formula>#REF!</formula>
    </cfRule>
  </conditionalFormatting>
  <conditionalFormatting sqref="O20">
    <cfRule type="cellIs" dxfId="382" priority="205" operator="equal">
      <formula>$N$7</formula>
    </cfRule>
    <cfRule type="cellIs" dxfId="381" priority="206" operator="equal">
      <formula>"Planning"</formula>
    </cfRule>
    <cfRule type="cellIs" dxfId="380" priority="207" operator="equal">
      <formula>$N$8</formula>
    </cfRule>
    <cfRule type="cellIs" dxfId="379" priority="208" operator="equal">
      <formula>"Under Progress"</formula>
    </cfRule>
    <cfRule type="cellIs" dxfId="378" priority="209" operator="equal">
      <formula>#REF!</formula>
    </cfRule>
  </conditionalFormatting>
  <conditionalFormatting sqref="O21">
    <cfRule type="cellIs" dxfId="377" priority="200" operator="equal">
      <formula>$N$7</formula>
    </cfRule>
    <cfRule type="cellIs" dxfId="376" priority="201" operator="equal">
      <formula>"Planning"</formula>
    </cfRule>
    <cfRule type="cellIs" dxfId="375" priority="202" operator="equal">
      <formula>$N$8</formula>
    </cfRule>
    <cfRule type="cellIs" dxfId="374" priority="203" operator="equal">
      <formula>"Under Progress"</formula>
    </cfRule>
    <cfRule type="cellIs" dxfId="373" priority="204" operator="equal">
      <formula>#REF!</formula>
    </cfRule>
  </conditionalFormatting>
  <conditionalFormatting sqref="P34">
    <cfRule type="cellIs" dxfId="372" priority="190" operator="equal">
      <formula>$N$7</formula>
    </cfRule>
    <cfRule type="cellIs" dxfId="371" priority="191" operator="equal">
      <formula>"Planning"</formula>
    </cfRule>
    <cfRule type="cellIs" dxfId="370" priority="192" operator="equal">
      <formula>$N$8</formula>
    </cfRule>
    <cfRule type="cellIs" dxfId="369" priority="193" operator="equal">
      <formula>"Under Progress"</formula>
    </cfRule>
    <cfRule type="cellIs" dxfId="368" priority="194" operator="equal">
      <formula>#REF!</formula>
    </cfRule>
  </conditionalFormatting>
  <conditionalFormatting sqref="O37">
    <cfRule type="cellIs" dxfId="367" priority="185" operator="equal">
      <formula>$N$7</formula>
    </cfRule>
    <cfRule type="cellIs" dxfId="366" priority="186" operator="equal">
      <formula>"Planning"</formula>
    </cfRule>
    <cfRule type="cellIs" dxfId="365" priority="187" operator="equal">
      <formula>$N$8</formula>
    </cfRule>
    <cfRule type="cellIs" dxfId="364" priority="188" operator="equal">
      <formula>"Under Progress"</formula>
    </cfRule>
    <cfRule type="cellIs" dxfId="363" priority="189" operator="equal">
      <formula>#REF!</formula>
    </cfRule>
  </conditionalFormatting>
  <conditionalFormatting sqref="P37">
    <cfRule type="cellIs" dxfId="362" priority="180" operator="equal">
      <formula>$N$7</formula>
    </cfRule>
    <cfRule type="cellIs" dxfId="361" priority="181" operator="equal">
      <formula>"Planning"</formula>
    </cfRule>
    <cfRule type="cellIs" dxfId="360" priority="182" operator="equal">
      <formula>$N$8</formula>
    </cfRule>
    <cfRule type="cellIs" dxfId="359" priority="183" operator="equal">
      <formula>"Under Progress"</formula>
    </cfRule>
    <cfRule type="cellIs" dxfId="358" priority="184" operator="equal">
      <formula>#REF!</formula>
    </cfRule>
  </conditionalFormatting>
  <conditionalFormatting sqref="O48">
    <cfRule type="cellIs" dxfId="357" priority="175" operator="equal">
      <formula>$N$7</formula>
    </cfRule>
    <cfRule type="cellIs" dxfId="356" priority="176" operator="equal">
      <formula>"Planning"</formula>
    </cfRule>
    <cfRule type="cellIs" dxfId="355" priority="177" operator="equal">
      <formula>$N$8</formula>
    </cfRule>
    <cfRule type="cellIs" dxfId="354" priority="178" operator="equal">
      <formula>"Under Progress"</formula>
    </cfRule>
    <cfRule type="cellIs" dxfId="353" priority="179" operator="equal">
      <formula>#REF!</formula>
    </cfRule>
  </conditionalFormatting>
  <conditionalFormatting sqref="P48">
    <cfRule type="cellIs" dxfId="352" priority="170" operator="equal">
      <formula>$N$7</formula>
    </cfRule>
    <cfRule type="cellIs" dxfId="351" priority="171" operator="equal">
      <formula>"Planning"</formula>
    </cfRule>
    <cfRule type="cellIs" dxfId="350" priority="172" operator="equal">
      <formula>$N$8</formula>
    </cfRule>
    <cfRule type="cellIs" dxfId="349" priority="173" operator="equal">
      <formula>"Under Progress"</formula>
    </cfRule>
    <cfRule type="cellIs" dxfId="348" priority="174" operator="equal">
      <formula>#REF!</formula>
    </cfRule>
  </conditionalFormatting>
  <conditionalFormatting sqref="O58">
    <cfRule type="cellIs" dxfId="347" priority="165" operator="equal">
      <formula>$N$7</formula>
    </cfRule>
    <cfRule type="cellIs" dxfId="346" priority="166" operator="equal">
      <formula>"Planning"</formula>
    </cfRule>
    <cfRule type="cellIs" dxfId="345" priority="167" operator="equal">
      <formula>$N$8</formula>
    </cfRule>
    <cfRule type="cellIs" dxfId="344" priority="168" operator="equal">
      <formula>"Under Progress"</formula>
    </cfRule>
    <cfRule type="cellIs" dxfId="343" priority="169" operator="equal">
      <formula>#REF!</formula>
    </cfRule>
  </conditionalFormatting>
  <conditionalFormatting sqref="P58">
    <cfRule type="cellIs" dxfId="342" priority="160" operator="equal">
      <formula>$N$7</formula>
    </cfRule>
    <cfRule type="cellIs" dxfId="341" priority="161" operator="equal">
      <formula>"Planning"</formula>
    </cfRule>
    <cfRule type="cellIs" dxfId="340" priority="162" operator="equal">
      <formula>$N$8</formula>
    </cfRule>
    <cfRule type="cellIs" dxfId="339" priority="163" operator="equal">
      <formula>"Under Progress"</formula>
    </cfRule>
    <cfRule type="cellIs" dxfId="338" priority="164" operator="equal">
      <formula>#REF!</formula>
    </cfRule>
  </conditionalFormatting>
  <conditionalFormatting sqref="O59">
    <cfRule type="cellIs" dxfId="337" priority="155" operator="equal">
      <formula>$N$7</formula>
    </cfRule>
    <cfRule type="cellIs" dxfId="336" priority="156" operator="equal">
      <formula>"Planning"</formula>
    </cfRule>
    <cfRule type="cellIs" dxfId="335" priority="157" operator="equal">
      <formula>$N$8</formula>
    </cfRule>
    <cfRule type="cellIs" dxfId="334" priority="158" operator="equal">
      <formula>"Under Progress"</formula>
    </cfRule>
    <cfRule type="cellIs" dxfId="333" priority="159" operator="equal">
      <formula>#REF!</formula>
    </cfRule>
  </conditionalFormatting>
  <conditionalFormatting sqref="P59">
    <cfRule type="cellIs" dxfId="332" priority="150" operator="equal">
      <formula>$N$7</formula>
    </cfRule>
    <cfRule type="cellIs" dxfId="331" priority="151" operator="equal">
      <formula>"Planning"</formula>
    </cfRule>
    <cfRule type="cellIs" dxfId="330" priority="152" operator="equal">
      <formula>$N$8</formula>
    </cfRule>
    <cfRule type="cellIs" dxfId="329" priority="153" operator="equal">
      <formula>"Under Progress"</formula>
    </cfRule>
    <cfRule type="cellIs" dxfId="328" priority="154" operator="equal">
      <formula>#REF!</formula>
    </cfRule>
  </conditionalFormatting>
  <conditionalFormatting sqref="O61">
    <cfRule type="cellIs" dxfId="327" priority="145" operator="equal">
      <formula>$N$7</formula>
    </cfRule>
    <cfRule type="cellIs" dxfId="326" priority="146" operator="equal">
      <formula>"Planning"</formula>
    </cfRule>
    <cfRule type="cellIs" dxfId="325" priority="147" operator="equal">
      <formula>$N$8</formula>
    </cfRule>
    <cfRule type="cellIs" dxfId="324" priority="148" operator="equal">
      <formula>"Under Progress"</formula>
    </cfRule>
    <cfRule type="cellIs" dxfId="323" priority="149" operator="equal">
      <formula>#REF!</formula>
    </cfRule>
  </conditionalFormatting>
  <conditionalFormatting sqref="P61">
    <cfRule type="cellIs" dxfId="322" priority="140" operator="equal">
      <formula>$N$7</formula>
    </cfRule>
    <cfRule type="cellIs" dxfId="321" priority="141" operator="equal">
      <formula>"Planning"</formula>
    </cfRule>
    <cfRule type="cellIs" dxfId="320" priority="142" operator="equal">
      <formula>$N$8</formula>
    </cfRule>
    <cfRule type="cellIs" dxfId="319" priority="143" operator="equal">
      <formula>"Under Progress"</formula>
    </cfRule>
    <cfRule type="cellIs" dxfId="318" priority="144" operator="equal">
      <formula>#REF!</formula>
    </cfRule>
  </conditionalFormatting>
  <conditionalFormatting sqref="O66">
    <cfRule type="cellIs" dxfId="317" priority="135" operator="equal">
      <formula>$N$7</formula>
    </cfRule>
    <cfRule type="cellIs" dxfId="316" priority="136" operator="equal">
      <formula>"Planning"</formula>
    </cfRule>
    <cfRule type="cellIs" dxfId="315" priority="137" operator="equal">
      <formula>$N$8</formula>
    </cfRule>
    <cfRule type="cellIs" dxfId="314" priority="138" operator="equal">
      <formula>"Under Progress"</formula>
    </cfRule>
    <cfRule type="cellIs" dxfId="313" priority="139" operator="equal">
      <formula>#REF!</formula>
    </cfRule>
  </conditionalFormatting>
  <conditionalFormatting sqref="P66">
    <cfRule type="cellIs" dxfId="312" priority="130" operator="equal">
      <formula>$N$7</formula>
    </cfRule>
    <cfRule type="cellIs" dxfId="311" priority="131" operator="equal">
      <formula>"Planning"</formula>
    </cfRule>
    <cfRule type="cellIs" dxfId="310" priority="132" operator="equal">
      <formula>$N$8</formula>
    </cfRule>
    <cfRule type="cellIs" dxfId="309" priority="133" operator="equal">
      <formula>"Under Progress"</formula>
    </cfRule>
    <cfRule type="cellIs" dxfId="308" priority="134" operator="equal">
      <formula>#REF!</formula>
    </cfRule>
  </conditionalFormatting>
  <conditionalFormatting sqref="O96">
    <cfRule type="cellIs" dxfId="307" priority="125" operator="equal">
      <formula>$N$7</formula>
    </cfRule>
    <cfRule type="cellIs" dxfId="306" priority="126" operator="equal">
      <formula>"Planning"</formula>
    </cfRule>
    <cfRule type="cellIs" dxfId="305" priority="127" operator="equal">
      <formula>$N$8</formula>
    </cfRule>
    <cfRule type="cellIs" dxfId="304" priority="128" operator="equal">
      <formula>"Under Progress"</formula>
    </cfRule>
    <cfRule type="cellIs" dxfId="303" priority="129" operator="equal">
      <formula>#REF!</formula>
    </cfRule>
  </conditionalFormatting>
  <conditionalFormatting sqref="P96">
    <cfRule type="cellIs" dxfId="302" priority="120" operator="equal">
      <formula>$N$7</formula>
    </cfRule>
    <cfRule type="cellIs" dxfId="301" priority="121" operator="equal">
      <formula>"Planning"</formula>
    </cfRule>
    <cfRule type="cellIs" dxfId="300" priority="122" operator="equal">
      <formula>$N$8</formula>
    </cfRule>
    <cfRule type="cellIs" dxfId="299" priority="123" operator="equal">
      <formula>"Under Progress"</formula>
    </cfRule>
    <cfRule type="cellIs" dxfId="298" priority="124" operator="equal">
      <formula>#REF!</formula>
    </cfRule>
  </conditionalFormatting>
  <conditionalFormatting sqref="O97">
    <cfRule type="cellIs" dxfId="297" priority="115" operator="equal">
      <formula>$N$7</formula>
    </cfRule>
    <cfRule type="cellIs" dxfId="296" priority="116" operator="equal">
      <formula>"Planning"</formula>
    </cfRule>
    <cfRule type="cellIs" dxfId="295" priority="117" operator="equal">
      <formula>$N$8</formula>
    </cfRule>
    <cfRule type="cellIs" dxfId="294" priority="118" operator="equal">
      <formula>"Under Progress"</formula>
    </cfRule>
    <cfRule type="cellIs" dxfId="293" priority="119" operator="equal">
      <formula>#REF!</formula>
    </cfRule>
  </conditionalFormatting>
  <conditionalFormatting sqref="P97">
    <cfRule type="cellIs" dxfId="292" priority="110" operator="equal">
      <formula>$N$7</formula>
    </cfRule>
    <cfRule type="cellIs" dxfId="291" priority="111" operator="equal">
      <formula>"Planning"</formula>
    </cfRule>
    <cfRule type="cellIs" dxfId="290" priority="112" operator="equal">
      <formula>$N$8</formula>
    </cfRule>
    <cfRule type="cellIs" dxfId="289" priority="113" operator="equal">
      <formula>"Under Progress"</formula>
    </cfRule>
    <cfRule type="cellIs" dxfId="288" priority="114" operator="equal">
      <formula>#REF!</formula>
    </cfRule>
  </conditionalFormatting>
  <conditionalFormatting sqref="O112">
    <cfRule type="cellIs" dxfId="287" priority="105" operator="equal">
      <formula>$N$7</formula>
    </cfRule>
    <cfRule type="cellIs" dxfId="286" priority="106" operator="equal">
      <formula>"Planning"</formula>
    </cfRule>
    <cfRule type="cellIs" dxfId="285" priority="107" operator="equal">
      <formula>$N$8</formula>
    </cfRule>
    <cfRule type="cellIs" dxfId="284" priority="108" operator="equal">
      <formula>"Under Progress"</formula>
    </cfRule>
    <cfRule type="cellIs" dxfId="283" priority="109" operator="equal">
      <formula>#REF!</formula>
    </cfRule>
  </conditionalFormatting>
  <conditionalFormatting sqref="P112">
    <cfRule type="cellIs" dxfId="282" priority="100" operator="equal">
      <formula>$N$7</formula>
    </cfRule>
    <cfRule type="cellIs" dxfId="281" priority="101" operator="equal">
      <formula>"Planning"</formula>
    </cfRule>
    <cfRule type="cellIs" dxfId="280" priority="102" operator="equal">
      <formula>$N$8</formula>
    </cfRule>
    <cfRule type="cellIs" dxfId="279" priority="103" operator="equal">
      <formula>"Under Progress"</formula>
    </cfRule>
    <cfRule type="cellIs" dxfId="278" priority="104" operator="equal">
      <formula>#REF!</formula>
    </cfRule>
  </conditionalFormatting>
  <conditionalFormatting sqref="O113">
    <cfRule type="cellIs" dxfId="277" priority="95" operator="equal">
      <formula>$N$7</formula>
    </cfRule>
    <cfRule type="cellIs" dxfId="276" priority="96" operator="equal">
      <formula>"Planning"</formula>
    </cfRule>
    <cfRule type="cellIs" dxfId="275" priority="97" operator="equal">
      <formula>$N$8</formula>
    </cfRule>
    <cfRule type="cellIs" dxfId="274" priority="98" operator="equal">
      <formula>"Under Progress"</formula>
    </cfRule>
    <cfRule type="cellIs" dxfId="273" priority="99" operator="equal">
      <formula>#REF!</formula>
    </cfRule>
  </conditionalFormatting>
  <conditionalFormatting sqref="P113">
    <cfRule type="cellIs" dxfId="272" priority="90" operator="equal">
      <formula>$N$7</formula>
    </cfRule>
    <cfRule type="cellIs" dxfId="271" priority="91" operator="equal">
      <formula>"Planning"</formula>
    </cfRule>
    <cfRule type="cellIs" dxfId="270" priority="92" operator="equal">
      <formula>$N$8</formula>
    </cfRule>
    <cfRule type="cellIs" dxfId="269" priority="93" operator="equal">
      <formula>"Under Progress"</formula>
    </cfRule>
    <cfRule type="cellIs" dxfId="268" priority="94" operator="equal">
      <formula>#REF!</formula>
    </cfRule>
  </conditionalFormatting>
  <conditionalFormatting sqref="O44">
    <cfRule type="cellIs" dxfId="267" priority="85" operator="equal">
      <formula>$N$7</formula>
    </cfRule>
    <cfRule type="cellIs" dxfId="266" priority="86" operator="equal">
      <formula>"Planning"</formula>
    </cfRule>
    <cfRule type="cellIs" dxfId="265" priority="87" operator="equal">
      <formula>$N$8</formula>
    </cfRule>
    <cfRule type="cellIs" dxfId="264" priority="88" operator="equal">
      <formula>"Under Progress"</formula>
    </cfRule>
    <cfRule type="cellIs" dxfId="263" priority="89" operator="equal">
      <formula>#REF!</formula>
    </cfRule>
  </conditionalFormatting>
  <conditionalFormatting sqref="O45">
    <cfRule type="cellIs" dxfId="262" priority="80" operator="equal">
      <formula>$N$7</formula>
    </cfRule>
    <cfRule type="cellIs" dxfId="261" priority="81" operator="equal">
      <formula>"Planning"</formula>
    </cfRule>
    <cfRule type="cellIs" dxfId="260" priority="82" operator="equal">
      <formula>$N$8</formula>
    </cfRule>
    <cfRule type="cellIs" dxfId="259" priority="83" operator="equal">
      <formula>"Under Progress"</formula>
    </cfRule>
    <cfRule type="cellIs" dxfId="258" priority="84" operator="equal">
      <formula>#REF!</formula>
    </cfRule>
  </conditionalFormatting>
  <conditionalFormatting sqref="N90">
    <cfRule type="cellIs" dxfId="257" priority="75" operator="equal">
      <formula>$N$7</formula>
    </cfRule>
    <cfRule type="cellIs" dxfId="256" priority="76" operator="equal">
      <formula>"Planning"</formula>
    </cfRule>
    <cfRule type="cellIs" dxfId="255" priority="77" operator="equal">
      <formula>$N$8</formula>
    </cfRule>
    <cfRule type="cellIs" dxfId="254" priority="78" operator="equal">
      <formula>"Under Progress"</formula>
    </cfRule>
    <cfRule type="cellIs" dxfId="253" priority="79" operator="equal">
      <formula>#REF!</formula>
    </cfRule>
  </conditionalFormatting>
  <conditionalFormatting sqref="M93">
    <cfRule type="cellIs" dxfId="252" priority="70" operator="equal">
      <formula>$N$7</formula>
    </cfRule>
    <cfRule type="cellIs" dxfId="251" priority="71" operator="equal">
      <formula>"Planning"</formula>
    </cfRule>
    <cfRule type="cellIs" dxfId="250" priority="72" operator="equal">
      <formula>$N$8</formula>
    </cfRule>
    <cfRule type="cellIs" dxfId="249" priority="73" operator="equal">
      <formula>"Under Progress"</formula>
    </cfRule>
    <cfRule type="cellIs" dxfId="248" priority="74" operator="equal">
      <formula>#REF!</formula>
    </cfRule>
  </conditionalFormatting>
  <conditionalFormatting sqref="N92">
    <cfRule type="cellIs" dxfId="247" priority="65" operator="equal">
      <formula>$N$7</formula>
    </cfRule>
    <cfRule type="cellIs" dxfId="246" priority="66" operator="equal">
      <formula>"Planning"</formula>
    </cfRule>
    <cfRule type="cellIs" dxfId="245" priority="67" operator="equal">
      <formula>$N$8</formula>
    </cfRule>
    <cfRule type="cellIs" dxfId="244" priority="68" operator="equal">
      <formula>"Under Progress"</formula>
    </cfRule>
    <cfRule type="cellIs" dxfId="243" priority="69" operator="equal">
      <formula>#REF!</formula>
    </cfRule>
  </conditionalFormatting>
  <conditionalFormatting sqref="M92">
    <cfRule type="cellIs" dxfId="242" priority="55" operator="equal">
      <formula>$N$7</formula>
    </cfRule>
    <cfRule type="cellIs" dxfId="241" priority="56" operator="equal">
      <formula>"Planning"</formula>
    </cfRule>
    <cfRule type="cellIs" dxfId="240" priority="57" operator="equal">
      <formula>$N$8</formula>
    </cfRule>
    <cfRule type="cellIs" dxfId="239" priority="58" operator="equal">
      <formula>"Under Progress"</formula>
    </cfRule>
    <cfRule type="cellIs" dxfId="238" priority="59" operator="equal">
      <formula>#REF!</formula>
    </cfRule>
  </conditionalFormatting>
  <conditionalFormatting sqref="O110">
    <cfRule type="cellIs" dxfId="237" priority="35" operator="equal">
      <formula>$N$7</formula>
    </cfRule>
    <cfRule type="cellIs" dxfId="236" priority="36" operator="equal">
      <formula>"Planning"</formula>
    </cfRule>
    <cfRule type="cellIs" dxfId="235" priority="37" operator="equal">
      <formula>$N$8</formula>
    </cfRule>
    <cfRule type="cellIs" dxfId="234" priority="38" operator="equal">
      <formula>"Under Progress"</formula>
    </cfRule>
    <cfRule type="cellIs" dxfId="233" priority="39" operator="equal">
      <formula>#REF!</formula>
    </cfRule>
  </conditionalFormatting>
  <conditionalFormatting sqref="M90">
    <cfRule type="cellIs" dxfId="232" priority="45" operator="equal">
      <formula>$N$7</formula>
    </cfRule>
    <cfRule type="cellIs" dxfId="231" priority="46" operator="equal">
      <formula>"Planning"</formula>
    </cfRule>
    <cfRule type="cellIs" dxfId="230" priority="47" operator="equal">
      <formula>$N$8</formula>
    </cfRule>
    <cfRule type="cellIs" dxfId="229" priority="48" operator="equal">
      <formula>"Under Progress"</formula>
    </cfRule>
    <cfRule type="cellIs" dxfId="228" priority="49" operator="equal">
      <formula>#REF!</formula>
    </cfRule>
  </conditionalFormatting>
  <conditionalFormatting sqref="M111">
    <cfRule type="cellIs" dxfId="227" priority="40" operator="equal">
      <formula>$N$7</formula>
    </cfRule>
    <cfRule type="cellIs" dxfId="226" priority="41" operator="equal">
      <formula>"Planning"</formula>
    </cfRule>
    <cfRule type="cellIs" dxfId="225" priority="42" operator="equal">
      <formula>$N$8</formula>
    </cfRule>
    <cfRule type="cellIs" dxfId="224" priority="43" operator="equal">
      <formula>"Under Progress"</formula>
    </cfRule>
    <cfRule type="cellIs" dxfId="223" priority="44" operator="equal">
      <formula>#REF!</formula>
    </cfRule>
  </conditionalFormatting>
  <conditionalFormatting sqref="M110">
    <cfRule type="cellIs" dxfId="222" priority="30" operator="equal">
      <formula>$N$7</formula>
    </cfRule>
    <cfRule type="cellIs" dxfId="221" priority="31" operator="equal">
      <formula>"Planning"</formula>
    </cfRule>
    <cfRule type="cellIs" dxfId="220" priority="32" operator="equal">
      <formula>$N$8</formula>
    </cfRule>
    <cfRule type="cellIs" dxfId="219" priority="33" operator="equal">
      <formula>"Under Progress"</formula>
    </cfRule>
    <cfRule type="cellIs" dxfId="218" priority="34" operator="equal">
      <formula>#REF!</formula>
    </cfRule>
  </conditionalFormatting>
  <conditionalFormatting sqref="N67">
    <cfRule type="cellIs" dxfId="217" priority="25" operator="equal">
      <formula>$N$7</formula>
    </cfRule>
    <cfRule type="cellIs" dxfId="216" priority="26" operator="equal">
      <formula>"Planning"</formula>
    </cfRule>
    <cfRule type="cellIs" dxfId="215" priority="27" operator="equal">
      <formula>$N$8</formula>
    </cfRule>
    <cfRule type="cellIs" dxfId="214" priority="28" operator="equal">
      <formula>"Under Progress"</formula>
    </cfRule>
    <cfRule type="cellIs" dxfId="213" priority="29" operator="equal">
      <formula>#REF!</formula>
    </cfRule>
  </conditionalFormatting>
  <conditionalFormatting sqref="M26">
    <cfRule type="cellIs" dxfId="212" priority="23" operator="equal">
      <formula>$L$23</formula>
    </cfRule>
    <cfRule type="cellIs" dxfId="211" priority="24" operator="equal">
      <formula>#REF!</formula>
    </cfRule>
  </conditionalFormatting>
  <conditionalFormatting sqref="M42">
    <cfRule type="cellIs" dxfId="210" priority="21" operator="equal">
      <formula>$L$23</formula>
    </cfRule>
    <cfRule type="cellIs" dxfId="209" priority="22" operator="equal">
      <formula>#REF!</formula>
    </cfRule>
  </conditionalFormatting>
  <conditionalFormatting sqref="N131">
    <cfRule type="cellIs" dxfId="208" priority="16" operator="equal">
      <formula>$N$7</formula>
    </cfRule>
    <cfRule type="cellIs" dxfId="207" priority="17" operator="equal">
      <formula>"Planning"</formula>
    </cfRule>
    <cfRule type="cellIs" dxfId="206" priority="18" operator="equal">
      <formula>$N$8</formula>
    </cfRule>
    <cfRule type="cellIs" dxfId="205" priority="19" operator="equal">
      <formula>"Under Progress"</formula>
    </cfRule>
    <cfRule type="cellIs" dxfId="204" priority="20" operator="equal">
      <formula>#REF!</formula>
    </cfRule>
  </conditionalFormatting>
  <conditionalFormatting sqref="M73">
    <cfRule type="cellIs" dxfId="203" priority="11" operator="equal">
      <formula>$N$7</formula>
    </cfRule>
    <cfRule type="cellIs" dxfId="202" priority="12" operator="equal">
      <formula>"Planning"</formula>
    </cfRule>
    <cfRule type="cellIs" dxfId="201" priority="13" operator="equal">
      <formula>$N$8</formula>
    </cfRule>
    <cfRule type="cellIs" dxfId="200" priority="14" operator="equal">
      <formula>"Under Progress"</formula>
    </cfRule>
    <cfRule type="cellIs" dxfId="199" priority="15" operator="equal">
      <formula>#REF!</formula>
    </cfRule>
  </conditionalFormatting>
  <conditionalFormatting sqref="N73">
    <cfRule type="cellIs" dxfId="198" priority="6" operator="equal">
      <formula>$N$7</formula>
    </cfRule>
    <cfRule type="cellIs" dxfId="197" priority="7" operator="equal">
      <formula>"Planning"</formula>
    </cfRule>
    <cfRule type="cellIs" dxfId="196" priority="8" operator="equal">
      <formula>$N$8</formula>
    </cfRule>
    <cfRule type="cellIs" dxfId="195" priority="9" operator="equal">
      <formula>"Under Progress"</formula>
    </cfRule>
    <cfRule type="cellIs" dxfId="194" priority="10" operator="equal">
      <formula>#REF!</formula>
    </cfRule>
  </conditionalFormatting>
  <conditionalFormatting sqref="N18">
    <cfRule type="cellIs" dxfId="193" priority="1" operator="equal">
      <formula>$N$7</formula>
    </cfRule>
    <cfRule type="cellIs" dxfId="192" priority="2" operator="equal">
      <formula>"Planning"</formula>
    </cfRule>
    <cfRule type="cellIs" dxfId="191" priority="3" operator="equal">
      <formula>$N$8</formula>
    </cfRule>
    <cfRule type="cellIs" dxfId="190" priority="4" operator="equal">
      <formula>"Under Progress"</formula>
    </cfRule>
    <cfRule type="cellIs" dxfId="189" priority="5" operator="equal">
      <formula>#REF!</formula>
    </cfRule>
  </conditionalFormatting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4"/>
  <sheetViews>
    <sheetView view="pageBreakPreview" zoomScale="63" zoomScaleNormal="55" zoomScaleSheetLayoutView="55" workbookViewId="0">
      <selection activeCell="I9" sqref="I9:K9"/>
    </sheetView>
  </sheetViews>
  <sheetFormatPr defaultRowHeight="15"/>
  <cols>
    <col min="1" max="1" width="10" bestFit="1" customWidth="1"/>
    <col min="3" max="3" width="10.85546875" customWidth="1"/>
    <col min="5" max="5" width="17" customWidth="1"/>
    <col min="6" max="6" width="8.28515625" customWidth="1"/>
    <col min="7" max="7" width="15" customWidth="1"/>
    <col min="8" max="8" width="7.7109375" customWidth="1"/>
    <col min="9" max="9" width="10.85546875" customWidth="1"/>
    <col min="11" max="11" width="11.7109375" customWidth="1"/>
    <col min="13" max="13" width="11.85546875" customWidth="1"/>
    <col min="14" max="14" width="16.5703125" customWidth="1"/>
    <col min="15" max="15" width="11.5703125" customWidth="1"/>
    <col min="16" max="16" width="10.28515625" customWidth="1"/>
    <col min="17" max="17" width="11.5703125" customWidth="1"/>
    <col min="19" max="19" width="11.42578125" bestFit="1" customWidth="1"/>
    <col min="21" max="22" width="12.7109375" customWidth="1"/>
    <col min="23" max="23" width="14.28515625" customWidth="1"/>
    <col min="24" max="24" width="9.140625" customWidth="1"/>
    <col min="27" max="27" width="12.42578125" customWidth="1"/>
    <col min="28" max="28" width="13" bestFit="1" customWidth="1"/>
  </cols>
  <sheetData>
    <row r="1" spans="1:27" s="337" customFormat="1" ht="18">
      <c r="A1" s="339"/>
      <c r="B1" s="396"/>
      <c r="C1" s="1498">
        <v>46197</v>
      </c>
      <c r="D1" s="1499"/>
      <c r="E1" s="1499"/>
      <c r="F1" s="1499"/>
      <c r="G1" s="1499"/>
      <c r="H1" s="1499"/>
      <c r="I1" s="1499"/>
      <c r="J1" s="1499"/>
      <c r="K1" s="1499"/>
      <c r="L1" s="1499"/>
      <c r="M1" s="1499"/>
      <c r="N1" s="1499"/>
      <c r="O1" s="1499"/>
      <c r="P1" s="1499"/>
      <c r="Q1" s="1499"/>
      <c r="R1" s="1499"/>
      <c r="S1" s="1499"/>
      <c r="T1" s="1499"/>
      <c r="U1" s="1499"/>
      <c r="V1" s="1499"/>
      <c r="W1" s="1499"/>
      <c r="X1" s="1499"/>
      <c r="Y1" s="1499"/>
      <c r="Z1" s="1499"/>
      <c r="AA1" s="1500"/>
    </row>
    <row r="2" spans="1:27" s="337" customFormat="1" ht="18">
      <c r="A2" s="1501" t="s">
        <v>1003</v>
      </c>
      <c r="B2" s="1502"/>
      <c r="C2" s="1502"/>
      <c r="D2" s="1502"/>
      <c r="E2" s="1502"/>
      <c r="F2" s="1502"/>
      <c r="G2" s="1502"/>
      <c r="H2" s="1502"/>
      <c r="I2" s="1502"/>
      <c r="J2" s="1502"/>
      <c r="K2" s="1502"/>
      <c r="L2" s="1502"/>
      <c r="M2" s="1502"/>
      <c r="N2" s="1502"/>
      <c r="O2" s="1502"/>
      <c r="P2" s="1502"/>
      <c r="Q2" s="1502"/>
      <c r="R2" s="1502"/>
      <c r="S2" s="1502"/>
      <c r="T2" s="1502"/>
      <c r="U2" s="1502"/>
      <c r="V2" s="1502"/>
      <c r="W2" s="1502"/>
      <c r="X2" s="1502"/>
      <c r="Y2" s="1502"/>
      <c r="Z2" s="1502"/>
      <c r="AA2" s="1503"/>
    </row>
    <row r="3" spans="1:27" s="337" customFormat="1" ht="18">
      <c r="A3" s="1501" t="s">
        <v>956</v>
      </c>
      <c r="B3" s="1502"/>
      <c r="C3" s="1502"/>
      <c r="D3" s="1502"/>
      <c r="E3" s="1502"/>
      <c r="F3" s="1502"/>
      <c r="G3" s="1502"/>
      <c r="H3" s="1502"/>
      <c r="I3" s="1502"/>
      <c r="J3" s="1502"/>
      <c r="K3" s="1502"/>
      <c r="L3" s="1502"/>
      <c r="M3" s="1502"/>
      <c r="N3" s="1502"/>
      <c r="O3" s="1502"/>
      <c r="P3" s="1502"/>
      <c r="Q3" s="1502"/>
      <c r="R3" s="1502"/>
      <c r="S3" s="1502"/>
      <c r="T3" s="1502"/>
      <c r="U3" s="1502"/>
      <c r="V3" s="1502"/>
      <c r="W3" s="1502"/>
      <c r="X3" s="1502"/>
      <c r="Y3" s="1502"/>
      <c r="Z3" s="1502"/>
      <c r="AA3" s="1503"/>
    </row>
    <row r="4" spans="1:27" s="337" customFormat="1" ht="18" customHeight="1">
      <c r="A4" s="1504" t="s">
        <v>916</v>
      </c>
      <c r="B4" s="1505"/>
      <c r="C4" s="1505"/>
      <c r="D4" s="1505"/>
      <c r="E4" s="1505"/>
      <c r="F4" s="1505"/>
      <c r="G4" s="1505"/>
      <c r="H4" s="1505"/>
      <c r="I4" s="1505"/>
      <c r="J4" s="1505"/>
      <c r="K4" s="1505"/>
      <c r="L4" s="1505"/>
      <c r="M4" s="1505"/>
      <c r="N4" s="1505"/>
      <c r="O4" s="1505"/>
      <c r="P4" s="1505"/>
      <c r="Q4" s="1505"/>
      <c r="R4" s="1505"/>
      <c r="S4" s="1505"/>
      <c r="T4" s="1505"/>
      <c r="U4" s="1505"/>
      <c r="V4" s="1505"/>
      <c r="W4" s="1505"/>
      <c r="X4" s="1505"/>
      <c r="Y4" s="1505"/>
      <c r="Z4" s="1505"/>
      <c r="AA4" s="1506"/>
    </row>
    <row r="5" spans="1:27" s="337" customFormat="1" ht="18.75" thickBot="1">
      <c r="A5" s="341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3"/>
      <c r="Z5" s="343"/>
      <c r="AA5" s="344"/>
    </row>
    <row r="6" spans="1:27" ht="15.75" thickBot="1">
      <c r="A6" s="256"/>
      <c r="B6" s="860"/>
      <c r="C6" s="860"/>
      <c r="D6" s="860"/>
      <c r="E6" s="860"/>
      <c r="F6" s="860"/>
      <c r="G6" s="860"/>
      <c r="H6" s="860"/>
      <c r="I6" s="860"/>
      <c r="J6" s="860"/>
      <c r="K6" s="860"/>
      <c r="L6" s="860"/>
      <c r="M6" s="860"/>
      <c r="N6" s="860"/>
      <c r="O6" s="860"/>
      <c r="P6" s="590" t="s">
        <v>951</v>
      </c>
      <c r="Q6" s="590"/>
      <c r="R6" s="860"/>
      <c r="S6" s="860"/>
      <c r="T6" s="860"/>
      <c r="U6" s="860"/>
      <c r="V6" s="860"/>
      <c r="W6" s="860"/>
      <c r="X6" s="860"/>
      <c r="Y6" s="860"/>
      <c r="Z6" s="860"/>
      <c r="AA6" s="118"/>
    </row>
    <row r="7" spans="1:27" ht="20.25">
      <c r="A7" s="256"/>
      <c r="B7" s="1507" t="s">
        <v>924</v>
      </c>
      <c r="C7" s="1508"/>
      <c r="D7" s="1508"/>
      <c r="E7" s="1508"/>
      <c r="F7" s="1508"/>
      <c r="G7" s="1509" t="s">
        <v>873</v>
      </c>
      <c r="H7" s="1509"/>
      <c r="I7" s="1510" t="s">
        <v>2198</v>
      </c>
      <c r="J7" s="1509"/>
      <c r="K7" s="1511"/>
      <c r="L7" s="860"/>
      <c r="M7" s="860"/>
      <c r="N7" s="860"/>
      <c r="O7" s="860"/>
      <c r="P7" s="1114"/>
      <c r="Q7" s="1115" t="s">
        <v>2028</v>
      </c>
      <c r="R7" s="860"/>
      <c r="S7" s="860"/>
      <c r="T7" s="860"/>
      <c r="U7" s="860"/>
      <c r="V7" s="860"/>
      <c r="W7" s="860"/>
      <c r="X7" s="860"/>
      <c r="Y7" s="860"/>
      <c r="Z7" s="860"/>
      <c r="AA7" s="118"/>
    </row>
    <row r="8" spans="1:27" ht="20.25">
      <c r="A8" s="256"/>
      <c r="B8" s="1513" t="s">
        <v>927</v>
      </c>
      <c r="C8" s="1514"/>
      <c r="D8" s="1514"/>
      <c r="E8" s="1514"/>
      <c r="F8" s="1514"/>
      <c r="G8" s="1515" t="s">
        <v>873</v>
      </c>
      <c r="H8" s="1515"/>
      <c r="I8" s="1520" t="s">
        <v>2205</v>
      </c>
      <c r="J8" s="1515"/>
      <c r="K8" s="1516"/>
      <c r="L8" s="860"/>
      <c r="M8" s="860"/>
      <c r="N8" s="860"/>
      <c r="O8" s="860"/>
      <c r="P8" s="1116"/>
      <c r="Q8" s="1115" t="s">
        <v>977</v>
      </c>
      <c r="R8" s="860"/>
      <c r="S8" s="860"/>
      <c r="T8" s="860"/>
      <c r="U8" s="860"/>
      <c r="V8" s="860"/>
      <c r="W8" s="860"/>
      <c r="X8" s="860"/>
      <c r="Y8" s="860"/>
      <c r="Z8" s="860"/>
      <c r="AA8" s="118"/>
    </row>
    <row r="9" spans="1:27" ht="20.25">
      <c r="A9" s="256"/>
      <c r="B9" s="1513" t="s">
        <v>929</v>
      </c>
      <c r="C9" s="1514"/>
      <c r="D9" s="1514"/>
      <c r="E9" s="1514"/>
      <c r="F9" s="1514"/>
      <c r="G9" s="1515" t="s">
        <v>873</v>
      </c>
      <c r="H9" s="1515"/>
      <c r="I9" s="1520" t="s">
        <v>2199</v>
      </c>
      <c r="J9" s="1515"/>
      <c r="K9" s="1516"/>
      <c r="L9" s="860"/>
      <c r="M9" s="860"/>
      <c r="N9" s="860"/>
      <c r="O9" s="860"/>
      <c r="P9" s="1512" t="s">
        <v>2029</v>
      </c>
      <c r="Q9" s="1112" t="s">
        <v>2030</v>
      </c>
      <c r="R9" s="860"/>
      <c r="S9" s="860"/>
      <c r="T9" s="860"/>
      <c r="U9" s="860"/>
      <c r="V9" s="860"/>
      <c r="W9" s="860"/>
      <c r="X9" s="860"/>
      <c r="Y9" s="860"/>
      <c r="Z9" s="860"/>
      <c r="AA9" s="118"/>
    </row>
    <row r="10" spans="1:27" ht="20.25">
      <c r="A10" s="256"/>
      <c r="B10" s="1513" t="s">
        <v>932</v>
      </c>
      <c r="C10" s="1514"/>
      <c r="D10" s="1514"/>
      <c r="E10" s="1514"/>
      <c r="F10" s="1514"/>
      <c r="G10" s="1515" t="s">
        <v>933</v>
      </c>
      <c r="H10" s="1515"/>
      <c r="I10" s="1515" t="s">
        <v>2165</v>
      </c>
      <c r="J10" s="1515"/>
      <c r="K10" s="1516"/>
      <c r="L10" s="860"/>
      <c r="M10" s="860"/>
      <c r="N10" s="860">
        <f>20.778+19.678</f>
        <v>40.456000000000003</v>
      </c>
      <c r="O10" s="860"/>
      <c r="P10" s="1512"/>
      <c r="Q10" s="1112" t="s">
        <v>2031</v>
      </c>
      <c r="R10" s="860"/>
      <c r="S10" s="860"/>
      <c r="T10" s="860"/>
      <c r="U10" s="860"/>
      <c r="V10" s="860"/>
      <c r="W10" s="860"/>
      <c r="X10" s="860"/>
      <c r="Y10" s="860"/>
      <c r="Z10" s="860"/>
      <c r="AA10" s="118"/>
    </row>
    <row r="11" spans="1:27" ht="21" thickBot="1">
      <c r="A11" s="256"/>
      <c r="B11" s="1517" t="s">
        <v>936</v>
      </c>
      <c r="C11" s="1518"/>
      <c r="D11" s="1518"/>
      <c r="E11" s="1518"/>
      <c r="F11" s="1518"/>
      <c r="G11" s="1519" t="s">
        <v>933</v>
      </c>
      <c r="H11" s="1519"/>
      <c r="I11" s="1515" t="s">
        <v>2165</v>
      </c>
      <c r="J11" s="1515"/>
      <c r="K11" s="1516"/>
      <c r="L11" s="860"/>
      <c r="M11" s="860"/>
      <c r="N11" s="860"/>
      <c r="O11" s="860"/>
      <c r="P11" s="1512"/>
      <c r="Q11" s="1112" t="s">
        <v>2032</v>
      </c>
      <c r="R11" s="860"/>
      <c r="S11" s="860"/>
      <c r="T11" s="860"/>
      <c r="U11" s="860"/>
      <c r="V11" s="860"/>
      <c r="W11" s="860"/>
      <c r="X11" s="860"/>
      <c r="Y11" s="860"/>
      <c r="Z11" s="860"/>
      <c r="AA11" s="118"/>
    </row>
    <row r="12" spans="1:27" ht="15.75" thickBot="1">
      <c r="A12" s="256"/>
      <c r="B12" s="860"/>
      <c r="C12" s="860"/>
      <c r="D12" s="860"/>
      <c r="E12" s="860"/>
      <c r="F12" s="860"/>
      <c r="G12" s="860"/>
      <c r="H12" s="860"/>
      <c r="I12" s="860"/>
      <c r="J12" s="860"/>
      <c r="K12" s="860"/>
      <c r="L12" s="860"/>
      <c r="M12" s="860"/>
      <c r="N12" s="860"/>
      <c r="O12" s="860"/>
      <c r="P12" s="1512"/>
      <c r="Q12" s="1112" t="s">
        <v>2033</v>
      </c>
      <c r="R12" s="860"/>
      <c r="S12" s="860"/>
      <c r="T12" s="860"/>
      <c r="U12" s="860"/>
      <c r="V12" s="860"/>
      <c r="W12" s="860"/>
      <c r="X12" s="860"/>
      <c r="Y12" s="860"/>
      <c r="Z12" s="860"/>
      <c r="AA12" s="118"/>
    </row>
    <row r="13" spans="1:27" s="337" customFormat="1" ht="18">
      <c r="A13" s="339"/>
      <c r="B13" s="396"/>
      <c r="C13" s="1498">
        <f>C1</f>
        <v>46197</v>
      </c>
      <c r="D13" s="1499"/>
      <c r="E13" s="1499"/>
      <c r="F13" s="1499"/>
      <c r="G13" s="1499"/>
      <c r="H13" s="1499"/>
      <c r="I13" s="1499"/>
      <c r="J13" s="1499"/>
      <c r="K13" s="1499"/>
      <c r="L13" s="1499"/>
      <c r="M13" s="1499"/>
      <c r="N13" s="1499"/>
      <c r="O13" s="1499"/>
      <c r="P13" s="1499"/>
      <c r="Q13" s="1499"/>
      <c r="R13" s="1499"/>
      <c r="S13" s="1499"/>
      <c r="T13" s="1499"/>
      <c r="U13" s="1499"/>
      <c r="V13" s="1499"/>
      <c r="W13" s="1499"/>
      <c r="X13" s="1499"/>
      <c r="Y13" s="1499"/>
      <c r="Z13" s="1499"/>
      <c r="AA13" s="1500"/>
    </row>
    <row r="14" spans="1:27" s="337" customFormat="1" ht="18" customHeight="1">
      <c r="A14" s="1501" t="s">
        <v>961</v>
      </c>
      <c r="B14" s="1502"/>
      <c r="C14" s="1502"/>
      <c r="D14" s="1502"/>
      <c r="E14" s="1502"/>
      <c r="F14" s="1502"/>
      <c r="G14" s="1502"/>
      <c r="H14" s="1502"/>
      <c r="I14" s="1502"/>
      <c r="J14" s="1502"/>
      <c r="K14" s="1502"/>
      <c r="L14" s="1502"/>
      <c r="M14" s="1502"/>
      <c r="N14" s="1502"/>
      <c r="O14" s="1502"/>
      <c r="P14" s="1502"/>
      <c r="Q14" s="1502"/>
      <c r="R14" s="1502"/>
      <c r="S14" s="1502"/>
      <c r="T14" s="1502"/>
      <c r="U14" s="1502"/>
      <c r="V14" s="1502"/>
      <c r="W14" s="1502"/>
      <c r="X14" s="1502"/>
      <c r="Y14" s="1502"/>
      <c r="Z14" s="1502"/>
      <c r="AA14" s="1503"/>
    </row>
    <row r="15" spans="1:27" s="337" customFormat="1" ht="18">
      <c r="A15" s="1501" t="s">
        <v>956</v>
      </c>
      <c r="B15" s="1502"/>
      <c r="C15" s="1502"/>
      <c r="D15" s="1502"/>
      <c r="E15" s="1502"/>
      <c r="F15" s="1502"/>
      <c r="G15" s="1502"/>
      <c r="H15" s="1502"/>
      <c r="I15" s="1502"/>
      <c r="J15" s="1502"/>
      <c r="K15" s="1502"/>
      <c r="L15" s="1502"/>
      <c r="M15" s="1502"/>
      <c r="N15" s="1502"/>
      <c r="O15" s="1502"/>
      <c r="P15" s="1502"/>
      <c r="Q15" s="1502"/>
      <c r="R15" s="1502"/>
      <c r="S15" s="1502"/>
      <c r="T15" s="1502"/>
      <c r="U15" s="1502"/>
      <c r="V15" s="1502"/>
      <c r="W15" s="1502"/>
      <c r="X15" s="1502"/>
      <c r="Y15" s="1502"/>
      <c r="Z15" s="1502"/>
      <c r="AA15" s="1503"/>
    </row>
    <row r="16" spans="1:27" s="337" customFormat="1" ht="18" customHeight="1">
      <c r="A16" s="1504" t="s">
        <v>916</v>
      </c>
      <c r="B16" s="1505"/>
      <c r="C16" s="1505"/>
      <c r="D16" s="1505"/>
      <c r="E16" s="1505"/>
      <c r="F16" s="1505"/>
      <c r="G16" s="1505"/>
      <c r="H16" s="1505"/>
      <c r="I16" s="1505"/>
      <c r="J16" s="1505"/>
      <c r="K16" s="1505"/>
      <c r="L16" s="1505"/>
      <c r="M16" s="1505"/>
      <c r="N16" s="1505"/>
      <c r="O16" s="1505"/>
      <c r="P16" s="1505"/>
      <c r="Q16" s="1505"/>
      <c r="R16" s="1505"/>
      <c r="S16" s="1505"/>
      <c r="T16" s="1505"/>
      <c r="U16" s="1505"/>
      <c r="V16" s="1505"/>
      <c r="W16" s="1505"/>
      <c r="X16" s="1505"/>
      <c r="Y16" s="1505"/>
      <c r="Z16" s="1505"/>
      <c r="AA16" s="1506"/>
    </row>
    <row r="17" spans="1:28" s="337" customFormat="1" ht="18.75" thickBot="1">
      <c r="A17" s="341"/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3"/>
      <c r="O17" s="343"/>
      <c r="P17" s="343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28" s="337" customFormat="1" ht="18">
      <c r="A18" s="340"/>
      <c r="B18" s="889"/>
      <c r="C18" s="1521"/>
      <c r="D18" s="1521"/>
      <c r="E18" s="1521"/>
      <c r="F18" s="1521"/>
      <c r="G18" s="1521"/>
      <c r="H18" s="1522"/>
      <c r="I18" s="1522"/>
      <c r="J18" s="1502"/>
      <c r="K18" s="1502"/>
      <c r="L18" s="1502"/>
      <c r="M18" s="1104"/>
      <c r="N18" s="1523" t="s">
        <v>917</v>
      </c>
      <c r="O18" s="1524"/>
      <c r="P18" s="1524"/>
      <c r="Q18" s="1524"/>
      <c r="R18" s="1524"/>
      <c r="S18" s="1524"/>
      <c r="T18" s="1524"/>
      <c r="U18" s="1524"/>
      <c r="V18" s="1524"/>
      <c r="W18" s="1524"/>
      <c r="X18" s="1524"/>
      <c r="Y18" s="1524"/>
      <c r="Z18" s="1524"/>
      <c r="AA18" s="1525"/>
    </row>
    <row r="19" spans="1:28" s="337" customFormat="1" ht="18" customHeight="1">
      <c r="A19" s="340"/>
      <c r="B19" s="889"/>
      <c r="C19" s="1521"/>
      <c r="D19" s="1521"/>
      <c r="E19" s="1521"/>
      <c r="F19" s="1521"/>
      <c r="G19" s="1521"/>
      <c r="H19" s="1522"/>
      <c r="I19" s="1522"/>
      <c r="J19" s="1502"/>
      <c r="K19" s="1502"/>
      <c r="L19" s="1502"/>
      <c r="M19" s="1091"/>
      <c r="N19" s="1092"/>
      <c r="O19" s="345" t="s">
        <v>918</v>
      </c>
      <c r="P19" s="1536" t="s">
        <v>919</v>
      </c>
      <c r="Q19" s="1522"/>
      <c r="R19" s="346"/>
      <c r="S19" s="890"/>
      <c r="T19" s="1537" t="s">
        <v>920</v>
      </c>
      <c r="U19" s="1538"/>
      <c r="V19" s="891"/>
      <c r="W19" s="1539" t="s">
        <v>921</v>
      </c>
      <c r="X19" s="892"/>
      <c r="Y19" s="1532" t="s">
        <v>922</v>
      </c>
      <c r="Z19" s="893"/>
      <c r="AA19" s="1533" t="s">
        <v>923</v>
      </c>
    </row>
    <row r="20" spans="1:28" s="337" customFormat="1" ht="18">
      <c r="A20" s="340"/>
      <c r="B20" s="889"/>
      <c r="C20" s="1528" t="s">
        <v>924</v>
      </c>
      <c r="D20" s="1528"/>
      <c r="E20" s="1528"/>
      <c r="F20" s="1528"/>
      <c r="G20" s="1528"/>
      <c r="H20" s="1529" t="s">
        <v>873</v>
      </c>
      <c r="I20" s="1529"/>
      <c r="J20" s="1534" t="s">
        <v>2172</v>
      </c>
      <c r="K20" s="1530"/>
      <c r="L20" s="1531"/>
      <c r="M20" s="351"/>
      <c r="N20" s="1092"/>
      <c r="O20" s="1092"/>
      <c r="P20" s="1535" t="s">
        <v>925</v>
      </c>
      <c r="Q20" s="1535"/>
      <c r="R20" s="1092"/>
      <c r="S20" s="894" t="s">
        <v>926</v>
      </c>
      <c r="T20" s="1537"/>
      <c r="U20" s="1538"/>
      <c r="V20" s="891"/>
      <c r="W20" s="1539"/>
      <c r="X20" s="892"/>
      <c r="Y20" s="1532"/>
      <c r="Z20" s="893"/>
      <c r="AA20" s="1533"/>
    </row>
    <row r="21" spans="1:28" s="337" customFormat="1" ht="18.75" customHeight="1" thickBot="1">
      <c r="A21" s="340"/>
      <c r="B21" s="889"/>
      <c r="C21" s="1528" t="s">
        <v>927</v>
      </c>
      <c r="D21" s="1528"/>
      <c r="E21" s="1528"/>
      <c r="F21" s="1528"/>
      <c r="G21" s="1528"/>
      <c r="H21" s="1529" t="s">
        <v>873</v>
      </c>
      <c r="I21" s="1529"/>
      <c r="J21" s="1534" t="s">
        <v>2203</v>
      </c>
      <c r="K21" s="1530"/>
      <c r="L21" s="1531"/>
      <c r="M21" s="353" t="s">
        <v>928</v>
      </c>
      <c r="N21" s="890"/>
      <c r="O21" s="1085"/>
      <c r="P21" s="895"/>
      <c r="Q21" s="896"/>
      <c r="R21" s="897"/>
      <c r="S21" s="897"/>
      <c r="T21" s="1537"/>
      <c r="U21" s="1538"/>
      <c r="V21" s="898"/>
      <c r="W21" s="1539"/>
      <c r="X21" s="892"/>
      <c r="Y21" s="1532"/>
      <c r="Z21" s="890"/>
      <c r="AA21" s="1533"/>
    </row>
    <row r="22" spans="1:28" s="364" customFormat="1" ht="18.75" thickTop="1">
      <c r="A22" s="358"/>
      <c r="B22" s="899"/>
      <c r="C22" s="1528" t="s">
        <v>929</v>
      </c>
      <c r="D22" s="1528"/>
      <c r="E22" s="1528"/>
      <c r="F22" s="1528"/>
      <c r="G22" s="1528"/>
      <c r="H22" s="1529" t="s">
        <v>873</v>
      </c>
      <c r="I22" s="1529"/>
      <c r="J22" s="1534" t="s">
        <v>2190</v>
      </c>
      <c r="K22" s="1530"/>
      <c r="L22" s="1531"/>
      <c r="M22" s="359"/>
      <c r="N22" s="896"/>
      <c r="O22" s="360" t="s">
        <v>930</v>
      </c>
      <c r="P22" s="1540" t="s">
        <v>931</v>
      </c>
      <c r="Q22" s="1541"/>
      <c r="R22" s="1526"/>
      <c r="S22" s="890"/>
      <c r="T22" s="1537"/>
      <c r="U22" s="1538"/>
      <c r="V22" s="898"/>
      <c r="W22" s="361"/>
      <c r="X22" s="892"/>
      <c r="Y22" s="362"/>
      <c r="Z22" s="897"/>
      <c r="AA22" s="363"/>
    </row>
    <row r="23" spans="1:28" s="364" customFormat="1" ht="18.75" thickBot="1">
      <c r="A23" s="358"/>
      <c r="B23" s="899"/>
      <c r="C23" s="1528" t="s">
        <v>932</v>
      </c>
      <c r="D23" s="1528"/>
      <c r="E23" s="1528"/>
      <c r="F23" s="1528"/>
      <c r="G23" s="1528"/>
      <c r="H23" s="1529" t="s">
        <v>933</v>
      </c>
      <c r="I23" s="1529"/>
      <c r="J23" s="1530" t="s">
        <v>2166</v>
      </c>
      <c r="K23" s="1530"/>
      <c r="L23" s="1531"/>
      <c r="M23" s="353" t="s">
        <v>934</v>
      </c>
      <c r="N23" s="897"/>
      <c r="O23" s="365" t="s">
        <v>935</v>
      </c>
      <c r="P23" s="897"/>
      <c r="Q23" s="366"/>
      <c r="R23" s="1527"/>
      <c r="S23" s="897"/>
      <c r="T23" s="1537"/>
      <c r="U23" s="1538"/>
      <c r="V23" s="898"/>
      <c r="W23" s="361"/>
      <c r="X23" s="892"/>
      <c r="Y23" s="362"/>
      <c r="Z23" s="897"/>
      <c r="AA23" s="363"/>
    </row>
    <row r="24" spans="1:28" s="364" customFormat="1" ht="18">
      <c r="A24" s="358"/>
      <c r="B24" s="899"/>
      <c r="C24" s="1528" t="s">
        <v>936</v>
      </c>
      <c r="D24" s="1528"/>
      <c r="E24" s="1528"/>
      <c r="F24" s="1528"/>
      <c r="G24" s="1528"/>
      <c r="H24" s="1529" t="s">
        <v>933</v>
      </c>
      <c r="I24" s="1529"/>
      <c r="J24" s="1530" t="s">
        <v>2166</v>
      </c>
      <c r="K24" s="1530"/>
      <c r="L24" s="1531"/>
      <c r="M24" s="359"/>
      <c r="N24" s="897"/>
      <c r="O24" s="897"/>
      <c r="P24" s="897"/>
      <c r="Q24" s="900"/>
      <c r="R24" s="1085"/>
      <c r="S24" s="897"/>
      <c r="T24" s="1537"/>
      <c r="U24" s="1538"/>
      <c r="V24" s="898"/>
      <c r="W24" s="361"/>
      <c r="X24" s="892"/>
      <c r="Y24" s="368"/>
      <c r="Z24" s="897"/>
      <c r="AA24" s="363"/>
    </row>
    <row r="25" spans="1:28" s="364" customFormat="1" ht="15.75">
      <c r="A25" s="358"/>
      <c r="B25" s="899"/>
      <c r="C25" s="899"/>
      <c r="D25" s="899"/>
      <c r="E25" s="899"/>
      <c r="F25" s="899"/>
      <c r="G25" s="899"/>
      <c r="H25" s="899"/>
      <c r="I25" s="899" t="s">
        <v>937</v>
      </c>
      <c r="J25" s="899"/>
      <c r="K25" s="899"/>
      <c r="L25" s="899"/>
      <c r="M25" s="369" t="s">
        <v>938</v>
      </c>
      <c r="N25" s="897"/>
      <c r="O25" s="1085" t="s">
        <v>939</v>
      </c>
      <c r="P25" s="1085"/>
      <c r="Q25" s="900" t="s">
        <v>940</v>
      </c>
      <c r="R25" s="897"/>
      <c r="S25" s="1547" t="s">
        <v>941</v>
      </c>
      <c r="T25" s="1537"/>
      <c r="U25" s="1538"/>
      <c r="V25" s="898"/>
      <c r="W25" s="361"/>
      <c r="X25" s="892"/>
      <c r="Y25" s="368"/>
      <c r="Z25" s="897"/>
      <c r="AA25" s="363"/>
    </row>
    <row r="26" spans="1:28" s="364" customFormat="1" ht="15.75">
      <c r="A26" s="358"/>
      <c r="B26" s="899"/>
      <c r="C26" s="899"/>
      <c r="D26" s="899"/>
      <c r="E26" s="899"/>
      <c r="F26" s="899"/>
      <c r="G26" s="899"/>
      <c r="H26" s="899"/>
      <c r="I26" s="899"/>
      <c r="J26" s="899"/>
      <c r="K26" s="899"/>
      <c r="L26" s="899"/>
      <c r="M26" s="359"/>
      <c r="N26" s="897"/>
      <c r="O26" s="1085"/>
      <c r="P26" s="1548" t="s">
        <v>942</v>
      </c>
      <c r="Q26" s="1548" t="s">
        <v>943</v>
      </c>
      <c r="R26" s="897"/>
      <c r="S26" s="1547"/>
      <c r="T26" s="1537"/>
      <c r="U26" s="1538"/>
      <c r="V26" s="898"/>
      <c r="W26" s="361"/>
      <c r="X26" s="892"/>
      <c r="Y26" s="368"/>
      <c r="Z26" s="897"/>
      <c r="AA26" s="363"/>
    </row>
    <row r="27" spans="1:28" s="364" customFormat="1" ht="17.45" customHeight="1">
      <c r="A27" s="359"/>
      <c r="B27" s="897"/>
      <c r="C27" s="899"/>
      <c r="D27" s="1522"/>
      <c r="E27" s="1522"/>
      <c r="F27" s="1522"/>
      <c r="G27" s="1522"/>
      <c r="H27" s="899"/>
      <c r="I27" s="897"/>
      <c r="J27" s="897"/>
      <c r="K27" s="897"/>
      <c r="L27" s="897"/>
      <c r="M27" s="369" t="s">
        <v>944</v>
      </c>
      <c r="N27" s="897"/>
      <c r="O27" s="1085" t="s">
        <v>945</v>
      </c>
      <c r="P27" s="1548"/>
      <c r="Q27" s="1549"/>
      <c r="R27" s="897"/>
      <c r="S27" s="897"/>
      <c r="T27" s="1537"/>
      <c r="U27" s="1538"/>
      <c r="V27" s="897"/>
      <c r="W27" s="361"/>
      <c r="X27" s="892"/>
      <c r="Y27" s="362"/>
      <c r="Z27" s="897"/>
      <c r="AA27" s="363"/>
    </row>
    <row r="28" spans="1:28" s="364" customFormat="1" ht="16.5" thickBot="1">
      <c r="A28" s="358"/>
      <c r="B28" s="899"/>
      <c r="C28" s="899"/>
      <c r="D28" s="899"/>
      <c r="E28" s="899"/>
      <c r="F28" s="899"/>
      <c r="G28" s="899"/>
      <c r="H28" s="899"/>
      <c r="I28" s="899"/>
      <c r="J28" s="899"/>
      <c r="K28" s="899"/>
      <c r="L28" s="899"/>
      <c r="M28" s="370"/>
      <c r="N28" s="343"/>
      <c r="O28" s="343"/>
      <c r="P28" s="371"/>
      <c r="Q28" s="343"/>
      <c r="R28" s="343"/>
      <c r="S28" s="343"/>
      <c r="T28" s="343"/>
      <c r="U28" s="343"/>
      <c r="V28" s="343"/>
      <c r="W28" s="343"/>
      <c r="X28" s="343"/>
      <c r="Y28" s="343"/>
      <c r="Z28" s="343"/>
      <c r="AA28" s="344"/>
    </row>
    <row r="29" spans="1:28" s="364" customFormat="1" ht="15.75" customHeight="1">
      <c r="A29" s="372"/>
      <c r="B29" s="901"/>
      <c r="C29" s="902"/>
      <c r="D29" s="902"/>
      <c r="E29" s="902"/>
      <c r="F29" s="902"/>
      <c r="G29" s="902"/>
      <c r="H29" s="902"/>
      <c r="I29" s="902"/>
      <c r="J29" s="902"/>
      <c r="K29" s="902"/>
      <c r="L29" s="902"/>
      <c r="M29" s="902"/>
      <c r="N29" s="902"/>
      <c r="O29" s="902"/>
      <c r="P29" s="902"/>
      <c r="Q29" s="903"/>
      <c r="R29" s="903"/>
      <c r="S29" s="902"/>
      <c r="T29" s="902"/>
      <c r="U29" s="902"/>
      <c r="V29" s="899"/>
      <c r="W29" s="1557" t="s">
        <v>946</v>
      </c>
      <c r="X29" s="1554" t="s">
        <v>947</v>
      </c>
      <c r="Y29" s="1554" t="s">
        <v>948</v>
      </c>
      <c r="Z29" s="1555" t="s">
        <v>949</v>
      </c>
      <c r="AA29" s="1556" t="s">
        <v>950</v>
      </c>
    </row>
    <row r="30" spans="1:28" s="364" customFormat="1">
      <c r="A30" s="372"/>
      <c r="B30" s="901"/>
      <c r="C30" s="904"/>
      <c r="D30" s="902"/>
      <c r="E30" s="904"/>
      <c r="F30" s="902"/>
      <c r="G30" s="905"/>
      <c r="H30" s="902"/>
      <c r="I30" s="902"/>
      <c r="J30" s="902"/>
      <c r="K30" s="902"/>
      <c r="L30" s="902"/>
      <c r="M30" s="904"/>
      <c r="N30" s="904"/>
      <c r="O30" s="905"/>
      <c r="P30" s="904"/>
      <c r="Q30" s="905"/>
      <c r="R30" s="904"/>
      <c r="S30" s="905"/>
      <c r="T30" s="904"/>
      <c r="U30" s="904"/>
      <c r="V30" s="899"/>
      <c r="W30" s="1557"/>
      <c r="X30" s="1554"/>
      <c r="Y30" s="1554"/>
      <c r="Z30" s="1555"/>
      <c r="AA30" s="1556"/>
    </row>
    <row r="31" spans="1:28" s="364" customFormat="1" ht="15.75">
      <c r="A31" s="372"/>
      <c r="B31" s="901"/>
      <c r="C31" s="902"/>
      <c r="D31" s="902"/>
      <c r="E31" s="902"/>
      <c r="F31" s="902"/>
      <c r="G31" s="902"/>
      <c r="H31" s="902"/>
      <c r="I31" s="902"/>
      <c r="J31" s="902"/>
      <c r="K31" s="902"/>
      <c r="L31" s="902"/>
      <c r="M31" s="902"/>
      <c r="N31" s="902"/>
      <c r="O31" s="902"/>
      <c r="P31" s="906"/>
      <c r="Q31" s="906"/>
      <c r="R31" s="906"/>
      <c r="S31" s="906"/>
      <c r="T31" s="906"/>
      <c r="U31" s="906"/>
      <c r="V31" s="899"/>
      <c r="W31" s="362"/>
      <c r="X31" s="362"/>
      <c r="Y31" s="362"/>
      <c r="Z31" s="362"/>
      <c r="AA31" s="363"/>
    </row>
    <row r="32" spans="1:28" s="364" customFormat="1">
      <c r="A32" s="372"/>
      <c r="B32" s="901"/>
      <c r="C32" s="902"/>
      <c r="D32" s="902"/>
      <c r="E32" s="902"/>
      <c r="F32" s="902"/>
      <c r="G32" s="902"/>
      <c r="H32" s="902"/>
      <c r="I32" s="902"/>
      <c r="J32" s="902"/>
      <c r="K32" s="902"/>
      <c r="L32" s="902"/>
      <c r="M32" s="902"/>
      <c r="N32" s="902"/>
      <c r="O32" s="902"/>
      <c r="P32" s="906"/>
      <c r="Q32" s="906"/>
      <c r="R32" s="906"/>
      <c r="S32" s="906"/>
      <c r="T32" s="906"/>
      <c r="U32" s="906"/>
      <c r="V32" s="899"/>
      <c r="W32" s="377"/>
      <c r="X32" s="377"/>
      <c r="Y32" s="377"/>
      <c r="Z32" s="377"/>
      <c r="AA32" s="378"/>
      <c r="AB32" s="1203"/>
    </row>
    <row r="33" spans="1:27" s="380" customFormat="1" ht="16.5" customHeight="1">
      <c r="A33" s="1542"/>
      <c r="B33" s="379">
        <v>146.26</v>
      </c>
      <c r="C33" s="1543"/>
      <c r="D33" s="379">
        <v>112.78</v>
      </c>
      <c r="E33" s="1543"/>
      <c r="F33" s="379">
        <v>158.66</v>
      </c>
      <c r="G33" s="1543"/>
      <c r="H33" s="379">
        <v>296</v>
      </c>
      <c r="I33" s="1545"/>
      <c r="J33" s="379">
        <v>332</v>
      </c>
      <c r="K33" s="1545"/>
      <c r="L33" s="379">
        <v>277</v>
      </c>
      <c r="M33" s="1545"/>
      <c r="N33" s="379">
        <v>340.68</v>
      </c>
      <c r="O33" s="1543"/>
      <c r="P33" s="426">
        <v>229.84</v>
      </c>
      <c r="Q33" s="1562"/>
      <c r="R33" s="379">
        <v>276.93</v>
      </c>
      <c r="S33" s="1562"/>
      <c r="T33" s="379">
        <v>357</v>
      </c>
      <c r="U33" s="1543"/>
      <c r="V33" s="1550" t="s">
        <v>1955</v>
      </c>
      <c r="W33" s="381">
        <f>SUM(A33:V33)</f>
        <v>2527.1499999999996</v>
      </c>
      <c r="X33" s="381">
        <v>0</v>
      </c>
      <c r="Y33" s="381">
        <v>0</v>
      </c>
      <c r="Z33" s="381">
        <v>0</v>
      </c>
      <c r="AA33" s="382">
        <v>0</v>
      </c>
    </row>
    <row r="34" spans="1:27" s="364" customFormat="1" ht="16.149999999999999" customHeight="1">
      <c r="A34" s="1542"/>
      <c r="B34" s="901"/>
      <c r="C34" s="1544"/>
      <c r="D34" s="904"/>
      <c r="E34" s="1544"/>
      <c r="F34" s="904"/>
      <c r="G34" s="1544"/>
      <c r="H34" s="904"/>
      <c r="I34" s="1546"/>
      <c r="J34" s="904"/>
      <c r="K34" s="1546"/>
      <c r="L34" s="904"/>
      <c r="M34" s="1546"/>
      <c r="N34" s="904"/>
      <c r="O34" s="1544"/>
      <c r="P34" s="906"/>
      <c r="Q34" s="1562"/>
      <c r="R34" s="908"/>
      <c r="S34" s="1562"/>
      <c r="T34" s="385"/>
      <c r="U34" s="1544"/>
      <c r="V34" s="1550"/>
      <c r="W34" s="386"/>
      <c r="X34" s="381"/>
      <c r="Y34" s="381"/>
      <c r="Z34" s="381"/>
      <c r="AA34" s="387"/>
    </row>
    <row r="35" spans="1:27" s="364" customFormat="1">
      <c r="A35" s="399" t="s">
        <v>962</v>
      </c>
      <c r="B35" s="901"/>
      <c r="C35" s="906" t="s">
        <v>132</v>
      </c>
      <c r="D35" s="906"/>
      <c r="E35" s="906" t="s">
        <v>141</v>
      </c>
      <c r="F35" s="906"/>
      <c r="G35" s="906" t="s">
        <v>147</v>
      </c>
      <c r="H35" s="906"/>
      <c r="I35" s="909" t="s">
        <v>152</v>
      </c>
      <c r="J35" s="906"/>
      <c r="K35" s="909" t="s">
        <v>156</v>
      </c>
      <c r="L35" s="906"/>
      <c r="M35" s="909" t="s">
        <v>160</v>
      </c>
      <c r="N35" s="906"/>
      <c r="O35" s="909" t="s">
        <v>166</v>
      </c>
      <c r="P35" s="906"/>
      <c r="Q35" s="909" t="s">
        <v>174</v>
      </c>
      <c r="R35" s="906"/>
      <c r="S35" s="909" t="s">
        <v>181</v>
      </c>
      <c r="T35" s="906"/>
      <c r="U35" s="909" t="s">
        <v>186</v>
      </c>
      <c r="V35" s="1550"/>
      <c r="W35" s="386"/>
      <c r="X35" s="381"/>
      <c r="Y35" s="381"/>
      <c r="Z35" s="381"/>
      <c r="AA35" s="387"/>
    </row>
    <row r="36" spans="1:27" s="364" customFormat="1">
      <c r="A36" s="372"/>
      <c r="B36" s="901"/>
      <c r="C36" s="913" t="s">
        <v>133</v>
      </c>
      <c r="D36" s="913"/>
      <c r="E36" s="913" t="s">
        <v>133</v>
      </c>
      <c r="F36" s="913"/>
      <c r="G36" s="913" t="s">
        <v>133</v>
      </c>
      <c r="H36" s="913"/>
      <c r="I36" s="913" t="s">
        <v>153</v>
      </c>
      <c r="J36" s="913"/>
      <c r="K36" s="913" t="s">
        <v>153</v>
      </c>
      <c r="L36" s="906"/>
      <c r="M36" s="906" t="s">
        <v>153</v>
      </c>
      <c r="N36" s="906"/>
      <c r="O36" s="428" t="s">
        <v>257</v>
      </c>
      <c r="P36" s="910" t="s">
        <v>999</v>
      </c>
      <c r="Q36" s="428" t="s">
        <v>257</v>
      </c>
      <c r="R36" s="906"/>
      <c r="S36" s="906" t="s">
        <v>133</v>
      </c>
      <c r="T36" s="906"/>
      <c r="U36" s="913" t="s">
        <v>357</v>
      </c>
      <c r="V36" s="911"/>
      <c r="W36" s="386"/>
      <c r="X36" s="381"/>
      <c r="Y36" s="381"/>
      <c r="Z36" s="381"/>
      <c r="AA36" s="387"/>
    </row>
    <row r="37" spans="1:27" s="809" customFormat="1" ht="30">
      <c r="A37" s="803"/>
      <c r="B37" s="912"/>
      <c r="C37" s="1114" t="s">
        <v>1880</v>
      </c>
      <c r="D37" s="913"/>
      <c r="E37" s="1114" t="s">
        <v>1880</v>
      </c>
      <c r="F37" s="913"/>
      <c r="G37" s="1114" t="s">
        <v>1880</v>
      </c>
      <c r="H37" s="913"/>
      <c r="I37" s="1114" t="s">
        <v>1880</v>
      </c>
      <c r="J37" s="913"/>
      <c r="K37" s="1114" t="s">
        <v>1880</v>
      </c>
      <c r="L37" s="913"/>
      <c r="M37" s="1117" t="s">
        <v>2034</v>
      </c>
      <c r="N37" s="1118"/>
      <c r="O37" s="1117" t="s">
        <v>2034</v>
      </c>
      <c r="P37" s="1118"/>
      <c r="Q37" s="1117" t="s">
        <v>2034</v>
      </c>
      <c r="R37" s="1118"/>
      <c r="S37" s="1117" t="s">
        <v>2034</v>
      </c>
      <c r="T37" s="1118"/>
      <c r="U37" s="1117" t="s">
        <v>2035</v>
      </c>
      <c r="V37" s="914"/>
      <c r="W37" s="806"/>
      <c r="X37" s="807"/>
      <c r="Y37" s="807"/>
      <c r="Z37" s="807"/>
      <c r="AA37" s="808"/>
    </row>
    <row r="38" spans="1:27" s="364" customFormat="1">
      <c r="A38" s="390"/>
      <c r="B38" s="906"/>
      <c r="C38" s="906"/>
      <c r="D38" s="906"/>
      <c r="E38" s="906"/>
      <c r="F38" s="906"/>
      <c r="G38" s="906"/>
      <c r="H38" s="906"/>
      <c r="I38" s="906"/>
      <c r="J38" s="906"/>
      <c r="K38" s="906"/>
      <c r="L38" s="906"/>
      <c r="M38" s="906"/>
      <c r="N38" s="906"/>
      <c r="O38" s="906"/>
      <c r="P38" s="906"/>
      <c r="Q38" s="906"/>
      <c r="R38" s="906"/>
      <c r="S38" s="906"/>
      <c r="T38" s="906"/>
      <c r="U38" s="906"/>
      <c r="V38" s="911"/>
      <c r="W38" s="386"/>
      <c r="X38" s="381"/>
      <c r="Y38" s="381"/>
      <c r="Z38" s="381"/>
      <c r="AA38" s="387"/>
    </row>
    <row r="39" spans="1:27" s="364" customFormat="1" ht="15.75">
      <c r="A39" s="372"/>
      <c r="B39" s="901"/>
      <c r="C39" s="902"/>
      <c r="D39" s="902"/>
      <c r="E39" s="902"/>
      <c r="F39" s="902"/>
      <c r="G39" s="902"/>
      <c r="H39" s="902"/>
      <c r="I39" s="902"/>
      <c r="J39" s="902"/>
      <c r="K39" s="902"/>
      <c r="L39" s="902"/>
      <c r="M39" s="902"/>
      <c r="N39" s="902"/>
      <c r="O39" s="902"/>
      <c r="P39" s="906"/>
      <c r="Q39" s="906"/>
      <c r="R39" s="906" t="s">
        <v>937</v>
      </c>
      <c r="S39" s="906"/>
      <c r="T39" s="906"/>
      <c r="U39" s="906"/>
      <c r="V39" s="899"/>
      <c r="W39" s="362"/>
      <c r="X39" s="362"/>
      <c r="Y39" s="362"/>
      <c r="Z39" s="362"/>
      <c r="AA39" s="363"/>
    </row>
    <row r="40" spans="1:27" s="364" customFormat="1">
      <c r="A40" s="372"/>
      <c r="B40" s="901"/>
      <c r="C40" s="902"/>
      <c r="D40" s="902"/>
      <c r="E40" s="902"/>
      <c r="F40" s="902"/>
      <c r="G40" s="902"/>
      <c r="H40" s="902"/>
      <c r="I40" s="902"/>
      <c r="J40" s="902"/>
      <c r="K40" s="902"/>
      <c r="L40" s="902"/>
      <c r="M40" s="902"/>
      <c r="N40" s="902"/>
      <c r="O40" s="902"/>
      <c r="P40" s="906"/>
      <c r="Q40" s="906"/>
      <c r="R40" s="906"/>
      <c r="S40" s="906"/>
      <c r="T40" s="906"/>
      <c r="U40" s="906"/>
      <c r="V40" s="899"/>
      <c r="W40" s="377"/>
      <c r="X40" s="377"/>
      <c r="Y40" s="377"/>
      <c r="Z40" s="377"/>
      <c r="AA40" s="378"/>
    </row>
    <row r="41" spans="1:27" s="380" customFormat="1" ht="13.9" customHeight="1">
      <c r="A41" s="390"/>
      <c r="B41" s="905">
        <v>243.77</v>
      </c>
      <c r="C41" s="1543"/>
      <c r="D41" s="379">
        <v>338</v>
      </c>
      <c r="E41" s="1551"/>
      <c r="F41" s="379">
        <v>309</v>
      </c>
      <c r="G41" s="1551"/>
      <c r="H41" s="379">
        <v>381.53</v>
      </c>
      <c r="I41" s="1553"/>
      <c r="J41" s="379">
        <v>331.87</v>
      </c>
      <c r="K41" s="1497"/>
      <c r="L41" s="379">
        <v>341.21</v>
      </c>
      <c r="M41" s="1567"/>
      <c r="N41" s="379">
        <v>243.5</v>
      </c>
      <c r="O41" s="1553"/>
      <c r="P41" s="379">
        <v>316</v>
      </c>
      <c r="Q41" s="1551"/>
      <c r="R41" s="379">
        <v>325</v>
      </c>
      <c r="S41" s="1563" t="s">
        <v>1643</v>
      </c>
      <c r="T41" s="379">
        <v>269</v>
      </c>
      <c r="U41" s="1568"/>
      <c r="V41" s="907"/>
      <c r="W41" s="381">
        <f>SUM(A41:V41)</f>
        <v>3098.88</v>
      </c>
      <c r="X41" s="381">
        <v>9</v>
      </c>
      <c r="Y41" s="381">
        <v>8</v>
      </c>
      <c r="Z41" s="381">
        <v>3</v>
      </c>
      <c r="AA41" s="382">
        <v>0</v>
      </c>
    </row>
    <row r="42" spans="1:27" s="364" customFormat="1" ht="16.149999999999999" customHeight="1">
      <c r="A42" s="372"/>
      <c r="B42" s="901"/>
      <c r="C42" s="1544"/>
      <c r="D42" s="904"/>
      <c r="E42" s="1552"/>
      <c r="F42" s="904"/>
      <c r="G42" s="1552"/>
      <c r="H42" s="904"/>
      <c r="I42" s="1553"/>
      <c r="J42" s="904"/>
      <c r="K42" s="1497"/>
      <c r="L42" s="904"/>
      <c r="M42" s="1567"/>
      <c r="N42" s="904"/>
      <c r="O42" s="1553"/>
      <c r="P42" s="906"/>
      <c r="Q42" s="1552"/>
      <c r="R42" s="908"/>
      <c r="S42" s="1564"/>
      <c r="T42" s="385"/>
      <c r="U42" s="1569"/>
      <c r="V42" s="889"/>
      <c r="W42" s="386"/>
      <c r="X42" s="381"/>
      <c r="Y42" s="381"/>
      <c r="Z42" s="381"/>
      <c r="AA42" s="387"/>
    </row>
    <row r="43" spans="1:27" s="364" customFormat="1">
      <c r="A43" s="372"/>
      <c r="B43" s="901"/>
      <c r="C43" s="909" t="s">
        <v>64</v>
      </c>
      <c r="D43" s="906"/>
      <c r="E43" s="909" t="s">
        <v>198</v>
      </c>
      <c r="F43" s="906"/>
      <c r="G43" s="909" t="s">
        <v>203</v>
      </c>
      <c r="H43" s="906"/>
      <c r="I43" s="909" t="s">
        <v>65</v>
      </c>
      <c r="J43" s="906"/>
      <c r="K43" s="909" t="s">
        <v>213</v>
      </c>
      <c r="L43" s="906"/>
      <c r="M43" s="909" t="s">
        <v>66</v>
      </c>
      <c r="N43" s="906"/>
      <c r="O43" s="909" t="s">
        <v>224</v>
      </c>
      <c r="P43" s="906"/>
      <c r="Q43" s="909" t="s">
        <v>230</v>
      </c>
      <c r="R43" s="906"/>
      <c r="S43" s="909" t="s">
        <v>234</v>
      </c>
      <c r="T43" s="906"/>
      <c r="U43" s="909" t="s">
        <v>239</v>
      </c>
      <c r="V43" s="889"/>
      <c r="W43" s="386"/>
      <c r="X43" s="381"/>
      <c r="Y43" s="381"/>
      <c r="Z43" s="381"/>
      <c r="AA43" s="387"/>
    </row>
    <row r="44" spans="1:27" s="364" customFormat="1">
      <c r="A44" s="372"/>
      <c r="B44" s="901"/>
      <c r="C44" s="913" t="s">
        <v>357</v>
      </c>
      <c r="D44" s="906"/>
      <c r="E44" s="906" t="s">
        <v>153</v>
      </c>
      <c r="F44" s="906"/>
      <c r="G44" s="906" t="s">
        <v>153</v>
      </c>
      <c r="H44" s="906"/>
      <c r="I44" s="906" t="s">
        <v>193</v>
      </c>
      <c r="J44" s="906"/>
      <c r="K44" s="906" t="s">
        <v>167</v>
      </c>
      <c r="L44" s="906"/>
      <c r="M44" s="906" t="s">
        <v>193</v>
      </c>
      <c r="N44" s="906"/>
      <c r="O44" s="906" t="s">
        <v>133</v>
      </c>
      <c r="P44" s="906"/>
      <c r="Q44" s="906" t="s">
        <v>153</v>
      </c>
      <c r="R44" s="906"/>
      <c r="S44" s="906" t="s">
        <v>153</v>
      </c>
      <c r="T44" s="906"/>
      <c r="U44" s="906" t="s">
        <v>153</v>
      </c>
      <c r="V44" s="911"/>
      <c r="W44" s="386"/>
      <c r="X44" s="381"/>
      <c r="Y44" s="381"/>
      <c r="Z44" s="381"/>
      <c r="AA44" s="387"/>
    </row>
    <row r="45" spans="1:27" s="364" customFormat="1">
      <c r="A45" s="372"/>
      <c r="B45" s="901"/>
      <c r="C45" s="1117" t="s">
        <v>2035</v>
      </c>
      <c r="D45" s="1119"/>
      <c r="E45" s="906"/>
      <c r="F45" s="906"/>
      <c r="G45" s="913"/>
      <c r="H45" s="906"/>
      <c r="I45" s="913"/>
      <c r="J45" s="906"/>
      <c r="K45" s="906"/>
      <c r="L45" s="906"/>
      <c r="M45" s="906"/>
      <c r="N45" s="906"/>
      <c r="O45" s="906"/>
      <c r="P45" s="906"/>
      <c r="Q45" s="906"/>
      <c r="R45" s="906"/>
      <c r="S45" s="906"/>
      <c r="T45" s="906"/>
      <c r="U45" s="906"/>
      <c r="V45" s="911"/>
      <c r="W45" s="386"/>
      <c r="X45" s="381"/>
      <c r="Y45" s="381"/>
      <c r="Z45" s="381"/>
      <c r="AA45" s="387"/>
    </row>
    <row r="46" spans="1:27" s="364" customFormat="1">
      <c r="A46" s="372"/>
      <c r="B46" s="901"/>
      <c r="C46" s="906"/>
      <c r="D46" s="906"/>
      <c r="E46" s="906"/>
      <c r="F46" s="906"/>
      <c r="G46" s="906"/>
      <c r="H46" s="906"/>
      <c r="I46" s="906"/>
      <c r="J46" s="906"/>
      <c r="K46" s="906"/>
      <c r="L46" s="906"/>
      <c r="M46" s="906"/>
      <c r="N46" s="906"/>
      <c r="O46" s="906"/>
      <c r="P46" s="906"/>
      <c r="Q46" s="906"/>
      <c r="R46" s="906"/>
      <c r="S46" s="906"/>
      <c r="T46" s="906"/>
      <c r="U46" s="906"/>
      <c r="V46" s="911"/>
      <c r="W46" s="386"/>
      <c r="X46" s="381"/>
      <c r="Y46" s="381"/>
      <c r="Z46" s="381"/>
      <c r="AA46" s="387"/>
    </row>
    <row r="47" spans="1:27" s="364" customFormat="1" ht="15.75">
      <c r="A47" s="372"/>
      <c r="B47" s="901"/>
      <c r="C47" s="902"/>
      <c r="D47" s="902"/>
      <c r="E47" s="902"/>
      <c r="F47" s="902"/>
      <c r="G47" s="902"/>
      <c r="H47" s="902"/>
      <c r="I47" s="902"/>
      <c r="J47" s="902"/>
      <c r="K47" s="902"/>
      <c r="L47" s="902"/>
      <c r="M47" s="902"/>
      <c r="N47" s="902"/>
      <c r="O47" s="902"/>
      <c r="P47" s="906"/>
      <c r="Q47" s="906"/>
      <c r="R47" s="906" t="s">
        <v>937</v>
      </c>
      <c r="S47" s="906"/>
      <c r="T47" s="906"/>
      <c r="U47" s="906"/>
      <c r="V47" s="899"/>
      <c r="W47" s="362"/>
      <c r="X47" s="362"/>
      <c r="Y47" s="362"/>
      <c r="Z47" s="362"/>
      <c r="AA47" s="363"/>
    </row>
    <row r="48" spans="1:27" s="364" customFormat="1">
      <c r="A48" s="372"/>
      <c r="B48" s="901"/>
      <c r="C48" s="902"/>
      <c r="D48" s="902"/>
      <c r="E48" s="902"/>
      <c r="F48" s="902"/>
      <c r="G48" s="902"/>
      <c r="H48" s="902"/>
      <c r="I48" s="902"/>
      <c r="J48" s="902"/>
      <c r="K48" s="902"/>
      <c r="L48" s="902"/>
      <c r="M48" s="902"/>
      <c r="N48" s="902"/>
      <c r="O48" s="902"/>
      <c r="P48" s="906"/>
      <c r="Q48" s="906"/>
      <c r="R48" s="906"/>
      <c r="S48" s="906"/>
      <c r="T48" s="906"/>
      <c r="U48" s="906"/>
      <c r="V48" s="899"/>
      <c r="W48" s="377"/>
      <c r="X48" s="377"/>
      <c r="Y48" s="377"/>
      <c r="Z48" s="377"/>
      <c r="AA48" s="378"/>
    </row>
    <row r="49" spans="1:27" s="380" customFormat="1" ht="13.9" customHeight="1">
      <c r="A49" s="390"/>
      <c r="B49" s="905">
        <v>281.83</v>
      </c>
      <c r="C49" s="1558"/>
      <c r="D49" s="379">
        <v>423</v>
      </c>
      <c r="E49" s="1560"/>
      <c r="F49" s="379">
        <v>376.1</v>
      </c>
      <c r="G49" s="1562"/>
      <c r="H49" s="379">
        <v>439.08</v>
      </c>
      <c r="I49" s="1562"/>
      <c r="J49" s="379">
        <v>317.99</v>
      </c>
      <c r="K49" s="1562"/>
      <c r="L49" s="379">
        <v>350</v>
      </c>
      <c r="M49" s="1545"/>
      <c r="N49" s="379">
        <v>434.14</v>
      </c>
      <c r="O49" s="1562"/>
      <c r="P49" s="379">
        <v>271</v>
      </c>
      <c r="Q49" s="1562"/>
      <c r="R49" s="379">
        <v>190.91</v>
      </c>
      <c r="S49" s="1497"/>
      <c r="T49" s="379">
        <v>411</v>
      </c>
      <c r="U49" s="1563" t="s">
        <v>1644</v>
      </c>
      <c r="V49" s="907"/>
      <c r="W49" s="381">
        <f>SUM(A49:V49)</f>
        <v>3495.0499999999997</v>
      </c>
      <c r="X49" s="381">
        <v>3</v>
      </c>
      <c r="Y49" s="381">
        <v>2</v>
      </c>
      <c r="Z49" s="381">
        <v>2</v>
      </c>
      <c r="AA49" s="382">
        <v>0</v>
      </c>
    </row>
    <row r="50" spans="1:27" s="364" customFormat="1" ht="16.149999999999999" customHeight="1">
      <c r="A50" s="372"/>
      <c r="B50" s="901"/>
      <c r="C50" s="1559"/>
      <c r="D50" s="904"/>
      <c r="E50" s="1561"/>
      <c r="F50" s="904"/>
      <c r="G50" s="1562"/>
      <c r="H50" s="904"/>
      <c r="I50" s="1562"/>
      <c r="J50" s="904"/>
      <c r="K50" s="1562"/>
      <c r="L50" s="904"/>
      <c r="M50" s="1546"/>
      <c r="N50" s="904"/>
      <c r="O50" s="1562"/>
      <c r="P50" s="1565" t="s">
        <v>1000</v>
      </c>
      <c r="Q50" s="1562"/>
      <c r="R50" s="908"/>
      <c r="S50" s="1497"/>
      <c r="T50" s="385"/>
      <c r="U50" s="1564"/>
      <c r="V50" s="889"/>
      <c r="W50" s="386"/>
      <c r="X50" s="381"/>
      <c r="Y50" s="381"/>
      <c r="Z50" s="381"/>
      <c r="AA50" s="387"/>
    </row>
    <row r="51" spans="1:27" s="364" customFormat="1">
      <c r="A51" s="372"/>
      <c r="B51" s="901"/>
      <c r="C51" s="909" t="s">
        <v>67</v>
      </c>
      <c r="D51" s="906"/>
      <c r="E51" s="909" t="s">
        <v>250</v>
      </c>
      <c r="F51" s="906"/>
      <c r="G51" s="909" t="s">
        <v>68</v>
      </c>
      <c r="H51" s="906"/>
      <c r="I51" s="909" t="s">
        <v>56</v>
      </c>
      <c r="J51" s="906"/>
      <c r="K51" s="909" t="s">
        <v>60</v>
      </c>
      <c r="L51" s="906"/>
      <c r="M51" s="909" t="s">
        <v>275</v>
      </c>
      <c r="N51" s="906"/>
      <c r="O51" s="909" t="s">
        <v>55</v>
      </c>
      <c r="P51" s="1566"/>
      <c r="Q51" s="909" t="s">
        <v>59</v>
      </c>
      <c r="R51" s="906"/>
      <c r="S51" s="909" t="s">
        <v>58</v>
      </c>
      <c r="T51" s="906"/>
      <c r="U51" s="909" t="s">
        <v>296</v>
      </c>
      <c r="V51" s="889"/>
      <c r="W51" s="386"/>
      <c r="X51" s="381"/>
      <c r="Y51" s="381"/>
      <c r="Z51" s="381"/>
      <c r="AA51" s="387"/>
    </row>
    <row r="52" spans="1:27" s="364" customFormat="1">
      <c r="A52" s="372"/>
      <c r="B52" s="901"/>
      <c r="C52" s="906" t="s">
        <v>245</v>
      </c>
      <c r="D52" s="906"/>
      <c r="E52" s="906" t="s">
        <v>251</v>
      </c>
      <c r="F52" s="906"/>
      <c r="G52" s="906" t="s">
        <v>257</v>
      </c>
      <c r="H52" s="906"/>
      <c r="I52" s="906" t="s">
        <v>264</v>
      </c>
      <c r="J52" s="906"/>
      <c r="K52" s="906" t="s">
        <v>167</v>
      </c>
      <c r="L52" s="906"/>
      <c r="M52" s="906" t="s">
        <v>187</v>
      </c>
      <c r="N52" s="906"/>
      <c r="O52" s="906" t="s">
        <v>281</v>
      </c>
      <c r="P52" s="1566"/>
      <c r="Q52" s="906" t="s">
        <v>287</v>
      </c>
      <c r="R52" s="906"/>
      <c r="S52" s="906" t="s">
        <v>264</v>
      </c>
      <c r="T52" s="906"/>
      <c r="U52" s="906" t="s">
        <v>187</v>
      </c>
      <c r="V52" s="911"/>
      <c r="W52" s="386"/>
      <c r="X52" s="381"/>
      <c r="Y52" s="381"/>
      <c r="Z52" s="381"/>
      <c r="AA52" s="387"/>
    </row>
    <row r="53" spans="1:27" s="1126" customFormat="1" ht="25.5">
      <c r="A53" s="1120"/>
      <c r="B53" s="1121"/>
      <c r="C53" s="1122" t="s">
        <v>2191</v>
      </c>
      <c r="D53" s="908"/>
      <c r="E53" s="1123"/>
      <c r="F53" s="908"/>
      <c r="G53" s="1122" t="s">
        <v>977</v>
      </c>
      <c r="H53" s="908"/>
      <c r="I53" s="1122" t="s">
        <v>977</v>
      </c>
      <c r="J53" s="908"/>
      <c r="K53" s="1122" t="s">
        <v>977</v>
      </c>
      <c r="L53" s="908"/>
      <c r="M53" s="1122" t="s">
        <v>977</v>
      </c>
      <c r="N53" s="908"/>
      <c r="O53" s="1124" t="s">
        <v>2036</v>
      </c>
      <c r="P53" s="1566"/>
      <c r="Q53" s="1124" t="s">
        <v>2036</v>
      </c>
      <c r="R53" s="908"/>
      <c r="S53" s="1123"/>
      <c r="T53" s="908"/>
      <c r="U53" s="908"/>
      <c r="V53" s="1125"/>
      <c r="W53" s="386"/>
      <c r="X53" s="381"/>
      <c r="Y53" s="381"/>
      <c r="Z53" s="381"/>
      <c r="AA53" s="387"/>
    </row>
    <row r="54" spans="1:27" s="364" customFormat="1">
      <c r="A54" s="372"/>
      <c r="B54" s="901"/>
      <c r="C54" s="906"/>
      <c r="D54" s="906"/>
      <c r="E54" s="906"/>
      <c r="F54" s="906"/>
      <c r="G54" s="906"/>
      <c r="H54" s="906"/>
      <c r="I54" s="906"/>
      <c r="J54" s="906"/>
      <c r="K54" s="906"/>
      <c r="L54" s="906"/>
      <c r="M54" s="906"/>
      <c r="N54" s="906"/>
      <c r="O54" s="906"/>
      <c r="P54" s="1566"/>
      <c r="Q54" s="906"/>
      <c r="R54" s="906"/>
      <c r="S54" s="910"/>
      <c r="T54" s="906"/>
      <c r="U54" s="906"/>
      <c r="V54" s="911"/>
      <c r="W54" s="386"/>
      <c r="X54" s="381"/>
      <c r="Y54" s="381"/>
      <c r="Z54" s="381"/>
      <c r="AA54" s="387"/>
    </row>
    <row r="55" spans="1:27" s="364" customFormat="1" ht="15.75">
      <c r="A55" s="372"/>
      <c r="B55" s="901"/>
      <c r="C55" s="902"/>
      <c r="D55" s="902"/>
      <c r="E55" s="902"/>
      <c r="F55" s="902"/>
      <c r="G55" s="902"/>
      <c r="H55" s="902"/>
      <c r="I55" s="902"/>
      <c r="J55" s="902"/>
      <c r="K55" s="902"/>
      <c r="L55" s="902"/>
      <c r="M55" s="902"/>
      <c r="N55" s="902"/>
      <c r="O55" s="902"/>
      <c r="P55" s="1566"/>
      <c r="Q55" s="906"/>
      <c r="R55" s="906" t="s">
        <v>937</v>
      </c>
      <c r="S55" s="906"/>
      <c r="T55" s="906"/>
      <c r="U55" s="906"/>
      <c r="V55" s="899"/>
      <c r="W55" s="362"/>
      <c r="X55" s="362"/>
      <c r="Y55" s="362"/>
      <c r="Z55" s="362"/>
      <c r="AA55" s="363"/>
    </row>
    <row r="56" spans="1:27" s="364" customFormat="1">
      <c r="A56" s="372"/>
      <c r="B56" s="901"/>
      <c r="C56" s="902"/>
      <c r="D56" s="902"/>
      <c r="E56" s="902"/>
      <c r="F56" s="902"/>
      <c r="G56" s="902"/>
      <c r="H56" s="902"/>
      <c r="I56" s="902"/>
      <c r="J56" s="902"/>
      <c r="K56" s="902"/>
      <c r="L56" s="902"/>
      <c r="M56" s="902"/>
      <c r="N56" s="902"/>
      <c r="O56" s="902"/>
      <c r="P56" s="906"/>
      <c r="Q56" s="906"/>
      <c r="R56" s="906"/>
      <c r="S56" s="906"/>
      <c r="T56" s="906"/>
      <c r="U56" s="906"/>
      <c r="V56" s="899"/>
      <c r="W56" s="377"/>
      <c r="X56" s="377"/>
      <c r="Y56" s="377"/>
      <c r="Z56" s="377"/>
      <c r="AA56" s="378"/>
    </row>
    <row r="57" spans="1:27" s="380" customFormat="1" ht="13.9" customHeight="1">
      <c r="A57" s="390"/>
      <c r="B57" s="905">
        <v>387</v>
      </c>
      <c r="C57" s="1083" t="s">
        <v>42</v>
      </c>
      <c r="D57" s="379">
        <v>377.35</v>
      </c>
      <c r="E57" s="1570" t="s">
        <v>1642</v>
      </c>
      <c r="F57" s="379">
        <v>392</v>
      </c>
      <c r="G57" s="1572" t="s">
        <v>1645</v>
      </c>
      <c r="H57" s="379">
        <v>313</v>
      </c>
      <c r="I57" s="1574" t="s">
        <v>1588</v>
      </c>
      <c r="J57" s="379">
        <v>318</v>
      </c>
      <c r="K57" s="1551"/>
      <c r="L57" s="379">
        <v>347</v>
      </c>
      <c r="M57" s="1574" t="s">
        <v>1605</v>
      </c>
      <c r="N57" s="379">
        <v>387.52</v>
      </c>
      <c r="O57" s="1497"/>
      <c r="P57" s="379">
        <v>345</v>
      </c>
      <c r="Q57" s="1551"/>
      <c r="R57" s="379">
        <v>410.29</v>
      </c>
      <c r="S57" s="1497"/>
      <c r="T57" s="379">
        <v>391.73</v>
      </c>
      <c r="U57" s="1497"/>
      <c r="V57" s="907"/>
      <c r="W57" s="381">
        <f>SUM(A57:V57)</f>
        <v>3668.89</v>
      </c>
      <c r="X57" s="381">
        <v>10</v>
      </c>
      <c r="Y57" s="381">
        <v>6</v>
      </c>
      <c r="Z57" s="381">
        <v>7</v>
      </c>
      <c r="AA57" s="382">
        <v>0</v>
      </c>
    </row>
    <row r="58" spans="1:27" s="364" customFormat="1" ht="16.149999999999999" customHeight="1">
      <c r="A58" s="372"/>
      <c r="B58" s="901"/>
      <c r="C58" s="1084" t="s">
        <v>1429</v>
      </c>
      <c r="D58" s="904"/>
      <c r="E58" s="1570"/>
      <c r="F58" s="904"/>
      <c r="G58" s="1573"/>
      <c r="H58" s="904"/>
      <c r="I58" s="1575"/>
      <c r="J58" s="904"/>
      <c r="K58" s="1552"/>
      <c r="L58" s="904"/>
      <c r="M58" s="1575"/>
      <c r="N58" s="904"/>
      <c r="O58" s="1497"/>
      <c r="P58" s="906"/>
      <c r="Q58" s="1552"/>
      <c r="R58" s="908"/>
      <c r="S58" s="1497"/>
      <c r="T58" s="385"/>
      <c r="U58" s="1497"/>
      <c r="V58" s="889"/>
      <c r="W58" s="386"/>
      <c r="X58" s="381"/>
      <c r="Y58" s="381"/>
      <c r="Z58" s="381"/>
      <c r="AA58" s="387"/>
    </row>
    <row r="59" spans="1:27" s="364" customFormat="1">
      <c r="A59" s="372"/>
      <c r="B59" s="901"/>
      <c r="C59" s="909" t="s">
        <v>300</v>
      </c>
      <c r="D59" s="906"/>
      <c r="E59" s="909" t="s">
        <v>46</v>
      </c>
      <c r="F59" s="906"/>
      <c r="G59" s="909" t="s">
        <v>310</v>
      </c>
      <c r="H59" s="906"/>
      <c r="I59" s="909" t="s">
        <v>314</v>
      </c>
      <c r="J59" s="906"/>
      <c r="K59" s="909" t="s">
        <v>318</v>
      </c>
      <c r="L59" s="906"/>
      <c r="M59" s="909" t="s">
        <v>322</v>
      </c>
      <c r="N59" s="906"/>
      <c r="O59" s="909" t="s">
        <v>326</v>
      </c>
      <c r="P59" s="906"/>
      <c r="Q59" s="909" t="s">
        <v>332</v>
      </c>
      <c r="R59" s="906"/>
      <c r="S59" s="909" t="s">
        <v>47</v>
      </c>
      <c r="T59" s="906"/>
      <c r="U59" s="909" t="s">
        <v>69</v>
      </c>
      <c r="V59" s="889"/>
      <c r="W59" s="386"/>
      <c r="X59" s="381"/>
      <c r="Y59" s="381"/>
      <c r="Z59" s="381"/>
      <c r="AA59" s="387"/>
    </row>
    <row r="60" spans="1:27" s="364" customFormat="1">
      <c r="A60" s="372"/>
      <c r="B60" s="901"/>
      <c r="C60" s="906" t="s">
        <v>301</v>
      </c>
      <c r="D60" s="906"/>
      <c r="E60" s="906" t="s">
        <v>245</v>
      </c>
      <c r="F60" s="906"/>
      <c r="G60" s="906" t="s">
        <v>153</v>
      </c>
      <c r="H60" s="906"/>
      <c r="I60" s="906" t="s">
        <v>153</v>
      </c>
      <c r="J60" s="906"/>
      <c r="K60" s="906" t="s">
        <v>153</v>
      </c>
      <c r="L60" s="906"/>
      <c r="M60" s="906" t="s">
        <v>153</v>
      </c>
      <c r="N60" s="906"/>
      <c r="O60" s="906" t="s">
        <v>167</v>
      </c>
      <c r="P60" s="906"/>
      <c r="Q60" s="906" t="s">
        <v>301</v>
      </c>
      <c r="R60" s="906"/>
      <c r="S60" s="906" t="s">
        <v>337</v>
      </c>
      <c r="T60" s="906"/>
      <c r="U60" s="906" t="s">
        <v>344</v>
      </c>
      <c r="V60" s="911"/>
      <c r="W60" s="386"/>
      <c r="X60" s="381"/>
      <c r="Y60" s="381"/>
      <c r="Z60" s="381"/>
      <c r="AA60" s="387"/>
    </row>
    <row r="61" spans="1:27" s="364" customFormat="1" ht="15.75" thickBot="1">
      <c r="A61" s="915"/>
      <c r="B61" s="916"/>
      <c r="C61" s="917"/>
      <c r="D61" s="917"/>
      <c r="E61" s="917"/>
      <c r="F61" s="917"/>
      <c r="G61" s="917"/>
      <c r="H61" s="917"/>
      <c r="I61" s="917"/>
      <c r="J61" s="917"/>
      <c r="K61" s="917"/>
      <c r="L61" s="917"/>
      <c r="M61" s="917"/>
      <c r="N61" s="917"/>
      <c r="O61" s="917"/>
      <c r="P61" s="917"/>
      <c r="Q61" s="917"/>
      <c r="R61" s="917"/>
      <c r="S61" s="917"/>
      <c r="T61" s="917"/>
      <c r="U61" s="917"/>
      <c r="V61" s="918"/>
      <c r="W61" s="919"/>
      <c r="X61" s="920"/>
      <c r="Y61" s="920"/>
      <c r="Z61" s="920"/>
      <c r="AA61" s="921"/>
    </row>
    <row r="62" spans="1:27" s="364" customFormat="1">
      <c r="A62" s="372"/>
      <c r="B62" s="397"/>
      <c r="C62" s="1102"/>
      <c r="D62" s="376"/>
      <c r="F62" s="376"/>
      <c r="G62" s="376"/>
      <c r="H62" s="376"/>
      <c r="I62" s="376"/>
      <c r="J62" s="376"/>
      <c r="K62" s="376"/>
      <c r="L62" s="376"/>
      <c r="M62" s="376"/>
      <c r="N62" s="376"/>
      <c r="O62" s="376"/>
      <c r="P62" s="376"/>
      <c r="Q62" s="376"/>
      <c r="R62" s="376"/>
      <c r="S62" s="376"/>
      <c r="T62" s="376"/>
      <c r="U62" s="376"/>
      <c r="V62" s="389"/>
      <c r="W62" s="386"/>
      <c r="X62" s="381"/>
      <c r="Y62" s="381"/>
      <c r="Z62" s="381"/>
      <c r="AA62" s="387"/>
    </row>
    <row r="63" spans="1:27" s="364" customFormat="1" ht="15.75">
      <c r="A63" s="372"/>
      <c r="B63" s="397"/>
      <c r="C63" s="373"/>
      <c r="D63" s="373"/>
      <c r="E63" s="373"/>
      <c r="F63" s="373"/>
      <c r="G63" s="373"/>
      <c r="H63" s="373"/>
      <c r="I63" s="373"/>
      <c r="J63" s="373"/>
      <c r="K63" s="373"/>
      <c r="L63" s="373"/>
      <c r="M63" s="373"/>
      <c r="N63" s="373"/>
      <c r="O63" s="373"/>
      <c r="P63" s="376"/>
      <c r="Q63" s="376"/>
      <c r="R63" s="376" t="s">
        <v>937</v>
      </c>
      <c r="S63" s="376"/>
      <c r="T63" s="376"/>
      <c r="U63" s="376"/>
      <c r="W63" s="362"/>
      <c r="X63" s="362"/>
      <c r="Y63" s="362"/>
      <c r="Z63" s="362"/>
      <c r="AA63" s="363"/>
    </row>
    <row r="64" spans="1:27" s="364" customFormat="1">
      <c r="A64" s="372"/>
      <c r="B64" s="397"/>
      <c r="C64" s="373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6"/>
      <c r="Q64" s="376"/>
      <c r="R64" s="376"/>
      <c r="S64" s="376"/>
      <c r="T64" s="376"/>
      <c r="U64" s="376"/>
      <c r="W64" s="377"/>
      <c r="X64" s="377"/>
      <c r="Y64" s="377"/>
      <c r="Z64" s="377"/>
      <c r="AA64" s="378"/>
    </row>
    <row r="65" spans="1:27" s="380" customFormat="1" ht="13.9" customHeight="1">
      <c r="A65" s="390"/>
      <c r="B65" s="375">
        <v>300</v>
      </c>
      <c r="C65" s="1562"/>
      <c r="D65" s="379">
        <v>458.62</v>
      </c>
      <c r="E65" s="1562"/>
      <c r="F65" s="379">
        <v>306.18</v>
      </c>
      <c r="G65" s="1570" t="s">
        <v>1827</v>
      </c>
      <c r="H65" s="379">
        <v>385.74</v>
      </c>
      <c r="I65" s="1570" t="s">
        <v>1733</v>
      </c>
      <c r="J65" s="379">
        <v>340</v>
      </c>
      <c r="K65" s="1551"/>
      <c r="L65" s="379">
        <v>407.57</v>
      </c>
      <c r="M65" s="1571"/>
      <c r="N65" s="379">
        <v>324</v>
      </c>
      <c r="O65" s="1551"/>
      <c r="P65" s="379">
        <v>381</v>
      </c>
      <c r="Q65" s="1551"/>
      <c r="R65" s="379">
        <v>369.15</v>
      </c>
      <c r="S65" s="1563" t="s">
        <v>1643</v>
      </c>
      <c r="T65" s="379">
        <v>414</v>
      </c>
      <c r="U65" s="1551"/>
      <c r="W65" s="381">
        <f>SUM(A65:V65)</f>
        <v>3686.26</v>
      </c>
      <c r="X65" s="381">
        <v>7</v>
      </c>
      <c r="Y65" s="381">
        <v>5</v>
      </c>
      <c r="Z65" s="381">
        <v>4</v>
      </c>
      <c r="AA65" s="382">
        <v>0</v>
      </c>
    </row>
    <row r="66" spans="1:27" s="364" customFormat="1" ht="16.149999999999999" customHeight="1">
      <c r="A66" s="372"/>
      <c r="B66" s="397"/>
      <c r="C66" s="1562"/>
      <c r="D66" s="338"/>
      <c r="E66" s="1562"/>
      <c r="F66" s="338"/>
      <c r="G66" s="1570"/>
      <c r="H66" s="338"/>
      <c r="I66" s="1570"/>
      <c r="J66" s="338"/>
      <c r="K66" s="1552"/>
      <c r="L66" s="338"/>
      <c r="M66" s="1571"/>
      <c r="N66" s="338"/>
      <c r="O66" s="1552"/>
      <c r="P66" s="376"/>
      <c r="Q66" s="1552"/>
      <c r="R66" s="384"/>
      <c r="S66" s="1564"/>
      <c r="T66" s="385"/>
      <c r="U66" s="1552"/>
      <c r="V66" s="337"/>
      <c r="W66" s="386"/>
      <c r="X66" s="381"/>
      <c r="Y66" s="381"/>
      <c r="Z66" s="381"/>
      <c r="AA66" s="387"/>
    </row>
    <row r="67" spans="1:27" s="364" customFormat="1">
      <c r="A67" s="372"/>
      <c r="B67" s="397"/>
      <c r="C67" s="388" t="s">
        <v>349</v>
      </c>
      <c r="D67" s="376"/>
      <c r="E67" s="388" t="s">
        <v>356</v>
      </c>
      <c r="F67" s="376"/>
      <c r="G67" s="388" t="s">
        <v>364</v>
      </c>
      <c r="H67" s="376"/>
      <c r="I67" s="388" t="s">
        <v>371</v>
      </c>
      <c r="J67" s="376"/>
      <c r="K67" s="388" t="s">
        <v>376</v>
      </c>
      <c r="L67" s="376"/>
      <c r="M67" s="388" t="s">
        <v>70</v>
      </c>
      <c r="N67" s="376"/>
      <c r="O67" s="388" t="s">
        <v>384</v>
      </c>
      <c r="P67" s="376"/>
      <c r="Q67" s="388" t="s">
        <v>388</v>
      </c>
      <c r="R67" s="376"/>
      <c r="S67" s="388" t="s">
        <v>393</v>
      </c>
      <c r="T67" s="376"/>
      <c r="U67" s="388" t="s">
        <v>399</v>
      </c>
      <c r="V67" s="337"/>
      <c r="W67" s="386"/>
      <c r="X67" s="381"/>
      <c r="Y67" s="381"/>
      <c r="Z67" s="381"/>
      <c r="AA67" s="387"/>
    </row>
    <row r="68" spans="1:27" s="364" customFormat="1">
      <c r="A68" s="372"/>
      <c r="B68" s="397"/>
      <c r="C68" s="376" t="s">
        <v>997</v>
      </c>
      <c r="D68" s="376"/>
      <c r="E68" s="376" t="s">
        <v>357</v>
      </c>
      <c r="F68" s="376"/>
      <c r="G68" s="376" t="s">
        <v>344</v>
      </c>
      <c r="H68" s="376"/>
      <c r="I68" s="376" t="s">
        <v>133</v>
      </c>
      <c r="J68" s="376"/>
      <c r="K68" s="376" t="s">
        <v>187</v>
      </c>
      <c r="L68" s="376"/>
      <c r="M68" s="376" t="s">
        <v>133</v>
      </c>
      <c r="N68" s="376"/>
      <c r="O68" s="376" t="s">
        <v>187</v>
      </c>
      <c r="P68" s="376"/>
      <c r="Q68" s="376" t="s">
        <v>301</v>
      </c>
      <c r="R68" s="376"/>
      <c r="S68" s="376" t="s">
        <v>245</v>
      </c>
      <c r="T68" s="376"/>
      <c r="U68" s="376" t="s">
        <v>301</v>
      </c>
      <c r="V68" s="389"/>
      <c r="W68" s="386"/>
      <c r="X68" s="381"/>
      <c r="Y68" s="381"/>
      <c r="Z68" s="381"/>
      <c r="AA68" s="387"/>
    </row>
    <row r="69" spans="1:27" s="364" customFormat="1" ht="25.5">
      <c r="A69" s="390"/>
      <c r="B69" s="376"/>
      <c r="C69" s="1124" t="s">
        <v>2036</v>
      </c>
      <c r="D69" s="376"/>
      <c r="E69" s="1127" t="s">
        <v>998</v>
      </c>
      <c r="F69" s="376"/>
      <c r="G69" s="376"/>
      <c r="H69" s="376"/>
      <c r="I69" s="376"/>
      <c r="J69" s="376"/>
      <c r="K69" s="376"/>
      <c r="L69" s="376"/>
      <c r="M69" s="1576" t="s">
        <v>2037</v>
      </c>
      <c r="N69" s="376"/>
      <c r="O69" s="376"/>
      <c r="P69" s="376"/>
      <c r="Q69" s="376"/>
      <c r="R69" s="376"/>
      <c r="S69" s="376"/>
      <c r="T69" s="376"/>
      <c r="U69" s="376"/>
      <c r="V69" s="389"/>
      <c r="W69" s="386"/>
      <c r="X69" s="381"/>
      <c r="Y69" s="381"/>
      <c r="Z69" s="381"/>
      <c r="AA69" s="387"/>
    </row>
    <row r="70" spans="1:27" s="364" customFormat="1">
      <c r="A70" s="390"/>
      <c r="B70" s="376"/>
      <c r="C70" s="376"/>
      <c r="D70" s="376"/>
      <c r="E70" s="1124" t="s">
        <v>2036</v>
      </c>
      <c r="F70" s="376"/>
      <c r="G70" s="376"/>
      <c r="H70" s="376"/>
      <c r="I70" s="376"/>
      <c r="J70" s="376"/>
      <c r="K70" s="376"/>
      <c r="L70" s="376"/>
      <c r="M70" s="1576"/>
      <c r="N70" s="376"/>
      <c r="O70" s="376"/>
      <c r="P70" s="376"/>
      <c r="Q70" s="376"/>
      <c r="R70" s="376"/>
      <c r="S70" s="376"/>
      <c r="T70" s="376"/>
      <c r="U70" s="376"/>
      <c r="V70" s="389"/>
      <c r="W70" s="386"/>
      <c r="X70" s="381"/>
      <c r="Y70" s="381"/>
      <c r="Z70" s="381"/>
      <c r="AA70" s="387"/>
    </row>
    <row r="71" spans="1:27" s="364" customFormat="1">
      <c r="A71" s="390"/>
      <c r="B71" s="376"/>
      <c r="C71" s="376"/>
      <c r="D71" s="376"/>
      <c r="E71" s="376"/>
      <c r="F71" s="376"/>
      <c r="G71" s="376"/>
      <c r="H71" s="376"/>
      <c r="I71" s="376"/>
      <c r="J71" s="376"/>
      <c r="K71" s="376"/>
      <c r="L71" s="376"/>
      <c r="M71" s="376"/>
      <c r="N71" s="376"/>
      <c r="O71" s="376"/>
      <c r="P71" s="376"/>
      <c r="Q71" s="376"/>
      <c r="R71" s="376"/>
      <c r="S71" s="376"/>
      <c r="T71" s="376"/>
      <c r="U71" s="376"/>
      <c r="V71" s="389"/>
      <c r="W71" s="386"/>
      <c r="X71" s="381"/>
      <c r="Y71" s="381"/>
      <c r="Z71" s="381"/>
      <c r="AA71" s="387"/>
    </row>
    <row r="72" spans="1:27" s="364" customFormat="1" ht="15.75">
      <c r="A72" s="372"/>
      <c r="B72" s="397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6"/>
      <c r="Q72" s="376"/>
      <c r="R72" s="376"/>
      <c r="S72" s="376"/>
      <c r="T72" s="376"/>
      <c r="U72" s="376"/>
      <c r="W72" s="362"/>
      <c r="X72" s="362"/>
      <c r="Y72" s="362"/>
      <c r="Z72" s="362"/>
      <c r="AA72" s="363"/>
    </row>
    <row r="73" spans="1:27" s="364" customFormat="1">
      <c r="A73" s="390"/>
      <c r="B73" s="376"/>
      <c r="C73" s="373"/>
      <c r="D73" s="373"/>
      <c r="E73" s="373"/>
      <c r="F73" s="373"/>
      <c r="G73" s="373"/>
      <c r="H73" s="373"/>
      <c r="I73" s="373"/>
      <c r="J73" s="373"/>
      <c r="K73" s="373"/>
      <c r="L73" s="373"/>
      <c r="M73" s="373"/>
      <c r="N73" s="373"/>
      <c r="O73" s="373"/>
      <c r="P73" s="376"/>
      <c r="Q73" s="376"/>
      <c r="R73" s="376"/>
      <c r="S73" s="376"/>
      <c r="T73" s="376"/>
      <c r="U73" s="376"/>
      <c r="W73" s="377"/>
      <c r="X73" s="377"/>
      <c r="Y73" s="377"/>
      <c r="Z73" s="377"/>
      <c r="AA73" s="378"/>
    </row>
    <row r="74" spans="1:27" s="380" customFormat="1" ht="13.9" customHeight="1">
      <c r="A74" s="390"/>
      <c r="B74" s="376">
        <v>370</v>
      </c>
      <c r="C74" s="1551"/>
      <c r="D74" s="379">
        <v>307</v>
      </c>
      <c r="E74" s="1551"/>
      <c r="F74" s="379">
        <v>291</v>
      </c>
      <c r="G74" s="1577" t="s">
        <v>1587</v>
      </c>
      <c r="H74" s="379">
        <v>334.03</v>
      </c>
      <c r="I74" s="1579" t="s">
        <v>1646</v>
      </c>
      <c r="J74" s="391">
        <v>266</v>
      </c>
      <c r="K74" s="1563" t="s">
        <v>1642</v>
      </c>
      <c r="L74" s="391">
        <v>255.45</v>
      </c>
      <c r="M74" s="1579" t="s">
        <v>1647</v>
      </c>
      <c r="N74" s="379">
        <v>351</v>
      </c>
      <c r="O74" s="1577" t="s">
        <v>1604</v>
      </c>
      <c r="P74" s="379">
        <v>422.03</v>
      </c>
      <c r="Q74" s="1583" t="s">
        <v>1641</v>
      </c>
      <c r="R74" s="379">
        <v>384.09</v>
      </c>
      <c r="S74" s="1583" t="s">
        <v>1430</v>
      </c>
      <c r="T74" s="379">
        <v>366.15</v>
      </c>
      <c r="U74" s="1579" t="s">
        <v>1649</v>
      </c>
      <c r="W74" s="381">
        <f>SUM(A74:V74)</f>
        <v>3346.7500000000005</v>
      </c>
      <c r="X74" s="381">
        <v>10</v>
      </c>
      <c r="Y74" s="381">
        <v>9</v>
      </c>
      <c r="Z74" s="381">
        <v>4</v>
      </c>
      <c r="AA74" s="382">
        <v>0</v>
      </c>
    </row>
    <row r="75" spans="1:27" s="364" customFormat="1" ht="26.25" customHeight="1">
      <c r="A75" s="372"/>
      <c r="B75" s="397"/>
      <c r="C75" s="1552"/>
      <c r="D75" s="338"/>
      <c r="E75" s="1552"/>
      <c r="F75" s="338"/>
      <c r="G75" s="1578"/>
      <c r="H75" s="338"/>
      <c r="I75" s="1579"/>
      <c r="J75" s="1585"/>
      <c r="K75" s="1564"/>
      <c r="L75" s="1585"/>
      <c r="M75" s="1579"/>
      <c r="N75" s="338"/>
      <c r="O75" s="1578"/>
      <c r="P75" s="376"/>
      <c r="Q75" s="1584"/>
      <c r="R75" s="384"/>
      <c r="S75" s="1584"/>
      <c r="T75" s="385"/>
      <c r="U75" s="1579"/>
      <c r="V75" s="337"/>
      <c r="W75" s="386"/>
      <c r="X75" s="381"/>
      <c r="Y75" s="381"/>
      <c r="Z75" s="381"/>
      <c r="AA75" s="387"/>
    </row>
    <row r="76" spans="1:27" s="364" customFormat="1" ht="18.75" customHeight="1">
      <c r="A76" s="372"/>
      <c r="B76" s="397"/>
      <c r="C76" s="388" t="s">
        <v>403</v>
      </c>
      <c r="D76" s="376"/>
      <c r="E76" s="388" t="s">
        <v>407</v>
      </c>
      <c r="F76" s="376"/>
      <c r="G76" s="388" t="s">
        <v>411</v>
      </c>
      <c r="H76" s="376"/>
      <c r="I76" s="388" t="s">
        <v>416</v>
      </c>
      <c r="J76" s="1586"/>
      <c r="K76" s="388" t="s">
        <v>421</v>
      </c>
      <c r="L76" s="1586"/>
      <c r="M76" s="388" t="s">
        <v>71</v>
      </c>
      <c r="N76" s="376"/>
      <c r="O76" s="388" t="s">
        <v>430</v>
      </c>
      <c r="P76" s="376"/>
      <c r="Q76" s="388" t="s">
        <v>436</v>
      </c>
      <c r="R76" s="376"/>
      <c r="S76" s="388" t="s">
        <v>443</v>
      </c>
      <c r="T76" s="376"/>
      <c r="U76" s="388" t="s">
        <v>72</v>
      </c>
      <c r="V76" s="337"/>
      <c r="W76" s="386"/>
      <c r="X76" s="381"/>
      <c r="Y76" s="381"/>
      <c r="Z76" s="381"/>
      <c r="AA76" s="387"/>
    </row>
    <row r="77" spans="1:27" s="364" customFormat="1" ht="18.75" customHeight="1">
      <c r="A77" s="372"/>
      <c r="B77" s="397"/>
      <c r="C77" s="376" t="s">
        <v>153</v>
      </c>
      <c r="D77" s="376"/>
      <c r="E77" s="376" t="s">
        <v>153</v>
      </c>
      <c r="F77" s="376"/>
      <c r="G77" s="376" t="s">
        <v>153</v>
      </c>
      <c r="H77" s="376"/>
      <c r="I77" s="376" t="s">
        <v>344</v>
      </c>
      <c r="J77" s="1586"/>
      <c r="K77" s="376" t="s">
        <v>153</v>
      </c>
      <c r="L77" s="1586"/>
      <c r="M77" s="376" t="s">
        <v>133</v>
      </c>
      <c r="N77" s="376"/>
      <c r="O77" s="376" t="s">
        <v>301</v>
      </c>
      <c r="P77" s="376"/>
      <c r="Q77" s="376" t="s">
        <v>437</v>
      </c>
      <c r="R77" s="376"/>
      <c r="S77" s="376" t="s">
        <v>133</v>
      </c>
      <c r="T77" s="376"/>
      <c r="U77" s="376" t="s">
        <v>337</v>
      </c>
      <c r="V77" s="389"/>
      <c r="W77" s="386"/>
      <c r="X77" s="381"/>
      <c r="Y77" s="381"/>
      <c r="Z77" s="381"/>
      <c r="AA77" s="387"/>
    </row>
    <row r="78" spans="1:27" s="364" customFormat="1" ht="18.75" customHeight="1">
      <c r="B78" s="996"/>
      <c r="C78" s="376"/>
      <c r="D78" s="376"/>
      <c r="E78" s="376"/>
      <c r="F78" s="376"/>
      <c r="G78" s="376"/>
      <c r="H78" s="376"/>
      <c r="I78" s="376"/>
      <c r="J78" s="1586"/>
      <c r="K78" s="376"/>
      <c r="L78" s="1586"/>
      <c r="M78" s="376"/>
      <c r="N78" s="376"/>
      <c r="O78" s="376"/>
      <c r="P78" s="376"/>
      <c r="Q78" s="428"/>
      <c r="R78" s="376"/>
      <c r="S78" s="376"/>
      <c r="T78" s="376"/>
      <c r="U78" s="1102"/>
      <c r="V78" s="389"/>
      <c r="W78" s="386"/>
      <c r="X78" s="381"/>
      <c r="Y78" s="381"/>
      <c r="Z78" s="381"/>
      <c r="AA78" s="387"/>
    </row>
    <row r="79" spans="1:27" s="364" customFormat="1">
      <c r="A79" s="390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6"/>
      <c r="P79" s="376"/>
      <c r="Q79" s="376"/>
      <c r="R79" s="376"/>
      <c r="S79" s="376"/>
      <c r="T79" s="376"/>
      <c r="U79" s="376"/>
      <c r="V79" s="389"/>
      <c r="W79" s="386"/>
      <c r="X79" s="381"/>
      <c r="Y79" s="381"/>
      <c r="Z79" s="381"/>
      <c r="AA79" s="387"/>
    </row>
    <row r="80" spans="1:27" s="364" customFormat="1" ht="15.75">
      <c r="A80" s="372"/>
      <c r="B80" s="397"/>
      <c r="C80" s="373"/>
      <c r="D80" s="373"/>
      <c r="E80" s="373"/>
      <c r="F80" s="373"/>
      <c r="G80" s="373"/>
      <c r="H80" s="373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W80" s="362"/>
      <c r="X80" s="362"/>
      <c r="Y80" s="362"/>
      <c r="Z80" s="362"/>
      <c r="AA80" s="363"/>
    </row>
    <row r="81" spans="1:27" s="364" customFormat="1">
      <c r="A81" s="390"/>
      <c r="B81" s="376"/>
      <c r="C81" s="373"/>
      <c r="D81" s="373"/>
      <c r="E81" s="373"/>
      <c r="F81" s="373"/>
      <c r="G81" s="373"/>
      <c r="H81" s="373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W81" s="377"/>
      <c r="X81" s="377"/>
      <c r="Y81" s="377"/>
      <c r="Z81" s="377"/>
      <c r="AA81" s="378"/>
    </row>
    <row r="82" spans="1:27" s="380" customFormat="1" ht="13.9" customHeight="1">
      <c r="A82" s="390"/>
      <c r="B82" s="376">
        <v>358</v>
      </c>
      <c r="C82" s="1563" t="s">
        <v>1650</v>
      </c>
      <c r="D82" s="379">
        <v>404.5</v>
      </c>
      <c r="E82" s="1562"/>
      <c r="F82" s="379">
        <v>339.16</v>
      </c>
      <c r="G82" s="1562"/>
      <c r="H82" s="379">
        <v>354</v>
      </c>
      <c r="I82" s="1562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W82" s="381">
        <f>SUM(A82:V82)</f>
        <v>1455.66</v>
      </c>
      <c r="X82" s="381">
        <v>1</v>
      </c>
      <c r="Y82" s="381">
        <v>1</v>
      </c>
      <c r="Z82" s="381">
        <v>1</v>
      </c>
      <c r="AA82" s="382">
        <v>0</v>
      </c>
    </row>
    <row r="83" spans="1:27" s="364" customFormat="1" ht="26.25" customHeight="1">
      <c r="A83" s="372"/>
      <c r="B83" s="397"/>
      <c r="C83" s="1564"/>
      <c r="D83" s="338"/>
      <c r="E83" s="1562"/>
      <c r="F83" s="338"/>
      <c r="G83" s="1562"/>
      <c r="H83" s="376"/>
      <c r="I83" s="1562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V83" s="337"/>
      <c r="W83" s="386"/>
      <c r="X83" s="381"/>
      <c r="Y83" s="381"/>
      <c r="Z83" s="381"/>
      <c r="AA83" s="387"/>
    </row>
    <row r="84" spans="1:27" s="364" customFormat="1" ht="18.75" customHeight="1">
      <c r="A84" s="372"/>
      <c r="B84" s="397"/>
      <c r="C84" s="388" t="s">
        <v>452</v>
      </c>
      <c r="D84" s="376"/>
      <c r="E84" s="388" t="s">
        <v>457</v>
      </c>
      <c r="F84" s="376"/>
      <c r="G84" s="388" t="s">
        <v>73</v>
      </c>
      <c r="H84" s="376"/>
      <c r="I84" s="376" t="s">
        <v>996</v>
      </c>
      <c r="J84" s="376"/>
      <c r="K84" s="376"/>
      <c r="L84" s="376"/>
      <c r="M84" s="376"/>
      <c r="N84" s="376"/>
      <c r="O84" s="376"/>
      <c r="P84" s="376"/>
      <c r="Q84" s="376"/>
      <c r="R84" s="376"/>
      <c r="S84" s="376"/>
      <c r="V84" s="337"/>
      <c r="W84" s="386"/>
      <c r="X84" s="381"/>
      <c r="Y84" s="381"/>
      <c r="Z84" s="381"/>
      <c r="AA84" s="387"/>
    </row>
    <row r="85" spans="1:27" s="364" customFormat="1" ht="18.75" customHeight="1">
      <c r="A85" s="372"/>
      <c r="B85" s="397"/>
      <c r="C85" s="376" t="s">
        <v>301</v>
      </c>
      <c r="D85" s="376"/>
      <c r="E85" s="376" t="s">
        <v>344</v>
      </c>
      <c r="F85" s="376"/>
      <c r="G85" s="376" t="s">
        <v>133</v>
      </c>
      <c r="H85" s="376"/>
      <c r="I85" s="376"/>
      <c r="J85" s="376"/>
      <c r="K85" s="376"/>
      <c r="L85" s="376"/>
      <c r="M85" s="376"/>
      <c r="N85" s="376"/>
      <c r="O85" s="376"/>
      <c r="P85" s="376"/>
      <c r="Q85" s="376"/>
      <c r="R85" s="376"/>
      <c r="S85" s="376"/>
      <c r="T85" s="376"/>
      <c r="U85" s="376"/>
      <c r="V85" s="389"/>
      <c r="W85" s="386"/>
      <c r="X85" s="381"/>
      <c r="Y85" s="381"/>
      <c r="Z85" s="381"/>
      <c r="AA85" s="387"/>
    </row>
    <row r="86" spans="1:27" s="337" customFormat="1" ht="26.25" thickBot="1">
      <c r="A86" s="340"/>
      <c r="E86" s="1124" t="s">
        <v>2038</v>
      </c>
      <c r="G86" s="1124" t="s">
        <v>2038</v>
      </c>
      <c r="P86" s="392" t="s">
        <v>954</v>
      </c>
      <c r="W86" s="393">
        <f>SUM(W32:W85)/1000</f>
        <v>21.278639999999999</v>
      </c>
      <c r="X86" s="394">
        <f>SUM(X32:X85)</f>
        <v>40</v>
      </c>
      <c r="Y86" s="394">
        <f>SUM(Y32:Y85)</f>
        <v>31</v>
      </c>
      <c r="Z86" s="394">
        <f>SUM(Z32:Z85)</f>
        <v>21</v>
      </c>
      <c r="AA86" s="395">
        <f>SUM(AA32:AA85)/1000</f>
        <v>0</v>
      </c>
    </row>
    <row r="87" spans="1:27" s="337" customFormat="1" ht="13.5" thickBot="1">
      <c r="A87" s="1580"/>
      <c r="B87" s="1581"/>
      <c r="C87" s="1581"/>
      <c r="D87" s="1581"/>
      <c r="E87" s="1581"/>
      <c r="F87" s="1581"/>
      <c r="G87" s="1581"/>
      <c r="H87" s="1581"/>
      <c r="I87" s="1581"/>
      <c r="J87" s="1581"/>
      <c r="K87" s="1581"/>
      <c r="L87" s="1581"/>
      <c r="M87" s="1581"/>
      <c r="N87" s="1581"/>
      <c r="O87" s="1581"/>
      <c r="P87" s="1581"/>
      <c r="Q87" s="1581"/>
      <c r="R87" s="1581"/>
      <c r="S87" s="1581"/>
      <c r="T87" s="1581"/>
      <c r="U87" s="1581"/>
      <c r="V87" s="1581"/>
      <c r="W87" s="1581"/>
      <c r="X87" s="1581"/>
      <c r="Y87" s="1581"/>
      <c r="Z87" s="1581"/>
      <c r="AA87" s="1582"/>
    </row>
    <row r="88" spans="1:27" s="337" customFormat="1" ht="13.5" thickBot="1">
      <c r="M88" s="338"/>
      <c r="N88" s="338"/>
    </row>
    <row r="89" spans="1:27" s="337" customFormat="1" ht="13.5" hidden="1" thickBot="1">
      <c r="M89" s="338"/>
      <c r="N89" s="338"/>
    </row>
    <row r="90" spans="1:27" s="337" customFormat="1" ht="18">
      <c r="A90" s="339"/>
      <c r="B90" s="396"/>
      <c r="C90" s="1498">
        <f>C13</f>
        <v>46197</v>
      </c>
      <c r="D90" s="1499"/>
      <c r="E90" s="1499"/>
      <c r="F90" s="1499"/>
      <c r="G90" s="1499"/>
      <c r="H90" s="1499"/>
      <c r="I90" s="1499"/>
      <c r="J90" s="1499"/>
      <c r="K90" s="1499"/>
      <c r="L90" s="1499"/>
      <c r="M90" s="1499"/>
      <c r="N90" s="1499"/>
      <c r="O90" s="1499"/>
      <c r="P90" s="1499"/>
      <c r="Q90" s="1499"/>
      <c r="R90" s="1499"/>
      <c r="S90" s="1499"/>
      <c r="T90" s="1499"/>
      <c r="U90" s="1499"/>
      <c r="V90" s="1499"/>
      <c r="W90" s="1499"/>
      <c r="X90" s="1499"/>
      <c r="Y90" s="1499"/>
      <c r="Z90" s="1499"/>
      <c r="AA90" s="1500"/>
    </row>
    <row r="91" spans="1:27" s="337" customFormat="1" ht="18">
      <c r="A91" s="1501" t="s">
        <v>1001</v>
      </c>
      <c r="B91" s="1587"/>
      <c r="C91" s="1587"/>
      <c r="D91" s="1587"/>
      <c r="E91" s="1587"/>
      <c r="F91" s="1587"/>
      <c r="G91" s="1587"/>
      <c r="H91" s="1587"/>
      <c r="I91" s="1587"/>
      <c r="J91" s="1587"/>
      <c r="K91" s="1587"/>
      <c r="L91" s="1587"/>
      <c r="M91" s="1587"/>
      <c r="N91" s="1587"/>
      <c r="O91" s="1587"/>
      <c r="P91" s="1587"/>
      <c r="Q91" s="1587"/>
      <c r="R91" s="1587"/>
      <c r="S91" s="1587"/>
      <c r="T91" s="1587"/>
      <c r="U91" s="1587"/>
      <c r="V91" s="1587"/>
      <c r="W91" s="1587"/>
      <c r="X91" s="1587"/>
      <c r="Y91" s="1587"/>
      <c r="Z91" s="1587"/>
      <c r="AA91" s="1503"/>
    </row>
    <row r="92" spans="1:27" s="337" customFormat="1" ht="18">
      <c r="A92" s="1501" t="s">
        <v>956</v>
      </c>
      <c r="B92" s="1587"/>
      <c r="C92" s="1587"/>
      <c r="D92" s="1587"/>
      <c r="E92" s="1587"/>
      <c r="F92" s="1587"/>
      <c r="G92" s="1587"/>
      <c r="H92" s="1587"/>
      <c r="I92" s="1587"/>
      <c r="J92" s="1587"/>
      <c r="K92" s="1587"/>
      <c r="L92" s="1587"/>
      <c r="M92" s="1587"/>
      <c r="N92" s="1587"/>
      <c r="O92" s="1587"/>
      <c r="P92" s="1587"/>
      <c r="Q92" s="1587"/>
      <c r="R92" s="1587"/>
      <c r="S92" s="1587"/>
      <c r="T92" s="1587"/>
      <c r="U92" s="1587"/>
      <c r="V92" s="1587"/>
      <c r="W92" s="1587"/>
      <c r="X92" s="1587"/>
      <c r="Y92" s="1587"/>
      <c r="Z92" s="1587"/>
      <c r="AA92" s="1503"/>
    </row>
    <row r="93" spans="1:27" s="337" customFormat="1" ht="18" customHeight="1">
      <c r="A93" s="1504" t="s">
        <v>916</v>
      </c>
      <c r="B93" s="1588"/>
      <c r="C93" s="1588"/>
      <c r="D93" s="1588"/>
      <c r="E93" s="1588"/>
      <c r="F93" s="1588"/>
      <c r="G93" s="1588"/>
      <c r="H93" s="1588"/>
      <c r="I93" s="1588"/>
      <c r="J93" s="1588"/>
      <c r="K93" s="1588"/>
      <c r="L93" s="1588"/>
      <c r="M93" s="1588"/>
      <c r="N93" s="1588"/>
      <c r="O93" s="1588"/>
      <c r="P93" s="1588"/>
      <c r="Q93" s="1588"/>
      <c r="R93" s="1588"/>
      <c r="S93" s="1588"/>
      <c r="T93" s="1588"/>
      <c r="U93" s="1588"/>
      <c r="V93" s="1588"/>
      <c r="W93" s="1588"/>
      <c r="X93" s="1588"/>
      <c r="Y93" s="1588"/>
      <c r="Z93" s="1588"/>
      <c r="AA93" s="1506"/>
    </row>
    <row r="94" spans="1:27" s="337" customFormat="1" ht="18.75" thickBot="1">
      <c r="A94" s="341"/>
      <c r="B94" s="342"/>
      <c r="C94" s="342"/>
      <c r="D94" s="342"/>
      <c r="E94" s="342"/>
      <c r="F94" s="342"/>
      <c r="G94" s="342"/>
      <c r="H94" s="342"/>
      <c r="I94" s="342"/>
      <c r="J94" s="342"/>
      <c r="K94" s="342"/>
      <c r="L94" s="342"/>
      <c r="M94" s="342"/>
      <c r="N94" s="343"/>
      <c r="O94" s="343"/>
      <c r="P94" s="343"/>
      <c r="Q94" s="343"/>
      <c r="R94" s="343"/>
      <c r="S94" s="343"/>
      <c r="T94" s="343"/>
      <c r="U94" s="343"/>
      <c r="V94" s="343"/>
      <c r="W94" s="343"/>
      <c r="X94" s="343"/>
      <c r="Y94" s="343"/>
      <c r="Z94" s="343"/>
      <c r="AA94" s="344"/>
    </row>
    <row r="95" spans="1:27" s="337" customFormat="1" ht="18">
      <c r="A95" s="340"/>
      <c r="C95" s="1589"/>
      <c r="D95" s="1589"/>
      <c r="E95" s="1589"/>
      <c r="F95" s="1589"/>
      <c r="G95" s="1589"/>
      <c r="H95" s="1590"/>
      <c r="I95" s="1590"/>
      <c r="J95" s="1587"/>
      <c r="K95" s="1587"/>
      <c r="L95" s="1587"/>
      <c r="M95" s="1104"/>
      <c r="N95" s="1523" t="s">
        <v>917</v>
      </c>
      <c r="O95" s="1524"/>
      <c r="P95" s="1524"/>
      <c r="Q95" s="1524"/>
      <c r="R95" s="1524"/>
      <c r="S95" s="1524"/>
      <c r="T95" s="1524"/>
      <c r="U95" s="1524"/>
      <c r="V95" s="1524"/>
      <c r="W95" s="1524"/>
      <c r="X95" s="1524"/>
      <c r="Y95" s="1524"/>
      <c r="Z95" s="1524"/>
      <c r="AA95" s="1525"/>
    </row>
    <row r="96" spans="1:27" s="337" customFormat="1" ht="18" customHeight="1">
      <c r="A96" s="340"/>
      <c r="C96" s="1589"/>
      <c r="D96" s="1589"/>
      <c r="E96" s="1589"/>
      <c r="F96" s="1589"/>
      <c r="G96" s="1589"/>
      <c r="H96" s="1590"/>
      <c r="I96" s="1590"/>
      <c r="J96" s="1587"/>
      <c r="K96" s="1587"/>
      <c r="L96" s="1587"/>
      <c r="M96" s="1091"/>
      <c r="N96" s="1096"/>
      <c r="O96" s="345" t="s">
        <v>918</v>
      </c>
      <c r="P96" s="1536" t="s">
        <v>919</v>
      </c>
      <c r="Q96" s="1590"/>
      <c r="R96" s="346"/>
      <c r="S96" s="347"/>
      <c r="T96" s="1537" t="s">
        <v>920</v>
      </c>
      <c r="U96" s="1538"/>
      <c r="V96" s="348"/>
      <c r="W96" s="1539" t="s">
        <v>921</v>
      </c>
      <c r="X96" s="349"/>
      <c r="Y96" s="1532" t="s">
        <v>922</v>
      </c>
      <c r="Z96" s="350"/>
      <c r="AA96" s="1533" t="s">
        <v>923</v>
      </c>
    </row>
    <row r="97" spans="1:27" s="337" customFormat="1" ht="18">
      <c r="A97" s="340"/>
      <c r="C97" s="1528" t="s">
        <v>924</v>
      </c>
      <c r="D97" s="1528"/>
      <c r="E97" s="1528"/>
      <c r="F97" s="1528"/>
      <c r="G97" s="1528"/>
      <c r="H97" s="1529" t="s">
        <v>873</v>
      </c>
      <c r="I97" s="1529"/>
      <c r="J97" s="1534" t="s">
        <v>2200</v>
      </c>
      <c r="K97" s="1530"/>
      <c r="L97" s="1531"/>
      <c r="M97" s="351"/>
      <c r="N97" s="1096"/>
      <c r="O97" s="1096"/>
      <c r="P97" s="1591" t="s">
        <v>925</v>
      </c>
      <c r="Q97" s="1591"/>
      <c r="R97" s="1096"/>
      <c r="S97" s="352" t="s">
        <v>926</v>
      </c>
      <c r="T97" s="1537"/>
      <c r="U97" s="1538"/>
      <c r="V97" s="348"/>
      <c r="W97" s="1539"/>
      <c r="X97" s="349"/>
      <c r="Y97" s="1532"/>
      <c r="Z97" s="350"/>
      <c r="AA97" s="1533"/>
    </row>
    <row r="98" spans="1:27" s="337" customFormat="1" ht="18.75" customHeight="1" thickBot="1">
      <c r="A98" s="340"/>
      <c r="C98" s="1528" t="s">
        <v>927</v>
      </c>
      <c r="D98" s="1528"/>
      <c r="E98" s="1528"/>
      <c r="F98" s="1528"/>
      <c r="G98" s="1528"/>
      <c r="H98" s="1529" t="s">
        <v>873</v>
      </c>
      <c r="I98" s="1529"/>
      <c r="J98" s="1534" t="s">
        <v>2204</v>
      </c>
      <c r="K98" s="1530"/>
      <c r="L98" s="1531"/>
      <c r="M98" s="353" t="s">
        <v>928</v>
      </c>
      <c r="N98" s="347"/>
      <c r="O98" s="1095"/>
      <c r="P98" s="354"/>
      <c r="Q98" s="355"/>
      <c r="R98" s="356"/>
      <c r="S98" s="356"/>
      <c r="T98" s="1537"/>
      <c r="U98" s="1538"/>
      <c r="V98" s="357"/>
      <c r="W98" s="1539"/>
      <c r="X98" s="349"/>
      <c r="Y98" s="1532"/>
      <c r="Z98" s="347"/>
      <c r="AA98" s="1533"/>
    </row>
    <row r="99" spans="1:27" s="364" customFormat="1" ht="18.75" thickTop="1">
      <c r="A99" s="358"/>
      <c r="C99" s="1528" t="s">
        <v>929</v>
      </c>
      <c r="D99" s="1528"/>
      <c r="E99" s="1528"/>
      <c r="F99" s="1528"/>
      <c r="G99" s="1528"/>
      <c r="H99" s="1529" t="s">
        <v>873</v>
      </c>
      <c r="I99" s="1529"/>
      <c r="J99" s="1534" t="s">
        <v>2202</v>
      </c>
      <c r="K99" s="1530"/>
      <c r="L99" s="1531"/>
      <c r="M99" s="359"/>
      <c r="N99" s="355"/>
      <c r="O99" s="360" t="s">
        <v>930</v>
      </c>
      <c r="P99" s="1540" t="s">
        <v>931</v>
      </c>
      <c r="Q99" s="1541"/>
      <c r="R99" s="1526"/>
      <c r="S99" s="347"/>
      <c r="T99" s="1537"/>
      <c r="U99" s="1538"/>
      <c r="V99" s="357"/>
      <c r="W99" s="361"/>
      <c r="X99" s="349"/>
      <c r="Y99" s="362"/>
      <c r="Z99" s="356"/>
      <c r="AA99" s="363"/>
    </row>
    <row r="100" spans="1:27" s="364" customFormat="1" ht="18.75" thickBot="1">
      <c r="A100" s="358"/>
      <c r="C100" s="1528" t="s">
        <v>932</v>
      </c>
      <c r="D100" s="1528"/>
      <c r="E100" s="1528"/>
      <c r="F100" s="1528"/>
      <c r="G100" s="1528"/>
      <c r="H100" s="1529" t="s">
        <v>933</v>
      </c>
      <c r="I100" s="1529"/>
      <c r="J100" s="1530" t="s">
        <v>2167</v>
      </c>
      <c r="K100" s="1530"/>
      <c r="L100" s="1531"/>
      <c r="M100" s="353" t="s">
        <v>934</v>
      </c>
      <c r="N100" s="356"/>
      <c r="O100" s="365" t="s">
        <v>935</v>
      </c>
      <c r="P100" s="356"/>
      <c r="Q100" s="366"/>
      <c r="R100" s="1527"/>
      <c r="S100" s="356"/>
      <c r="T100" s="1537"/>
      <c r="U100" s="1538"/>
      <c r="V100" s="357"/>
      <c r="W100" s="361"/>
      <c r="X100" s="349"/>
      <c r="Y100" s="362"/>
      <c r="Z100" s="356"/>
      <c r="AA100" s="363"/>
    </row>
    <row r="101" spans="1:27" s="364" customFormat="1" ht="18">
      <c r="A101" s="358"/>
      <c r="C101" s="1528" t="s">
        <v>936</v>
      </c>
      <c r="D101" s="1528"/>
      <c r="E101" s="1528"/>
      <c r="F101" s="1528"/>
      <c r="G101" s="1528"/>
      <c r="H101" s="1529" t="s">
        <v>933</v>
      </c>
      <c r="I101" s="1529"/>
      <c r="J101" s="1530" t="s">
        <v>2167</v>
      </c>
      <c r="K101" s="1530"/>
      <c r="L101" s="1531"/>
      <c r="M101" s="359"/>
      <c r="N101" s="356"/>
      <c r="O101" s="356"/>
      <c r="P101" s="356"/>
      <c r="Q101" s="367"/>
      <c r="R101" s="1095"/>
      <c r="S101" s="356"/>
      <c r="T101" s="1537"/>
      <c r="U101" s="1538"/>
      <c r="V101" s="357"/>
      <c r="W101" s="361"/>
      <c r="X101" s="349"/>
      <c r="Y101" s="368"/>
      <c r="Z101" s="356"/>
      <c r="AA101" s="363"/>
    </row>
    <row r="102" spans="1:27" s="364" customFormat="1" ht="15.75">
      <c r="A102" s="358"/>
      <c r="I102" s="364" t="s">
        <v>937</v>
      </c>
      <c r="M102" s="369" t="s">
        <v>938</v>
      </c>
      <c r="N102" s="356"/>
      <c r="O102" s="1095" t="s">
        <v>939</v>
      </c>
      <c r="P102" s="1095"/>
      <c r="Q102" s="367" t="s">
        <v>940</v>
      </c>
      <c r="R102" s="356"/>
      <c r="S102" s="1547" t="s">
        <v>941</v>
      </c>
      <c r="T102" s="1537"/>
      <c r="U102" s="1538"/>
      <c r="V102" s="357"/>
      <c r="W102" s="361"/>
      <c r="X102" s="349"/>
      <c r="Y102" s="368"/>
      <c r="Z102" s="356"/>
      <c r="AA102" s="363"/>
    </row>
    <row r="103" spans="1:27" s="364" customFormat="1" ht="15.75">
      <c r="A103" s="358"/>
      <c r="M103" s="359"/>
      <c r="N103" s="356"/>
      <c r="O103" s="1095"/>
      <c r="P103" s="1548" t="s">
        <v>942</v>
      </c>
      <c r="Q103" s="1548" t="s">
        <v>943</v>
      </c>
      <c r="R103" s="356"/>
      <c r="S103" s="1547"/>
      <c r="T103" s="1537"/>
      <c r="U103" s="1538"/>
      <c r="V103" s="357"/>
      <c r="W103" s="361"/>
      <c r="X103" s="349"/>
      <c r="Y103" s="368"/>
      <c r="Z103" s="356"/>
      <c r="AA103" s="363"/>
    </row>
    <row r="104" spans="1:27" s="364" customFormat="1" ht="17.45" customHeight="1">
      <c r="A104" s="359"/>
      <c r="B104" s="356"/>
      <c r="D104" s="1590"/>
      <c r="E104" s="1590"/>
      <c r="F104" s="1590"/>
      <c r="G104" s="1590"/>
      <c r="I104" s="356"/>
      <c r="J104" s="356"/>
      <c r="K104" s="356"/>
      <c r="L104" s="356"/>
      <c r="M104" s="369" t="s">
        <v>944</v>
      </c>
      <c r="N104" s="356"/>
      <c r="O104" s="1095" t="s">
        <v>945</v>
      </c>
      <c r="P104" s="1548"/>
      <c r="Q104" s="1549"/>
      <c r="R104" s="356"/>
      <c r="S104" s="356"/>
      <c r="T104" s="1537"/>
      <c r="U104" s="1538"/>
      <c r="V104" s="356"/>
      <c r="W104" s="361"/>
      <c r="X104" s="349"/>
      <c r="Y104" s="362"/>
      <c r="Z104" s="356"/>
      <c r="AA104" s="363"/>
    </row>
    <row r="105" spans="1:27" s="364" customFormat="1" ht="16.5" thickBot="1">
      <c r="A105" s="358"/>
      <c r="M105" s="370"/>
      <c r="N105" s="343"/>
      <c r="O105" s="343"/>
      <c r="P105" s="371"/>
      <c r="Q105" s="343"/>
      <c r="R105" s="343"/>
      <c r="S105" s="343"/>
      <c r="T105" s="343"/>
      <c r="U105" s="343"/>
      <c r="V105" s="343"/>
      <c r="W105" s="343"/>
      <c r="X105" s="343"/>
      <c r="Y105" s="343"/>
      <c r="Z105" s="343"/>
      <c r="AA105" s="344"/>
    </row>
    <row r="106" spans="1:27" s="364" customFormat="1" ht="15.75" customHeight="1">
      <c r="A106" s="372"/>
      <c r="B106" s="397"/>
      <c r="C106" s="373"/>
      <c r="D106" s="373"/>
      <c r="E106" s="373"/>
      <c r="F106" s="373"/>
      <c r="G106" s="373"/>
      <c r="H106" s="373"/>
      <c r="I106" s="373"/>
      <c r="J106" s="373"/>
      <c r="K106" s="373"/>
      <c r="L106" s="373"/>
      <c r="M106" s="373"/>
      <c r="N106" s="373"/>
      <c r="O106" s="373"/>
      <c r="P106" s="373"/>
      <c r="Q106" s="374"/>
      <c r="R106" s="374"/>
      <c r="S106" s="373"/>
      <c r="T106" s="373"/>
      <c r="U106" s="373"/>
      <c r="W106" s="1557" t="s">
        <v>946</v>
      </c>
      <c r="X106" s="1554" t="s">
        <v>947</v>
      </c>
      <c r="Y106" s="1554" t="s">
        <v>948</v>
      </c>
      <c r="Z106" s="1555" t="s">
        <v>949</v>
      </c>
      <c r="AA106" s="1556" t="s">
        <v>950</v>
      </c>
    </row>
    <row r="107" spans="1:27" s="364" customFormat="1">
      <c r="A107" s="372"/>
      <c r="B107" s="397"/>
      <c r="C107" s="338"/>
      <c r="D107" s="373"/>
      <c r="E107" s="338"/>
      <c r="F107" s="373"/>
      <c r="G107" s="375"/>
      <c r="H107" s="373"/>
      <c r="I107" s="373"/>
      <c r="J107" s="373"/>
      <c r="K107" s="373"/>
      <c r="L107" s="373"/>
      <c r="M107" s="338"/>
      <c r="N107" s="338"/>
      <c r="O107" s="375"/>
      <c r="P107" s="338"/>
      <c r="Q107" s="375"/>
      <c r="R107" s="338"/>
      <c r="S107" s="375"/>
      <c r="T107" s="338"/>
      <c r="U107" s="338"/>
      <c r="W107" s="1557"/>
      <c r="X107" s="1554"/>
      <c r="Y107" s="1554"/>
      <c r="Z107" s="1555"/>
      <c r="AA107" s="1556"/>
    </row>
    <row r="108" spans="1:27" s="364" customFormat="1" ht="17.25" customHeight="1">
      <c r="A108" s="390"/>
      <c r="B108" s="376"/>
      <c r="C108" s="376"/>
      <c r="D108" s="376"/>
      <c r="E108" s="376"/>
      <c r="F108" s="376"/>
      <c r="G108" s="376"/>
      <c r="H108" s="376"/>
      <c r="I108" s="376"/>
      <c r="J108" s="376"/>
      <c r="K108" s="376"/>
      <c r="L108" s="376"/>
      <c r="M108" s="376"/>
      <c r="N108" s="376"/>
      <c r="O108" s="376"/>
      <c r="P108" s="376"/>
      <c r="Q108" s="376"/>
      <c r="R108" s="376"/>
      <c r="S108" s="376"/>
      <c r="T108" s="376"/>
      <c r="U108" s="376"/>
      <c r="V108" s="389"/>
      <c r="W108" s="386"/>
      <c r="X108" s="381"/>
      <c r="Y108" s="381"/>
      <c r="Z108" s="381"/>
      <c r="AA108" s="387"/>
    </row>
    <row r="109" spans="1:27" s="364" customFormat="1" ht="15.75">
      <c r="A109" s="372"/>
      <c r="B109" s="397"/>
      <c r="C109" s="373"/>
      <c r="D109" s="373"/>
      <c r="E109" s="373"/>
      <c r="F109" s="373"/>
      <c r="G109" s="373"/>
      <c r="H109" s="373"/>
      <c r="I109" s="373"/>
      <c r="J109" s="373"/>
      <c r="K109" s="373"/>
      <c r="L109" s="373"/>
      <c r="M109" s="373"/>
      <c r="N109" s="373"/>
      <c r="O109" s="373"/>
      <c r="P109" s="376"/>
      <c r="Q109" s="376"/>
      <c r="R109" s="376" t="s">
        <v>937</v>
      </c>
      <c r="S109" s="376"/>
      <c r="T109" s="376"/>
      <c r="U109" s="376"/>
      <c r="W109" s="362"/>
      <c r="X109" s="362"/>
      <c r="Y109" s="362"/>
      <c r="Z109" s="362"/>
      <c r="AA109" s="363"/>
    </row>
    <row r="110" spans="1:27" s="364" customFormat="1">
      <c r="A110" s="372"/>
      <c r="B110" s="397"/>
      <c r="C110" s="373"/>
      <c r="D110" s="373"/>
      <c r="E110" s="373"/>
      <c r="F110" s="373"/>
      <c r="G110" s="373"/>
      <c r="H110" s="373"/>
      <c r="I110" s="373"/>
      <c r="J110" s="373"/>
      <c r="K110" s="373"/>
      <c r="L110" s="373"/>
      <c r="M110" s="373"/>
      <c r="N110" s="373"/>
      <c r="O110" s="373"/>
      <c r="P110" s="376"/>
      <c r="Q110" s="376"/>
      <c r="R110" s="376"/>
      <c r="S110" s="376"/>
      <c r="T110" s="376"/>
      <c r="U110" s="376"/>
      <c r="W110" s="377"/>
      <c r="X110" s="377"/>
      <c r="Y110" s="377"/>
      <c r="Z110" s="377"/>
      <c r="AA110" s="378"/>
    </row>
    <row r="111" spans="1:27" s="380" customFormat="1" ht="13.9" customHeight="1">
      <c r="A111" s="1562"/>
      <c r="B111" s="379">
        <v>105.77</v>
      </c>
      <c r="C111" s="1543"/>
      <c r="D111" s="379">
        <v>106.18</v>
      </c>
      <c r="E111" s="1543"/>
      <c r="F111" s="379">
        <v>224.28800000000001</v>
      </c>
      <c r="G111" s="1543"/>
      <c r="H111" s="379">
        <v>422</v>
      </c>
      <c r="I111" s="1545"/>
      <c r="J111" s="379">
        <v>364.19499999999999</v>
      </c>
      <c r="K111" s="1592"/>
      <c r="L111" s="379">
        <v>397.75</v>
      </c>
      <c r="M111" s="1592"/>
      <c r="N111" s="379">
        <v>253</v>
      </c>
      <c r="O111" s="1562"/>
      <c r="P111" s="379">
        <v>97.98</v>
      </c>
      <c r="Q111" s="1562"/>
      <c r="R111" s="379">
        <v>184.71</v>
      </c>
      <c r="S111" s="1562"/>
      <c r="T111" s="379">
        <v>165.68</v>
      </c>
      <c r="U111" s="1497"/>
      <c r="W111" s="381">
        <f>SUM(A111:V111)</f>
        <v>2321.5529999999999</v>
      </c>
      <c r="X111" s="381">
        <v>3</v>
      </c>
      <c r="Y111" s="381">
        <v>1</v>
      </c>
      <c r="Z111" s="381">
        <v>0</v>
      </c>
      <c r="AA111" s="382">
        <v>0</v>
      </c>
    </row>
    <row r="112" spans="1:27" s="364" customFormat="1" ht="16.149999999999999" customHeight="1">
      <c r="A112" s="1562"/>
      <c r="B112" s="397"/>
      <c r="C112" s="1544"/>
      <c r="D112" s="338"/>
      <c r="E112" s="1544"/>
      <c r="F112" s="338"/>
      <c r="G112" s="1544"/>
      <c r="H112" s="338"/>
      <c r="I112" s="1546"/>
      <c r="J112" s="338"/>
      <c r="K112" s="1593"/>
      <c r="L112" s="338"/>
      <c r="M112" s="1593"/>
      <c r="N112" s="338"/>
      <c r="O112" s="1562"/>
      <c r="P112" s="376"/>
      <c r="Q112" s="1562"/>
      <c r="R112" s="384"/>
      <c r="S112" s="1562"/>
      <c r="T112" s="385"/>
      <c r="U112" s="1497"/>
      <c r="V112" s="337"/>
      <c r="W112" s="386"/>
      <c r="X112" s="381"/>
      <c r="Y112" s="381"/>
      <c r="Z112" s="381"/>
      <c r="AA112" s="387"/>
    </row>
    <row r="113" spans="1:27" s="364" customFormat="1">
      <c r="A113" s="399" t="s">
        <v>962</v>
      </c>
      <c r="B113" s="397"/>
      <c r="C113" s="388" t="s">
        <v>132</v>
      </c>
      <c r="D113" s="376"/>
      <c r="E113" s="388" t="s">
        <v>141</v>
      </c>
      <c r="F113" s="376"/>
      <c r="G113" s="388" t="s">
        <v>147</v>
      </c>
      <c r="H113" s="376"/>
      <c r="I113" s="388" t="s">
        <v>152</v>
      </c>
      <c r="J113" s="376"/>
      <c r="K113" s="388" t="s">
        <v>166</v>
      </c>
      <c r="L113" s="376"/>
      <c r="M113" s="388" t="s">
        <v>174</v>
      </c>
      <c r="N113" s="376"/>
      <c r="O113" s="388" t="s">
        <v>1859</v>
      </c>
      <c r="P113" s="376"/>
      <c r="Q113" s="388" t="s">
        <v>181</v>
      </c>
      <c r="R113" s="376"/>
      <c r="S113" s="388" t="s">
        <v>64</v>
      </c>
      <c r="T113" s="376"/>
      <c r="U113" s="388" t="s">
        <v>65</v>
      </c>
      <c r="V113" s="337"/>
      <c r="W113" s="386"/>
      <c r="X113" s="381"/>
      <c r="Y113" s="381"/>
      <c r="Z113" s="381"/>
      <c r="AA113" s="387"/>
    </row>
    <row r="114" spans="1:27" s="364" customFormat="1">
      <c r="A114" s="372"/>
      <c r="B114" s="397"/>
      <c r="C114" s="376" t="s">
        <v>1181</v>
      </c>
      <c r="D114" s="376"/>
      <c r="E114" s="376" t="s">
        <v>1181</v>
      </c>
      <c r="F114" s="376"/>
      <c r="G114" s="376" t="s">
        <v>1175</v>
      </c>
      <c r="H114" s="376"/>
      <c r="I114" s="376" t="s">
        <v>49</v>
      </c>
      <c r="J114" s="376"/>
      <c r="K114" s="376" t="s">
        <v>1175</v>
      </c>
      <c r="L114" s="376"/>
      <c r="M114" s="376" t="s">
        <v>1181</v>
      </c>
      <c r="N114" s="376"/>
      <c r="O114" s="376" t="s">
        <v>1181</v>
      </c>
      <c r="P114" s="376"/>
      <c r="Q114" s="428" t="s">
        <v>1860</v>
      </c>
      <c r="R114" s="376"/>
      <c r="S114" s="376" t="s">
        <v>193</v>
      </c>
      <c r="T114" s="376"/>
      <c r="U114" s="376" t="s">
        <v>133</v>
      </c>
      <c r="V114" s="389"/>
      <c r="W114" s="386"/>
      <c r="X114" s="381"/>
      <c r="Y114" s="381"/>
      <c r="Z114" s="381"/>
      <c r="AA114" s="387"/>
    </row>
    <row r="115" spans="1:27" s="809" customFormat="1" ht="30">
      <c r="A115" s="803"/>
      <c r="B115" s="804"/>
      <c r="C115" s="1114" t="s">
        <v>1880</v>
      </c>
      <c r="D115" s="428"/>
      <c r="E115" s="1114" t="s">
        <v>1880</v>
      </c>
      <c r="F115" s="428"/>
      <c r="G115" s="1114" t="s">
        <v>1880</v>
      </c>
      <c r="H115" s="428"/>
      <c r="I115" s="1114" t="s">
        <v>1880</v>
      </c>
      <c r="J115" s="428"/>
      <c r="K115" s="428"/>
      <c r="L115" s="428"/>
      <c r="M115" s="428"/>
      <c r="N115" s="428"/>
      <c r="O115" s="428"/>
      <c r="P115" s="428"/>
      <c r="Q115" s="1114" t="s">
        <v>2176</v>
      </c>
      <c r="R115" s="428"/>
      <c r="S115" s="428"/>
      <c r="T115" s="428"/>
      <c r="U115" s="428"/>
      <c r="V115" s="805"/>
      <c r="W115" s="806"/>
      <c r="X115" s="807"/>
      <c r="Y115" s="807"/>
      <c r="Z115" s="807"/>
      <c r="AA115" s="808"/>
    </row>
    <row r="116" spans="1:27" s="364" customFormat="1">
      <c r="A116" s="372"/>
      <c r="B116" s="397"/>
      <c r="C116" s="376"/>
      <c r="D116" s="376"/>
      <c r="E116" s="376"/>
      <c r="F116" s="376"/>
      <c r="G116" s="376"/>
      <c r="H116" s="376"/>
      <c r="I116" s="376"/>
      <c r="J116" s="376"/>
      <c r="K116" s="376"/>
      <c r="L116" s="376"/>
      <c r="M116" s="376"/>
      <c r="N116" s="376"/>
      <c r="O116" s="376"/>
      <c r="P116" s="376"/>
      <c r="Q116" s="376"/>
      <c r="R116" s="376"/>
      <c r="S116" s="376"/>
      <c r="T116" s="376"/>
      <c r="U116" s="376"/>
      <c r="V116" s="389"/>
      <c r="W116" s="386"/>
      <c r="X116" s="381"/>
      <c r="Y116" s="381"/>
      <c r="Z116" s="381"/>
      <c r="AA116" s="387"/>
    </row>
    <row r="117" spans="1:27" s="364" customFormat="1" ht="15.75">
      <c r="A117" s="372"/>
      <c r="B117" s="376"/>
      <c r="C117" s="373"/>
      <c r="D117" s="373"/>
      <c r="E117" s="373"/>
      <c r="F117" s="373"/>
      <c r="G117" s="373"/>
      <c r="H117" s="373"/>
      <c r="I117" s="373"/>
      <c r="J117" s="373"/>
      <c r="K117" s="373"/>
      <c r="L117" s="373"/>
      <c r="M117" s="373"/>
      <c r="N117" s="376"/>
      <c r="O117" s="376"/>
      <c r="P117" s="376"/>
      <c r="Q117" s="376"/>
      <c r="R117" s="376" t="s">
        <v>937</v>
      </c>
      <c r="S117" s="376"/>
      <c r="T117" s="376"/>
      <c r="U117" s="376"/>
      <c r="W117" s="362"/>
      <c r="X117" s="362"/>
      <c r="Y117" s="362"/>
      <c r="Z117" s="362"/>
      <c r="AA117" s="363"/>
    </row>
    <row r="118" spans="1:27" s="364" customFormat="1" ht="15" customHeight="1">
      <c r="A118" s="372"/>
      <c r="B118" s="376"/>
      <c r="C118" s="373"/>
      <c r="D118" s="373"/>
      <c r="E118" s="373"/>
      <c r="F118" s="373"/>
      <c r="G118" s="373"/>
      <c r="H118" s="373"/>
      <c r="I118" s="373"/>
      <c r="J118" s="373"/>
      <c r="K118" s="373"/>
      <c r="L118" s="373"/>
      <c r="M118" s="373"/>
      <c r="N118" s="376"/>
      <c r="O118" s="376"/>
      <c r="P118" s="376"/>
      <c r="Q118" s="376"/>
      <c r="R118" s="376"/>
      <c r="S118" s="376"/>
      <c r="T118" s="376"/>
      <c r="U118" s="376"/>
      <c r="W118" s="377"/>
      <c r="X118" s="377"/>
      <c r="Y118" s="377"/>
      <c r="Z118" s="377"/>
      <c r="AA118" s="378"/>
    </row>
    <row r="119" spans="1:27" s="380" customFormat="1" ht="16.5" customHeight="1">
      <c r="A119" s="372"/>
      <c r="B119" s="379">
        <v>181.22</v>
      </c>
      <c r="C119" s="1594"/>
      <c r="D119" s="379">
        <v>205.95</v>
      </c>
      <c r="E119" s="1596"/>
      <c r="F119" s="379">
        <v>311.52</v>
      </c>
      <c r="G119" s="1598"/>
      <c r="H119" s="379">
        <v>218.54</v>
      </c>
      <c r="I119" s="1598"/>
      <c r="J119" s="391">
        <v>153.03</v>
      </c>
      <c r="K119" s="1598"/>
      <c r="L119" s="379">
        <v>364.73</v>
      </c>
      <c r="M119" s="1598"/>
      <c r="N119" s="379">
        <v>224.22</v>
      </c>
      <c r="O119" s="1600"/>
      <c r="P119" s="379">
        <v>210.619</v>
      </c>
      <c r="Q119" s="1602"/>
      <c r="R119" s="379">
        <v>176.79</v>
      </c>
      <c r="S119" s="1562"/>
      <c r="T119" s="379">
        <v>190.21</v>
      </c>
      <c r="U119" s="1562"/>
      <c r="V119" s="380">
        <v>146.15</v>
      </c>
      <c r="W119" s="381">
        <f>SUM(A119:V119)</f>
        <v>2382.9789999999998</v>
      </c>
      <c r="X119" s="381">
        <v>2</v>
      </c>
      <c r="Y119" s="381">
        <v>1</v>
      </c>
      <c r="Z119" s="381">
        <v>0</v>
      </c>
      <c r="AA119" s="382">
        <v>0</v>
      </c>
    </row>
    <row r="120" spans="1:27" s="364" customFormat="1" ht="16.149999999999999" customHeight="1">
      <c r="A120" s="372"/>
      <c r="B120" s="376"/>
      <c r="C120" s="1595"/>
      <c r="D120" s="338"/>
      <c r="E120" s="1597"/>
      <c r="F120" s="338"/>
      <c r="G120" s="1599"/>
      <c r="H120" s="338"/>
      <c r="I120" s="1599"/>
      <c r="J120" s="338"/>
      <c r="K120" s="1599"/>
      <c r="L120" s="338"/>
      <c r="M120" s="1599"/>
      <c r="N120" s="376"/>
      <c r="O120" s="1601"/>
      <c r="P120" s="384"/>
      <c r="Q120" s="1603"/>
      <c r="R120" s="384"/>
      <c r="S120" s="1562"/>
      <c r="T120" s="1565" t="s">
        <v>1000</v>
      </c>
      <c r="U120" s="1562"/>
      <c r="V120" s="337"/>
      <c r="W120" s="386"/>
      <c r="X120" s="381"/>
      <c r="Y120" s="381"/>
      <c r="Z120" s="381"/>
      <c r="AA120" s="387"/>
    </row>
    <row r="121" spans="1:27" s="364" customFormat="1">
      <c r="A121" s="372"/>
      <c r="B121" s="376"/>
      <c r="C121" s="376" t="s">
        <v>213</v>
      </c>
      <c r="D121" s="376"/>
      <c r="E121" s="376" t="s">
        <v>66</v>
      </c>
      <c r="F121" s="376"/>
      <c r="G121" s="388" t="s">
        <v>224</v>
      </c>
      <c r="H121" s="376"/>
      <c r="I121" s="388" t="s">
        <v>67</v>
      </c>
      <c r="J121" s="376"/>
      <c r="K121" s="388" t="s">
        <v>68</v>
      </c>
      <c r="L121" s="376"/>
      <c r="M121" s="388" t="s">
        <v>56</v>
      </c>
      <c r="N121" s="1605" t="s">
        <v>1955</v>
      </c>
      <c r="O121" s="388" t="s">
        <v>60</v>
      </c>
      <c r="P121" s="376"/>
      <c r="Q121" s="388" t="s">
        <v>55</v>
      </c>
      <c r="R121" s="376"/>
      <c r="S121" s="388" t="s">
        <v>59</v>
      </c>
      <c r="T121" s="1604"/>
      <c r="U121" s="388" t="s">
        <v>58</v>
      </c>
      <c r="V121" s="337"/>
      <c r="W121" s="386"/>
      <c r="X121" s="381"/>
      <c r="Y121" s="381"/>
      <c r="Z121" s="381"/>
      <c r="AA121" s="387"/>
    </row>
    <row r="122" spans="1:27" s="364" customFormat="1">
      <c r="A122" s="372"/>
      <c r="B122" s="376"/>
      <c r="C122" s="376" t="s">
        <v>193</v>
      </c>
      <c r="D122" s="376"/>
      <c r="E122" s="376" t="s">
        <v>133</v>
      </c>
      <c r="F122" s="376"/>
      <c r="G122" s="376" t="s">
        <v>133</v>
      </c>
      <c r="H122" s="376"/>
      <c r="I122" s="428" t="s">
        <v>344</v>
      </c>
      <c r="J122" s="631" t="s">
        <v>1025</v>
      </c>
      <c r="K122" s="428" t="s">
        <v>344</v>
      </c>
      <c r="L122" s="376"/>
      <c r="M122" s="428" t="s">
        <v>357</v>
      </c>
      <c r="N122" s="1605"/>
      <c r="O122" s="428" t="s">
        <v>357</v>
      </c>
      <c r="P122" s="376"/>
      <c r="Q122" s="428" t="s">
        <v>357</v>
      </c>
      <c r="R122" s="376"/>
      <c r="S122" s="376" t="s">
        <v>1426</v>
      </c>
      <c r="T122" s="1604"/>
      <c r="U122" s="376" t="s">
        <v>1426</v>
      </c>
      <c r="V122" s="389"/>
      <c r="W122" s="386"/>
      <c r="X122" s="381"/>
      <c r="Y122" s="381"/>
      <c r="Z122" s="381"/>
      <c r="AA122" s="387"/>
    </row>
    <row r="123" spans="1:27" s="364" customFormat="1" ht="38.25" customHeight="1">
      <c r="A123" s="372"/>
      <c r="B123" s="376"/>
      <c r="C123" s="376"/>
      <c r="D123" s="376"/>
      <c r="E123" s="376"/>
      <c r="F123" s="376"/>
      <c r="G123" s="1117" t="s">
        <v>2034</v>
      </c>
      <c r="H123" s="1128"/>
      <c r="I123" s="1117" t="s">
        <v>2034</v>
      </c>
      <c r="J123" s="1129"/>
      <c r="K123" s="1117" t="s">
        <v>2034</v>
      </c>
      <c r="L123" s="1128"/>
      <c r="M123" s="1130" t="s">
        <v>2039</v>
      </c>
      <c r="N123" s="1605"/>
      <c r="O123" s="1130" t="s">
        <v>2040</v>
      </c>
      <c r="P123" s="376"/>
      <c r="Q123" s="376"/>
      <c r="S123" s="1124" t="s">
        <v>2036</v>
      </c>
      <c r="T123" s="1604"/>
      <c r="U123" s="1124" t="s">
        <v>2036</v>
      </c>
      <c r="V123" s="389"/>
      <c r="W123" s="386"/>
      <c r="X123" s="381"/>
      <c r="Y123" s="381"/>
      <c r="Z123" s="381"/>
      <c r="AA123" s="387"/>
    </row>
    <row r="124" spans="1:27" s="364" customFormat="1">
      <c r="A124" s="376"/>
      <c r="B124" s="376" t="s">
        <v>937</v>
      </c>
      <c r="C124" s="376"/>
      <c r="D124" s="376"/>
      <c r="E124" s="376"/>
      <c r="F124" s="376"/>
      <c r="G124" s="376"/>
      <c r="H124" s="376"/>
      <c r="I124" s="373"/>
      <c r="J124" s="373"/>
      <c r="K124" s="373"/>
      <c r="L124" s="373"/>
      <c r="M124" s="373"/>
      <c r="N124" s="373"/>
      <c r="O124" s="373"/>
      <c r="P124" s="373"/>
      <c r="Q124" s="373"/>
      <c r="R124" s="373"/>
      <c r="S124" s="373"/>
      <c r="T124" s="1604"/>
      <c r="U124" s="373"/>
      <c r="V124" s="376"/>
      <c r="W124" s="386"/>
      <c r="X124" s="381"/>
      <c r="Y124" s="381"/>
      <c r="Z124" s="381"/>
      <c r="AA124" s="387"/>
    </row>
    <row r="125" spans="1:27" s="364" customFormat="1">
      <c r="A125" s="376"/>
      <c r="B125" s="376"/>
      <c r="C125" s="376"/>
      <c r="D125" s="376"/>
      <c r="E125" s="376"/>
      <c r="F125" s="376"/>
      <c r="G125" s="376"/>
      <c r="H125" s="397"/>
      <c r="I125" s="373"/>
      <c r="J125" s="373"/>
      <c r="K125" s="373"/>
      <c r="L125" s="373"/>
      <c r="M125" s="373"/>
      <c r="N125" s="373"/>
      <c r="O125" s="373"/>
      <c r="P125" s="373"/>
      <c r="Q125" s="373"/>
      <c r="R125" s="373"/>
      <c r="S125" s="373"/>
      <c r="T125" s="1604"/>
      <c r="U125" s="373"/>
      <c r="V125" s="376"/>
      <c r="W125" s="386"/>
      <c r="X125" s="381"/>
      <c r="Y125" s="381"/>
      <c r="Z125" s="381"/>
      <c r="AA125" s="387"/>
    </row>
    <row r="126" spans="1:27" s="364" customFormat="1">
      <c r="A126" s="1497"/>
      <c r="B126" s="379">
        <v>79.03</v>
      </c>
      <c r="C126" s="1497"/>
      <c r="D126" s="379">
        <v>255.14</v>
      </c>
      <c r="E126" s="1497"/>
      <c r="F126" s="379">
        <v>322.94</v>
      </c>
      <c r="G126" s="1497"/>
      <c r="H126" s="379">
        <v>360.98</v>
      </c>
      <c r="I126" s="1592"/>
      <c r="J126" s="379">
        <v>253.41</v>
      </c>
      <c r="K126" s="1592"/>
      <c r="L126" s="379">
        <v>315</v>
      </c>
      <c r="M126" s="1551"/>
      <c r="N126" s="379">
        <v>297.88</v>
      </c>
      <c r="O126" s="1497"/>
      <c r="P126" s="379">
        <v>420</v>
      </c>
      <c r="Q126" s="1551"/>
      <c r="R126" s="379">
        <v>356</v>
      </c>
      <c r="S126" s="1606" t="s">
        <v>1830</v>
      </c>
      <c r="T126" s="379">
        <v>358</v>
      </c>
      <c r="U126" s="1551"/>
      <c r="W126" s="381">
        <f>SUM(A126:V126)</f>
        <v>3018.38</v>
      </c>
      <c r="X126" s="381">
        <v>11</v>
      </c>
      <c r="Y126" s="381">
        <v>6</v>
      </c>
      <c r="Z126" s="381">
        <v>5</v>
      </c>
      <c r="AA126" s="382">
        <v>0</v>
      </c>
    </row>
    <row r="127" spans="1:27" s="364" customFormat="1" ht="18">
      <c r="A127" s="1497"/>
      <c r="B127" s="384"/>
      <c r="C127" s="1497"/>
      <c r="D127" s="385"/>
      <c r="E127" s="1497"/>
      <c r="F127" s="385"/>
      <c r="G127" s="1497"/>
      <c r="H127" s="397"/>
      <c r="I127" s="1593"/>
      <c r="J127" s="338"/>
      <c r="K127" s="1593"/>
      <c r="L127" s="338"/>
      <c r="M127" s="1552"/>
      <c r="N127" s="338"/>
      <c r="O127" s="1497"/>
      <c r="P127" s="338"/>
      <c r="Q127" s="1552"/>
      <c r="R127" s="338"/>
      <c r="S127" s="1607"/>
      <c r="T127" s="338"/>
      <c r="U127" s="1552"/>
      <c r="V127" s="376"/>
      <c r="W127" s="386"/>
      <c r="X127" s="381"/>
      <c r="Y127" s="381"/>
      <c r="Z127" s="381"/>
      <c r="AA127" s="387"/>
    </row>
    <row r="128" spans="1:27" s="364" customFormat="1">
      <c r="A128" s="428" t="s">
        <v>2072</v>
      </c>
      <c r="B128" s="376"/>
      <c r="C128" s="388" t="s">
        <v>46</v>
      </c>
      <c r="D128" s="376"/>
      <c r="E128" s="388" t="s">
        <v>326</v>
      </c>
      <c r="F128" s="376"/>
      <c r="G128" s="388" t="s">
        <v>47</v>
      </c>
      <c r="H128" s="397"/>
      <c r="I128" s="388" t="s">
        <v>69</v>
      </c>
      <c r="J128" s="376"/>
      <c r="K128" s="388" t="s">
        <v>356</v>
      </c>
      <c r="L128" s="376"/>
      <c r="M128" s="388" t="s">
        <v>811</v>
      </c>
      <c r="N128" s="376"/>
      <c r="O128" s="388" t="s">
        <v>364</v>
      </c>
      <c r="P128" s="376"/>
      <c r="Q128" s="388" t="s">
        <v>803</v>
      </c>
      <c r="R128" s="376"/>
      <c r="S128" s="388" t="s">
        <v>799</v>
      </c>
      <c r="T128" s="376"/>
      <c r="U128" s="388" t="s">
        <v>795</v>
      </c>
      <c r="V128" s="376"/>
      <c r="W128" s="386"/>
      <c r="X128" s="381"/>
      <c r="Y128" s="381"/>
      <c r="Z128" s="381"/>
      <c r="AA128" s="387"/>
    </row>
    <row r="129" spans="1:27" s="364" customFormat="1">
      <c r="A129" s="428" t="s">
        <v>357</v>
      </c>
      <c r="B129" s="376"/>
      <c r="C129" s="376" t="s">
        <v>53</v>
      </c>
      <c r="D129" s="376"/>
      <c r="E129" s="376" t="s">
        <v>133</v>
      </c>
      <c r="F129" s="376"/>
      <c r="G129" s="376" t="s">
        <v>1425</v>
      </c>
      <c r="H129" s="397"/>
      <c r="I129" s="376" t="s">
        <v>337</v>
      </c>
      <c r="J129" s="376"/>
      <c r="K129" s="376" t="s">
        <v>193</v>
      </c>
      <c r="L129" s="376"/>
      <c r="M129" s="376" t="s">
        <v>153</v>
      </c>
      <c r="N129" s="376"/>
      <c r="O129" s="376" t="s">
        <v>133</v>
      </c>
      <c r="P129" s="376"/>
      <c r="Q129" s="376" t="s">
        <v>301</v>
      </c>
      <c r="R129" s="376"/>
      <c r="S129" s="376" t="s">
        <v>153</v>
      </c>
      <c r="T129" s="376"/>
      <c r="U129" s="376" t="s">
        <v>153</v>
      </c>
      <c r="V129" s="376"/>
      <c r="W129" s="386"/>
      <c r="X129" s="381"/>
      <c r="Y129" s="381"/>
      <c r="Z129" s="381"/>
      <c r="AA129" s="387"/>
    </row>
    <row r="130" spans="1:27" s="364" customFormat="1">
      <c r="A130" s="372"/>
      <c r="B130" s="376"/>
      <c r="C130" s="428"/>
      <c r="D130" s="376"/>
      <c r="E130" s="376"/>
      <c r="F130" s="376"/>
      <c r="G130" s="376"/>
      <c r="H130" s="376"/>
      <c r="I130" s="376"/>
      <c r="J130" s="631"/>
      <c r="K130" s="376"/>
      <c r="L130" s="376"/>
      <c r="M130" s="376"/>
      <c r="N130" s="376"/>
      <c r="O130" s="376"/>
      <c r="P130" s="376"/>
      <c r="Q130" s="376"/>
      <c r="T130" s="376"/>
      <c r="U130" s="376"/>
      <c r="V130" s="389"/>
      <c r="W130" s="386"/>
      <c r="X130" s="381"/>
      <c r="Y130" s="381"/>
      <c r="Z130" s="381"/>
      <c r="AA130" s="387"/>
    </row>
    <row r="131" spans="1:27" s="364" customFormat="1" ht="17.25" customHeight="1">
      <c r="A131" s="390"/>
      <c r="B131" s="376"/>
      <c r="C131" s="376"/>
      <c r="D131" s="376"/>
      <c r="E131" s="376"/>
      <c r="F131" s="376"/>
      <c r="G131" s="376"/>
      <c r="H131" s="376"/>
      <c r="I131" s="376"/>
      <c r="J131" s="376"/>
      <c r="K131" s="376"/>
      <c r="L131" s="376"/>
      <c r="M131" s="376"/>
      <c r="N131" s="376"/>
      <c r="O131" s="376"/>
      <c r="P131" s="376"/>
      <c r="V131" s="389"/>
      <c r="W131" s="386"/>
      <c r="X131" s="381"/>
      <c r="Y131" s="381"/>
      <c r="Z131" s="381"/>
      <c r="AA131" s="387"/>
    </row>
    <row r="132" spans="1:27" s="364" customFormat="1" ht="15.75">
      <c r="A132" s="372"/>
      <c r="C132" s="376"/>
      <c r="D132" s="376" t="s">
        <v>937</v>
      </c>
      <c r="E132" s="376"/>
      <c r="F132" s="376"/>
      <c r="G132" s="376"/>
      <c r="H132" s="397"/>
      <c r="I132" s="373"/>
      <c r="J132" s="373"/>
      <c r="K132" s="373"/>
      <c r="L132" s="373"/>
      <c r="M132" s="373"/>
      <c r="N132" s="373"/>
      <c r="O132" s="373"/>
      <c r="P132" s="373"/>
      <c r="Q132" s="373"/>
      <c r="R132" s="373"/>
      <c r="S132" s="373"/>
      <c r="T132" s="373"/>
      <c r="U132" s="373"/>
      <c r="V132" s="376"/>
      <c r="W132" s="362"/>
      <c r="X132" s="362"/>
      <c r="Y132" s="362"/>
      <c r="Z132" s="362"/>
      <c r="AA132" s="363"/>
    </row>
    <row r="133" spans="1:27" s="364" customFormat="1">
      <c r="A133" s="372"/>
      <c r="C133" s="376"/>
      <c r="D133" s="376"/>
      <c r="E133" s="376"/>
      <c r="F133" s="376"/>
      <c r="G133" s="376"/>
      <c r="H133" s="397"/>
      <c r="I133" s="373"/>
      <c r="J133" s="373"/>
      <c r="K133" s="373"/>
      <c r="L133" s="373"/>
      <c r="M133" s="373"/>
      <c r="N133" s="373"/>
      <c r="O133" s="373"/>
      <c r="P133" s="373"/>
      <c r="Q133" s="373"/>
      <c r="R133" s="373"/>
      <c r="S133" s="373"/>
      <c r="T133" s="373"/>
      <c r="U133" s="373"/>
      <c r="V133" s="376"/>
      <c r="W133" s="377"/>
      <c r="X133" s="377"/>
      <c r="Y133" s="377"/>
      <c r="Z133" s="377"/>
      <c r="AA133" s="378"/>
    </row>
    <row r="134" spans="1:27" s="380" customFormat="1" ht="13.9" customHeight="1">
      <c r="A134" s="390"/>
      <c r="B134" s="379">
        <v>317.52</v>
      </c>
      <c r="C134" s="1497"/>
      <c r="D134" s="379">
        <v>269</v>
      </c>
      <c r="E134" s="1551"/>
      <c r="F134" s="379">
        <v>240.13</v>
      </c>
      <c r="G134" s="1497"/>
      <c r="H134" s="375">
        <v>351</v>
      </c>
      <c r="I134" s="1551"/>
      <c r="J134" s="379">
        <v>357.01</v>
      </c>
      <c r="K134" s="1497"/>
      <c r="L134" s="379">
        <v>397.81</v>
      </c>
      <c r="M134" s="1497"/>
      <c r="N134" s="379">
        <v>299</v>
      </c>
      <c r="O134" s="1606" t="s">
        <v>1657</v>
      </c>
      <c r="P134" s="379">
        <v>382.3</v>
      </c>
      <c r="Q134" s="1570" t="s">
        <v>1827</v>
      </c>
      <c r="R134" s="379">
        <v>348.04</v>
      </c>
      <c r="S134" s="1497"/>
      <c r="T134" s="379">
        <v>278.55</v>
      </c>
      <c r="U134" s="1497"/>
      <c r="W134" s="381">
        <f>SUM(A134:V134)</f>
        <v>3240.3600000000006</v>
      </c>
      <c r="X134" s="381">
        <v>10</v>
      </c>
      <c r="Y134" s="381">
        <v>9</v>
      </c>
      <c r="Z134" s="381">
        <v>7</v>
      </c>
      <c r="AA134" s="382">
        <v>0</v>
      </c>
    </row>
    <row r="135" spans="1:27" s="364" customFormat="1" ht="16.149999999999999" customHeight="1">
      <c r="A135" s="372"/>
      <c r="C135" s="1497"/>
      <c r="D135" s="384"/>
      <c r="E135" s="1552"/>
      <c r="F135" s="385"/>
      <c r="G135" s="1497"/>
      <c r="H135" s="397"/>
      <c r="I135" s="1552"/>
      <c r="J135" s="338"/>
      <c r="K135" s="1497"/>
      <c r="L135" s="338"/>
      <c r="M135" s="1497"/>
      <c r="N135" s="338"/>
      <c r="O135" s="1607"/>
      <c r="P135" s="338"/>
      <c r="Q135" s="1570"/>
      <c r="R135" s="338"/>
      <c r="S135" s="1497"/>
      <c r="T135" s="338"/>
      <c r="U135" s="1497"/>
      <c r="V135" s="1565"/>
      <c r="W135" s="386"/>
      <c r="X135" s="381"/>
      <c r="Y135" s="381"/>
      <c r="Z135" s="381"/>
      <c r="AA135" s="387"/>
    </row>
    <row r="136" spans="1:27" s="364" customFormat="1">
      <c r="A136" s="372"/>
      <c r="C136" s="388" t="s">
        <v>371</v>
      </c>
      <c r="D136" s="376"/>
      <c r="E136" s="388" t="s">
        <v>376</v>
      </c>
      <c r="F136" s="376"/>
      <c r="G136" s="388" t="s">
        <v>70</v>
      </c>
      <c r="H136" s="397"/>
      <c r="I136" s="388" t="s">
        <v>384</v>
      </c>
      <c r="J136" s="376"/>
      <c r="K136" s="388" t="s">
        <v>393</v>
      </c>
      <c r="L136" s="376"/>
      <c r="M136" s="388" t="s">
        <v>416</v>
      </c>
      <c r="N136" s="376"/>
      <c r="O136" s="388" t="s">
        <v>421</v>
      </c>
      <c r="P136" s="376"/>
      <c r="Q136" s="388" t="s">
        <v>71</v>
      </c>
      <c r="R136" s="376"/>
      <c r="S136" s="388" t="s">
        <v>436</v>
      </c>
      <c r="T136" s="376"/>
      <c r="U136" s="388" t="s">
        <v>443</v>
      </c>
      <c r="V136" s="1604"/>
      <c r="W136" s="386"/>
      <c r="X136" s="381"/>
      <c r="Y136" s="381"/>
      <c r="Z136" s="381"/>
      <c r="AA136" s="387"/>
    </row>
    <row r="137" spans="1:27" s="364" customFormat="1">
      <c r="A137" s="372"/>
      <c r="C137" s="376" t="s">
        <v>133</v>
      </c>
      <c r="D137" s="376"/>
      <c r="E137" s="376" t="s">
        <v>153</v>
      </c>
      <c r="F137" s="376"/>
      <c r="G137" s="376" t="s">
        <v>167</v>
      </c>
      <c r="H137" s="397"/>
      <c r="I137" s="376" t="s">
        <v>153</v>
      </c>
      <c r="J137" s="376"/>
      <c r="K137" s="376" t="s">
        <v>245</v>
      </c>
      <c r="L137" s="376"/>
      <c r="M137" s="376" t="s">
        <v>133</v>
      </c>
      <c r="N137" s="376"/>
      <c r="O137" s="376" t="s">
        <v>301</v>
      </c>
      <c r="P137" s="376"/>
      <c r="Q137" s="376" t="s">
        <v>344</v>
      </c>
      <c r="R137" s="376"/>
      <c r="S137" s="376" t="s">
        <v>133</v>
      </c>
      <c r="T137" s="376"/>
      <c r="U137" s="376" t="s">
        <v>133</v>
      </c>
      <c r="V137" s="1604"/>
      <c r="W137" s="386"/>
      <c r="X137" s="381"/>
      <c r="Y137" s="381"/>
      <c r="Z137" s="381"/>
      <c r="AA137" s="387"/>
    </row>
    <row r="138" spans="1:27" s="364" customFormat="1" ht="17.25" customHeight="1">
      <c r="A138" s="390"/>
      <c r="B138" s="376"/>
      <c r="C138" s="376"/>
      <c r="D138" s="376"/>
      <c r="E138" s="376"/>
      <c r="F138" s="376"/>
      <c r="G138" s="376"/>
      <c r="H138" s="397"/>
      <c r="I138" s="376"/>
      <c r="J138" s="376"/>
      <c r="K138" s="376"/>
      <c r="L138" s="376"/>
      <c r="M138" s="376"/>
      <c r="N138" s="376"/>
      <c r="O138" s="376"/>
      <c r="P138" s="376"/>
      <c r="Q138" s="376"/>
      <c r="R138" s="376"/>
      <c r="S138" s="376"/>
      <c r="T138" s="376"/>
      <c r="U138" s="376"/>
      <c r="V138" s="1604"/>
      <c r="W138" s="386"/>
      <c r="X138" s="381"/>
      <c r="Y138" s="381"/>
      <c r="Z138" s="381"/>
      <c r="AA138" s="387"/>
    </row>
    <row r="139" spans="1:27" s="364" customFormat="1">
      <c r="A139" s="372"/>
      <c r="B139" s="397"/>
      <c r="C139" s="376"/>
      <c r="D139" s="376"/>
      <c r="E139" s="376"/>
      <c r="F139" s="376"/>
      <c r="G139" s="376"/>
      <c r="H139" s="376"/>
      <c r="I139" s="376"/>
      <c r="V139" s="389"/>
      <c r="W139" s="386"/>
      <c r="X139" s="381"/>
      <c r="Y139" s="381"/>
      <c r="Z139" s="381"/>
      <c r="AA139" s="387"/>
    </row>
    <row r="140" spans="1:27" s="364" customFormat="1" ht="15.75">
      <c r="A140" s="372"/>
      <c r="C140" s="376"/>
      <c r="D140" s="376" t="s">
        <v>937</v>
      </c>
      <c r="E140" s="376"/>
      <c r="F140" s="376"/>
      <c r="G140" s="376"/>
      <c r="I140" s="373"/>
      <c r="J140" s="373"/>
      <c r="K140" s="373"/>
      <c r="L140" s="373"/>
      <c r="M140" s="373"/>
      <c r="N140" s="373"/>
      <c r="O140" s="373"/>
      <c r="P140" s="373"/>
      <c r="Q140" s="373"/>
      <c r="R140" s="397"/>
      <c r="S140" s="373"/>
      <c r="T140" s="373"/>
      <c r="U140" s="373"/>
      <c r="V140" s="373"/>
      <c r="W140" s="362"/>
      <c r="X140" s="362"/>
      <c r="Y140" s="362"/>
      <c r="Z140" s="362"/>
      <c r="AA140" s="363"/>
    </row>
    <row r="141" spans="1:27" s="364" customFormat="1">
      <c r="A141" s="372"/>
      <c r="C141" s="376"/>
      <c r="D141" s="376"/>
      <c r="E141" s="376"/>
      <c r="F141" s="376"/>
      <c r="G141" s="376"/>
      <c r="I141" s="373"/>
      <c r="J141" s="373"/>
      <c r="K141" s="373"/>
      <c r="L141" s="373"/>
      <c r="M141" s="373"/>
      <c r="N141" s="373"/>
      <c r="O141" s="373"/>
      <c r="P141" s="373"/>
      <c r="Q141" s="373"/>
      <c r="R141" s="397"/>
      <c r="S141" s="373"/>
      <c r="T141" s="373"/>
      <c r="U141" s="373"/>
      <c r="V141" s="373"/>
      <c r="W141" s="377"/>
      <c r="X141" s="377"/>
      <c r="Y141" s="377"/>
      <c r="Z141" s="377"/>
      <c r="AA141" s="378"/>
    </row>
    <row r="142" spans="1:27" s="380" customFormat="1" ht="13.9" customHeight="1">
      <c r="A142" s="390"/>
      <c r="B142" s="379">
        <v>213.96</v>
      </c>
      <c r="C142" s="1562"/>
      <c r="D142" s="379">
        <v>243.72</v>
      </c>
      <c r="E142" s="1497"/>
      <c r="F142" s="379">
        <v>330</v>
      </c>
      <c r="G142" s="1551"/>
      <c r="H142" s="379">
        <v>283.11</v>
      </c>
      <c r="I142" s="1608"/>
      <c r="J142" s="379">
        <v>375</v>
      </c>
      <c r="K142" s="1551"/>
      <c r="L142" s="379">
        <v>406.01</v>
      </c>
      <c r="M142" s="1608"/>
      <c r="N142" s="379">
        <v>398</v>
      </c>
      <c r="O142" s="1608"/>
      <c r="P142" s="379">
        <v>335</v>
      </c>
      <c r="Q142" s="1545"/>
      <c r="R142" s="379">
        <v>402.9</v>
      </c>
      <c r="S142" s="1608"/>
      <c r="T142" s="379">
        <v>385.2</v>
      </c>
      <c r="U142" s="1608"/>
      <c r="W142" s="381">
        <f>SUM(A142:V142)</f>
        <v>3372.9</v>
      </c>
      <c r="X142" s="381">
        <v>8</v>
      </c>
      <c r="Y142" s="381">
        <v>7</v>
      </c>
      <c r="Z142" s="381">
        <v>7</v>
      </c>
      <c r="AA142" s="382">
        <v>0</v>
      </c>
    </row>
    <row r="143" spans="1:27" s="364" customFormat="1" ht="16.149999999999999" customHeight="1">
      <c r="A143" s="372"/>
      <c r="C143" s="1562"/>
      <c r="D143" s="384"/>
      <c r="E143" s="1497"/>
      <c r="F143" s="385"/>
      <c r="G143" s="1552"/>
      <c r="I143" s="1608"/>
      <c r="J143" s="338"/>
      <c r="K143" s="1552"/>
      <c r="L143" s="338"/>
      <c r="M143" s="1608"/>
      <c r="N143" s="338"/>
      <c r="O143" s="1608"/>
      <c r="P143" s="338"/>
      <c r="Q143" s="1546"/>
      <c r="R143" s="397"/>
      <c r="S143" s="1608"/>
      <c r="T143" s="338"/>
      <c r="U143" s="1608"/>
      <c r="V143" s="338"/>
      <c r="W143" s="386"/>
      <c r="X143" s="381"/>
      <c r="Y143" s="381"/>
      <c r="Z143" s="381"/>
      <c r="AA143" s="387"/>
    </row>
    <row r="144" spans="1:27" s="364" customFormat="1">
      <c r="A144" s="372"/>
      <c r="C144" s="388" t="s">
        <v>72</v>
      </c>
      <c r="D144" s="376"/>
      <c r="E144" s="388" t="s">
        <v>457</v>
      </c>
      <c r="F144" s="376"/>
      <c r="G144" s="388" t="s">
        <v>1873</v>
      </c>
      <c r="I144" s="388" t="s">
        <v>73</v>
      </c>
      <c r="J144" s="376"/>
      <c r="K144" s="388" t="s">
        <v>1853</v>
      </c>
      <c r="L144" s="376"/>
      <c r="M144" s="388" t="s">
        <v>1168</v>
      </c>
      <c r="N144" s="376"/>
      <c r="O144" s="388" t="s">
        <v>1206</v>
      </c>
      <c r="P144" s="376"/>
      <c r="Q144" s="388" t="s">
        <v>1874</v>
      </c>
      <c r="R144" s="397"/>
      <c r="S144" s="388" t="s">
        <v>44</v>
      </c>
      <c r="T144" s="376"/>
      <c r="U144" s="388" t="s">
        <v>40</v>
      </c>
      <c r="V144" s="376"/>
      <c r="W144" s="386"/>
      <c r="X144" s="381"/>
      <c r="Y144" s="381"/>
      <c r="Z144" s="381"/>
      <c r="AA144" s="387"/>
    </row>
    <row r="145" spans="1:27" s="364" customFormat="1">
      <c r="A145" s="372"/>
      <c r="C145" s="376" t="s">
        <v>133</v>
      </c>
      <c r="D145" s="376"/>
      <c r="E145" s="376" t="s">
        <v>133</v>
      </c>
      <c r="F145" s="376"/>
      <c r="G145" s="376" t="s">
        <v>34</v>
      </c>
      <c r="I145" s="376" t="s">
        <v>50</v>
      </c>
      <c r="J145" s="376"/>
      <c r="K145" s="376" t="s">
        <v>251</v>
      </c>
      <c r="L145" s="376"/>
      <c r="M145" s="376" t="s">
        <v>344</v>
      </c>
      <c r="N145" s="376"/>
      <c r="O145" s="376" t="s">
        <v>1181</v>
      </c>
      <c r="P145" s="376"/>
      <c r="Q145" s="376" t="s">
        <v>187</v>
      </c>
      <c r="R145" s="397"/>
      <c r="S145" s="376" t="s">
        <v>357</v>
      </c>
      <c r="T145" s="376"/>
      <c r="U145" s="376" t="s">
        <v>257</v>
      </c>
      <c r="V145" s="376"/>
      <c r="W145" s="386"/>
      <c r="X145" s="381"/>
      <c r="Y145" s="381"/>
      <c r="Z145" s="381"/>
      <c r="AA145" s="387"/>
    </row>
    <row r="146" spans="1:27" s="364" customFormat="1" ht="23.25" customHeight="1">
      <c r="A146" s="372"/>
      <c r="C146" s="1127" t="s">
        <v>1956</v>
      </c>
      <c r="D146" s="376"/>
      <c r="E146" s="376"/>
      <c r="F146" s="376"/>
      <c r="G146" s="376"/>
      <c r="V146" s="389"/>
      <c r="W146" s="386"/>
      <c r="X146" s="381"/>
      <c r="Y146" s="381"/>
      <c r="Z146" s="381"/>
      <c r="AA146" s="387"/>
    </row>
    <row r="147" spans="1:27" s="1126" customFormat="1" ht="38.25" customHeight="1">
      <c r="A147" s="1120"/>
      <c r="C147" s="1124" t="s">
        <v>2036</v>
      </c>
      <c r="D147" s="384"/>
      <c r="E147" s="384"/>
      <c r="F147" s="384"/>
      <c r="G147" s="384"/>
      <c r="V147" s="1131"/>
      <c r="W147" s="386"/>
      <c r="X147" s="381"/>
      <c r="Y147" s="381"/>
      <c r="Z147" s="381"/>
      <c r="AA147" s="387"/>
    </row>
    <row r="148" spans="1:27" s="364" customFormat="1" ht="15.75">
      <c r="A148" s="372"/>
      <c r="C148" s="373"/>
      <c r="D148" s="373"/>
      <c r="E148" s="373"/>
      <c r="F148" s="373"/>
      <c r="G148" s="373"/>
      <c r="H148" s="373"/>
      <c r="I148" s="373"/>
      <c r="J148" s="373"/>
      <c r="K148" s="373"/>
      <c r="L148" s="376"/>
      <c r="M148" s="376"/>
      <c r="N148" s="376" t="s">
        <v>937</v>
      </c>
      <c r="O148" s="376"/>
      <c r="P148" s="376"/>
      <c r="Q148" s="376"/>
      <c r="R148" s="397"/>
      <c r="S148" s="373"/>
      <c r="T148" s="373"/>
      <c r="U148" s="373"/>
      <c r="W148" s="362"/>
      <c r="X148" s="362"/>
      <c r="Y148" s="362"/>
      <c r="Z148" s="362"/>
      <c r="AA148" s="363"/>
    </row>
    <row r="149" spans="1:27" s="364" customFormat="1">
      <c r="A149" s="372"/>
      <c r="C149" s="373"/>
      <c r="D149" s="373"/>
      <c r="E149" s="373"/>
      <c r="F149" s="373"/>
      <c r="G149" s="373"/>
      <c r="H149" s="373"/>
      <c r="I149" s="373"/>
      <c r="J149" s="373"/>
      <c r="K149" s="373"/>
      <c r="L149" s="376"/>
      <c r="M149" s="376"/>
      <c r="N149" s="376"/>
      <c r="O149" s="376"/>
      <c r="P149" s="376"/>
      <c r="Q149" s="376"/>
      <c r="R149" s="397"/>
      <c r="S149" s="373"/>
      <c r="T149" s="373"/>
      <c r="U149" s="373"/>
      <c r="W149" s="377"/>
      <c r="X149" s="377"/>
      <c r="Y149" s="377"/>
      <c r="Z149" s="377"/>
      <c r="AA149" s="378"/>
    </row>
    <row r="150" spans="1:27" s="380" customFormat="1" ht="13.9" customHeight="1">
      <c r="A150" s="390"/>
      <c r="B150" s="379">
        <v>378.47</v>
      </c>
      <c r="C150" s="1611"/>
      <c r="D150" s="379">
        <v>413</v>
      </c>
      <c r="E150" s="1098"/>
      <c r="F150" s="379">
        <v>386</v>
      </c>
      <c r="G150" s="1083"/>
      <c r="H150" s="379">
        <v>398</v>
      </c>
      <c r="I150" s="1083"/>
      <c r="J150" s="379">
        <v>401</v>
      </c>
      <c r="K150" s="1098"/>
      <c r="L150" s="379">
        <v>367</v>
      </c>
      <c r="M150" s="1083"/>
      <c r="N150" s="379">
        <v>432.74</v>
      </c>
      <c r="O150" s="1583" t="s">
        <v>1657</v>
      </c>
      <c r="P150" s="379">
        <v>337.08</v>
      </c>
      <c r="Q150" s="1497"/>
      <c r="R150" s="379">
        <v>315</v>
      </c>
      <c r="S150" s="1551"/>
      <c r="T150" s="379">
        <v>316.64999999999998</v>
      </c>
      <c r="U150" s="1497"/>
      <c r="W150" s="381">
        <f>SUM(A150:V150)</f>
        <v>3744.94</v>
      </c>
      <c r="X150" s="381">
        <v>9</v>
      </c>
      <c r="Y150" s="381">
        <v>4</v>
      </c>
      <c r="Z150" s="381">
        <v>2</v>
      </c>
      <c r="AA150" s="382">
        <v>0</v>
      </c>
    </row>
    <row r="151" spans="1:27" s="364" customFormat="1" ht="16.149999999999999" customHeight="1">
      <c r="A151" s="372"/>
      <c r="C151" s="1612"/>
      <c r="D151" s="338"/>
      <c r="E151" s="1099"/>
      <c r="F151" s="338"/>
      <c r="G151" s="1084"/>
      <c r="H151" s="338"/>
      <c r="I151" s="1084"/>
      <c r="J151" s="338"/>
      <c r="K151" s="1099"/>
      <c r="L151" s="376"/>
      <c r="M151" s="1084"/>
      <c r="N151" s="384"/>
      <c r="O151" s="1584"/>
      <c r="P151" s="385"/>
      <c r="Q151" s="1497"/>
      <c r="R151" s="397"/>
      <c r="S151" s="1552"/>
      <c r="T151" s="338"/>
      <c r="U151" s="1497"/>
      <c r="V151" s="337"/>
      <c r="W151" s="386"/>
      <c r="X151" s="381"/>
      <c r="Y151" s="381"/>
      <c r="Z151" s="381"/>
      <c r="AA151" s="387"/>
    </row>
    <row r="152" spans="1:27" s="364" customFormat="1">
      <c r="A152" s="372"/>
      <c r="C152" s="388" t="s">
        <v>74</v>
      </c>
      <c r="D152" s="376"/>
      <c r="E152" s="388" t="s">
        <v>729</v>
      </c>
      <c r="F152" s="376"/>
      <c r="G152" s="388" t="s">
        <v>726</v>
      </c>
      <c r="H152" s="376"/>
      <c r="I152" s="388" t="s">
        <v>722</v>
      </c>
      <c r="J152" s="376"/>
      <c r="K152" s="388" t="s">
        <v>718</v>
      </c>
      <c r="L152" s="376"/>
      <c r="M152" s="388" t="s">
        <v>713</v>
      </c>
      <c r="N152" s="376"/>
      <c r="O152" s="388" t="s">
        <v>54</v>
      </c>
      <c r="P152" s="376"/>
      <c r="Q152" s="388" t="s">
        <v>704</v>
      </c>
      <c r="R152" s="397"/>
      <c r="S152" s="388" t="s">
        <v>699</v>
      </c>
      <c r="T152" s="376"/>
      <c r="U152" s="388" t="s">
        <v>75</v>
      </c>
      <c r="V152" s="337"/>
      <c r="W152" s="386"/>
      <c r="X152" s="381"/>
      <c r="Y152" s="381"/>
      <c r="Z152" s="381"/>
      <c r="AA152" s="387"/>
    </row>
    <row r="153" spans="1:27" s="364" customFormat="1">
      <c r="A153" s="372"/>
      <c r="C153" s="376" t="s">
        <v>193</v>
      </c>
      <c r="D153" s="376"/>
      <c r="E153" s="376" t="s">
        <v>301</v>
      </c>
      <c r="F153" s="376"/>
      <c r="G153" s="376" t="s">
        <v>187</v>
      </c>
      <c r="H153" s="376"/>
      <c r="I153" s="376" t="s">
        <v>153</v>
      </c>
      <c r="J153" s="376"/>
      <c r="K153" s="376" t="s">
        <v>187</v>
      </c>
      <c r="L153" s="376"/>
      <c r="M153" s="376" t="s">
        <v>187</v>
      </c>
      <c r="N153" s="376"/>
      <c r="O153" s="376" t="s">
        <v>337</v>
      </c>
      <c r="P153" s="376"/>
      <c r="Q153" s="376" t="s">
        <v>167</v>
      </c>
      <c r="R153" s="397"/>
      <c r="S153" s="376" t="s">
        <v>153</v>
      </c>
      <c r="T153" s="376"/>
      <c r="U153" s="376" t="s">
        <v>133</v>
      </c>
      <c r="V153" s="389"/>
      <c r="W153" s="386"/>
      <c r="X153" s="381"/>
      <c r="Y153" s="381"/>
      <c r="Z153" s="381"/>
      <c r="AA153" s="387"/>
    </row>
    <row r="154" spans="1:27" s="364" customFormat="1">
      <c r="A154" s="372"/>
      <c r="B154" s="397"/>
      <c r="C154" s="376"/>
      <c r="D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6"/>
      <c r="P154" s="376"/>
      <c r="Q154" s="376"/>
      <c r="R154" s="376"/>
      <c r="S154" s="376"/>
      <c r="T154" s="376"/>
      <c r="U154" s="376"/>
      <c r="V154" s="389"/>
      <c r="W154" s="386"/>
      <c r="X154" s="381"/>
      <c r="Y154" s="381"/>
      <c r="Z154" s="381"/>
      <c r="AA154" s="387"/>
    </row>
    <row r="155" spans="1:27" s="364" customFormat="1" ht="15.75">
      <c r="A155" s="372"/>
      <c r="B155" s="373"/>
      <c r="C155" s="373"/>
      <c r="D155" s="373"/>
      <c r="E155" s="373"/>
      <c r="F155" s="373"/>
      <c r="G155" s="373"/>
      <c r="H155" s="373"/>
      <c r="I155" s="373"/>
      <c r="J155" s="373"/>
      <c r="K155" s="373"/>
      <c r="L155" s="376"/>
      <c r="M155" s="376"/>
      <c r="N155" s="376"/>
      <c r="O155" s="376"/>
      <c r="P155" s="376"/>
      <c r="Q155" s="376"/>
      <c r="W155" s="362"/>
      <c r="X155" s="362"/>
      <c r="Y155" s="362"/>
      <c r="Z155" s="362"/>
      <c r="AA155" s="363"/>
    </row>
    <row r="156" spans="1:27" s="364" customFormat="1">
      <c r="A156" s="372"/>
      <c r="B156" s="373"/>
      <c r="C156" s="373"/>
      <c r="D156" s="373"/>
      <c r="E156" s="373"/>
      <c r="F156" s="373"/>
      <c r="G156" s="373"/>
      <c r="H156" s="373"/>
      <c r="I156" s="373"/>
      <c r="J156" s="373"/>
      <c r="K156" s="373"/>
      <c r="L156" s="376"/>
      <c r="M156" s="376"/>
      <c r="N156" s="376"/>
      <c r="O156" s="376"/>
      <c r="P156" s="376"/>
      <c r="Q156" s="376"/>
      <c r="W156" s="377"/>
      <c r="X156" s="377"/>
      <c r="Y156" s="377"/>
      <c r="Z156" s="377"/>
      <c r="AA156" s="378"/>
    </row>
    <row r="157" spans="1:27" s="380" customFormat="1" ht="13.9" customHeight="1">
      <c r="A157" s="390"/>
      <c r="B157" s="379">
        <v>377.05</v>
      </c>
      <c r="C157" s="1609"/>
      <c r="D157" s="379">
        <v>346.1</v>
      </c>
      <c r="E157" s="1609"/>
      <c r="F157" s="379">
        <v>340.88</v>
      </c>
      <c r="G157" s="1609"/>
      <c r="H157" s="379">
        <v>338.93</v>
      </c>
      <c r="I157" s="1600"/>
      <c r="J157" s="379">
        <v>299.95</v>
      </c>
      <c r="K157" s="1600"/>
      <c r="L157" s="379">
        <v>318</v>
      </c>
      <c r="M157" s="1562"/>
      <c r="N157" s="376"/>
      <c r="O157" s="376"/>
      <c r="P157" s="376"/>
      <c r="Q157" s="376"/>
      <c r="W157" s="381">
        <f>SUM(A157:V157)</f>
        <v>2020.9100000000003</v>
      </c>
      <c r="X157" s="381">
        <v>3</v>
      </c>
      <c r="Y157" s="381">
        <v>2</v>
      </c>
      <c r="Z157" s="381">
        <v>1</v>
      </c>
      <c r="AA157" s="382">
        <v>0</v>
      </c>
    </row>
    <row r="158" spans="1:27" s="364" customFormat="1" ht="16.149999999999999" customHeight="1">
      <c r="A158" s="372"/>
      <c r="B158" s="338"/>
      <c r="C158" s="1610"/>
      <c r="D158" s="338"/>
      <c r="E158" s="1610"/>
      <c r="F158" s="338"/>
      <c r="G158" s="1610"/>
      <c r="H158" s="338"/>
      <c r="I158" s="1601"/>
      <c r="J158" s="338"/>
      <c r="K158" s="1601"/>
      <c r="L158" s="376"/>
      <c r="M158" s="1562"/>
      <c r="N158" s="376"/>
      <c r="O158" s="376"/>
      <c r="P158" s="376"/>
      <c r="Q158" s="376"/>
      <c r="V158" s="337"/>
      <c r="W158" s="386"/>
      <c r="X158" s="381"/>
      <c r="Y158" s="381"/>
      <c r="Z158" s="381"/>
      <c r="AA158" s="387"/>
    </row>
    <row r="159" spans="1:27" s="364" customFormat="1">
      <c r="A159" s="372"/>
      <c r="B159" s="376"/>
      <c r="C159" s="388" t="s">
        <v>689</v>
      </c>
      <c r="D159" s="376"/>
      <c r="E159" s="388" t="s">
        <v>51</v>
      </c>
      <c r="F159" s="376"/>
      <c r="G159" s="388" t="s">
        <v>76</v>
      </c>
      <c r="H159" s="376"/>
      <c r="I159" s="388" t="s">
        <v>77</v>
      </c>
      <c r="J159" s="376"/>
      <c r="K159" s="388" t="s">
        <v>78</v>
      </c>
      <c r="L159" s="376"/>
      <c r="M159" s="376" t="s">
        <v>996</v>
      </c>
      <c r="N159" s="376"/>
      <c r="O159" s="376"/>
      <c r="P159" s="376"/>
      <c r="Q159" s="376"/>
      <c r="V159" s="337"/>
      <c r="W159" s="386"/>
      <c r="X159" s="381"/>
      <c r="Y159" s="381"/>
      <c r="Z159" s="381"/>
      <c r="AA159" s="387"/>
    </row>
    <row r="160" spans="1:27" s="364" customFormat="1">
      <c r="A160" s="372"/>
      <c r="B160" s="376"/>
      <c r="C160" s="376" t="s">
        <v>344</v>
      </c>
      <c r="D160" s="376"/>
      <c r="E160" s="376" t="s">
        <v>133</v>
      </c>
      <c r="F160" s="376"/>
      <c r="G160" s="376" t="s">
        <v>344</v>
      </c>
      <c r="H160" s="376"/>
      <c r="I160" s="376" t="s">
        <v>344</v>
      </c>
      <c r="J160" s="376"/>
      <c r="K160" s="376" t="s">
        <v>344</v>
      </c>
      <c r="L160" s="376"/>
      <c r="M160" s="376"/>
      <c r="N160" s="376"/>
      <c r="O160" s="376"/>
      <c r="P160" s="376"/>
      <c r="Q160" s="376"/>
      <c r="R160" s="380"/>
      <c r="V160" s="389"/>
      <c r="W160" s="386"/>
      <c r="X160" s="381"/>
      <c r="Y160" s="381"/>
      <c r="Z160" s="381"/>
      <c r="AA160" s="387"/>
    </row>
    <row r="161" spans="1:27" s="364" customFormat="1" ht="46.5" customHeight="1">
      <c r="A161" s="390"/>
      <c r="B161" s="376"/>
      <c r="C161" s="376"/>
      <c r="D161" s="376"/>
      <c r="E161" s="428"/>
      <c r="F161" s="376"/>
      <c r="G161" s="376"/>
      <c r="H161" s="376"/>
      <c r="I161" s="1124" t="s">
        <v>2038</v>
      </c>
      <c r="J161" s="428"/>
      <c r="K161" s="1124" t="s">
        <v>2038</v>
      </c>
      <c r="L161" s="376"/>
      <c r="M161" s="376"/>
      <c r="N161" s="376"/>
      <c r="O161" s="376"/>
      <c r="P161" s="376"/>
      <c r="Q161" s="376"/>
      <c r="R161" s="376"/>
      <c r="S161" s="376"/>
      <c r="T161" s="376"/>
      <c r="U161" s="376"/>
      <c r="V161" s="389"/>
      <c r="W161" s="386"/>
      <c r="X161" s="381"/>
      <c r="Y161" s="381"/>
      <c r="Z161" s="381"/>
      <c r="AA161" s="387"/>
    </row>
    <row r="162" spans="1:27" s="337" customFormat="1" ht="24" thickBot="1">
      <c r="A162" s="340"/>
      <c r="P162" s="392" t="s">
        <v>954</v>
      </c>
      <c r="W162" s="393">
        <f>SUM(W109:W161)/1000</f>
        <v>20.102022000000002</v>
      </c>
      <c r="X162" s="394">
        <f>SUM(X110:X161)</f>
        <v>46</v>
      </c>
      <c r="Y162" s="394">
        <f>SUM(Y110:Y161)</f>
        <v>30</v>
      </c>
      <c r="Z162" s="394">
        <f>SUM(Z110:Z161)</f>
        <v>22</v>
      </c>
      <c r="AA162" s="394">
        <f>SUM(AA110:AA161)</f>
        <v>0</v>
      </c>
    </row>
    <row r="163" spans="1:27" s="337" customFormat="1" ht="6.75" customHeight="1" thickBot="1">
      <c r="A163" s="1580"/>
      <c r="B163" s="1581"/>
      <c r="C163" s="1581"/>
      <c r="D163" s="1581"/>
      <c r="E163" s="1581"/>
      <c r="F163" s="1581"/>
      <c r="G163" s="1581"/>
      <c r="H163" s="1581"/>
      <c r="I163" s="1581"/>
      <c r="J163" s="1581"/>
      <c r="K163" s="1581"/>
      <c r="L163" s="1581"/>
      <c r="M163" s="1581"/>
      <c r="N163" s="1581"/>
      <c r="O163" s="1581"/>
      <c r="P163" s="1581"/>
      <c r="Q163" s="1581"/>
      <c r="R163" s="1581"/>
      <c r="S163" s="1581"/>
      <c r="T163" s="1581"/>
      <c r="U163" s="1581"/>
      <c r="V163" s="1581"/>
      <c r="W163" s="1581"/>
      <c r="X163" s="1581"/>
      <c r="Y163" s="1581"/>
      <c r="Z163" s="1581"/>
      <c r="AA163" s="1582"/>
    </row>
    <row r="164" spans="1:27" s="337" customFormat="1" ht="12.75">
      <c r="M164" s="338"/>
      <c r="N164" s="338"/>
    </row>
  </sheetData>
  <mergeCells count="243">
    <mergeCell ref="A163:AA163"/>
    <mergeCell ref="M142:M143"/>
    <mergeCell ref="O142:O143"/>
    <mergeCell ref="Q142:Q143"/>
    <mergeCell ref="S142:S143"/>
    <mergeCell ref="U142:U143"/>
    <mergeCell ref="C150:C151"/>
    <mergeCell ref="O150:O151"/>
    <mergeCell ref="Q150:Q151"/>
    <mergeCell ref="S150:S151"/>
    <mergeCell ref="U150:U151"/>
    <mergeCell ref="M157:M158"/>
    <mergeCell ref="V135:V138"/>
    <mergeCell ref="C142:C143"/>
    <mergeCell ref="E142:E143"/>
    <mergeCell ref="G142:G143"/>
    <mergeCell ref="I142:I143"/>
    <mergeCell ref="K142:K143"/>
    <mergeCell ref="C157:C158"/>
    <mergeCell ref="E157:E158"/>
    <mergeCell ref="G157:G158"/>
    <mergeCell ref="I157:I158"/>
    <mergeCell ref="K157:K158"/>
    <mergeCell ref="O126:O127"/>
    <mergeCell ref="Q126:Q127"/>
    <mergeCell ref="S126:S127"/>
    <mergeCell ref="U126:U127"/>
    <mergeCell ref="C134:C135"/>
    <mergeCell ref="E134:E135"/>
    <mergeCell ref="G134:G135"/>
    <mergeCell ref="I134:I135"/>
    <mergeCell ref="K134:K135"/>
    <mergeCell ref="M134:M135"/>
    <mergeCell ref="C126:C127"/>
    <mergeCell ref="E126:E127"/>
    <mergeCell ref="G126:G127"/>
    <mergeCell ref="I126:I127"/>
    <mergeCell ref="K126:K127"/>
    <mergeCell ref="M126:M127"/>
    <mergeCell ref="O134:O135"/>
    <mergeCell ref="Q134:Q135"/>
    <mergeCell ref="S134:S135"/>
    <mergeCell ref="U134:U135"/>
    <mergeCell ref="C119:C120"/>
    <mergeCell ref="E119:E120"/>
    <mergeCell ref="G119:G120"/>
    <mergeCell ref="I119:I120"/>
    <mergeCell ref="K119:K120"/>
    <mergeCell ref="M119:M120"/>
    <mergeCell ref="Y106:Y107"/>
    <mergeCell ref="Z106:Z107"/>
    <mergeCell ref="AA106:AA107"/>
    <mergeCell ref="W106:W107"/>
    <mergeCell ref="X106:X107"/>
    <mergeCell ref="O119:O120"/>
    <mergeCell ref="Q119:Q120"/>
    <mergeCell ref="S119:S120"/>
    <mergeCell ref="U119:U120"/>
    <mergeCell ref="T120:T125"/>
    <mergeCell ref="N121:N123"/>
    <mergeCell ref="O111:O112"/>
    <mergeCell ref="Q111:Q112"/>
    <mergeCell ref="S111:S112"/>
    <mergeCell ref="U111:U112"/>
    <mergeCell ref="A111:A112"/>
    <mergeCell ref="C111:C112"/>
    <mergeCell ref="E111:E112"/>
    <mergeCell ref="G111:G112"/>
    <mergeCell ref="I111:I112"/>
    <mergeCell ref="K111:K112"/>
    <mergeCell ref="M111:M112"/>
    <mergeCell ref="S102:S103"/>
    <mergeCell ref="P103:P104"/>
    <mergeCell ref="Q103:Q104"/>
    <mergeCell ref="D104:G104"/>
    <mergeCell ref="C101:G101"/>
    <mergeCell ref="H101:I101"/>
    <mergeCell ref="J101:L101"/>
    <mergeCell ref="Y96:Y98"/>
    <mergeCell ref="AA96:AA98"/>
    <mergeCell ref="C97:G97"/>
    <mergeCell ref="H97:I97"/>
    <mergeCell ref="J97:L97"/>
    <mergeCell ref="P97:Q97"/>
    <mergeCell ref="C98:G98"/>
    <mergeCell ref="H98:I98"/>
    <mergeCell ref="J98:L98"/>
    <mergeCell ref="C96:G96"/>
    <mergeCell ref="H96:I96"/>
    <mergeCell ref="J96:L96"/>
    <mergeCell ref="P96:Q96"/>
    <mergeCell ref="T96:U104"/>
    <mergeCell ref="W96:W98"/>
    <mergeCell ref="C99:G99"/>
    <mergeCell ref="H99:I99"/>
    <mergeCell ref="A87:AA87"/>
    <mergeCell ref="C90:AA90"/>
    <mergeCell ref="O74:O75"/>
    <mergeCell ref="Q74:Q75"/>
    <mergeCell ref="S74:S75"/>
    <mergeCell ref="U74:U75"/>
    <mergeCell ref="J75:J78"/>
    <mergeCell ref="L75:L78"/>
    <mergeCell ref="J99:L99"/>
    <mergeCell ref="P99:Q99"/>
    <mergeCell ref="A91:AA91"/>
    <mergeCell ref="A92:AA92"/>
    <mergeCell ref="A93:AA93"/>
    <mergeCell ref="C95:G95"/>
    <mergeCell ref="H95:I95"/>
    <mergeCell ref="J95:L95"/>
    <mergeCell ref="N95:AA95"/>
    <mergeCell ref="R99:R100"/>
    <mergeCell ref="C100:G100"/>
    <mergeCell ref="H100:I100"/>
    <mergeCell ref="J100:L100"/>
    <mergeCell ref="M69:M70"/>
    <mergeCell ref="C74:C75"/>
    <mergeCell ref="E74:E75"/>
    <mergeCell ref="G74:G75"/>
    <mergeCell ref="I74:I75"/>
    <mergeCell ref="K74:K75"/>
    <mergeCell ref="M74:M75"/>
    <mergeCell ref="C82:C83"/>
    <mergeCell ref="E82:E83"/>
    <mergeCell ref="G82:G83"/>
    <mergeCell ref="I82:I83"/>
    <mergeCell ref="Q57:Q58"/>
    <mergeCell ref="S57:S58"/>
    <mergeCell ref="U57:U58"/>
    <mergeCell ref="C65:C66"/>
    <mergeCell ref="E65:E66"/>
    <mergeCell ref="G65:G66"/>
    <mergeCell ref="I65:I66"/>
    <mergeCell ref="K65:K66"/>
    <mergeCell ref="M65:M66"/>
    <mergeCell ref="O65:O66"/>
    <mergeCell ref="E57:E58"/>
    <mergeCell ref="G57:G58"/>
    <mergeCell ref="I57:I58"/>
    <mergeCell ref="K57:K58"/>
    <mergeCell ref="M57:M58"/>
    <mergeCell ref="O57:O58"/>
    <mergeCell ref="Q65:Q66"/>
    <mergeCell ref="S65:S66"/>
    <mergeCell ref="U65:U66"/>
    <mergeCell ref="C49:C50"/>
    <mergeCell ref="E49:E50"/>
    <mergeCell ref="G49:G50"/>
    <mergeCell ref="I49:I50"/>
    <mergeCell ref="K49:K50"/>
    <mergeCell ref="O33:O34"/>
    <mergeCell ref="Q33:Q34"/>
    <mergeCell ref="S33:S34"/>
    <mergeCell ref="U33:U34"/>
    <mergeCell ref="M49:M50"/>
    <mergeCell ref="O49:O50"/>
    <mergeCell ref="Q49:Q50"/>
    <mergeCell ref="S49:S50"/>
    <mergeCell ref="U49:U50"/>
    <mergeCell ref="P50:P55"/>
    <mergeCell ref="M41:M42"/>
    <mergeCell ref="O41:O42"/>
    <mergeCell ref="Q41:Q42"/>
    <mergeCell ref="S41:S42"/>
    <mergeCell ref="U41:U42"/>
    <mergeCell ref="V33:V35"/>
    <mergeCell ref="C41:C42"/>
    <mergeCell ref="E41:E42"/>
    <mergeCell ref="G41:G42"/>
    <mergeCell ref="I41:I42"/>
    <mergeCell ref="K41:K42"/>
    <mergeCell ref="Y29:Y30"/>
    <mergeCell ref="Z29:Z30"/>
    <mergeCell ref="AA29:AA30"/>
    <mergeCell ref="W29:W30"/>
    <mergeCell ref="X29:X30"/>
    <mergeCell ref="A33:A34"/>
    <mergeCell ref="C33:C34"/>
    <mergeCell ref="E33:E34"/>
    <mergeCell ref="G33:G34"/>
    <mergeCell ref="I33:I34"/>
    <mergeCell ref="K33:K34"/>
    <mergeCell ref="M33:M34"/>
    <mergeCell ref="S25:S26"/>
    <mergeCell ref="P26:P27"/>
    <mergeCell ref="Q26:Q27"/>
    <mergeCell ref="D27:G27"/>
    <mergeCell ref="C24:G24"/>
    <mergeCell ref="H24:I24"/>
    <mergeCell ref="J24:L24"/>
    <mergeCell ref="Y19:Y21"/>
    <mergeCell ref="AA19:AA21"/>
    <mergeCell ref="C20:G20"/>
    <mergeCell ref="H20:I20"/>
    <mergeCell ref="J20:L20"/>
    <mergeCell ref="P20:Q20"/>
    <mergeCell ref="C21:G21"/>
    <mergeCell ref="H21:I21"/>
    <mergeCell ref="J21:L21"/>
    <mergeCell ref="C19:G19"/>
    <mergeCell ref="H19:I19"/>
    <mergeCell ref="J19:L19"/>
    <mergeCell ref="P19:Q19"/>
    <mergeCell ref="T19:U27"/>
    <mergeCell ref="W19:W21"/>
    <mergeCell ref="C22:G22"/>
    <mergeCell ref="H22:I22"/>
    <mergeCell ref="J22:L22"/>
    <mergeCell ref="P22:Q22"/>
    <mergeCell ref="A16:AA16"/>
    <mergeCell ref="C18:G18"/>
    <mergeCell ref="H18:I18"/>
    <mergeCell ref="J18:L18"/>
    <mergeCell ref="N18:AA18"/>
    <mergeCell ref="R22:R23"/>
    <mergeCell ref="C23:G23"/>
    <mergeCell ref="H23:I23"/>
    <mergeCell ref="J23:L23"/>
    <mergeCell ref="A126:A127"/>
    <mergeCell ref="C1:AA1"/>
    <mergeCell ref="A2:AA2"/>
    <mergeCell ref="A3:AA3"/>
    <mergeCell ref="A4:AA4"/>
    <mergeCell ref="B7:F7"/>
    <mergeCell ref="G7:H7"/>
    <mergeCell ref="I7:K7"/>
    <mergeCell ref="P9:P12"/>
    <mergeCell ref="B10:F10"/>
    <mergeCell ref="G10:H10"/>
    <mergeCell ref="I10:K10"/>
    <mergeCell ref="B11:F11"/>
    <mergeCell ref="G11:H11"/>
    <mergeCell ref="I11:K11"/>
    <mergeCell ref="B8:F8"/>
    <mergeCell ref="G8:H8"/>
    <mergeCell ref="I8:K8"/>
    <mergeCell ref="B9:F9"/>
    <mergeCell ref="G9:H9"/>
    <mergeCell ref="I9:K9"/>
    <mergeCell ref="C13:AA13"/>
    <mergeCell ref="A14:AA14"/>
    <mergeCell ref="A15:AA15"/>
  </mergeCells>
  <printOptions horizontalCentered="1" verticalCentered="1"/>
  <pageMargins left="0" right="0" top="0" bottom="0" header="0" footer="0"/>
  <pageSetup paperSize="9" scale="44" fitToHeight="4" orientation="landscape" r:id="rId1"/>
  <rowBreaks count="2" manualBreakCount="2">
    <brk id="70" max="16383" man="1"/>
    <brk id="130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513"/>
  <sheetViews>
    <sheetView zoomScaleNormal="100" zoomScaleSheetLayoutView="44" workbookViewId="0">
      <pane xSplit="10" ySplit="5" topLeftCell="K26" activePane="bottomRight" state="frozen"/>
      <selection pane="topRight" activeCell="J1" sqref="J1"/>
      <selection pane="bottomLeft" activeCell="A8" sqref="A8"/>
      <selection pane="bottomRight" activeCell="J42" sqref="J42"/>
    </sheetView>
  </sheetViews>
  <sheetFormatPr defaultColWidth="10.140625" defaultRowHeight="15"/>
  <cols>
    <col min="1" max="1" width="9.140625" style="400" customWidth="1"/>
    <col min="2" max="2" width="12.42578125" style="400" bestFit="1" customWidth="1"/>
    <col min="3" max="3" width="21.7109375" style="400" bestFit="1" customWidth="1"/>
    <col min="4" max="4" width="16.7109375" style="415" customWidth="1"/>
    <col min="5" max="5" width="13.140625" style="415" customWidth="1"/>
    <col min="6" max="9" width="7.85546875" style="400" customWidth="1"/>
    <col min="10" max="10" width="9.140625" style="400" customWidth="1"/>
    <col min="11" max="11" width="31.7109375" style="400" customWidth="1"/>
    <col min="12" max="12" width="26.42578125" style="400" customWidth="1"/>
    <col min="13" max="13" width="18.5703125" style="424" bestFit="1" customWidth="1"/>
    <col min="14" max="14" width="23.5703125" style="424" bestFit="1" customWidth="1"/>
    <col min="15" max="15" width="15.42578125" style="425" customWidth="1"/>
    <col min="16" max="16" width="9.5703125" style="422" bestFit="1" customWidth="1"/>
    <col min="17" max="17" width="17.5703125" style="422" bestFit="1" customWidth="1"/>
    <col min="18" max="18" width="12.85546875" style="422" bestFit="1" customWidth="1"/>
    <col min="19" max="19" width="31.42578125" style="400" customWidth="1"/>
    <col min="20" max="16384" width="10.140625" style="400"/>
  </cols>
  <sheetData>
    <row r="1" spans="1:19" ht="15.75">
      <c r="A1" s="1617" t="s">
        <v>963</v>
      </c>
      <c r="B1" s="1618"/>
      <c r="C1" s="1454" t="s">
        <v>985</v>
      </c>
      <c r="D1" s="1455"/>
      <c r="E1" s="1456"/>
      <c r="F1" s="1457"/>
      <c r="G1" s="1457"/>
      <c r="H1" s="1457"/>
      <c r="I1" s="1457"/>
      <c r="J1" s="1457"/>
      <c r="K1" s="1457"/>
      <c r="L1" s="1457"/>
      <c r="M1" s="1457"/>
      <c r="N1" s="1457"/>
      <c r="O1" s="1458"/>
      <c r="P1" s="1459"/>
      <c r="Q1" s="1460"/>
      <c r="R1" s="445"/>
      <c r="S1" s="1461"/>
    </row>
    <row r="2" spans="1:19" ht="15.75">
      <c r="A2" s="1620" t="s">
        <v>986</v>
      </c>
      <c r="B2" s="1621"/>
      <c r="C2" s="1465" t="s">
        <v>1008</v>
      </c>
      <c r="D2" s="1466"/>
      <c r="E2" s="1467"/>
      <c r="F2" s="1468"/>
      <c r="G2" s="1468"/>
      <c r="H2" s="1468"/>
      <c r="I2" s="1468"/>
      <c r="J2" s="1468"/>
      <c r="K2" s="1468"/>
      <c r="L2" s="1468"/>
      <c r="M2" s="1468"/>
      <c r="N2" s="1468"/>
      <c r="O2" s="1469"/>
      <c r="P2" s="1470"/>
      <c r="Q2" s="1471"/>
      <c r="R2" s="446"/>
      <c r="S2" s="1461"/>
    </row>
    <row r="3" spans="1:19" ht="19.5" customHeight="1">
      <c r="A3" s="1622" t="s">
        <v>988</v>
      </c>
      <c r="B3" s="1623"/>
      <c r="C3" s="1624" t="s">
        <v>987</v>
      </c>
      <c r="D3" s="1625"/>
      <c r="E3" s="1626"/>
      <c r="F3" s="1627"/>
      <c r="G3" s="1627"/>
      <c r="H3" s="1627"/>
      <c r="I3" s="1627"/>
      <c r="J3" s="1627"/>
      <c r="K3" s="1627"/>
      <c r="L3" s="1627"/>
      <c r="M3" s="1627"/>
      <c r="N3" s="1627"/>
      <c r="O3" s="1628"/>
      <c r="P3" s="1629"/>
      <c r="Q3" s="1630"/>
      <c r="R3" s="447"/>
      <c r="S3" s="1462"/>
    </row>
    <row r="4" spans="1:19" ht="14.45" customHeight="1">
      <c r="A4" s="1619" t="s">
        <v>964</v>
      </c>
      <c r="B4" s="1619" t="s">
        <v>965</v>
      </c>
      <c r="C4" s="1619" t="s">
        <v>966</v>
      </c>
      <c r="D4" s="1616" t="s">
        <v>967</v>
      </c>
      <c r="E4" s="1619" t="s">
        <v>106</v>
      </c>
      <c r="F4" s="1616" t="s">
        <v>106</v>
      </c>
      <c r="G4" s="1616"/>
      <c r="H4" s="1616"/>
      <c r="I4" s="1616"/>
      <c r="J4" s="1616" t="s">
        <v>931</v>
      </c>
      <c r="K4" s="1616" t="s">
        <v>968</v>
      </c>
      <c r="L4" s="1616" t="s">
        <v>969</v>
      </c>
      <c r="M4" s="1616" t="s">
        <v>970</v>
      </c>
      <c r="N4" s="1616" t="s">
        <v>971</v>
      </c>
      <c r="O4" s="1616" t="s">
        <v>972</v>
      </c>
      <c r="P4" s="1616" t="s">
        <v>973</v>
      </c>
      <c r="Q4" s="1616" t="s">
        <v>971</v>
      </c>
      <c r="R4" s="1616" t="s">
        <v>974</v>
      </c>
      <c r="S4" s="1616" t="s">
        <v>975</v>
      </c>
    </row>
    <row r="5" spans="1:19">
      <c r="A5" s="1619"/>
      <c r="B5" s="1619"/>
      <c r="C5" s="1619"/>
      <c r="D5" s="1616"/>
      <c r="E5" s="1619"/>
      <c r="F5" s="757" t="s">
        <v>123</v>
      </c>
      <c r="G5" s="757" t="s">
        <v>124</v>
      </c>
      <c r="H5" s="757" t="s">
        <v>125</v>
      </c>
      <c r="I5" s="758" t="s">
        <v>976</v>
      </c>
      <c r="J5" s="1616"/>
      <c r="K5" s="1616"/>
      <c r="L5" s="1616"/>
      <c r="M5" s="1616"/>
      <c r="N5" s="1616"/>
      <c r="O5" s="1616"/>
      <c r="P5" s="1616"/>
      <c r="Q5" s="1616"/>
      <c r="R5" s="1616"/>
      <c r="S5" s="1616"/>
    </row>
    <row r="6" spans="1:19">
      <c r="A6" s="407">
        <v>1</v>
      </c>
      <c r="B6" s="439" t="s">
        <v>132</v>
      </c>
      <c r="C6" s="439" t="s">
        <v>1583</v>
      </c>
      <c r="D6" s="439" t="s">
        <v>891</v>
      </c>
      <c r="E6" s="440"/>
      <c r="F6" s="407">
        <v>0</v>
      </c>
      <c r="G6" s="407">
        <v>0</v>
      </c>
      <c r="H6" s="407">
        <v>0</v>
      </c>
      <c r="I6" s="407">
        <v>0</v>
      </c>
      <c r="J6" s="441">
        <v>102.49</v>
      </c>
      <c r="K6" s="442"/>
      <c r="L6" s="407"/>
      <c r="M6" s="406" t="s">
        <v>951</v>
      </c>
      <c r="N6" s="406"/>
      <c r="O6" s="406"/>
      <c r="P6" s="406"/>
      <c r="Q6" s="406"/>
      <c r="R6" s="406"/>
      <c r="S6" s="405" t="s">
        <v>577</v>
      </c>
    </row>
    <row r="7" spans="1:19">
      <c r="A7" s="401">
        <f t="shared" ref="A7:A33" si="0">A6+1</f>
        <v>2</v>
      </c>
      <c r="B7" s="74" t="s">
        <v>141</v>
      </c>
      <c r="C7" s="74" t="s">
        <v>1583</v>
      </c>
      <c r="D7" s="74" t="s">
        <v>895</v>
      </c>
      <c r="E7" s="402"/>
      <c r="F7" s="401">
        <v>0</v>
      </c>
      <c r="G7" s="401">
        <v>0</v>
      </c>
      <c r="H7" s="401">
        <v>0</v>
      </c>
      <c r="I7" s="401">
        <v>0</v>
      </c>
      <c r="J7" s="75">
        <v>217.2</v>
      </c>
      <c r="K7" s="404"/>
      <c r="L7" s="401"/>
      <c r="M7" s="405" t="s">
        <v>1007</v>
      </c>
      <c r="N7" s="405" t="s">
        <v>30</v>
      </c>
      <c r="O7" s="405" t="s">
        <v>1007</v>
      </c>
      <c r="P7" s="405"/>
      <c r="Q7" s="405"/>
      <c r="R7" s="405"/>
      <c r="S7" s="405" t="s">
        <v>577</v>
      </c>
    </row>
    <row r="8" spans="1:19">
      <c r="A8" s="401">
        <f t="shared" si="0"/>
        <v>3</v>
      </c>
      <c r="B8" s="74" t="s">
        <v>147</v>
      </c>
      <c r="C8" s="74" t="s">
        <v>1583</v>
      </c>
      <c r="D8" s="74" t="s">
        <v>898</v>
      </c>
      <c r="E8" s="402"/>
      <c r="F8" s="401">
        <v>0</v>
      </c>
      <c r="G8" s="401">
        <v>0</v>
      </c>
      <c r="H8" s="401">
        <v>0</v>
      </c>
      <c r="I8" s="401">
        <v>0</v>
      </c>
      <c r="J8" s="253">
        <v>331.42200000000003</v>
      </c>
      <c r="K8" s="404"/>
      <c r="L8" s="401"/>
      <c r="M8" s="405" t="s">
        <v>1007</v>
      </c>
      <c r="N8" s="20" t="s">
        <v>30</v>
      </c>
      <c r="O8" s="405"/>
      <c r="P8" s="405"/>
      <c r="Q8" s="405"/>
      <c r="R8" s="405"/>
      <c r="S8" s="405" t="s">
        <v>577</v>
      </c>
    </row>
    <row r="9" spans="1:19">
      <c r="A9" s="401">
        <f t="shared" si="0"/>
        <v>4</v>
      </c>
      <c r="B9" s="74" t="s">
        <v>152</v>
      </c>
      <c r="C9" s="74" t="s">
        <v>658</v>
      </c>
      <c r="D9" s="74" t="s">
        <v>902</v>
      </c>
      <c r="E9" s="402"/>
      <c r="F9" s="401">
        <v>0</v>
      </c>
      <c r="G9" s="401">
        <v>0</v>
      </c>
      <c r="H9" s="401">
        <v>0</v>
      </c>
      <c r="I9" s="401">
        <v>0</v>
      </c>
      <c r="J9" s="75">
        <v>186</v>
      </c>
      <c r="K9" s="599" t="s">
        <v>1009</v>
      </c>
      <c r="L9" s="401"/>
      <c r="M9" s="405" t="s">
        <v>1007</v>
      </c>
      <c r="N9" s="20" t="s">
        <v>30</v>
      </c>
      <c r="O9" s="405"/>
      <c r="P9" s="405"/>
      <c r="Q9" s="405"/>
      <c r="R9" s="405"/>
      <c r="S9" s="405" t="s">
        <v>577</v>
      </c>
    </row>
    <row r="10" spans="1:19">
      <c r="A10" s="401">
        <f t="shared" si="0"/>
        <v>5</v>
      </c>
      <c r="B10" s="74" t="s">
        <v>181</v>
      </c>
      <c r="C10" s="74" t="s">
        <v>573</v>
      </c>
      <c r="D10" s="74" t="s">
        <v>579</v>
      </c>
      <c r="E10" s="402"/>
      <c r="F10" s="401">
        <v>0</v>
      </c>
      <c r="G10" s="401">
        <v>0</v>
      </c>
      <c r="H10" s="401">
        <v>0</v>
      </c>
      <c r="I10" s="401">
        <v>0</v>
      </c>
      <c r="J10" s="75">
        <v>217.97</v>
      </c>
      <c r="K10" s="404"/>
      <c r="L10" s="401"/>
      <c r="M10" s="405" t="s">
        <v>1007</v>
      </c>
      <c r="N10" s="405" t="s">
        <v>30</v>
      </c>
      <c r="O10" s="405" t="s">
        <v>1007</v>
      </c>
      <c r="P10" s="405" t="s">
        <v>33</v>
      </c>
      <c r="Q10" s="405" t="s">
        <v>2186</v>
      </c>
      <c r="R10" s="405"/>
      <c r="S10" s="405" t="s">
        <v>577</v>
      </c>
    </row>
    <row r="11" spans="1:19" ht="16.5" customHeight="1">
      <c r="A11" s="401">
        <f t="shared" si="0"/>
        <v>6</v>
      </c>
      <c r="B11" s="74" t="s">
        <v>186</v>
      </c>
      <c r="C11" s="74" t="s">
        <v>582</v>
      </c>
      <c r="D11" s="74" t="s">
        <v>134</v>
      </c>
      <c r="E11" s="402"/>
      <c r="F11" s="401">
        <v>0</v>
      </c>
      <c r="G11" s="401">
        <v>0</v>
      </c>
      <c r="H11" s="401">
        <v>0</v>
      </c>
      <c r="I11" s="401">
        <v>0</v>
      </c>
      <c r="J11" s="75">
        <v>330.8</v>
      </c>
      <c r="K11" s="1495" t="s">
        <v>1009</v>
      </c>
      <c r="L11" s="401"/>
      <c r="M11" s="405" t="s">
        <v>1007</v>
      </c>
      <c r="N11" s="20" t="s">
        <v>30</v>
      </c>
      <c r="O11" s="405" t="s">
        <v>1007</v>
      </c>
      <c r="P11" s="405" t="s">
        <v>978</v>
      </c>
      <c r="Q11" s="405" t="s">
        <v>2186</v>
      </c>
      <c r="R11" s="405"/>
      <c r="S11" s="405" t="s">
        <v>577</v>
      </c>
    </row>
    <row r="12" spans="1:19">
      <c r="A12" s="401">
        <f t="shared" si="0"/>
        <v>7</v>
      </c>
      <c r="B12" s="74" t="s">
        <v>64</v>
      </c>
      <c r="C12" s="74" t="s">
        <v>586</v>
      </c>
      <c r="D12" s="74" t="s">
        <v>587</v>
      </c>
      <c r="E12" s="402"/>
      <c r="F12" s="401">
        <v>0</v>
      </c>
      <c r="G12" s="401">
        <v>0</v>
      </c>
      <c r="H12" s="401">
        <v>0</v>
      </c>
      <c r="I12" s="401">
        <v>0</v>
      </c>
      <c r="J12" s="75">
        <v>218</v>
      </c>
      <c r="K12" s="1496"/>
      <c r="L12" s="401"/>
      <c r="M12" s="405" t="s">
        <v>1007</v>
      </c>
      <c r="N12" s="405" t="s">
        <v>30</v>
      </c>
      <c r="O12" s="405" t="s">
        <v>1007</v>
      </c>
      <c r="P12" s="405" t="s">
        <v>33</v>
      </c>
      <c r="Q12" s="405" t="s">
        <v>2185</v>
      </c>
      <c r="R12" s="405"/>
      <c r="S12" s="405" t="s">
        <v>590</v>
      </c>
    </row>
    <row r="13" spans="1:19">
      <c r="A13" s="401">
        <f t="shared" si="0"/>
        <v>8</v>
      </c>
      <c r="B13" s="74" t="s">
        <v>198</v>
      </c>
      <c r="C13" s="74" t="s">
        <v>591</v>
      </c>
      <c r="D13" s="74" t="s">
        <v>134</v>
      </c>
      <c r="E13" s="402"/>
      <c r="F13" s="401">
        <v>0</v>
      </c>
      <c r="G13" s="401">
        <v>0</v>
      </c>
      <c r="H13" s="401">
        <v>0</v>
      </c>
      <c r="I13" s="401">
        <v>0</v>
      </c>
      <c r="J13" s="75">
        <v>220.351</v>
      </c>
      <c r="K13" s="404"/>
      <c r="L13" s="401"/>
      <c r="M13" s="405" t="s">
        <v>1007</v>
      </c>
      <c r="N13" s="20" t="s">
        <v>30</v>
      </c>
      <c r="O13" s="405" t="s">
        <v>1007</v>
      </c>
      <c r="P13" s="405" t="s">
        <v>33</v>
      </c>
      <c r="Q13" s="405" t="s">
        <v>2046</v>
      </c>
      <c r="R13" s="405"/>
      <c r="S13" s="405" t="s">
        <v>594</v>
      </c>
    </row>
    <row r="14" spans="1:19">
      <c r="A14" s="401">
        <f t="shared" si="0"/>
        <v>9</v>
      </c>
      <c r="B14" s="74" t="s">
        <v>65</v>
      </c>
      <c r="C14" s="74" t="s">
        <v>573</v>
      </c>
      <c r="D14" s="74" t="s">
        <v>595</v>
      </c>
      <c r="E14" s="402"/>
      <c r="F14" s="401">
        <v>0</v>
      </c>
      <c r="G14" s="401">
        <v>0</v>
      </c>
      <c r="H14" s="401">
        <v>0</v>
      </c>
      <c r="I14" s="401">
        <v>0</v>
      </c>
      <c r="J14" s="75">
        <v>190</v>
      </c>
      <c r="K14" s="404"/>
      <c r="L14" s="401"/>
      <c r="M14" s="405" t="s">
        <v>1007</v>
      </c>
      <c r="N14" s="20" t="s">
        <v>30</v>
      </c>
      <c r="O14" s="405"/>
      <c r="P14" s="405" t="s">
        <v>33</v>
      </c>
      <c r="Q14" s="405" t="s">
        <v>2164</v>
      </c>
      <c r="R14" s="405"/>
      <c r="S14" s="405" t="s">
        <v>594</v>
      </c>
    </row>
    <row r="15" spans="1:19">
      <c r="A15" s="401">
        <f t="shared" si="0"/>
        <v>10</v>
      </c>
      <c r="B15" s="74" t="s">
        <v>598</v>
      </c>
      <c r="C15" s="74" t="s">
        <v>582</v>
      </c>
      <c r="D15" s="74" t="s">
        <v>134</v>
      </c>
      <c r="E15" s="402"/>
      <c r="F15" s="401">
        <v>0</v>
      </c>
      <c r="G15" s="401">
        <v>0</v>
      </c>
      <c r="H15" s="401">
        <v>0</v>
      </c>
      <c r="I15" s="401">
        <v>0</v>
      </c>
      <c r="J15" s="75">
        <v>260</v>
      </c>
      <c r="K15" s="404"/>
      <c r="L15" s="401"/>
      <c r="M15" s="405" t="s">
        <v>1007</v>
      </c>
      <c r="N15" s="20" t="s">
        <v>30</v>
      </c>
      <c r="O15" s="405" t="s">
        <v>1007</v>
      </c>
      <c r="P15" s="405" t="s">
        <v>33</v>
      </c>
      <c r="Q15" s="405" t="s">
        <v>2046</v>
      </c>
      <c r="R15" s="405"/>
      <c r="S15" s="405" t="s">
        <v>594</v>
      </c>
    </row>
    <row r="16" spans="1:19">
      <c r="A16" s="401">
        <f t="shared" si="0"/>
        <v>11</v>
      </c>
      <c r="B16" s="74" t="s">
        <v>602</v>
      </c>
      <c r="C16" s="74" t="s">
        <v>603</v>
      </c>
      <c r="D16" s="74" t="s">
        <v>134</v>
      </c>
      <c r="E16" s="402"/>
      <c r="F16" s="401">
        <v>0</v>
      </c>
      <c r="G16" s="401">
        <v>0</v>
      </c>
      <c r="H16" s="401">
        <v>0</v>
      </c>
      <c r="I16" s="401">
        <v>0</v>
      </c>
      <c r="J16" s="75">
        <v>323.05200000000002</v>
      </c>
      <c r="K16" s="404" t="s">
        <v>1009</v>
      </c>
      <c r="L16" s="401"/>
      <c r="M16" s="405" t="s">
        <v>1007</v>
      </c>
      <c r="N16" s="20" t="s">
        <v>30</v>
      </c>
      <c r="O16" s="405" t="s">
        <v>1007</v>
      </c>
      <c r="P16" s="405"/>
      <c r="Q16" s="405"/>
      <c r="R16" s="405"/>
      <c r="S16" s="405" t="s">
        <v>590</v>
      </c>
    </row>
    <row r="17" spans="1:19">
      <c r="A17" s="401">
        <f t="shared" si="0"/>
        <v>12</v>
      </c>
      <c r="B17" s="74" t="s">
        <v>213</v>
      </c>
      <c r="C17" s="74" t="s">
        <v>607</v>
      </c>
      <c r="D17" s="74" t="s">
        <v>608</v>
      </c>
      <c r="E17" s="402"/>
      <c r="F17" s="401">
        <v>0</v>
      </c>
      <c r="G17" s="401">
        <v>0</v>
      </c>
      <c r="H17" s="401">
        <v>0</v>
      </c>
      <c r="I17" s="401">
        <v>0</v>
      </c>
      <c r="J17" s="75">
        <v>246.023</v>
      </c>
      <c r="K17" s="404"/>
      <c r="L17" s="401"/>
      <c r="M17" s="405" t="s">
        <v>1007</v>
      </c>
      <c r="N17" s="20" t="s">
        <v>30</v>
      </c>
      <c r="O17" s="405" t="s">
        <v>1007</v>
      </c>
      <c r="P17" s="405"/>
      <c r="Q17" s="405"/>
      <c r="R17" s="405"/>
      <c r="S17" s="405" t="s">
        <v>590</v>
      </c>
    </row>
    <row r="18" spans="1:19">
      <c r="A18" s="401">
        <f t="shared" si="0"/>
        <v>13</v>
      </c>
      <c r="B18" s="74" t="s">
        <v>66</v>
      </c>
      <c r="C18" s="74" t="s">
        <v>586</v>
      </c>
      <c r="D18" s="74" t="s">
        <v>611</v>
      </c>
      <c r="E18" s="402"/>
      <c r="F18" s="401">
        <v>0</v>
      </c>
      <c r="G18" s="401">
        <v>0</v>
      </c>
      <c r="H18" s="401">
        <v>0</v>
      </c>
      <c r="I18" s="401">
        <v>0</v>
      </c>
      <c r="J18" s="75">
        <v>255</v>
      </c>
      <c r="K18" s="404" t="s">
        <v>1009</v>
      </c>
      <c r="L18" s="401"/>
      <c r="M18" s="405" t="s">
        <v>1007</v>
      </c>
      <c r="N18" s="20" t="s">
        <v>30</v>
      </c>
      <c r="O18" s="405" t="s">
        <v>1007</v>
      </c>
      <c r="P18" s="405" t="s">
        <v>33</v>
      </c>
      <c r="Q18" s="405" t="s">
        <v>1838</v>
      </c>
      <c r="R18" s="405"/>
      <c r="S18" s="405" t="s">
        <v>614</v>
      </c>
    </row>
    <row r="19" spans="1:19">
      <c r="A19" s="401">
        <f t="shared" si="0"/>
        <v>14</v>
      </c>
      <c r="B19" s="74" t="s">
        <v>616</v>
      </c>
      <c r="C19" s="74" t="s">
        <v>582</v>
      </c>
      <c r="D19" s="74" t="s">
        <v>134</v>
      </c>
      <c r="E19" s="402"/>
      <c r="F19" s="401">
        <v>0</v>
      </c>
      <c r="G19" s="401">
        <v>0</v>
      </c>
      <c r="H19" s="401">
        <v>0</v>
      </c>
      <c r="I19" s="401">
        <v>0</v>
      </c>
      <c r="J19" s="75">
        <v>152</v>
      </c>
      <c r="K19" s="404"/>
      <c r="L19" s="401"/>
      <c r="M19" s="405" t="s">
        <v>1007</v>
      </c>
      <c r="N19" s="20" t="s">
        <v>30</v>
      </c>
      <c r="O19" s="405" t="s">
        <v>1007</v>
      </c>
      <c r="P19" s="405" t="s">
        <v>33</v>
      </c>
      <c r="Q19" s="405" t="s">
        <v>1838</v>
      </c>
      <c r="R19" s="405"/>
      <c r="S19" s="405" t="s">
        <v>619</v>
      </c>
    </row>
    <row r="20" spans="1:19">
      <c r="A20" s="401">
        <f t="shared" si="0"/>
        <v>15</v>
      </c>
      <c r="B20" s="74" t="s">
        <v>621</v>
      </c>
      <c r="C20" s="74" t="s">
        <v>582</v>
      </c>
      <c r="D20" s="74" t="s">
        <v>134</v>
      </c>
      <c r="E20" s="402"/>
      <c r="F20" s="401">
        <v>0</v>
      </c>
      <c r="G20" s="401">
        <v>0</v>
      </c>
      <c r="H20" s="401">
        <v>0</v>
      </c>
      <c r="I20" s="401">
        <v>0</v>
      </c>
      <c r="J20" s="75">
        <v>294.49799999999999</v>
      </c>
      <c r="K20" s="404" t="s">
        <v>1009</v>
      </c>
      <c r="L20" s="401"/>
      <c r="M20" s="405" t="s">
        <v>1007</v>
      </c>
      <c r="N20" s="20" t="s">
        <v>30</v>
      </c>
      <c r="O20" s="405" t="s">
        <v>1007</v>
      </c>
      <c r="P20" s="405" t="s">
        <v>33</v>
      </c>
      <c r="Q20" s="405" t="s">
        <v>1838</v>
      </c>
      <c r="R20" s="405"/>
      <c r="S20" s="405" t="s">
        <v>619</v>
      </c>
    </row>
    <row r="21" spans="1:19">
      <c r="A21" s="401">
        <f t="shared" si="0"/>
        <v>16</v>
      </c>
      <c r="B21" s="74" t="s">
        <v>224</v>
      </c>
      <c r="C21" s="74" t="s">
        <v>573</v>
      </c>
      <c r="D21" s="74" t="s">
        <v>625</v>
      </c>
      <c r="E21" s="402"/>
      <c r="F21" s="401">
        <v>0</v>
      </c>
      <c r="G21" s="401">
        <v>0</v>
      </c>
      <c r="H21" s="401">
        <v>0</v>
      </c>
      <c r="I21" s="401">
        <v>0</v>
      </c>
      <c r="J21" s="75">
        <v>269</v>
      </c>
      <c r="K21" s="404"/>
      <c r="L21" s="401"/>
      <c r="M21" s="405" t="s">
        <v>1007</v>
      </c>
      <c r="N21" s="20" t="s">
        <v>1892</v>
      </c>
      <c r="O21" s="405"/>
      <c r="P21" s="405"/>
      <c r="Q21" s="405"/>
      <c r="R21" s="405"/>
      <c r="S21" s="405" t="s">
        <v>628</v>
      </c>
    </row>
    <row r="22" spans="1:19">
      <c r="A22" s="401">
        <f t="shared" si="0"/>
        <v>17</v>
      </c>
      <c r="B22" s="74" t="s">
        <v>230</v>
      </c>
      <c r="C22" s="74" t="s">
        <v>582</v>
      </c>
      <c r="D22" s="74" t="s">
        <v>134</v>
      </c>
      <c r="E22" s="402"/>
      <c r="F22" s="401">
        <v>0</v>
      </c>
      <c r="G22" s="401">
        <v>0</v>
      </c>
      <c r="H22" s="401">
        <v>0</v>
      </c>
      <c r="I22" s="401">
        <v>0</v>
      </c>
      <c r="J22" s="75">
        <v>333</v>
      </c>
      <c r="K22" s="404"/>
      <c r="L22" s="401"/>
      <c r="M22" s="405" t="s">
        <v>1007</v>
      </c>
      <c r="N22" s="405" t="s">
        <v>30</v>
      </c>
      <c r="O22" s="405" t="s">
        <v>1007</v>
      </c>
      <c r="P22" s="405" t="s">
        <v>33</v>
      </c>
      <c r="Q22" s="405" t="s">
        <v>1838</v>
      </c>
      <c r="R22" s="405"/>
      <c r="S22" s="405" t="s">
        <v>628</v>
      </c>
    </row>
    <row r="23" spans="1:19">
      <c r="A23" s="401">
        <f t="shared" si="0"/>
        <v>18</v>
      </c>
      <c r="B23" s="74" t="s">
        <v>234</v>
      </c>
      <c r="C23" s="74" t="s">
        <v>582</v>
      </c>
      <c r="D23" s="74" t="s">
        <v>134</v>
      </c>
      <c r="E23" s="402"/>
      <c r="F23" s="401">
        <v>0</v>
      </c>
      <c r="G23" s="401">
        <v>0</v>
      </c>
      <c r="H23" s="401">
        <v>0</v>
      </c>
      <c r="I23" s="401">
        <v>0</v>
      </c>
      <c r="J23" s="75">
        <v>257</v>
      </c>
      <c r="K23" s="404"/>
      <c r="L23" s="401"/>
      <c r="M23" s="405" t="s">
        <v>1007</v>
      </c>
      <c r="N23" s="405" t="s">
        <v>30</v>
      </c>
      <c r="O23" s="405" t="s">
        <v>1007</v>
      </c>
      <c r="P23" s="405" t="s">
        <v>33</v>
      </c>
      <c r="Q23" s="405" t="s">
        <v>1838</v>
      </c>
      <c r="R23" s="405"/>
      <c r="S23" s="405" t="s">
        <v>628</v>
      </c>
    </row>
    <row r="24" spans="1:19">
      <c r="A24" s="401">
        <f t="shared" si="0"/>
        <v>19</v>
      </c>
      <c r="B24" s="74" t="s">
        <v>239</v>
      </c>
      <c r="C24" s="74" t="s">
        <v>591</v>
      </c>
      <c r="D24" s="74" t="s">
        <v>134</v>
      </c>
      <c r="E24" s="402"/>
      <c r="F24" s="401">
        <v>0</v>
      </c>
      <c r="G24" s="401">
        <v>0</v>
      </c>
      <c r="H24" s="401">
        <v>0</v>
      </c>
      <c r="I24" s="401">
        <v>0</v>
      </c>
      <c r="J24" s="75">
        <v>297</v>
      </c>
      <c r="K24" s="404"/>
      <c r="L24" s="401"/>
      <c r="M24" s="405" t="s">
        <v>1007</v>
      </c>
      <c r="N24" s="405" t="s">
        <v>30</v>
      </c>
      <c r="O24" s="405" t="s">
        <v>1007</v>
      </c>
      <c r="P24" s="405" t="s">
        <v>33</v>
      </c>
      <c r="Q24" s="405" t="s">
        <v>1838</v>
      </c>
      <c r="R24" s="405"/>
      <c r="S24" s="405" t="s">
        <v>636</v>
      </c>
    </row>
    <row r="25" spans="1:19">
      <c r="A25" s="401">
        <f t="shared" si="0"/>
        <v>20</v>
      </c>
      <c r="B25" s="74" t="s">
        <v>637</v>
      </c>
      <c r="C25" s="74" t="s">
        <v>591</v>
      </c>
      <c r="D25" s="74" t="s">
        <v>134</v>
      </c>
      <c r="E25" s="402"/>
      <c r="F25" s="401">
        <v>0</v>
      </c>
      <c r="G25" s="401">
        <v>0</v>
      </c>
      <c r="H25" s="401">
        <v>0</v>
      </c>
      <c r="I25" s="401">
        <v>0</v>
      </c>
      <c r="J25" s="75">
        <v>291.08999999999997</v>
      </c>
      <c r="K25" s="404"/>
      <c r="L25" s="401"/>
      <c r="M25" s="405" t="s">
        <v>1007</v>
      </c>
      <c r="N25" s="405" t="s">
        <v>30</v>
      </c>
      <c r="O25" s="405" t="s">
        <v>1007</v>
      </c>
      <c r="P25" s="405"/>
      <c r="Q25" s="405"/>
      <c r="R25" s="405"/>
      <c r="S25" s="405" t="s">
        <v>636</v>
      </c>
    </row>
    <row r="26" spans="1:19">
      <c r="A26" s="401">
        <f t="shared" si="0"/>
        <v>21</v>
      </c>
      <c r="B26" s="74" t="s">
        <v>67</v>
      </c>
      <c r="C26" s="74" t="s">
        <v>586</v>
      </c>
      <c r="D26" s="74" t="s">
        <v>640</v>
      </c>
      <c r="E26" s="402"/>
      <c r="F26" s="401">
        <v>0</v>
      </c>
      <c r="G26" s="401">
        <v>0</v>
      </c>
      <c r="H26" s="401">
        <v>0</v>
      </c>
      <c r="I26" s="401">
        <v>0</v>
      </c>
      <c r="J26" s="75">
        <v>235</v>
      </c>
      <c r="K26" s="404"/>
      <c r="L26" s="401" t="s">
        <v>977</v>
      </c>
      <c r="M26" s="405"/>
      <c r="N26" s="405"/>
      <c r="O26" s="405"/>
      <c r="P26" s="405"/>
      <c r="Q26" s="405"/>
      <c r="R26" s="405"/>
      <c r="S26" s="405" t="s">
        <v>643</v>
      </c>
    </row>
    <row r="27" spans="1:19">
      <c r="A27" s="401">
        <f t="shared" si="0"/>
        <v>22</v>
      </c>
      <c r="B27" s="74" t="s">
        <v>250</v>
      </c>
      <c r="C27" s="74" t="s">
        <v>603</v>
      </c>
      <c r="D27" s="74" t="s">
        <v>134</v>
      </c>
      <c r="E27" s="402"/>
      <c r="F27" s="401">
        <v>0</v>
      </c>
      <c r="G27" s="401">
        <v>0</v>
      </c>
      <c r="H27" s="401">
        <v>0</v>
      </c>
      <c r="I27" s="401">
        <v>0</v>
      </c>
      <c r="J27" s="75">
        <v>358.48899999999998</v>
      </c>
      <c r="K27" s="404"/>
      <c r="L27" s="401"/>
      <c r="M27" s="405"/>
      <c r="N27" s="405"/>
      <c r="O27" s="405"/>
      <c r="P27" s="405"/>
      <c r="Q27" s="405"/>
      <c r="R27" s="405"/>
      <c r="S27" s="405" t="s">
        <v>643</v>
      </c>
    </row>
    <row r="28" spans="1:19">
      <c r="A28" s="401">
        <f t="shared" si="0"/>
        <v>23</v>
      </c>
      <c r="B28" s="74" t="s">
        <v>68</v>
      </c>
      <c r="C28" s="74" t="s">
        <v>648</v>
      </c>
      <c r="D28" s="74" t="s">
        <v>649</v>
      </c>
      <c r="E28" s="402"/>
      <c r="F28" s="401">
        <v>0</v>
      </c>
      <c r="G28" s="401">
        <v>0</v>
      </c>
      <c r="H28" s="401">
        <v>0</v>
      </c>
      <c r="I28" s="401">
        <v>0</v>
      </c>
      <c r="J28" s="75">
        <v>231.68600000000001</v>
      </c>
      <c r="K28" s="1614" t="s">
        <v>652</v>
      </c>
      <c r="L28" s="401"/>
      <c r="M28" s="405" t="s">
        <v>1007</v>
      </c>
      <c r="N28" s="405" t="s">
        <v>30</v>
      </c>
      <c r="O28" s="405"/>
      <c r="P28" s="405"/>
      <c r="Q28" s="405"/>
      <c r="R28" s="405"/>
      <c r="S28" s="405" t="s">
        <v>643</v>
      </c>
    </row>
    <row r="29" spans="1:19">
      <c r="A29" s="401">
        <f t="shared" si="0"/>
        <v>24</v>
      </c>
      <c r="B29" s="74" t="s">
        <v>56</v>
      </c>
      <c r="C29" s="74" t="s">
        <v>653</v>
      </c>
      <c r="D29" s="74" t="s">
        <v>654</v>
      </c>
      <c r="E29" s="402"/>
      <c r="F29" s="401">
        <v>0</v>
      </c>
      <c r="G29" s="401">
        <v>0</v>
      </c>
      <c r="H29" s="401">
        <v>0</v>
      </c>
      <c r="I29" s="401">
        <v>0</v>
      </c>
      <c r="J29" s="75">
        <v>209.429</v>
      </c>
      <c r="K29" s="1615"/>
      <c r="L29" s="401"/>
      <c r="M29" s="405" t="s">
        <v>1007</v>
      </c>
      <c r="N29" s="405" t="s">
        <v>30</v>
      </c>
      <c r="O29" s="405"/>
      <c r="P29" s="405"/>
      <c r="Q29" s="405"/>
      <c r="R29" s="405"/>
      <c r="S29" s="405" t="s">
        <v>643</v>
      </c>
    </row>
    <row r="30" spans="1:19">
      <c r="A30" s="401">
        <f t="shared" si="0"/>
        <v>25</v>
      </c>
      <c r="B30" s="580" t="s">
        <v>60</v>
      </c>
      <c r="C30" s="580" t="s">
        <v>658</v>
      </c>
      <c r="D30" s="580" t="s">
        <v>906</v>
      </c>
      <c r="E30" s="581">
        <v>2</v>
      </c>
      <c r="F30" s="582">
        <v>2</v>
      </c>
      <c r="G30" s="582">
        <v>2</v>
      </c>
      <c r="H30" s="582">
        <v>2</v>
      </c>
      <c r="I30" s="582">
        <v>2</v>
      </c>
      <c r="J30" s="75">
        <v>104.55200000000001</v>
      </c>
      <c r="K30" s="432" t="s">
        <v>657</v>
      </c>
      <c r="L30" s="401"/>
      <c r="M30" s="405"/>
      <c r="N30" s="409"/>
      <c r="O30" s="405"/>
      <c r="P30" s="405"/>
      <c r="Q30" s="405"/>
      <c r="R30" s="405"/>
      <c r="S30" s="405" t="s">
        <v>643</v>
      </c>
    </row>
    <row r="31" spans="1:19">
      <c r="A31" s="401">
        <f t="shared" si="0"/>
        <v>26</v>
      </c>
      <c r="B31" s="74" t="s">
        <v>55</v>
      </c>
      <c r="C31" s="74" t="s">
        <v>671</v>
      </c>
      <c r="D31" s="74" t="s">
        <v>907</v>
      </c>
      <c r="E31" s="402"/>
      <c r="F31" s="401">
        <v>0</v>
      </c>
      <c r="G31" s="401">
        <v>0</v>
      </c>
      <c r="H31" s="401">
        <v>0</v>
      </c>
      <c r="I31" s="401">
        <v>0</v>
      </c>
      <c r="J31" s="75">
        <v>88.058999999999997</v>
      </c>
      <c r="K31" s="404"/>
      <c r="L31" s="401"/>
      <c r="M31" s="405" t="s">
        <v>978</v>
      </c>
      <c r="N31" s="409" t="s">
        <v>30</v>
      </c>
      <c r="O31" s="405"/>
      <c r="P31" s="405"/>
      <c r="Q31" s="405"/>
      <c r="R31" s="405"/>
      <c r="S31" s="405"/>
    </row>
    <row r="32" spans="1:19">
      <c r="A32" s="401">
        <f t="shared" si="0"/>
        <v>27</v>
      </c>
      <c r="B32" s="74" t="s">
        <v>59</v>
      </c>
      <c r="C32" s="74" t="s">
        <v>586</v>
      </c>
      <c r="D32" s="74" t="s">
        <v>910</v>
      </c>
      <c r="E32" s="402"/>
      <c r="F32" s="401">
        <v>0</v>
      </c>
      <c r="G32" s="401">
        <v>0</v>
      </c>
      <c r="H32" s="401">
        <v>0</v>
      </c>
      <c r="I32" s="401">
        <v>0</v>
      </c>
      <c r="J32" s="75">
        <v>72.888000000000005</v>
      </c>
      <c r="K32" s="404"/>
      <c r="L32" s="401"/>
      <c r="M32" s="405" t="s">
        <v>1007</v>
      </c>
      <c r="N32" s="409" t="s">
        <v>30</v>
      </c>
      <c r="O32" s="405"/>
      <c r="P32" s="405"/>
      <c r="Q32" s="405"/>
      <c r="R32" s="405"/>
      <c r="S32" s="405"/>
    </row>
    <row r="33" spans="1:19">
      <c r="A33" s="401">
        <f t="shared" si="0"/>
        <v>28</v>
      </c>
      <c r="B33" s="74" t="s">
        <v>58</v>
      </c>
      <c r="C33" s="74" t="s">
        <v>671</v>
      </c>
      <c r="D33" s="74" t="s">
        <v>913</v>
      </c>
      <c r="E33" s="405"/>
      <c r="F33" s="401">
        <v>0</v>
      </c>
      <c r="G33" s="401">
        <v>0</v>
      </c>
      <c r="H33" s="401">
        <v>0</v>
      </c>
      <c r="I33" s="401">
        <v>0</v>
      </c>
      <c r="J33" s="403"/>
      <c r="K33" s="404"/>
      <c r="L33" s="401"/>
      <c r="M33" s="405" t="s">
        <v>1007</v>
      </c>
      <c r="N33" s="409" t="s">
        <v>30</v>
      </c>
      <c r="O33" s="405"/>
      <c r="P33" s="405"/>
      <c r="Q33" s="405"/>
      <c r="R33" s="405"/>
      <c r="S33" s="405"/>
    </row>
    <row r="34" spans="1:19" s="415" customFormat="1">
      <c r="A34" s="410"/>
      <c r="B34" s="411"/>
      <c r="C34" s="411"/>
      <c r="D34" s="412"/>
      <c r="E34" s="412"/>
      <c r="F34" s="413"/>
      <c r="G34" s="413"/>
      <c r="H34" s="413"/>
      <c r="I34" s="413"/>
      <c r="J34" s="429">
        <f>SUM(J6:J33)/1000</f>
        <v>6.2919989999999997</v>
      </c>
      <c r="K34" s="414"/>
      <c r="L34" s="1613" t="s">
        <v>979</v>
      </c>
      <c r="M34" s="1613"/>
      <c r="N34" s="1613" t="s">
        <v>980</v>
      </c>
      <c r="O34" s="1613"/>
      <c r="P34" s="410"/>
      <c r="Q34" s="412"/>
      <c r="R34" s="412"/>
      <c r="S34" s="410"/>
    </row>
    <row r="35" spans="1:19" s="415" customFormat="1">
      <c r="H35" s="416"/>
      <c r="J35" s="416"/>
      <c r="K35" s="416"/>
      <c r="L35" s="417" t="s">
        <v>1006</v>
      </c>
      <c r="M35" s="419">
        <f>COUNT(A6:A33)</f>
        <v>28</v>
      </c>
      <c r="N35" s="417" t="s">
        <v>1006</v>
      </c>
      <c r="O35" s="419">
        <f>COUNT(A6:A33)</f>
        <v>28</v>
      </c>
      <c r="P35" s="410"/>
      <c r="Q35" s="410"/>
      <c r="R35" s="410"/>
    </row>
    <row r="36" spans="1:19" s="415" customFormat="1">
      <c r="L36" s="417" t="s">
        <v>29</v>
      </c>
      <c r="M36" s="419">
        <f>COUNTIF(M6:M33, "Completed")</f>
        <v>23</v>
      </c>
      <c r="N36" s="417" t="s">
        <v>29</v>
      </c>
      <c r="O36" s="418">
        <f>COUNTIF(P6:P33,"Completed")</f>
        <v>11</v>
      </c>
      <c r="P36" s="410"/>
      <c r="Q36" s="410"/>
      <c r="R36" s="410"/>
    </row>
    <row r="37" spans="1:19" s="415" customFormat="1">
      <c r="L37" s="417" t="s">
        <v>978</v>
      </c>
      <c r="M37" s="419">
        <f>COUNTIF(M6:M33, "WIP")</f>
        <v>1</v>
      </c>
      <c r="N37" s="417" t="s">
        <v>978</v>
      </c>
      <c r="O37" s="419">
        <f>COUNTIF(P6:P33, "WIP")</f>
        <v>1</v>
      </c>
      <c r="P37" s="410"/>
      <c r="Q37" s="410"/>
      <c r="R37" s="410"/>
    </row>
    <row r="38" spans="1:19" s="415" customFormat="1">
      <c r="L38" s="417" t="s">
        <v>1077</v>
      </c>
      <c r="M38" s="419">
        <f>COUNTBLANK(M6:M33)</f>
        <v>3</v>
      </c>
      <c r="N38" s="417" t="s">
        <v>1077</v>
      </c>
      <c r="O38" s="418">
        <f>COUNTBLANK(P6:P33)</f>
        <v>16</v>
      </c>
      <c r="P38" s="420"/>
      <c r="Q38" s="420"/>
      <c r="R38" s="420"/>
    </row>
    <row r="39" spans="1:19" s="415" customFormat="1">
      <c r="L39" s="417" t="s">
        <v>982</v>
      </c>
      <c r="M39" s="419">
        <f>COUNTIF(M6:M33, "HOLD")</f>
        <v>1</v>
      </c>
      <c r="N39" s="417" t="s">
        <v>982</v>
      </c>
      <c r="O39" s="418">
        <f>COUNTIF(P6:P33, "HOLD")</f>
        <v>0</v>
      </c>
      <c r="P39" s="420"/>
      <c r="Q39" s="420"/>
      <c r="R39" s="420"/>
    </row>
    <row r="40" spans="1:19">
      <c r="L40" s="417" t="s">
        <v>977</v>
      </c>
      <c r="M40" s="419">
        <f>COUNTIF(L6:L33, "ROW")</f>
        <v>1</v>
      </c>
      <c r="N40" s="417" t="s">
        <v>977</v>
      </c>
      <c r="O40" s="418">
        <f>COUNTIF(P6:P33, "ROW")</f>
        <v>0</v>
      </c>
    </row>
    <row r="41" spans="1:19">
      <c r="L41" s="421" t="s">
        <v>983</v>
      </c>
      <c r="M41" s="419">
        <f>COUNTIF(O6:O33, "Completed")</f>
        <v>15</v>
      </c>
      <c r="N41" s="421" t="s">
        <v>984</v>
      </c>
      <c r="O41" s="418">
        <f>COUNTIF(R6:R33, "Completed")</f>
        <v>0</v>
      </c>
    </row>
    <row r="42" spans="1:19">
      <c r="L42" s="422"/>
      <c r="M42" s="422"/>
      <c r="N42" s="422"/>
    </row>
    <row r="43" spans="1:19">
      <c r="L43" s="422"/>
      <c r="M43" s="422"/>
      <c r="N43" s="422"/>
    </row>
    <row r="44" spans="1:19">
      <c r="L44" s="422"/>
      <c r="M44" s="422"/>
      <c r="N44" s="422"/>
    </row>
    <row r="45" spans="1:19">
      <c r="L45" s="422"/>
      <c r="M45" s="422"/>
      <c r="N45" s="422"/>
    </row>
    <row r="46" spans="1:19">
      <c r="L46" s="422"/>
      <c r="M46" s="422"/>
      <c r="N46" s="422"/>
    </row>
    <row r="47" spans="1:19">
      <c r="L47" s="422"/>
      <c r="M47" s="422"/>
      <c r="N47" s="422"/>
    </row>
    <row r="48" spans="1:19">
      <c r="L48" s="422"/>
      <c r="M48" s="422"/>
      <c r="N48" s="422"/>
    </row>
    <row r="49" spans="12:14">
      <c r="L49" s="422"/>
      <c r="M49" s="422"/>
      <c r="N49" s="422"/>
    </row>
    <row r="50" spans="12:14">
      <c r="L50" s="422"/>
      <c r="M50" s="422"/>
      <c r="N50" s="422"/>
    </row>
    <row r="51" spans="12:14">
      <c r="L51" s="422"/>
      <c r="M51" s="422"/>
      <c r="N51" s="422"/>
    </row>
    <row r="52" spans="12:14">
      <c r="L52" s="422"/>
      <c r="M52" s="422"/>
      <c r="N52" s="422"/>
    </row>
    <row r="53" spans="12:14">
      <c r="L53" s="422"/>
      <c r="M53" s="422"/>
      <c r="N53" s="422"/>
    </row>
    <row r="54" spans="12:14">
      <c r="L54" s="422"/>
      <c r="M54" s="422"/>
      <c r="N54" s="422"/>
    </row>
    <row r="55" spans="12:14">
      <c r="L55" s="422"/>
      <c r="M55" s="422"/>
      <c r="N55" s="422"/>
    </row>
    <row r="56" spans="12:14">
      <c r="L56" s="422"/>
      <c r="M56" s="422"/>
      <c r="N56" s="422"/>
    </row>
    <row r="57" spans="12:14">
      <c r="L57" s="422"/>
      <c r="M57" s="422"/>
      <c r="N57" s="422"/>
    </row>
    <row r="58" spans="12:14">
      <c r="L58" s="422"/>
      <c r="M58" s="422"/>
      <c r="N58" s="422"/>
    </row>
    <row r="59" spans="12:14">
      <c r="L59" s="422"/>
      <c r="M59" s="422"/>
      <c r="N59" s="422"/>
    </row>
    <row r="60" spans="12:14">
      <c r="L60" s="422"/>
      <c r="M60" s="422"/>
      <c r="N60" s="422"/>
    </row>
    <row r="61" spans="12:14">
      <c r="L61" s="422"/>
      <c r="M61" s="422"/>
      <c r="N61" s="422"/>
    </row>
    <row r="62" spans="12:14">
      <c r="L62" s="422"/>
      <c r="M62" s="422"/>
      <c r="N62" s="422"/>
    </row>
    <row r="63" spans="12:14">
      <c r="L63" s="422"/>
      <c r="M63" s="422"/>
      <c r="N63" s="422"/>
    </row>
    <row r="64" spans="12:14">
      <c r="L64" s="422"/>
      <c r="M64" s="422"/>
      <c r="N64" s="422"/>
    </row>
    <row r="65" spans="12:14">
      <c r="L65" s="422"/>
      <c r="M65" s="422"/>
      <c r="N65" s="422"/>
    </row>
    <row r="66" spans="12:14">
      <c r="L66" s="422"/>
      <c r="M66" s="422"/>
      <c r="N66" s="422"/>
    </row>
    <row r="67" spans="12:14">
      <c r="L67" s="422"/>
      <c r="M67" s="422"/>
      <c r="N67" s="422"/>
    </row>
    <row r="68" spans="12:14">
      <c r="L68" s="422"/>
      <c r="M68" s="422"/>
      <c r="N68" s="422"/>
    </row>
    <row r="69" spans="12:14">
      <c r="L69" s="422"/>
      <c r="M69" s="422"/>
      <c r="N69" s="422"/>
    </row>
    <row r="70" spans="12:14">
      <c r="L70" s="422"/>
      <c r="M70" s="422"/>
      <c r="N70" s="422"/>
    </row>
    <row r="71" spans="12:14">
      <c r="L71" s="422"/>
      <c r="M71" s="422"/>
      <c r="N71" s="422"/>
    </row>
    <row r="72" spans="12:14">
      <c r="L72" s="422"/>
      <c r="M72" s="422"/>
      <c r="N72" s="422"/>
    </row>
    <row r="73" spans="12:14">
      <c r="L73" s="422"/>
      <c r="M73" s="422"/>
      <c r="N73" s="422"/>
    </row>
    <row r="74" spans="12:14">
      <c r="L74" s="422"/>
      <c r="M74" s="422"/>
      <c r="N74" s="422"/>
    </row>
    <row r="75" spans="12:14">
      <c r="L75" s="422"/>
      <c r="M75" s="422"/>
      <c r="N75" s="422"/>
    </row>
    <row r="76" spans="12:14">
      <c r="L76" s="422"/>
      <c r="M76" s="422"/>
      <c r="N76" s="422"/>
    </row>
    <row r="77" spans="12:14">
      <c r="L77" s="422"/>
      <c r="M77" s="422"/>
      <c r="N77" s="422"/>
    </row>
    <row r="78" spans="12:14">
      <c r="L78" s="422"/>
      <c r="M78" s="422"/>
      <c r="N78" s="422"/>
    </row>
    <row r="79" spans="12:14">
      <c r="L79" s="422"/>
      <c r="M79" s="422"/>
      <c r="N79" s="422"/>
    </row>
    <row r="80" spans="12:14">
      <c r="L80" s="422"/>
      <c r="M80" s="422"/>
      <c r="N80" s="422"/>
    </row>
    <row r="81" spans="12:14">
      <c r="L81" s="422"/>
      <c r="M81" s="422"/>
      <c r="N81" s="422"/>
    </row>
    <row r="82" spans="12:14">
      <c r="L82" s="422"/>
      <c r="M82" s="422"/>
      <c r="N82" s="422"/>
    </row>
    <row r="83" spans="12:14">
      <c r="L83" s="422"/>
      <c r="M83" s="422"/>
      <c r="N83" s="422"/>
    </row>
    <row r="84" spans="12:14">
      <c r="L84" s="422"/>
      <c r="M84" s="422"/>
      <c r="N84" s="422"/>
    </row>
    <row r="85" spans="12:14">
      <c r="L85" s="422"/>
      <c r="M85" s="422"/>
      <c r="N85" s="422"/>
    </row>
    <row r="86" spans="12:14">
      <c r="L86" s="422"/>
      <c r="M86" s="422"/>
      <c r="N86" s="422"/>
    </row>
    <row r="87" spans="12:14">
      <c r="L87" s="422"/>
      <c r="M87" s="422"/>
      <c r="N87" s="422"/>
    </row>
    <row r="88" spans="12:14">
      <c r="L88" s="422"/>
      <c r="M88" s="422"/>
      <c r="N88" s="422"/>
    </row>
    <row r="89" spans="12:14">
      <c r="L89" s="422"/>
      <c r="M89" s="422"/>
      <c r="N89" s="422"/>
    </row>
    <row r="90" spans="12:14">
      <c r="L90" s="422"/>
      <c r="M90" s="422"/>
      <c r="N90" s="422"/>
    </row>
    <row r="91" spans="12:14">
      <c r="L91" s="422"/>
      <c r="M91" s="422"/>
      <c r="N91" s="422"/>
    </row>
    <row r="92" spans="12:14">
      <c r="L92" s="422"/>
      <c r="M92" s="422"/>
      <c r="N92" s="422"/>
    </row>
    <row r="93" spans="12:14">
      <c r="L93" s="422"/>
      <c r="M93" s="422"/>
      <c r="N93" s="422"/>
    </row>
    <row r="94" spans="12:14">
      <c r="L94" s="422"/>
      <c r="M94" s="422"/>
      <c r="N94" s="422"/>
    </row>
    <row r="95" spans="12:14">
      <c r="L95" s="422"/>
      <c r="M95" s="422"/>
      <c r="N95" s="422"/>
    </row>
    <row r="96" spans="12:14">
      <c r="L96" s="422"/>
      <c r="M96" s="422"/>
      <c r="N96" s="422"/>
    </row>
    <row r="97" spans="12:14">
      <c r="L97" s="422"/>
      <c r="M97" s="422"/>
      <c r="N97" s="422"/>
    </row>
    <row r="98" spans="12:14">
      <c r="L98" s="422"/>
      <c r="M98" s="422"/>
      <c r="N98" s="422"/>
    </row>
    <row r="99" spans="12:14">
      <c r="L99" s="422"/>
      <c r="M99" s="422"/>
      <c r="N99" s="422"/>
    </row>
    <row r="100" spans="12:14">
      <c r="L100" s="422"/>
      <c r="M100" s="422"/>
      <c r="N100" s="422"/>
    </row>
    <row r="101" spans="12:14">
      <c r="L101" s="422"/>
      <c r="M101" s="422"/>
      <c r="N101" s="422"/>
    </row>
    <row r="102" spans="12:14">
      <c r="L102" s="422"/>
      <c r="M102" s="422"/>
      <c r="N102" s="422"/>
    </row>
    <row r="103" spans="12:14">
      <c r="L103" s="422"/>
      <c r="M103" s="422"/>
      <c r="N103" s="422"/>
    </row>
    <row r="104" spans="12:14">
      <c r="L104" s="422"/>
      <c r="M104" s="422"/>
      <c r="N104" s="422"/>
    </row>
    <row r="105" spans="12:14">
      <c r="L105" s="422"/>
      <c r="M105" s="422"/>
      <c r="N105" s="422"/>
    </row>
    <row r="106" spans="12:14">
      <c r="L106" s="422"/>
      <c r="M106" s="422"/>
      <c r="N106" s="422"/>
    </row>
    <row r="107" spans="12:14">
      <c r="L107" s="422"/>
      <c r="M107" s="422"/>
      <c r="N107" s="422"/>
    </row>
    <row r="108" spans="12:14">
      <c r="L108" s="422"/>
      <c r="M108" s="422"/>
      <c r="N108" s="422"/>
    </row>
    <row r="109" spans="12:14">
      <c r="L109" s="422"/>
      <c r="M109" s="422"/>
      <c r="N109" s="422"/>
    </row>
    <row r="110" spans="12:14">
      <c r="L110" s="422"/>
      <c r="M110" s="422"/>
      <c r="N110" s="422"/>
    </row>
    <row r="111" spans="12:14">
      <c r="L111" s="422"/>
      <c r="M111" s="422"/>
      <c r="N111" s="422"/>
    </row>
    <row r="112" spans="12:14">
      <c r="L112" s="422"/>
      <c r="M112" s="422"/>
      <c r="N112" s="422"/>
    </row>
    <row r="113" spans="12:14">
      <c r="L113" s="422"/>
      <c r="M113" s="422"/>
      <c r="N113" s="422"/>
    </row>
    <row r="114" spans="12:14">
      <c r="L114" s="422"/>
      <c r="M114" s="422"/>
      <c r="N114" s="422"/>
    </row>
    <row r="115" spans="12:14">
      <c r="L115" s="422"/>
      <c r="M115" s="422"/>
      <c r="N115" s="422"/>
    </row>
    <row r="116" spans="12:14">
      <c r="L116" s="422"/>
      <c r="M116" s="422"/>
      <c r="N116" s="422"/>
    </row>
    <row r="117" spans="12:14">
      <c r="L117" s="422"/>
      <c r="M117" s="422"/>
      <c r="N117" s="422"/>
    </row>
    <row r="118" spans="12:14">
      <c r="L118" s="422"/>
      <c r="M118" s="422"/>
      <c r="N118" s="422"/>
    </row>
    <row r="119" spans="12:14">
      <c r="L119" s="422"/>
      <c r="M119" s="422"/>
      <c r="N119" s="422"/>
    </row>
    <row r="120" spans="12:14">
      <c r="L120" s="422"/>
      <c r="M120" s="422"/>
      <c r="N120" s="422"/>
    </row>
    <row r="121" spans="12:14">
      <c r="L121" s="422"/>
      <c r="M121" s="422"/>
      <c r="N121" s="422"/>
    </row>
    <row r="122" spans="12:14">
      <c r="L122" s="422"/>
      <c r="M122" s="422"/>
      <c r="N122" s="422"/>
    </row>
    <row r="123" spans="12:14">
      <c r="L123" s="422"/>
      <c r="M123" s="422"/>
      <c r="N123" s="422"/>
    </row>
    <row r="124" spans="12:14">
      <c r="L124" s="422"/>
      <c r="M124" s="422"/>
      <c r="N124" s="422"/>
    </row>
    <row r="125" spans="12:14">
      <c r="L125" s="422"/>
      <c r="M125" s="422"/>
      <c r="N125" s="422"/>
    </row>
    <row r="126" spans="12:14">
      <c r="L126" s="422"/>
      <c r="M126" s="422"/>
      <c r="N126" s="422"/>
    </row>
    <row r="127" spans="12:14">
      <c r="L127" s="422"/>
      <c r="M127" s="422"/>
      <c r="N127" s="422"/>
    </row>
    <row r="128" spans="12:14">
      <c r="L128" s="422"/>
      <c r="M128" s="422"/>
      <c r="N128" s="422"/>
    </row>
    <row r="129" spans="12:14">
      <c r="L129" s="422"/>
      <c r="M129" s="422"/>
      <c r="N129" s="422"/>
    </row>
    <row r="130" spans="12:14">
      <c r="L130" s="422"/>
      <c r="M130" s="422"/>
      <c r="N130" s="422"/>
    </row>
    <row r="131" spans="12:14">
      <c r="L131" s="422"/>
      <c r="M131" s="422"/>
      <c r="N131" s="422"/>
    </row>
    <row r="132" spans="12:14">
      <c r="L132" s="422"/>
      <c r="M132" s="422"/>
      <c r="N132" s="422"/>
    </row>
    <row r="133" spans="12:14">
      <c r="L133" s="422"/>
      <c r="M133" s="422"/>
      <c r="N133" s="422"/>
    </row>
    <row r="134" spans="12:14">
      <c r="L134" s="422"/>
      <c r="M134" s="422"/>
      <c r="N134" s="422"/>
    </row>
    <row r="135" spans="12:14">
      <c r="L135" s="422"/>
      <c r="M135" s="422"/>
      <c r="N135" s="422"/>
    </row>
    <row r="136" spans="12:14">
      <c r="L136" s="422"/>
      <c r="M136" s="422"/>
      <c r="N136" s="422"/>
    </row>
    <row r="137" spans="12:14">
      <c r="L137" s="422"/>
      <c r="M137" s="422"/>
      <c r="N137" s="422"/>
    </row>
    <row r="138" spans="12:14">
      <c r="L138" s="422"/>
      <c r="M138" s="422"/>
      <c r="N138" s="422"/>
    </row>
    <row r="139" spans="12:14">
      <c r="L139" s="422"/>
      <c r="M139" s="422"/>
      <c r="N139" s="422"/>
    </row>
    <row r="140" spans="12:14">
      <c r="L140" s="422"/>
      <c r="M140" s="422"/>
      <c r="N140" s="422"/>
    </row>
    <row r="141" spans="12:14">
      <c r="L141" s="422"/>
      <c r="M141" s="422"/>
      <c r="N141" s="422"/>
    </row>
    <row r="142" spans="12:14">
      <c r="L142" s="422"/>
      <c r="M142" s="422"/>
      <c r="N142" s="422"/>
    </row>
    <row r="143" spans="12:14">
      <c r="L143" s="422"/>
      <c r="M143" s="422"/>
      <c r="N143" s="422"/>
    </row>
    <row r="144" spans="12:14">
      <c r="L144" s="422"/>
      <c r="M144" s="422"/>
      <c r="N144" s="422"/>
    </row>
    <row r="145" spans="12:14">
      <c r="L145" s="422"/>
      <c r="M145" s="422"/>
      <c r="N145" s="422"/>
    </row>
    <row r="146" spans="12:14">
      <c r="L146" s="422"/>
      <c r="M146" s="422"/>
      <c r="N146" s="422"/>
    </row>
    <row r="147" spans="12:14">
      <c r="L147" s="422"/>
      <c r="M147" s="422"/>
      <c r="N147" s="422"/>
    </row>
    <row r="148" spans="12:14">
      <c r="L148" s="422"/>
      <c r="M148" s="422"/>
      <c r="N148" s="422"/>
    </row>
    <row r="149" spans="12:14">
      <c r="L149" s="422"/>
      <c r="M149" s="422"/>
      <c r="N149" s="422"/>
    </row>
    <row r="150" spans="12:14">
      <c r="L150" s="422"/>
      <c r="M150" s="422"/>
      <c r="N150" s="422"/>
    </row>
    <row r="151" spans="12:14">
      <c r="L151" s="422"/>
      <c r="M151" s="422"/>
      <c r="N151" s="422"/>
    </row>
    <row r="152" spans="12:14">
      <c r="L152" s="422"/>
      <c r="M152" s="422"/>
      <c r="N152" s="422"/>
    </row>
    <row r="153" spans="12:14">
      <c r="L153" s="422"/>
      <c r="M153" s="422"/>
      <c r="N153" s="422"/>
    </row>
    <row r="154" spans="12:14">
      <c r="L154" s="422"/>
      <c r="M154" s="422"/>
      <c r="N154" s="422"/>
    </row>
    <row r="155" spans="12:14">
      <c r="L155" s="422"/>
      <c r="M155" s="422"/>
      <c r="N155" s="422"/>
    </row>
    <row r="156" spans="12:14">
      <c r="L156" s="422"/>
      <c r="M156" s="422"/>
      <c r="N156" s="422"/>
    </row>
    <row r="157" spans="12:14">
      <c r="L157" s="422"/>
      <c r="M157" s="422"/>
      <c r="N157" s="422"/>
    </row>
    <row r="158" spans="12:14">
      <c r="L158" s="422"/>
      <c r="M158" s="422"/>
      <c r="N158" s="422"/>
    </row>
    <row r="159" spans="12:14">
      <c r="L159" s="422"/>
      <c r="M159" s="422"/>
      <c r="N159" s="422"/>
    </row>
    <row r="160" spans="12:14">
      <c r="L160" s="422"/>
      <c r="M160" s="422"/>
      <c r="N160" s="422"/>
    </row>
    <row r="161" spans="12:14">
      <c r="L161" s="422"/>
      <c r="M161" s="422"/>
      <c r="N161" s="422"/>
    </row>
    <row r="162" spans="12:14">
      <c r="L162" s="422"/>
      <c r="M162" s="422"/>
      <c r="N162" s="422"/>
    </row>
    <row r="163" spans="12:14">
      <c r="L163" s="422"/>
      <c r="M163" s="422"/>
      <c r="N163" s="422"/>
    </row>
    <row r="164" spans="12:14">
      <c r="L164" s="422"/>
      <c r="M164" s="422"/>
      <c r="N164" s="422"/>
    </row>
    <row r="165" spans="12:14">
      <c r="L165" s="422"/>
      <c r="M165" s="422"/>
      <c r="N165" s="422"/>
    </row>
    <row r="166" spans="12:14">
      <c r="L166" s="422"/>
      <c r="M166" s="422"/>
      <c r="N166" s="422"/>
    </row>
    <row r="167" spans="12:14">
      <c r="L167" s="422"/>
      <c r="M167" s="422"/>
      <c r="N167" s="422"/>
    </row>
    <row r="168" spans="12:14">
      <c r="L168" s="422"/>
      <c r="M168" s="422"/>
      <c r="N168" s="422"/>
    </row>
    <row r="169" spans="12:14">
      <c r="L169" s="422"/>
      <c r="M169" s="422"/>
      <c r="N169" s="422"/>
    </row>
    <row r="170" spans="12:14">
      <c r="L170" s="422"/>
      <c r="M170" s="422"/>
      <c r="N170" s="422"/>
    </row>
    <row r="171" spans="12:14">
      <c r="L171" s="422"/>
      <c r="M171" s="422"/>
      <c r="N171" s="422"/>
    </row>
    <row r="172" spans="12:14">
      <c r="L172" s="422"/>
      <c r="M172" s="422"/>
      <c r="N172" s="422"/>
    </row>
    <row r="173" spans="12:14">
      <c r="L173" s="422"/>
      <c r="M173" s="422"/>
      <c r="N173" s="422"/>
    </row>
    <row r="174" spans="12:14">
      <c r="L174" s="422"/>
      <c r="M174" s="422"/>
      <c r="N174" s="422"/>
    </row>
    <row r="175" spans="12:14">
      <c r="L175" s="422"/>
      <c r="M175" s="422"/>
      <c r="N175" s="422"/>
    </row>
    <row r="176" spans="12:14">
      <c r="L176" s="422"/>
      <c r="M176" s="422"/>
      <c r="N176" s="422"/>
    </row>
    <row r="177" spans="12:14">
      <c r="L177" s="422"/>
      <c r="M177" s="422"/>
      <c r="N177" s="422"/>
    </row>
    <row r="178" spans="12:14">
      <c r="L178" s="422"/>
      <c r="M178" s="422"/>
      <c r="N178" s="422"/>
    </row>
    <row r="179" spans="12:14">
      <c r="L179" s="422"/>
      <c r="M179" s="422"/>
      <c r="N179" s="422"/>
    </row>
    <row r="180" spans="12:14">
      <c r="L180" s="422"/>
      <c r="M180" s="422"/>
      <c r="N180" s="422"/>
    </row>
    <row r="181" spans="12:14">
      <c r="L181" s="422"/>
      <c r="M181" s="422"/>
      <c r="N181" s="422"/>
    </row>
    <row r="182" spans="12:14">
      <c r="L182" s="422"/>
      <c r="M182" s="422"/>
      <c r="N182" s="422"/>
    </row>
    <row r="183" spans="12:14">
      <c r="L183" s="422"/>
      <c r="M183" s="422"/>
      <c r="N183" s="422"/>
    </row>
    <row r="184" spans="12:14">
      <c r="L184" s="422"/>
      <c r="M184" s="422"/>
      <c r="N184" s="422"/>
    </row>
    <row r="185" spans="12:14">
      <c r="L185" s="422"/>
      <c r="M185" s="422"/>
      <c r="N185" s="422"/>
    </row>
    <row r="186" spans="12:14">
      <c r="L186" s="422"/>
      <c r="M186" s="422"/>
      <c r="N186" s="422"/>
    </row>
    <row r="187" spans="12:14">
      <c r="L187" s="422"/>
      <c r="M187" s="422"/>
      <c r="N187" s="422"/>
    </row>
    <row r="188" spans="12:14">
      <c r="L188" s="422"/>
      <c r="M188" s="422"/>
      <c r="N188" s="422"/>
    </row>
    <row r="189" spans="12:14">
      <c r="L189" s="422"/>
      <c r="M189" s="422"/>
      <c r="N189" s="422"/>
    </row>
    <row r="190" spans="12:14">
      <c r="L190" s="422"/>
      <c r="M190" s="422"/>
      <c r="N190" s="422"/>
    </row>
    <row r="191" spans="12:14">
      <c r="L191" s="422"/>
      <c r="M191" s="422"/>
      <c r="N191" s="422"/>
    </row>
    <row r="192" spans="12:14">
      <c r="L192" s="422"/>
      <c r="M192" s="422"/>
      <c r="N192" s="422"/>
    </row>
    <row r="193" spans="12:14">
      <c r="L193" s="422"/>
      <c r="M193" s="422"/>
      <c r="N193" s="422"/>
    </row>
    <row r="194" spans="12:14">
      <c r="L194" s="422"/>
      <c r="M194" s="422"/>
      <c r="N194" s="422"/>
    </row>
    <row r="195" spans="12:14">
      <c r="L195" s="422"/>
      <c r="M195" s="422"/>
      <c r="N195" s="422"/>
    </row>
    <row r="196" spans="12:14">
      <c r="L196" s="422"/>
      <c r="M196" s="422"/>
      <c r="N196" s="422"/>
    </row>
    <row r="197" spans="12:14">
      <c r="L197" s="422"/>
      <c r="M197" s="422"/>
      <c r="N197" s="422"/>
    </row>
    <row r="198" spans="12:14">
      <c r="L198" s="422"/>
      <c r="M198" s="422"/>
      <c r="N198" s="422"/>
    </row>
    <row r="199" spans="12:14">
      <c r="L199" s="422"/>
      <c r="M199" s="422"/>
      <c r="N199" s="422"/>
    </row>
    <row r="200" spans="12:14">
      <c r="L200" s="422"/>
      <c r="M200" s="422"/>
      <c r="N200" s="422"/>
    </row>
    <row r="201" spans="12:14">
      <c r="L201" s="422"/>
      <c r="M201" s="422"/>
      <c r="N201" s="422"/>
    </row>
    <row r="202" spans="12:14">
      <c r="L202" s="422"/>
      <c r="M202" s="422"/>
      <c r="N202" s="422"/>
    </row>
    <row r="203" spans="12:14">
      <c r="L203" s="422"/>
      <c r="M203" s="422"/>
      <c r="N203" s="422"/>
    </row>
    <row r="204" spans="12:14">
      <c r="L204" s="422"/>
      <c r="M204" s="422"/>
      <c r="N204" s="422"/>
    </row>
    <row r="205" spans="12:14">
      <c r="L205" s="422"/>
      <c r="M205" s="422"/>
      <c r="N205" s="422"/>
    </row>
    <row r="206" spans="12:14">
      <c r="L206" s="422"/>
      <c r="M206" s="422"/>
      <c r="N206" s="422"/>
    </row>
    <row r="207" spans="12:14">
      <c r="L207" s="422"/>
      <c r="M207" s="422"/>
      <c r="N207" s="422"/>
    </row>
    <row r="208" spans="12:14">
      <c r="L208" s="422"/>
      <c r="M208" s="422"/>
      <c r="N208" s="422"/>
    </row>
    <row r="209" spans="12:14">
      <c r="L209" s="422"/>
      <c r="M209" s="422"/>
      <c r="N209" s="422"/>
    </row>
    <row r="210" spans="12:14">
      <c r="L210" s="422"/>
      <c r="M210" s="422"/>
      <c r="N210" s="422"/>
    </row>
    <row r="211" spans="12:14">
      <c r="L211" s="422"/>
      <c r="M211" s="422"/>
      <c r="N211" s="422"/>
    </row>
    <row r="212" spans="12:14">
      <c r="L212" s="422"/>
      <c r="M212" s="422"/>
      <c r="N212" s="422"/>
    </row>
    <row r="213" spans="12:14">
      <c r="L213" s="422"/>
      <c r="M213" s="422"/>
      <c r="N213" s="422"/>
    </row>
    <row r="214" spans="12:14">
      <c r="L214" s="422"/>
      <c r="M214" s="422"/>
      <c r="N214" s="422"/>
    </row>
    <row r="215" spans="12:14">
      <c r="L215" s="422"/>
      <c r="M215" s="422"/>
      <c r="N215" s="422"/>
    </row>
    <row r="216" spans="12:14">
      <c r="L216" s="422"/>
      <c r="M216" s="422"/>
      <c r="N216" s="422"/>
    </row>
    <row r="217" spans="12:14">
      <c r="L217" s="422"/>
      <c r="M217" s="422"/>
      <c r="N217" s="422"/>
    </row>
    <row r="218" spans="12:14">
      <c r="L218" s="422"/>
      <c r="M218" s="422"/>
      <c r="N218" s="422"/>
    </row>
    <row r="219" spans="12:14">
      <c r="L219" s="422"/>
      <c r="M219" s="422"/>
      <c r="N219" s="422"/>
    </row>
    <row r="220" spans="12:14">
      <c r="L220" s="422"/>
      <c r="M220" s="422"/>
      <c r="N220" s="422"/>
    </row>
    <row r="221" spans="12:14">
      <c r="L221" s="422"/>
      <c r="M221" s="422"/>
      <c r="N221" s="422"/>
    </row>
    <row r="222" spans="12:14">
      <c r="L222" s="422"/>
      <c r="M222" s="422"/>
      <c r="N222" s="422"/>
    </row>
    <row r="223" spans="12:14">
      <c r="L223" s="422"/>
      <c r="M223" s="422"/>
      <c r="N223" s="422"/>
    </row>
    <row r="224" spans="12:14">
      <c r="L224" s="422"/>
      <c r="M224" s="422"/>
      <c r="N224" s="422"/>
    </row>
    <row r="225" spans="12:14">
      <c r="L225" s="422"/>
      <c r="M225" s="422"/>
      <c r="N225" s="422"/>
    </row>
    <row r="226" spans="12:14">
      <c r="L226" s="422"/>
      <c r="M226" s="422"/>
      <c r="N226" s="422"/>
    </row>
    <row r="227" spans="12:14">
      <c r="L227" s="422"/>
      <c r="M227" s="422"/>
      <c r="N227" s="422"/>
    </row>
    <row r="228" spans="12:14">
      <c r="L228" s="422"/>
      <c r="M228" s="422"/>
      <c r="N228" s="422"/>
    </row>
    <row r="229" spans="12:14">
      <c r="L229" s="422"/>
      <c r="M229" s="422"/>
      <c r="N229" s="422"/>
    </row>
    <row r="230" spans="12:14">
      <c r="L230" s="422"/>
      <c r="M230" s="422"/>
      <c r="N230" s="422"/>
    </row>
    <row r="231" spans="12:14">
      <c r="L231" s="422"/>
      <c r="M231" s="422"/>
      <c r="N231" s="422"/>
    </row>
    <row r="232" spans="12:14">
      <c r="L232" s="422"/>
      <c r="M232" s="422"/>
      <c r="N232" s="422"/>
    </row>
    <row r="233" spans="12:14">
      <c r="L233" s="422"/>
      <c r="M233" s="422"/>
      <c r="N233" s="422"/>
    </row>
    <row r="234" spans="12:14">
      <c r="L234" s="422"/>
      <c r="M234" s="422"/>
      <c r="N234" s="422"/>
    </row>
    <row r="235" spans="12:14">
      <c r="L235" s="422"/>
      <c r="M235" s="422"/>
      <c r="N235" s="422"/>
    </row>
    <row r="236" spans="12:14">
      <c r="L236" s="422"/>
      <c r="M236" s="422"/>
      <c r="N236" s="422"/>
    </row>
    <row r="237" spans="12:14">
      <c r="L237" s="422"/>
      <c r="M237" s="422"/>
      <c r="N237" s="422"/>
    </row>
    <row r="238" spans="12:14">
      <c r="L238" s="422"/>
      <c r="M238" s="422"/>
      <c r="N238" s="422"/>
    </row>
    <row r="239" spans="12:14">
      <c r="L239" s="422"/>
      <c r="M239" s="422"/>
      <c r="N239" s="422"/>
    </row>
    <row r="240" spans="12:14">
      <c r="L240" s="422"/>
      <c r="M240" s="422"/>
      <c r="N240" s="422"/>
    </row>
    <row r="241" spans="12:14">
      <c r="L241" s="422"/>
      <c r="M241" s="422"/>
      <c r="N241" s="422"/>
    </row>
    <row r="242" spans="12:14">
      <c r="L242" s="422"/>
      <c r="M242" s="422"/>
      <c r="N242" s="422"/>
    </row>
    <row r="243" spans="12:14">
      <c r="L243" s="422"/>
      <c r="M243" s="422"/>
      <c r="N243" s="422"/>
    </row>
    <row r="244" spans="12:14">
      <c r="L244" s="422"/>
      <c r="M244" s="422"/>
      <c r="N244" s="422"/>
    </row>
    <row r="245" spans="12:14">
      <c r="L245" s="422"/>
      <c r="M245" s="422"/>
      <c r="N245" s="422"/>
    </row>
    <row r="246" spans="12:14">
      <c r="L246" s="422"/>
      <c r="M246" s="422"/>
      <c r="N246" s="422"/>
    </row>
    <row r="247" spans="12:14">
      <c r="L247" s="422"/>
      <c r="M247" s="422"/>
      <c r="N247" s="422"/>
    </row>
    <row r="248" spans="12:14">
      <c r="L248" s="422"/>
      <c r="M248" s="422"/>
      <c r="N248" s="422"/>
    </row>
    <row r="249" spans="12:14">
      <c r="L249" s="422"/>
      <c r="M249" s="422"/>
      <c r="N249" s="422"/>
    </row>
    <row r="250" spans="12:14">
      <c r="L250" s="422"/>
      <c r="M250" s="422"/>
      <c r="N250" s="422"/>
    </row>
    <row r="251" spans="12:14">
      <c r="L251" s="422"/>
      <c r="M251" s="422"/>
      <c r="N251" s="422"/>
    </row>
    <row r="252" spans="12:14">
      <c r="L252" s="422"/>
      <c r="M252" s="422"/>
      <c r="N252" s="422"/>
    </row>
    <row r="253" spans="12:14">
      <c r="L253" s="422"/>
      <c r="M253" s="422"/>
      <c r="N253" s="422"/>
    </row>
    <row r="254" spans="12:14">
      <c r="L254" s="422"/>
      <c r="M254" s="422"/>
      <c r="N254" s="422"/>
    </row>
    <row r="255" spans="12:14">
      <c r="L255" s="422"/>
      <c r="M255" s="422"/>
      <c r="N255" s="422"/>
    </row>
    <row r="256" spans="12:14">
      <c r="L256" s="422"/>
      <c r="M256" s="422"/>
      <c r="N256" s="422"/>
    </row>
    <row r="257" spans="12:14">
      <c r="L257" s="422"/>
      <c r="M257" s="422"/>
      <c r="N257" s="422"/>
    </row>
    <row r="258" spans="12:14">
      <c r="L258" s="422"/>
      <c r="M258" s="422"/>
      <c r="N258" s="422"/>
    </row>
    <row r="259" spans="12:14">
      <c r="L259" s="422"/>
      <c r="M259" s="422"/>
      <c r="N259" s="422"/>
    </row>
    <row r="260" spans="12:14">
      <c r="L260" s="422"/>
      <c r="M260" s="422"/>
      <c r="N260" s="422"/>
    </row>
    <row r="261" spans="12:14">
      <c r="L261" s="422"/>
      <c r="M261" s="422"/>
      <c r="N261" s="422"/>
    </row>
    <row r="262" spans="12:14">
      <c r="L262" s="422"/>
      <c r="M262" s="422"/>
      <c r="N262" s="422"/>
    </row>
    <row r="263" spans="12:14">
      <c r="L263" s="422"/>
      <c r="M263" s="422"/>
      <c r="N263" s="422"/>
    </row>
    <row r="264" spans="12:14">
      <c r="L264" s="422"/>
      <c r="M264" s="422"/>
      <c r="N264" s="422"/>
    </row>
    <row r="265" spans="12:14">
      <c r="L265" s="422"/>
      <c r="M265" s="422"/>
      <c r="N265" s="422"/>
    </row>
    <row r="266" spans="12:14">
      <c r="L266" s="422"/>
      <c r="M266" s="422"/>
      <c r="N266" s="422"/>
    </row>
    <row r="267" spans="12:14">
      <c r="L267" s="422"/>
      <c r="M267" s="422"/>
      <c r="N267" s="422"/>
    </row>
    <row r="268" spans="12:14">
      <c r="L268" s="422"/>
      <c r="M268" s="422"/>
      <c r="N268" s="422"/>
    </row>
    <row r="269" spans="12:14">
      <c r="L269" s="422"/>
      <c r="M269" s="422"/>
      <c r="N269" s="422"/>
    </row>
    <row r="270" spans="12:14">
      <c r="L270" s="422"/>
      <c r="M270" s="422"/>
      <c r="N270" s="422"/>
    </row>
    <row r="271" spans="12:14">
      <c r="L271" s="422"/>
      <c r="M271" s="422"/>
      <c r="N271" s="422"/>
    </row>
    <row r="272" spans="12:14">
      <c r="L272" s="422"/>
      <c r="M272" s="422"/>
      <c r="N272" s="422"/>
    </row>
    <row r="273" spans="12:14">
      <c r="L273" s="422"/>
      <c r="M273" s="422"/>
      <c r="N273" s="422"/>
    </row>
    <row r="274" spans="12:14">
      <c r="L274" s="422"/>
      <c r="M274" s="422"/>
      <c r="N274" s="422"/>
    </row>
    <row r="275" spans="12:14">
      <c r="L275" s="422"/>
      <c r="M275" s="422"/>
      <c r="N275" s="422"/>
    </row>
    <row r="276" spans="12:14">
      <c r="L276" s="422"/>
      <c r="M276" s="422"/>
      <c r="N276" s="422"/>
    </row>
    <row r="277" spans="12:14">
      <c r="L277" s="422"/>
      <c r="M277" s="422"/>
      <c r="N277" s="422"/>
    </row>
    <row r="278" spans="12:14">
      <c r="L278" s="422"/>
      <c r="M278" s="422"/>
      <c r="N278" s="422"/>
    </row>
    <row r="279" spans="12:14">
      <c r="L279" s="422"/>
      <c r="M279" s="422"/>
      <c r="N279" s="422"/>
    </row>
    <row r="280" spans="12:14">
      <c r="L280" s="422"/>
      <c r="M280" s="422"/>
      <c r="N280" s="422"/>
    </row>
    <row r="281" spans="12:14">
      <c r="L281" s="422"/>
      <c r="M281" s="422"/>
      <c r="N281" s="422"/>
    </row>
    <row r="282" spans="12:14">
      <c r="L282" s="422"/>
      <c r="M282" s="422"/>
      <c r="N282" s="422"/>
    </row>
    <row r="283" spans="12:14">
      <c r="L283" s="422"/>
      <c r="M283" s="422"/>
      <c r="N283" s="422"/>
    </row>
    <row r="284" spans="12:14">
      <c r="L284" s="422"/>
      <c r="M284" s="422"/>
      <c r="N284" s="422"/>
    </row>
    <row r="285" spans="12:14">
      <c r="L285" s="422"/>
      <c r="M285" s="422"/>
      <c r="N285" s="422"/>
    </row>
    <row r="286" spans="12:14">
      <c r="L286" s="422"/>
      <c r="M286" s="422"/>
      <c r="N286" s="422"/>
    </row>
    <row r="287" spans="12:14">
      <c r="L287" s="422"/>
      <c r="M287" s="422"/>
      <c r="N287" s="422"/>
    </row>
    <row r="288" spans="12:14">
      <c r="L288" s="422"/>
      <c r="M288" s="422"/>
      <c r="N288" s="422"/>
    </row>
    <row r="289" spans="12:14">
      <c r="L289" s="422"/>
      <c r="M289" s="422"/>
      <c r="N289" s="422"/>
    </row>
    <row r="290" spans="12:14">
      <c r="L290" s="422"/>
      <c r="M290" s="422"/>
      <c r="N290" s="422"/>
    </row>
    <row r="291" spans="12:14">
      <c r="L291" s="422"/>
      <c r="M291" s="422"/>
      <c r="N291" s="422"/>
    </row>
    <row r="292" spans="12:14">
      <c r="L292" s="422"/>
      <c r="M292" s="422"/>
      <c r="N292" s="422"/>
    </row>
    <row r="293" spans="12:14">
      <c r="L293" s="422"/>
      <c r="M293" s="422"/>
      <c r="N293" s="422"/>
    </row>
    <row r="294" spans="12:14">
      <c r="L294" s="422"/>
      <c r="M294" s="422"/>
      <c r="N294" s="422"/>
    </row>
    <row r="295" spans="12:14">
      <c r="L295" s="422"/>
      <c r="M295" s="422"/>
      <c r="N295" s="422"/>
    </row>
    <row r="296" spans="12:14">
      <c r="L296" s="422"/>
      <c r="M296" s="422"/>
      <c r="N296" s="422"/>
    </row>
    <row r="297" spans="12:14">
      <c r="L297" s="422"/>
      <c r="M297" s="422"/>
      <c r="N297" s="422"/>
    </row>
    <row r="298" spans="12:14">
      <c r="L298" s="422"/>
      <c r="M298" s="422"/>
      <c r="N298" s="422"/>
    </row>
    <row r="299" spans="12:14">
      <c r="L299" s="422"/>
      <c r="M299" s="422"/>
      <c r="N299" s="422"/>
    </row>
    <row r="300" spans="12:14">
      <c r="L300" s="422"/>
      <c r="M300" s="422"/>
      <c r="N300" s="422"/>
    </row>
    <row r="301" spans="12:14">
      <c r="L301" s="422"/>
      <c r="M301" s="422"/>
      <c r="N301" s="422"/>
    </row>
    <row r="302" spans="12:14">
      <c r="L302" s="422"/>
      <c r="M302" s="422"/>
      <c r="N302" s="422"/>
    </row>
    <row r="303" spans="12:14">
      <c r="L303" s="422"/>
      <c r="M303" s="422"/>
      <c r="N303" s="422"/>
    </row>
    <row r="304" spans="12:14">
      <c r="L304" s="422"/>
      <c r="M304" s="422"/>
      <c r="N304" s="422"/>
    </row>
    <row r="305" spans="12:14">
      <c r="L305" s="422"/>
      <c r="M305" s="422"/>
      <c r="N305" s="422"/>
    </row>
    <row r="306" spans="12:14">
      <c r="L306" s="422"/>
      <c r="M306" s="422"/>
      <c r="N306" s="422"/>
    </row>
    <row r="307" spans="12:14">
      <c r="L307" s="422"/>
      <c r="M307" s="422"/>
      <c r="N307" s="422"/>
    </row>
    <row r="308" spans="12:14">
      <c r="L308" s="422"/>
      <c r="M308" s="422"/>
      <c r="N308" s="422"/>
    </row>
    <row r="309" spans="12:14">
      <c r="L309" s="422"/>
      <c r="M309" s="422"/>
      <c r="N309" s="422"/>
    </row>
    <row r="310" spans="12:14">
      <c r="L310" s="422"/>
      <c r="M310" s="422"/>
      <c r="N310" s="422"/>
    </row>
    <row r="311" spans="12:14">
      <c r="L311" s="422"/>
      <c r="M311" s="422"/>
      <c r="N311" s="422"/>
    </row>
    <row r="312" spans="12:14">
      <c r="L312" s="422"/>
      <c r="M312" s="422"/>
      <c r="N312" s="422"/>
    </row>
    <row r="313" spans="12:14">
      <c r="L313" s="422"/>
      <c r="M313" s="422"/>
      <c r="N313" s="422"/>
    </row>
    <row r="314" spans="12:14">
      <c r="L314" s="422"/>
      <c r="M314" s="422"/>
      <c r="N314" s="422"/>
    </row>
    <row r="315" spans="12:14">
      <c r="L315" s="422"/>
      <c r="M315" s="422"/>
      <c r="N315" s="422"/>
    </row>
    <row r="316" spans="12:14">
      <c r="L316" s="422"/>
      <c r="M316" s="422"/>
      <c r="N316" s="422"/>
    </row>
    <row r="317" spans="12:14">
      <c r="L317" s="422"/>
      <c r="M317" s="422"/>
      <c r="N317" s="422"/>
    </row>
    <row r="318" spans="12:14">
      <c r="L318" s="422"/>
      <c r="M318" s="422"/>
      <c r="N318" s="422"/>
    </row>
    <row r="319" spans="12:14">
      <c r="L319" s="422"/>
      <c r="M319" s="422"/>
      <c r="N319" s="422"/>
    </row>
    <row r="320" spans="12:14">
      <c r="L320" s="422"/>
      <c r="M320" s="422"/>
      <c r="N320" s="422"/>
    </row>
    <row r="321" spans="12:14">
      <c r="L321" s="422"/>
      <c r="M321" s="422"/>
      <c r="N321" s="422"/>
    </row>
    <row r="322" spans="12:14">
      <c r="L322" s="422"/>
      <c r="M322" s="422"/>
      <c r="N322" s="422"/>
    </row>
    <row r="323" spans="12:14">
      <c r="L323" s="422"/>
      <c r="M323" s="422"/>
      <c r="N323" s="422"/>
    </row>
    <row r="324" spans="12:14">
      <c r="L324" s="422"/>
      <c r="M324" s="422"/>
      <c r="N324" s="422"/>
    </row>
    <row r="325" spans="12:14">
      <c r="L325" s="422"/>
      <c r="M325" s="422"/>
      <c r="N325" s="422"/>
    </row>
    <row r="326" spans="12:14">
      <c r="L326" s="422"/>
      <c r="M326" s="422"/>
      <c r="N326" s="422"/>
    </row>
    <row r="327" spans="12:14">
      <c r="L327" s="422"/>
      <c r="M327" s="422"/>
      <c r="N327" s="422"/>
    </row>
    <row r="328" spans="12:14">
      <c r="L328" s="422"/>
      <c r="M328" s="422"/>
      <c r="N328" s="422"/>
    </row>
    <row r="329" spans="12:14">
      <c r="L329" s="422"/>
      <c r="M329" s="422"/>
      <c r="N329" s="422"/>
    </row>
    <row r="330" spans="12:14">
      <c r="L330" s="422"/>
      <c r="M330" s="422"/>
      <c r="N330" s="422"/>
    </row>
    <row r="331" spans="12:14">
      <c r="L331" s="422"/>
      <c r="M331" s="422"/>
      <c r="N331" s="422"/>
    </row>
    <row r="332" spans="12:14">
      <c r="L332" s="422"/>
      <c r="M332" s="422"/>
      <c r="N332" s="422"/>
    </row>
    <row r="333" spans="12:14">
      <c r="L333" s="422"/>
      <c r="M333" s="422"/>
      <c r="N333" s="422"/>
    </row>
    <row r="334" spans="12:14">
      <c r="L334" s="422"/>
      <c r="M334" s="422"/>
      <c r="N334" s="422"/>
    </row>
    <row r="335" spans="12:14">
      <c r="L335" s="422"/>
      <c r="M335" s="422"/>
      <c r="N335" s="422"/>
    </row>
    <row r="336" spans="12:14">
      <c r="L336" s="422"/>
      <c r="M336" s="422"/>
      <c r="N336" s="422"/>
    </row>
    <row r="337" spans="12:14">
      <c r="L337" s="422"/>
      <c r="M337" s="422"/>
      <c r="N337" s="422"/>
    </row>
    <row r="338" spans="12:14">
      <c r="L338" s="422"/>
      <c r="M338" s="422"/>
      <c r="N338" s="422"/>
    </row>
    <row r="339" spans="12:14">
      <c r="L339" s="422"/>
      <c r="M339" s="422"/>
      <c r="N339" s="422"/>
    </row>
    <row r="340" spans="12:14">
      <c r="L340" s="422"/>
      <c r="M340" s="422"/>
      <c r="N340" s="422"/>
    </row>
    <row r="341" spans="12:14">
      <c r="L341" s="422"/>
      <c r="M341" s="422"/>
      <c r="N341" s="422"/>
    </row>
    <row r="342" spans="12:14">
      <c r="L342" s="422"/>
      <c r="M342" s="422"/>
      <c r="N342" s="422"/>
    </row>
    <row r="343" spans="12:14">
      <c r="L343" s="422"/>
      <c r="M343" s="422"/>
      <c r="N343" s="422"/>
    </row>
    <row r="344" spans="12:14">
      <c r="L344" s="422"/>
      <c r="M344" s="422"/>
      <c r="N344" s="422"/>
    </row>
    <row r="345" spans="12:14">
      <c r="L345" s="422"/>
      <c r="M345" s="422"/>
      <c r="N345" s="422"/>
    </row>
    <row r="346" spans="12:14">
      <c r="L346" s="422"/>
      <c r="M346" s="422"/>
      <c r="N346" s="422"/>
    </row>
    <row r="347" spans="12:14">
      <c r="L347" s="422"/>
      <c r="M347" s="422"/>
      <c r="N347" s="422"/>
    </row>
    <row r="348" spans="12:14">
      <c r="L348" s="422"/>
      <c r="M348" s="422"/>
      <c r="N348" s="422"/>
    </row>
    <row r="349" spans="12:14">
      <c r="L349" s="422"/>
      <c r="M349" s="422"/>
      <c r="N349" s="422"/>
    </row>
    <row r="350" spans="12:14">
      <c r="L350" s="422"/>
      <c r="M350" s="422"/>
      <c r="N350" s="422"/>
    </row>
    <row r="351" spans="12:14">
      <c r="L351" s="422"/>
      <c r="M351" s="422"/>
      <c r="N351" s="422"/>
    </row>
    <row r="352" spans="12:14">
      <c r="L352" s="422"/>
      <c r="M352" s="422"/>
      <c r="N352" s="422"/>
    </row>
    <row r="353" spans="12:18">
      <c r="L353" s="422"/>
      <c r="M353" s="422"/>
      <c r="N353" s="422"/>
    </row>
    <row r="354" spans="12:18">
      <c r="L354" s="422"/>
      <c r="M354" s="422"/>
      <c r="N354" s="422"/>
    </row>
    <row r="355" spans="12:18">
      <c r="L355" s="422"/>
      <c r="M355" s="422"/>
      <c r="N355" s="422"/>
    </row>
    <row r="356" spans="12:18">
      <c r="L356" s="422"/>
      <c r="M356" s="422"/>
      <c r="N356" s="422"/>
    </row>
    <row r="357" spans="12:18">
      <c r="L357" s="422"/>
      <c r="M357" s="422"/>
      <c r="N357" s="422"/>
      <c r="O357" s="400"/>
      <c r="P357" s="400"/>
      <c r="Q357" s="400"/>
      <c r="R357" s="400"/>
    </row>
    <row r="358" spans="12:18">
      <c r="L358" s="422"/>
      <c r="M358" s="422"/>
      <c r="N358" s="422"/>
      <c r="O358" s="400"/>
      <c r="P358" s="400"/>
      <c r="Q358" s="400"/>
      <c r="R358" s="400"/>
    </row>
    <row r="359" spans="12:18">
      <c r="L359" s="422"/>
      <c r="M359" s="422"/>
      <c r="N359" s="422"/>
      <c r="O359" s="400"/>
      <c r="P359" s="400"/>
      <c r="Q359" s="400"/>
      <c r="R359" s="400"/>
    </row>
    <row r="360" spans="12:18">
      <c r="L360" s="422"/>
      <c r="M360" s="422"/>
      <c r="N360" s="422"/>
      <c r="O360" s="400"/>
      <c r="P360" s="400"/>
      <c r="Q360" s="400"/>
      <c r="R360" s="400"/>
    </row>
    <row r="361" spans="12:18">
      <c r="L361" s="422"/>
      <c r="M361" s="422"/>
      <c r="N361" s="422"/>
      <c r="O361" s="400"/>
      <c r="P361" s="400"/>
      <c r="Q361" s="400"/>
      <c r="R361" s="400"/>
    </row>
    <row r="362" spans="12:18">
      <c r="L362" s="422"/>
      <c r="M362" s="422"/>
      <c r="N362" s="422"/>
      <c r="O362" s="400"/>
      <c r="P362" s="400"/>
      <c r="Q362" s="400"/>
      <c r="R362" s="400"/>
    </row>
    <row r="363" spans="12:18">
      <c r="L363" s="422"/>
      <c r="M363" s="422"/>
      <c r="N363" s="422"/>
      <c r="O363" s="400"/>
      <c r="P363" s="400"/>
      <c r="Q363" s="400"/>
      <c r="R363" s="400"/>
    </row>
    <row r="364" spans="12:18">
      <c r="L364" s="422"/>
      <c r="M364" s="422"/>
      <c r="N364" s="422"/>
      <c r="O364" s="400"/>
      <c r="P364" s="400"/>
      <c r="Q364" s="400"/>
      <c r="R364" s="400"/>
    </row>
    <row r="365" spans="12:18">
      <c r="L365" s="422"/>
      <c r="M365" s="422"/>
      <c r="N365" s="422"/>
      <c r="O365" s="400"/>
      <c r="P365" s="400"/>
      <c r="Q365" s="400"/>
      <c r="R365" s="400"/>
    </row>
    <row r="366" spans="12:18">
      <c r="L366" s="422"/>
      <c r="M366" s="422"/>
      <c r="N366" s="422"/>
      <c r="O366" s="400"/>
      <c r="P366" s="400"/>
      <c r="Q366" s="400"/>
      <c r="R366" s="400"/>
    </row>
    <row r="367" spans="12:18">
      <c r="L367" s="422"/>
      <c r="M367" s="422"/>
      <c r="N367" s="422"/>
      <c r="O367" s="400"/>
      <c r="P367" s="400"/>
      <c r="Q367" s="400"/>
      <c r="R367" s="400"/>
    </row>
    <row r="368" spans="12:18">
      <c r="L368" s="422"/>
      <c r="M368" s="422"/>
      <c r="N368" s="422"/>
      <c r="O368" s="400"/>
      <c r="P368" s="400"/>
      <c r="Q368" s="400"/>
      <c r="R368" s="400"/>
    </row>
    <row r="369" spans="12:18">
      <c r="L369" s="422"/>
      <c r="M369" s="422"/>
      <c r="N369" s="422"/>
      <c r="O369" s="400"/>
      <c r="P369" s="400"/>
      <c r="Q369" s="400"/>
      <c r="R369" s="400"/>
    </row>
    <row r="370" spans="12:18">
      <c r="L370" s="422"/>
      <c r="M370" s="422"/>
      <c r="N370" s="422"/>
      <c r="O370" s="400"/>
      <c r="P370" s="400"/>
      <c r="Q370" s="400"/>
      <c r="R370" s="400"/>
    </row>
    <row r="371" spans="12:18">
      <c r="L371" s="422"/>
      <c r="M371" s="422"/>
      <c r="N371" s="422"/>
      <c r="O371" s="400"/>
      <c r="P371" s="400"/>
      <c r="Q371" s="400"/>
      <c r="R371" s="400"/>
    </row>
    <row r="372" spans="12:18">
      <c r="L372" s="422"/>
      <c r="M372" s="422"/>
      <c r="N372" s="422"/>
      <c r="O372" s="400"/>
      <c r="P372" s="400"/>
      <c r="Q372" s="400"/>
      <c r="R372" s="400"/>
    </row>
    <row r="373" spans="12:18">
      <c r="L373" s="422"/>
      <c r="M373" s="422"/>
      <c r="N373" s="422"/>
      <c r="O373" s="400"/>
      <c r="P373" s="400"/>
      <c r="Q373" s="400"/>
      <c r="R373" s="400"/>
    </row>
    <row r="374" spans="12:18">
      <c r="L374" s="422"/>
      <c r="M374" s="422"/>
      <c r="N374" s="422"/>
      <c r="O374" s="400"/>
      <c r="P374" s="400"/>
      <c r="Q374" s="400"/>
      <c r="R374" s="400"/>
    </row>
    <row r="375" spans="12:18">
      <c r="L375" s="422"/>
      <c r="M375" s="422"/>
      <c r="N375" s="422"/>
      <c r="O375" s="400"/>
      <c r="P375" s="400"/>
      <c r="Q375" s="400"/>
      <c r="R375" s="400"/>
    </row>
    <row r="376" spans="12:18">
      <c r="L376" s="422"/>
      <c r="M376" s="422"/>
      <c r="N376" s="422"/>
      <c r="O376" s="400"/>
      <c r="P376" s="400"/>
      <c r="Q376" s="400"/>
      <c r="R376" s="400"/>
    </row>
    <row r="377" spans="12:18">
      <c r="L377" s="422"/>
      <c r="M377" s="422"/>
      <c r="N377" s="422"/>
      <c r="O377" s="400"/>
      <c r="P377" s="400"/>
      <c r="Q377" s="400"/>
      <c r="R377" s="400"/>
    </row>
    <row r="378" spans="12:18">
      <c r="L378" s="422"/>
      <c r="M378" s="422"/>
      <c r="N378" s="422"/>
      <c r="O378" s="400"/>
      <c r="P378" s="400"/>
      <c r="Q378" s="400"/>
      <c r="R378" s="400"/>
    </row>
    <row r="379" spans="12:18">
      <c r="L379" s="422"/>
      <c r="M379" s="422"/>
      <c r="N379" s="422"/>
      <c r="O379" s="400"/>
      <c r="P379" s="400"/>
      <c r="Q379" s="400"/>
      <c r="R379" s="400"/>
    </row>
    <row r="380" spans="12:18">
      <c r="L380" s="422"/>
      <c r="M380" s="422"/>
      <c r="N380" s="422"/>
      <c r="O380" s="400"/>
      <c r="P380" s="400"/>
      <c r="Q380" s="400"/>
      <c r="R380" s="400"/>
    </row>
    <row r="381" spans="12:18">
      <c r="L381" s="422"/>
      <c r="M381" s="422"/>
      <c r="N381" s="422"/>
      <c r="O381" s="400"/>
      <c r="P381" s="400"/>
      <c r="Q381" s="400"/>
      <c r="R381" s="400"/>
    </row>
    <row r="382" spans="12:18">
      <c r="L382" s="422"/>
      <c r="M382" s="422"/>
      <c r="N382" s="422"/>
      <c r="O382" s="400"/>
      <c r="P382" s="400"/>
      <c r="Q382" s="400"/>
      <c r="R382" s="400"/>
    </row>
    <row r="383" spans="12:18">
      <c r="L383" s="422"/>
      <c r="M383" s="422"/>
      <c r="N383" s="422"/>
      <c r="O383" s="400"/>
      <c r="P383" s="400"/>
      <c r="Q383" s="400"/>
      <c r="R383" s="400"/>
    </row>
    <row r="384" spans="12:18">
      <c r="L384" s="422"/>
      <c r="M384" s="422"/>
      <c r="N384" s="422"/>
      <c r="O384" s="400"/>
      <c r="P384" s="400"/>
      <c r="Q384" s="400"/>
      <c r="R384" s="400"/>
    </row>
    <row r="385" spans="12:18">
      <c r="L385" s="422"/>
      <c r="M385" s="422"/>
      <c r="N385" s="422"/>
      <c r="O385" s="400"/>
      <c r="P385" s="400"/>
      <c r="Q385" s="400"/>
      <c r="R385" s="400"/>
    </row>
    <row r="386" spans="12:18">
      <c r="L386" s="422"/>
      <c r="M386" s="422"/>
      <c r="N386" s="422"/>
      <c r="O386" s="400"/>
      <c r="P386" s="400"/>
      <c r="Q386" s="400"/>
      <c r="R386" s="400"/>
    </row>
    <row r="387" spans="12:18">
      <c r="L387" s="422"/>
      <c r="M387" s="422"/>
      <c r="N387" s="422"/>
      <c r="O387" s="400"/>
      <c r="P387" s="400"/>
      <c r="Q387" s="400"/>
      <c r="R387" s="400"/>
    </row>
    <row r="388" spans="12:18">
      <c r="L388" s="422"/>
      <c r="M388" s="422"/>
      <c r="N388" s="422"/>
      <c r="O388" s="400"/>
      <c r="P388" s="400"/>
      <c r="Q388" s="400"/>
      <c r="R388" s="400"/>
    </row>
    <row r="389" spans="12:18">
      <c r="L389" s="422"/>
      <c r="M389" s="422"/>
      <c r="N389" s="422"/>
      <c r="O389" s="400"/>
      <c r="P389" s="400"/>
      <c r="Q389" s="400"/>
      <c r="R389" s="400"/>
    </row>
    <row r="390" spans="12:18">
      <c r="L390" s="422"/>
      <c r="M390" s="422"/>
      <c r="N390" s="422"/>
      <c r="O390" s="400"/>
      <c r="P390" s="400"/>
      <c r="Q390" s="400"/>
      <c r="R390" s="400"/>
    </row>
    <row r="391" spans="12:18">
      <c r="L391" s="422"/>
      <c r="M391" s="422"/>
      <c r="N391" s="422"/>
      <c r="O391" s="400"/>
      <c r="P391" s="400"/>
      <c r="Q391" s="400"/>
      <c r="R391" s="400"/>
    </row>
    <row r="392" spans="12:18">
      <c r="L392" s="422"/>
      <c r="M392" s="422"/>
      <c r="N392" s="422"/>
      <c r="O392" s="400"/>
      <c r="P392" s="400"/>
      <c r="Q392" s="400"/>
      <c r="R392" s="400"/>
    </row>
    <row r="393" spans="12:18">
      <c r="L393" s="422"/>
      <c r="M393" s="422"/>
      <c r="N393" s="422"/>
      <c r="O393" s="400"/>
      <c r="P393" s="400"/>
      <c r="Q393" s="400"/>
      <c r="R393" s="400"/>
    </row>
    <row r="394" spans="12:18">
      <c r="L394" s="422"/>
      <c r="M394" s="422"/>
      <c r="N394" s="422"/>
      <c r="O394" s="400"/>
      <c r="P394" s="400"/>
      <c r="Q394" s="400"/>
      <c r="R394" s="400"/>
    </row>
    <row r="395" spans="12:18">
      <c r="L395" s="422"/>
      <c r="M395" s="422"/>
      <c r="N395" s="422"/>
      <c r="O395" s="400"/>
      <c r="P395" s="400"/>
      <c r="Q395" s="400"/>
      <c r="R395" s="400"/>
    </row>
    <row r="396" spans="12:18">
      <c r="L396" s="422"/>
      <c r="M396" s="422"/>
      <c r="N396" s="422"/>
      <c r="O396" s="400"/>
      <c r="P396" s="400"/>
      <c r="Q396" s="400"/>
      <c r="R396" s="400"/>
    </row>
    <row r="397" spans="12:18">
      <c r="L397" s="422"/>
      <c r="M397" s="422"/>
      <c r="N397" s="422"/>
      <c r="O397" s="400"/>
      <c r="P397" s="400"/>
      <c r="Q397" s="400"/>
      <c r="R397" s="400"/>
    </row>
    <row r="398" spans="12:18">
      <c r="L398" s="422"/>
      <c r="M398" s="422"/>
      <c r="N398" s="422"/>
      <c r="O398" s="400"/>
      <c r="P398" s="400"/>
      <c r="Q398" s="400"/>
      <c r="R398" s="400"/>
    </row>
    <row r="399" spans="12:18">
      <c r="L399" s="422"/>
      <c r="M399" s="422"/>
      <c r="N399" s="422"/>
      <c r="O399" s="400"/>
      <c r="P399" s="400"/>
      <c r="Q399" s="400"/>
      <c r="R399" s="400"/>
    </row>
    <row r="400" spans="12:18">
      <c r="L400" s="422"/>
      <c r="M400" s="422"/>
      <c r="N400" s="422"/>
      <c r="O400" s="400"/>
      <c r="P400" s="400"/>
      <c r="Q400" s="400"/>
      <c r="R400" s="400"/>
    </row>
    <row r="401" spans="12:18">
      <c r="L401" s="422"/>
      <c r="M401" s="422"/>
      <c r="N401" s="422"/>
      <c r="O401" s="400"/>
      <c r="P401" s="400"/>
      <c r="Q401" s="400"/>
      <c r="R401" s="400"/>
    </row>
    <row r="402" spans="12:18">
      <c r="L402" s="422"/>
      <c r="M402" s="422"/>
      <c r="N402" s="422"/>
      <c r="O402" s="400"/>
      <c r="P402" s="400"/>
      <c r="Q402" s="400"/>
      <c r="R402" s="400"/>
    </row>
    <row r="403" spans="12:18">
      <c r="L403" s="422"/>
      <c r="M403" s="422"/>
      <c r="N403" s="422"/>
      <c r="O403" s="400"/>
      <c r="P403" s="400"/>
      <c r="Q403" s="400"/>
      <c r="R403" s="400"/>
    </row>
    <row r="404" spans="12:18">
      <c r="L404" s="422"/>
      <c r="M404" s="422"/>
      <c r="N404" s="422"/>
      <c r="O404" s="400"/>
      <c r="P404" s="400"/>
      <c r="Q404" s="400"/>
      <c r="R404" s="400"/>
    </row>
    <row r="405" spans="12:18">
      <c r="L405" s="422"/>
      <c r="M405" s="422"/>
      <c r="N405" s="422"/>
      <c r="O405" s="400"/>
      <c r="P405" s="400"/>
      <c r="Q405" s="400"/>
      <c r="R405" s="400"/>
    </row>
    <row r="406" spans="12:18">
      <c r="L406" s="422"/>
      <c r="M406" s="422"/>
      <c r="N406" s="422"/>
      <c r="O406" s="400"/>
      <c r="P406" s="400"/>
      <c r="Q406" s="400"/>
      <c r="R406" s="400"/>
    </row>
    <row r="407" spans="12:18">
      <c r="L407" s="422"/>
      <c r="M407" s="422"/>
      <c r="N407" s="422"/>
      <c r="O407" s="400"/>
      <c r="P407" s="400"/>
      <c r="Q407" s="400"/>
      <c r="R407" s="400"/>
    </row>
    <row r="408" spans="12:18">
      <c r="L408" s="422"/>
      <c r="M408" s="422"/>
      <c r="N408" s="422"/>
      <c r="O408" s="400"/>
      <c r="P408" s="400"/>
      <c r="Q408" s="400"/>
      <c r="R408" s="400"/>
    </row>
    <row r="409" spans="12:18">
      <c r="L409" s="422"/>
      <c r="M409" s="422"/>
      <c r="N409" s="422"/>
      <c r="O409" s="400"/>
      <c r="P409" s="400"/>
      <c r="Q409" s="400"/>
      <c r="R409" s="400"/>
    </row>
    <row r="410" spans="12:18">
      <c r="L410" s="422"/>
      <c r="M410" s="422"/>
      <c r="N410" s="422"/>
      <c r="O410" s="400"/>
      <c r="P410" s="400"/>
      <c r="Q410" s="400"/>
      <c r="R410" s="400"/>
    </row>
    <row r="411" spans="12:18">
      <c r="L411" s="422"/>
      <c r="M411" s="422"/>
      <c r="N411" s="422"/>
      <c r="O411" s="400"/>
      <c r="P411" s="400"/>
      <c r="Q411" s="400"/>
      <c r="R411" s="400"/>
    </row>
    <row r="412" spans="12:18">
      <c r="L412" s="422"/>
      <c r="M412" s="422"/>
      <c r="N412" s="422"/>
      <c r="O412" s="400"/>
      <c r="P412" s="400"/>
      <c r="Q412" s="400"/>
      <c r="R412" s="400"/>
    </row>
    <row r="413" spans="12:18">
      <c r="L413" s="422"/>
      <c r="M413" s="422"/>
      <c r="N413" s="422"/>
      <c r="O413" s="400"/>
      <c r="P413" s="400"/>
      <c r="Q413" s="400"/>
      <c r="R413" s="400"/>
    </row>
    <row r="414" spans="12:18">
      <c r="L414" s="422"/>
      <c r="M414" s="422"/>
      <c r="N414" s="422"/>
      <c r="O414" s="400"/>
      <c r="P414" s="400"/>
      <c r="Q414" s="400"/>
      <c r="R414" s="400"/>
    </row>
    <row r="415" spans="12:18">
      <c r="L415" s="422"/>
      <c r="M415" s="422"/>
      <c r="N415" s="422"/>
      <c r="O415" s="400"/>
      <c r="P415" s="400"/>
      <c r="Q415" s="400"/>
      <c r="R415" s="400"/>
    </row>
    <row r="416" spans="12:18">
      <c r="L416" s="422"/>
      <c r="M416" s="422"/>
      <c r="N416" s="422"/>
      <c r="O416" s="400"/>
      <c r="P416" s="400"/>
      <c r="Q416" s="400"/>
      <c r="R416" s="400"/>
    </row>
    <row r="417" spans="12:18">
      <c r="L417" s="422"/>
      <c r="M417" s="422"/>
      <c r="N417" s="422"/>
      <c r="O417" s="400"/>
      <c r="P417" s="400"/>
      <c r="Q417" s="400"/>
      <c r="R417" s="400"/>
    </row>
    <row r="418" spans="12:18">
      <c r="L418" s="422"/>
      <c r="M418" s="422"/>
      <c r="N418" s="422"/>
      <c r="O418" s="400"/>
      <c r="P418" s="400"/>
      <c r="Q418" s="400"/>
      <c r="R418" s="400"/>
    </row>
    <row r="419" spans="12:18">
      <c r="L419" s="422"/>
      <c r="M419" s="422"/>
      <c r="N419" s="422"/>
      <c r="O419" s="400"/>
      <c r="P419" s="400"/>
      <c r="Q419" s="400"/>
      <c r="R419" s="400"/>
    </row>
    <row r="420" spans="12:18">
      <c r="L420" s="422"/>
      <c r="M420" s="422"/>
      <c r="N420" s="422"/>
      <c r="O420" s="400"/>
      <c r="P420" s="400"/>
      <c r="Q420" s="400"/>
      <c r="R420" s="400"/>
    </row>
    <row r="421" spans="12:18">
      <c r="L421" s="422"/>
      <c r="M421" s="422"/>
      <c r="N421" s="422"/>
      <c r="O421" s="400"/>
      <c r="P421" s="400"/>
      <c r="Q421" s="400"/>
      <c r="R421" s="400"/>
    </row>
    <row r="422" spans="12:18">
      <c r="L422" s="422"/>
      <c r="M422" s="422"/>
      <c r="N422" s="422"/>
      <c r="O422" s="400"/>
      <c r="P422" s="400"/>
      <c r="Q422" s="400"/>
      <c r="R422" s="400"/>
    </row>
    <row r="423" spans="12:18">
      <c r="L423" s="422"/>
      <c r="M423" s="422"/>
      <c r="N423" s="422"/>
      <c r="O423" s="400"/>
      <c r="P423" s="400"/>
      <c r="Q423" s="400"/>
      <c r="R423" s="400"/>
    </row>
    <row r="424" spans="12:18">
      <c r="L424" s="422"/>
      <c r="M424" s="422"/>
      <c r="N424" s="422"/>
      <c r="O424" s="400"/>
      <c r="P424" s="400"/>
      <c r="Q424" s="400"/>
      <c r="R424" s="400"/>
    </row>
    <row r="425" spans="12:18">
      <c r="L425" s="422"/>
      <c r="M425" s="422"/>
      <c r="N425" s="422"/>
      <c r="O425" s="400"/>
      <c r="P425" s="400"/>
      <c r="Q425" s="400"/>
      <c r="R425" s="400"/>
    </row>
    <row r="426" spans="12:18">
      <c r="L426" s="422"/>
      <c r="M426" s="422"/>
      <c r="N426" s="422"/>
      <c r="O426" s="400"/>
      <c r="P426" s="400"/>
      <c r="Q426" s="400"/>
      <c r="R426" s="400"/>
    </row>
    <row r="427" spans="12:18">
      <c r="L427" s="422"/>
      <c r="M427" s="422"/>
      <c r="N427" s="422"/>
      <c r="O427" s="400"/>
      <c r="P427" s="400"/>
      <c r="Q427" s="400"/>
      <c r="R427" s="400"/>
    </row>
    <row r="428" spans="12:18">
      <c r="L428" s="422"/>
      <c r="M428" s="422"/>
      <c r="N428" s="422"/>
      <c r="O428" s="400"/>
      <c r="P428" s="400"/>
      <c r="Q428" s="400"/>
      <c r="R428" s="400"/>
    </row>
    <row r="429" spans="12:18">
      <c r="L429" s="422"/>
      <c r="M429" s="422"/>
      <c r="N429" s="422"/>
      <c r="O429" s="400"/>
      <c r="P429" s="400"/>
      <c r="Q429" s="400"/>
      <c r="R429" s="400"/>
    </row>
    <row r="430" spans="12:18">
      <c r="L430" s="422"/>
      <c r="M430" s="422"/>
      <c r="N430" s="422"/>
      <c r="O430" s="400"/>
      <c r="P430" s="400"/>
      <c r="Q430" s="400"/>
      <c r="R430" s="400"/>
    </row>
    <row r="431" spans="12:18">
      <c r="L431" s="422"/>
      <c r="M431" s="422"/>
      <c r="N431" s="422"/>
      <c r="O431" s="400"/>
      <c r="P431" s="400"/>
      <c r="Q431" s="400"/>
      <c r="R431" s="400"/>
    </row>
    <row r="432" spans="12:18">
      <c r="L432" s="422"/>
      <c r="M432" s="422"/>
      <c r="N432" s="422"/>
      <c r="O432" s="400"/>
      <c r="P432" s="400"/>
      <c r="Q432" s="400"/>
      <c r="R432" s="400"/>
    </row>
    <row r="433" spans="12:18">
      <c r="L433" s="422"/>
      <c r="M433" s="422"/>
      <c r="N433" s="422"/>
      <c r="O433" s="400"/>
      <c r="P433" s="400"/>
      <c r="Q433" s="400"/>
      <c r="R433" s="400"/>
    </row>
    <row r="434" spans="12:18">
      <c r="L434" s="422"/>
      <c r="M434" s="422"/>
      <c r="N434" s="422"/>
      <c r="O434" s="400"/>
      <c r="P434" s="400"/>
      <c r="Q434" s="400"/>
      <c r="R434" s="400"/>
    </row>
    <row r="435" spans="12:18">
      <c r="L435" s="422"/>
      <c r="M435" s="422"/>
      <c r="N435" s="422"/>
      <c r="O435" s="400"/>
      <c r="P435" s="400"/>
      <c r="Q435" s="400"/>
      <c r="R435" s="400"/>
    </row>
    <row r="436" spans="12:18">
      <c r="L436" s="422"/>
      <c r="M436" s="422"/>
      <c r="N436" s="422"/>
      <c r="O436" s="400"/>
      <c r="P436" s="400"/>
      <c r="Q436" s="400"/>
      <c r="R436" s="400"/>
    </row>
    <row r="437" spans="12:18">
      <c r="L437" s="422"/>
      <c r="M437" s="422"/>
      <c r="N437" s="422"/>
      <c r="O437" s="400"/>
      <c r="P437" s="400"/>
      <c r="Q437" s="400"/>
      <c r="R437" s="400"/>
    </row>
    <row r="438" spans="12:18">
      <c r="L438" s="422"/>
      <c r="M438" s="422"/>
      <c r="N438" s="422"/>
      <c r="O438" s="400"/>
      <c r="P438" s="400"/>
      <c r="Q438" s="400"/>
      <c r="R438" s="400"/>
    </row>
    <row r="439" spans="12:18">
      <c r="L439" s="422"/>
      <c r="M439" s="422"/>
      <c r="N439" s="422"/>
      <c r="O439" s="400"/>
      <c r="P439" s="400"/>
      <c r="Q439" s="400"/>
      <c r="R439" s="400"/>
    </row>
    <row r="440" spans="12:18">
      <c r="L440" s="422"/>
      <c r="M440" s="422"/>
      <c r="N440" s="422"/>
      <c r="O440" s="400"/>
      <c r="P440" s="400"/>
      <c r="Q440" s="400"/>
      <c r="R440" s="400"/>
    </row>
    <row r="441" spans="12:18">
      <c r="L441" s="422"/>
      <c r="M441" s="422"/>
      <c r="N441" s="422"/>
      <c r="O441" s="400"/>
      <c r="P441" s="400"/>
      <c r="Q441" s="400"/>
      <c r="R441" s="400"/>
    </row>
    <row r="442" spans="12:18">
      <c r="L442" s="422"/>
      <c r="M442" s="422"/>
      <c r="N442" s="422"/>
      <c r="O442" s="400"/>
      <c r="P442" s="400"/>
      <c r="Q442" s="400"/>
      <c r="R442" s="400"/>
    </row>
    <row r="443" spans="12:18">
      <c r="L443" s="422"/>
      <c r="M443" s="422"/>
      <c r="N443" s="422"/>
      <c r="O443" s="400"/>
      <c r="P443" s="400"/>
      <c r="Q443" s="400"/>
      <c r="R443" s="400"/>
    </row>
    <row r="444" spans="12:18">
      <c r="L444" s="422"/>
      <c r="M444" s="422"/>
      <c r="N444" s="422"/>
      <c r="O444" s="400"/>
      <c r="P444" s="400"/>
      <c r="Q444" s="400"/>
      <c r="R444" s="400"/>
    </row>
    <row r="445" spans="12:18">
      <c r="L445" s="422"/>
      <c r="M445" s="422"/>
      <c r="N445" s="422"/>
      <c r="O445" s="400"/>
      <c r="P445" s="400"/>
      <c r="Q445" s="400"/>
      <c r="R445" s="400"/>
    </row>
    <row r="446" spans="12:18">
      <c r="L446" s="422"/>
      <c r="M446" s="422"/>
      <c r="N446" s="422"/>
      <c r="O446" s="400"/>
      <c r="P446" s="400"/>
      <c r="Q446" s="400"/>
      <c r="R446" s="400"/>
    </row>
    <row r="447" spans="12:18">
      <c r="L447" s="422"/>
      <c r="M447" s="422"/>
      <c r="N447" s="422"/>
      <c r="O447" s="400"/>
      <c r="P447" s="400"/>
      <c r="Q447" s="400"/>
      <c r="R447" s="400"/>
    </row>
    <row r="448" spans="12:18">
      <c r="L448" s="422"/>
      <c r="M448" s="422"/>
      <c r="N448" s="422"/>
      <c r="O448" s="400"/>
      <c r="P448" s="400"/>
      <c r="Q448" s="400"/>
      <c r="R448" s="400"/>
    </row>
    <row r="449" spans="12:18">
      <c r="L449" s="422"/>
      <c r="M449" s="422"/>
      <c r="N449" s="422"/>
      <c r="O449" s="400"/>
      <c r="P449" s="400"/>
      <c r="Q449" s="400"/>
      <c r="R449" s="400"/>
    </row>
    <row r="450" spans="12:18">
      <c r="L450" s="422"/>
      <c r="M450" s="422"/>
      <c r="N450" s="422"/>
      <c r="O450" s="400"/>
      <c r="P450" s="400"/>
      <c r="Q450" s="400"/>
      <c r="R450" s="400"/>
    </row>
    <row r="451" spans="12:18">
      <c r="L451" s="422"/>
      <c r="M451" s="422"/>
      <c r="N451" s="422"/>
      <c r="O451" s="400"/>
      <c r="P451" s="400"/>
      <c r="Q451" s="400"/>
      <c r="R451" s="400"/>
    </row>
    <row r="452" spans="12:18">
      <c r="L452" s="422"/>
      <c r="M452" s="422"/>
      <c r="N452" s="422"/>
      <c r="O452" s="400"/>
      <c r="P452" s="400"/>
      <c r="Q452" s="400"/>
      <c r="R452" s="400"/>
    </row>
    <row r="453" spans="12:18">
      <c r="L453" s="422"/>
      <c r="M453" s="422"/>
      <c r="N453" s="422"/>
      <c r="O453" s="400"/>
      <c r="P453" s="400"/>
      <c r="Q453" s="400"/>
      <c r="R453" s="400"/>
    </row>
    <row r="454" spans="12:18">
      <c r="L454" s="422"/>
      <c r="M454" s="422"/>
      <c r="N454" s="422"/>
      <c r="O454" s="400"/>
      <c r="P454" s="400"/>
      <c r="Q454" s="400"/>
      <c r="R454" s="400"/>
    </row>
    <row r="455" spans="12:18">
      <c r="L455" s="422"/>
      <c r="M455" s="422"/>
      <c r="N455" s="422"/>
      <c r="O455" s="400"/>
      <c r="P455" s="400"/>
      <c r="Q455" s="400"/>
      <c r="R455" s="400"/>
    </row>
    <row r="456" spans="12:18">
      <c r="L456" s="422"/>
      <c r="M456" s="422"/>
      <c r="N456" s="422"/>
      <c r="O456" s="400"/>
      <c r="P456" s="400"/>
      <c r="Q456" s="400"/>
      <c r="R456" s="400"/>
    </row>
    <row r="457" spans="12:18">
      <c r="L457" s="422"/>
      <c r="M457" s="422"/>
      <c r="N457" s="422"/>
      <c r="O457" s="400"/>
      <c r="P457" s="400"/>
      <c r="Q457" s="400"/>
      <c r="R457" s="400"/>
    </row>
    <row r="458" spans="12:18">
      <c r="L458" s="422"/>
      <c r="M458" s="422"/>
      <c r="N458" s="422"/>
      <c r="O458" s="400"/>
      <c r="P458" s="400"/>
      <c r="Q458" s="400"/>
      <c r="R458" s="400"/>
    </row>
    <row r="459" spans="12:18">
      <c r="L459" s="422"/>
      <c r="M459" s="422"/>
      <c r="N459" s="422"/>
      <c r="O459" s="400"/>
      <c r="P459" s="400"/>
      <c r="Q459" s="400"/>
      <c r="R459" s="400"/>
    </row>
    <row r="460" spans="12:18">
      <c r="L460" s="422"/>
      <c r="M460" s="422"/>
      <c r="N460" s="422"/>
      <c r="O460" s="400"/>
      <c r="P460" s="400"/>
      <c r="Q460" s="400"/>
      <c r="R460" s="400"/>
    </row>
    <row r="461" spans="12:18">
      <c r="L461" s="422"/>
      <c r="M461" s="422"/>
      <c r="N461" s="422"/>
      <c r="O461" s="400"/>
      <c r="P461" s="400"/>
      <c r="Q461" s="400"/>
      <c r="R461" s="400"/>
    </row>
    <row r="462" spans="12:18">
      <c r="L462" s="422"/>
      <c r="M462" s="422"/>
      <c r="N462" s="422"/>
      <c r="O462" s="400"/>
      <c r="P462" s="400"/>
      <c r="Q462" s="400"/>
      <c r="R462" s="400"/>
    </row>
    <row r="463" spans="12:18">
      <c r="L463" s="422"/>
      <c r="M463" s="422"/>
      <c r="N463" s="422"/>
      <c r="O463" s="400"/>
      <c r="P463" s="400"/>
      <c r="Q463" s="400"/>
      <c r="R463" s="400"/>
    </row>
    <row r="464" spans="12:18">
      <c r="L464" s="422"/>
      <c r="M464" s="422"/>
      <c r="N464" s="422"/>
      <c r="O464" s="400"/>
      <c r="P464" s="400"/>
      <c r="Q464" s="400"/>
      <c r="R464" s="400"/>
    </row>
    <row r="465" spans="12:18">
      <c r="L465" s="422"/>
      <c r="M465" s="422"/>
      <c r="N465" s="422"/>
      <c r="O465" s="400"/>
      <c r="P465" s="400"/>
      <c r="Q465" s="400"/>
      <c r="R465" s="400"/>
    </row>
    <row r="466" spans="12:18">
      <c r="L466" s="422"/>
      <c r="M466" s="422"/>
      <c r="N466" s="422"/>
      <c r="O466" s="400"/>
      <c r="P466" s="400"/>
      <c r="Q466" s="400"/>
      <c r="R466" s="400"/>
    </row>
    <row r="467" spans="12:18">
      <c r="L467" s="422"/>
      <c r="M467" s="422"/>
      <c r="N467" s="422"/>
      <c r="O467" s="400"/>
      <c r="P467" s="400"/>
      <c r="Q467" s="400"/>
      <c r="R467" s="400"/>
    </row>
    <row r="468" spans="12:18">
      <c r="L468" s="422"/>
      <c r="M468" s="422"/>
      <c r="N468" s="422"/>
      <c r="O468" s="400"/>
      <c r="P468" s="400"/>
      <c r="Q468" s="400"/>
      <c r="R468" s="400"/>
    </row>
    <row r="469" spans="12:18">
      <c r="L469" s="422"/>
      <c r="M469" s="422"/>
      <c r="N469" s="422"/>
      <c r="O469" s="400"/>
      <c r="P469" s="400"/>
      <c r="Q469" s="400"/>
      <c r="R469" s="400"/>
    </row>
    <row r="470" spans="12:18">
      <c r="L470" s="422"/>
      <c r="M470" s="422"/>
      <c r="N470" s="422"/>
      <c r="O470" s="400"/>
      <c r="P470" s="400"/>
      <c r="Q470" s="400"/>
      <c r="R470" s="400"/>
    </row>
    <row r="471" spans="12:18">
      <c r="L471" s="422"/>
      <c r="M471" s="422"/>
      <c r="N471" s="422"/>
      <c r="O471" s="400"/>
      <c r="P471" s="400"/>
      <c r="Q471" s="400"/>
      <c r="R471" s="400"/>
    </row>
    <row r="472" spans="12:18">
      <c r="L472" s="422"/>
      <c r="M472" s="422"/>
      <c r="N472" s="422"/>
      <c r="O472" s="400"/>
      <c r="P472" s="400"/>
      <c r="Q472" s="400"/>
      <c r="R472" s="400"/>
    </row>
    <row r="473" spans="12:18">
      <c r="L473" s="422"/>
      <c r="M473" s="422"/>
      <c r="N473" s="422"/>
      <c r="O473" s="400"/>
      <c r="P473" s="400"/>
      <c r="Q473" s="400"/>
      <c r="R473" s="400"/>
    </row>
    <row r="474" spans="12:18">
      <c r="L474" s="422"/>
      <c r="M474" s="422"/>
      <c r="N474" s="422"/>
      <c r="O474" s="400"/>
      <c r="P474" s="400"/>
      <c r="Q474" s="400"/>
      <c r="R474" s="400"/>
    </row>
    <row r="475" spans="12:18">
      <c r="L475" s="422"/>
      <c r="M475" s="422"/>
      <c r="N475" s="422"/>
      <c r="O475" s="400"/>
      <c r="P475" s="400"/>
      <c r="Q475" s="400"/>
      <c r="R475" s="400"/>
    </row>
    <row r="476" spans="12:18">
      <c r="L476" s="422"/>
      <c r="M476" s="422"/>
      <c r="N476" s="422"/>
      <c r="O476" s="400"/>
      <c r="P476" s="400"/>
      <c r="Q476" s="400"/>
      <c r="R476" s="400"/>
    </row>
    <row r="477" spans="12:18">
      <c r="L477" s="422"/>
      <c r="M477" s="422"/>
      <c r="N477" s="422"/>
      <c r="O477" s="400"/>
      <c r="P477" s="400"/>
      <c r="Q477" s="400"/>
      <c r="R477" s="400"/>
    </row>
    <row r="478" spans="12:18">
      <c r="L478" s="422"/>
      <c r="M478" s="422"/>
      <c r="N478" s="422"/>
      <c r="O478" s="400"/>
      <c r="P478" s="400"/>
      <c r="Q478" s="400"/>
      <c r="R478" s="400"/>
    </row>
    <row r="479" spans="12:18">
      <c r="L479" s="422"/>
      <c r="M479" s="422"/>
      <c r="N479" s="422"/>
      <c r="O479" s="400"/>
      <c r="P479" s="400"/>
      <c r="Q479" s="400"/>
      <c r="R479" s="400"/>
    </row>
    <row r="480" spans="12:18">
      <c r="L480" s="422"/>
      <c r="M480" s="422"/>
      <c r="N480" s="422"/>
      <c r="O480" s="400"/>
      <c r="P480" s="400"/>
      <c r="Q480" s="400"/>
      <c r="R480" s="400"/>
    </row>
    <row r="481" spans="1:20">
      <c r="L481" s="422"/>
      <c r="M481" s="422"/>
      <c r="N481" s="422"/>
      <c r="O481" s="400"/>
      <c r="P481" s="400"/>
      <c r="Q481" s="400"/>
      <c r="R481" s="400"/>
    </row>
    <row r="482" spans="1:20">
      <c r="L482" s="422"/>
      <c r="M482" s="422"/>
      <c r="N482" s="422"/>
      <c r="O482" s="400"/>
      <c r="P482" s="400"/>
      <c r="Q482" s="400"/>
      <c r="R482" s="400"/>
    </row>
    <row r="483" spans="1:20">
      <c r="L483" s="422"/>
      <c r="M483" s="422"/>
      <c r="N483" s="422"/>
      <c r="O483" s="400"/>
      <c r="P483" s="400"/>
      <c r="Q483" s="400"/>
      <c r="R483" s="400"/>
    </row>
    <row r="484" spans="1:20">
      <c r="L484" s="422"/>
      <c r="M484" s="422"/>
      <c r="N484" s="422"/>
      <c r="O484" s="400"/>
      <c r="P484" s="400"/>
      <c r="Q484" s="400"/>
      <c r="R484" s="400"/>
    </row>
    <row r="485" spans="1:20">
      <c r="L485" s="422"/>
      <c r="M485" s="422"/>
      <c r="N485" s="422"/>
      <c r="O485" s="400"/>
      <c r="P485" s="400"/>
      <c r="Q485" s="400"/>
      <c r="R485" s="400"/>
    </row>
    <row r="486" spans="1:20">
      <c r="L486" s="422"/>
      <c r="M486" s="422"/>
      <c r="N486" s="422"/>
      <c r="O486" s="400"/>
      <c r="P486" s="400"/>
      <c r="Q486" s="400"/>
      <c r="R486" s="400"/>
    </row>
    <row r="487" spans="1:20">
      <c r="L487" s="422"/>
      <c r="M487" s="422"/>
      <c r="N487" s="422"/>
      <c r="O487" s="400"/>
      <c r="P487" s="400"/>
      <c r="Q487" s="400"/>
      <c r="R487" s="400"/>
    </row>
    <row r="488" spans="1:20">
      <c r="L488" s="422"/>
      <c r="M488" s="422"/>
      <c r="N488" s="422"/>
      <c r="O488" s="400"/>
      <c r="P488" s="400"/>
      <c r="Q488" s="400"/>
      <c r="R488" s="400"/>
    </row>
    <row r="489" spans="1:20">
      <c r="L489" s="422"/>
      <c r="M489" s="422"/>
      <c r="N489" s="422"/>
      <c r="O489" s="400"/>
      <c r="P489" s="400"/>
      <c r="Q489" s="400"/>
      <c r="R489" s="400"/>
    </row>
    <row r="490" spans="1:20">
      <c r="L490" s="422"/>
      <c r="M490" s="422"/>
      <c r="N490" s="422"/>
      <c r="O490" s="400"/>
      <c r="P490" s="400"/>
      <c r="Q490" s="400"/>
      <c r="R490" s="400"/>
    </row>
    <row r="491" spans="1:20">
      <c r="L491" s="422"/>
      <c r="M491" s="422"/>
      <c r="N491" s="422"/>
      <c r="O491" s="400"/>
      <c r="P491" s="400"/>
      <c r="Q491" s="400"/>
      <c r="R491" s="400"/>
    </row>
    <row r="492" spans="1:20">
      <c r="L492" s="422"/>
      <c r="M492" s="422"/>
      <c r="N492" s="422"/>
      <c r="O492" s="400"/>
      <c r="P492" s="400"/>
      <c r="Q492" s="400"/>
      <c r="R492" s="400"/>
    </row>
    <row r="493" spans="1:20">
      <c r="L493" s="422"/>
      <c r="M493" s="422"/>
      <c r="N493" s="422"/>
      <c r="O493" s="400"/>
      <c r="P493" s="400"/>
      <c r="Q493" s="400"/>
      <c r="R493" s="400"/>
    </row>
    <row r="494" spans="1:20" s="424" customFormat="1">
      <c r="A494" s="400"/>
      <c r="B494" s="400"/>
      <c r="C494" s="400"/>
      <c r="D494" s="415"/>
      <c r="E494" s="415"/>
      <c r="F494" s="400"/>
      <c r="G494" s="400"/>
      <c r="H494" s="400"/>
      <c r="I494" s="400"/>
      <c r="J494" s="423"/>
      <c r="K494" s="400"/>
      <c r="L494" s="422"/>
      <c r="M494" s="422"/>
      <c r="N494" s="422"/>
      <c r="O494" s="400"/>
      <c r="P494" s="400"/>
      <c r="Q494" s="400"/>
      <c r="R494" s="400"/>
      <c r="S494" s="400"/>
      <c r="T494" s="400"/>
    </row>
    <row r="495" spans="1:20">
      <c r="L495" s="422"/>
      <c r="M495" s="422"/>
      <c r="N495" s="422"/>
      <c r="O495" s="400"/>
      <c r="P495" s="400"/>
      <c r="Q495" s="400"/>
      <c r="R495" s="400"/>
    </row>
    <row r="496" spans="1:20">
      <c r="L496" s="422"/>
      <c r="M496" s="422"/>
      <c r="N496" s="422"/>
      <c r="O496" s="400"/>
      <c r="P496" s="400"/>
      <c r="Q496" s="400"/>
      <c r="R496" s="400"/>
    </row>
    <row r="497" spans="1:20">
      <c r="L497" s="422"/>
      <c r="M497" s="422"/>
      <c r="N497" s="422"/>
      <c r="O497" s="400"/>
      <c r="P497" s="400"/>
      <c r="Q497" s="400"/>
      <c r="R497" s="400"/>
    </row>
    <row r="498" spans="1:20">
      <c r="L498" s="422"/>
      <c r="M498" s="422"/>
      <c r="N498" s="422"/>
      <c r="O498" s="400"/>
      <c r="P498" s="400"/>
      <c r="Q498" s="400"/>
      <c r="R498" s="400"/>
    </row>
    <row r="499" spans="1:20">
      <c r="L499" s="422"/>
      <c r="M499" s="422"/>
      <c r="N499" s="422"/>
      <c r="O499" s="400"/>
      <c r="P499" s="400"/>
      <c r="Q499" s="400"/>
      <c r="R499" s="400"/>
    </row>
    <row r="500" spans="1:20">
      <c r="L500" s="422"/>
      <c r="M500" s="422"/>
      <c r="N500" s="422"/>
      <c r="O500" s="400"/>
      <c r="P500" s="400"/>
      <c r="Q500" s="400"/>
      <c r="R500" s="400"/>
    </row>
    <row r="501" spans="1:20" s="424" customFormat="1">
      <c r="A501" s="400"/>
      <c r="B501" s="400"/>
      <c r="C501" s="400"/>
      <c r="D501" s="415"/>
      <c r="E501" s="415"/>
      <c r="F501" s="400"/>
      <c r="G501" s="400"/>
      <c r="H501" s="400"/>
      <c r="I501" s="400"/>
      <c r="J501" s="400"/>
      <c r="K501" s="400"/>
      <c r="L501" s="422"/>
      <c r="M501" s="422"/>
      <c r="N501" s="422"/>
      <c r="O501" s="400"/>
      <c r="P501" s="400"/>
      <c r="Q501" s="400"/>
      <c r="R501" s="400"/>
      <c r="S501" s="400"/>
      <c r="T501" s="400"/>
    </row>
    <row r="502" spans="1:20" s="424" customFormat="1">
      <c r="A502" s="400"/>
      <c r="B502" s="400"/>
      <c r="C502" s="400"/>
      <c r="D502" s="415"/>
      <c r="E502" s="415"/>
      <c r="F502" s="400"/>
      <c r="G502" s="400"/>
      <c r="H502" s="400"/>
      <c r="I502" s="400"/>
      <c r="J502" s="400"/>
      <c r="K502" s="400"/>
      <c r="L502" s="422"/>
      <c r="M502" s="422"/>
      <c r="N502" s="422"/>
      <c r="O502" s="400"/>
      <c r="P502" s="400"/>
      <c r="S502" s="400"/>
      <c r="T502" s="400"/>
    </row>
    <row r="503" spans="1:20" s="424" customFormat="1">
      <c r="A503" s="400"/>
      <c r="B503" s="400"/>
      <c r="C503" s="400"/>
      <c r="D503" s="415"/>
      <c r="E503" s="415"/>
      <c r="F503" s="400"/>
      <c r="G503" s="400"/>
      <c r="H503" s="400"/>
      <c r="I503" s="400"/>
      <c r="J503" s="400"/>
      <c r="K503" s="400"/>
      <c r="L503" s="422"/>
      <c r="M503" s="422"/>
      <c r="N503" s="422"/>
      <c r="O503" s="400"/>
      <c r="P503" s="400"/>
      <c r="Q503" s="400"/>
      <c r="R503" s="400"/>
      <c r="S503" s="400"/>
      <c r="T503" s="400"/>
    </row>
    <row r="504" spans="1:20">
      <c r="L504" s="422"/>
      <c r="M504" s="422"/>
      <c r="N504" s="422"/>
      <c r="O504" s="400"/>
      <c r="P504" s="400"/>
      <c r="Q504" s="400"/>
      <c r="R504" s="400"/>
    </row>
    <row r="505" spans="1:20">
      <c r="L505" s="422"/>
      <c r="M505" s="422"/>
      <c r="N505" s="422"/>
      <c r="O505" s="400"/>
      <c r="P505" s="400"/>
      <c r="Q505" s="400"/>
      <c r="R505" s="400"/>
    </row>
    <row r="506" spans="1:20">
      <c r="L506" s="422"/>
      <c r="M506" s="422"/>
      <c r="N506" s="422"/>
      <c r="O506" s="400"/>
      <c r="P506" s="400"/>
      <c r="Q506" s="400"/>
      <c r="R506" s="400"/>
    </row>
    <row r="507" spans="1:20">
      <c r="L507" s="422"/>
      <c r="M507" s="422"/>
      <c r="N507" s="422"/>
      <c r="O507" s="400"/>
      <c r="P507" s="400"/>
      <c r="Q507" s="400"/>
      <c r="R507" s="400"/>
    </row>
    <row r="508" spans="1:20">
      <c r="L508" s="422"/>
      <c r="M508" s="422"/>
      <c r="N508" s="422"/>
      <c r="O508" s="400"/>
      <c r="P508" s="400"/>
      <c r="Q508" s="400"/>
      <c r="R508" s="400"/>
    </row>
    <row r="509" spans="1:20">
      <c r="L509" s="422"/>
      <c r="M509" s="422"/>
      <c r="N509" s="422"/>
      <c r="O509" s="400"/>
      <c r="P509" s="400"/>
      <c r="Q509" s="424"/>
      <c r="R509" s="424"/>
    </row>
    <row r="510" spans="1:20">
      <c r="L510" s="422"/>
      <c r="M510" s="422"/>
      <c r="N510" s="422"/>
      <c r="O510" s="400"/>
      <c r="P510" s="400"/>
      <c r="Q510" s="424"/>
      <c r="R510" s="424"/>
    </row>
    <row r="511" spans="1:20">
      <c r="L511" s="422"/>
      <c r="M511" s="422"/>
      <c r="N511" s="422"/>
      <c r="O511" s="400"/>
      <c r="P511" s="400"/>
      <c r="Q511" s="424"/>
      <c r="R511" s="424"/>
    </row>
    <row r="512" spans="1:20">
      <c r="L512" s="422"/>
      <c r="M512" s="422"/>
      <c r="N512" s="422"/>
      <c r="O512" s="400"/>
      <c r="P512" s="400"/>
      <c r="Q512" s="400"/>
      <c r="R512" s="400"/>
    </row>
    <row r="513" spans="12:18">
      <c r="L513" s="422"/>
      <c r="M513" s="422"/>
      <c r="N513" s="422"/>
      <c r="O513" s="400"/>
      <c r="P513" s="400"/>
      <c r="Q513" s="400"/>
      <c r="R513" s="400"/>
    </row>
  </sheetData>
  <autoFilter ref="A5:S39"/>
  <mergeCells count="27">
    <mergeCell ref="S1:S3"/>
    <mergeCell ref="A2:B2"/>
    <mergeCell ref="C2:Q2"/>
    <mergeCell ref="A3:B3"/>
    <mergeCell ref="C3:Q3"/>
    <mergeCell ref="F4:I4"/>
    <mergeCell ref="J4:J5"/>
    <mergeCell ref="K4:K5"/>
    <mergeCell ref="A1:B1"/>
    <mergeCell ref="C1:Q1"/>
    <mergeCell ref="A4:A5"/>
    <mergeCell ref="B4:B5"/>
    <mergeCell ref="C4:C5"/>
    <mergeCell ref="D4:D5"/>
    <mergeCell ref="E4:E5"/>
    <mergeCell ref="S4:S5"/>
    <mergeCell ref="L4:L5"/>
    <mergeCell ref="M4:M5"/>
    <mergeCell ref="N4:N5"/>
    <mergeCell ref="O4:O5"/>
    <mergeCell ref="P4:P5"/>
    <mergeCell ref="Q4:Q5"/>
    <mergeCell ref="L34:M34"/>
    <mergeCell ref="N34:O34"/>
    <mergeCell ref="K11:K12"/>
    <mergeCell ref="K28:K29"/>
    <mergeCell ref="R4:R5"/>
  </mergeCells>
  <conditionalFormatting sqref="K1:K11">
    <cfRule type="cellIs" dxfId="188" priority="153" operator="equal">
      <formula>#REF!</formula>
    </cfRule>
  </conditionalFormatting>
  <conditionalFormatting sqref="K13:K28">
    <cfRule type="cellIs" dxfId="187" priority="41" operator="equal">
      <formula>#REF!</formula>
    </cfRule>
  </conditionalFormatting>
  <conditionalFormatting sqref="L6:L34">
    <cfRule type="cellIs" dxfId="186" priority="27" operator="equal">
      <formula>$L$22</formula>
    </cfRule>
    <cfRule type="cellIs" dxfId="185" priority="28" operator="equal">
      <formula>#REF!</formula>
    </cfRule>
  </conditionalFormatting>
  <conditionalFormatting sqref="L38">
    <cfRule type="cellIs" dxfId="184" priority="43" operator="equal">
      <formula>#REF!</formula>
    </cfRule>
  </conditionalFormatting>
  <conditionalFormatting sqref="L40:L41">
    <cfRule type="cellIs" dxfId="183" priority="201" operator="equal">
      <formula>#REF!</formula>
    </cfRule>
  </conditionalFormatting>
  <conditionalFormatting sqref="L35:M35">
    <cfRule type="cellIs" dxfId="182" priority="66" operator="equal">
      <formula>#REF!</formula>
    </cfRule>
  </conditionalFormatting>
  <conditionalFormatting sqref="L42:N513">
    <cfRule type="cellIs" dxfId="181" priority="167" operator="equal">
      <formula>"Under Progress"</formula>
    </cfRule>
    <cfRule type="cellIs" dxfId="180" priority="168" operator="equal">
      <formula>"Completed"</formula>
    </cfRule>
  </conditionalFormatting>
  <conditionalFormatting sqref="L36:O37 M36:M41 L39:O40 M41:N41 M364:N1048576 N35 O38 O40:O41 K30:K34 K40:K1048576">
    <cfRule type="cellIs" dxfId="179" priority="301" operator="equal">
      <formula>#REF!</formula>
    </cfRule>
  </conditionalFormatting>
  <conditionalFormatting sqref="M11">
    <cfRule type="cellIs" dxfId="178" priority="186" operator="equal">
      <formula>$N$7</formula>
    </cfRule>
    <cfRule type="cellIs" dxfId="177" priority="187" operator="equal">
      <formula>"Planning"</formula>
    </cfRule>
    <cfRule type="cellIs" dxfId="176" priority="188" operator="equal">
      <formula>$N$8</formula>
    </cfRule>
    <cfRule type="cellIs" dxfId="175" priority="189" operator="equal">
      <formula>"Under Progress"</formula>
    </cfRule>
    <cfRule type="cellIs" dxfId="174" priority="190" operator="equal">
      <formula>#REF!</formula>
    </cfRule>
  </conditionalFormatting>
  <conditionalFormatting sqref="M13:M21">
    <cfRule type="cellIs" dxfId="173" priority="36" operator="equal">
      <formula>$N$7</formula>
    </cfRule>
    <cfRule type="cellIs" dxfId="172" priority="37" operator="equal">
      <formula>"Planning"</formula>
    </cfRule>
    <cfRule type="cellIs" dxfId="171" priority="38" operator="equal">
      <formula>$N$8</formula>
    </cfRule>
    <cfRule type="cellIs" dxfId="170" priority="39" operator="equal">
      <formula>"Under Progress"</formula>
    </cfRule>
    <cfRule type="cellIs" dxfId="169" priority="40" operator="equal">
      <formula>#REF!</formula>
    </cfRule>
  </conditionalFormatting>
  <conditionalFormatting sqref="M35">
    <cfRule type="cellIs" dxfId="168" priority="63" operator="equal">
      <formula>"Planning"</formula>
    </cfRule>
    <cfRule type="cellIs" dxfId="167" priority="64" operator="equal">
      <formula>$N$8</formula>
    </cfRule>
    <cfRule type="cellIs" dxfId="166" priority="65" operator="equal">
      <formula>"Under Progress"</formula>
    </cfRule>
  </conditionalFormatting>
  <conditionalFormatting sqref="M35:M41">
    <cfRule type="cellIs" dxfId="165" priority="62" operator="equal">
      <formula>$N$7</formula>
    </cfRule>
  </conditionalFormatting>
  <conditionalFormatting sqref="M1:N3 M12:N12">
    <cfRule type="cellIs" dxfId="164" priority="283" operator="equal">
      <formula>#REF!</formula>
    </cfRule>
  </conditionalFormatting>
  <conditionalFormatting sqref="M1:N3 M10:R10 M12:N12 M36:M41 M41:N41 M364:N1048576 S10:S13 M8:M10 O8:S9 M6:S7">
    <cfRule type="cellIs" dxfId="163" priority="280" operator="equal">
      <formula>"Planning"</formula>
    </cfRule>
    <cfRule type="cellIs" dxfId="162" priority="282" operator="equal">
      <formula>"Under Progress"</formula>
    </cfRule>
  </conditionalFormatting>
  <conditionalFormatting sqref="M1:N3 M10:R10 S10:S13 M12:N12 M36:M41 M41:N41 M364:N1048576 M8:M10 O8:S9 M6:S7">
    <cfRule type="cellIs" dxfId="161" priority="281" operator="equal">
      <formula>$N$8</formula>
    </cfRule>
  </conditionalFormatting>
  <conditionalFormatting sqref="M6:N7 M10:R10 M8:M10">
    <cfRule type="cellIs" dxfId="160" priority="267" operator="equal">
      <formula>#REF!</formula>
    </cfRule>
  </conditionalFormatting>
  <conditionalFormatting sqref="M364:N1048576 M1:N3 M6:S7 M10:R10 M12:N12 M41:N41 M8:M10 O8:S9">
    <cfRule type="cellIs" dxfId="159" priority="279" operator="equal">
      <formula>$N$7</formula>
    </cfRule>
  </conditionalFormatting>
  <conditionalFormatting sqref="M22:S33">
    <cfRule type="cellIs" dxfId="158" priority="22" operator="equal">
      <formula>$N$7</formula>
    </cfRule>
    <cfRule type="cellIs" dxfId="157" priority="23" operator="equal">
      <formula>"Under Progress"</formula>
    </cfRule>
    <cfRule type="cellIs" dxfId="156" priority="24" operator="equal">
      <formula>"Planning"</formula>
    </cfRule>
    <cfRule type="cellIs" dxfId="155" priority="25" operator="equal">
      <formula>$N$8</formula>
    </cfRule>
    <cfRule type="cellIs" dxfId="154" priority="26" operator="equal">
      <formula>#REF!</formula>
    </cfRule>
  </conditionalFormatting>
  <conditionalFormatting sqref="N34">
    <cfRule type="cellIs" dxfId="153" priority="272" operator="equal">
      <formula>$L$22</formula>
    </cfRule>
    <cfRule type="cellIs" dxfId="152" priority="273" operator="equal">
      <formula>#REF!</formula>
    </cfRule>
  </conditionalFormatting>
  <conditionalFormatting sqref="N38">
    <cfRule type="cellIs" dxfId="151" priority="42" operator="equal">
      <formula>#REF!</formula>
    </cfRule>
  </conditionalFormatting>
  <conditionalFormatting sqref="N40:N41">
    <cfRule type="cellIs" dxfId="150" priority="200" operator="equal">
      <formula>#REF!</formula>
    </cfRule>
  </conditionalFormatting>
  <conditionalFormatting sqref="O36:O41">
    <cfRule type="cellIs" dxfId="149" priority="268" operator="equal">
      <formula>$N$7</formula>
    </cfRule>
    <cfRule type="cellIs" dxfId="148" priority="269" operator="equal">
      <formula>"Planning"</formula>
    </cfRule>
    <cfRule type="cellIs" dxfId="147" priority="270" operator="equal">
      <formula>$N$8</formula>
    </cfRule>
    <cfRule type="cellIs" dxfId="146" priority="271" operator="equal">
      <formula>"Under Progress"</formula>
    </cfRule>
  </conditionalFormatting>
  <conditionalFormatting sqref="O36:O37">
    <cfRule type="cellIs" dxfId="145" priority="196" operator="equal">
      <formula>$N$7</formula>
    </cfRule>
    <cfRule type="cellIs" dxfId="144" priority="197" operator="equal">
      <formula>"Planning"</formula>
    </cfRule>
    <cfRule type="cellIs" dxfId="143" priority="198" operator="equal">
      <formula>$N$8</formula>
    </cfRule>
    <cfRule type="cellIs" dxfId="142" priority="199" operator="equal">
      <formula>"Under Progress"</formula>
    </cfRule>
  </conditionalFormatting>
  <conditionalFormatting sqref="O11:R13 P14">
    <cfRule type="cellIs" dxfId="141" priority="94" operator="equal">
      <formula>"Under Progress"</formula>
    </cfRule>
    <cfRule type="cellIs" dxfId="140" priority="182" operator="equal">
      <formula>"Planning"</formula>
    </cfRule>
    <cfRule type="cellIs" dxfId="139" priority="183" operator="equal">
      <formula>$N$8</formula>
    </cfRule>
    <cfRule type="cellIs" dxfId="138" priority="185" operator="equal">
      <formula>#REF!</formula>
    </cfRule>
  </conditionalFormatting>
  <conditionalFormatting sqref="O11:R21">
    <cfRule type="cellIs" dxfId="137" priority="31" operator="equal">
      <formula>$N$7</formula>
    </cfRule>
  </conditionalFormatting>
  <conditionalFormatting sqref="O14:R21">
    <cfRule type="cellIs" dxfId="136" priority="35" operator="equal">
      <formula>#REF!</formula>
    </cfRule>
  </conditionalFormatting>
  <conditionalFormatting sqref="O6:S9">
    <cfRule type="cellIs" dxfId="135" priority="293" operator="equal">
      <formula>#REF!</formula>
    </cfRule>
  </conditionalFormatting>
  <conditionalFormatting sqref="O14:S21">
    <cfRule type="cellIs" dxfId="134" priority="32" operator="equal">
      <formula>"Under Progress"</formula>
    </cfRule>
    <cfRule type="cellIs" dxfId="133" priority="33" operator="equal">
      <formula>"Planning"</formula>
    </cfRule>
    <cfRule type="cellIs" dxfId="132" priority="34" operator="equal">
      <formula>$N$8</formula>
    </cfRule>
  </conditionalFormatting>
  <conditionalFormatting sqref="P1:R3 P38:R1048576">
    <cfRule type="cellIs" dxfId="131" priority="295" operator="equal">
      <formula>"Under Progress"</formula>
    </cfRule>
    <cfRule type="cellIs" dxfId="130" priority="296" operator="equal">
      <formula>"Completed"</formula>
    </cfRule>
  </conditionalFormatting>
  <conditionalFormatting sqref="Q34:R34">
    <cfRule type="cellIs" dxfId="129" priority="294" operator="equal">
      <formula>"Completed"</formula>
    </cfRule>
  </conditionalFormatting>
  <conditionalFormatting sqref="S10:S21">
    <cfRule type="cellIs" dxfId="128" priority="29" operator="equal">
      <formula>$N$7</formula>
    </cfRule>
    <cfRule type="cellIs" dxfId="127" priority="30" operator="equal">
      <formula>#REF!</formula>
    </cfRule>
  </conditionalFormatting>
  <conditionalFormatting sqref="O35">
    <cfRule type="cellIs" dxfId="126" priority="21" operator="equal">
      <formula>#REF!</formula>
    </cfRule>
  </conditionalFormatting>
  <conditionalFormatting sqref="O35">
    <cfRule type="cellIs" dxfId="125" priority="18" operator="equal">
      <formula>"Planning"</formula>
    </cfRule>
    <cfRule type="cellIs" dxfId="124" priority="19" operator="equal">
      <formula>$N$8</formula>
    </cfRule>
    <cfRule type="cellIs" dxfId="123" priority="20" operator="equal">
      <formula>"Under Progress"</formula>
    </cfRule>
  </conditionalFormatting>
  <conditionalFormatting sqref="O35">
    <cfRule type="cellIs" dxfId="122" priority="17" operator="equal">
      <formula>$N$7</formula>
    </cfRule>
  </conditionalFormatting>
  <conditionalFormatting sqref="Q13">
    <cfRule type="cellIs" dxfId="121" priority="16" operator="equal">
      <formula>#REF!</formula>
    </cfRule>
  </conditionalFormatting>
  <conditionalFormatting sqref="Q13">
    <cfRule type="cellIs" dxfId="120" priority="13" operator="equal">
      <formula>"Under Progress"</formula>
    </cfRule>
    <cfRule type="cellIs" dxfId="119" priority="14" operator="equal">
      <formula>"Planning"</formula>
    </cfRule>
    <cfRule type="cellIs" dxfId="118" priority="15" operator="equal">
      <formula>$N$8</formula>
    </cfRule>
  </conditionalFormatting>
  <conditionalFormatting sqref="Q12">
    <cfRule type="cellIs" dxfId="117" priority="12" operator="equal">
      <formula>#REF!</formula>
    </cfRule>
  </conditionalFormatting>
  <conditionalFormatting sqref="Q12">
    <cfRule type="cellIs" dxfId="116" priority="9" operator="equal">
      <formula>"Under Progress"</formula>
    </cfRule>
    <cfRule type="cellIs" dxfId="115" priority="10" operator="equal">
      <formula>"Planning"</formula>
    </cfRule>
    <cfRule type="cellIs" dxfId="114" priority="11" operator="equal">
      <formula>$N$8</formula>
    </cfRule>
  </conditionalFormatting>
  <conditionalFormatting sqref="S9">
    <cfRule type="cellIs" dxfId="113" priority="7" operator="equal">
      <formula>$N$7</formula>
    </cfRule>
    <cfRule type="cellIs" dxfId="112" priority="8" operator="equal">
      <formula>#REF!</formula>
    </cfRule>
  </conditionalFormatting>
  <conditionalFormatting sqref="S8">
    <cfRule type="cellIs" dxfId="111" priority="5" operator="equal">
      <formula>$N$7</formula>
    </cfRule>
    <cfRule type="cellIs" dxfId="110" priority="6" operator="equal">
      <formula>#REF!</formula>
    </cfRule>
  </conditionalFormatting>
  <conditionalFormatting sqref="S7">
    <cfRule type="cellIs" dxfId="109" priority="3" operator="equal">
      <formula>$N$7</formula>
    </cfRule>
    <cfRule type="cellIs" dxfId="108" priority="4" operator="equal">
      <formula>#REF!</formula>
    </cfRule>
  </conditionalFormatting>
  <conditionalFormatting sqref="S6">
    <cfRule type="cellIs" dxfId="107" priority="1" operator="equal">
      <formula>$N$7</formula>
    </cfRule>
    <cfRule type="cellIs" dxfId="106" priority="2" operator="equal">
      <formula>#REF!</formula>
    </cfRule>
  </conditionalFormatting>
  <printOptions horizontalCentered="1" verticalCentered="1"/>
  <pageMargins left="0.11811023622047245" right="0.11811023622047245" top="0" bottom="0.15748031496062992" header="0" footer="0.11811023622047245"/>
  <pageSetup paperSize="9" scale="7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4"/>
  <sheetViews>
    <sheetView topLeftCell="A36" zoomScale="64" workbookViewId="0">
      <selection activeCell="U65" sqref="U65"/>
    </sheetView>
  </sheetViews>
  <sheetFormatPr defaultColWidth="9.28515625" defaultRowHeight="12.75"/>
  <cols>
    <col min="1" max="1" width="8.28515625" style="337" customWidth="1"/>
    <col min="2" max="2" width="6.42578125" style="337" customWidth="1"/>
    <col min="3" max="3" width="10.5703125" style="337" bestFit="1" customWidth="1"/>
    <col min="4" max="4" width="12.140625" style="337" customWidth="1"/>
    <col min="5" max="5" width="9.5703125" style="337" bestFit="1" customWidth="1"/>
    <col min="6" max="6" width="8.85546875" style="337" bestFit="1" customWidth="1"/>
    <col min="7" max="7" width="13.28515625" style="337" customWidth="1"/>
    <col min="8" max="8" width="7.28515625" style="337" customWidth="1"/>
    <col min="9" max="9" width="11.7109375" style="337" customWidth="1"/>
    <col min="10" max="10" width="8.5703125" style="337" customWidth="1"/>
    <col min="11" max="11" width="11" style="337" customWidth="1"/>
    <col min="12" max="12" width="9" style="337" customWidth="1"/>
    <col min="13" max="14" width="10.28515625" style="337" customWidth="1"/>
    <col min="15" max="15" width="11.42578125" style="337" customWidth="1"/>
    <col min="16" max="16" width="11.85546875" style="337" customWidth="1"/>
    <col min="17" max="17" width="10.42578125" style="337" customWidth="1"/>
    <col min="18" max="18" width="8.5703125" style="337" customWidth="1"/>
    <col min="19" max="19" width="11.140625" style="337" customWidth="1"/>
    <col min="20" max="20" width="7.28515625" style="337" customWidth="1"/>
    <col min="21" max="21" width="10.5703125" style="337" customWidth="1"/>
    <col min="22" max="22" width="8.28515625" style="337" bestFit="1" customWidth="1"/>
    <col min="23" max="23" width="13.5703125" style="337" customWidth="1"/>
    <col min="24" max="24" width="9.42578125" style="337" customWidth="1"/>
    <col min="25" max="25" width="11.28515625" style="338" customWidth="1"/>
    <col min="26" max="26" width="12.42578125" style="338" customWidth="1"/>
    <col min="27" max="27" width="10" style="337" customWidth="1"/>
    <col min="28" max="28" width="9.28515625" style="337"/>
    <col min="29" max="29" width="10" style="337" bestFit="1" customWidth="1"/>
    <col min="30" max="30" width="12.5703125" style="337" customWidth="1"/>
    <col min="31" max="36" width="9.28515625" style="337"/>
    <col min="37" max="37" width="21.28515625" style="337" customWidth="1"/>
    <col min="38" max="16384" width="9.28515625" style="337"/>
  </cols>
  <sheetData>
    <row r="1" spans="1:27" ht="13.5" thickBot="1"/>
    <row r="2" spans="1:27" ht="18">
      <c r="A2" s="339"/>
      <c r="B2" s="396"/>
      <c r="C2" s="1498">
        <v>46197</v>
      </c>
      <c r="D2" s="1499"/>
      <c r="E2" s="1499"/>
      <c r="F2" s="1499"/>
      <c r="G2" s="1499"/>
      <c r="H2" s="1499"/>
      <c r="I2" s="1499"/>
      <c r="J2" s="1499"/>
      <c r="K2" s="1499"/>
      <c r="L2" s="1499"/>
      <c r="M2" s="1499"/>
      <c r="N2" s="1499"/>
      <c r="O2" s="1499"/>
      <c r="P2" s="1499"/>
      <c r="Q2" s="1499"/>
      <c r="R2" s="1499"/>
      <c r="S2" s="1499"/>
      <c r="T2" s="1499"/>
      <c r="U2" s="1499"/>
      <c r="V2" s="1499"/>
      <c r="W2" s="1499"/>
      <c r="X2" s="1499"/>
      <c r="Y2" s="1499"/>
      <c r="Z2" s="1499"/>
      <c r="AA2" s="1500"/>
    </row>
    <row r="3" spans="1:27" ht="18">
      <c r="A3" s="1501" t="s">
        <v>955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1587"/>
      <c r="P3" s="1587"/>
      <c r="Q3" s="1587"/>
      <c r="R3" s="1587"/>
      <c r="S3" s="1587"/>
      <c r="T3" s="1587"/>
      <c r="U3" s="1587"/>
      <c r="V3" s="1587"/>
      <c r="W3" s="1587"/>
      <c r="X3" s="1587"/>
      <c r="Y3" s="1587"/>
      <c r="Z3" s="1587"/>
      <c r="AA3" s="1503"/>
    </row>
    <row r="4" spans="1:27" ht="18">
      <c r="A4" s="1501" t="s">
        <v>956</v>
      </c>
      <c r="B4" s="1587"/>
      <c r="C4" s="1587"/>
      <c r="D4" s="1587"/>
      <c r="E4" s="1587"/>
      <c r="F4" s="1587"/>
      <c r="G4" s="1587"/>
      <c r="H4" s="1587"/>
      <c r="I4" s="1587"/>
      <c r="J4" s="1587"/>
      <c r="K4" s="1587"/>
      <c r="L4" s="1587"/>
      <c r="M4" s="1587"/>
      <c r="N4" s="1587"/>
      <c r="O4" s="1587"/>
      <c r="P4" s="1587"/>
      <c r="Q4" s="1587"/>
      <c r="R4" s="1587"/>
      <c r="S4" s="1587"/>
      <c r="T4" s="1587"/>
      <c r="U4" s="1587"/>
      <c r="V4" s="1587"/>
      <c r="W4" s="1587"/>
      <c r="X4" s="1587"/>
      <c r="Y4" s="1587"/>
      <c r="Z4" s="1587"/>
      <c r="AA4" s="1503"/>
    </row>
    <row r="5" spans="1:27" ht="18" customHeight="1">
      <c r="A5" s="1504" t="s">
        <v>916</v>
      </c>
      <c r="B5" s="1588"/>
      <c r="C5" s="1588"/>
      <c r="D5" s="1588"/>
      <c r="E5" s="1588"/>
      <c r="F5" s="1588"/>
      <c r="G5" s="1588"/>
      <c r="H5" s="1588"/>
      <c r="I5" s="1588"/>
      <c r="J5" s="1588"/>
      <c r="K5" s="1588"/>
      <c r="L5" s="1588"/>
      <c r="M5" s="1588"/>
      <c r="N5" s="1588"/>
      <c r="O5" s="1588"/>
      <c r="P5" s="1588"/>
      <c r="Q5" s="1588"/>
      <c r="R5" s="1588"/>
      <c r="S5" s="1588"/>
      <c r="T5" s="1588"/>
      <c r="U5" s="1588"/>
      <c r="V5" s="1588"/>
      <c r="W5" s="1588"/>
      <c r="X5" s="1588"/>
      <c r="Y5" s="1588"/>
      <c r="Z5" s="1588"/>
      <c r="AA5" s="1506"/>
    </row>
    <row r="6" spans="1:27" ht="18.75" thickBot="1">
      <c r="A6" s="341"/>
      <c r="B6" s="342"/>
      <c r="C6" s="342"/>
      <c r="D6" s="342"/>
      <c r="E6" s="342"/>
      <c r="F6" s="342"/>
      <c r="G6" s="342"/>
      <c r="H6" s="342"/>
      <c r="I6" s="342"/>
      <c r="J6" s="342"/>
      <c r="K6" s="342"/>
      <c r="L6" s="342"/>
      <c r="M6" s="342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4"/>
    </row>
    <row r="7" spans="1:27" ht="18">
      <c r="A7" s="339"/>
      <c r="B7" s="396"/>
      <c r="C7" s="1631"/>
      <c r="D7" s="1631"/>
      <c r="E7" s="1631"/>
      <c r="F7" s="1631"/>
      <c r="G7" s="1631"/>
      <c r="H7" s="1632"/>
      <c r="I7" s="1632"/>
      <c r="J7" s="1523"/>
      <c r="K7" s="1523"/>
      <c r="L7" s="1633"/>
      <c r="M7" s="1634" t="s">
        <v>917</v>
      </c>
      <c r="N7" s="1523"/>
      <c r="O7" s="1523"/>
      <c r="P7" s="1523"/>
      <c r="Q7" s="1523"/>
      <c r="R7" s="1523"/>
      <c r="S7" s="1523"/>
      <c r="T7" s="1523"/>
      <c r="U7" s="1523"/>
      <c r="V7" s="1523"/>
      <c r="W7" s="1523"/>
      <c r="X7" s="1523"/>
      <c r="Y7" s="1523"/>
      <c r="Z7" s="1523"/>
      <c r="AA7" s="1633"/>
    </row>
    <row r="8" spans="1:27" ht="18" customHeight="1">
      <c r="A8" s="340"/>
      <c r="C8" s="1643"/>
      <c r="D8" s="1643"/>
      <c r="E8" s="1643"/>
      <c r="F8" s="1643"/>
      <c r="G8" s="1643"/>
      <c r="H8" s="1644"/>
      <c r="I8" s="1644"/>
      <c r="J8" s="1645"/>
      <c r="K8" s="1645"/>
      <c r="L8" s="1646"/>
      <c r="M8" s="1091"/>
      <c r="N8" s="1096"/>
      <c r="O8" s="345" t="s">
        <v>918</v>
      </c>
      <c r="P8" s="1536" t="s">
        <v>919</v>
      </c>
      <c r="Q8" s="1590"/>
      <c r="R8" s="346"/>
      <c r="S8" s="347"/>
      <c r="T8" s="1537" t="s">
        <v>920</v>
      </c>
      <c r="U8" s="1538"/>
      <c r="V8" s="348"/>
      <c r="W8" s="1539" t="s">
        <v>921</v>
      </c>
      <c r="X8" s="1532" t="s">
        <v>922</v>
      </c>
      <c r="Y8" s="1532" t="s">
        <v>1004</v>
      </c>
      <c r="Z8" s="350"/>
      <c r="AA8" s="1533"/>
    </row>
    <row r="9" spans="1:27" ht="20.25">
      <c r="A9" s="340"/>
      <c r="C9" s="1635" t="s">
        <v>924</v>
      </c>
      <c r="D9" s="1636"/>
      <c r="E9" s="1636"/>
      <c r="F9" s="1636"/>
      <c r="G9" s="1637"/>
      <c r="H9" s="1638" t="s">
        <v>873</v>
      </c>
      <c r="I9" s="1639"/>
      <c r="J9" s="1640" t="s">
        <v>2208</v>
      </c>
      <c r="K9" s="1641"/>
      <c r="L9" s="1642"/>
      <c r="M9" s="351"/>
      <c r="N9" s="1096"/>
      <c r="O9" s="1096"/>
      <c r="P9" s="1591" t="s">
        <v>925</v>
      </c>
      <c r="Q9" s="1591"/>
      <c r="R9" s="1096"/>
      <c r="S9" s="352" t="s">
        <v>926</v>
      </c>
      <c r="T9" s="1537"/>
      <c r="U9" s="1538"/>
      <c r="V9" s="348"/>
      <c r="W9" s="1539"/>
      <c r="X9" s="1532"/>
      <c r="Y9" s="1532"/>
      <c r="Z9" s="350"/>
      <c r="AA9" s="1533"/>
    </row>
    <row r="10" spans="1:27" ht="18.75" customHeight="1" thickBot="1">
      <c r="A10" s="340"/>
      <c r="C10" s="1635" t="s">
        <v>927</v>
      </c>
      <c r="D10" s="1636"/>
      <c r="E10" s="1636"/>
      <c r="F10" s="1636"/>
      <c r="G10" s="1637"/>
      <c r="H10" s="1638" t="s">
        <v>873</v>
      </c>
      <c r="I10" s="1639"/>
      <c r="J10" s="1640" t="s">
        <v>2210</v>
      </c>
      <c r="K10" s="1641"/>
      <c r="L10" s="1642"/>
      <c r="M10" s="353" t="s">
        <v>928</v>
      </c>
      <c r="N10" s="347"/>
      <c r="O10" s="1095"/>
      <c r="P10" s="354"/>
      <c r="Q10" s="355"/>
      <c r="R10" s="356"/>
      <c r="S10" s="356"/>
      <c r="T10" s="1537"/>
      <c r="U10" s="1538"/>
      <c r="V10" s="357"/>
      <c r="W10" s="1539"/>
      <c r="X10" s="1532"/>
      <c r="Y10" s="1532"/>
      <c r="Z10" s="347"/>
      <c r="AA10" s="1533"/>
    </row>
    <row r="11" spans="1:27" s="364" customFormat="1" ht="21" thickTop="1">
      <c r="A11" s="358"/>
      <c r="C11" s="1635" t="s">
        <v>929</v>
      </c>
      <c r="D11" s="1636"/>
      <c r="E11" s="1636"/>
      <c r="F11" s="1636"/>
      <c r="G11" s="1637"/>
      <c r="H11" s="1638" t="s">
        <v>873</v>
      </c>
      <c r="I11" s="1639"/>
      <c r="J11" s="1640" t="s">
        <v>2209</v>
      </c>
      <c r="K11" s="1641"/>
      <c r="L11" s="1642"/>
      <c r="M11" s="359"/>
      <c r="N11" s="355"/>
      <c r="O11" s="360" t="s">
        <v>930</v>
      </c>
      <c r="P11" s="1540" t="s">
        <v>931</v>
      </c>
      <c r="Q11" s="1541"/>
      <c r="R11" s="1526"/>
      <c r="S11" s="347"/>
      <c r="T11" s="1537"/>
      <c r="U11" s="1538"/>
      <c r="V11" s="357"/>
      <c r="W11" s="361"/>
      <c r="X11" s="362"/>
      <c r="Y11" s="362"/>
      <c r="Z11" s="356"/>
      <c r="AA11" s="363"/>
    </row>
    <row r="12" spans="1:27" s="364" customFormat="1" ht="21" thickBot="1">
      <c r="A12" s="358"/>
      <c r="C12" s="1514" t="s">
        <v>932</v>
      </c>
      <c r="D12" s="1514"/>
      <c r="E12" s="1514"/>
      <c r="F12" s="1514"/>
      <c r="G12" s="1514"/>
      <c r="H12" s="1515" t="s">
        <v>933</v>
      </c>
      <c r="I12" s="1515"/>
      <c r="J12" s="1515" t="s">
        <v>1584</v>
      </c>
      <c r="K12" s="1515"/>
      <c r="L12" s="1638"/>
      <c r="M12" s="353" t="s">
        <v>934</v>
      </c>
      <c r="N12" s="356"/>
      <c r="O12" s="365" t="s">
        <v>935</v>
      </c>
      <c r="P12" s="356"/>
      <c r="Q12" s="366"/>
      <c r="R12" s="1527"/>
      <c r="S12" s="356"/>
      <c r="T12" s="1537"/>
      <c r="U12" s="1538"/>
      <c r="V12" s="357"/>
      <c r="W12" s="361"/>
      <c r="X12" s="362"/>
      <c r="Y12" s="362"/>
      <c r="Z12" s="356"/>
      <c r="AA12" s="363"/>
    </row>
    <row r="13" spans="1:27" s="364" customFormat="1" ht="20.25">
      <c r="A13" s="358"/>
      <c r="C13" s="1514" t="s">
        <v>936</v>
      </c>
      <c r="D13" s="1514"/>
      <c r="E13" s="1514"/>
      <c r="F13" s="1514"/>
      <c r="G13" s="1514"/>
      <c r="H13" s="1515" t="s">
        <v>933</v>
      </c>
      <c r="I13" s="1515"/>
      <c r="J13" s="1647" t="s">
        <v>1584</v>
      </c>
      <c r="K13" s="1647"/>
      <c r="L13" s="1648"/>
      <c r="M13" s="359"/>
      <c r="N13" s="356"/>
      <c r="O13" s="356"/>
      <c r="P13" s="356"/>
      <c r="Q13" s="367"/>
      <c r="R13" s="1095"/>
      <c r="S13" s="356"/>
      <c r="T13" s="1537"/>
      <c r="U13" s="1538"/>
      <c r="V13" s="357"/>
      <c r="W13" s="361"/>
      <c r="X13" s="368"/>
      <c r="Y13" s="368"/>
      <c r="Z13" s="356"/>
      <c r="AA13" s="363"/>
    </row>
    <row r="14" spans="1:27" s="364" customFormat="1" ht="15.75">
      <c r="A14" s="358"/>
      <c r="I14" s="364" t="s">
        <v>937</v>
      </c>
      <c r="M14" s="369" t="s">
        <v>938</v>
      </c>
      <c r="N14" s="356"/>
      <c r="O14" s="1095" t="s">
        <v>939</v>
      </c>
      <c r="P14" s="1649" t="s">
        <v>942</v>
      </c>
      <c r="Q14" s="367" t="s">
        <v>940</v>
      </c>
      <c r="R14" s="356"/>
      <c r="S14" s="1547" t="s">
        <v>941</v>
      </c>
      <c r="T14" s="1537"/>
      <c r="U14" s="1538"/>
      <c r="V14" s="357"/>
      <c r="W14" s="361"/>
      <c r="X14" s="368"/>
      <c r="Y14" s="368"/>
      <c r="Z14" s="356"/>
      <c r="AA14" s="363"/>
    </row>
    <row r="15" spans="1:27" s="364" customFormat="1" ht="15.75" customHeight="1">
      <c r="A15" s="358"/>
      <c r="M15" s="359"/>
      <c r="N15" s="356"/>
      <c r="O15" s="1095"/>
      <c r="P15" s="1649"/>
      <c r="Q15" s="1548" t="s">
        <v>943</v>
      </c>
      <c r="R15" s="356"/>
      <c r="S15" s="1547"/>
      <c r="T15" s="1537"/>
      <c r="U15" s="1538"/>
      <c r="V15" s="357"/>
      <c r="W15" s="361"/>
      <c r="X15" s="368"/>
      <c r="Y15" s="368"/>
      <c r="Z15" s="356"/>
      <c r="AA15" s="363"/>
    </row>
    <row r="16" spans="1:27" s="364" customFormat="1" ht="17.45" customHeight="1">
      <c r="A16" s="359"/>
      <c r="B16" s="356"/>
      <c r="D16" s="1590"/>
      <c r="E16" s="1590"/>
      <c r="F16" s="1590"/>
      <c r="G16" s="1590"/>
      <c r="I16" s="356"/>
      <c r="J16" s="356"/>
      <c r="K16" s="356"/>
      <c r="L16" s="356"/>
      <c r="M16" s="369" t="s">
        <v>944</v>
      </c>
      <c r="N16" s="356"/>
      <c r="O16" s="1095" t="s">
        <v>1005</v>
      </c>
      <c r="P16" s="1649"/>
      <c r="Q16" s="1549"/>
      <c r="R16" s="356"/>
      <c r="S16" s="356"/>
      <c r="T16" s="1537"/>
      <c r="U16" s="1538"/>
      <c r="V16" s="356"/>
      <c r="W16" s="361"/>
      <c r="X16" s="362"/>
      <c r="Y16" s="362"/>
      <c r="Z16" s="356"/>
      <c r="AA16" s="363"/>
    </row>
    <row r="17" spans="1:30" s="364" customFormat="1" ht="16.5" thickBot="1">
      <c r="A17" s="358"/>
      <c r="M17" s="370"/>
      <c r="N17" s="343"/>
      <c r="O17" s="343"/>
      <c r="P17" s="1650"/>
      <c r="Q17" s="343"/>
      <c r="R17" s="343"/>
      <c r="S17" s="343"/>
      <c r="T17" s="343"/>
      <c r="U17" s="343"/>
      <c r="V17" s="343"/>
      <c r="W17" s="343"/>
      <c r="X17" s="343"/>
      <c r="Y17" s="343"/>
      <c r="Z17" s="343"/>
      <c r="AA17" s="344"/>
    </row>
    <row r="18" spans="1:30" s="356" customFormat="1" ht="15.75" customHeight="1">
      <c r="A18" s="617"/>
      <c r="B18" s="618"/>
      <c r="C18" s="619"/>
      <c r="D18" s="619"/>
      <c r="E18" s="619"/>
      <c r="F18" s="619"/>
      <c r="G18" s="619"/>
      <c r="H18" s="619"/>
      <c r="I18" s="619"/>
      <c r="J18" s="619"/>
      <c r="K18" s="619"/>
      <c r="L18" s="619"/>
      <c r="M18" s="619"/>
      <c r="N18" s="619"/>
      <c r="O18" s="619"/>
      <c r="P18" s="619"/>
      <c r="Q18" s="620"/>
      <c r="R18" s="620"/>
      <c r="S18" s="619"/>
      <c r="T18" s="619"/>
      <c r="U18" s="619"/>
      <c r="W18" s="1557" t="s">
        <v>946</v>
      </c>
      <c r="X18" s="1554" t="s">
        <v>947</v>
      </c>
      <c r="Y18" s="1554" t="s">
        <v>948</v>
      </c>
      <c r="Z18" s="1555" t="s">
        <v>949</v>
      </c>
      <c r="AA18" s="1556" t="s">
        <v>950</v>
      </c>
    </row>
    <row r="19" spans="1:30" s="356" customFormat="1" ht="15.75">
      <c r="A19" s="617"/>
      <c r="B19" s="618"/>
      <c r="C19" s="350"/>
      <c r="D19" s="619"/>
      <c r="E19" s="350"/>
      <c r="F19" s="619"/>
      <c r="G19" s="621"/>
      <c r="H19" s="619"/>
      <c r="I19" s="619"/>
      <c r="J19" s="619"/>
      <c r="K19" s="619"/>
      <c r="L19" s="619"/>
      <c r="M19" s="350"/>
      <c r="N19" s="350"/>
      <c r="O19" s="621"/>
      <c r="P19" s="350"/>
      <c r="Q19" s="621"/>
      <c r="R19" s="350"/>
      <c r="S19" s="621"/>
      <c r="T19" s="350"/>
      <c r="U19" s="350"/>
      <c r="W19" s="1557"/>
      <c r="X19" s="1554"/>
      <c r="Y19" s="1554"/>
      <c r="Z19" s="1555"/>
      <c r="AA19" s="1556"/>
    </row>
    <row r="20" spans="1:30" s="356" customFormat="1" ht="15.75">
      <c r="A20" s="617"/>
      <c r="B20" s="618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1102"/>
      <c r="Q20" s="1102"/>
      <c r="R20" s="1102"/>
      <c r="S20" s="1102"/>
      <c r="T20" s="1102"/>
      <c r="U20" s="1102"/>
      <c r="W20" s="362"/>
      <c r="X20" s="362"/>
      <c r="Y20" s="362"/>
      <c r="Z20" s="362"/>
      <c r="AA20" s="363"/>
    </row>
    <row r="21" spans="1:30" s="356" customFormat="1" ht="15.75">
      <c r="A21" s="617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1102"/>
      <c r="Q21" s="1102"/>
      <c r="R21" s="1102"/>
      <c r="S21" s="1102"/>
      <c r="T21" s="1102"/>
      <c r="U21" s="1102"/>
      <c r="W21" s="362"/>
      <c r="X21" s="362"/>
      <c r="Y21" s="362"/>
      <c r="Z21" s="362"/>
      <c r="AA21" s="363"/>
    </row>
    <row r="22" spans="1:30" s="624" customFormat="1" ht="16.5" customHeight="1">
      <c r="A22" s="617"/>
      <c r="B22" s="618"/>
      <c r="C22" s="1543"/>
      <c r="D22" s="622">
        <v>102.49</v>
      </c>
      <c r="E22" s="1543"/>
      <c r="F22" s="622">
        <v>217.2</v>
      </c>
      <c r="G22" s="1652"/>
      <c r="H22" s="622">
        <v>331.42200000000003</v>
      </c>
      <c r="I22" s="1652"/>
      <c r="J22" s="623">
        <v>186</v>
      </c>
      <c r="K22" s="1652"/>
      <c r="L22" s="622">
        <v>217.97</v>
      </c>
      <c r="M22" s="1652"/>
      <c r="N22" s="622">
        <v>253</v>
      </c>
      <c r="O22" s="1083" t="s">
        <v>31</v>
      </c>
      <c r="P22" s="623">
        <v>330.8</v>
      </c>
      <c r="Q22" s="1583" t="s">
        <v>1078</v>
      </c>
      <c r="R22" s="622">
        <v>218</v>
      </c>
      <c r="S22" s="1083" t="s">
        <v>31</v>
      </c>
      <c r="T22" s="622">
        <v>220.351</v>
      </c>
      <c r="U22" s="1652"/>
      <c r="W22" s="586">
        <f>SUM(A22:V22)</f>
        <v>2077.2330000000002</v>
      </c>
      <c r="X22" s="586">
        <v>8</v>
      </c>
      <c r="Y22" s="586">
        <v>4</v>
      </c>
      <c r="Z22" s="586">
        <v>4</v>
      </c>
      <c r="AA22" s="587">
        <v>0</v>
      </c>
      <c r="AC22" s="624">
        <v>1022</v>
      </c>
      <c r="AD22" s="356"/>
    </row>
    <row r="23" spans="1:30" s="356" customFormat="1" ht="16.149999999999999" customHeight="1">
      <c r="A23" s="617"/>
      <c r="B23" s="618"/>
      <c r="C23" s="1651"/>
      <c r="D23" s="350"/>
      <c r="E23" s="1651"/>
      <c r="F23" s="350"/>
      <c r="G23" s="1652"/>
      <c r="H23" s="350"/>
      <c r="I23" s="1652"/>
      <c r="J23" s="350"/>
      <c r="K23" s="1652"/>
      <c r="L23" s="350"/>
      <c r="M23" s="1652"/>
      <c r="N23" s="350"/>
      <c r="O23" s="383" t="s">
        <v>957</v>
      </c>
      <c r="P23" s="1102"/>
      <c r="Q23" s="1584"/>
      <c r="R23" s="591"/>
      <c r="S23" s="383" t="s">
        <v>958</v>
      </c>
      <c r="T23" s="625"/>
      <c r="U23" s="1652"/>
      <c r="V23" s="347"/>
      <c r="W23" s="588"/>
      <c r="X23" s="586"/>
      <c r="Y23" s="586"/>
      <c r="Z23" s="586"/>
      <c r="AA23" s="589"/>
    </row>
    <row r="24" spans="1:30" s="356" customFormat="1" ht="15.75">
      <c r="A24" s="617"/>
      <c r="B24" s="618"/>
      <c r="C24" s="347" t="s">
        <v>1214</v>
      </c>
      <c r="E24" s="1102" t="s">
        <v>132</v>
      </c>
      <c r="F24" s="1102"/>
      <c r="G24" s="1102" t="s">
        <v>141</v>
      </c>
      <c r="H24" s="1102"/>
      <c r="I24" s="1102" t="s">
        <v>147</v>
      </c>
      <c r="J24" s="1102"/>
      <c r="K24" s="626" t="s">
        <v>152</v>
      </c>
      <c r="L24" s="1102"/>
      <c r="M24" s="1102" t="s">
        <v>181</v>
      </c>
      <c r="N24" s="1102"/>
      <c r="O24" s="626" t="s">
        <v>186</v>
      </c>
      <c r="P24" s="430" t="s">
        <v>990</v>
      </c>
      <c r="Q24" s="626" t="s">
        <v>64</v>
      </c>
      <c r="R24" s="1102"/>
      <c r="S24" s="626" t="s">
        <v>198</v>
      </c>
      <c r="T24" s="1102"/>
      <c r="U24" s="626" t="s">
        <v>65</v>
      </c>
      <c r="V24" s="347"/>
      <c r="W24" s="588"/>
      <c r="X24" s="586"/>
      <c r="Y24" s="586"/>
      <c r="Z24" s="586"/>
      <c r="AA24" s="589"/>
    </row>
    <row r="25" spans="1:30" s="356" customFormat="1" ht="15.75">
      <c r="A25" s="617"/>
      <c r="B25" s="618"/>
      <c r="E25" s="1102" t="s">
        <v>1583</v>
      </c>
      <c r="F25" s="1102"/>
      <c r="G25" s="1102" t="s">
        <v>1583</v>
      </c>
      <c r="H25" s="1102"/>
      <c r="I25" s="1102" t="s">
        <v>1583</v>
      </c>
      <c r="J25" s="1102"/>
      <c r="K25" s="1102" t="s">
        <v>658</v>
      </c>
      <c r="L25" s="1102"/>
      <c r="M25" s="1102" t="s">
        <v>573</v>
      </c>
      <c r="N25" s="1102"/>
      <c r="O25" s="1102" t="s">
        <v>582</v>
      </c>
      <c r="P25" s="430" t="s">
        <v>991</v>
      </c>
      <c r="Q25" s="1102" t="s">
        <v>586</v>
      </c>
      <c r="R25" s="1102"/>
      <c r="S25" s="1102" t="s">
        <v>591</v>
      </c>
      <c r="T25" s="1102"/>
      <c r="U25" s="1102" t="s">
        <v>573</v>
      </c>
      <c r="V25" s="627"/>
      <c r="W25" s="588"/>
      <c r="X25" s="586"/>
      <c r="Y25" s="586"/>
      <c r="Z25" s="586"/>
      <c r="AA25" s="589"/>
    </row>
    <row r="26" spans="1:30" s="356" customFormat="1" ht="15.75">
      <c r="A26" s="617"/>
      <c r="B26" s="618"/>
      <c r="E26" s="1114" t="s">
        <v>951</v>
      </c>
      <c r="F26" s="1102"/>
      <c r="G26" s="1189"/>
      <c r="H26" s="1102"/>
      <c r="I26" s="1147"/>
      <c r="J26" s="1102"/>
      <c r="K26" s="428"/>
      <c r="L26" s="1102"/>
      <c r="M26" s="428"/>
      <c r="N26" s="1102"/>
      <c r="O26" s="1102"/>
      <c r="P26" s="1102"/>
      <c r="Q26" s="428"/>
      <c r="R26" s="1102"/>
      <c r="S26" s="1102"/>
      <c r="T26" s="1102"/>
      <c r="U26" s="1102"/>
      <c r="V26" s="627"/>
      <c r="W26" s="588"/>
      <c r="X26" s="586"/>
      <c r="Y26" s="586"/>
      <c r="Z26" s="586"/>
      <c r="AA26" s="589"/>
    </row>
    <row r="27" spans="1:30" s="356" customFormat="1" ht="15.75">
      <c r="A27" s="1101"/>
      <c r="B27" s="1102"/>
      <c r="C27" s="1102"/>
      <c r="D27" s="1102"/>
      <c r="E27" s="1102"/>
      <c r="F27" s="1102"/>
      <c r="G27" s="1102"/>
      <c r="H27" s="1102"/>
      <c r="J27" s="1102"/>
      <c r="K27" s="1102"/>
      <c r="L27" s="1102"/>
      <c r="M27" s="1102"/>
      <c r="N27" s="1102"/>
      <c r="O27" s="1102"/>
      <c r="P27" s="1102"/>
      <c r="Q27" s="1102"/>
      <c r="R27" s="1102"/>
      <c r="S27" s="1102"/>
      <c r="T27" s="1102"/>
      <c r="U27" s="1102"/>
      <c r="V27" s="627"/>
      <c r="W27" s="588"/>
      <c r="X27" s="586"/>
      <c r="Y27" s="586"/>
      <c r="Z27" s="586"/>
      <c r="AA27" s="589"/>
    </row>
    <row r="28" spans="1:30" s="356" customFormat="1" ht="15.75">
      <c r="A28" s="617"/>
      <c r="B28" s="618"/>
      <c r="C28" s="619"/>
      <c r="D28" s="619"/>
      <c r="E28" s="619"/>
      <c r="F28" s="619"/>
      <c r="G28" s="619"/>
      <c r="H28" s="619"/>
      <c r="I28" s="619"/>
      <c r="J28" s="619"/>
      <c r="K28" s="619"/>
      <c r="L28" s="619"/>
      <c r="M28" s="619"/>
      <c r="N28" s="619"/>
      <c r="O28" s="619"/>
      <c r="P28" s="1102"/>
      <c r="Q28" s="1102"/>
      <c r="R28" s="1102" t="s">
        <v>937</v>
      </c>
      <c r="S28" s="1102"/>
      <c r="T28" s="1102"/>
      <c r="U28" s="1102"/>
      <c r="W28" s="362"/>
      <c r="X28" s="362"/>
      <c r="Y28" s="362"/>
      <c r="Z28" s="362"/>
      <c r="AA28" s="363"/>
    </row>
    <row r="29" spans="1:30" s="356" customFormat="1" ht="15.75">
      <c r="A29" s="617"/>
      <c r="B29" s="618"/>
      <c r="C29" s="619"/>
      <c r="D29" s="619"/>
      <c r="E29" s="619"/>
      <c r="F29" s="619"/>
      <c r="G29" s="619"/>
      <c r="H29" s="619"/>
      <c r="I29" s="619"/>
      <c r="J29" s="619"/>
      <c r="K29" s="619"/>
      <c r="L29" s="619"/>
      <c r="M29" s="619"/>
      <c r="N29" s="619"/>
      <c r="O29" s="619"/>
      <c r="P29" s="1102"/>
      <c r="Q29" s="1102"/>
      <c r="R29" s="1102"/>
      <c r="S29" s="1102"/>
      <c r="T29" s="1102"/>
      <c r="U29" s="1102"/>
      <c r="W29" s="362"/>
      <c r="X29" s="362"/>
      <c r="Y29" s="362"/>
      <c r="Z29" s="362"/>
      <c r="AA29" s="363"/>
    </row>
    <row r="30" spans="1:30" s="624" customFormat="1" ht="13.9" customHeight="1">
      <c r="A30" s="1101"/>
      <c r="B30" s="621">
        <v>190</v>
      </c>
      <c r="C30" s="1083" t="s">
        <v>31</v>
      </c>
      <c r="D30" s="622">
        <v>260</v>
      </c>
      <c r="E30" s="1083" t="s">
        <v>31</v>
      </c>
      <c r="F30" s="628">
        <v>323</v>
      </c>
      <c r="G30" s="1652"/>
      <c r="H30" s="622">
        <v>246</v>
      </c>
      <c r="I30" s="1583" t="s">
        <v>1151</v>
      </c>
      <c r="J30" s="628">
        <v>255</v>
      </c>
      <c r="K30" s="1577" t="s">
        <v>1204</v>
      </c>
      <c r="L30" s="622">
        <v>152</v>
      </c>
      <c r="M30" s="1083" t="s">
        <v>42</v>
      </c>
      <c r="N30" s="622">
        <v>294.5</v>
      </c>
      <c r="O30" s="1652"/>
      <c r="P30" s="622">
        <v>269</v>
      </c>
      <c r="Q30" s="1083" t="s">
        <v>42</v>
      </c>
      <c r="R30" s="622">
        <v>333</v>
      </c>
      <c r="S30" s="1083" t="s">
        <v>42</v>
      </c>
      <c r="T30" s="622">
        <v>257</v>
      </c>
      <c r="U30" s="1083" t="s">
        <v>42</v>
      </c>
      <c r="W30" s="586">
        <f>SUM(A30:V30)</f>
        <v>2579.5</v>
      </c>
      <c r="X30" s="586">
        <v>10</v>
      </c>
      <c r="Y30" s="586">
        <v>10</v>
      </c>
      <c r="Z30" s="586">
        <v>7</v>
      </c>
      <c r="AA30" s="587">
        <v>0</v>
      </c>
      <c r="AC30" s="624">
        <f>W30-P30-R30-T30</f>
        <v>1720.5</v>
      </c>
    </row>
    <row r="31" spans="1:30" s="356" customFormat="1" ht="16.149999999999999" customHeight="1">
      <c r="A31" s="617"/>
      <c r="B31" s="618"/>
      <c r="C31" s="1084" t="s">
        <v>1085</v>
      </c>
      <c r="D31" s="350"/>
      <c r="E31" s="1084" t="s">
        <v>1075</v>
      </c>
      <c r="F31" s="350"/>
      <c r="G31" s="1652"/>
      <c r="H31" s="350"/>
      <c r="I31" s="1584"/>
      <c r="J31" s="350"/>
      <c r="K31" s="1578"/>
      <c r="L31" s="350"/>
      <c r="M31" s="1084" t="s">
        <v>1150</v>
      </c>
      <c r="N31" s="350"/>
      <c r="O31" s="1652"/>
      <c r="P31" s="1102"/>
      <c r="Q31" s="1084" t="s">
        <v>1207</v>
      </c>
      <c r="R31" s="591"/>
      <c r="S31" s="1084" t="s">
        <v>1429</v>
      </c>
      <c r="T31" s="625"/>
      <c r="U31" s="1084" t="s">
        <v>1606</v>
      </c>
      <c r="V31" s="347"/>
      <c r="W31" s="588"/>
      <c r="X31" s="586"/>
      <c r="Y31" s="586"/>
      <c r="Z31" s="586"/>
      <c r="AA31" s="589"/>
    </row>
    <row r="32" spans="1:30" s="356" customFormat="1" ht="15.75">
      <c r="A32" s="617"/>
      <c r="B32" s="618"/>
      <c r="C32" s="626" t="s">
        <v>598</v>
      </c>
      <c r="D32" s="1102"/>
      <c r="E32" s="626" t="s">
        <v>602</v>
      </c>
      <c r="F32" s="1102" t="s">
        <v>990</v>
      </c>
      <c r="G32" s="626" t="s">
        <v>213</v>
      </c>
      <c r="H32" s="1102"/>
      <c r="I32" s="626" t="s">
        <v>66</v>
      </c>
      <c r="J32" s="1102" t="s">
        <v>990</v>
      </c>
      <c r="K32" s="626" t="s">
        <v>616</v>
      </c>
      <c r="L32" s="1102"/>
      <c r="M32" s="626" t="s">
        <v>621</v>
      </c>
      <c r="N32" s="1102" t="s">
        <v>990</v>
      </c>
      <c r="O32" s="626" t="s">
        <v>224</v>
      </c>
      <c r="P32" s="1102"/>
      <c r="Q32" s="626" t="s">
        <v>230</v>
      </c>
      <c r="R32" s="1102"/>
      <c r="S32" s="626" t="s">
        <v>234</v>
      </c>
      <c r="T32" s="1102"/>
      <c r="U32" s="626" t="s">
        <v>239</v>
      </c>
      <c r="V32" s="347"/>
      <c r="W32" s="588"/>
      <c r="X32" s="586"/>
      <c r="Y32" s="586"/>
      <c r="Z32" s="586"/>
      <c r="AA32" s="589"/>
    </row>
    <row r="33" spans="1:29" s="356" customFormat="1" ht="15.75">
      <c r="A33" s="617"/>
      <c r="B33" s="618"/>
      <c r="C33" s="1102" t="s">
        <v>582</v>
      </c>
      <c r="D33" s="1102"/>
      <c r="E33" s="1102" t="s">
        <v>603</v>
      </c>
      <c r="F33" s="1102" t="s">
        <v>991</v>
      </c>
      <c r="G33" s="1102" t="s">
        <v>607</v>
      </c>
      <c r="H33" s="1102"/>
      <c r="I33" s="1102" t="s">
        <v>586</v>
      </c>
      <c r="J33" s="1102" t="s">
        <v>991</v>
      </c>
      <c r="K33" s="1102" t="s">
        <v>582</v>
      </c>
      <c r="L33" s="1102"/>
      <c r="M33" s="1102" t="s">
        <v>582</v>
      </c>
      <c r="N33" s="1102" t="s">
        <v>991</v>
      </c>
      <c r="O33" s="1102" t="s">
        <v>573</v>
      </c>
      <c r="P33" s="1102"/>
      <c r="Q33" s="1102" t="s">
        <v>582</v>
      </c>
      <c r="R33" s="1102"/>
      <c r="S33" s="1102" t="s">
        <v>582</v>
      </c>
      <c r="T33" s="1102"/>
      <c r="U33" s="1102" t="s">
        <v>591</v>
      </c>
      <c r="V33" s="627"/>
      <c r="W33" s="588"/>
      <c r="X33" s="586"/>
      <c r="Y33" s="586"/>
      <c r="Z33" s="586"/>
      <c r="AA33" s="589"/>
    </row>
    <row r="34" spans="1:29" s="356" customFormat="1" ht="15.75">
      <c r="A34" s="617"/>
      <c r="B34" s="618"/>
      <c r="C34" s="1102"/>
      <c r="D34" s="1102"/>
      <c r="E34" s="428"/>
      <c r="F34" s="1102"/>
      <c r="G34" s="1102"/>
      <c r="H34" s="1102"/>
      <c r="I34" s="428"/>
      <c r="J34" s="1102"/>
      <c r="K34" s="1102"/>
      <c r="L34" s="1102"/>
      <c r="M34" s="1102"/>
      <c r="N34" s="1102"/>
      <c r="O34" s="1102"/>
      <c r="P34" s="1102"/>
      <c r="Q34" s="1102"/>
      <c r="R34" s="1102"/>
      <c r="S34" s="1102"/>
      <c r="T34" s="1102"/>
      <c r="U34" s="1102"/>
      <c r="V34" s="627"/>
      <c r="W34" s="588"/>
      <c r="X34" s="586"/>
      <c r="Y34" s="586"/>
      <c r="Z34" s="586"/>
      <c r="AA34" s="589"/>
    </row>
    <row r="35" spans="1:29" s="356" customFormat="1" ht="15.75">
      <c r="A35" s="1101"/>
      <c r="B35" s="1102"/>
      <c r="C35" s="1102"/>
      <c r="D35" s="1102"/>
      <c r="E35" s="1102"/>
      <c r="F35" s="1102"/>
      <c r="G35" s="1102"/>
      <c r="H35" s="1102"/>
      <c r="I35" s="1102"/>
      <c r="J35" s="1102"/>
      <c r="K35" s="1102"/>
      <c r="L35" s="1102"/>
      <c r="M35" s="1102"/>
      <c r="N35" s="1102"/>
      <c r="O35" s="1102"/>
      <c r="P35" s="1102"/>
      <c r="Q35" s="1102"/>
      <c r="R35" s="1102"/>
      <c r="S35" s="1102"/>
      <c r="T35" s="1102"/>
      <c r="U35" s="1102"/>
      <c r="V35" s="627"/>
      <c r="W35" s="588"/>
      <c r="X35" s="586"/>
      <c r="Y35" s="586"/>
      <c r="Z35" s="586"/>
      <c r="AA35" s="589"/>
    </row>
    <row r="36" spans="1:29" s="356" customFormat="1" ht="15.75">
      <c r="A36" s="617"/>
      <c r="B36" s="618"/>
      <c r="C36" s="619"/>
      <c r="D36" s="619"/>
      <c r="E36" s="619"/>
      <c r="F36" s="619"/>
      <c r="G36" s="619"/>
      <c r="H36" s="619"/>
      <c r="I36" s="619"/>
      <c r="J36" s="619"/>
      <c r="K36" s="619"/>
      <c r="L36" s="619"/>
      <c r="M36" s="619"/>
      <c r="N36" s="619"/>
      <c r="O36" s="619"/>
      <c r="P36" s="1102"/>
      <c r="Q36" s="1102"/>
      <c r="R36" s="1102"/>
      <c r="S36" s="1102"/>
      <c r="T36" s="1102"/>
      <c r="U36" s="1102"/>
      <c r="W36" s="362"/>
      <c r="X36" s="362"/>
      <c r="Y36" s="362"/>
      <c r="Z36" s="362"/>
      <c r="AA36" s="363"/>
    </row>
    <row r="37" spans="1:29" s="356" customFormat="1" ht="15.75">
      <c r="A37" s="1101"/>
      <c r="B37" s="1102"/>
      <c r="C37" s="619"/>
      <c r="D37" s="619"/>
      <c r="E37" s="619"/>
      <c r="F37" s="619"/>
      <c r="G37" s="619"/>
      <c r="H37" s="619"/>
      <c r="I37" s="619"/>
      <c r="J37" s="619"/>
      <c r="K37" s="619"/>
      <c r="L37" s="619"/>
      <c r="M37" s="619"/>
      <c r="N37" s="619"/>
      <c r="O37" s="619"/>
      <c r="P37" s="1102"/>
      <c r="Q37" s="1102"/>
      <c r="R37" s="1102"/>
      <c r="S37" s="1102"/>
      <c r="T37" s="1102"/>
      <c r="U37" s="1102"/>
      <c r="W37" s="362"/>
      <c r="X37" s="362"/>
      <c r="Y37" s="362"/>
      <c r="Z37" s="362"/>
      <c r="AA37" s="363"/>
    </row>
    <row r="38" spans="1:29" s="624" customFormat="1" ht="13.9" customHeight="1">
      <c r="A38" s="1101"/>
      <c r="B38" s="1102">
        <v>297</v>
      </c>
      <c r="C38" s="1574" t="s">
        <v>1587</v>
      </c>
      <c r="D38" s="622">
        <v>291.08999999999997</v>
      </c>
      <c r="E38" s="1654"/>
      <c r="F38" s="622">
        <v>235</v>
      </c>
      <c r="G38" s="1545"/>
      <c r="H38" s="622">
        <v>359</v>
      </c>
      <c r="I38" s="1583"/>
      <c r="J38" s="623">
        <v>232</v>
      </c>
      <c r="K38" s="1583"/>
      <c r="L38" s="623">
        <v>209</v>
      </c>
      <c r="M38" s="1543"/>
      <c r="N38" s="622">
        <v>104.55</v>
      </c>
      <c r="O38" s="1558"/>
      <c r="P38" s="622">
        <v>88.06</v>
      </c>
      <c r="Q38" s="1592"/>
      <c r="R38" s="622">
        <v>72.89</v>
      </c>
      <c r="S38" s="1583"/>
      <c r="T38" s="622">
        <v>64.5</v>
      </c>
      <c r="U38" s="1654"/>
      <c r="W38" s="586">
        <f>SUM(A38:V38)</f>
        <v>1953.09</v>
      </c>
      <c r="X38" s="586">
        <v>5</v>
      </c>
      <c r="Y38" s="586">
        <v>1</v>
      </c>
      <c r="Z38" s="586">
        <v>0</v>
      </c>
      <c r="AA38" s="587">
        <v>0</v>
      </c>
      <c r="AC38" s="624">
        <f>J38</f>
        <v>232</v>
      </c>
    </row>
    <row r="39" spans="1:29" s="356" customFormat="1" ht="26.25" customHeight="1">
      <c r="A39" s="617"/>
      <c r="B39" s="618"/>
      <c r="C39" s="1575"/>
      <c r="D39" s="350"/>
      <c r="E39" s="1654"/>
      <c r="F39" s="350"/>
      <c r="G39" s="1546"/>
      <c r="H39" s="427" t="s">
        <v>992</v>
      </c>
      <c r="I39" s="1584"/>
      <c r="J39" s="1585" t="s">
        <v>652</v>
      </c>
      <c r="K39" s="1584"/>
      <c r="L39" s="1585" t="s">
        <v>657</v>
      </c>
      <c r="M39" s="1651"/>
      <c r="N39" s="350"/>
      <c r="O39" s="1653"/>
      <c r="P39" s="1102"/>
      <c r="Q39" s="2017"/>
      <c r="R39" s="591"/>
      <c r="S39" s="1584"/>
      <c r="T39" s="1102"/>
      <c r="U39" s="1654"/>
      <c r="V39" s="347"/>
      <c r="W39" s="588"/>
      <c r="X39" s="586"/>
      <c r="Y39" s="586"/>
      <c r="Z39" s="586"/>
      <c r="AA39" s="589"/>
    </row>
    <row r="40" spans="1:29" s="356" customFormat="1" ht="18.75" customHeight="1">
      <c r="A40" s="617"/>
      <c r="B40" s="618"/>
      <c r="C40" s="626" t="s">
        <v>637</v>
      </c>
      <c r="D40" s="1102"/>
      <c r="E40" s="626" t="s">
        <v>67</v>
      </c>
      <c r="F40" s="1102"/>
      <c r="G40" s="626" t="s">
        <v>250</v>
      </c>
      <c r="H40" s="1102"/>
      <c r="I40" s="626" t="s">
        <v>68</v>
      </c>
      <c r="J40" s="1586"/>
      <c r="K40" s="1102" t="s">
        <v>56</v>
      </c>
      <c r="L40" s="1586"/>
      <c r="M40" s="626" t="s">
        <v>60</v>
      </c>
      <c r="N40" s="1102"/>
      <c r="O40" s="1102" t="s">
        <v>55</v>
      </c>
      <c r="P40" s="1102"/>
      <c r="Q40" s="626" t="s">
        <v>59</v>
      </c>
      <c r="R40" s="1102"/>
      <c r="S40" s="626" t="s">
        <v>58</v>
      </c>
      <c r="T40" s="1102"/>
      <c r="U40" s="1102" t="s">
        <v>953</v>
      </c>
      <c r="V40" s="347"/>
      <c r="W40" s="588"/>
      <c r="X40" s="586"/>
      <c r="Y40" s="586"/>
      <c r="Z40" s="586"/>
      <c r="AA40" s="589"/>
    </row>
    <row r="41" spans="1:29" s="356" customFormat="1" ht="18.75" customHeight="1">
      <c r="A41" s="617"/>
      <c r="B41" s="618"/>
      <c r="C41" s="1102" t="s">
        <v>591</v>
      </c>
      <c r="D41" s="1102"/>
      <c r="E41" s="1102" t="s">
        <v>586</v>
      </c>
      <c r="F41" s="1102"/>
      <c r="G41" s="1102" t="s">
        <v>603</v>
      </c>
      <c r="H41" s="1102"/>
      <c r="I41" s="1102" t="s">
        <v>648</v>
      </c>
      <c r="J41" s="1586"/>
      <c r="K41" s="1102" t="s">
        <v>653</v>
      </c>
      <c r="L41" s="1586"/>
      <c r="M41" s="1102" t="s">
        <v>658</v>
      </c>
      <c r="N41" s="1102"/>
      <c r="O41" s="1102" t="s">
        <v>671</v>
      </c>
      <c r="P41" s="1102"/>
      <c r="Q41" s="1102" t="s">
        <v>586</v>
      </c>
      <c r="R41" s="1102"/>
      <c r="S41" s="1102" t="s">
        <v>671</v>
      </c>
      <c r="T41" s="1102"/>
      <c r="U41" s="1102"/>
      <c r="V41" s="627"/>
      <c r="W41" s="588"/>
      <c r="X41" s="586"/>
      <c r="Y41" s="586"/>
      <c r="Z41" s="586"/>
      <c r="AA41" s="589"/>
    </row>
    <row r="42" spans="1:29" s="356" customFormat="1" ht="18.75" customHeight="1">
      <c r="A42" s="617"/>
      <c r="B42" s="618"/>
      <c r="C42" s="1102"/>
      <c r="D42" s="1102"/>
      <c r="E42" s="1116" t="s">
        <v>977</v>
      </c>
      <c r="F42" s="1102"/>
      <c r="G42" s="1102"/>
      <c r="H42" s="1102"/>
      <c r="I42" s="1102"/>
      <c r="J42" s="1586"/>
      <c r="K42" s="1164"/>
      <c r="L42" s="1586"/>
      <c r="M42" s="428" t="s">
        <v>952</v>
      </c>
      <c r="N42" s="1102"/>
      <c r="O42" s="428"/>
      <c r="P42" s="1102"/>
      <c r="Q42" s="1189"/>
      <c r="R42" s="1102"/>
      <c r="S42" s="1189"/>
      <c r="T42" s="1102"/>
      <c r="U42" s="1102"/>
      <c r="V42" s="627"/>
      <c r="W42" s="588"/>
      <c r="X42" s="586"/>
      <c r="Y42" s="586"/>
      <c r="Z42" s="586"/>
      <c r="AA42" s="589"/>
    </row>
    <row r="43" spans="1:29" s="356" customFormat="1" ht="18.75" customHeight="1">
      <c r="A43" s="1656"/>
      <c r="B43" s="1657"/>
      <c r="C43" s="1657"/>
      <c r="D43" s="1102"/>
      <c r="E43" s="1102"/>
      <c r="F43" s="1102"/>
      <c r="G43" s="1102"/>
      <c r="H43" s="1102"/>
      <c r="I43" s="1102"/>
      <c r="J43" s="1586"/>
      <c r="K43" s="1102"/>
      <c r="L43" s="1586"/>
      <c r="M43" s="428"/>
      <c r="N43" s="1102"/>
      <c r="O43" s="1102"/>
      <c r="P43" s="1102"/>
      <c r="Q43" s="1102"/>
      <c r="R43" s="1102"/>
      <c r="S43" s="1102"/>
      <c r="T43" s="1102"/>
      <c r="U43" s="1102"/>
      <c r="V43" s="627"/>
      <c r="W43" s="588"/>
      <c r="X43" s="586"/>
      <c r="Y43" s="586"/>
      <c r="Z43" s="586"/>
      <c r="AA43" s="589"/>
    </row>
    <row r="44" spans="1:29" s="356" customFormat="1" ht="18.75" customHeight="1" thickBot="1">
      <c r="A44" s="1101"/>
      <c r="B44" s="1102"/>
      <c r="C44" s="1102"/>
      <c r="D44" s="1102"/>
      <c r="E44" s="1114"/>
      <c r="F44" s="631" t="s">
        <v>2041</v>
      </c>
      <c r="G44" s="1102"/>
      <c r="H44" s="1102"/>
      <c r="I44" s="1102"/>
      <c r="J44" s="1094"/>
      <c r="K44" s="1102"/>
      <c r="L44" s="1094"/>
      <c r="M44" s="1102"/>
      <c r="N44" s="1102"/>
      <c r="O44" s="1102"/>
      <c r="P44" s="1102"/>
      <c r="Q44" s="1102"/>
      <c r="R44" s="1102"/>
      <c r="S44" s="1102"/>
      <c r="T44" s="1102"/>
      <c r="U44" s="1102"/>
      <c r="V44" s="627"/>
      <c r="W44" s="588"/>
      <c r="X44" s="586"/>
      <c r="Y44" s="586"/>
      <c r="Z44" s="586"/>
      <c r="AA44" s="589"/>
    </row>
    <row r="45" spans="1:29" s="356" customFormat="1" ht="18.75" customHeight="1" thickBot="1">
      <c r="A45" s="435"/>
      <c r="B45" s="436"/>
      <c r="C45" s="436"/>
      <c r="D45" s="436"/>
      <c r="E45" s="1116"/>
      <c r="F45" s="436" t="s">
        <v>977</v>
      </c>
      <c r="G45" s="436"/>
      <c r="H45" s="436"/>
      <c r="I45" s="436"/>
      <c r="J45" s="437"/>
      <c r="K45" s="436"/>
      <c r="L45" s="437"/>
      <c r="M45" s="436"/>
      <c r="N45" s="436"/>
      <c r="O45" s="436"/>
      <c r="P45" s="436" t="s">
        <v>954</v>
      </c>
      <c r="Q45" s="436"/>
      <c r="R45" s="436"/>
      <c r="S45" s="436"/>
      <c r="T45" s="436"/>
      <c r="U45" s="436"/>
      <c r="V45" s="438"/>
      <c r="W45" s="528">
        <f>SUM(W21:W43)/1000</f>
        <v>6.6098230000000004</v>
      </c>
      <c r="X45" s="529">
        <f>SUM(X21:X43)</f>
        <v>23</v>
      </c>
      <c r="Y45" s="529">
        <f>SUM(Y21:Y43)</f>
        <v>15</v>
      </c>
      <c r="Z45" s="529">
        <f>SUM(Z21:Z43)</f>
        <v>11</v>
      </c>
      <c r="AA45" s="530">
        <f>SUM(AA21:AA43)/1000</f>
        <v>0</v>
      </c>
    </row>
    <row r="46" spans="1:29" s="356" customFormat="1" ht="18.75" customHeight="1" thickBot="1">
      <c r="A46" s="1101"/>
      <c r="B46" s="1102"/>
      <c r="C46" s="1102"/>
      <c r="D46" s="1102"/>
      <c r="E46" s="1102"/>
      <c r="F46" s="1102"/>
      <c r="G46" s="1102"/>
      <c r="H46" s="1102"/>
      <c r="I46" s="1102"/>
      <c r="J46" s="1094"/>
      <c r="K46" s="1102"/>
      <c r="L46" s="1094"/>
      <c r="M46" s="1102"/>
      <c r="N46" s="1102"/>
      <c r="O46" s="1102"/>
      <c r="P46" s="1102"/>
      <c r="Q46" s="1102"/>
      <c r="S46" s="1102"/>
      <c r="T46" s="1102"/>
      <c r="U46" s="1102"/>
      <c r="V46" s="1102"/>
      <c r="W46" s="1102"/>
      <c r="X46" s="1102"/>
      <c r="Y46" s="1102"/>
      <c r="Z46" s="1102"/>
      <c r="AA46" s="1102"/>
    </row>
    <row r="47" spans="1:29" s="356" customFormat="1" ht="26.25" hidden="1" customHeight="1">
      <c r="A47" s="1101"/>
      <c r="B47" s="1102"/>
      <c r="C47" s="1102"/>
      <c r="D47" s="1102"/>
      <c r="E47" s="1102"/>
      <c r="F47" s="1102"/>
      <c r="G47" s="1102"/>
      <c r="H47" s="1655" t="s">
        <v>1024</v>
      </c>
      <c r="I47" s="1655"/>
      <c r="J47" s="1655"/>
      <c r="K47" s="1655"/>
      <c r="L47" s="1655"/>
      <c r="M47" s="1655"/>
      <c r="N47" s="1655"/>
      <c r="O47" s="1655"/>
      <c r="P47" s="1655"/>
      <c r="R47" s="1102"/>
      <c r="S47" s="1102"/>
      <c r="T47" s="1102"/>
      <c r="U47" s="1102"/>
      <c r="V47" s="1102"/>
      <c r="W47" s="1102"/>
      <c r="X47" s="1102"/>
      <c r="Y47" s="1102"/>
      <c r="Z47" s="1102"/>
      <c r="AA47" s="629"/>
    </row>
    <row r="48" spans="1:29" s="356" customFormat="1" ht="26.25" hidden="1" customHeight="1">
      <c r="A48" s="1101"/>
      <c r="B48" s="1102"/>
      <c r="C48" s="1102"/>
      <c r="D48" s="1102"/>
      <c r="E48" s="1102"/>
      <c r="F48" s="1102"/>
      <c r="G48" s="1102"/>
      <c r="H48" s="1658" t="s">
        <v>1010</v>
      </c>
      <c r="I48" s="1658" t="s">
        <v>989</v>
      </c>
      <c r="J48" s="1655" t="s">
        <v>1011</v>
      </c>
      <c r="K48" s="1655"/>
      <c r="L48" s="1655"/>
      <c r="M48" s="1655"/>
      <c r="N48" s="1655"/>
      <c r="O48" s="1655"/>
      <c r="P48" s="1658" t="s">
        <v>1012</v>
      </c>
      <c r="R48" s="1102"/>
      <c r="S48" s="1102"/>
      <c r="T48" s="1102"/>
      <c r="U48" s="1102"/>
      <c r="V48" s="1102"/>
      <c r="W48" s="1102"/>
      <c r="X48" s="1102"/>
      <c r="Y48" s="1102"/>
      <c r="Z48" s="1102"/>
      <c r="AA48" s="629"/>
    </row>
    <row r="49" spans="1:27" s="356" customFormat="1" ht="26.25" hidden="1" customHeight="1">
      <c r="A49" s="1101"/>
      <c r="B49" s="1102"/>
      <c r="C49" s="1102"/>
      <c r="D49" s="1102"/>
      <c r="E49" s="1102"/>
      <c r="F49" s="1102"/>
      <c r="G49" s="1102"/>
      <c r="H49" s="1658"/>
      <c r="I49" s="1658"/>
      <c r="J49" s="1100" t="s">
        <v>1019</v>
      </c>
      <c r="K49" s="1100" t="s">
        <v>1013</v>
      </c>
      <c r="L49" s="1100" t="s">
        <v>1014</v>
      </c>
      <c r="M49" s="1100" t="s">
        <v>1015</v>
      </c>
      <c r="N49" s="1100" t="s">
        <v>1016</v>
      </c>
      <c r="O49" s="1100" t="s">
        <v>1017</v>
      </c>
      <c r="P49" s="1658"/>
      <c r="Q49" s="1102"/>
      <c r="R49" s="1102"/>
      <c r="S49" s="1102"/>
      <c r="T49" s="1102"/>
      <c r="U49" s="1102"/>
      <c r="V49" s="1102"/>
      <c r="W49" s="1102"/>
      <c r="X49" s="1102"/>
      <c r="Y49" s="1102"/>
      <c r="Z49" s="1102"/>
      <c r="AA49" s="629"/>
    </row>
    <row r="50" spans="1:27" s="356" customFormat="1" ht="26.25" hidden="1" customHeight="1">
      <c r="A50" s="1101"/>
      <c r="B50" s="1102"/>
      <c r="C50" s="1102"/>
      <c r="D50" s="1102"/>
      <c r="E50" s="1102"/>
      <c r="F50" s="1102"/>
      <c r="G50" s="1102"/>
      <c r="H50" s="433">
        <v>1</v>
      </c>
      <c r="I50" s="433" t="s">
        <v>1020</v>
      </c>
      <c r="J50" s="433" t="e">
        <f>COUNTIF('[13]DS-220 KV TM'!$D$10:$D$66,"*2TDA+0*")</f>
        <v>#VALUE!</v>
      </c>
      <c r="K50" s="433" t="e">
        <f>COUNTIF('[13]DS-220 KV TM'!$D$10:$D$66,"*2TDA+3*")</f>
        <v>#VALUE!</v>
      </c>
      <c r="L50" s="433" t="e">
        <f>COUNTIF('[13]DS-220 KV TM'!$D$10:$D$66,"*2TDA+6*")</f>
        <v>#VALUE!</v>
      </c>
      <c r="M50" s="433" t="e">
        <f>COUNTIF('[13]DS-220 KV TM'!$D$10:$D$66,"*2TDA+9*")</f>
        <v>#VALUE!</v>
      </c>
      <c r="N50" s="433" t="e">
        <f>COUNTIF('[13]DS-220 KV TM'!$D$10:$D$66,"*2TDA+18*")</f>
        <v>#VALUE!</v>
      </c>
      <c r="O50" s="433" t="e">
        <f>COUNTIF('[13]DS-220 KV TM'!$D$10:$D$66,"*2TDA+25*")</f>
        <v>#VALUE!</v>
      </c>
      <c r="P50" s="433" t="e">
        <f>SUM(J50:O50)</f>
        <v>#VALUE!</v>
      </c>
      <c r="Q50" s="1102"/>
      <c r="R50" s="1102"/>
      <c r="S50" s="1102"/>
      <c r="T50" s="1102"/>
      <c r="U50" s="1102"/>
      <c r="V50" s="1102"/>
      <c r="W50" s="1102"/>
      <c r="X50" s="1102"/>
      <c r="Y50" s="1102"/>
      <c r="Z50" s="1102"/>
      <c r="AA50" s="629"/>
    </row>
    <row r="51" spans="1:27" s="356" customFormat="1" ht="26.25" hidden="1" customHeight="1">
      <c r="A51" s="1101"/>
      <c r="B51" s="1102"/>
      <c r="C51" s="1102"/>
      <c r="D51" s="1102"/>
      <c r="E51" s="1102"/>
      <c r="F51" s="1102"/>
      <c r="G51" s="1102"/>
      <c r="H51" s="433">
        <v>3</v>
      </c>
      <c r="I51" s="433" t="s">
        <v>1021</v>
      </c>
      <c r="J51" s="433" t="e">
        <f>COUNTIF('[13]DS-220 KV TM'!$D$10:$D$66,"*2TDB+0*")</f>
        <v>#VALUE!</v>
      </c>
      <c r="K51" s="433" t="e">
        <f>COUNTIF('[13]DS-220 KV TM'!$D$10:$D$66,"*2TDB+3*")</f>
        <v>#VALUE!</v>
      </c>
      <c r="L51" s="433" t="e">
        <f>COUNTIF('[13]DS-220 KV TM'!$D$10:$D$66,"*2TDB+6*")</f>
        <v>#VALUE!</v>
      </c>
      <c r="M51" s="433" t="e">
        <f>COUNTIF('[13]DS-220 KV TM'!$D$10:$D$66,"*2TDB+9*")</f>
        <v>#VALUE!</v>
      </c>
      <c r="N51" s="433" t="e">
        <f>COUNTIF('[13]DS-220 KV TM'!$D$10:$D$66,"*2TDB+18*")</f>
        <v>#VALUE!</v>
      </c>
      <c r="O51" s="433" t="e">
        <f>COUNTIF('[13]DS-220 KV TM'!$D$10:$D$66,"*2TDB+25*")</f>
        <v>#VALUE!</v>
      </c>
      <c r="P51" s="433" t="e">
        <f>SUM(J51:O51)</f>
        <v>#VALUE!</v>
      </c>
      <c r="Q51" s="1102"/>
      <c r="R51" s="1102"/>
      <c r="S51" s="1102"/>
      <c r="T51" s="1102"/>
      <c r="U51" s="1102"/>
      <c r="V51" s="1102"/>
      <c r="W51" s="1102"/>
      <c r="X51" s="1102"/>
      <c r="Y51" s="1102"/>
      <c r="Z51" s="1102"/>
      <c r="AA51" s="629"/>
    </row>
    <row r="52" spans="1:27" s="356" customFormat="1" ht="26.25" hidden="1" customHeight="1">
      <c r="A52" s="1101"/>
      <c r="B52" s="1102"/>
      <c r="C52" s="1102"/>
      <c r="D52" s="1102"/>
      <c r="E52" s="1102"/>
      <c r="F52" s="1102"/>
      <c r="G52" s="1102"/>
      <c r="H52" s="433">
        <v>4</v>
      </c>
      <c r="I52" s="433" t="s">
        <v>1022</v>
      </c>
      <c r="J52" s="433" t="e">
        <f>COUNTIF('[13]DS-220 KV TM'!$D$10:$D$66,"*2TDC+0*")</f>
        <v>#VALUE!</v>
      </c>
      <c r="K52" s="433" t="e">
        <f>COUNTIF('[13]DS-220 KV TM'!$D$10:$D$66,"*2TDC+3*")</f>
        <v>#VALUE!</v>
      </c>
      <c r="L52" s="433" t="e">
        <f>COUNTIF('[13]DS-220 KV TM'!$D$10:$D$66,"*2TDC+6*")</f>
        <v>#VALUE!</v>
      </c>
      <c r="M52" s="433" t="e">
        <f>COUNTIF('[13]DS-220 KV TM'!$D$10:$D$66,"*2TDC+9*")</f>
        <v>#VALUE!</v>
      </c>
      <c r="N52" s="433" t="e">
        <f>COUNTIF('[13]DS-220 KV TM'!$D$10:$D$66,"*2TDC+18*")</f>
        <v>#VALUE!</v>
      </c>
      <c r="O52" s="433" t="e">
        <f>COUNTIF('[13]DS-220 KV TM'!$D$10:$D$66,"*2TDC+25*")</f>
        <v>#VALUE!</v>
      </c>
      <c r="P52" s="433" t="e">
        <f>SUM(J52:O52)</f>
        <v>#VALUE!</v>
      </c>
      <c r="Q52" s="1102"/>
      <c r="R52" s="1102"/>
      <c r="S52" s="1102"/>
      <c r="T52" s="1102"/>
      <c r="U52" s="1102"/>
      <c r="V52" s="1102"/>
      <c r="W52" s="1102"/>
      <c r="X52" s="1102"/>
      <c r="Y52" s="1102"/>
      <c r="Z52" s="1102"/>
      <c r="AA52" s="629"/>
    </row>
    <row r="53" spans="1:27" s="356" customFormat="1" ht="26.25" hidden="1" customHeight="1">
      <c r="A53" s="1101"/>
      <c r="B53" s="1102"/>
      <c r="C53" s="1102"/>
      <c r="D53" s="1102"/>
      <c r="E53" s="1102"/>
      <c r="F53" s="1102"/>
      <c r="G53" s="1102"/>
      <c r="H53" s="433">
        <v>5</v>
      </c>
      <c r="I53" s="433" t="s">
        <v>1023</v>
      </c>
      <c r="J53" s="433" t="e">
        <f>COUNTIF('[13]DS-220 KV TM'!$D$10:$D$66,"*2TDD+0*")</f>
        <v>#VALUE!</v>
      </c>
      <c r="K53" s="433" t="e">
        <f>COUNTIF('[13]DS-220 KV TM'!$D$10:$D$66,"*2TDD+3*")</f>
        <v>#VALUE!</v>
      </c>
      <c r="L53" s="433" t="e">
        <f>COUNTIF('[13]DS-220 KV TM'!$D$10:$D$66,"*2TDD+6*")</f>
        <v>#VALUE!</v>
      </c>
      <c r="M53" s="433" t="e">
        <f>COUNTIF('[13]DS-220 KV TM'!$D$10:$D$66,"*2TDD+9*")</f>
        <v>#VALUE!</v>
      </c>
      <c r="N53" s="433" t="e">
        <f>COUNTIF('[13]DS-220 KV TM'!$D$10:$D$66,"*2TDD+18*")</f>
        <v>#VALUE!</v>
      </c>
      <c r="O53" s="433" t="e">
        <f>COUNTIF('[13]DS-220 KV TM'!$D$10:$D$66,"*2TDD+25*")</f>
        <v>#VALUE!</v>
      </c>
      <c r="P53" s="433" t="e">
        <f>SUM(J53:O53)</f>
        <v>#VALUE!</v>
      </c>
      <c r="Q53" s="1102"/>
      <c r="R53" s="1102"/>
      <c r="S53" s="1102"/>
      <c r="T53" s="1102"/>
      <c r="U53" s="1102"/>
      <c r="V53" s="1102"/>
      <c r="W53" s="1102"/>
      <c r="X53" s="1102"/>
      <c r="Y53" s="1102"/>
      <c r="Z53" s="1102"/>
      <c r="AA53" s="629"/>
    </row>
    <row r="54" spans="1:27" s="347" customFormat="1" ht="26.25" hidden="1" customHeight="1">
      <c r="A54" s="630"/>
      <c r="H54" s="1655" t="s">
        <v>1018</v>
      </c>
      <c r="I54" s="1655"/>
      <c r="J54" s="1100" t="e">
        <f>SUM(J50:J53)</f>
        <v>#VALUE!</v>
      </c>
      <c r="K54" s="1100" t="e">
        <f>SUM(K50:K53)</f>
        <v>#VALUE!</v>
      </c>
      <c r="L54" s="1100" t="e">
        <f>SUM(L50:L53)</f>
        <v>#VALUE!</v>
      </c>
      <c r="M54" s="1100" t="e">
        <f>SUM(M50:M53)</f>
        <v>#VALUE!</v>
      </c>
      <c r="N54" s="1100" t="e">
        <f t="shared" ref="N54:O54" si="0">SUM(N50:N53)</f>
        <v>#VALUE!</v>
      </c>
      <c r="O54" s="1100" t="e">
        <f t="shared" si="0"/>
        <v>#VALUE!</v>
      </c>
      <c r="P54" s="1100" t="e">
        <f>SUM(P50:P53)</f>
        <v>#VALUE!</v>
      </c>
      <c r="R54" s="1102"/>
      <c r="S54" s="1102"/>
      <c r="T54" s="1102"/>
      <c r="U54" s="1102"/>
      <c r="V54" s="1102"/>
      <c r="W54" s="1102"/>
      <c r="X54" s="1102"/>
      <c r="Y54" s="1102"/>
      <c r="Z54" s="1102"/>
      <c r="AA54" s="434"/>
    </row>
    <row r="55" spans="1:27" ht="6.75" customHeight="1" thickBot="1">
      <c r="A55" s="1580"/>
      <c r="B55" s="1581"/>
      <c r="C55" s="1581"/>
      <c r="D55" s="1581"/>
      <c r="E55" s="1581"/>
      <c r="F55" s="1581"/>
      <c r="G55" s="1581"/>
      <c r="H55" s="1581"/>
      <c r="I55" s="1581"/>
      <c r="J55" s="1581"/>
      <c r="K55" s="1581"/>
      <c r="L55" s="1581"/>
      <c r="M55" s="1581"/>
      <c r="N55" s="1581"/>
      <c r="O55" s="1581"/>
      <c r="P55" s="1581"/>
      <c r="Q55" s="1581"/>
      <c r="R55" s="1581"/>
      <c r="S55" s="1581"/>
      <c r="T55" s="1581"/>
      <c r="U55" s="1581"/>
      <c r="V55" s="1581"/>
      <c r="W55" s="1581"/>
      <c r="X55" s="1581"/>
      <c r="Y55" s="1581"/>
      <c r="Z55" s="1581"/>
      <c r="AA55" s="1582"/>
    </row>
    <row r="56" spans="1:27">
      <c r="M56" s="338"/>
      <c r="N56" s="338"/>
      <c r="Y56" s="337"/>
      <c r="Z56" s="337"/>
    </row>
    <row r="57" spans="1:27">
      <c r="M57" s="338"/>
      <c r="N57" s="338"/>
      <c r="Y57" s="337"/>
      <c r="Z57" s="337"/>
    </row>
    <row r="58" spans="1:27">
      <c r="Y58" s="337"/>
      <c r="Z58" s="337"/>
    </row>
    <row r="59" spans="1:27" ht="15.75" customHeight="1">
      <c r="Y59" s="337"/>
      <c r="Z59" s="337"/>
    </row>
    <row r="60" spans="1:27">
      <c r="Y60" s="337"/>
      <c r="Z60" s="337"/>
    </row>
    <row r="61" spans="1:27">
      <c r="Y61" s="337"/>
      <c r="Z61" s="337"/>
    </row>
    <row r="62" spans="1:27">
      <c r="Y62" s="337"/>
      <c r="Z62" s="337"/>
    </row>
    <row r="63" spans="1:27">
      <c r="Y63" s="337"/>
      <c r="Z63" s="337"/>
    </row>
    <row r="64" spans="1:27">
      <c r="Y64" s="337"/>
      <c r="Z64" s="337"/>
    </row>
    <row r="65" spans="13:26">
      <c r="Y65" s="337"/>
      <c r="Z65" s="337"/>
    </row>
    <row r="66" spans="13:26">
      <c r="M66" s="338"/>
      <c r="N66" s="338"/>
      <c r="Y66" s="337"/>
      <c r="Z66" s="337"/>
    </row>
    <row r="67" spans="13:26">
      <c r="M67" s="338"/>
      <c r="N67" s="338"/>
      <c r="Y67" s="337"/>
      <c r="Z67" s="337"/>
    </row>
    <row r="68" spans="13:26">
      <c r="M68" s="338"/>
      <c r="N68" s="338"/>
      <c r="Y68" s="337"/>
      <c r="Z68" s="337"/>
    </row>
    <row r="69" spans="13:26">
      <c r="M69" s="338"/>
      <c r="N69" s="338"/>
      <c r="Y69" s="337"/>
      <c r="Z69" s="337"/>
    </row>
    <row r="70" spans="13:26">
      <c r="M70" s="338"/>
      <c r="N70" s="338"/>
      <c r="Y70" s="337"/>
      <c r="Z70" s="337"/>
    </row>
    <row r="71" spans="13:26">
      <c r="M71" s="338"/>
      <c r="N71" s="338"/>
      <c r="Y71" s="337"/>
      <c r="Z71" s="337"/>
    </row>
    <row r="72" spans="13:26">
      <c r="M72" s="338"/>
      <c r="N72" s="338"/>
      <c r="Y72" s="337"/>
      <c r="Z72" s="337"/>
    </row>
    <row r="73" spans="13:26">
      <c r="M73" s="338"/>
      <c r="N73" s="338"/>
      <c r="Y73" s="337"/>
      <c r="Z73" s="337"/>
    </row>
    <row r="74" spans="13:26">
      <c r="M74" s="338"/>
      <c r="N74" s="338"/>
      <c r="Y74" s="337"/>
      <c r="Z74" s="337"/>
    </row>
    <row r="75" spans="13:26">
      <c r="M75" s="338"/>
      <c r="N75" s="338"/>
      <c r="Y75" s="337"/>
      <c r="Z75" s="337"/>
    </row>
    <row r="76" spans="13:26">
      <c r="M76" s="338"/>
      <c r="N76" s="338"/>
      <c r="Y76" s="337"/>
      <c r="Z76" s="337"/>
    </row>
    <row r="77" spans="13:26">
      <c r="M77" s="338"/>
      <c r="N77" s="338"/>
      <c r="Y77" s="337"/>
      <c r="Z77" s="337"/>
    </row>
    <row r="78" spans="13:26">
      <c r="M78" s="338"/>
      <c r="N78" s="338"/>
      <c r="Y78" s="337"/>
      <c r="Z78" s="337"/>
    </row>
    <row r="79" spans="13:26">
      <c r="M79" s="338"/>
      <c r="N79" s="338"/>
      <c r="Y79" s="337"/>
      <c r="Z79" s="337"/>
    </row>
    <row r="80" spans="13:26">
      <c r="M80" s="338"/>
      <c r="N80" s="338"/>
      <c r="Y80" s="337"/>
      <c r="Z80" s="337"/>
    </row>
    <row r="81" spans="13:26">
      <c r="M81" s="338"/>
      <c r="N81" s="338"/>
      <c r="Y81" s="337"/>
      <c r="Z81" s="337"/>
    </row>
    <row r="82" spans="13:26">
      <c r="M82" s="338"/>
      <c r="N82" s="338"/>
      <c r="Y82" s="337"/>
      <c r="Z82" s="337"/>
    </row>
    <row r="83" spans="13:26">
      <c r="M83" s="338"/>
      <c r="N83" s="338"/>
      <c r="Y83" s="337"/>
      <c r="Z83" s="337"/>
    </row>
    <row r="84" spans="13:26">
      <c r="M84" s="338"/>
      <c r="N84" s="338"/>
      <c r="Y84" s="337"/>
      <c r="Z84" s="337"/>
    </row>
    <row r="85" spans="13:26">
      <c r="M85" s="338"/>
      <c r="N85" s="338"/>
      <c r="Y85" s="337"/>
      <c r="Z85" s="337"/>
    </row>
    <row r="86" spans="13:26">
      <c r="M86" s="338"/>
      <c r="N86" s="338"/>
      <c r="Y86" s="337"/>
      <c r="Z86" s="337"/>
    </row>
    <row r="87" spans="13:26">
      <c r="M87" s="338"/>
      <c r="N87" s="338"/>
      <c r="Y87" s="337"/>
      <c r="Z87" s="337"/>
    </row>
    <row r="88" spans="13:26">
      <c r="M88" s="338"/>
      <c r="N88" s="338"/>
      <c r="Y88" s="337"/>
      <c r="Z88" s="337"/>
    </row>
    <row r="89" spans="13:26">
      <c r="M89" s="338"/>
      <c r="N89" s="338"/>
      <c r="Y89" s="337"/>
      <c r="Z89" s="337"/>
    </row>
    <row r="90" spans="13:26">
      <c r="M90" s="338"/>
      <c r="N90" s="338"/>
      <c r="Y90" s="337"/>
      <c r="Z90" s="337"/>
    </row>
    <row r="91" spans="13:26">
      <c r="M91" s="338"/>
      <c r="N91" s="338"/>
      <c r="Y91" s="337"/>
      <c r="Z91" s="337"/>
    </row>
    <row r="92" spans="13:26">
      <c r="M92" s="338"/>
      <c r="N92" s="338"/>
      <c r="Y92" s="337"/>
      <c r="Z92" s="337"/>
    </row>
    <row r="93" spans="13:26">
      <c r="M93" s="338"/>
      <c r="N93" s="338"/>
      <c r="Y93" s="337"/>
      <c r="Z93" s="337"/>
    </row>
    <row r="94" spans="13:26">
      <c r="M94" s="338"/>
      <c r="N94" s="338"/>
      <c r="Y94" s="337"/>
      <c r="Z94" s="337"/>
    </row>
    <row r="95" spans="13:26">
      <c r="M95" s="338"/>
      <c r="N95" s="338"/>
      <c r="Y95" s="337"/>
      <c r="Z95" s="337"/>
    </row>
    <row r="96" spans="13:26">
      <c r="M96" s="338"/>
      <c r="N96" s="338"/>
      <c r="Y96" s="337"/>
      <c r="Z96" s="337"/>
    </row>
    <row r="97" spans="13:26">
      <c r="M97" s="338"/>
      <c r="N97" s="338"/>
      <c r="Y97" s="337"/>
      <c r="Z97" s="337"/>
    </row>
    <row r="98" spans="13:26">
      <c r="M98" s="338"/>
      <c r="N98" s="338"/>
      <c r="Y98" s="337"/>
      <c r="Z98" s="337"/>
    </row>
    <row r="99" spans="13:26">
      <c r="M99" s="338"/>
      <c r="N99" s="338"/>
      <c r="Y99" s="337"/>
      <c r="Z99" s="337"/>
    </row>
    <row r="100" spans="13:26">
      <c r="M100" s="338"/>
      <c r="N100" s="338"/>
      <c r="Y100" s="337"/>
      <c r="Z100" s="337"/>
    </row>
    <row r="101" spans="13:26">
      <c r="M101" s="338"/>
      <c r="N101" s="338"/>
      <c r="Y101" s="337"/>
      <c r="Z101" s="337"/>
    </row>
    <row r="102" spans="13:26">
      <c r="M102" s="338"/>
      <c r="N102" s="338"/>
      <c r="Y102" s="337"/>
      <c r="Z102" s="337"/>
    </row>
    <row r="103" spans="13:26">
      <c r="M103" s="338"/>
      <c r="N103" s="338"/>
      <c r="Y103" s="337"/>
      <c r="Z103" s="337"/>
    </row>
    <row r="104" spans="13:26">
      <c r="M104" s="338"/>
      <c r="N104" s="338"/>
      <c r="Y104" s="337"/>
      <c r="Z104" s="337"/>
    </row>
    <row r="105" spans="13:26">
      <c r="M105" s="338"/>
      <c r="N105" s="338"/>
      <c r="Y105" s="337"/>
      <c r="Z105" s="337"/>
    </row>
    <row r="106" spans="13:26">
      <c r="M106" s="338"/>
      <c r="N106" s="338"/>
      <c r="Y106" s="337"/>
      <c r="Z106" s="337"/>
    </row>
    <row r="107" spans="13:26">
      <c r="M107" s="338"/>
      <c r="N107" s="338"/>
      <c r="Y107" s="337"/>
      <c r="Z107" s="337"/>
    </row>
    <row r="108" spans="13:26">
      <c r="M108" s="338"/>
      <c r="N108" s="338"/>
      <c r="Y108" s="337"/>
      <c r="Z108" s="337"/>
    </row>
    <row r="109" spans="13:26">
      <c r="M109" s="338"/>
      <c r="N109" s="338"/>
      <c r="Y109" s="337"/>
      <c r="Z109" s="337"/>
    </row>
    <row r="110" spans="13:26">
      <c r="M110" s="338"/>
      <c r="N110" s="338"/>
      <c r="Y110" s="337"/>
      <c r="Z110" s="337"/>
    </row>
    <row r="111" spans="13:26">
      <c r="M111" s="338"/>
      <c r="N111" s="338"/>
      <c r="Y111" s="337"/>
      <c r="Z111" s="337"/>
    </row>
    <row r="112" spans="13:26">
      <c r="M112" s="338"/>
      <c r="N112" s="338"/>
      <c r="Y112" s="337"/>
      <c r="Z112" s="337"/>
    </row>
    <row r="113" spans="13:26">
      <c r="M113" s="338"/>
      <c r="N113" s="338"/>
      <c r="Y113" s="337"/>
      <c r="Z113" s="337"/>
    </row>
    <row r="114" spans="13:26">
      <c r="M114" s="338"/>
      <c r="N114" s="338"/>
      <c r="Y114" s="337"/>
      <c r="Z114" s="337"/>
    </row>
    <row r="115" spans="13:26">
      <c r="M115" s="338"/>
      <c r="N115" s="338"/>
      <c r="Y115" s="337"/>
      <c r="Z115" s="337"/>
    </row>
    <row r="116" spans="13:26">
      <c r="M116" s="338"/>
      <c r="N116" s="338"/>
      <c r="Y116" s="337"/>
      <c r="Z116" s="337"/>
    </row>
    <row r="117" spans="13:26">
      <c r="M117" s="338"/>
      <c r="N117" s="338"/>
      <c r="Y117" s="337"/>
      <c r="Z117" s="337"/>
    </row>
    <row r="118" spans="13:26">
      <c r="M118" s="338"/>
      <c r="N118" s="338"/>
      <c r="Y118" s="337"/>
      <c r="Z118" s="337"/>
    </row>
    <row r="119" spans="13:26">
      <c r="M119" s="338"/>
      <c r="N119" s="338"/>
      <c r="Y119" s="337"/>
      <c r="Z119" s="337"/>
    </row>
    <row r="120" spans="13:26">
      <c r="M120" s="338"/>
      <c r="N120" s="338"/>
      <c r="Y120" s="337"/>
      <c r="Z120" s="337"/>
    </row>
    <row r="121" spans="13:26">
      <c r="M121" s="338"/>
      <c r="N121" s="338"/>
      <c r="Y121" s="337"/>
      <c r="Z121" s="337"/>
    </row>
    <row r="122" spans="13:26">
      <c r="M122" s="338"/>
      <c r="N122" s="338"/>
      <c r="Y122" s="337"/>
      <c r="Z122" s="337"/>
    </row>
    <row r="123" spans="13:26">
      <c r="M123" s="338"/>
      <c r="N123" s="338"/>
      <c r="Y123" s="337"/>
      <c r="Z123" s="337"/>
    </row>
    <row r="124" spans="13:26">
      <c r="M124" s="338"/>
      <c r="N124" s="338"/>
      <c r="Y124" s="337"/>
      <c r="Z124" s="337"/>
    </row>
    <row r="125" spans="13:26">
      <c r="M125" s="338"/>
      <c r="N125" s="338"/>
      <c r="Y125" s="337"/>
      <c r="Z125" s="337"/>
    </row>
    <row r="126" spans="13:26">
      <c r="M126" s="338"/>
      <c r="N126" s="338"/>
      <c r="Y126" s="337"/>
      <c r="Z126" s="337"/>
    </row>
    <row r="127" spans="13:26">
      <c r="M127" s="338"/>
      <c r="N127" s="338"/>
      <c r="Y127" s="337"/>
      <c r="Z127" s="337"/>
    </row>
    <row r="128" spans="13:26">
      <c r="M128" s="338"/>
      <c r="N128" s="338"/>
      <c r="Y128" s="337"/>
      <c r="Z128" s="337"/>
    </row>
    <row r="129" spans="13:26">
      <c r="M129" s="338"/>
      <c r="N129" s="338"/>
      <c r="Y129" s="337"/>
      <c r="Z129" s="337"/>
    </row>
    <row r="130" spans="13:26">
      <c r="M130" s="338"/>
      <c r="N130" s="338"/>
      <c r="Y130" s="337"/>
      <c r="Z130" s="337"/>
    </row>
    <row r="131" spans="13:26">
      <c r="M131" s="338"/>
      <c r="N131" s="338"/>
      <c r="Y131" s="337"/>
      <c r="Z131" s="337"/>
    </row>
    <row r="132" spans="13:26">
      <c r="M132" s="338"/>
      <c r="N132" s="338"/>
      <c r="Y132" s="337"/>
      <c r="Z132" s="337"/>
    </row>
    <row r="133" spans="13:26">
      <c r="M133" s="338"/>
      <c r="N133" s="338"/>
      <c r="Y133" s="337"/>
      <c r="Z133" s="337"/>
    </row>
    <row r="134" spans="13:26">
      <c r="M134" s="338"/>
      <c r="N134" s="338"/>
      <c r="Y134" s="337"/>
      <c r="Z134" s="337"/>
    </row>
    <row r="135" spans="13:26">
      <c r="M135" s="338"/>
      <c r="N135" s="338"/>
      <c r="Y135" s="337"/>
      <c r="Z135" s="337"/>
    </row>
    <row r="136" spans="13:26">
      <c r="M136" s="338"/>
      <c r="N136" s="338"/>
      <c r="Y136" s="337"/>
      <c r="Z136" s="337"/>
    </row>
    <row r="137" spans="13:26">
      <c r="M137" s="338"/>
      <c r="N137" s="338"/>
      <c r="Y137" s="337"/>
      <c r="Z137" s="337"/>
    </row>
    <row r="138" spans="13:26">
      <c r="M138" s="338"/>
      <c r="N138" s="338"/>
      <c r="Y138" s="337"/>
      <c r="Z138" s="337"/>
    </row>
    <row r="139" spans="13:26">
      <c r="M139" s="338"/>
      <c r="N139" s="338"/>
      <c r="Y139" s="337"/>
      <c r="Z139" s="337"/>
    </row>
    <row r="140" spans="13:26">
      <c r="M140" s="338"/>
      <c r="N140" s="338"/>
      <c r="Y140" s="337"/>
      <c r="Z140" s="337"/>
    </row>
    <row r="141" spans="13:26">
      <c r="M141" s="338"/>
      <c r="N141" s="338"/>
      <c r="Y141" s="337"/>
      <c r="Z141" s="337"/>
    </row>
    <row r="142" spans="13:26">
      <c r="M142" s="338"/>
      <c r="N142" s="338"/>
      <c r="Y142" s="337"/>
      <c r="Z142" s="337"/>
    </row>
    <row r="143" spans="13:26">
      <c r="M143" s="338"/>
      <c r="N143" s="338"/>
      <c r="Y143" s="337"/>
      <c r="Z143" s="337"/>
    </row>
    <row r="144" spans="13:26">
      <c r="M144" s="338"/>
      <c r="N144" s="338"/>
      <c r="Y144" s="337"/>
      <c r="Z144" s="337"/>
    </row>
    <row r="145" spans="13:26">
      <c r="M145" s="338"/>
      <c r="N145" s="338"/>
      <c r="Y145" s="337"/>
      <c r="Z145" s="337"/>
    </row>
    <row r="146" spans="13:26">
      <c r="M146" s="338"/>
      <c r="N146" s="338"/>
      <c r="Y146" s="337"/>
      <c r="Z146" s="337"/>
    </row>
    <row r="147" spans="13:26">
      <c r="M147" s="338"/>
      <c r="N147" s="338"/>
      <c r="Y147" s="337"/>
      <c r="Z147" s="337"/>
    </row>
    <row r="148" spans="13:26">
      <c r="M148" s="338"/>
      <c r="N148" s="338"/>
      <c r="Y148" s="337"/>
      <c r="Z148" s="337"/>
    </row>
    <row r="149" spans="13:26">
      <c r="M149" s="338"/>
      <c r="N149" s="338"/>
      <c r="Y149" s="337"/>
      <c r="Z149" s="337"/>
    </row>
    <row r="150" spans="13:26">
      <c r="M150" s="338"/>
      <c r="N150" s="338"/>
      <c r="Y150" s="337"/>
      <c r="Z150" s="337"/>
    </row>
    <row r="151" spans="13:26">
      <c r="M151" s="338"/>
      <c r="N151" s="338"/>
      <c r="Y151" s="337"/>
      <c r="Z151" s="337"/>
    </row>
    <row r="152" spans="13:26">
      <c r="M152" s="338"/>
      <c r="N152" s="338"/>
      <c r="Y152" s="337"/>
      <c r="Z152" s="337"/>
    </row>
    <row r="153" spans="13:26">
      <c r="M153" s="338"/>
      <c r="N153" s="338"/>
      <c r="Y153" s="337"/>
      <c r="Z153" s="337"/>
    </row>
    <row r="154" spans="13:26">
      <c r="M154" s="338"/>
      <c r="N154" s="338"/>
      <c r="Y154" s="337"/>
      <c r="Z154" s="337"/>
    </row>
    <row r="155" spans="13:26">
      <c r="M155" s="338"/>
      <c r="N155" s="338"/>
      <c r="Y155" s="337"/>
      <c r="Z155" s="337"/>
    </row>
    <row r="156" spans="13:26">
      <c r="M156" s="338"/>
      <c r="N156" s="338"/>
      <c r="Y156" s="337"/>
      <c r="Z156" s="337"/>
    </row>
    <row r="157" spans="13:26">
      <c r="M157" s="338"/>
      <c r="N157" s="338"/>
      <c r="Y157" s="337"/>
      <c r="Z157" s="337"/>
    </row>
    <row r="158" spans="13:26">
      <c r="M158" s="338"/>
      <c r="N158" s="338"/>
      <c r="Y158" s="337"/>
      <c r="Z158" s="337"/>
    </row>
    <row r="159" spans="13:26">
      <c r="M159" s="338"/>
      <c r="N159" s="338"/>
      <c r="Y159" s="337"/>
      <c r="Z159" s="337"/>
    </row>
    <row r="160" spans="13:26">
      <c r="M160" s="338"/>
      <c r="N160" s="338"/>
      <c r="Y160" s="337"/>
      <c r="Z160" s="337"/>
    </row>
    <row r="161" spans="13:26">
      <c r="M161" s="338"/>
      <c r="N161" s="338"/>
      <c r="Y161" s="337"/>
      <c r="Z161" s="337"/>
    </row>
    <row r="162" spans="13:26">
      <c r="M162" s="338"/>
      <c r="N162" s="338"/>
      <c r="Y162" s="337"/>
      <c r="Z162" s="337"/>
    </row>
    <row r="163" spans="13:26">
      <c r="M163" s="338"/>
      <c r="N163" s="338"/>
      <c r="Y163" s="337"/>
      <c r="Z163" s="337"/>
    </row>
    <row r="164" spans="13:26">
      <c r="M164" s="338"/>
      <c r="N164" s="338"/>
      <c r="Y164" s="337"/>
      <c r="Z164" s="337"/>
    </row>
    <row r="165" spans="13:26">
      <c r="M165" s="338"/>
      <c r="N165" s="338"/>
      <c r="Y165" s="337"/>
      <c r="Z165" s="337"/>
    </row>
    <row r="166" spans="13:26">
      <c r="M166" s="338"/>
      <c r="N166" s="338"/>
      <c r="Y166" s="337"/>
      <c r="Z166" s="337"/>
    </row>
    <row r="167" spans="13:26">
      <c r="M167" s="338"/>
      <c r="N167" s="338"/>
      <c r="Y167" s="337"/>
      <c r="Z167" s="337"/>
    </row>
    <row r="168" spans="13:26">
      <c r="M168" s="338"/>
      <c r="N168" s="338"/>
      <c r="Y168" s="337"/>
      <c r="Z168" s="337"/>
    </row>
    <row r="169" spans="13:26">
      <c r="M169" s="338"/>
      <c r="N169" s="338"/>
      <c r="Y169" s="337"/>
      <c r="Z169" s="337"/>
    </row>
    <row r="170" spans="13:26">
      <c r="M170" s="338"/>
      <c r="N170" s="338"/>
      <c r="Y170" s="337"/>
      <c r="Z170" s="337"/>
    </row>
    <row r="171" spans="13:26">
      <c r="Y171" s="337"/>
      <c r="Z171" s="337"/>
    </row>
    <row r="172" spans="13:26">
      <c r="Y172" s="337"/>
      <c r="Z172" s="337"/>
    </row>
    <row r="173" spans="13:26">
      <c r="Y173" s="337"/>
      <c r="Z173" s="337"/>
    </row>
    <row r="174" spans="13:26">
      <c r="Y174" s="337"/>
      <c r="Z174" s="337"/>
    </row>
  </sheetData>
  <mergeCells count="76">
    <mergeCell ref="Q38:Q39"/>
    <mergeCell ref="S38:S39"/>
    <mergeCell ref="U38:U39"/>
    <mergeCell ref="H54:I54"/>
    <mergeCell ref="A55:AA55"/>
    <mergeCell ref="A43:C43"/>
    <mergeCell ref="H47:P47"/>
    <mergeCell ref="H48:H49"/>
    <mergeCell ref="I48:I49"/>
    <mergeCell ref="J48:O48"/>
    <mergeCell ref="P48:P49"/>
    <mergeCell ref="J39:J43"/>
    <mergeCell ref="L39:L43"/>
    <mergeCell ref="C38:C39"/>
    <mergeCell ref="E38:E39"/>
    <mergeCell ref="G38:G39"/>
    <mergeCell ref="G30:G31"/>
    <mergeCell ref="I30:I31"/>
    <mergeCell ref="K30:K31"/>
    <mergeCell ref="O30:O31"/>
    <mergeCell ref="M38:M39"/>
    <mergeCell ref="O38:O39"/>
    <mergeCell ref="I38:I39"/>
    <mergeCell ref="K38:K39"/>
    <mergeCell ref="Y18:Y19"/>
    <mergeCell ref="Z18:Z19"/>
    <mergeCell ref="AA18:AA19"/>
    <mergeCell ref="C22:C23"/>
    <mergeCell ref="E22:E23"/>
    <mergeCell ref="G22:G23"/>
    <mergeCell ref="I22:I23"/>
    <mergeCell ref="K22:K23"/>
    <mergeCell ref="M22:M23"/>
    <mergeCell ref="Q22:Q23"/>
    <mergeCell ref="X18:X19"/>
    <mergeCell ref="U22:U23"/>
    <mergeCell ref="P14:P17"/>
    <mergeCell ref="S14:S15"/>
    <mergeCell ref="Q15:Q16"/>
    <mergeCell ref="D16:G16"/>
    <mergeCell ref="W18:W19"/>
    <mergeCell ref="R11:R12"/>
    <mergeCell ref="C12:G12"/>
    <mergeCell ref="H12:I12"/>
    <mergeCell ref="J12:L12"/>
    <mergeCell ref="C13:G13"/>
    <mergeCell ref="H13:I13"/>
    <mergeCell ref="J13:L13"/>
    <mergeCell ref="C11:G11"/>
    <mergeCell ref="H11:I11"/>
    <mergeCell ref="J11:L11"/>
    <mergeCell ref="P11:Q11"/>
    <mergeCell ref="X8:X10"/>
    <mergeCell ref="Y8:Y10"/>
    <mergeCell ref="AA8:AA10"/>
    <mergeCell ref="C9:G9"/>
    <mergeCell ref="H9:I9"/>
    <mergeCell ref="J9:L9"/>
    <mergeCell ref="P9:Q9"/>
    <mergeCell ref="C10:G10"/>
    <mergeCell ref="H10:I10"/>
    <mergeCell ref="J10:L10"/>
    <mergeCell ref="C8:G8"/>
    <mergeCell ref="H8:I8"/>
    <mergeCell ref="J8:L8"/>
    <mergeCell ref="P8:Q8"/>
    <mergeCell ref="T8:U16"/>
    <mergeCell ref="W8:W10"/>
    <mergeCell ref="C2:AA2"/>
    <mergeCell ref="A3:AA3"/>
    <mergeCell ref="A4:AA4"/>
    <mergeCell ref="A5:AA5"/>
    <mergeCell ref="C7:G7"/>
    <mergeCell ref="H7:I7"/>
    <mergeCell ref="J7:L7"/>
    <mergeCell ref="M7:AA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0"/>
  <sheetViews>
    <sheetView view="pageBreakPreview" topLeftCell="C51" zoomScale="44" zoomScaleNormal="45" workbookViewId="0">
      <selection activeCell="AE88" sqref="AE88"/>
    </sheetView>
  </sheetViews>
  <sheetFormatPr defaultRowHeight="15"/>
  <cols>
    <col min="2" max="2" width="11" customWidth="1"/>
    <col min="3" max="3" width="14" customWidth="1"/>
    <col min="4" max="4" width="13.28515625" customWidth="1"/>
    <col min="5" max="5" width="16.5703125" customWidth="1"/>
    <col min="6" max="6" width="14.140625" customWidth="1"/>
    <col min="7" max="7" width="14.7109375" bestFit="1" customWidth="1"/>
    <col min="8" max="8" width="13.85546875" bestFit="1" customWidth="1"/>
    <col min="9" max="9" width="13.42578125" customWidth="1"/>
    <col min="10" max="10" width="11.7109375" customWidth="1"/>
    <col min="11" max="11" width="14.85546875" customWidth="1"/>
    <col min="12" max="12" width="12" customWidth="1"/>
    <col min="13" max="13" width="14.7109375" bestFit="1" customWidth="1"/>
    <col min="14" max="14" width="12.42578125" customWidth="1"/>
    <col min="15" max="15" width="14.28515625" customWidth="1"/>
    <col min="16" max="16" width="13.42578125" customWidth="1"/>
    <col min="17" max="17" width="14.7109375" bestFit="1" customWidth="1"/>
    <col min="18" max="18" width="19.140625" bestFit="1" customWidth="1"/>
    <col min="19" max="19" width="14.7109375" bestFit="1" customWidth="1"/>
    <col min="20" max="20" width="13.28515625" customWidth="1"/>
    <col min="21" max="21" width="16.5703125" customWidth="1"/>
    <col min="22" max="22" width="13.5703125" customWidth="1"/>
    <col min="23" max="23" width="14.7109375" bestFit="1" customWidth="1"/>
    <col min="24" max="24" width="20.42578125" bestFit="1" customWidth="1"/>
    <col min="25" max="25" width="20.85546875" bestFit="1" customWidth="1"/>
    <col min="26" max="26" width="16.42578125" customWidth="1"/>
    <col min="27" max="27" width="21.28515625" customWidth="1"/>
    <col min="28" max="28" width="14.7109375" customWidth="1"/>
    <col min="31" max="31" width="13.28515625" bestFit="1" customWidth="1"/>
    <col min="32" max="32" width="23.140625" bestFit="1" customWidth="1"/>
    <col min="34" max="34" width="13.5703125" bestFit="1" customWidth="1"/>
  </cols>
  <sheetData>
    <row r="1" spans="1:32" s="337" customFormat="1" ht="15" customHeight="1">
      <c r="A1" s="1670"/>
      <c r="B1" s="1670"/>
      <c r="C1" s="1670"/>
      <c r="D1" s="1670"/>
      <c r="E1" s="1670"/>
      <c r="F1" s="1670"/>
      <c r="G1" s="1670"/>
      <c r="H1" s="1670"/>
      <c r="I1" s="1670"/>
      <c r="J1" s="1670"/>
      <c r="K1" s="1670"/>
      <c r="L1" s="1670"/>
      <c r="M1" s="1670"/>
      <c r="N1" s="1670"/>
      <c r="O1" s="1670"/>
      <c r="P1" s="1670"/>
      <c r="Q1" s="1670"/>
      <c r="R1" s="1670"/>
      <c r="S1" s="1670"/>
      <c r="T1" s="1670"/>
      <c r="U1" s="1670"/>
      <c r="V1" s="1670"/>
      <c r="W1" s="1670"/>
      <c r="X1" s="1670"/>
      <c r="Y1" s="1670"/>
      <c r="Z1" s="1670"/>
      <c r="AA1" s="1670"/>
      <c r="AB1" s="1670"/>
      <c r="AC1" s="1670"/>
      <c r="AD1" s="1670"/>
      <c r="AE1" s="1670"/>
      <c r="AF1" s="1671"/>
    </row>
    <row r="2" spans="1:32" s="337" customFormat="1" ht="18">
      <c r="A2" s="832"/>
      <c r="B2" s="832"/>
      <c r="C2" s="832"/>
      <c r="D2" s="832"/>
      <c r="E2" s="832"/>
      <c r="F2" s="832"/>
      <c r="G2" s="832"/>
      <c r="H2" s="832"/>
      <c r="I2" s="832"/>
      <c r="J2" s="832"/>
      <c r="K2" s="832"/>
      <c r="L2" s="832"/>
      <c r="M2" s="832"/>
      <c r="N2" s="832"/>
      <c r="O2" s="832"/>
      <c r="P2" s="832"/>
      <c r="Q2" s="832"/>
      <c r="R2" s="832"/>
      <c r="S2" s="832"/>
      <c r="T2" s="832"/>
      <c r="U2" s="832"/>
      <c r="V2" s="832"/>
      <c r="W2" s="832"/>
      <c r="X2" s="832"/>
      <c r="Y2" s="832"/>
      <c r="Z2" s="832"/>
      <c r="AA2" s="832"/>
      <c r="AB2" s="832"/>
      <c r="AC2" s="832"/>
      <c r="AD2" s="832"/>
      <c r="AE2" s="944" t="s">
        <v>1882</v>
      </c>
      <c r="AF2" s="943">
        <v>46197</v>
      </c>
    </row>
    <row r="3" spans="1:32" s="337" customFormat="1" ht="18">
      <c r="A3" s="1587"/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1587"/>
      <c r="P3" s="1587"/>
      <c r="Q3" s="1587"/>
      <c r="R3" s="1587"/>
      <c r="S3" s="1587"/>
      <c r="T3" s="1587"/>
      <c r="U3" s="1587"/>
      <c r="V3" s="1587"/>
      <c r="W3" s="1587"/>
      <c r="X3" s="1587"/>
      <c r="Y3" s="1587"/>
      <c r="Z3" s="1587"/>
      <c r="AA3" s="1587"/>
      <c r="AB3" s="1587"/>
      <c r="AC3" s="1587"/>
      <c r="AD3" s="1587"/>
      <c r="AE3" s="1587"/>
      <c r="AF3" s="1503"/>
    </row>
    <row r="4" spans="1:32" s="337" customFormat="1" ht="18" customHeight="1">
      <c r="A4" s="1588"/>
      <c r="B4" s="1588"/>
      <c r="C4" s="1588"/>
      <c r="D4" s="1588"/>
      <c r="E4" s="1588"/>
      <c r="F4" s="1588"/>
      <c r="G4" s="1588"/>
      <c r="H4" s="1588"/>
      <c r="I4" s="1588"/>
      <c r="J4" s="1588"/>
      <c r="K4" s="1588"/>
      <c r="L4" s="1588"/>
      <c r="M4" s="1588"/>
      <c r="N4" s="1588"/>
      <c r="O4" s="1588"/>
      <c r="P4" s="1588"/>
      <c r="Q4" s="1588"/>
      <c r="R4" s="1588"/>
      <c r="S4" s="1588"/>
      <c r="T4" s="1588"/>
      <c r="U4" s="1588"/>
      <c r="V4" s="1588"/>
      <c r="W4" s="1588"/>
      <c r="X4" s="1588"/>
      <c r="Y4" s="1588"/>
      <c r="Z4" s="1588"/>
      <c r="AA4" s="1588"/>
      <c r="AB4" s="1588"/>
      <c r="AC4" s="1588"/>
      <c r="AD4" s="1588"/>
      <c r="AE4" s="1588"/>
      <c r="AF4" s="1506"/>
    </row>
    <row r="5" spans="1:32" s="337" customFormat="1" ht="18.75" thickBot="1">
      <c r="A5" s="342"/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  <c r="AC5" s="342"/>
      <c r="AD5" s="342"/>
      <c r="AE5" s="342"/>
      <c r="AF5" s="585"/>
    </row>
    <row r="6" spans="1:32" s="337" customFormat="1" ht="18">
      <c r="B6" s="1672" t="s">
        <v>1883</v>
      </c>
      <c r="C6" s="1672"/>
      <c r="D6" s="1672"/>
      <c r="E6" s="1672"/>
      <c r="F6" s="1672"/>
      <c r="G6" s="1672"/>
      <c r="H6" s="1672"/>
      <c r="I6" s="1672"/>
      <c r="J6" s="1672"/>
      <c r="K6" s="1673"/>
      <c r="R6" s="1504" t="s">
        <v>917</v>
      </c>
      <c r="S6" s="1588"/>
      <c r="T6" s="1588"/>
      <c r="U6" s="1588"/>
      <c r="V6" s="1588"/>
      <c r="W6" s="1588"/>
      <c r="X6" s="1588"/>
      <c r="Y6" s="1588"/>
      <c r="Z6" s="1588"/>
      <c r="AA6" s="1588"/>
      <c r="AB6" s="1588"/>
      <c r="AC6" s="583"/>
      <c r="AD6" s="583"/>
      <c r="AE6" s="583"/>
      <c r="AF6" s="584"/>
    </row>
    <row r="7" spans="1:32" s="337" customFormat="1" ht="32.25" thickBot="1">
      <c r="B7" s="1674"/>
      <c r="C7" s="1674"/>
      <c r="D7" s="1674"/>
      <c r="E7" s="1674"/>
      <c r="F7" s="1674"/>
      <c r="G7" s="1674"/>
      <c r="H7" s="1674"/>
      <c r="I7" s="1674"/>
      <c r="J7" s="1674"/>
      <c r="K7" s="1675"/>
      <c r="R7" s="1091"/>
      <c r="S7" s="1096"/>
      <c r="T7" s="345" t="s">
        <v>918</v>
      </c>
      <c r="U7" s="1086" t="s">
        <v>919</v>
      </c>
      <c r="V7" s="1095"/>
      <c r="W7" s="346"/>
      <c r="X7" s="347"/>
      <c r="Y7" s="1676" t="s">
        <v>920</v>
      </c>
      <c r="Z7" s="1088" t="s">
        <v>921</v>
      </c>
      <c r="AA7" s="1532" t="s">
        <v>922</v>
      </c>
      <c r="AB7" s="1532" t="s">
        <v>1004</v>
      </c>
      <c r="AE7" s="350"/>
      <c r="AF7" s="595"/>
    </row>
    <row r="8" spans="1:32" s="337" customFormat="1" ht="27.75">
      <c r="B8" s="1677" t="s">
        <v>924</v>
      </c>
      <c r="C8" s="1678"/>
      <c r="D8" s="1678"/>
      <c r="E8" s="1678"/>
      <c r="F8" s="1679"/>
      <c r="G8" s="1680" t="s">
        <v>873</v>
      </c>
      <c r="H8" s="1681"/>
      <c r="I8" s="1659" t="s">
        <v>2194</v>
      </c>
      <c r="J8" s="1660"/>
      <c r="K8" s="1661"/>
      <c r="R8" s="351"/>
      <c r="S8" s="1096"/>
      <c r="T8" s="1096"/>
      <c r="U8" s="1097" t="s">
        <v>925</v>
      </c>
      <c r="V8" s="1097"/>
      <c r="W8" s="1096"/>
      <c r="X8" s="598" t="s">
        <v>926</v>
      </c>
      <c r="Y8" s="1676"/>
      <c r="Z8" s="1088"/>
      <c r="AA8" s="1532"/>
      <c r="AB8" s="1532"/>
      <c r="AE8" s="350"/>
      <c r="AF8" s="595"/>
    </row>
    <row r="9" spans="1:32" s="337" customFormat="1" ht="24.75" customHeight="1" thickBot="1">
      <c r="B9" s="1662" t="s">
        <v>927</v>
      </c>
      <c r="C9" s="1663"/>
      <c r="D9" s="1663"/>
      <c r="E9" s="1663"/>
      <c r="F9" s="1664"/>
      <c r="G9" s="1665" t="s">
        <v>873</v>
      </c>
      <c r="H9" s="1666"/>
      <c r="I9" s="1667" t="s">
        <v>2187</v>
      </c>
      <c r="J9" s="1668"/>
      <c r="K9" s="1669"/>
      <c r="R9" s="353" t="s">
        <v>928</v>
      </c>
      <c r="S9" s="347"/>
      <c r="T9" s="1095"/>
      <c r="U9" s="354"/>
      <c r="V9" s="355"/>
      <c r="W9" s="356"/>
      <c r="X9" s="356"/>
      <c r="Y9" s="1676"/>
      <c r="Z9" s="1088"/>
      <c r="AA9" s="1532"/>
      <c r="AB9" s="1532"/>
      <c r="AE9" s="347"/>
      <c r="AF9" s="595"/>
    </row>
    <row r="10" spans="1:32" s="364" customFormat="1" ht="28.5" thickTop="1">
      <c r="B10" s="1662" t="s">
        <v>929</v>
      </c>
      <c r="C10" s="1663"/>
      <c r="D10" s="1663"/>
      <c r="E10" s="1663"/>
      <c r="F10" s="1664"/>
      <c r="G10" s="1665" t="s">
        <v>873</v>
      </c>
      <c r="H10" s="1666"/>
      <c r="I10" s="1667" t="s">
        <v>2216</v>
      </c>
      <c r="J10" s="1668"/>
      <c r="K10" s="1669"/>
      <c r="R10" s="359"/>
      <c r="S10" s="355"/>
      <c r="T10" s="360" t="s">
        <v>930</v>
      </c>
      <c r="U10" s="1089" t="s">
        <v>931</v>
      </c>
      <c r="V10" s="1090"/>
      <c r="W10" s="1526"/>
      <c r="X10" s="347"/>
      <c r="Y10" s="1087"/>
      <c r="Z10" s="361"/>
      <c r="AA10" s="362"/>
      <c r="AB10" s="362"/>
      <c r="AE10" s="356"/>
      <c r="AF10" s="596"/>
    </row>
    <row r="11" spans="1:32" s="364" customFormat="1" ht="28.5" thickBot="1">
      <c r="B11" s="1686" t="s">
        <v>932</v>
      </c>
      <c r="C11" s="1687"/>
      <c r="D11" s="1687"/>
      <c r="E11" s="1687"/>
      <c r="F11" s="1687"/>
      <c r="G11" s="1688" t="s">
        <v>933</v>
      </c>
      <c r="H11" s="1688"/>
      <c r="I11" s="1688" t="s">
        <v>2183</v>
      </c>
      <c r="J11" s="1688"/>
      <c r="K11" s="1689"/>
      <c r="R11" s="353" t="s">
        <v>934</v>
      </c>
      <c r="S11" s="356"/>
      <c r="T11" s="365" t="s">
        <v>935</v>
      </c>
      <c r="U11" s="356"/>
      <c r="V11" s="366"/>
      <c r="W11" s="1527"/>
      <c r="X11" s="356"/>
      <c r="Y11" s="1087"/>
      <c r="Z11" s="361"/>
      <c r="AA11" s="362"/>
      <c r="AB11" s="362"/>
      <c r="AE11" s="356"/>
      <c r="AF11" s="596"/>
    </row>
    <row r="12" spans="1:32" s="364" customFormat="1" ht="28.5" thickBot="1">
      <c r="B12" s="1690" t="s">
        <v>936</v>
      </c>
      <c r="C12" s="1691"/>
      <c r="D12" s="1691"/>
      <c r="E12" s="1691"/>
      <c r="F12" s="1691"/>
      <c r="G12" s="1692" t="s">
        <v>933</v>
      </c>
      <c r="H12" s="1692"/>
      <c r="I12" s="1693" t="s">
        <v>2183</v>
      </c>
      <c r="J12" s="1694"/>
      <c r="K12" s="1695"/>
      <c r="R12" s="359"/>
      <c r="S12" s="356"/>
      <c r="T12" s="356"/>
      <c r="U12" s="356"/>
      <c r="V12" s="367"/>
      <c r="W12" s="1095"/>
      <c r="X12" s="356"/>
      <c r="Y12" s="1087"/>
      <c r="Z12" s="361"/>
      <c r="AA12" s="368"/>
      <c r="AB12" s="368"/>
      <c r="AE12" s="356"/>
      <c r="AF12" s="596"/>
    </row>
    <row r="13" spans="1:32" s="364" customFormat="1" ht="15.75" customHeight="1">
      <c r="H13" s="364" t="s">
        <v>937</v>
      </c>
      <c r="R13" s="1682" t="s">
        <v>938</v>
      </c>
      <c r="S13" s="1683"/>
      <c r="T13" s="1095" t="s">
        <v>939</v>
      </c>
      <c r="U13" s="1649" t="s">
        <v>942</v>
      </c>
      <c r="V13" s="367" t="s">
        <v>940</v>
      </c>
      <c r="W13" s="356"/>
      <c r="X13" s="1093" t="s">
        <v>941</v>
      </c>
      <c r="Y13" s="1087"/>
      <c r="Z13" s="361"/>
      <c r="AA13" s="368"/>
      <c r="AB13" s="368"/>
      <c r="AE13" s="356"/>
      <c r="AF13" s="596"/>
    </row>
    <row r="14" spans="1:32" s="364" customFormat="1" ht="15.75" customHeight="1">
      <c r="R14" s="359"/>
      <c r="S14" s="356"/>
      <c r="T14" s="1095"/>
      <c r="U14" s="1649"/>
      <c r="V14" s="1548" t="s">
        <v>943</v>
      </c>
      <c r="W14" s="356"/>
      <c r="X14" s="1093"/>
      <c r="Y14" s="1087"/>
      <c r="Z14" s="361"/>
      <c r="AA14" s="368"/>
      <c r="AB14" s="368"/>
      <c r="AE14" s="356"/>
      <c r="AF14" s="596"/>
    </row>
    <row r="15" spans="1:32" s="364" customFormat="1" ht="17.45" customHeight="1">
      <c r="A15" s="356"/>
      <c r="C15" s="1590"/>
      <c r="D15" s="1590"/>
      <c r="E15" s="1590"/>
      <c r="F15" s="1590"/>
      <c r="H15" s="356"/>
      <c r="I15" s="356"/>
      <c r="J15" s="356"/>
      <c r="K15" s="356"/>
      <c r="R15" s="1682" t="s">
        <v>944</v>
      </c>
      <c r="S15" s="1683"/>
      <c r="T15" s="597" t="s">
        <v>1005</v>
      </c>
      <c r="U15" s="1649"/>
      <c r="V15" s="1548"/>
      <c r="W15" s="356"/>
      <c r="X15" s="356"/>
      <c r="Y15" s="1087"/>
      <c r="Z15" s="361"/>
      <c r="AA15" s="362"/>
      <c r="AB15" s="362"/>
      <c r="AE15" s="356"/>
      <c r="AF15" s="596"/>
    </row>
    <row r="16" spans="1:32" s="364" customFormat="1" ht="16.5" thickBot="1">
      <c r="R16" s="370"/>
      <c r="S16" s="343"/>
      <c r="T16" s="343"/>
      <c r="U16" s="1103"/>
      <c r="V16" s="343"/>
      <c r="W16" s="343"/>
      <c r="X16" s="343"/>
      <c r="Y16" s="343"/>
      <c r="Z16" s="343"/>
      <c r="AA16" s="343"/>
      <c r="AB16" s="343"/>
      <c r="AC16" s="343"/>
      <c r="AD16" s="343"/>
      <c r="AE16" s="343"/>
      <c r="AF16" s="344"/>
    </row>
    <row r="17" spans="1:34" s="364" customFormat="1" ht="15.75" customHeight="1">
      <c r="A17" s="397"/>
      <c r="B17" s="373"/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4"/>
      <c r="Q17" s="374"/>
      <c r="R17" s="373"/>
      <c r="S17" s="373"/>
      <c r="T17" s="373"/>
      <c r="AB17" s="1684" t="s">
        <v>946</v>
      </c>
      <c r="AC17" s="1696" t="s">
        <v>947</v>
      </c>
      <c r="AD17" s="1696" t="s">
        <v>948</v>
      </c>
      <c r="AE17" s="1697" t="s">
        <v>949</v>
      </c>
      <c r="AF17" s="1698" t="s">
        <v>950</v>
      </c>
    </row>
    <row r="18" spans="1:34" s="364" customFormat="1" ht="15" customHeight="1">
      <c r="A18" s="397"/>
      <c r="B18" s="338"/>
      <c r="C18" s="373"/>
      <c r="D18" s="338"/>
      <c r="E18" s="373"/>
      <c r="F18" s="375"/>
      <c r="G18" s="373"/>
      <c r="H18" s="373"/>
      <c r="I18" s="373"/>
      <c r="J18" s="373"/>
      <c r="K18" s="373"/>
      <c r="L18" s="338"/>
      <c r="M18" s="338"/>
      <c r="N18" s="375"/>
      <c r="O18" s="338"/>
      <c r="P18" s="375"/>
      <c r="Q18" s="338"/>
      <c r="R18" s="375"/>
      <c r="S18" s="338"/>
      <c r="T18" s="338"/>
      <c r="AB18" s="1685"/>
      <c r="AC18" s="1554"/>
      <c r="AD18" s="1554"/>
      <c r="AE18" s="1555"/>
      <c r="AF18" s="1556"/>
    </row>
    <row r="19" spans="1:34" s="364" customFormat="1" ht="16.5" thickBot="1">
      <c r="A19" s="397"/>
      <c r="B19" s="373"/>
      <c r="C19" s="373"/>
      <c r="D19" s="373"/>
      <c r="E19" s="373"/>
      <c r="F19" s="373"/>
      <c r="G19" s="373"/>
      <c r="H19" s="373"/>
      <c r="I19" s="373"/>
      <c r="J19" s="373"/>
      <c r="K19" s="373"/>
      <c r="L19" s="373"/>
      <c r="M19" s="373"/>
      <c r="N19" s="373"/>
      <c r="O19" s="376"/>
      <c r="P19" s="376"/>
      <c r="Q19" s="376"/>
      <c r="R19" s="376"/>
      <c r="S19" s="376"/>
      <c r="T19" s="376"/>
      <c r="AB19" s="592"/>
      <c r="AC19" s="593"/>
      <c r="AD19" s="593"/>
      <c r="AE19" s="593"/>
      <c r="AF19" s="594"/>
    </row>
    <row r="20" spans="1:34" s="1243" customFormat="1" ht="15.75" customHeight="1">
      <c r="A20" s="1239"/>
      <c r="B20" s="1239" t="s">
        <v>213</v>
      </c>
      <c r="C20" s="1239"/>
      <c r="D20" s="1239" t="s">
        <v>1211</v>
      </c>
      <c r="E20" s="1239"/>
      <c r="F20" s="1239" t="s">
        <v>1212</v>
      </c>
      <c r="G20" s="1239"/>
      <c r="H20" s="1239" t="s">
        <v>66</v>
      </c>
      <c r="I20" s="1239"/>
      <c r="J20" s="1239" t="s">
        <v>224</v>
      </c>
      <c r="K20" s="1239"/>
      <c r="L20" s="1239" t="s">
        <v>230</v>
      </c>
      <c r="M20" s="1239"/>
      <c r="N20" s="1239" t="s">
        <v>234</v>
      </c>
      <c r="O20" s="1239"/>
      <c r="P20" s="1239" t="s">
        <v>239</v>
      </c>
      <c r="Q20" s="1239"/>
      <c r="R20" s="1239" t="s">
        <v>67</v>
      </c>
      <c r="S20" s="1239"/>
      <c r="T20" s="1239" t="s">
        <v>68</v>
      </c>
      <c r="U20" s="1239"/>
      <c r="V20" s="1239" t="s">
        <v>564</v>
      </c>
      <c r="W20" s="1239"/>
      <c r="X20" s="1239" t="s">
        <v>563</v>
      </c>
      <c r="Y20" s="1239"/>
      <c r="Z20" s="1239" t="s">
        <v>56</v>
      </c>
      <c r="AA20" s="1240"/>
      <c r="AB20" s="1241"/>
      <c r="AC20" s="1241"/>
      <c r="AD20" s="1241"/>
      <c r="AE20" s="1241"/>
      <c r="AF20" s="1242"/>
    </row>
    <row r="21" spans="1:34" s="1243" customFormat="1" ht="21">
      <c r="AA21" s="1244"/>
      <c r="AB21" s="1245"/>
      <c r="AC21" s="1245"/>
      <c r="AD21" s="1245"/>
      <c r="AE21" s="1245"/>
      <c r="AF21" s="1246"/>
    </row>
    <row r="22" spans="1:34" s="1243" customFormat="1" ht="21">
      <c r="AA22" s="1244"/>
      <c r="AB22" s="1241"/>
      <c r="AC22" s="1245"/>
      <c r="AD22" s="1245"/>
      <c r="AE22" s="1245"/>
      <c r="AF22" s="1242"/>
    </row>
    <row r="23" spans="1:34" s="1243" customFormat="1" ht="21">
      <c r="B23" s="1699"/>
      <c r="C23" s="1247">
        <v>360</v>
      </c>
      <c r="D23" s="1701"/>
      <c r="E23" s="1248">
        <v>328</v>
      </c>
      <c r="F23" s="1703"/>
      <c r="G23" s="1247">
        <v>360</v>
      </c>
      <c r="H23" s="1703"/>
      <c r="I23" s="1247">
        <v>409</v>
      </c>
      <c r="J23" s="1703"/>
      <c r="K23" s="1247">
        <v>360</v>
      </c>
      <c r="L23" s="1701"/>
      <c r="M23" s="1248">
        <v>340</v>
      </c>
      <c r="N23" s="1701"/>
      <c r="O23" s="1248">
        <v>360</v>
      </c>
      <c r="P23" s="1701"/>
      <c r="Q23" s="1248">
        <v>314</v>
      </c>
      <c r="R23" s="1703"/>
      <c r="S23" s="1247">
        <v>341</v>
      </c>
      <c r="T23" s="1703"/>
      <c r="U23" s="1248">
        <v>307</v>
      </c>
      <c r="V23" s="1707" t="s">
        <v>1633</v>
      </c>
      <c r="W23" s="1248">
        <v>287</v>
      </c>
      <c r="X23" s="1707" t="s">
        <v>1632</v>
      </c>
      <c r="Y23" s="1248">
        <v>319</v>
      </c>
      <c r="Z23" s="1705" t="s">
        <v>1631</v>
      </c>
      <c r="AA23" s="1249">
        <v>320</v>
      </c>
      <c r="AB23" s="1245">
        <f>SUM(C23:AA23)</f>
        <v>4405</v>
      </c>
      <c r="AC23" s="1245">
        <v>3</v>
      </c>
      <c r="AD23" s="1245">
        <v>3</v>
      </c>
      <c r="AE23" s="1245">
        <v>0</v>
      </c>
      <c r="AF23" s="1246">
        <v>0</v>
      </c>
      <c r="AG23" s="1243">
        <v>12</v>
      </c>
      <c r="AH23" s="1243">
        <f>AG23</f>
        <v>12</v>
      </c>
    </row>
    <row r="24" spans="1:34" s="1243" customFormat="1" ht="21.75" thickBot="1">
      <c r="B24" s="1700"/>
      <c r="D24" s="1702"/>
      <c r="F24" s="1704"/>
      <c r="H24" s="1704"/>
      <c r="J24" s="1704"/>
      <c r="L24" s="1702"/>
      <c r="N24" s="1702"/>
      <c r="P24" s="1702"/>
      <c r="R24" s="1704"/>
      <c r="T24" s="1704"/>
      <c r="V24" s="1708"/>
      <c r="X24" s="1708"/>
      <c r="Z24" s="1706"/>
      <c r="AA24" s="1244"/>
      <c r="AB24" s="1241"/>
      <c r="AC24" s="1245"/>
      <c r="AD24" s="1245"/>
      <c r="AE24" s="1245"/>
      <c r="AF24" s="1242"/>
    </row>
    <row r="25" spans="1:34" s="1243" customFormat="1" ht="21">
      <c r="B25" s="1243" t="s">
        <v>1713</v>
      </c>
      <c r="D25" s="1243" t="s">
        <v>49</v>
      </c>
      <c r="F25" s="1243" t="s">
        <v>39</v>
      </c>
      <c r="H25" s="1243" t="s">
        <v>39</v>
      </c>
      <c r="J25" s="1243" t="s">
        <v>39</v>
      </c>
      <c r="L25" s="1243" t="s">
        <v>34</v>
      </c>
      <c r="N25" s="1243" t="s">
        <v>48</v>
      </c>
      <c r="P25" s="1243" t="s">
        <v>49</v>
      </c>
      <c r="R25" s="1243" t="s">
        <v>43</v>
      </c>
      <c r="T25" s="1243" t="s">
        <v>45</v>
      </c>
      <c r="V25" s="1243" t="s">
        <v>48</v>
      </c>
      <c r="X25" s="1243" t="s">
        <v>49</v>
      </c>
      <c r="Z25" s="1243" t="s">
        <v>43</v>
      </c>
      <c r="AA25" s="1244"/>
      <c r="AB25" s="1241"/>
      <c r="AC25" s="1241"/>
      <c r="AD25" s="1241"/>
      <c r="AE25" s="1241"/>
      <c r="AF25" s="1242"/>
    </row>
    <row r="26" spans="1:34" s="1243" customFormat="1" ht="21">
      <c r="B26" s="1250" t="s">
        <v>951</v>
      </c>
      <c r="D26" s="1250" t="s">
        <v>951</v>
      </c>
      <c r="F26" s="1251" t="s">
        <v>2042</v>
      </c>
      <c r="H26" s="1252" t="s">
        <v>977</v>
      </c>
      <c r="J26" s="1250" t="s">
        <v>951</v>
      </c>
      <c r="L26" s="1250" t="s">
        <v>951</v>
      </c>
      <c r="N26" s="1250" t="s">
        <v>951</v>
      </c>
      <c r="P26" s="1250" t="s">
        <v>951</v>
      </c>
      <c r="R26" s="1250" t="s">
        <v>951</v>
      </c>
      <c r="T26" s="1252" t="s">
        <v>977</v>
      </c>
      <c r="AA26" s="1244"/>
      <c r="AB26" s="1241"/>
      <c r="AC26" s="1245"/>
      <c r="AD26" s="1245"/>
      <c r="AE26" s="1245"/>
      <c r="AF26" s="1242"/>
    </row>
    <row r="27" spans="1:34" s="1243" customFormat="1" ht="21">
      <c r="AA27" s="1244"/>
      <c r="AB27" s="1241"/>
      <c r="AC27" s="1241"/>
      <c r="AD27" s="1241"/>
      <c r="AE27" s="1241"/>
      <c r="AF27" s="1242"/>
    </row>
    <row r="28" spans="1:34" s="1243" customFormat="1" ht="21">
      <c r="F28" s="1247"/>
      <c r="AA28" s="1244"/>
      <c r="AB28" s="1241"/>
      <c r="AC28" s="1241"/>
      <c r="AD28" s="1241"/>
      <c r="AE28" s="1241"/>
      <c r="AF28" s="1242"/>
    </row>
    <row r="29" spans="1:34" s="1243" customFormat="1" ht="21">
      <c r="A29" s="1253"/>
      <c r="B29" s="1253" t="s">
        <v>561</v>
      </c>
      <c r="C29" s="1253"/>
      <c r="D29" s="1253" t="s">
        <v>60</v>
      </c>
      <c r="E29" s="1253"/>
      <c r="F29" s="1243" t="s">
        <v>55</v>
      </c>
      <c r="G29" s="1253"/>
      <c r="H29" s="1253" t="s">
        <v>59</v>
      </c>
      <c r="I29" s="1253"/>
      <c r="J29" s="1253" t="s">
        <v>565</v>
      </c>
      <c r="K29" s="1253"/>
      <c r="L29" s="1253" t="s">
        <v>58</v>
      </c>
      <c r="M29" s="1253"/>
      <c r="N29" s="1253" t="s">
        <v>296</v>
      </c>
      <c r="O29" s="1253"/>
      <c r="P29" s="1253" t="s">
        <v>46</v>
      </c>
      <c r="Q29" s="1253"/>
      <c r="R29" s="1253" t="s">
        <v>310</v>
      </c>
      <c r="S29" s="1253"/>
      <c r="T29" s="1253" t="s">
        <v>47</v>
      </c>
      <c r="U29" s="1253"/>
      <c r="V29" s="1253" t="s">
        <v>69</v>
      </c>
      <c r="W29" s="1253"/>
      <c r="X29" s="1253" t="s">
        <v>356</v>
      </c>
      <c r="Y29" s="1253"/>
      <c r="Z29" s="1253" t="s">
        <v>1213</v>
      </c>
      <c r="AA29" s="1254"/>
      <c r="AB29" s="1241"/>
      <c r="AC29" s="1245"/>
      <c r="AD29" s="1245"/>
      <c r="AE29" s="1245"/>
      <c r="AF29" s="1242"/>
    </row>
    <row r="30" spans="1:34" s="1243" customFormat="1" ht="21">
      <c r="AA30" s="1244"/>
      <c r="AB30" s="1241"/>
      <c r="AC30" s="1245"/>
      <c r="AD30" s="1245"/>
      <c r="AE30" s="1245"/>
      <c r="AF30" s="1242"/>
    </row>
    <row r="31" spans="1:34" s="1243" customFormat="1" ht="21">
      <c r="AA31" s="1244"/>
      <c r="AB31" s="1241"/>
      <c r="AC31" s="1245"/>
      <c r="AD31" s="1245"/>
      <c r="AE31" s="1245"/>
      <c r="AF31" s="1242"/>
    </row>
    <row r="32" spans="1:34" s="1243" customFormat="1" ht="21">
      <c r="B32" s="1707" t="s">
        <v>1630</v>
      </c>
      <c r="C32" s="1248">
        <v>320</v>
      </c>
      <c r="D32" s="1705" t="s">
        <v>1629</v>
      </c>
      <c r="E32" s="1248">
        <v>341</v>
      </c>
      <c r="F32" s="1705" t="s">
        <v>1628</v>
      </c>
      <c r="G32" s="1248">
        <v>309</v>
      </c>
      <c r="H32" s="1705" t="s">
        <v>1627</v>
      </c>
      <c r="I32" s="1248">
        <v>326</v>
      </c>
      <c r="J32" s="1707" t="s">
        <v>1635</v>
      </c>
      <c r="K32" s="1248">
        <v>325</v>
      </c>
      <c r="L32" s="1705"/>
      <c r="M32" s="1248">
        <v>340</v>
      </c>
      <c r="N32" s="1707" t="s">
        <v>1626</v>
      </c>
      <c r="O32" s="1248">
        <v>350</v>
      </c>
      <c r="P32" s="1705" t="s">
        <v>1625</v>
      </c>
      <c r="Q32" s="1248">
        <v>330</v>
      </c>
      <c r="R32" s="1701"/>
      <c r="S32" s="1248">
        <v>330</v>
      </c>
      <c r="T32" s="1705" t="s">
        <v>1624</v>
      </c>
      <c r="U32" s="1248">
        <v>369</v>
      </c>
      <c r="V32" s="1703"/>
      <c r="W32" s="1248">
        <v>375</v>
      </c>
      <c r="X32" s="1703"/>
      <c r="Y32" s="1248">
        <v>72</v>
      </c>
      <c r="Z32" s="1701"/>
      <c r="AA32" s="1255">
        <v>50</v>
      </c>
      <c r="AB32" s="1245">
        <f>SUM(C32:AA32)</f>
        <v>3837</v>
      </c>
      <c r="AC32" s="1245">
        <v>9</v>
      </c>
      <c r="AD32" s="1245">
        <v>9</v>
      </c>
      <c r="AE32" s="1245">
        <v>0</v>
      </c>
      <c r="AF32" s="1246">
        <v>0</v>
      </c>
      <c r="AG32" s="1243">
        <v>13</v>
      </c>
      <c r="AH32" s="1243">
        <f>AH23+AG32</f>
        <v>25</v>
      </c>
    </row>
    <row r="33" spans="1:34" s="1243" customFormat="1" ht="21">
      <c r="B33" s="1712"/>
      <c r="D33" s="1706"/>
      <c r="F33" s="1706"/>
      <c r="H33" s="1706"/>
      <c r="J33" s="1712"/>
      <c r="L33" s="1706"/>
      <c r="N33" s="1712"/>
      <c r="P33" s="1706"/>
      <c r="R33" s="1709"/>
      <c r="T33" s="1706"/>
      <c r="V33" s="1704"/>
      <c r="X33" s="1704"/>
      <c r="Z33" s="1709"/>
      <c r="AA33" s="1710" t="s">
        <v>1732</v>
      </c>
      <c r="AB33" s="1241"/>
      <c r="AC33" s="1241"/>
      <c r="AD33" s="1241"/>
      <c r="AE33" s="1241"/>
      <c r="AF33" s="1242"/>
    </row>
    <row r="34" spans="1:34" s="1243" customFormat="1" ht="21">
      <c r="B34" s="1243" t="s">
        <v>34</v>
      </c>
      <c r="D34" s="1243" t="s">
        <v>45</v>
      </c>
      <c r="F34" s="1243" t="s">
        <v>45</v>
      </c>
      <c r="H34" s="1243" t="s">
        <v>50</v>
      </c>
      <c r="J34" s="1243" t="s">
        <v>48</v>
      </c>
      <c r="L34" s="1243" t="s">
        <v>57</v>
      </c>
      <c r="N34" s="1243" t="s">
        <v>48</v>
      </c>
      <c r="P34" s="1243" t="s">
        <v>45</v>
      </c>
      <c r="R34" s="1243" t="s">
        <v>48</v>
      </c>
      <c r="T34" s="1243" t="s">
        <v>43</v>
      </c>
      <c r="V34" s="1243" t="s">
        <v>45</v>
      </c>
      <c r="X34" s="1243" t="s">
        <v>1181</v>
      </c>
      <c r="Z34" s="1243" t="s">
        <v>1214</v>
      </c>
      <c r="AA34" s="1711"/>
      <c r="AB34" s="1241"/>
      <c r="AC34" s="1245"/>
      <c r="AD34" s="1245"/>
      <c r="AE34" s="1245"/>
      <c r="AF34" s="1242"/>
    </row>
    <row r="35" spans="1:34" s="1243" customFormat="1" ht="21">
      <c r="R35" s="1252" t="s">
        <v>977</v>
      </c>
      <c r="V35" s="1250" t="s">
        <v>951</v>
      </c>
      <c r="X35" s="1250" t="s">
        <v>951</v>
      </c>
      <c r="Z35" s="1250" t="s">
        <v>951</v>
      </c>
      <c r="AA35" s="1256"/>
      <c r="AB35" s="1241"/>
      <c r="AC35" s="1245"/>
      <c r="AD35" s="1245"/>
      <c r="AE35" s="1245"/>
      <c r="AF35" s="1242"/>
    </row>
    <row r="36" spans="1:34" s="1243" customFormat="1" ht="21">
      <c r="A36" s="1253"/>
      <c r="B36" s="1253" t="s">
        <v>1215</v>
      </c>
      <c r="C36" s="1253"/>
      <c r="D36" s="1253" t="s">
        <v>364</v>
      </c>
      <c r="E36" s="1253"/>
      <c r="F36" s="1253" t="s">
        <v>371</v>
      </c>
      <c r="G36" s="1253"/>
      <c r="H36" s="1253" t="s">
        <v>70</v>
      </c>
      <c r="I36" s="1253"/>
      <c r="J36" s="1253" t="s">
        <v>1216</v>
      </c>
      <c r="K36" s="1253"/>
      <c r="L36" s="1253" t="s">
        <v>1217</v>
      </c>
      <c r="M36" s="1253"/>
      <c r="N36" s="1253" t="s">
        <v>393</v>
      </c>
      <c r="O36" s="1253"/>
      <c r="P36" s="1253" t="s">
        <v>416</v>
      </c>
      <c r="Q36" s="1253"/>
      <c r="R36" s="1253" t="s">
        <v>71</v>
      </c>
      <c r="S36" s="1253"/>
      <c r="T36" s="1253" t="s">
        <v>436</v>
      </c>
      <c r="U36" s="1253"/>
      <c r="V36" s="1253" t="s">
        <v>443</v>
      </c>
      <c r="W36" s="1253"/>
      <c r="X36" s="1253" t="s">
        <v>1218</v>
      </c>
      <c r="Y36" s="1253"/>
      <c r="Z36" s="1253" t="s">
        <v>1219</v>
      </c>
      <c r="AA36" s="1254"/>
      <c r="AB36" s="1241"/>
      <c r="AC36" s="1245"/>
      <c r="AD36" s="1245"/>
      <c r="AE36" s="1245"/>
      <c r="AF36" s="1242"/>
    </row>
    <row r="37" spans="1:34" s="1243" customFormat="1" ht="21">
      <c r="AA37" s="1244"/>
      <c r="AB37" s="1241"/>
      <c r="AC37" s="1245"/>
      <c r="AD37" s="1245"/>
      <c r="AE37" s="1245"/>
      <c r="AF37" s="1242"/>
    </row>
    <row r="38" spans="1:34" s="1243" customFormat="1" ht="21">
      <c r="AA38" s="1244"/>
      <c r="AB38" s="1241"/>
      <c r="AC38" s="1241"/>
      <c r="AD38" s="1241"/>
      <c r="AE38" s="1241"/>
      <c r="AF38" s="1242"/>
    </row>
    <row r="39" spans="1:34" s="1243" customFormat="1" ht="21">
      <c r="B39" s="1701"/>
      <c r="C39" s="1248">
        <v>48</v>
      </c>
      <c r="D39" s="1703"/>
      <c r="E39" s="1248">
        <v>263</v>
      </c>
      <c r="F39" s="1703"/>
      <c r="G39" s="1248">
        <v>231</v>
      </c>
      <c r="H39" s="1703"/>
      <c r="I39" s="1248">
        <v>84</v>
      </c>
      <c r="J39" s="1701"/>
      <c r="K39" s="1248">
        <v>50</v>
      </c>
      <c r="L39" s="1701"/>
      <c r="M39" s="1248">
        <v>56</v>
      </c>
      <c r="N39" s="1703"/>
      <c r="O39" s="1248">
        <v>333</v>
      </c>
      <c r="P39" s="1703"/>
      <c r="Q39" s="1248">
        <v>337</v>
      </c>
      <c r="R39" s="1703"/>
      <c r="S39" s="1248">
        <v>342</v>
      </c>
      <c r="T39" s="1703"/>
      <c r="U39" s="1248">
        <v>307</v>
      </c>
      <c r="V39" s="1703"/>
      <c r="W39" s="1248">
        <v>344</v>
      </c>
      <c r="X39" s="1701"/>
      <c r="Y39" s="1248">
        <v>265</v>
      </c>
      <c r="Z39" s="1701"/>
      <c r="AA39" s="1255">
        <v>265</v>
      </c>
      <c r="AB39" s="1245">
        <f>SUM(C39:AA39)</f>
        <v>2925</v>
      </c>
      <c r="AC39" s="1245">
        <v>0</v>
      </c>
      <c r="AD39" s="1245">
        <v>0</v>
      </c>
      <c r="AE39" s="1245">
        <v>0</v>
      </c>
      <c r="AF39" s="1246">
        <v>0</v>
      </c>
      <c r="AG39" s="1243">
        <v>13</v>
      </c>
      <c r="AH39" s="1243">
        <f>AH32+AG39</f>
        <v>38</v>
      </c>
    </row>
    <row r="40" spans="1:34" s="1243" customFormat="1" ht="21">
      <c r="B40" s="1709"/>
      <c r="D40" s="1704"/>
      <c r="F40" s="1704"/>
      <c r="H40" s="1704"/>
      <c r="J40" s="1709"/>
      <c r="K40" s="1717" t="s">
        <v>1718</v>
      </c>
      <c r="L40" s="1709"/>
      <c r="N40" s="1704"/>
      <c r="P40" s="1704"/>
      <c r="R40" s="1704"/>
      <c r="T40" s="1704"/>
      <c r="V40" s="1704"/>
      <c r="X40" s="1709"/>
      <c r="Z40" s="1709"/>
      <c r="AA40" s="1244"/>
      <c r="AB40" s="1245"/>
      <c r="AC40" s="1245"/>
      <c r="AD40" s="1245"/>
      <c r="AE40" s="1245"/>
      <c r="AF40" s="1246"/>
    </row>
    <row r="41" spans="1:34" s="1243" customFormat="1" ht="21">
      <c r="B41" s="1243" t="s">
        <v>1214</v>
      </c>
      <c r="D41" s="1243" t="s">
        <v>1181</v>
      </c>
      <c r="F41" s="1243" t="s">
        <v>43</v>
      </c>
      <c r="H41" s="1243" t="s">
        <v>1181</v>
      </c>
      <c r="J41" s="1243" t="s">
        <v>1214</v>
      </c>
      <c r="K41" s="1718"/>
      <c r="L41" s="1243" t="s">
        <v>1214</v>
      </c>
      <c r="N41" s="1243" t="s">
        <v>1181</v>
      </c>
      <c r="P41" s="1243" t="s">
        <v>45</v>
      </c>
      <c r="R41" s="1243" t="s">
        <v>1175</v>
      </c>
      <c r="T41" s="1243" t="s">
        <v>43</v>
      </c>
      <c r="V41" s="1243" t="s">
        <v>45</v>
      </c>
      <c r="X41" s="1243" t="s">
        <v>49</v>
      </c>
      <c r="Z41" s="1243" t="s">
        <v>48</v>
      </c>
      <c r="AA41" s="1244"/>
      <c r="AB41" s="1241"/>
      <c r="AC41" s="1245"/>
      <c r="AD41" s="1245"/>
      <c r="AE41" s="1245"/>
      <c r="AF41" s="1242"/>
    </row>
    <row r="42" spans="1:34" s="1243" customFormat="1" ht="21.75" customHeight="1">
      <c r="A42" s="1247"/>
      <c r="B42" s="1250" t="s">
        <v>951</v>
      </c>
      <c r="C42" s="1247"/>
      <c r="D42" s="1250" t="s">
        <v>951</v>
      </c>
      <c r="E42" s="1247"/>
      <c r="F42" s="1250" t="s">
        <v>951</v>
      </c>
      <c r="G42" s="1247"/>
      <c r="H42" s="1247"/>
      <c r="I42" s="1247"/>
      <c r="J42" s="1247"/>
      <c r="K42" s="1719"/>
      <c r="L42" s="1247"/>
      <c r="M42" s="1247"/>
      <c r="N42" s="1247"/>
      <c r="O42" s="1247"/>
      <c r="P42" s="1247"/>
      <c r="Q42" s="1247"/>
      <c r="R42" s="1247"/>
      <c r="S42" s="1247"/>
      <c r="T42" s="1247"/>
      <c r="U42" s="1247"/>
      <c r="V42" s="1247"/>
      <c r="W42" s="1247"/>
      <c r="X42" s="1252" t="s">
        <v>977</v>
      </c>
      <c r="Y42" s="1247"/>
      <c r="Z42" s="1252" t="s">
        <v>977</v>
      </c>
      <c r="AA42" s="1249"/>
      <c r="AB42" s="1241"/>
      <c r="AC42" s="1245"/>
      <c r="AD42" s="1245"/>
      <c r="AE42" s="1245"/>
      <c r="AF42" s="1242"/>
    </row>
    <row r="43" spans="1:34" s="1243" customFormat="1" ht="21">
      <c r="A43" s="1253"/>
      <c r="B43" s="1253" t="s">
        <v>457</v>
      </c>
      <c r="C43" s="1253"/>
      <c r="D43" s="1253" t="s">
        <v>73</v>
      </c>
      <c r="E43" s="1253"/>
      <c r="F43" s="1253" t="s">
        <v>1168</v>
      </c>
      <c r="G43" s="1253"/>
      <c r="H43" s="1253" t="s">
        <v>1206</v>
      </c>
      <c r="I43" s="1253"/>
      <c r="J43" s="1253" t="s">
        <v>44</v>
      </c>
      <c r="K43" s="1253"/>
      <c r="L43" s="1253" t="s">
        <v>40</v>
      </c>
      <c r="M43" s="1253"/>
      <c r="N43" s="1253" t="s">
        <v>1182</v>
      </c>
      <c r="O43" s="1253"/>
      <c r="P43" s="1253" t="s">
        <v>1220</v>
      </c>
      <c r="Q43" s="1253"/>
      <c r="R43" s="1253" t="s">
        <v>1221</v>
      </c>
      <c r="S43" s="1253"/>
      <c r="T43" s="1253" t="s">
        <v>1222</v>
      </c>
      <c r="U43" s="1253"/>
      <c r="V43" s="1253" t="s">
        <v>1223</v>
      </c>
      <c r="W43" s="1253"/>
      <c r="X43" s="1253" t="s">
        <v>74</v>
      </c>
      <c r="Y43" s="1253"/>
      <c r="Z43" s="1253" t="s">
        <v>54</v>
      </c>
      <c r="AA43" s="1254"/>
      <c r="AB43" s="1241"/>
      <c r="AC43" s="1241"/>
      <c r="AD43" s="1241"/>
      <c r="AE43" s="1241"/>
      <c r="AF43" s="1242"/>
    </row>
    <row r="44" spans="1:34" s="1243" customFormat="1" ht="21">
      <c r="AA44" s="1244"/>
      <c r="AB44" s="1241"/>
      <c r="AC44" s="1241"/>
      <c r="AD44" s="1241"/>
      <c r="AE44" s="1241"/>
      <c r="AF44" s="1242"/>
    </row>
    <row r="45" spans="1:34" s="1243" customFormat="1" ht="21">
      <c r="AA45" s="1244"/>
      <c r="AB45" s="1245"/>
      <c r="AC45" s="1245"/>
      <c r="AD45" s="1245"/>
      <c r="AE45" s="1245"/>
      <c r="AF45" s="1246"/>
    </row>
    <row r="46" spans="1:34" s="1243" customFormat="1" ht="21">
      <c r="B46" s="1703"/>
      <c r="C46" s="1248">
        <v>335</v>
      </c>
      <c r="D46" s="1703"/>
      <c r="E46" s="1248">
        <v>308</v>
      </c>
      <c r="F46" s="1713"/>
      <c r="G46" s="1248">
        <v>293</v>
      </c>
      <c r="H46" s="1713"/>
      <c r="I46" s="1248">
        <v>290</v>
      </c>
      <c r="J46" s="1705" t="s">
        <v>1623</v>
      </c>
      <c r="K46" s="1248">
        <v>329</v>
      </c>
      <c r="L46" s="1705" t="s">
        <v>1622</v>
      </c>
      <c r="M46" s="1248">
        <v>320</v>
      </c>
      <c r="N46" s="1715" t="s">
        <v>1619</v>
      </c>
      <c r="O46" s="1248">
        <v>318</v>
      </c>
      <c r="P46" s="1701"/>
      <c r="Q46" s="1248">
        <v>325</v>
      </c>
      <c r="R46" s="1701"/>
      <c r="S46" s="1248">
        <v>340</v>
      </c>
      <c r="T46" s="1701"/>
      <c r="U46" s="1248">
        <v>335</v>
      </c>
      <c r="V46" s="1701"/>
      <c r="W46" s="1248">
        <v>340</v>
      </c>
      <c r="X46" s="1703"/>
      <c r="Y46" s="1248">
        <v>332</v>
      </c>
      <c r="Z46" s="1713"/>
      <c r="AA46" s="1255">
        <v>325</v>
      </c>
      <c r="AB46" s="1245">
        <f>SUM(C46:AA46)</f>
        <v>4190</v>
      </c>
      <c r="AC46" s="1245">
        <v>6</v>
      </c>
      <c r="AD46" s="1245">
        <v>6</v>
      </c>
      <c r="AE46" s="1245">
        <v>0</v>
      </c>
      <c r="AF46" s="1246">
        <v>0</v>
      </c>
      <c r="AG46" s="1243">
        <v>13</v>
      </c>
      <c r="AH46" s="1243">
        <f>AH39+AG46</f>
        <v>51</v>
      </c>
    </row>
    <row r="47" spans="1:34" s="1243" customFormat="1" ht="21">
      <c r="B47" s="1704"/>
      <c r="D47" s="1704"/>
      <c r="F47" s="1714"/>
      <c r="H47" s="1714"/>
      <c r="J47" s="1706"/>
      <c r="L47" s="1706"/>
      <c r="N47" s="1716"/>
      <c r="P47" s="1709"/>
      <c r="R47" s="1709"/>
      <c r="T47" s="1709"/>
      <c r="V47" s="1709"/>
      <c r="X47" s="1704"/>
      <c r="Z47" s="1714"/>
      <c r="AA47" s="1244"/>
      <c r="AB47" s="1241"/>
      <c r="AC47" s="1245"/>
      <c r="AD47" s="1245"/>
      <c r="AE47" s="1245"/>
      <c r="AF47" s="1242"/>
    </row>
    <row r="48" spans="1:34" s="1243" customFormat="1" ht="21">
      <c r="B48" s="1243" t="s">
        <v>57</v>
      </c>
      <c r="D48" s="1243" t="s">
        <v>1181</v>
      </c>
      <c r="F48" s="1243" t="s">
        <v>1181</v>
      </c>
      <c r="H48" s="1243" t="s">
        <v>50</v>
      </c>
      <c r="J48" s="1243" t="s">
        <v>43</v>
      </c>
      <c r="L48" s="1243" t="s">
        <v>39</v>
      </c>
      <c r="N48" s="1243" t="s">
        <v>34</v>
      </c>
      <c r="P48" s="1243" t="s">
        <v>34</v>
      </c>
      <c r="R48" s="1243" t="s">
        <v>48</v>
      </c>
      <c r="T48" s="1243" t="s">
        <v>48</v>
      </c>
      <c r="V48" s="1243" t="s">
        <v>32</v>
      </c>
      <c r="X48" s="1243" t="s">
        <v>53</v>
      </c>
      <c r="Z48" s="1243" t="s">
        <v>53</v>
      </c>
      <c r="AA48" s="1244"/>
      <c r="AB48" s="1241"/>
      <c r="AC48" s="1241"/>
      <c r="AD48" s="1241"/>
      <c r="AE48" s="1241"/>
      <c r="AF48" s="1242"/>
    </row>
    <row r="49" spans="1:35" s="1243" customFormat="1" ht="21">
      <c r="A49" s="1247"/>
      <c r="B49" s="1252" t="s">
        <v>977</v>
      </c>
      <c r="C49" s="1247"/>
      <c r="D49" s="1252" t="s">
        <v>977</v>
      </c>
      <c r="E49" s="1247"/>
      <c r="F49" s="1247"/>
      <c r="G49" s="1247"/>
      <c r="H49" s="1247"/>
      <c r="I49" s="1247"/>
      <c r="J49" s="1247"/>
      <c r="K49" s="1247"/>
      <c r="L49" s="1247"/>
      <c r="M49" s="1247"/>
      <c r="N49" s="1247"/>
      <c r="O49" s="1247"/>
      <c r="P49" s="1250" t="s">
        <v>951</v>
      </c>
      <c r="Q49" s="1247"/>
      <c r="R49" s="1250" t="s">
        <v>951</v>
      </c>
      <c r="S49" s="1247"/>
      <c r="T49" s="1250" t="s">
        <v>951</v>
      </c>
      <c r="U49" s="1247"/>
      <c r="V49" s="1250" t="s">
        <v>951</v>
      </c>
      <c r="W49" s="1247"/>
      <c r="X49" s="1247"/>
      <c r="Y49" s="1247"/>
      <c r="Z49" s="1247"/>
      <c r="AA49" s="1249"/>
      <c r="AB49" s="1241"/>
      <c r="AC49" s="1241"/>
      <c r="AD49" s="1241"/>
      <c r="AE49" s="1241"/>
      <c r="AF49" s="1242"/>
    </row>
    <row r="50" spans="1:35" s="1243" customFormat="1" ht="21">
      <c r="A50" s="1253"/>
      <c r="B50" s="1253" t="s">
        <v>704</v>
      </c>
      <c r="C50" s="1253"/>
      <c r="D50" s="1253" t="s">
        <v>75</v>
      </c>
      <c r="E50" s="1253"/>
      <c r="F50" s="1253" t="s">
        <v>689</v>
      </c>
      <c r="G50" s="1253"/>
      <c r="H50" s="1253" t="s">
        <v>51</v>
      </c>
      <c r="I50" s="1253"/>
      <c r="J50" s="1253" t="s">
        <v>1224</v>
      </c>
      <c r="K50" s="1253"/>
      <c r="L50" s="1253" t="s">
        <v>1225</v>
      </c>
      <c r="M50" s="1253"/>
      <c r="N50" s="1253" t="s">
        <v>76</v>
      </c>
      <c r="O50" s="1253"/>
      <c r="P50" s="1253" t="s">
        <v>1226</v>
      </c>
      <c r="Q50" s="1253"/>
      <c r="R50" s="1253" t="s">
        <v>1227</v>
      </c>
      <c r="S50" s="1253"/>
      <c r="T50" s="1253" t="s">
        <v>1228</v>
      </c>
      <c r="U50" s="1253"/>
      <c r="V50" s="1253" t="s">
        <v>1229</v>
      </c>
      <c r="W50" s="1253"/>
      <c r="X50" s="1253" t="s">
        <v>1667</v>
      </c>
      <c r="Y50" s="1253"/>
      <c r="Z50" s="1253" t="s">
        <v>1668</v>
      </c>
      <c r="AA50" s="1254"/>
      <c r="AB50" s="1245"/>
      <c r="AC50" s="1245"/>
      <c r="AD50" s="1245"/>
      <c r="AE50" s="1245"/>
      <c r="AF50" s="1246"/>
    </row>
    <row r="51" spans="1:35" s="1243" customFormat="1" ht="21">
      <c r="AA51" s="1244"/>
      <c r="AB51" s="1241"/>
      <c r="AC51" s="1245"/>
      <c r="AD51" s="1245"/>
      <c r="AE51" s="1245"/>
      <c r="AF51" s="1242"/>
    </row>
    <row r="52" spans="1:35" s="1243" customFormat="1" ht="21">
      <c r="AA52" s="1244"/>
      <c r="AB52" s="1241"/>
      <c r="AC52" s="1245"/>
      <c r="AD52" s="1245"/>
      <c r="AE52" s="1245"/>
      <c r="AF52" s="1242"/>
    </row>
    <row r="53" spans="1:35" s="1243" customFormat="1" ht="21">
      <c r="B53" s="1703"/>
      <c r="C53" s="1248">
        <v>350</v>
      </c>
      <c r="D53" s="1703"/>
      <c r="E53" s="1248">
        <v>344</v>
      </c>
      <c r="F53" s="1703"/>
      <c r="G53" s="1248">
        <v>343</v>
      </c>
      <c r="H53" s="1705" t="s">
        <v>1621</v>
      </c>
      <c r="I53" s="1248">
        <v>334</v>
      </c>
      <c r="J53" s="1720" t="s">
        <v>2043</v>
      </c>
      <c r="K53" s="1248">
        <v>350</v>
      </c>
      <c r="L53" s="1701"/>
      <c r="M53" s="1248">
        <v>350</v>
      </c>
      <c r="N53" s="1703"/>
      <c r="O53" s="1248">
        <v>345</v>
      </c>
      <c r="P53" s="1701"/>
      <c r="Q53" s="1248">
        <v>348</v>
      </c>
      <c r="R53" s="1701"/>
      <c r="S53" s="1248">
        <v>340</v>
      </c>
      <c r="T53" s="1701"/>
      <c r="U53" s="1248">
        <v>315</v>
      </c>
      <c r="V53" s="1701"/>
      <c r="W53" s="1248">
        <v>315</v>
      </c>
      <c r="X53" s="1703"/>
      <c r="Y53" s="1248">
        <v>206</v>
      </c>
      <c r="Z53" s="1701"/>
      <c r="AA53" s="1255">
        <v>280.45999999999998</v>
      </c>
      <c r="AB53" s="1245">
        <f>SUM(C53:AA53)</f>
        <v>4220.46</v>
      </c>
      <c r="AC53" s="1245">
        <v>1</v>
      </c>
      <c r="AD53" s="1245">
        <v>1</v>
      </c>
      <c r="AE53" s="1245">
        <v>0</v>
      </c>
      <c r="AF53" s="1246">
        <v>0</v>
      </c>
      <c r="AG53" s="1243">
        <v>13</v>
      </c>
      <c r="AH53" s="1243">
        <f>AH46+AG53</f>
        <v>64</v>
      </c>
      <c r="AI53" s="1257">
        <f>AB23+AB32+AB39+AB46+AB53-AA53-Y53</f>
        <v>19091</v>
      </c>
    </row>
    <row r="54" spans="1:35" s="1243" customFormat="1" ht="21">
      <c r="B54" s="1704"/>
      <c r="D54" s="1704"/>
      <c r="F54" s="1704"/>
      <c r="H54" s="1706"/>
      <c r="J54" s="1721"/>
      <c r="L54" s="1709"/>
      <c r="N54" s="1704"/>
      <c r="P54" s="1709"/>
      <c r="R54" s="1709"/>
      <c r="T54" s="1709"/>
      <c r="V54" s="1709"/>
      <c r="X54" s="1704"/>
      <c r="Z54" s="1709"/>
      <c r="AA54" s="1244"/>
      <c r="AB54" s="1241"/>
      <c r="AC54" s="1245"/>
      <c r="AD54" s="1245"/>
      <c r="AE54" s="1245"/>
      <c r="AF54" s="1242"/>
    </row>
    <row r="55" spans="1:35" s="1243" customFormat="1" ht="21">
      <c r="B55" s="1243" t="s">
        <v>50</v>
      </c>
      <c r="D55" s="1243" t="s">
        <v>50</v>
      </c>
      <c r="F55" s="1243" t="s">
        <v>50</v>
      </c>
      <c r="H55" s="1243" t="s">
        <v>50</v>
      </c>
      <c r="J55" s="1243" t="s">
        <v>32</v>
      </c>
      <c r="L55" s="1243" t="s">
        <v>34</v>
      </c>
      <c r="N55" s="1243" t="s">
        <v>50</v>
      </c>
      <c r="P55" s="1243" t="s">
        <v>32</v>
      </c>
      <c r="R55" s="1243" t="s">
        <v>32</v>
      </c>
      <c r="T55" s="1243" t="s">
        <v>34</v>
      </c>
      <c r="V55" s="1243" t="s">
        <v>34</v>
      </c>
      <c r="X55" s="1243" t="s">
        <v>53</v>
      </c>
      <c r="Z55" s="1243" t="s">
        <v>34</v>
      </c>
      <c r="AA55" s="1244"/>
      <c r="AB55" s="1241"/>
      <c r="AC55" s="1241"/>
      <c r="AD55" s="1241"/>
      <c r="AE55" s="1241"/>
      <c r="AF55" s="1242"/>
    </row>
    <row r="56" spans="1:35" s="1243" customFormat="1" ht="21">
      <c r="A56" s="1247"/>
      <c r="B56" s="1252" t="s">
        <v>977</v>
      </c>
      <c r="C56" s="1247"/>
      <c r="D56" s="1247"/>
      <c r="E56" s="1247"/>
      <c r="F56" s="1247"/>
      <c r="G56" s="1247"/>
      <c r="H56" s="1247"/>
      <c r="I56" s="1247"/>
      <c r="J56" s="1252" t="s">
        <v>977</v>
      </c>
      <c r="K56" s="1247"/>
      <c r="L56" s="1252" t="s">
        <v>977</v>
      </c>
      <c r="M56" s="1247"/>
      <c r="N56" s="1252" t="s">
        <v>977</v>
      </c>
      <c r="O56" s="1247"/>
      <c r="P56" s="1247"/>
      <c r="Q56" s="1247"/>
      <c r="R56" s="1252" t="s">
        <v>977</v>
      </c>
      <c r="S56" s="1247"/>
      <c r="T56" s="1247"/>
      <c r="U56" s="1247"/>
      <c r="V56" s="1247"/>
      <c r="W56" s="1247"/>
      <c r="X56" s="1250" t="s">
        <v>951</v>
      </c>
      <c r="Y56" s="1247"/>
      <c r="Z56" s="1250" t="s">
        <v>951</v>
      </c>
      <c r="AA56" s="1249"/>
      <c r="AB56" s="1245"/>
      <c r="AC56" s="1245"/>
      <c r="AD56" s="1245"/>
      <c r="AE56" s="1245"/>
      <c r="AF56" s="1246"/>
    </row>
    <row r="57" spans="1:35" s="1243" customFormat="1" ht="21">
      <c r="A57" s="1253"/>
      <c r="B57" s="1253" t="s">
        <v>1672</v>
      </c>
      <c r="C57" s="1253"/>
      <c r="D57" s="1253" t="s">
        <v>1673</v>
      </c>
      <c r="E57" s="1253"/>
      <c r="F57" s="1253" t="s">
        <v>1674</v>
      </c>
      <c r="G57" s="1253"/>
      <c r="H57" s="1253" t="s">
        <v>1669</v>
      </c>
      <c r="I57" s="1253"/>
      <c r="J57" s="1253" t="s">
        <v>1670</v>
      </c>
      <c r="K57" s="1253"/>
      <c r="L57" s="1253" t="s">
        <v>1671</v>
      </c>
      <c r="M57" s="1253"/>
      <c r="N57" s="1253" t="s">
        <v>77</v>
      </c>
      <c r="O57" s="1253"/>
      <c r="P57" s="1253" t="s">
        <v>1230</v>
      </c>
      <c r="Q57" s="1253"/>
      <c r="R57" s="1253" t="s">
        <v>1231</v>
      </c>
      <c r="S57" s="1253"/>
      <c r="T57" s="1253" t="s">
        <v>1661</v>
      </c>
      <c r="U57" s="1253"/>
      <c r="V57" s="1253" t="s">
        <v>1662</v>
      </c>
      <c r="W57" s="1253"/>
      <c r="X57" s="1253" t="s">
        <v>78</v>
      </c>
      <c r="Y57" s="1253"/>
      <c r="Z57" s="1253" t="s">
        <v>1663</v>
      </c>
      <c r="AA57" s="1254"/>
      <c r="AB57" s="1241"/>
      <c r="AC57" s="1241"/>
      <c r="AD57" s="1241"/>
      <c r="AE57" s="1241"/>
      <c r="AF57" s="1242"/>
    </row>
    <row r="58" spans="1:35" s="1243" customFormat="1" ht="21">
      <c r="AA58" s="1244"/>
      <c r="AB58" s="1245"/>
      <c r="AC58" s="1245"/>
      <c r="AD58" s="1245"/>
      <c r="AE58" s="1245"/>
      <c r="AF58" s="1246"/>
    </row>
    <row r="59" spans="1:35" s="1243" customFormat="1" ht="21">
      <c r="AA59" s="1244"/>
      <c r="AB59" s="1241"/>
      <c r="AC59" s="1245"/>
      <c r="AD59" s="1245"/>
      <c r="AE59" s="1245"/>
      <c r="AF59" s="1242"/>
    </row>
    <row r="60" spans="1:35" s="1243" customFormat="1" ht="21">
      <c r="B60" s="1703"/>
      <c r="C60" s="1258">
        <v>274.06</v>
      </c>
      <c r="D60" s="1703"/>
      <c r="E60" s="1248">
        <v>215.58</v>
      </c>
      <c r="F60" s="1703"/>
      <c r="G60" s="1248">
        <v>342.41</v>
      </c>
      <c r="H60" s="1703"/>
      <c r="I60" s="1258">
        <v>308</v>
      </c>
      <c r="J60" s="1701"/>
      <c r="K60" s="1258">
        <v>308</v>
      </c>
      <c r="L60" s="1701"/>
      <c r="M60" s="1258">
        <v>290.87</v>
      </c>
      <c r="N60" s="1703"/>
      <c r="O60" s="1258">
        <v>353</v>
      </c>
      <c r="P60" s="1701"/>
      <c r="Q60" s="1258">
        <v>345</v>
      </c>
      <c r="R60" s="1701"/>
      <c r="S60" s="1258">
        <v>344</v>
      </c>
      <c r="T60" s="1701"/>
      <c r="U60" s="1258">
        <v>351</v>
      </c>
      <c r="V60" s="1701"/>
      <c r="W60" s="1258">
        <v>256.64999999999998</v>
      </c>
      <c r="X60" s="1703"/>
      <c r="Y60" s="1258">
        <v>306</v>
      </c>
      <c r="Z60" s="1701"/>
      <c r="AA60" s="1255">
        <v>353</v>
      </c>
      <c r="AB60" s="1245">
        <f>SUM(C60:AA60)</f>
        <v>4047.57</v>
      </c>
      <c r="AC60" s="1245">
        <v>0</v>
      </c>
      <c r="AD60" s="1245">
        <v>0</v>
      </c>
      <c r="AE60" s="1245">
        <v>0</v>
      </c>
      <c r="AF60" s="1246">
        <v>0</v>
      </c>
      <c r="AG60" s="1243">
        <v>13</v>
      </c>
      <c r="AH60" s="1243">
        <f>AH53+AG60</f>
        <v>77</v>
      </c>
    </row>
    <row r="61" spans="1:35" s="1243" customFormat="1" ht="21">
      <c r="B61" s="1704"/>
      <c r="D61" s="1704"/>
      <c r="F61" s="1704"/>
      <c r="H61" s="1704"/>
      <c r="J61" s="1709"/>
      <c r="L61" s="1709"/>
      <c r="N61" s="1704"/>
      <c r="P61" s="1709"/>
      <c r="R61" s="1709"/>
      <c r="T61" s="1709"/>
      <c r="V61" s="1709"/>
      <c r="X61" s="1704"/>
      <c r="Z61" s="1709"/>
      <c r="AA61" s="1244"/>
      <c r="AB61" s="1241"/>
      <c r="AC61" s="1245"/>
      <c r="AD61" s="1245"/>
      <c r="AE61" s="1245"/>
      <c r="AF61" s="1242"/>
    </row>
    <row r="62" spans="1:35" s="1243" customFormat="1" ht="21">
      <c r="B62" s="1259" t="s">
        <v>53</v>
      </c>
      <c r="D62" s="1259" t="s">
        <v>1181</v>
      </c>
      <c r="F62" s="1259" t="s">
        <v>45</v>
      </c>
      <c r="H62" s="1243" t="s">
        <v>43</v>
      </c>
      <c r="J62" s="1243" t="s">
        <v>32</v>
      </c>
      <c r="L62" s="1243" t="s">
        <v>48</v>
      </c>
      <c r="N62" s="1243" t="s">
        <v>45</v>
      </c>
      <c r="P62" s="1243" t="s">
        <v>48</v>
      </c>
      <c r="R62" s="1243" t="s">
        <v>34</v>
      </c>
      <c r="T62" s="1243" t="s">
        <v>32</v>
      </c>
      <c r="V62" s="1243" t="s">
        <v>34</v>
      </c>
      <c r="X62" s="1243" t="s">
        <v>43</v>
      </c>
      <c r="Z62" s="1243" t="s">
        <v>48</v>
      </c>
      <c r="AA62" s="1244"/>
      <c r="AB62" s="1241"/>
      <c r="AC62" s="1245"/>
      <c r="AD62" s="1245"/>
      <c r="AE62" s="1245"/>
      <c r="AF62" s="1242"/>
    </row>
    <row r="63" spans="1:35" s="1243" customFormat="1" ht="21">
      <c r="B63" s="1250" t="s">
        <v>951</v>
      </c>
      <c r="D63" s="1250" t="s">
        <v>951</v>
      </c>
      <c r="F63" s="1250" t="s">
        <v>951</v>
      </c>
      <c r="H63" s="1250" t="s">
        <v>951</v>
      </c>
      <c r="I63" s="1247"/>
      <c r="J63" s="1247"/>
      <c r="K63" s="1247"/>
      <c r="L63" s="1247"/>
      <c r="M63" s="1247"/>
      <c r="N63" s="1247"/>
      <c r="O63" s="1247"/>
      <c r="P63" s="1247"/>
      <c r="Q63" s="1247"/>
      <c r="R63" s="1247"/>
      <c r="S63" s="1247"/>
      <c r="T63" s="1247"/>
      <c r="U63" s="1247"/>
      <c r="V63" s="1260" t="s">
        <v>1002</v>
      </c>
      <c r="W63" s="1247"/>
      <c r="X63" s="1260" t="s">
        <v>1002</v>
      </c>
      <c r="Y63" s="1247"/>
      <c r="Z63" s="1247"/>
      <c r="AA63" s="1249"/>
      <c r="AB63" s="1241"/>
      <c r="AC63" s="1241"/>
      <c r="AD63" s="1241"/>
      <c r="AE63" s="1241"/>
      <c r="AF63" s="1242"/>
    </row>
    <row r="64" spans="1:35" s="1243" customFormat="1" ht="21">
      <c r="A64" s="1253"/>
      <c r="B64" s="1253" t="s">
        <v>1664</v>
      </c>
      <c r="C64" s="1253"/>
      <c r="D64" s="1253" t="s">
        <v>1665</v>
      </c>
      <c r="E64" s="1253"/>
      <c r="F64" s="1253" t="s">
        <v>1666</v>
      </c>
      <c r="G64" s="1253"/>
      <c r="H64" s="1253" t="s">
        <v>1675</v>
      </c>
      <c r="I64" s="1253"/>
      <c r="J64" s="1253" t="s">
        <v>1676</v>
      </c>
      <c r="K64" s="1253"/>
      <c r="L64" s="1253" t="s">
        <v>1677</v>
      </c>
      <c r="M64" s="1253"/>
      <c r="N64" s="1253" t="s">
        <v>1678</v>
      </c>
      <c r="O64" s="1253"/>
      <c r="P64" s="1253" t="s">
        <v>1679</v>
      </c>
      <c r="Q64" s="1253"/>
      <c r="R64" s="1253" t="s">
        <v>1680</v>
      </c>
      <c r="S64" s="1253"/>
      <c r="T64" s="1253" t="s">
        <v>1681</v>
      </c>
      <c r="U64" s="1253"/>
      <c r="V64" s="1253" t="s">
        <v>1682</v>
      </c>
      <c r="W64" s="1253"/>
      <c r="X64" s="1253" t="s">
        <v>1683</v>
      </c>
      <c r="Y64" s="1253"/>
      <c r="Z64" s="1253" t="s">
        <v>1684</v>
      </c>
      <c r="AA64" s="1254"/>
      <c r="AB64" s="1241"/>
      <c r="AC64" s="1245"/>
      <c r="AD64" s="1245"/>
      <c r="AE64" s="1245"/>
      <c r="AF64" s="1242"/>
    </row>
    <row r="65" spans="1:34" s="1243" customFormat="1" ht="21">
      <c r="AA65" s="1244"/>
      <c r="AB65" s="1241"/>
      <c r="AC65" s="1245"/>
      <c r="AD65" s="1245"/>
      <c r="AE65" s="1245"/>
      <c r="AF65" s="1242"/>
    </row>
    <row r="66" spans="1:34" s="1243" customFormat="1" ht="21">
      <c r="AA66" s="1244"/>
      <c r="AB66" s="1241"/>
      <c r="AC66" s="1245"/>
      <c r="AD66" s="1245"/>
      <c r="AE66" s="1245"/>
      <c r="AF66" s="1242"/>
    </row>
    <row r="67" spans="1:34" s="1243" customFormat="1" ht="21">
      <c r="B67" s="1701"/>
      <c r="C67" s="1258">
        <v>340</v>
      </c>
      <c r="D67" s="1701"/>
      <c r="E67" s="1258">
        <v>349.73</v>
      </c>
      <c r="F67" s="1701"/>
      <c r="G67" s="1258">
        <v>290</v>
      </c>
      <c r="H67" s="1701"/>
      <c r="I67" s="1258">
        <v>334</v>
      </c>
      <c r="J67" s="1701"/>
      <c r="K67" s="1258">
        <v>345.07</v>
      </c>
      <c r="L67" s="1703"/>
      <c r="M67" s="1258">
        <v>337.23</v>
      </c>
      <c r="N67" s="1703"/>
      <c r="O67" s="1258">
        <v>289</v>
      </c>
      <c r="P67" s="1701"/>
      <c r="Q67" s="1258">
        <v>253.12</v>
      </c>
      <c r="R67" s="1703"/>
      <c r="S67" s="1258">
        <v>336.03</v>
      </c>
      <c r="T67" s="1703"/>
      <c r="U67" s="1258">
        <v>345.27</v>
      </c>
      <c r="V67" s="1703"/>
      <c r="W67" s="1258">
        <v>430.26</v>
      </c>
      <c r="X67" s="1713"/>
      <c r="Y67" s="1258">
        <v>316</v>
      </c>
      <c r="Z67" s="1722"/>
      <c r="AA67" s="1255">
        <v>280</v>
      </c>
      <c r="AB67" s="1245">
        <f>SUM(C67:AA67)</f>
        <v>4245.7099999999991</v>
      </c>
      <c r="AC67" s="1245">
        <v>2</v>
      </c>
      <c r="AD67" s="1245">
        <v>0</v>
      </c>
      <c r="AE67" s="1245">
        <v>2</v>
      </c>
      <c r="AF67" s="1246">
        <v>0</v>
      </c>
      <c r="AG67" s="1243">
        <v>13</v>
      </c>
      <c r="AH67" s="1243">
        <f>AH60+AG67</f>
        <v>90</v>
      </c>
    </row>
    <row r="68" spans="1:34" s="1243" customFormat="1" ht="21">
      <c r="B68" s="1709"/>
      <c r="D68" s="1709"/>
      <c r="F68" s="1709"/>
      <c r="H68" s="1709"/>
      <c r="J68" s="1709"/>
      <c r="L68" s="1704"/>
      <c r="N68" s="1704"/>
      <c r="P68" s="1709"/>
      <c r="R68" s="1704"/>
      <c r="T68" s="1704"/>
      <c r="V68" s="1704"/>
      <c r="X68" s="1714"/>
      <c r="Z68" s="1723"/>
      <c r="AA68" s="1244"/>
      <c r="AB68" s="1241"/>
      <c r="AC68" s="1241"/>
      <c r="AD68" s="1241"/>
      <c r="AE68" s="1241"/>
      <c r="AF68" s="1242"/>
    </row>
    <row r="69" spans="1:34" s="1243" customFormat="1" ht="21">
      <c r="B69" s="1243" t="s">
        <v>34</v>
      </c>
      <c r="D69" s="1243" t="s">
        <v>49</v>
      </c>
      <c r="F69" s="1243" t="s">
        <v>50</v>
      </c>
      <c r="H69" s="1243" t="s">
        <v>32</v>
      </c>
      <c r="J69" s="1243" t="s">
        <v>48</v>
      </c>
      <c r="L69" s="1243" t="s">
        <v>45</v>
      </c>
      <c r="N69" s="1243" t="s">
        <v>45</v>
      </c>
      <c r="P69" s="1243" t="s">
        <v>34</v>
      </c>
      <c r="R69" s="1243" t="s">
        <v>1181</v>
      </c>
      <c r="T69" s="1243" t="s">
        <v>45</v>
      </c>
      <c r="V69" s="1243" t="s">
        <v>39</v>
      </c>
      <c r="X69" s="1243" t="s">
        <v>50</v>
      </c>
      <c r="Z69" s="1243" t="s">
        <v>32</v>
      </c>
      <c r="AA69" s="1244"/>
      <c r="AB69" s="1241"/>
      <c r="AC69" s="1245"/>
      <c r="AD69" s="1245"/>
      <c r="AE69" s="1245"/>
      <c r="AF69" s="1242"/>
    </row>
    <row r="70" spans="1:34" s="1243" customFormat="1" ht="21">
      <c r="A70" s="1247"/>
      <c r="B70" s="1247"/>
      <c r="C70" s="1247"/>
      <c r="D70" s="1260"/>
      <c r="E70" s="1247"/>
      <c r="F70" s="1260"/>
      <c r="G70" s="1247"/>
      <c r="H70" s="1247"/>
      <c r="I70" s="1247"/>
      <c r="J70" s="1247"/>
      <c r="K70" s="1247"/>
      <c r="L70" s="1247"/>
      <c r="M70" s="1247"/>
      <c r="N70" s="1260" t="s">
        <v>1002</v>
      </c>
      <c r="O70" s="1247"/>
      <c r="P70" s="1260" t="s">
        <v>1002</v>
      </c>
      <c r="Q70" s="1247"/>
      <c r="R70" s="1260" t="s">
        <v>1002</v>
      </c>
      <c r="S70" s="1247"/>
      <c r="T70" s="1260" t="s">
        <v>1002</v>
      </c>
      <c r="U70" s="1247"/>
      <c r="V70" s="1260" t="s">
        <v>1002</v>
      </c>
      <c r="W70" s="1247"/>
      <c r="X70" s="1260" t="s">
        <v>1002</v>
      </c>
      <c r="Y70" s="1247"/>
      <c r="Z70" s="1260" t="s">
        <v>1002</v>
      </c>
      <c r="AA70" s="1249"/>
      <c r="AB70" s="1241"/>
      <c r="AC70" s="1245"/>
      <c r="AD70" s="1245"/>
      <c r="AE70" s="1245"/>
      <c r="AF70" s="1242"/>
    </row>
    <row r="71" spans="1:34" s="1243" customFormat="1" ht="21">
      <c r="A71" s="1253"/>
      <c r="B71" s="1253" t="s">
        <v>1685</v>
      </c>
      <c r="C71" s="1253"/>
      <c r="D71" s="1253" t="s">
        <v>1686</v>
      </c>
      <c r="E71" s="1253"/>
      <c r="F71" s="1253" t="s">
        <v>1687</v>
      </c>
      <c r="G71" s="1253"/>
      <c r="H71" s="1253" t="s">
        <v>1640</v>
      </c>
      <c r="I71" s="1253"/>
      <c r="J71" s="1253" t="s">
        <v>1688</v>
      </c>
      <c r="K71" s="1253"/>
      <c r="L71" s="1253" t="s">
        <v>1689</v>
      </c>
      <c r="M71" s="1253"/>
      <c r="N71" s="1253" t="s">
        <v>1690</v>
      </c>
      <c r="O71" s="1253"/>
      <c r="P71" s="1253" t="s">
        <v>1691</v>
      </c>
      <c r="Q71" s="1253"/>
      <c r="R71" s="1253" t="s">
        <v>1692</v>
      </c>
      <c r="S71" s="1253"/>
      <c r="T71" s="1253" t="s">
        <v>1693</v>
      </c>
      <c r="U71" s="1253"/>
      <c r="V71" s="1253" t="s">
        <v>1694</v>
      </c>
      <c r="W71" s="1253"/>
      <c r="X71" s="1253" t="s">
        <v>1695</v>
      </c>
      <c r="Y71" s="1253"/>
      <c r="Z71" s="1253" t="s">
        <v>1696</v>
      </c>
      <c r="AA71" s="1254"/>
      <c r="AB71" s="1241"/>
      <c r="AC71" s="1245"/>
      <c r="AD71" s="1245"/>
      <c r="AE71" s="1245"/>
      <c r="AF71" s="1242"/>
    </row>
    <row r="72" spans="1:34" s="1243" customFormat="1" ht="21">
      <c r="AA72" s="1244"/>
      <c r="AB72" s="1241"/>
      <c r="AC72" s="1245"/>
      <c r="AD72" s="1245"/>
      <c r="AE72" s="1245"/>
      <c r="AF72" s="1242"/>
    </row>
    <row r="73" spans="1:34" s="1243" customFormat="1" ht="21">
      <c r="AA73" s="1244"/>
      <c r="AB73" s="1241"/>
      <c r="AC73" s="1245"/>
      <c r="AD73" s="1245"/>
      <c r="AE73" s="1245"/>
      <c r="AF73" s="1242"/>
    </row>
    <row r="74" spans="1:34" s="1243" customFormat="1" ht="21">
      <c r="B74" s="1722"/>
      <c r="C74" s="1258">
        <v>276</v>
      </c>
      <c r="D74" s="1728"/>
      <c r="E74" s="1261">
        <v>266.20999999999998</v>
      </c>
      <c r="F74" s="1713"/>
      <c r="G74" s="1258">
        <v>251</v>
      </c>
      <c r="H74" s="1728"/>
      <c r="I74" s="1258">
        <v>242.51</v>
      </c>
      <c r="J74" s="1713"/>
      <c r="K74" s="1258">
        <v>317</v>
      </c>
      <c r="L74" s="1701"/>
      <c r="M74" s="1258">
        <v>348.39</v>
      </c>
      <c r="N74" s="1703"/>
      <c r="O74" s="1258">
        <v>339</v>
      </c>
      <c r="P74" s="1701"/>
      <c r="Q74" s="1258">
        <v>347.05</v>
      </c>
      <c r="R74" s="1713"/>
      <c r="S74" s="1258">
        <v>331</v>
      </c>
      <c r="T74" s="1722"/>
      <c r="U74" s="1258">
        <v>339.85</v>
      </c>
      <c r="V74" s="1724" t="s">
        <v>42</v>
      </c>
      <c r="W74" s="1258">
        <v>366</v>
      </c>
      <c r="X74" s="1722"/>
      <c r="Y74" s="1258">
        <v>328</v>
      </c>
      <c r="Z74" s="1726"/>
      <c r="AA74" s="1255">
        <v>305</v>
      </c>
      <c r="AB74" s="1245">
        <f>SUM(C74:AA74)</f>
        <v>4057.01</v>
      </c>
      <c r="AC74" s="1245">
        <v>10</v>
      </c>
      <c r="AD74" s="1245">
        <v>10</v>
      </c>
      <c r="AE74" s="1245">
        <v>10</v>
      </c>
      <c r="AF74" s="1246">
        <v>0</v>
      </c>
      <c r="AG74" s="1243">
        <v>13</v>
      </c>
      <c r="AH74" s="1243">
        <f>AH67+AG74</f>
        <v>103</v>
      </c>
    </row>
    <row r="75" spans="1:34" s="1243" customFormat="1" ht="21">
      <c r="B75" s="1723"/>
      <c r="D75" s="1729"/>
      <c r="F75" s="1714"/>
      <c r="H75" s="1729"/>
      <c r="J75" s="1714"/>
      <c r="L75" s="1709"/>
      <c r="N75" s="1704"/>
      <c r="P75" s="1709"/>
      <c r="R75" s="1714"/>
      <c r="T75" s="1723"/>
      <c r="V75" s="1725"/>
      <c r="X75" s="1723"/>
      <c r="Z75" s="1727"/>
      <c r="AA75" s="1244"/>
      <c r="AB75" s="1241"/>
      <c r="AC75" s="1241"/>
      <c r="AD75" s="1241"/>
      <c r="AE75" s="1241"/>
      <c r="AF75" s="1242"/>
    </row>
    <row r="76" spans="1:34" s="1243" customFormat="1" ht="21">
      <c r="B76" s="1243" t="s">
        <v>48</v>
      </c>
      <c r="D76" s="1243" t="s">
        <v>34</v>
      </c>
      <c r="F76" s="1243" t="s">
        <v>1181</v>
      </c>
      <c r="H76" s="1243" t="s">
        <v>32</v>
      </c>
      <c r="J76" s="1243" t="s">
        <v>53</v>
      </c>
      <c r="L76" s="1243" t="s">
        <v>34</v>
      </c>
      <c r="N76" s="1243" t="s">
        <v>43</v>
      </c>
      <c r="P76" s="1243" t="s">
        <v>48</v>
      </c>
      <c r="R76" s="1243" t="s">
        <v>53</v>
      </c>
      <c r="T76" s="1243" t="s">
        <v>32</v>
      </c>
      <c r="V76" s="1243" t="s">
        <v>1181</v>
      </c>
      <c r="W76" s="1262"/>
      <c r="X76" s="1262" t="s">
        <v>32</v>
      </c>
      <c r="Z76" s="1243" t="s">
        <v>32</v>
      </c>
      <c r="AA76" s="1244"/>
      <c r="AB76" s="1241"/>
      <c r="AC76" s="1245"/>
      <c r="AD76" s="1245"/>
      <c r="AE76" s="1245"/>
      <c r="AF76" s="1242"/>
    </row>
    <row r="77" spans="1:34" s="1243" customFormat="1" ht="21">
      <c r="A77" s="1247"/>
      <c r="B77" s="1247"/>
      <c r="C77" s="1247"/>
      <c r="D77" s="1247"/>
      <c r="E77" s="1247"/>
      <c r="F77" s="1247"/>
      <c r="G77" s="1247"/>
      <c r="H77" s="1263"/>
      <c r="I77" s="1247"/>
      <c r="J77" s="1247"/>
      <c r="K77" s="1247"/>
      <c r="L77" s="1252" t="s">
        <v>977</v>
      </c>
      <c r="M77" s="1247"/>
      <c r="N77" s="1252" t="s">
        <v>977</v>
      </c>
      <c r="O77" s="1247"/>
      <c r="P77" s="1252" t="s">
        <v>977</v>
      </c>
      <c r="Q77" s="1247"/>
      <c r="R77" s="1247"/>
      <c r="S77" s="1247"/>
      <c r="T77" s="1260" t="s">
        <v>1002</v>
      </c>
      <c r="U77" s="1247"/>
      <c r="V77" s="1247"/>
      <c r="W77" s="1247"/>
      <c r="X77" s="1260"/>
      <c r="Y77" s="1247"/>
      <c r="Z77" s="1260"/>
      <c r="AA77" s="1249"/>
      <c r="AB77" s="1241"/>
      <c r="AC77" s="1245"/>
      <c r="AD77" s="1245"/>
      <c r="AE77" s="1245"/>
      <c r="AF77" s="1242"/>
    </row>
    <row r="78" spans="1:34" s="1243" customFormat="1" ht="21">
      <c r="A78" s="1253"/>
      <c r="B78" s="1253" t="s">
        <v>1697</v>
      </c>
      <c r="C78" s="1253"/>
      <c r="D78" s="1253" t="s">
        <v>1698</v>
      </c>
      <c r="E78" s="1253"/>
      <c r="F78" s="1253" t="s">
        <v>1699</v>
      </c>
      <c r="G78" s="1253"/>
      <c r="H78" s="1253" t="s">
        <v>1700</v>
      </c>
      <c r="I78" s="1253"/>
      <c r="J78" s="1253" t="s">
        <v>1701</v>
      </c>
      <c r="K78" s="1253"/>
      <c r="L78" s="1253" t="s">
        <v>1702</v>
      </c>
      <c r="M78" s="1253" t="s">
        <v>14</v>
      </c>
      <c r="N78" s="1253" t="s">
        <v>1703</v>
      </c>
      <c r="O78" s="1253"/>
      <c r="P78" s="1253" t="s">
        <v>1704</v>
      </c>
      <c r="Q78" s="1253"/>
      <c r="R78" s="1253" t="s">
        <v>1705</v>
      </c>
      <c r="S78" s="1253"/>
      <c r="T78" s="1253" t="s">
        <v>1706</v>
      </c>
      <c r="U78" s="1253"/>
      <c r="V78" s="1253" t="s">
        <v>1707</v>
      </c>
      <c r="W78" s="1253"/>
      <c r="X78" s="1253" t="s">
        <v>1708</v>
      </c>
      <c r="Y78" s="1253"/>
      <c r="Z78" s="1253" t="s">
        <v>1709</v>
      </c>
      <c r="AA78" s="1254"/>
      <c r="AB78" s="1241"/>
      <c r="AC78" s="1245"/>
      <c r="AD78" s="1245"/>
      <c r="AE78" s="1245"/>
      <c r="AF78" s="1242"/>
    </row>
    <row r="79" spans="1:34" s="1243" customFormat="1" ht="21">
      <c r="AA79" s="1244"/>
      <c r="AB79" s="1241"/>
      <c r="AC79" s="1245"/>
      <c r="AD79" s="1245"/>
      <c r="AE79" s="1245"/>
      <c r="AF79" s="1242"/>
    </row>
    <row r="80" spans="1:34" s="1243" customFormat="1" ht="21">
      <c r="AA80" s="1244"/>
      <c r="AB80" s="1241"/>
      <c r="AC80" s="1245"/>
      <c r="AD80" s="1245"/>
      <c r="AE80" s="1245"/>
      <c r="AF80" s="1242"/>
    </row>
    <row r="81" spans="1:34" s="1243" customFormat="1" ht="21">
      <c r="B81" s="1728"/>
      <c r="C81" s="1258">
        <v>339</v>
      </c>
      <c r="D81" s="1722"/>
      <c r="E81" s="1258">
        <v>321</v>
      </c>
      <c r="F81" s="1722"/>
      <c r="G81" s="1258">
        <v>351.07</v>
      </c>
      <c r="H81" s="1713"/>
      <c r="I81" s="1258">
        <v>271.07</v>
      </c>
      <c r="J81" s="1703"/>
      <c r="K81" s="1258">
        <v>134.91999999999999</v>
      </c>
      <c r="L81" s="1703"/>
      <c r="M81" s="1258">
        <v>209.03</v>
      </c>
      <c r="N81" s="1703"/>
      <c r="O81" s="1258">
        <v>165</v>
      </c>
      <c r="P81" s="1703"/>
      <c r="Q81" s="1258">
        <v>322</v>
      </c>
      <c r="R81" s="1701"/>
      <c r="S81" s="1258">
        <v>223</v>
      </c>
      <c r="T81" s="1701"/>
      <c r="U81" s="1258">
        <v>360</v>
      </c>
      <c r="V81" s="1701"/>
      <c r="W81" s="1258">
        <v>296</v>
      </c>
      <c r="X81" s="1701"/>
      <c r="Y81" s="1258">
        <v>346</v>
      </c>
      <c r="Z81" s="1703"/>
      <c r="AA81" s="1255">
        <v>207.09</v>
      </c>
      <c r="AB81" s="1245">
        <f>SUM(C81:AA81)</f>
        <v>3545.1800000000003</v>
      </c>
      <c r="AC81" s="1245">
        <v>4</v>
      </c>
      <c r="AD81" s="1245">
        <v>4</v>
      </c>
      <c r="AE81" s="1245">
        <v>4</v>
      </c>
      <c r="AF81" s="1246">
        <v>0</v>
      </c>
      <c r="AG81" s="1243">
        <v>13</v>
      </c>
      <c r="AH81" s="1243">
        <f>AH74+AG81</f>
        <v>116</v>
      </c>
    </row>
    <row r="82" spans="1:34" s="1243" customFormat="1" ht="15.75" customHeight="1">
      <c r="B82" s="1729"/>
      <c r="D82" s="1723"/>
      <c r="F82" s="1723"/>
      <c r="H82" s="1714"/>
      <c r="J82" s="1704"/>
      <c r="L82" s="1704"/>
      <c r="N82" s="1704"/>
      <c r="O82" s="1730" t="s">
        <v>1719</v>
      </c>
      <c r="P82" s="1704"/>
      <c r="R82" s="1709"/>
      <c r="T82" s="1709"/>
      <c r="V82" s="1709"/>
      <c r="X82" s="1709"/>
      <c r="Z82" s="1704"/>
      <c r="AA82" s="1244"/>
      <c r="AB82" s="1241"/>
      <c r="AC82" s="1241"/>
      <c r="AD82" s="1241"/>
      <c r="AE82" s="1241"/>
      <c r="AF82" s="1242"/>
    </row>
    <row r="83" spans="1:34" s="1243" customFormat="1" ht="21">
      <c r="B83" s="1243" t="s">
        <v>48</v>
      </c>
      <c r="D83" s="1243" t="s">
        <v>48</v>
      </c>
      <c r="F83" s="1243" t="s">
        <v>34</v>
      </c>
      <c r="H83" s="1243" t="s">
        <v>1175</v>
      </c>
      <c r="J83" s="1243" t="s">
        <v>50</v>
      </c>
      <c r="L83" s="1243" t="s">
        <v>45</v>
      </c>
      <c r="N83" s="1243" t="s">
        <v>1426</v>
      </c>
      <c r="O83" s="1731"/>
      <c r="P83" s="1243" t="s">
        <v>1426</v>
      </c>
      <c r="R83" s="1243" t="s">
        <v>49</v>
      </c>
      <c r="T83" s="1243" t="s">
        <v>32</v>
      </c>
      <c r="V83" s="1243" t="s">
        <v>32</v>
      </c>
      <c r="X83" s="1243" t="s">
        <v>48</v>
      </c>
      <c r="Z83" s="1243" t="s">
        <v>45</v>
      </c>
      <c r="AA83" s="1244" t="s">
        <v>2044</v>
      </c>
      <c r="AB83" s="1241"/>
      <c r="AC83" s="1245"/>
      <c r="AD83" s="1245"/>
      <c r="AE83" s="1245"/>
      <c r="AF83" s="1242"/>
    </row>
    <row r="84" spans="1:34" s="1243" customFormat="1" ht="21">
      <c r="A84" s="1247"/>
      <c r="B84" s="1247"/>
      <c r="C84" s="1247"/>
      <c r="D84" s="1260" t="s">
        <v>1002</v>
      </c>
      <c r="E84" s="1247"/>
      <c r="F84" s="1260" t="s">
        <v>1002</v>
      </c>
      <c r="G84" s="1247"/>
      <c r="H84" s="1247"/>
      <c r="I84" s="1247"/>
      <c r="J84" s="1260" t="s">
        <v>1002</v>
      </c>
      <c r="K84" s="1247"/>
      <c r="L84" s="1260" t="s">
        <v>1002</v>
      </c>
      <c r="M84" s="1247"/>
      <c r="N84" s="1247"/>
      <c r="O84" s="1731"/>
      <c r="P84" s="1260" t="s">
        <v>1002</v>
      </c>
      <c r="Q84" s="1247"/>
      <c r="R84" s="1247"/>
      <c r="S84" s="1247"/>
      <c r="T84" s="1247"/>
      <c r="U84" s="1247"/>
      <c r="V84" s="1260" t="s">
        <v>1002</v>
      </c>
      <c r="W84" s="1247"/>
      <c r="X84" s="1264" t="s">
        <v>951</v>
      </c>
      <c r="Y84" s="1247"/>
      <c r="Z84" s="1264" t="s">
        <v>951</v>
      </c>
      <c r="AA84" s="1249"/>
      <c r="AB84" s="1241"/>
      <c r="AC84" s="1245"/>
      <c r="AD84" s="1245"/>
      <c r="AE84" s="1245"/>
      <c r="AF84" s="1242"/>
    </row>
    <row r="85" spans="1:34" s="1243" customFormat="1" ht="21">
      <c r="A85" s="1253"/>
      <c r="B85" s="1253" t="s">
        <v>1710</v>
      </c>
      <c r="C85" s="1253"/>
      <c r="D85" s="1253" t="s">
        <v>1711</v>
      </c>
      <c r="E85" s="1253"/>
      <c r="F85" s="1253" t="s">
        <v>1712</v>
      </c>
      <c r="G85" s="1253"/>
      <c r="H85" s="1253" t="s">
        <v>1232</v>
      </c>
      <c r="I85" s="1253"/>
      <c r="J85" s="1253"/>
      <c r="K85" s="1253"/>
      <c r="L85" s="1253"/>
      <c r="M85" s="1253"/>
      <c r="N85" s="1253"/>
      <c r="O85" s="1731"/>
      <c r="P85" s="1253"/>
      <c r="Q85" s="1253"/>
      <c r="R85" s="1253"/>
      <c r="S85" s="1253"/>
      <c r="T85" s="1253"/>
      <c r="U85" s="1253"/>
      <c r="V85" s="1253"/>
      <c r="W85" s="1253"/>
      <c r="X85" s="1253"/>
      <c r="Y85" s="1253"/>
      <c r="Z85" s="1253"/>
      <c r="AA85" s="1254"/>
      <c r="AB85" s="1265"/>
      <c r="AC85" s="1245"/>
      <c r="AD85" s="1245"/>
      <c r="AE85" s="1245"/>
      <c r="AF85" s="1242"/>
    </row>
    <row r="86" spans="1:34" s="1243" customFormat="1" ht="21">
      <c r="O86" s="1731"/>
      <c r="AA86" s="1244"/>
      <c r="AB86" s="1265"/>
      <c r="AC86" s="1245"/>
      <c r="AD86" s="1245"/>
      <c r="AE86" s="1245"/>
      <c r="AF86" s="1242"/>
    </row>
    <row r="87" spans="1:34" s="1243" customFormat="1" ht="21">
      <c r="AA87" s="1244"/>
      <c r="AB87" s="1265"/>
      <c r="AC87" s="1245"/>
      <c r="AD87" s="1245"/>
      <c r="AE87" s="1245"/>
      <c r="AF87" s="1242"/>
    </row>
    <row r="88" spans="1:34" s="1243" customFormat="1" ht="21">
      <c r="B88" s="1703"/>
      <c r="C88" s="1261">
        <v>383.88</v>
      </c>
      <c r="D88" s="1713"/>
      <c r="E88" s="1258">
        <v>306</v>
      </c>
      <c r="F88" s="1722"/>
      <c r="G88" s="1258">
        <v>287</v>
      </c>
      <c r="H88" s="1713"/>
      <c r="AA88" s="1244"/>
      <c r="AB88" s="1266">
        <f>SUM(C88:AA88)</f>
        <v>976.88</v>
      </c>
      <c r="AC88" s="1245">
        <v>3</v>
      </c>
      <c r="AD88" s="1245">
        <v>0</v>
      </c>
      <c r="AE88" s="1245">
        <v>2</v>
      </c>
      <c r="AF88" s="1246">
        <v>0</v>
      </c>
      <c r="AG88" s="1243">
        <v>4</v>
      </c>
      <c r="AH88" s="1243">
        <f>AH81+AG88</f>
        <v>120</v>
      </c>
    </row>
    <row r="89" spans="1:34" s="1243" customFormat="1" ht="21">
      <c r="B89" s="1704"/>
      <c r="D89" s="1714"/>
      <c r="F89" s="1723"/>
      <c r="H89" s="1714"/>
      <c r="AA89" s="1244"/>
      <c r="AB89" s="1241"/>
      <c r="AC89" s="1241"/>
      <c r="AD89" s="1241"/>
      <c r="AE89" s="1241"/>
      <c r="AF89" s="1242"/>
    </row>
    <row r="90" spans="1:34" s="1243" customFormat="1" ht="21">
      <c r="B90" s="1243" t="s">
        <v>50</v>
      </c>
      <c r="D90" s="1243" t="s">
        <v>1175</v>
      </c>
      <c r="F90" s="1243" t="s">
        <v>48</v>
      </c>
      <c r="H90" s="1243" t="s">
        <v>1181</v>
      </c>
      <c r="AA90" s="1244"/>
      <c r="AB90" s="1241"/>
      <c r="AC90" s="1245"/>
      <c r="AD90" s="1245"/>
      <c r="AE90" s="1245"/>
      <c r="AF90" s="1242"/>
    </row>
    <row r="91" spans="1:34" s="1243" customFormat="1" ht="21">
      <c r="A91" s="1247"/>
      <c r="B91" s="1264" t="s">
        <v>951</v>
      </c>
      <c r="C91" s="1247"/>
      <c r="D91" s="1247"/>
      <c r="E91" s="1247"/>
      <c r="F91" s="1247"/>
      <c r="G91" s="1247"/>
      <c r="H91" s="1247"/>
      <c r="I91" s="1247"/>
      <c r="J91" s="1247"/>
      <c r="K91" s="1247"/>
      <c r="L91" s="1247"/>
      <c r="M91" s="1247"/>
      <c r="N91" s="1247"/>
      <c r="O91" s="1247"/>
      <c r="P91" s="1247"/>
      <c r="Q91" s="1247"/>
      <c r="R91" s="1247"/>
      <c r="S91" s="1247"/>
      <c r="T91" s="1247"/>
      <c r="U91" s="1247"/>
      <c r="V91" s="1247"/>
      <c r="W91" s="1247"/>
      <c r="X91" s="1260"/>
      <c r="Y91" s="1247"/>
      <c r="Z91" s="1260"/>
      <c r="AA91" s="1249"/>
      <c r="AB91" s="1241"/>
      <c r="AC91" s="1245"/>
      <c r="AD91" s="1245"/>
      <c r="AE91" s="1245"/>
      <c r="AF91" s="1242"/>
    </row>
    <row r="92" spans="1:34" s="1243" customFormat="1" ht="21">
      <c r="A92" s="1253"/>
      <c r="B92" s="1253" t="s">
        <v>1232</v>
      </c>
      <c r="C92" s="1253"/>
      <c r="D92" s="1253" t="s">
        <v>1233</v>
      </c>
      <c r="E92" s="1253"/>
      <c r="F92" s="1253" t="s">
        <v>1234</v>
      </c>
      <c r="G92" s="1253"/>
      <c r="H92" s="1253" t="s">
        <v>1235</v>
      </c>
      <c r="I92" s="1253"/>
      <c r="J92" s="1253" t="s">
        <v>1236</v>
      </c>
      <c r="K92" s="1253"/>
      <c r="L92" s="1253" t="s">
        <v>1237</v>
      </c>
      <c r="M92" s="1253"/>
      <c r="N92" s="1253" t="s">
        <v>1238</v>
      </c>
      <c r="O92" s="1253"/>
      <c r="P92" s="1253" t="s">
        <v>1239</v>
      </c>
      <c r="Q92" s="1253"/>
      <c r="R92" s="1253" t="s">
        <v>1240</v>
      </c>
      <c r="S92" s="1253"/>
      <c r="T92" s="1253" t="s">
        <v>1241</v>
      </c>
      <c r="U92" s="1253"/>
      <c r="V92" s="1253" t="s">
        <v>1242</v>
      </c>
      <c r="W92" s="1253"/>
      <c r="X92" s="1253" t="s">
        <v>1243</v>
      </c>
      <c r="Y92" s="1253"/>
      <c r="Z92" s="1253" t="s">
        <v>1244</v>
      </c>
      <c r="AA92" s="1254"/>
      <c r="AB92" s="1241"/>
      <c r="AC92" s="1245"/>
      <c r="AD92" s="1245"/>
      <c r="AE92" s="1245"/>
      <c r="AF92" s="1242"/>
    </row>
    <row r="93" spans="1:34" s="1243" customFormat="1" ht="21">
      <c r="AA93" s="1244"/>
      <c r="AB93" s="1241"/>
      <c r="AC93" s="1245"/>
      <c r="AD93" s="1245"/>
      <c r="AE93" s="1245"/>
      <c r="AF93" s="1242"/>
    </row>
    <row r="94" spans="1:34" s="1243" customFormat="1" ht="21">
      <c r="AA94" s="1244"/>
      <c r="AB94" s="1241"/>
      <c r="AC94" s="1245"/>
      <c r="AD94" s="1245"/>
      <c r="AE94" s="1245"/>
      <c r="AF94" s="1242"/>
    </row>
    <row r="95" spans="1:34" s="1243" customFormat="1" ht="21">
      <c r="B95" s="1713"/>
      <c r="C95" s="1258">
        <v>356</v>
      </c>
      <c r="D95" s="1726"/>
      <c r="E95" s="1258">
        <v>311</v>
      </c>
      <c r="F95" s="1726"/>
      <c r="G95" s="1258">
        <v>324.56</v>
      </c>
      <c r="H95" s="1713"/>
      <c r="I95" s="1258">
        <v>356</v>
      </c>
      <c r="J95" s="1726"/>
      <c r="K95" s="1258">
        <v>340</v>
      </c>
      <c r="L95" s="1726"/>
      <c r="M95" s="1258">
        <v>357.17</v>
      </c>
      <c r="N95" s="1737" t="s">
        <v>1652</v>
      </c>
      <c r="O95" s="1258">
        <v>262.52</v>
      </c>
      <c r="P95" s="1737" t="s">
        <v>1653</v>
      </c>
      <c r="Q95" s="1258">
        <v>251</v>
      </c>
      <c r="R95" s="1715" t="s">
        <v>1651</v>
      </c>
      <c r="S95" s="1258">
        <v>222</v>
      </c>
      <c r="T95" s="1715" t="s">
        <v>1648</v>
      </c>
      <c r="U95" s="1258">
        <v>228.52</v>
      </c>
      <c r="V95" s="1713"/>
      <c r="W95" s="1258">
        <v>333</v>
      </c>
      <c r="X95" s="1701"/>
      <c r="Y95" s="1258">
        <v>363.3</v>
      </c>
      <c r="Z95" s="1701"/>
      <c r="AA95" s="1255">
        <v>327.2</v>
      </c>
      <c r="AB95" s="1245">
        <f>SUM(C95:AA95)</f>
        <v>4032.27</v>
      </c>
      <c r="AC95" s="1245">
        <v>10</v>
      </c>
      <c r="AD95" s="1245">
        <v>8</v>
      </c>
      <c r="AE95" s="1245">
        <v>2</v>
      </c>
      <c r="AF95" s="1246">
        <v>0</v>
      </c>
      <c r="AG95" s="1243">
        <v>12</v>
      </c>
      <c r="AH95" s="1243">
        <f>AH88+AG95</f>
        <v>132</v>
      </c>
    </row>
    <row r="96" spans="1:34" s="1243" customFormat="1" ht="21">
      <c r="B96" s="1714"/>
      <c r="D96" s="1727"/>
      <c r="F96" s="1727"/>
      <c r="H96" s="1714"/>
      <c r="J96" s="1727"/>
      <c r="L96" s="1727"/>
      <c r="N96" s="1738"/>
      <c r="P96" s="1738"/>
      <c r="R96" s="1716"/>
      <c r="T96" s="1716"/>
      <c r="V96" s="1714"/>
      <c r="X96" s="1709"/>
      <c r="Z96" s="1709"/>
      <c r="AA96" s="1244"/>
      <c r="AB96" s="1241"/>
      <c r="AC96" s="1241"/>
      <c r="AD96" s="1241"/>
      <c r="AE96" s="1241"/>
      <c r="AF96" s="1242"/>
    </row>
    <row r="97" spans="1:34" s="1243" customFormat="1" ht="21">
      <c r="B97" s="1243" t="s">
        <v>1181</v>
      </c>
      <c r="D97" s="1243" t="s">
        <v>32</v>
      </c>
      <c r="F97" s="1243" t="s">
        <v>32</v>
      </c>
      <c r="H97" s="1243" t="s">
        <v>50</v>
      </c>
      <c r="J97" s="1243" t="s">
        <v>34</v>
      </c>
      <c r="L97" s="1243" t="s">
        <v>34</v>
      </c>
      <c r="N97" s="1243" t="s">
        <v>50</v>
      </c>
      <c r="P97" s="1243" t="s">
        <v>50</v>
      </c>
      <c r="R97" s="1243" t="s">
        <v>32</v>
      </c>
      <c r="T97" s="1243" t="s">
        <v>32</v>
      </c>
      <c r="V97" s="1243" t="s">
        <v>43</v>
      </c>
      <c r="X97" s="1243" t="s">
        <v>48</v>
      </c>
      <c r="Z97" s="1243" t="s">
        <v>48</v>
      </c>
      <c r="AA97" s="1244"/>
      <c r="AB97" s="1241"/>
      <c r="AC97" s="1245"/>
      <c r="AD97" s="1245"/>
      <c r="AE97" s="1245"/>
      <c r="AF97" s="1242"/>
    </row>
    <row r="98" spans="1:34" s="1243" customFormat="1" ht="21">
      <c r="A98" s="1247"/>
      <c r="B98" s="1247"/>
      <c r="C98" s="1247"/>
      <c r="D98" s="1247"/>
      <c r="E98" s="1247"/>
      <c r="F98" s="1247"/>
      <c r="G98" s="1247"/>
      <c r="H98" s="1247"/>
      <c r="I98" s="1247"/>
      <c r="J98" s="1247"/>
      <c r="K98" s="1247"/>
      <c r="L98" s="1247"/>
      <c r="M98" s="1247"/>
      <c r="N98" s="1247"/>
      <c r="O98" s="1247"/>
      <c r="P98" s="1247"/>
      <c r="Q98" s="1247"/>
      <c r="R98" s="1247"/>
      <c r="S98" s="1247"/>
      <c r="T98" s="1247"/>
      <c r="U98" s="1247"/>
      <c r="V98" s="1247"/>
      <c r="W98" s="1247"/>
      <c r="X98" s="1260" t="s">
        <v>1002</v>
      </c>
      <c r="Y98" s="1247"/>
      <c r="Z98" s="1260" t="s">
        <v>1002</v>
      </c>
      <c r="AA98" s="1249"/>
      <c r="AB98" s="1241"/>
      <c r="AC98" s="1245"/>
      <c r="AD98" s="1245"/>
      <c r="AE98" s="1245"/>
      <c r="AF98" s="1242"/>
    </row>
    <row r="99" spans="1:34" s="1243" customFormat="1" ht="21">
      <c r="A99" s="1253"/>
      <c r="B99" s="1253" t="s">
        <v>1245</v>
      </c>
      <c r="C99" s="1253"/>
      <c r="D99" s="1253" t="s">
        <v>1246</v>
      </c>
      <c r="E99" s="1253"/>
      <c r="F99" s="1253" t="s">
        <v>1247</v>
      </c>
      <c r="G99" s="1253"/>
      <c r="H99" s="1253" t="s">
        <v>1248</v>
      </c>
      <c r="I99" s="1253"/>
      <c r="J99" s="1253" t="s">
        <v>1249</v>
      </c>
      <c r="K99" s="1253"/>
      <c r="L99" s="1253" t="s">
        <v>1250</v>
      </c>
      <c r="M99" s="1253"/>
      <c r="N99" s="1253" t="s">
        <v>1251</v>
      </c>
      <c r="O99" s="1253"/>
      <c r="P99" s="1253" t="s">
        <v>1252</v>
      </c>
      <c r="Q99" s="1253"/>
      <c r="R99" s="1253" t="s">
        <v>1253</v>
      </c>
      <c r="S99" s="1253"/>
      <c r="T99" s="1253" t="s">
        <v>1254</v>
      </c>
      <c r="U99" s="1253"/>
      <c r="V99" s="1253" t="s">
        <v>1255</v>
      </c>
      <c r="W99" s="1253"/>
      <c r="X99" s="1253" t="s">
        <v>1256</v>
      </c>
      <c r="Y99" s="1253"/>
      <c r="Z99" s="1253" t="s">
        <v>1257</v>
      </c>
      <c r="AA99" s="1254"/>
      <c r="AB99" s="1241"/>
      <c r="AC99" s="1245"/>
      <c r="AD99" s="1245"/>
      <c r="AE99" s="1245"/>
      <c r="AF99" s="1242"/>
    </row>
    <row r="100" spans="1:34" s="1243" customFormat="1" ht="21">
      <c r="AA100" s="1244"/>
      <c r="AB100" s="1241"/>
      <c r="AC100" s="1245"/>
      <c r="AD100" s="1245"/>
      <c r="AE100" s="1245"/>
      <c r="AF100" s="1242"/>
    </row>
    <row r="101" spans="1:34" s="1243" customFormat="1" ht="21">
      <c r="AA101" s="1244"/>
      <c r="AB101" s="1241"/>
      <c r="AC101" s="1241"/>
      <c r="AD101" s="1241"/>
      <c r="AE101" s="1241"/>
      <c r="AF101" s="1242"/>
    </row>
    <row r="102" spans="1:34" s="1243" customFormat="1" ht="21">
      <c r="B102" s="1735"/>
      <c r="C102" s="1248">
        <v>90</v>
      </c>
      <c r="D102" s="1701"/>
      <c r="E102" s="1248">
        <v>90</v>
      </c>
      <c r="F102" s="1701"/>
      <c r="G102" s="1248">
        <v>97</v>
      </c>
      <c r="H102" s="1713"/>
      <c r="I102" s="1248">
        <v>266.75</v>
      </c>
      <c r="J102" s="1713"/>
      <c r="K102" s="1248">
        <v>290</v>
      </c>
      <c r="L102" s="1722"/>
      <c r="M102" s="1248">
        <v>338</v>
      </c>
      <c r="N102" s="1701"/>
      <c r="O102" s="1248">
        <v>344</v>
      </c>
      <c r="P102" s="1701"/>
      <c r="Q102" s="1248">
        <v>303.12</v>
      </c>
      <c r="R102" s="1703"/>
      <c r="S102" s="1248">
        <v>90.48</v>
      </c>
      <c r="T102" s="1701"/>
      <c r="U102" s="1248">
        <v>71.959999999999994</v>
      </c>
      <c r="V102" s="1701"/>
      <c r="W102" s="1248">
        <v>124.51</v>
      </c>
      <c r="X102" s="1703"/>
      <c r="Y102" s="1248">
        <v>92.34</v>
      </c>
      <c r="Z102" s="1703"/>
      <c r="AA102" s="1267">
        <v>244.97</v>
      </c>
      <c r="AB102" s="1245">
        <f>SUM(C102:AA102)</f>
        <v>2443.13</v>
      </c>
      <c r="AC102" s="1245">
        <v>3</v>
      </c>
      <c r="AD102" s="1245">
        <v>2</v>
      </c>
      <c r="AE102" s="1245">
        <v>0</v>
      </c>
      <c r="AF102" s="1246">
        <v>0</v>
      </c>
      <c r="AG102" s="1243">
        <v>13</v>
      </c>
      <c r="AH102" s="1243">
        <f>AH95+AG102</f>
        <v>145</v>
      </c>
    </row>
    <row r="103" spans="1:34" s="1243" customFormat="1" ht="21">
      <c r="B103" s="1736"/>
      <c r="D103" s="1709"/>
      <c r="E103" s="1732" t="s">
        <v>1721</v>
      </c>
      <c r="F103" s="1709"/>
      <c r="H103" s="1714"/>
      <c r="J103" s="1714"/>
      <c r="L103" s="1723"/>
      <c r="N103" s="1709"/>
      <c r="P103" s="1709"/>
      <c r="R103" s="1704"/>
      <c r="T103" s="1709"/>
      <c r="U103" s="1732" t="s">
        <v>1720</v>
      </c>
      <c r="V103" s="1709"/>
      <c r="X103" s="1704"/>
      <c r="Z103" s="1704"/>
      <c r="AA103" s="1268" t="s">
        <v>1722</v>
      </c>
      <c r="AB103" s="1245"/>
      <c r="AC103" s="1245"/>
      <c r="AD103" s="1245"/>
      <c r="AE103" s="1245"/>
      <c r="AF103" s="1246"/>
    </row>
    <row r="104" spans="1:34" s="1243" customFormat="1" ht="21">
      <c r="B104" s="1243" t="s">
        <v>50</v>
      </c>
      <c r="D104" s="1717" t="s">
        <v>1258</v>
      </c>
      <c r="E104" s="1733"/>
      <c r="F104" s="1717" t="s">
        <v>1258</v>
      </c>
      <c r="H104" s="1243" t="s">
        <v>50</v>
      </c>
      <c r="J104" s="1243" t="s">
        <v>1175</v>
      </c>
      <c r="L104" s="1243" t="s">
        <v>34</v>
      </c>
      <c r="N104" s="1243" t="s">
        <v>32</v>
      </c>
      <c r="P104" s="1243" t="s">
        <v>49</v>
      </c>
      <c r="R104" s="1243" t="s">
        <v>1181</v>
      </c>
      <c r="T104" s="1717" t="s">
        <v>1258</v>
      </c>
      <c r="U104" s="1733"/>
      <c r="V104" s="1717" t="s">
        <v>1258</v>
      </c>
      <c r="X104" s="1243" t="s">
        <v>45</v>
      </c>
      <c r="Z104" s="1243" t="s">
        <v>1426</v>
      </c>
      <c r="AA104" s="1244"/>
      <c r="AB104" s="1241"/>
      <c r="AC104" s="1245"/>
      <c r="AD104" s="1245"/>
      <c r="AE104" s="1245"/>
      <c r="AF104" s="1242"/>
    </row>
    <row r="105" spans="1:34" s="1243" customFormat="1" ht="21">
      <c r="D105" s="1718"/>
      <c r="E105" s="1733"/>
      <c r="F105" s="1718"/>
      <c r="J105" s="1251" t="s">
        <v>1002</v>
      </c>
      <c r="L105" s="1251" t="s">
        <v>1002</v>
      </c>
      <c r="N105" s="1251" t="s">
        <v>1002</v>
      </c>
      <c r="P105" s="1251" t="s">
        <v>1002</v>
      </c>
      <c r="R105" s="1251" t="s">
        <v>1002</v>
      </c>
      <c r="T105" s="1718"/>
      <c r="U105" s="1733"/>
      <c r="V105" s="1718"/>
      <c r="X105" s="1264" t="s">
        <v>951</v>
      </c>
      <c r="Z105" s="1264" t="s">
        <v>951</v>
      </c>
      <c r="AA105" s="1244"/>
      <c r="AB105" s="1265"/>
      <c r="AC105" s="1245"/>
      <c r="AD105" s="1245"/>
      <c r="AE105" s="1245"/>
      <c r="AF105" s="1242"/>
    </row>
    <row r="106" spans="1:34" s="1243" customFormat="1" ht="21">
      <c r="E106" s="1734"/>
      <c r="J106" s="1251"/>
      <c r="L106" s="1251"/>
      <c r="N106" s="1251"/>
      <c r="P106" s="1251"/>
      <c r="R106" s="1251"/>
      <c r="U106" s="1734"/>
      <c r="AA106" s="1244"/>
      <c r="AB106" s="1241"/>
      <c r="AC106" s="1245"/>
      <c r="AD106" s="1245"/>
      <c r="AE106" s="1245"/>
      <c r="AF106" s="1242"/>
    </row>
    <row r="107" spans="1:34" s="1243" customFormat="1" ht="21">
      <c r="A107" s="1253"/>
      <c r="B107" s="1253" t="s">
        <v>1259</v>
      </c>
      <c r="C107" s="1253"/>
      <c r="D107" s="1253" t="s">
        <v>1260</v>
      </c>
      <c r="E107" s="1253"/>
      <c r="F107" s="1253" t="s">
        <v>1261</v>
      </c>
      <c r="G107" s="1253"/>
      <c r="H107" s="1253" t="s">
        <v>1262</v>
      </c>
      <c r="I107" s="1253"/>
      <c r="J107" s="1253" t="s">
        <v>1263</v>
      </c>
      <c r="K107" s="1253"/>
      <c r="L107" s="1253" t="s">
        <v>1264</v>
      </c>
      <c r="M107" s="1253"/>
      <c r="N107" s="1253" t="s">
        <v>1265</v>
      </c>
      <c r="O107" s="1253"/>
      <c r="P107" s="1253" t="s">
        <v>1266</v>
      </c>
      <c r="Q107" s="1253"/>
      <c r="R107" s="1253" t="s">
        <v>1267</v>
      </c>
      <c r="S107" s="1253"/>
      <c r="T107" s="1253" t="s">
        <v>1268</v>
      </c>
      <c r="U107" s="1253"/>
      <c r="V107" s="1253" t="s">
        <v>1269</v>
      </c>
      <c r="W107" s="1253"/>
      <c r="X107" s="1253" t="s">
        <v>1270</v>
      </c>
      <c r="Y107" s="1253"/>
      <c r="Z107" s="1253" t="s">
        <v>1271</v>
      </c>
      <c r="AA107" s="1254"/>
      <c r="AB107" s="1241"/>
      <c r="AC107" s="1241"/>
      <c r="AD107" s="1241"/>
      <c r="AE107" s="1241"/>
      <c r="AF107" s="1242"/>
    </row>
    <row r="108" spans="1:34" s="1243" customFormat="1" ht="21">
      <c r="AA108" s="1244"/>
      <c r="AB108" s="1241"/>
      <c r="AC108" s="1241"/>
      <c r="AD108" s="1241"/>
      <c r="AE108" s="1241"/>
      <c r="AF108" s="1242"/>
    </row>
    <row r="109" spans="1:34" s="1243" customFormat="1" ht="21">
      <c r="AA109" s="1244"/>
      <c r="AB109" s="1245"/>
      <c r="AC109" s="1245"/>
      <c r="AD109" s="1245"/>
      <c r="AE109" s="1245"/>
      <c r="AF109" s="1246"/>
    </row>
    <row r="110" spans="1:34" s="1243" customFormat="1" ht="21">
      <c r="B110" s="1739"/>
      <c r="C110" s="1269">
        <v>275</v>
      </c>
      <c r="D110" s="1701"/>
      <c r="E110" s="1269">
        <v>367</v>
      </c>
      <c r="F110" s="1701"/>
      <c r="G110" s="1269">
        <v>331</v>
      </c>
      <c r="H110" s="1701"/>
      <c r="I110" s="1269">
        <v>299.87</v>
      </c>
      <c r="J110" s="1703"/>
      <c r="K110" s="1269">
        <v>229</v>
      </c>
      <c r="L110" s="1701"/>
      <c r="M110" s="1269">
        <v>233.14</v>
      </c>
      <c r="N110" s="1703"/>
      <c r="O110" s="1269">
        <v>277</v>
      </c>
      <c r="P110" s="1701"/>
      <c r="Q110" s="1269">
        <v>303</v>
      </c>
      <c r="R110" s="1703"/>
      <c r="S110" s="1269">
        <v>286</v>
      </c>
      <c r="T110" s="1701"/>
      <c r="U110" s="1269">
        <v>346.18</v>
      </c>
      <c r="V110" s="1703"/>
      <c r="W110" s="1269">
        <v>325.29000000000002</v>
      </c>
      <c r="X110" s="1703"/>
      <c r="Y110" s="1269">
        <v>347.32</v>
      </c>
      <c r="Z110" s="1713"/>
      <c r="AA110" s="1267">
        <v>233.33</v>
      </c>
      <c r="AB110" s="1245">
        <f>SUM(C110:AA110)</f>
        <v>3853.1299999999997</v>
      </c>
      <c r="AC110" s="1245">
        <v>1</v>
      </c>
      <c r="AD110" s="1245">
        <v>0</v>
      </c>
      <c r="AE110" s="1245">
        <v>0</v>
      </c>
      <c r="AF110" s="1246">
        <v>0</v>
      </c>
      <c r="AG110" s="1243">
        <v>13</v>
      </c>
      <c r="AH110" s="1243">
        <f>AH102+AG110</f>
        <v>158</v>
      </c>
    </row>
    <row r="111" spans="1:34" s="1243" customFormat="1" ht="21">
      <c r="B111" s="1740"/>
      <c r="D111" s="1709"/>
      <c r="F111" s="1709"/>
      <c r="H111" s="1709"/>
      <c r="J111" s="1704"/>
      <c r="L111" s="1709"/>
      <c r="N111" s="1704"/>
      <c r="P111" s="1709"/>
      <c r="R111" s="1704"/>
      <c r="T111" s="1709"/>
      <c r="V111" s="1704"/>
      <c r="X111" s="1704"/>
      <c r="Z111" s="1714"/>
      <c r="AA111" s="1244"/>
      <c r="AB111" s="1241"/>
      <c r="AC111" s="1245"/>
      <c r="AD111" s="1245"/>
      <c r="AE111" s="1245"/>
      <c r="AF111" s="1242"/>
    </row>
    <row r="112" spans="1:34" s="1243" customFormat="1" ht="21">
      <c r="B112" s="1243" t="s">
        <v>1423</v>
      </c>
      <c r="D112" s="1243" t="s">
        <v>49</v>
      </c>
      <c r="F112" s="1243" t="s">
        <v>48</v>
      </c>
      <c r="H112" s="1243" t="s">
        <v>49</v>
      </c>
      <c r="J112" s="1243" t="s">
        <v>50</v>
      </c>
      <c r="L112" s="1243" t="s">
        <v>32</v>
      </c>
      <c r="N112" s="1243" t="s">
        <v>53</v>
      </c>
      <c r="P112" s="1243" t="s">
        <v>34</v>
      </c>
      <c r="R112" s="1243" t="s">
        <v>45</v>
      </c>
      <c r="T112" s="1243" t="s">
        <v>48</v>
      </c>
      <c r="V112" s="1243" t="s">
        <v>57</v>
      </c>
      <c r="X112" s="1243" t="s">
        <v>1423</v>
      </c>
      <c r="Z112" s="1243" t="s">
        <v>57</v>
      </c>
      <c r="AA112" s="1244"/>
      <c r="AB112" s="1241"/>
      <c r="AC112" s="1241"/>
      <c r="AD112" s="1241"/>
      <c r="AE112" s="1241"/>
      <c r="AF112" s="1242"/>
    </row>
    <row r="113" spans="1:34" s="1243" customFormat="1" ht="39">
      <c r="B113" s="1251" t="s">
        <v>952</v>
      </c>
      <c r="D113" s="1251" t="s">
        <v>1002</v>
      </c>
      <c r="F113" s="1251" t="s">
        <v>1002</v>
      </c>
      <c r="J113" s="1251"/>
      <c r="L113" s="1252" t="s">
        <v>977</v>
      </c>
      <c r="N113" s="1252" t="s">
        <v>977</v>
      </c>
      <c r="P113" s="1251"/>
      <c r="R113" s="1251"/>
      <c r="X113" s="1252" t="s">
        <v>977</v>
      </c>
      <c r="AA113" s="1244"/>
      <c r="AB113" s="1265"/>
      <c r="AC113" s="1245"/>
      <c r="AD113" s="1245"/>
      <c r="AE113" s="1245"/>
      <c r="AF113" s="1242"/>
    </row>
    <row r="114" spans="1:34" s="1243" customFormat="1" ht="21">
      <c r="A114" s="1247"/>
      <c r="B114" s="1264" t="s">
        <v>951</v>
      </c>
      <c r="C114" s="1247"/>
      <c r="D114" s="1264" t="s">
        <v>951</v>
      </c>
      <c r="E114" s="1247"/>
      <c r="F114" s="1247"/>
      <c r="G114" s="1247"/>
      <c r="H114" s="1247"/>
      <c r="I114" s="1247"/>
      <c r="J114" s="1247"/>
      <c r="K114" s="1247"/>
      <c r="L114" s="1247"/>
      <c r="M114" s="1247"/>
      <c r="N114" s="1247"/>
      <c r="O114" s="1247"/>
      <c r="P114" s="1247"/>
      <c r="Q114" s="1247"/>
      <c r="R114" s="1247"/>
      <c r="S114" s="1247"/>
      <c r="T114" s="1247"/>
      <c r="U114" s="1247"/>
      <c r="V114" s="1247"/>
      <c r="W114" s="1247"/>
      <c r="X114" s="1247"/>
      <c r="Y114" s="1247"/>
      <c r="Z114" s="1247"/>
      <c r="AA114" s="1249"/>
      <c r="AB114" s="1245"/>
      <c r="AC114" s="1245"/>
      <c r="AD114" s="1245"/>
      <c r="AE114" s="1245"/>
      <c r="AF114" s="1246"/>
    </row>
    <row r="115" spans="1:34" s="1243" customFormat="1" ht="21">
      <c r="A115" s="1253"/>
      <c r="B115" s="1253" t="s">
        <v>1272</v>
      </c>
      <c r="C115" s="1253"/>
      <c r="D115" s="1253" t="s">
        <v>1273</v>
      </c>
      <c r="E115" s="1253"/>
      <c r="F115" s="1253" t="s">
        <v>1274</v>
      </c>
      <c r="G115" s="1253"/>
      <c r="H115" s="1253" t="s">
        <v>1275</v>
      </c>
      <c r="I115" s="1253"/>
      <c r="J115" s="1253" t="s">
        <v>1276</v>
      </c>
      <c r="K115" s="1253"/>
      <c r="L115" s="1253" t="s">
        <v>1277</v>
      </c>
      <c r="M115" s="1253"/>
      <c r="N115" s="1253" t="s">
        <v>1278</v>
      </c>
      <c r="O115" s="1253"/>
      <c r="P115" s="1253" t="s">
        <v>1279</v>
      </c>
      <c r="Q115" s="1253"/>
      <c r="R115" s="1253" t="s">
        <v>1280</v>
      </c>
      <c r="S115" s="1253"/>
      <c r="T115" s="1253" t="s">
        <v>1281</v>
      </c>
      <c r="U115" s="1253"/>
      <c r="V115" s="1253" t="s">
        <v>1282</v>
      </c>
      <c r="W115" s="1253"/>
      <c r="X115" s="1253" t="s">
        <v>1195</v>
      </c>
      <c r="Y115" s="1253"/>
      <c r="Z115" s="1253" t="s">
        <v>1194</v>
      </c>
      <c r="AA115" s="1254"/>
      <c r="AB115" s="1241"/>
      <c r="AC115" s="1245"/>
      <c r="AD115" s="1245"/>
      <c r="AE115" s="1245"/>
      <c r="AF115" s="1242"/>
    </row>
    <row r="116" spans="1:34" s="1243" customFormat="1" ht="21">
      <c r="AA116" s="1244"/>
      <c r="AB116" s="1241"/>
      <c r="AC116" s="1245"/>
      <c r="AD116" s="1245"/>
      <c r="AE116" s="1245"/>
      <c r="AF116" s="1242"/>
    </row>
    <row r="117" spans="1:34" s="1243" customFormat="1" ht="21">
      <c r="AA117" s="1244"/>
      <c r="AB117" s="1245"/>
      <c r="AC117" s="1245"/>
      <c r="AD117" s="1245"/>
      <c r="AE117" s="1245"/>
      <c r="AF117" s="1246"/>
    </row>
    <row r="118" spans="1:34" s="1243" customFormat="1" ht="21">
      <c r="B118" s="1741"/>
      <c r="C118" s="1248">
        <v>338</v>
      </c>
      <c r="D118" s="1722"/>
      <c r="E118" s="1248">
        <v>320</v>
      </c>
      <c r="F118" s="1743"/>
      <c r="G118" s="1248">
        <v>290</v>
      </c>
      <c r="H118" s="1726"/>
      <c r="I118" s="1248">
        <v>284.92</v>
      </c>
      <c r="J118" s="1713"/>
      <c r="K118" s="1248">
        <v>365</v>
      </c>
      <c r="L118" s="1722"/>
      <c r="M118" s="1248">
        <v>328.9</v>
      </c>
      <c r="N118" s="1737" t="s">
        <v>1655</v>
      </c>
      <c r="O118" s="1248">
        <v>348.96</v>
      </c>
      <c r="P118" s="1745" t="s">
        <v>1824</v>
      </c>
      <c r="Q118" s="1248">
        <v>351</v>
      </c>
      <c r="R118" s="1722"/>
      <c r="S118" s="1248">
        <v>321.51</v>
      </c>
      <c r="T118" s="1747"/>
      <c r="U118" s="1248">
        <v>346.3</v>
      </c>
      <c r="V118" s="1713"/>
      <c r="W118" s="1248">
        <v>274</v>
      </c>
      <c r="X118" s="1715" t="s">
        <v>1654</v>
      </c>
      <c r="Y118" s="1248">
        <v>336.92</v>
      </c>
      <c r="Z118" s="1713"/>
      <c r="AA118" s="1255">
        <v>239</v>
      </c>
      <c r="AB118" s="1245">
        <f>SUM(C118:AA118)</f>
        <v>4144.51</v>
      </c>
      <c r="AC118" s="1245">
        <v>11</v>
      </c>
      <c r="AD118" s="1245">
        <v>10</v>
      </c>
      <c r="AE118" s="1245">
        <v>9</v>
      </c>
      <c r="AF118" s="1246">
        <v>0</v>
      </c>
      <c r="AG118" s="1243">
        <v>13</v>
      </c>
      <c r="AH118" s="1243">
        <f>AH110+AG118</f>
        <v>171</v>
      </c>
    </row>
    <row r="119" spans="1:34" s="1243" customFormat="1" ht="21">
      <c r="B119" s="1742"/>
      <c r="D119" s="1723"/>
      <c r="F119" s="1744"/>
      <c r="H119" s="1727"/>
      <c r="J119" s="1714"/>
      <c r="L119" s="1723"/>
      <c r="N119" s="1738"/>
      <c r="P119" s="1746"/>
      <c r="R119" s="1723"/>
      <c r="T119" s="1748"/>
      <c r="V119" s="1714"/>
      <c r="X119" s="1716"/>
      <c r="Z119" s="1714"/>
      <c r="AA119" s="1244"/>
      <c r="AB119" s="1241"/>
      <c r="AC119" s="1245"/>
      <c r="AD119" s="1245"/>
      <c r="AE119" s="1245"/>
      <c r="AF119" s="1242"/>
    </row>
    <row r="120" spans="1:34" s="1243" customFormat="1" ht="21">
      <c r="B120" s="1243" t="s">
        <v>1181</v>
      </c>
      <c r="D120" s="1243" t="s">
        <v>34</v>
      </c>
      <c r="F120" s="1243" t="s">
        <v>32</v>
      </c>
      <c r="H120" s="1243" t="s">
        <v>32</v>
      </c>
      <c r="J120" s="1243" t="s">
        <v>53</v>
      </c>
      <c r="L120" s="1243" t="s">
        <v>32</v>
      </c>
      <c r="N120" s="1270" t="s">
        <v>1423</v>
      </c>
      <c r="P120" s="1243" t="s">
        <v>50</v>
      </c>
      <c r="R120" s="1243" t="s">
        <v>34</v>
      </c>
      <c r="T120" s="1243" t="s">
        <v>1181</v>
      </c>
      <c r="V120" s="1243" t="s">
        <v>1423</v>
      </c>
      <c r="X120" s="1243" t="s">
        <v>32</v>
      </c>
      <c r="Z120" s="1243" t="s">
        <v>1181</v>
      </c>
      <c r="AA120" s="1244"/>
      <c r="AB120" s="1245"/>
      <c r="AC120" s="1245"/>
      <c r="AD120" s="1245"/>
      <c r="AE120" s="1245"/>
      <c r="AF120" s="1246"/>
    </row>
    <row r="121" spans="1:34" s="1243" customFormat="1" ht="39">
      <c r="B121" s="1251" t="s">
        <v>1002</v>
      </c>
      <c r="D121" s="1251" t="s">
        <v>1002</v>
      </c>
      <c r="F121" s="1251" t="s">
        <v>1002</v>
      </c>
      <c r="H121" s="1251" t="s">
        <v>1002</v>
      </c>
      <c r="J121" s="1251" t="s">
        <v>1002</v>
      </c>
      <c r="L121" s="1251" t="s">
        <v>1002</v>
      </c>
      <c r="N121" s="1251"/>
      <c r="P121" s="1251"/>
      <c r="R121" s="1251"/>
      <c r="AA121" s="1244"/>
      <c r="AB121" s="1265"/>
      <c r="AC121" s="1245"/>
      <c r="AD121" s="1245"/>
      <c r="AE121" s="1245"/>
      <c r="AF121" s="1242"/>
    </row>
    <row r="122" spans="1:34" s="1243" customFormat="1" ht="21">
      <c r="A122" s="1247"/>
      <c r="B122" s="1247"/>
      <c r="C122" s="1247"/>
      <c r="D122" s="1247"/>
      <c r="E122" s="1247"/>
      <c r="F122" s="1247"/>
      <c r="G122" s="1247"/>
      <c r="H122" s="1247"/>
      <c r="I122" s="1247"/>
      <c r="J122" s="1247"/>
      <c r="K122" s="1247"/>
      <c r="L122" s="1247"/>
      <c r="M122" s="1247"/>
      <c r="N122" s="1247"/>
      <c r="O122" s="1247"/>
      <c r="P122" s="1247"/>
      <c r="Q122" s="1247"/>
      <c r="R122" s="1247"/>
      <c r="S122" s="1247"/>
      <c r="T122" s="1247"/>
      <c r="U122" s="1247"/>
      <c r="V122" s="1247"/>
      <c r="W122" s="1247"/>
      <c r="X122" s="1247"/>
      <c r="Y122" s="1247"/>
      <c r="Z122" s="1247"/>
      <c r="AA122" s="1249"/>
      <c r="AB122" s="1245"/>
      <c r="AC122" s="1245"/>
      <c r="AD122" s="1245"/>
      <c r="AE122" s="1245"/>
      <c r="AF122" s="1246"/>
    </row>
    <row r="123" spans="1:34" s="1243" customFormat="1" ht="21">
      <c r="A123" s="1253"/>
      <c r="B123" s="1253" t="s">
        <v>1283</v>
      </c>
      <c r="C123" s="1253"/>
      <c r="D123" s="1253" t="s">
        <v>1193</v>
      </c>
      <c r="E123" s="1253"/>
      <c r="F123" s="1253" t="s">
        <v>1284</v>
      </c>
      <c r="G123" s="1253"/>
      <c r="H123" s="1253" t="s">
        <v>1285</v>
      </c>
      <c r="I123" s="1253"/>
      <c r="J123" s="1253" t="s">
        <v>1286</v>
      </c>
      <c r="K123" s="1253"/>
      <c r="L123" s="1253" t="s">
        <v>1287</v>
      </c>
      <c r="M123" s="1253"/>
      <c r="N123" s="1253" t="s">
        <v>1288</v>
      </c>
      <c r="O123" s="1253"/>
      <c r="P123" s="1253" t="s">
        <v>1192</v>
      </c>
      <c r="Q123" s="1253"/>
      <c r="R123" s="1253" t="s">
        <v>1289</v>
      </c>
      <c r="S123" s="1253"/>
      <c r="T123" s="1253" t="s">
        <v>1183</v>
      </c>
      <c r="U123" s="1253"/>
      <c r="V123" s="1253" t="s">
        <v>1290</v>
      </c>
      <c r="W123" s="1253"/>
      <c r="X123" s="1253" t="s">
        <v>1184</v>
      </c>
      <c r="Y123" s="1253"/>
      <c r="Z123" s="1253" t="s">
        <v>1185</v>
      </c>
      <c r="AA123" s="1254"/>
      <c r="AB123" s="1241"/>
      <c r="AC123" s="1241"/>
      <c r="AD123" s="1241"/>
      <c r="AE123" s="1241"/>
      <c r="AF123" s="1242"/>
    </row>
    <row r="124" spans="1:34" s="1243" customFormat="1" ht="21">
      <c r="AA124" s="1244"/>
      <c r="AB124" s="1245"/>
      <c r="AC124" s="1245"/>
      <c r="AD124" s="1245"/>
      <c r="AE124" s="1245"/>
      <c r="AF124" s="1246"/>
    </row>
    <row r="125" spans="1:34" s="1243" customFormat="1" ht="21">
      <c r="AA125" s="1244"/>
      <c r="AB125" s="1241"/>
      <c r="AC125" s="1245"/>
      <c r="AD125" s="1245"/>
      <c r="AE125" s="1245"/>
      <c r="AF125" s="1242"/>
    </row>
    <row r="126" spans="1:34" s="1243" customFormat="1" ht="21">
      <c r="B126" s="1749"/>
      <c r="C126" s="1269">
        <v>200.34</v>
      </c>
      <c r="D126" s="1713"/>
      <c r="E126" s="1269">
        <v>276</v>
      </c>
      <c r="F126" s="1751"/>
      <c r="G126" s="1269">
        <v>337</v>
      </c>
      <c r="H126" s="1722"/>
      <c r="I126" s="1269">
        <v>316.76</v>
      </c>
      <c r="J126" s="1713"/>
      <c r="K126" s="1269">
        <v>352</v>
      </c>
      <c r="L126" s="1722"/>
      <c r="M126" s="1269">
        <v>331.24</v>
      </c>
      <c r="N126" s="1713"/>
      <c r="O126" s="1269">
        <v>358</v>
      </c>
      <c r="P126" s="1722"/>
      <c r="Q126" s="1269">
        <v>341.04</v>
      </c>
      <c r="R126" s="1713"/>
      <c r="S126" s="1269">
        <v>286</v>
      </c>
      <c r="T126" s="1726"/>
      <c r="U126" s="1269">
        <v>357</v>
      </c>
      <c r="V126" s="1701"/>
      <c r="W126" s="1269">
        <v>337.63</v>
      </c>
      <c r="X126" s="1713"/>
      <c r="Y126" s="1269">
        <v>282</v>
      </c>
      <c r="Z126" s="1743"/>
      <c r="AA126" s="1267">
        <v>348.04</v>
      </c>
      <c r="AB126" s="1245">
        <f>SUM(C126:AA126)</f>
        <v>4123.05</v>
      </c>
      <c r="AC126" s="1245">
        <v>10</v>
      </c>
      <c r="AD126" s="1245">
        <v>7</v>
      </c>
      <c r="AE126" s="1245">
        <v>6</v>
      </c>
      <c r="AF126" s="1246">
        <v>0</v>
      </c>
      <c r="AG126" s="1243">
        <v>13</v>
      </c>
      <c r="AH126" s="1243">
        <f>AH118+AG126</f>
        <v>184</v>
      </c>
    </row>
    <row r="127" spans="1:34" s="1243" customFormat="1" ht="21">
      <c r="B127" s="1750"/>
      <c r="D127" s="1714"/>
      <c r="F127" s="1752"/>
      <c r="H127" s="1723"/>
      <c r="J127" s="1714"/>
      <c r="L127" s="1723"/>
      <c r="N127" s="1714"/>
      <c r="P127" s="1723"/>
      <c r="R127" s="1714"/>
      <c r="T127" s="1727"/>
      <c r="V127" s="1709"/>
      <c r="X127" s="1714"/>
      <c r="Z127" s="1744"/>
      <c r="AA127" s="1244"/>
      <c r="AB127" s="1241"/>
      <c r="AC127" s="1245"/>
      <c r="AD127" s="1245"/>
      <c r="AE127" s="1245"/>
      <c r="AF127" s="1242"/>
    </row>
    <row r="128" spans="1:34" s="1243" customFormat="1" ht="21">
      <c r="B128" s="1243" t="s">
        <v>32</v>
      </c>
      <c r="D128" s="1243" t="s">
        <v>50</v>
      </c>
      <c r="F128" s="1243" t="s">
        <v>32</v>
      </c>
      <c r="H128" s="1243" t="s">
        <v>48</v>
      </c>
      <c r="J128" s="1243" t="s">
        <v>43</v>
      </c>
      <c r="L128" s="1243" t="s">
        <v>48</v>
      </c>
      <c r="N128" s="1243" t="s">
        <v>1424</v>
      </c>
      <c r="P128" s="1243" t="s">
        <v>48</v>
      </c>
      <c r="R128" s="1243" t="s">
        <v>57</v>
      </c>
      <c r="T128" s="1243" t="s">
        <v>34</v>
      </c>
      <c r="V128" s="1243" t="s">
        <v>32</v>
      </c>
      <c r="X128" s="1243" t="s">
        <v>45</v>
      </c>
      <c r="Z128" s="1243" t="s">
        <v>49</v>
      </c>
      <c r="AA128" s="1244"/>
      <c r="AB128" s="1241"/>
      <c r="AC128" s="1241"/>
      <c r="AD128" s="1241"/>
      <c r="AE128" s="1241"/>
      <c r="AF128" s="1242"/>
    </row>
    <row r="129" spans="1:34" s="1243" customFormat="1" ht="21">
      <c r="B129" s="1252" t="s">
        <v>977</v>
      </c>
      <c r="D129" s="1251"/>
      <c r="F129" s="1251"/>
      <c r="H129" s="1251"/>
      <c r="J129" s="1251"/>
      <c r="L129" s="1251"/>
      <c r="N129" s="1251"/>
      <c r="P129" s="1251"/>
      <c r="R129" s="1251" t="s">
        <v>1002</v>
      </c>
      <c r="T129" s="1251" t="s">
        <v>1002</v>
      </c>
      <c r="V129" s="1251" t="s">
        <v>1002</v>
      </c>
      <c r="X129" s="1251" t="s">
        <v>1002</v>
      </c>
      <c r="AA129" s="1244"/>
      <c r="AB129" s="1265"/>
      <c r="AC129" s="1245"/>
      <c r="AD129" s="1245"/>
      <c r="AE129" s="1245"/>
      <c r="AF129" s="1242"/>
    </row>
    <row r="130" spans="1:34" s="1243" customFormat="1" ht="21">
      <c r="A130" s="1247"/>
      <c r="B130" s="1247"/>
      <c r="C130" s="1247"/>
      <c r="D130" s="1247"/>
      <c r="E130" s="1247"/>
      <c r="F130" s="1247"/>
      <c r="G130" s="1247"/>
      <c r="H130" s="1247"/>
      <c r="I130" s="1247"/>
      <c r="J130" s="1247"/>
      <c r="K130" s="1247"/>
      <c r="L130" s="1247"/>
      <c r="M130" s="1247"/>
      <c r="N130" s="1247"/>
      <c r="O130" s="1247"/>
      <c r="P130" s="1247"/>
      <c r="Q130" s="1247"/>
      <c r="R130" s="1247"/>
      <c r="S130" s="1247"/>
      <c r="T130" s="1247"/>
      <c r="U130" s="1247"/>
      <c r="V130" s="1247"/>
      <c r="W130" s="1247"/>
      <c r="X130" s="1247"/>
      <c r="Y130" s="1247"/>
      <c r="Z130" s="1247"/>
      <c r="AA130" s="1249"/>
      <c r="AB130" s="1241"/>
      <c r="AC130" s="1245"/>
      <c r="AD130" s="1245"/>
      <c r="AE130" s="1245"/>
      <c r="AF130" s="1242"/>
    </row>
    <row r="131" spans="1:34" s="1243" customFormat="1" ht="21">
      <c r="A131" s="1253"/>
      <c r="B131" s="1253" t="s">
        <v>1291</v>
      </c>
      <c r="C131" s="1253"/>
      <c r="D131" s="1253" t="s">
        <v>1292</v>
      </c>
      <c r="E131" s="1253"/>
      <c r="F131" s="1253" t="s">
        <v>1293</v>
      </c>
      <c r="G131" s="1253"/>
      <c r="H131" s="1253" t="s">
        <v>1294</v>
      </c>
      <c r="I131" s="1253"/>
      <c r="J131" s="1253" t="s">
        <v>1295</v>
      </c>
      <c r="K131" s="1253"/>
      <c r="L131" s="1253" t="s">
        <v>1296</v>
      </c>
      <c r="M131" s="1253"/>
      <c r="N131" s="1253" t="s">
        <v>1297</v>
      </c>
      <c r="O131" s="1253"/>
      <c r="P131" s="1253" t="s">
        <v>1298</v>
      </c>
      <c r="Q131" s="1253"/>
      <c r="R131" s="1253" t="s">
        <v>1299</v>
      </c>
      <c r="S131" s="1253"/>
      <c r="T131" s="1253" t="s">
        <v>1300</v>
      </c>
      <c r="U131" s="1253"/>
      <c r="V131" s="1253" t="s">
        <v>1172</v>
      </c>
      <c r="W131" s="1253"/>
      <c r="X131" s="1253" t="s">
        <v>1173</v>
      </c>
      <c r="Y131" s="1253"/>
      <c r="Z131" s="1253" t="s">
        <v>1174</v>
      </c>
      <c r="AA131" s="1254"/>
      <c r="AB131" s="1241"/>
      <c r="AC131" s="1245"/>
      <c r="AD131" s="1245"/>
      <c r="AE131" s="1245"/>
      <c r="AF131" s="1242"/>
    </row>
    <row r="132" spans="1:34" s="1243" customFormat="1" ht="21">
      <c r="AA132" s="1244"/>
      <c r="AB132" s="1241"/>
      <c r="AC132" s="1245"/>
      <c r="AD132" s="1245"/>
      <c r="AE132" s="1245"/>
      <c r="AF132" s="1242"/>
    </row>
    <row r="133" spans="1:34" s="1243" customFormat="1" ht="21">
      <c r="AA133" s="1244"/>
      <c r="AB133" s="1245"/>
      <c r="AC133" s="1245"/>
      <c r="AD133" s="1245"/>
      <c r="AE133" s="1245"/>
      <c r="AF133" s="1246"/>
    </row>
    <row r="134" spans="1:34" s="1243" customFormat="1" ht="21">
      <c r="B134" s="1703"/>
      <c r="C134" s="1271">
        <v>233.78</v>
      </c>
      <c r="D134" s="1703"/>
      <c r="E134" s="1269">
        <v>334</v>
      </c>
      <c r="F134" s="1701"/>
      <c r="G134" s="1269">
        <v>257.67</v>
      </c>
      <c r="H134" s="1703"/>
      <c r="I134" s="1269">
        <v>344.79</v>
      </c>
      <c r="J134" s="1703"/>
      <c r="K134" s="1269">
        <v>247</v>
      </c>
      <c r="L134" s="1701"/>
      <c r="M134" s="1269">
        <v>275</v>
      </c>
      <c r="N134" s="1701"/>
      <c r="O134" s="1269">
        <v>262</v>
      </c>
      <c r="P134" s="1701"/>
      <c r="Q134" s="1269">
        <v>236</v>
      </c>
      <c r="R134" s="1701"/>
      <c r="S134" s="1269">
        <v>233.07</v>
      </c>
      <c r="T134" s="1703"/>
      <c r="U134" s="1269">
        <v>256</v>
      </c>
      <c r="V134" s="1722" t="s">
        <v>1608</v>
      </c>
      <c r="W134" s="1269">
        <v>326</v>
      </c>
      <c r="X134" s="1715" t="s">
        <v>1609</v>
      </c>
      <c r="Y134" s="1269">
        <v>359</v>
      </c>
      <c r="Z134" s="1703"/>
      <c r="AA134" s="1267">
        <v>393</v>
      </c>
      <c r="AB134" s="1245">
        <f>SUM(C134:AA134)</f>
        <v>3757.31</v>
      </c>
      <c r="AC134" s="1245">
        <v>2</v>
      </c>
      <c r="AD134" s="1245">
        <v>2</v>
      </c>
      <c r="AE134" s="1245">
        <v>2</v>
      </c>
      <c r="AF134" s="1246">
        <v>0</v>
      </c>
      <c r="AG134" s="1243">
        <v>13</v>
      </c>
      <c r="AH134" s="1243">
        <f>AH126+AG134</f>
        <v>197</v>
      </c>
    </row>
    <row r="135" spans="1:34" s="1243" customFormat="1" ht="21">
      <c r="B135" s="1704"/>
      <c r="C135" s="1732" t="s">
        <v>1723</v>
      </c>
      <c r="D135" s="1704"/>
      <c r="F135" s="1709"/>
      <c r="H135" s="1704"/>
      <c r="J135" s="1704"/>
      <c r="L135" s="1709"/>
      <c r="N135" s="1709"/>
      <c r="P135" s="1709"/>
      <c r="R135" s="1709"/>
      <c r="T135" s="1704"/>
      <c r="V135" s="1723"/>
      <c r="X135" s="1716"/>
      <c r="Z135" s="1704"/>
      <c r="AA135" s="1244"/>
      <c r="AB135" s="1241"/>
      <c r="AC135" s="1241"/>
      <c r="AD135" s="1241"/>
      <c r="AE135" s="1241"/>
      <c r="AF135" s="1242"/>
    </row>
    <row r="136" spans="1:34" s="1243" customFormat="1" ht="21">
      <c r="B136" s="1272" t="s">
        <v>1427</v>
      </c>
      <c r="C136" s="1733"/>
      <c r="D136" s="1243" t="s">
        <v>1426</v>
      </c>
      <c r="F136" s="1243" t="s">
        <v>49</v>
      </c>
      <c r="H136" s="1243" t="s">
        <v>1181</v>
      </c>
      <c r="J136" s="1243" t="s">
        <v>50</v>
      </c>
      <c r="L136" s="1243" t="s">
        <v>32</v>
      </c>
      <c r="N136" s="1243" t="s">
        <v>34</v>
      </c>
      <c r="P136" s="1243" t="s">
        <v>34</v>
      </c>
      <c r="R136" s="1243" t="s">
        <v>34</v>
      </c>
      <c r="T136" s="1243" t="s">
        <v>1181</v>
      </c>
      <c r="V136" s="1243" t="s">
        <v>48</v>
      </c>
      <c r="X136" s="1243" t="s">
        <v>48</v>
      </c>
      <c r="Z136" s="1243" t="s">
        <v>1175</v>
      </c>
      <c r="AA136" s="1244"/>
      <c r="AB136" s="1241"/>
      <c r="AC136" s="1245"/>
      <c r="AD136" s="1245"/>
      <c r="AE136" s="1245"/>
      <c r="AF136" s="1242"/>
    </row>
    <row r="137" spans="1:34" s="1243" customFormat="1" ht="21">
      <c r="B137" s="1251"/>
      <c r="C137" s="1733"/>
      <c r="D137" s="1251"/>
      <c r="F137" s="1251"/>
      <c r="H137" s="1252" t="s">
        <v>977</v>
      </c>
      <c r="J137" s="1252" t="s">
        <v>977</v>
      </c>
      <c r="L137" s="1251" t="s">
        <v>1002</v>
      </c>
      <c r="N137" s="1251" t="s">
        <v>1002</v>
      </c>
      <c r="P137" s="1251" t="s">
        <v>1002</v>
      </c>
      <c r="R137" s="1251" t="s">
        <v>1002</v>
      </c>
      <c r="T137" s="1251" t="s">
        <v>1002</v>
      </c>
      <c r="V137" s="1251"/>
      <c r="X137" s="1251"/>
      <c r="Z137" s="1252" t="s">
        <v>977</v>
      </c>
      <c r="AA137" s="1244"/>
      <c r="AB137" s="1265"/>
      <c r="AC137" s="1245"/>
      <c r="AD137" s="1245"/>
      <c r="AE137" s="1245"/>
      <c r="AF137" s="1242"/>
    </row>
    <row r="138" spans="1:34" s="1243" customFormat="1" ht="21">
      <c r="A138" s="1247"/>
      <c r="B138" s="1247"/>
      <c r="C138" s="1734"/>
      <c r="D138" s="1247"/>
      <c r="E138" s="1247"/>
      <c r="F138" s="1247"/>
      <c r="G138" s="1247"/>
      <c r="H138" s="1247"/>
      <c r="I138" s="1247"/>
      <c r="J138" s="1247"/>
      <c r="K138" s="1247"/>
      <c r="L138" s="1247"/>
      <c r="M138" s="1247"/>
      <c r="N138" s="1247"/>
      <c r="O138" s="1247"/>
      <c r="P138" s="1247"/>
      <c r="Q138" s="1247"/>
      <c r="R138" s="1247"/>
      <c r="S138" s="1247"/>
      <c r="T138" s="1247"/>
      <c r="U138" s="1247"/>
      <c r="V138" s="1247"/>
      <c r="W138" s="1247"/>
      <c r="X138" s="1247"/>
      <c r="Y138" s="1247"/>
      <c r="Z138" s="1247"/>
      <c r="AA138" s="1249"/>
      <c r="AB138" s="1241"/>
      <c r="AC138" s="1245"/>
      <c r="AD138" s="1245"/>
      <c r="AE138" s="1245"/>
      <c r="AF138" s="1242"/>
    </row>
    <row r="139" spans="1:34" s="1243" customFormat="1" ht="21">
      <c r="A139" s="1253"/>
      <c r="B139" s="1253" t="s">
        <v>1176</v>
      </c>
      <c r="C139" s="1253"/>
      <c r="D139" s="1253" t="s">
        <v>1166</v>
      </c>
      <c r="E139" s="1253"/>
      <c r="F139" s="1253" t="s">
        <v>1169</v>
      </c>
      <c r="G139" s="1253"/>
      <c r="H139" s="1253" t="s">
        <v>1210</v>
      </c>
      <c r="I139" s="1253"/>
      <c r="J139" s="1253" t="s">
        <v>1178</v>
      </c>
      <c r="K139" s="1253"/>
      <c r="L139" s="1253" t="s">
        <v>1179</v>
      </c>
      <c r="M139" s="1253"/>
      <c r="N139" s="1253" t="s">
        <v>1301</v>
      </c>
      <c r="O139" s="1253"/>
      <c r="P139" s="1253" t="s">
        <v>1180</v>
      </c>
      <c r="Q139" s="1253"/>
      <c r="R139" s="1253" t="s">
        <v>1190</v>
      </c>
      <c r="S139" s="1253"/>
      <c r="T139" s="1253" t="s">
        <v>1191</v>
      </c>
      <c r="U139" s="1253"/>
      <c r="V139" s="1253" t="s">
        <v>1196</v>
      </c>
      <c r="W139" s="1253"/>
      <c r="X139" s="1253" t="s">
        <v>1197</v>
      </c>
      <c r="Y139" s="1253"/>
      <c r="Z139" s="1253" t="s">
        <v>1198</v>
      </c>
      <c r="AA139" s="1254"/>
      <c r="AB139" s="1241"/>
      <c r="AC139" s="1245"/>
      <c r="AD139" s="1245"/>
      <c r="AE139" s="1245"/>
      <c r="AF139" s="1242"/>
    </row>
    <row r="140" spans="1:34" s="1243" customFormat="1" ht="21">
      <c r="AA140" s="1244"/>
      <c r="AB140" s="1241"/>
      <c r="AC140" s="1241"/>
      <c r="AD140" s="1241"/>
      <c r="AE140" s="1241"/>
      <c r="AF140" s="1242"/>
    </row>
    <row r="141" spans="1:34" s="1243" customFormat="1" ht="21">
      <c r="AA141" s="1244"/>
      <c r="AB141" s="1245"/>
      <c r="AC141" s="1245"/>
      <c r="AD141" s="1245"/>
      <c r="AE141" s="1245"/>
      <c r="AF141" s="1246"/>
    </row>
    <row r="142" spans="1:34" s="1243" customFormat="1" ht="21">
      <c r="B142" s="1701"/>
      <c r="C142" s="1269">
        <v>303</v>
      </c>
      <c r="D142" s="1707" t="s">
        <v>1610</v>
      </c>
      <c r="E142" s="1269">
        <v>395.2</v>
      </c>
      <c r="F142" s="1705" t="s">
        <v>1611</v>
      </c>
      <c r="G142" s="1269">
        <v>343.79</v>
      </c>
      <c r="H142" s="1753" t="s">
        <v>1619</v>
      </c>
      <c r="I142" s="1269">
        <v>351</v>
      </c>
      <c r="J142" s="1707" t="s">
        <v>1612</v>
      </c>
      <c r="K142" s="1269">
        <v>347</v>
      </c>
      <c r="L142" s="1707" t="s">
        <v>1613</v>
      </c>
      <c r="M142" s="1269">
        <v>351</v>
      </c>
      <c r="N142" s="1707" t="s">
        <v>1614</v>
      </c>
      <c r="O142" s="1269">
        <v>323.83</v>
      </c>
      <c r="P142" s="1713"/>
      <c r="Q142" s="1269">
        <v>253</v>
      </c>
      <c r="R142" s="1715" t="s">
        <v>1615</v>
      </c>
      <c r="S142" s="1269">
        <v>274</v>
      </c>
      <c r="T142" s="1715" t="s">
        <v>1616</v>
      </c>
      <c r="U142" s="1269">
        <v>282</v>
      </c>
      <c r="V142" s="1715" t="s">
        <v>1617</v>
      </c>
      <c r="W142" s="1269">
        <v>321</v>
      </c>
      <c r="X142" s="1715" t="s">
        <v>1618</v>
      </c>
      <c r="Y142" s="1269">
        <v>353.24</v>
      </c>
      <c r="Z142" s="1713"/>
      <c r="AA142" s="1267">
        <v>207</v>
      </c>
      <c r="AB142" s="1245">
        <f>SUM(C142:AA142)</f>
        <v>4105.0599999999995</v>
      </c>
      <c r="AC142" s="1245">
        <v>12</v>
      </c>
      <c r="AD142" s="1245">
        <v>11</v>
      </c>
      <c r="AE142" s="1245">
        <v>12</v>
      </c>
      <c r="AF142" s="1246">
        <v>0</v>
      </c>
      <c r="AG142" s="1243">
        <v>13</v>
      </c>
      <c r="AH142" s="1243">
        <f>AH134+AG142</f>
        <v>210</v>
      </c>
    </row>
    <row r="143" spans="1:34" s="1243" customFormat="1" ht="21">
      <c r="B143" s="1709"/>
      <c r="D143" s="1712"/>
      <c r="F143" s="1706"/>
      <c r="H143" s="1754"/>
      <c r="J143" s="1712"/>
      <c r="L143" s="1712"/>
      <c r="N143" s="1712"/>
      <c r="P143" s="1714"/>
      <c r="R143" s="1716"/>
      <c r="T143" s="1716"/>
      <c r="V143" s="1716"/>
      <c r="X143" s="1716"/>
      <c r="Z143" s="1714"/>
      <c r="AA143" s="1244"/>
      <c r="AB143" s="1241"/>
      <c r="AC143" s="1245"/>
      <c r="AD143" s="1245"/>
      <c r="AE143" s="1245"/>
      <c r="AF143" s="1242"/>
    </row>
    <row r="144" spans="1:34" s="1243" customFormat="1" ht="21">
      <c r="B144" s="1243" t="s">
        <v>32</v>
      </c>
      <c r="D144" s="1243" t="s">
        <v>32</v>
      </c>
      <c r="F144" s="1243" t="s">
        <v>43</v>
      </c>
      <c r="H144" s="1243" t="s">
        <v>43</v>
      </c>
      <c r="J144" s="1243" t="s">
        <v>34</v>
      </c>
      <c r="L144" s="1243" t="s">
        <v>32</v>
      </c>
      <c r="N144" s="1243" t="s">
        <v>48</v>
      </c>
      <c r="P144" s="1243" t="s">
        <v>53</v>
      </c>
      <c r="R144" s="1243" t="s">
        <v>48</v>
      </c>
      <c r="T144" s="1243" t="s">
        <v>32</v>
      </c>
      <c r="V144" s="1243" t="s">
        <v>32</v>
      </c>
      <c r="X144" s="1243" t="s">
        <v>32</v>
      </c>
      <c r="Z144" s="1243" t="s">
        <v>53</v>
      </c>
      <c r="AA144" s="1244"/>
      <c r="AB144" s="1273"/>
      <c r="AC144" s="1245"/>
      <c r="AD144" s="1245"/>
      <c r="AE144" s="1245"/>
      <c r="AF144" s="1242"/>
    </row>
    <row r="145" spans="1:34" s="1243" customFormat="1" ht="21">
      <c r="A145" s="1247"/>
      <c r="B145" s="1252" t="s">
        <v>977</v>
      </c>
      <c r="C145" s="1247"/>
      <c r="D145" s="1247"/>
      <c r="E145" s="1247"/>
      <c r="F145" s="1247"/>
      <c r="G145" s="1247"/>
      <c r="H145" s="1247"/>
      <c r="I145" s="1247"/>
      <c r="J145" s="1247"/>
      <c r="K145" s="1247"/>
      <c r="L145" s="1247"/>
      <c r="M145" s="1247"/>
      <c r="N145" s="1247"/>
      <c r="O145" s="1247"/>
      <c r="P145" s="1247"/>
      <c r="Q145" s="1247"/>
      <c r="R145" s="1247"/>
      <c r="S145" s="1247"/>
      <c r="T145" s="1247"/>
      <c r="U145" s="1247"/>
      <c r="V145" s="1247"/>
      <c r="W145" s="1247"/>
      <c r="X145" s="1247"/>
      <c r="Y145" s="1247"/>
      <c r="Z145" s="1247"/>
      <c r="AA145" s="1249"/>
      <c r="AB145" s="1241"/>
      <c r="AC145" s="1241"/>
      <c r="AD145" s="1241"/>
      <c r="AE145" s="1241"/>
      <c r="AF145" s="1242"/>
    </row>
    <row r="146" spans="1:34" s="1243" customFormat="1" ht="21">
      <c r="A146" s="1253"/>
      <c r="B146" s="1253" t="s">
        <v>1199</v>
      </c>
      <c r="C146" s="1253"/>
      <c r="D146" s="1253" t="s">
        <v>1200</v>
      </c>
      <c r="E146" s="1253"/>
      <c r="F146" s="1253" t="s">
        <v>1302</v>
      </c>
      <c r="G146" s="1253"/>
      <c r="H146" s="1253" t="s">
        <v>1303</v>
      </c>
      <c r="I146" s="1253"/>
      <c r="J146" s="1253" t="s">
        <v>1304</v>
      </c>
      <c r="K146" s="1253"/>
      <c r="L146" s="1253" t="s">
        <v>1202</v>
      </c>
      <c r="M146" s="1253"/>
      <c r="N146" s="1253" t="s">
        <v>1203</v>
      </c>
      <c r="O146" s="1253"/>
      <c r="P146" s="1253" t="s">
        <v>1305</v>
      </c>
      <c r="Q146" s="1253"/>
      <c r="R146" s="1253" t="s">
        <v>1306</v>
      </c>
      <c r="S146" s="1253"/>
      <c r="T146" s="1253" t="s">
        <v>1307</v>
      </c>
      <c r="U146" s="1253"/>
      <c r="V146" s="1253" t="s">
        <v>1308</v>
      </c>
      <c r="W146" s="1253"/>
      <c r="X146" s="1253" t="s">
        <v>1309</v>
      </c>
      <c r="Y146" s="1253"/>
      <c r="Z146" s="1253" t="s">
        <v>1310</v>
      </c>
      <c r="AA146" s="1254"/>
      <c r="AB146" s="1241"/>
      <c r="AC146" s="1241"/>
      <c r="AD146" s="1241"/>
      <c r="AE146" s="1241"/>
      <c r="AF146" s="1242"/>
    </row>
    <row r="147" spans="1:34" s="1243" customFormat="1" ht="21">
      <c r="AA147" s="1244"/>
      <c r="AB147" s="1245"/>
      <c r="AC147" s="1245"/>
      <c r="AD147" s="1245"/>
      <c r="AE147" s="1245"/>
      <c r="AF147" s="1246"/>
    </row>
    <row r="148" spans="1:34" s="1243" customFormat="1" ht="21">
      <c r="AA148" s="1244"/>
      <c r="AB148" s="1245"/>
      <c r="AC148" s="1245"/>
      <c r="AD148" s="1245"/>
      <c r="AE148" s="1245"/>
      <c r="AF148" s="1246"/>
    </row>
    <row r="149" spans="1:34" s="1243" customFormat="1" ht="21">
      <c r="B149" s="1715" t="s">
        <v>1620</v>
      </c>
      <c r="C149" s="1269">
        <v>329</v>
      </c>
      <c r="D149" s="1722"/>
      <c r="E149" s="1269">
        <v>334</v>
      </c>
      <c r="F149" s="1728"/>
      <c r="G149" s="1269">
        <v>331</v>
      </c>
      <c r="H149" s="1722"/>
      <c r="I149" s="1269">
        <v>209.59</v>
      </c>
      <c r="J149" s="1741"/>
      <c r="K149" s="1269">
        <v>304</v>
      </c>
      <c r="L149" s="1722"/>
      <c r="M149" s="1269">
        <v>302</v>
      </c>
      <c r="N149" s="1722"/>
      <c r="O149" s="1269">
        <v>315</v>
      </c>
      <c r="P149" s="1722"/>
      <c r="Q149" s="1269">
        <v>285</v>
      </c>
      <c r="R149" s="1722"/>
      <c r="S149" s="1269">
        <v>348.77</v>
      </c>
      <c r="T149" s="1713"/>
      <c r="U149" s="1269">
        <v>281.67</v>
      </c>
      <c r="V149" s="1713"/>
      <c r="W149" s="1269">
        <v>322</v>
      </c>
      <c r="X149" s="1743"/>
      <c r="Y149" s="1269">
        <v>293</v>
      </c>
      <c r="Z149" s="1701"/>
      <c r="AA149" s="1267">
        <v>314</v>
      </c>
      <c r="AB149" s="1245">
        <f>SUM(C149:AA149)</f>
        <v>3969.03</v>
      </c>
      <c r="AC149" s="1245">
        <v>11</v>
      </c>
      <c r="AD149" s="1245">
        <v>4</v>
      </c>
      <c r="AE149" s="1245">
        <v>8</v>
      </c>
      <c r="AF149" s="1246">
        <v>0</v>
      </c>
      <c r="AG149" s="1243">
        <v>13</v>
      </c>
      <c r="AH149" s="1243">
        <f>AH142+AG149</f>
        <v>223</v>
      </c>
    </row>
    <row r="150" spans="1:34" s="1243" customFormat="1" ht="21">
      <c r="B150" s="1716"/>
      <c r="D150" s="1723"/>
      <c r="F150" s="1729"/>
      <c r="H150" s="1723"/>
      <c r="J150" s="1742"/>
      <c r="L150" s="1723"/>
      <c r="N150" s="1723"/>
      <c r="P150" s="1723"/>
      <c r="R150" s="1723"/>
      <c r="T150" s="1714"/>
      <c r="V150" s="1714"/>
      <c r="X150" s="1744"/>
      <c r="Z150" s="1709"/>
      <c r="AA150" s="1244"/>
      <c r="AB150" s="1241"/>
      <c r="AC150" s="1245"/>
      <c r="AD150" s="1245"/>
      <c r="AE150" s="1245"/>
      <c r="AF150" s="1242"/>
    </row>
    <row r="151" spans="1:34" s="1243" customFormat="1" ht="21">
      <c r="B151" s="1243" t="s">
        <v>34</v>
      </c>
      <c r="D151" s="1243" t="s">
        <v>34</v>
      </c>
      <c r="F151" s="1243" t="s">
        <v>34</v>
      </c>
      <c r="H151" s="1243" t="s">
        <v>32</v>
      </c>
      <c r="J151" s="1243" t="s">
        <v>53</v>
      </c>
      <c r="L151" s="1243" t="s">
        <v>32</v>
      </c>
      <c r="N151" s="1243" t="s">
        <v>48</v>
      </c>
      <c r="P151" s="1243" t="s">
        <v>32</v>
      </c>
      <c r="R151" s="1243" t="s">
        <v>48</v>
      </c>
      <c r="T151" s="1243" t="s">
        <v>1423</v>
      </c>
      <c r="V151" s="1243" t="s">
        <v>1181</v>
      </c>
      <c r="X151" s="1243" t="s">
        <v>32</v>
      </c>
      <c r="Z151" s="1243" t="s">
        <v>48</v>
      </c>
      <c r="AA151" s="1244"/>
      <c r="AB151" s="1241"/>
      <c r="AC151" s="1241"/>
      <c r="AD151" s="1241"/>
      <c r="AE151" s="1241"/>
      <c r="AF151" s="1242"/>
    </row>
    <row r="152" spans="1:34" s="1243" customFormat="1" ht="21">
      <c r="B152" s="1251"/>
      <c r="F152" s="1251" t="s">
        <v>1002</v>
      </c>
      <c r="H152" s="1251"/>
      <c r="J152" s="1251" t="s">
        <v>1002</v>
      </c>
      <c r="L152" s="1251" t="s">
        <v>1002</v>
      </c>
      <c r="N152" s="1251" t="s">
        <v>1002</v>
      </c>
      <c r="P152" s="1251" t="s">
        <v>1002</v>
      </c>
      <c r="R152" s="1251" t="s">
        <v>1002</v>
      </c>
      <c r="T152" s="1251" t="s">
        <v>1002</v>
      </c>
      <c r="X152" s="1251"/>
      <c r="AA152" s="1244"/>
      <c r="AB152" s="1265"/>
      <c r="AC152" s="1245"/>
      <c r="AD152" s="1245"/>
      <c r="AE152" s="1245"/>
      <c r="AF152" s="1242"/>
    </row>
    <row r="153" spans="1:34" s="1243" customFormat="1" ht="21">
      <c r="B153" s="1251"/>
      <c r="D153" s="1251"/>
      <c r="H153" s="1251"/>
      <c r="L153" s="1251"/>
      <c r="N153" s="1251"/>
      <c r="P153" s="1251"/>
      <c r="R153" s="1251"/>
      <c r="T153" s="1251"/>
      <c r="V153" s="1251"/>
      <c r="X153" s="1251"/>
      <c r="AA153" s="1244"/>
      <c r="AB153" s="1265"/>
      <c r="AC153" s="1245"/>
      <c r="AD153" s="1245"/>
      <c r="AE153" s="1245"/>
      <c r="AF153" s="1242"/>
    </row>
    <row r="154" spans="1:34" s="1243" customFormat="1" ht="21">
      <c r="A154" s="1253"/>
      <c r="B154" s="1253" t="s">
        <v>1311</v>
      </c>
      <c r="C154" s="1253"/>
      <c r="D154" s="1253" t="s">
        <v>1312</v>
      </c>
      <c r="E154" s="1253"/>
      <c r="F154" s="1253" t="s">
        <v>1313</v>
      </c>
      <c r="G154" s="1253"/>
      <c r="H154" s="1253" t="s">
        <v>1314</v>
      </c>
      <c r="I154" s="1253"/>
      <c r="J154" s="1253" t="s">
        <v>1315</v>
      </c>
      <c r="K154" s="1253"/>
      <c r="L154" s="1253" t="s">
        <v>1316</v>
      </c>
      <c r="M154" s="1253"/>
      <c r="N154" s="1253" t="s">
        <v>1317</v>
      </c>
      <c r="O154" s="1253"/>
      <c r="P154" s="1253" t="s">
        <v>1318</v>
      </c>
      <c r="Q154" s="1253"/>
      <c r="R154" s="1253" t="s">
        <v>1319</v>
      </c>
      <c r="S154" s="1253"/>
      <c r="T154" s="1253" t="s">
        <v>1320</v>
      </c>
      <c r="U154" s="1253"/>
      <c r="V154" s="1253" t="s">
        <v>1321</v>
      </c>
      <c r="W154" s="1253"/>
      <c r="X154" s="1253" t="s">
        <v>1322</v>
      </c>
      <c r="Y154" s="1253"/>
      <c r="Z154" s="1253" t="s">
        <v>1323</v>
      </c>
      <c r="AA154" s="1254"/>
      <c r="AB154" s="1241"/>
      <c r="AC154" s="1245"/>
      <c r="AD154" s="1245"/>
      <c r="AE154" s="1245"/>
      <c r="AF154" s="1242"/>
    </row>
    <row r="155" spans="1:34" s="1243" customFormat="1" ht="21">
      <c r="AA155" s="1244"/>
      <c r="AB155" s="1241"/>
      <c r="AC155" s="1245"/>
      <c r="AD155" s="1245"/>
      <c r="AE155" s="1245"/>
      <c r="AF155" s="1242"/>
    </row>
    <row r="156" spans="1:34" s="1243" customFormat="1" ht="21">
      <c r="AA156" s="1244"/>
      <c r="AB156" s="1245"/>
      <c r="AC156" s="1245"/>
      <c r="AD156" s="1245"/>
      <c r="AE156" s="1245"/>
      <c r="AF156" s="1246"/>
    </row>
    <row r="157" spans="1:34" s="1243" customFormat="1" ht="21">
      <c r="B157" s="1701"/>
      <c r="C157" s="1269">
        <v>342</v>
      </c>
      <c r="D157" s="1722"/>
      <c r="E157" s="1269">
        <v>269</v>
      </c>
      <c r="F157" s="1722"/>
      <c r="G157" s="1269">
        <v>318.97000000000003</v>
      </c>
      <c r="H157" s="1713"/>
      <c r="I157" s="1269">
        <v>251</v>
      </c>
      <c r="J157" s="1722"/>
      <c r="K157" s="1269">
        <v>302</v>
      </c>
      <c r="L157" s="1722"/>
      <c r="M157" s="1269">
        <v>338.05</v>
      </c>
      <c r="N157" s="1713"/>
      <c r="O157" s="1269">
        <v>326</v>
      </c>
      <c r="P157" s="1722"/>
      <c r="Q157" s="1269">
        <v>291</v>
      </c>
      <c r="R157" s="1722"/>
      <c r="S157" s="1269">
        <v>288</v>
      </c>
      <c r="T157" s="1722"/>
      <c r="U157" s="1269">
        <v>202.34</v>
      </c>
      <c r="V157" s="1755" t="s">
        <v>1824</v>
      </c>
      <c r="W157" s="1269">
        <v>250</v>
      </c>
      <c r="X157" s="1722"/>
      <c r="Y157" s="1269">
        <v>186.62</v>
      </c>
      <c r="Z157" s="1713"/>
      <c r="AA157" s="1267">
        <v>277</v>
      </c>
      <c r="AB157" s="1245">
        <f>SUM(C157:AA157)</f>
        <v>3641.98</v>
      </c>
      <c r="AC157" s="1245">
        <v>12</v>
      </c>
      <c r="AD157" s="1245">
        <v>5</v>
      </c>
      <c r="AE157" s="1245">
        <v>3</v>
      </c>
      <c r="AF157" s="1246">
        <v>0</v>
      </c>
      <c r="AG157" s="1243">
        <v>13</v>
      </c>
      <c r="AH157" s="1243">
        <f>AH149+AG157</f>
        <v>236</v>
      </c>
    </row>
    <row r="158" spans="1:34" s="1243" customFormat="1" ht="21">
      <c r="B158" s="1709"/>
      <c r="D158" s="1723"/>
      <c r="F158" s="1723"/>
      <c r="H158" s="1714"/>
      <c r="J158" s="1723"/>
      <c r="L158" s="1723"/>
      <c r="N158" s="1714"/>
      <c r="P158" s="1723"/>
      <c r="R158" s="1723"/>
      <c r="T158" s="1723"/>
      <c r="V158" s="1756"/>
      <c r="X158" s="1723"/>
      <c r="Z158" s="1714"/>
      <c r="AA158" s="1244"/>
      <c r="AB158" s="1241"/>
      <c r="AC158" s="1245"/>
      <c r="AD158" s="1245"/>
      <c r="AE158" s="1245"/>
      <c r="AF158" s="1242"/>
    </row>
    <row r="159" spans="1:34" s="1243" customFormat="1" ht="21">
      <c r="B159" s="1243" t="s">
        <v>32</v>
      </c>
      <c r="D159" s="1243" t="s">
        <v>34</v>
      </c>
      <c r="F159" s="1243" t="s">
        <v>32</v>
      </c>
      <c r="H159" s="1243" t="s">
        <v>57</v>
      </c>
      <c r="J159" s="1243" t="s">
        <v>32</v>
      </c>
      <c r="L159" s="1243" t="s">
        <v>48</v>
      </c>
      <c r="N159" s="1243" t="s">
        <v>1423</v>
      </c>
      <c r="P159" s="1243" t="s">
        <v>34</v>
      </c>
      <c r="R159" s="1243" t="s">
        <v>34</v>
      </c>
      <c r="T159" s="1243" t="s">
        <v>34</v>
      </c>
      <c r="V159" s="1243" t="s">
        <v>1181</v>
      </c>
      <c r="X159" s="1243" t="s">
        <v>32</v>
      </c>
      <c r="Z159" s="1243" t="s">
        <v>50</v>
      </c>
      <c r="AA159" s="1244"/>
      <c r="AB159" s="1245"/>
      <c r="AC159" s="1245"/>
      <c r="AD159" s="1245"/>
      <c r="AE159" s="1245"/>
      <c r="AF159" s="1246"/>
    </row>
    <row r="160" spans="1:34" s="1243" customFormat="1" ht="21">
      <c r="D160" s="1251" t="s">
        <v>1002</v>
      </c>
      <c r="R160" s="1251" t="s">
        <v>1002</v>
      </c>
      <c r="T160" s="1251" t="s">
        <v>1002</v>
      </c>
      <c r="AA160" s="1244"/>
      <c r="AB160" s="1245"/>
      <c r="AC160" s="1245"/>
      <c r="AD160" s="1245"/>
      <c r="AE160" s="1245"/>
      <c r="AF160" s="1246"/>
    </row>
    <row r="161" spans="1:34" s="1243" customFormat="1" ht="21">
      <c r="A161" s="1253"/>
      <c r="B161" s="1253" t="s">
        <v>1324</v>
      </c>
      <c r="C161" s="1253"/>
      <c r="D161" s="1253" t="s">
        <v>1325</v>
      </c>
      <c r="E161" s="1253"/>
      <c r="F161" s="1253" t="s">
        <v>1326</v>
      </c>
      <c r="G161" s="1253"/>
      <c r="H161" s="1253" t="s">
        <v>1327</v>
      </c>
      <c r="I161" s="1253"/>
      <c r="J161" s="1253" t="s">
        <v>1328</v>
      </c>
      <c r="K161" s="1253"/>
      <c r="L161" s="1253" t="s">
        <v>1329</v>
      </c>
      <c r="M161" s="1253"/>
      <c r="N161" s="1253" t="s">
        <v>1330</v>
      </c>
      <c r="O161" s="1253"/>
      <c r="P161" s="1253" t="s">
        <v>1331</v>
      </c>
      <c r="Q161" s="1253"/>
      <c r="R161" s="1253" t="s">
        <v>1332</v>
      </c>
      <c r="S161" s="1253"/>
      <c r="T161" s="1253" t="s">
        <v>1333</v>
      </c>
      <c r="U161" s="1253"/>
      <c r="V161" s="1253" t="s">
        <v>1334</v>
      </c>
      <c r="W161" s="1253"/>
      <c r="X161" s="1253" t="s">
        <v>1335</v>
      </c>
      <c r="Y161" s="1253"/>
      <c r="Z161" s="1253" t="s">
        <v>1336</v>
      </c>
      <c r="AA161" s="1254"/>
      <c r="AB161" s="1241"/>
      <c r="AC161" s="1241"/>
      <c r="AD161" s="1241"/>
      <c r="AE161" s="1241"/>
      <c r="AF161" s="1242"/>
    </row>
    <row r="162" spans="1:34" s="1243" customFormat="1" ht="21">
      <c r="AA162" s="1244"/>
      <c r="AB162" s="1245"/>
      <c r="AC162" s="1245"/>
      <c r="AD162" s="1245"/>
      <c r="AE162" s="1245"/>
      <c r="AF162" s="1246"/>
    </row>
    <row r="163" spans="1:34" s="1243" customFormat="1" ht="21">
      <c r="E163" s="1759">
        <v>216.63</v>
      </c>
      <c r="AA163" s="1244"/>
      <c r="AB163" s="1241"/>
      <c r="AC163" s="1245"/>
      <c r="AD163" s="1245"/>
      <c r="AE163" s="1245"/>
      <c r="AF163" s="1242"/>
    </row>
    <row r="164" spans="1:34" s="1243" customFormat="1" ht="21">
      <c r="B164" s="1701"/>
      <c r="C164" s="1269">
        <v>229.01</v>
      </c>
      <c r="D164" s="1703"/>
      <c r="E164" s="1760"/>
      <c r="F164" s="1703"/>
      <c r="G164" s="1269">
        <v>260</v>
      </c>
      <c r="H164" s="1701"/>
      <c r="I164" s="1269">
        <v>296</v>
      </c>
      <c r="J164" s="1722"/>
      <c r="K164" s="1269">
        <v>287.11</v>
      </c>
      <c r="L164" s="1713"/>
      <c r="M164" s="1269">
        <v>241.7</v>
      </c>
      <c r="N164" s="1713"/>
      <c r="O164" s="1269">
        <v>143.96</v>
      </c>
      <c r="P164" s="1713"/>
      <c r="Q164" s="1269">
        <v>360.45</v>
      </c>
      <c r="R164" s="1713"/>
      <c r="S164" s="1269">
        <v>302</v>
      </c>
      <c r="T164" s="1722"/>
      <c r="U164" s="1269">
        <v>353</v>
      </c>
      <c r="V164" s="1726"/>
      <c r="W164" s="1269">
        <v>341</v>
      </c>
      <c r="X164" s="1722"/>
      <c r="Y164" s="1269">
        <v>353.1</v>
      </c>
      <c r="Z164" s="1713"/>
      <c r="AA164" s="1267">
        <v>343</v>
      </c>
      <c r="AB164" s="1245">
        <f>SUM(C164:AA164)</f>
        <v>3510.33</v>
      </c>
      <c r="AC164" s="1245">
        <v>9</v>
      </c>
      <c r="AD164" s="1245">
        <v>6</v>
      </c>
      <c r="AE164" s="1245">
        <v>0</v>
      </c>
      <c r="AF164" s="1246">
        <v>0</v>
      </c>
      <c r="AG164" s="1243">
        <v>13</v>
      </c>
      <c r="AH164" s="1243">
        <f>AH157+AG164</f>
        <v>249</v>
      </c>
    </row>
    <row r="165" spans="1:34" s="1243" customFormat="1" ht="21">
      <c r="B165" s="1709"/>
      <c r="D165" s="1704"/>
      <c r="E165" s="1761" t="s">
        <v>1725</v>
      </c>
      <c r="F165" s="1704"/>
      <c r="H165" s="1709"/>
      <c r="J165" s="1723"/>
      <c r="L165" s="1714"/>
      <c r="N165" s="1714"/>
      <c r="O165" s="1717" t="s">
        <v>1724</v>
      </c>
      <c r="P165" s="1714"/>
      <c r="R165" s="1714"/>
      <c r="T165" s="1723"/>
      <c r="V165" s="1727"/>
      <c r="X165" s="1723"/>
      <c r="Z165" s="1714"/>
      <c r="AA165" s="1244"/>
      <c r="AB165" s="1241"/>
      <c r="AC165" s="1245"/>
      <c r="AD165" s="1245"/>
      <c r="AE165" s="1245"/>
      <c r="AF165" s="1242"/>
    </row>
    <row r="166" spans="1:34" s="1243" customFormat="1" ht="21">
      <c r="B166" s="1243" t="s">
        <v>32</v>
      </c>
      <c r="D166" s="1243" t="s">
        <v>1181</v>
      </c>
      <c r="E166" s="1762"/>
      <c r="F166" s="1243" t="s">
        <v>50</v>
      </c>
      <c r="H166" s="1243" t="s">
        <v>32</v>
      </c>
      <c r="J166" s="1243" t="s">
        <v>32</v>
      </c>
      <c r="L166" s="1243" t="s">
        <v>45</v>
      </c>
      <c r="N166" s="1243" t="s">
        <v>1426</v>
      </c>
      <c r="O166" s="1718"/>
      <c r="P166" s="1243" t="s">
        <v>1426</v>
      </c>
      <c r="R166" s="1243" t="s">
        <v>50</v>
      </c>
      <c r="T166" s="1243" t="s">
        <v>48</v>
      </c>
      <c r="V166" s="1243" t="s">
        <v>48</v>
      </c>
      <c r="X166" s="1243" t="s">
        <v>34</v>
      </c>
      <c r="Z166" s="1243" t="s">
        <v>43</v>
      </c>
      <c r="AA166" s="1244"/>
      <c r="AB166" s="1241"/>
      <c r="AC166" s="1241"/>
      <c r="AD166" s="1241"/>
      <c r="AE166" s="1241"/>
      <c r="AF166" s="1242"/>
    </row>
    <row r="167" spans="1:34" s="1243" customFormat="1" ht="21">
      <c r="D167" s="1251"/>
      <c r="L167" s="1251" t="s">
        <v>1002</v>
      </c>
      <c r="N167" s="1251" t="s">
        <v>1002</v>
      </c>
      <c r="O167" s="1719"/>
      <c r="P167" s="1251" t="s">
        <v>1002</v>
      </c>
      <c r="R167" s="1251" t="s">
        <v>1002</v>
      </c>
      <c r="T167" s="1251" t="s">
        <v>1002</v>
      </c>
      <c r="V167" s="1251" t="s">
        <v>1002</v>
      </c>
      <c r="X167" s="1251" t="s">
        <v>1002</v>
      </c>
      <c r="Z167" s="1251" t="s">
        <v>1002</v>
      </c>
      <c r="AA167" s="1244"/>
      <c r="AB167" s="1245"/>
      <c r="AC167" s="1245"/>
      <c r="AD167" s="1245"/>
      <c r="AE167" s="1245"/>
      <c r="AF167" s="1246"/>
    </row>
    <row r="168" spans="1:34" s="1243" customFormat="1" ht="21">
      <c r="A168" s="1253"/>
      <c r="B168" s="1253" t="s">
        <v>1337</v>
      </c>
      <c r="C168" s="1253"/>
      <c r="D168" s="1253" t="s">
        <v>1338</v>
      </c>
      <c r="E168" s="1253"/>
      <c r="F168" s="1253" t="s">
        <v>1339</v>
      </c>
      <c r="G168" s="1253"/>
      <c r="H168" s="1253" t="s">
        <v>1340</v>
      </c>
      <c r="I168" s="1253"/>
      <c r="J168" s="1253" t="s">
        <v>1341</v>
      </c>
      <c r="K168" s="1253"/>
      <c r="L168" s="1253" t="s">
        <v>1342</v>
      </c>
      <c r="M168" s="1253"/>
      <c r="N168" s="1253" t="s">
        <v>1343</v>
      </c>
      <c r="O168" s="1253"/>
      <c r="P168" s="1253" t="s">
        <v>1344</v>
      </c>
      <c r="Q168" s="1253"/>
      <c r="R168" s="1253" t="s">
        <v>1345</v>
      </c>
      <c r="S168" s="1253"/>
      <c r="T168" s="1253" t="s">
        <v>1346</v>
      </c>
      <c r="U168" s="1253"/>
      <c r="V168" s="1253" t="s">
        <v>1347</v>
      </c>
      <c r="W168" s="1253"/>
      <c r="X168" s="1253" t="s">
        <v>1348</v>
      </c>
      <c r="Y168" s="1253"/>
      <c r="Z168" s="1253" t="s">
        <v>1349</v>
      </c>
      <c r="AA168" s="1254"/>
      <c r="AB168" s="1241"/>
      <c r="AC168" s="1245"/>
      <c r="AD168" s="1245"/>
      <c r="AE168" s="1245"/>
      <c r="AF168" s="1242"/>
    </row>
    <row r="169" spans="1:34" s="1243" customFormat="1" ht="21">
      <c r="AA169" s="1244"/>
      <c r="AB169" s="1241"/>
      <c r="AC169" s="1245"/>
      <c r="AD169" s="1245"/>
      <c r="AE169" s="1245"/>
      <c r="AF169" s="1242"/>
    </row>
    <row r="170" spans="1:34" s="1243" customFormat="1" ht="21">
      <c r="AA170" s="1244"/>
      <c r="AB170" s="1241"/>
      <c r="AC170" s="1245"/>
      <c r="AD170" s="1245"/>
      <c r="AE170" s="1245"/>
      <c r="AF170" s="1242"/>
    </row>
    <row r="171" spans="1:34" s="1243" customFormat="1" ht="21">
      <c r="B171" s="1722"/>
      <c r="C171" s="1269">
        <v>352.08</v>
      </c>
      <c r="D171" s="1713" t="s">
        <v>42</v>
      </c>
      <c r="E171" s="1269">
        <v>330</v>
      </c>
      <c r="F171" s="1722"/>
      <c r="G171" s="1269">
        <v>349.25</v>
      </c>
      <c r="H171" s="1713"/>
      <c r="I171" s="1269">
        <v>246</v>
      </c>
      <c r="J171" s="1722"/>
      <c r="K171" s="1269">
        <v>237</v>
      </c>
      <c r="L171" s="1728"/>
      <c r="M171" s="1269">
        <v>240</v>
      </c>
      <c r="N171" s="1757" t="s">
        <v>1823</v>
      </c>
      <c r="O171" s="1269">
        <v>272</v>
      </c>
      <c r="P171" s="1757" t="s">
        <v>1735</v>
      </c>
      <c r="Q171" s="1269">
        <v>342.61</v>
      </c>
      <c r="R171" s="1713"/>
      <c r="S171" s="1269">
        <v>326</v>
      </c>
      <c r="T171" s="1728" t="s">
        <v>42</v>
      </c>
      <c r="U171" s="1269">
        <v>328.58</v>
      </c>
      <c r="V171" s="1713"/>
      <c r="W171" s="1269">
        <v>305</v>
      </c>
      <c r="X171" s="1701"/>
      <c r="Y171" s="1269">
        <v>372</v>
      </c>
      <c r="Z171" s="1722"/>
      <c r="AA171" s="1267">
        <v>290</v>
      </c>
      <c r="AB171" s="1245">
        <f>SUM(C171:AA171)</f>
        <v>3990.52</v>
      </c>
      <c r="AC171" s="1245">
        <v>12</v>
      </c>
      <c r="AD171" s="1245">
        <v>12</v>
      </c>
      <c r="AE171" s="1245">
        <v>9</v>
      </c>
      <c r="AF171" s="1246">
        <v>0</v>
      </c>
      <c r="AG171" s="1243">
        <v>13</v>
      </c>
      <c r="AH171" s="1243">
        <f>AH164+AG171</f>
        <v>262</v>
      </c>
    </row>
    <row r="172" spans="1:34" s="1243" customFormat="1" ht="21">
      <c r="B172" s="1723"/>
      <c r="D172" s="1714"/>
      <c r="F172" s="1723"/>
      <c r="H172" s="1714"/>
      <c r="J172" s="1723"/>
      <c r="L172" s="1729"/>
      <c r="N172" s="1758"/>
      <c r="P172" s="1758"/>
      <c r="R172" s="1714"/>
      <c r="T172" s="1729"/>
      <c r="V172" s="1714"/>
      <c r="X172" s="1709"/>
      <c r="Z172" s="1723"/>
      <c r="AA172" s="1244"/>
      <c r="AB172" s="1241"/>
      <c r="AC172" s="1241"/>
      <c r="AD172" s="1241"/>
      <c r="AE172" s="1241"/>
      <c r="AF172" s="1242"/>
    </row>
    <row r="173" spans="1:34" s="1243" customFormat="1" ht="21">
      <c r="B173" s="1243" t="s">
        <v>32</v>
      </c>
      <c r="D173" s="1243" t="s">
        <v>50</v>
      </c>
      <c r="F173" s="1243" t="s">
        <v>48</v>
      </c>
      <c r="H173" s="1243" t="s">
        <v>50</v>
      </c>
      <c r="J173" s="1243" t="s">
        <v>32</v>
      </c>
      <c r="L173" s="1243" t="s">
        <v>32</v>
      </c>
      <c r="N173" s="1243" t="s">
        <v>32</v>
      </c>
      <c r="P173" s="1243" t="s">
        <v>49</v>
      </c>
      <c r="R173" s="1243" t="s">
        <v>53</v>
      </c>
      <c r="T173" s="1243" t="s">
        <v>49</v>
      </c>
      <c r="V173" s="1243" t="s">
        <v>43</v>
      </c>
      <c r="X173" s="1243" t="s">
        <v>48</v>
      </c>
      <c r="Z173" s="1243" t="s">
        <v>49</v>
      </c>
      <c r="AA173" s="1244"/>
      <c r="AB173" s="1241"/>
      <c r="AC173" s="1245"/>
      <c r="AD173" s="1245"/>
      <c r="AE173" s="1245"/>
      <c r="AF173" s="1242"/>
    </row>
    <row r="174" spans="1:34" s="1243" customFormat="1" ht="21">
      <c r="A174" s="1247"/>
      <c r="B174" s="1247"/>
      <c r="C174" s="1247"/>
      <c r="D174" s="1247"/>
      <c r="E174" s="1247"/>
      <c r="F174" s="1247"/>
      <c r="G174" s="1247"/>
      <c r="H174" s="1247"/>
      <c r="I174" s="1247"/>
      <c r="J174" s="1247"/>
      <c r="K174" s="1247"/>
      <c r="L174" s="1247"/>
      <c r="M174" s="1247"/>
      <c r="N174" s="1247"/>
      <c r="O174" s="1247"/>
      <c r="P174" s="1247"/>
      <c r="Q174" s="1247"/>
      <c r="R174" s="1247"/>
      <c r="S174" s="1247"/>
      <c r="T174" s="1247"/>
      <c r="U174" s="1247"/>
      <c r="V174" s="1247"/>
      <c r="W174" s="1247"/>
      <c r="X174" s="1252" t="s">
        <v>977</v>
      </c>
      <c r="Y174" s="1247"/>
      <c r="Z174" s="1247"/>
      <c r="AA174" s="1249"/>
      <c r="AB174" s="1241"/>
      <c r="AC174" s="1245"/>
      <c r="AD174" s="1245"/>
      <c r="AE174" s="1245"/>
      <c r="AF174" s="1242"/>
    </row>
    <row r="175" spans="1:34" s="1243" customFormat="1" ht="21">
      <c r="A175" s="1253"/>
      <c r="B175" s="1253" t="s">
        <v>1350</v>
      </c>
      <c r="C175" s="1253"/>
      <c r="D175" s="1253" t="s">
        <v>1351</v>
      </c>
      <c r="E175" s="1253"/>
      <c r="F175" s="1253" t="s">
        <v>1352</v>
      </c>
      <c r="G175" s="1253"/>
      <c r="H175" s="1253" t="s">
        <v>1353</v>
      </c>
      <c r="I175" s="1253"/>
      <c r="J175" s="1253" t="s">
        <v>1354</v>
      </c>
      <c r="K175" s="1253"/>
      <c r="L175" s="1253" t="s">
        <v>1355</v>
      </c>
      <c r="M175" s="1253"/>
      <c r="N175" s="1253" t="s">
        <v>1356</v>
      </c>
      <c r="O175" s="1253"/>
      <c r="P175" s="1253" t="s">
        <v>1357</v>
      </c>
      <c r="Q175" s="1253"/>
      <c r="R175" s="1253" t="s">
        <v>1358</v>
      </c>
      <c r="S175" s="1253"/>
      <c r="T175" s="1253" t="s">
        <v>1359</v>
      </c>
      <c r="U175" s="1253"/>
      <c r="V175" s="1253" t="s">
        <v>1360</v>
      </c>
      <c r="W175" s="1253"/>
      <c r="X175" s="1253" t="s">
        <v>1361</v>
      </c>
      <c r="Y175" s="1253"/>
      <c r="Z175" s="1253" t="s">
        <v>1362</v>
      </c>
      <c r="AA175" s="1254"/>
      <c r="AB175" s="1241"/>
      <c r="AC175" s="1245"/>
      <c r="AD175" s="1245"/>
      <c r="AE175" s="1245"/>
      <c r="AF175" s="1242"/>
    </row>
    <row r="176" spans="1:34" s="1243" customFormat="1" ht="21">
      <c r="AA176" s="1244"/>
      <c r="AB176" s="1241"/>
      <c r="AC176" s="1245"/>
      <c r="AD176" s="1245"/>
      <c r="AE176" s="1245"/>
      <c r="AF176" s="1242"/>
    </row>
    <row r="177" spans="1:34" s="1243" customFormat="1" ht="21">
      <c r="AA177" s="1244"/>
      <c r="AB177" s="1241"/>
      <c r="AC177" s="1241"/>
      <c r="AD177" s="1241"/>
      <c r="AE177" s="1241"/>
      <c r="AF177" s="1242"/>
    </row>
    <row r="178" spans="1:34" s="1243" customFormat="1" ht="21">
      <c r="B178" s="1722"/>
      <c r="C178" s="1269">
        <v>388.98</v>
      </c>
      <c r="D178" s="1713" t="s">
        <v>61</v>
      </c>
      <c r="E178" s="1269">
        <v>219.95</v>
      </c>
      <c r="F178" s="1713"/>
      <c r="G178" s="1269">
        <v>284</v>
      </c>
      <c r="H178" s="1722"/>
      <c r="I178" s="1269">
        <v>325.20999999999998</v>
      </c>
      <c r="J178" s="1713"/>
      <c r="K178" s="1269">
        <v>273.11</v>
      </c>
      <c r="L178" s="1713"/>
      <c r="M178" s="1269">
        <v>269.49</v>
      </c>
      <c r="N178" s="1713"/>
      <c r="O178" s="1269">
        <v>350</v>
      </c>
      <c r="P178" s="1722"/>
      <c r="Q178" s="1269">
        <v>275.45999999999998</v>
      </c>
      <c r="R178" s="1713"/>
      <c r="S178" s="1269">
        <v>346</v>
      </c>
      <c r="T178" s="1701"/>
      <c r="U178" s="1269">
        <v>314.56</v>
      </c>
      <c r="V178" s="1703"/>
      <c r="W178" s="1269">
        <v>136.47999999999999</v>
      </c>
      <c r="X178" s="1703"/>
      <c r="Y178" s="1269">
        <v>155.65</v>
      </c>
      <c r="Z178" s="1703"/>
      <c r="AA178" s="1267">
        <v>211</v>
      </c>
      <c r="AB178" s="1245">
        <f>SUM(C178:AA178)</f>
        <v>3549.89</v>
      </c>
      <c r="AC178" s="1245">
        <v>9</v>
      </c>
      <c r="AD178" s="1245">
        <v>8</v>
      </c>
      <c r="AE178" s="1245">
        <v>2</v>
      </c>
      <c r="AF178" s="1246">
        <v>0</v>
      </c>
      <c r="AG178" s="1243">
        <v>13</v>
      </c>
      <c r="AH178" s="1243">
        <f>AH171+AG178</f>
        <v>275</v>
      </c>
    </row>
    <row r="179" spans="1:34" s="1243" customFormat="1" ht="21">
      <c r="B179" s="1723"/>
      <c r="D179" s="1714"/>
      <c r="F179" s="1714"/>
      <c r="H179" s="1723"/>
      <c r="J179" s="1714"/>
      <c r="K179" s="1717" t="s">
        <v>1727</v>
      </c>
      <c r="L179" s="1714"/>
      <c r="N179" s="1714"/>
      <c r="P179" s="1723"/>
      <c r="R179" s="1714"/>
      <c r="T179" s="1709"/>
      <c r="V179" s="1704"/>
      <c r="W179" s="1763" t="s">
        <v>1726</v>
      </c>
      <c r="X179" s="1704"/>
      <c r="Z179" s="1704"/>
      <c r="AA179" s="1244"/>
      <c r="AB179" s="1245"/>
      <c r="AC179" s="1245"/>
      <c r="AD179" s="1245"/>
      <c r="AE179" s="1245"/>
      <c r="AF179" s="1246"/>
    </row>
    <row r="180" spans="1:34" s="1243" customFormat="1" ht="21">
      <c r="B180" s="1243" t="s">
        <v>49</v>
      </c>
      <c r="D180" s="1243" t="s">
        <v>50</v>
      </c>
      <c r="F180" s="1243" t="s">
        <v>1181</v>
      </c>
      <c r="H180" s="1272" t="s">
        <v>48</v>
      </c>
      <c r="I180" s="1272"/>
      <c r="J180" s="1272" t="s">
        <v>1426</v>
      </c>
      <c r="K180" s="1718"/>
      <c r="L180" s="1272" t="s">
        <v>1427</v>
      </c>
      <c r="M180" s="1272"/>
      <c r="N180" s="1272" t="s">
        <v>1425</v>
      </c>
      <c r="P180" s="1243" t="s">
        <v>48</v>
      </c>
      <c r="R180" s="1243" t="s">
        <v>53</v>
      </c>
      <c r="T180" s="1243" t="s">
        <v>49</v>
      </c>
      <c r="V180" s="1243" t="s">
        <v>43</v>
      </c>
      <c r="W180" s="1764"/>
      <c r="X180" s="1243" t="s">
        <v>1181</v>
      </c>
      <c r="Z180" s="1243" t="s">
        <v>1181</v>
      </c>
      <c r="AA180" s="1244"/>
      <c r="AB180" s="1241"/>
      <c r="AC180" s="1245"/>
      <c r="AD180" s="1245"/>
      <c r="AE180" s="1245"/>
      <c r="AF180" s="1242"/>
    </row>
    <row r="181" spans="1:34" s="1243" customFormat="1" ht="21">
      <c r="B181" s="1251"/>
      <c r="D181" s="1251"/>
      <c r="K181" s="1718"/>
      <c r="R181" s="1251"/>
      <c r="T181" s="1252" t="s">
        <v>977</v>
      </c>
      <c r="V181" s="1252" t="s">
        <v>977</v>
      </c>
      <c r="X181" s="1252" t="s">
        <v>977</v>
      </c>
      <c r="Z181" s="1252" t="s">
        <v>977</v>
      </c>
      <c r="AA181" s="1244"/>
      <c r="AB181" s="1245"/>
      <c r="AC181" s="1245"/>
      <c r="AD181" s="1245"/>
      <c r="AE181" s="1245"/>
      <c r="AF181" s="1246"/>
    </row>
    <row r="182" spans="1:34" s="1243" customFormat="1" ht="21">
      <c r="A182" s="1247"/>
      <c r="B182" s="1247"/>
      <c r="C182" s="1247"/>
      <c r="D182" s="1247"/>
      <c r="E182" s="1247"/>
      <c r="F182" s="1247"/>
      <c r="G182" s="1247"/>
      <c r="H182" s="1247"/>
      <c r="I182" s="1247"/>
      <c r="J182" s="1247"/>
      <c r="K182" s="1719"/>
      <c r="L182" s="1247"/>
      <c r="M182" s="1247"/>
      <c r="N182" s="1247"/>
      <c r="O182" s="1247"/>
      <c r="P182" s="1247"/>
      <c r="Q182" s="1247"/>
      <c r="R182" s="1247"/>
      <c r="S182" s="1247"/>
      <c r="T182" s="1247"/>
      <c r="U182" s="1247"/>
      <c r="V182" s="1247"/>
      <c r="W182" s="1247"/>
      <c r="X182" s="1247"/>
      <c r="Y182" s="1247"/>
      <c r="Z182" s="1247"/>
      <c r="AA182" s="1249"/>
      <c r="AB182" s="1241"/>
      <c r="AC182" s="1245"/>
      <c r="AD182" s="1245"/>
      <c r="AE182" s="1245"/>
      <c r="AF182" s="1242"/>
    </row>
    <row r="183" spans="1:34" s="1243" customFormat="1" ht="21">
      <c r="A183" s="1253"/>
      <c r="B183" s="1253" t="s">
        <v>1363</v>
      </c>
      <c r="C183" s="1253"/>
      <c r="D183" s="1253" t="s">
        <v>1364</v>
      </c>
      <c r="E183" s="1253"/>
      <c r="F183" s="1253" t="s">
        <v>1365</v>
      </c>
      <c r="G183" s="1253"/>
      <c r="H183" s="1253" t="s">
        <v>1366</v>
      </c>
      <c r="I183" s="1253"/>
      <c r="J183" s="1253" t="s">
        <v>1367</v>
      </c>
      <c r="K183" s="1253"/>
      <c r="L183" s="1253" t="s">
        <v>1368</v>
      </c>
      <c r="M183" s="1253"/>
      <c r="N183" s="1253" t="s">
        <v>1369</v>
      </c>
      <c r="O183" s="1253"/>
      <c r="P183" s="1253" t="s">
        <v>1370</v>
      </c>
      <c r="Q183" s="1253"/>
      <c r="R183" s="1253" t="s">
        <v>1371</v>
      </c>
      <c r="S183" s="1253"/>
      <c r="T183" s="1253" t="s">
        <v>1372</v>
      </c>
      <c r="U183" s="1253"/>
      <c r="V183" s="1253" t="s">
        <v>1373</v>
      </c>
      <c r="W183" s="1253"/>
      <c r="X183" s="1253" t="s">
        <v>1374</v>
      </c>
      <c r="Y183" s="1253"/>
      <c r="Z183" s="1253" t="s">
        <v>1375</v>
      </c>
      <c r="AA183" s="1254"/>
      <c r="AB183" s="1241"/>
      <c r="AC183" s="1241"/>
      <c r="AD183" s="1241"/>
      <c r="AE183" s="1241"/>
      <c r="AF183" s="1242"/>
    </row>
    <row r="184" spans="1:34" s="1243" customFormat="1" ht="21">
      <c r="AA184" s="1244"/>
      <c r="AB184" s="1241"/>
      <c r="AC184" s="1241"/>
      <c r="AD184" s="1241"/>
      <c r="AE184" s="1241"/>
      <c r="AF184" s="1242"/>
    </row>
    <row r="185" spans="1:34" s="1243" customFormat="1" ht="21">
      <c r="AA185" s="1244"/>
      <c r="AB185" s="1245"/>
      <c r="AC185" s="1245"/>
      <c r="AD185" s="1245"/>
      <c r="AE185" s="1245"/>
      <c r="AF185" s="1246"/>
    </row>
    <row r="186" spans="1:34" s="1243" customFormat="1" ht="21">
      <c r="B186" s="1701"/>
      <c r="C186" s="1269">
        <v>293.25</v>
      </c>
      <c r="D186" s="1703"/>
      <c r="E186" s="1271">
        <v>154.27000000000001</v>
      </c>
      <c r="F186" s="1703"/>
      <c r="G186" s="1269">
        <v>340.86</v>
      </c>
      <c r="H186" s="1713"/>
      <c r="I186" s="1269">
        <v>302</v>
      </c>
      <c r="J186" s="1743"/>
      <c r="K186" s="1269">
        <v>329</v>
      </c>
      <c r="L186" s="1722"/>
      <c r="M186" s="1269">
        <v>338.16</v>
      </c>
      <c r="N186" s="1713"/>
      <c r="O186" s="1269">
        <v>317</v>
      </c>
      <c r="P186" s="1722"/>
      <c r="Q186" s="1269">
        <v>364</v>
      </c>
      <c r="R186" s="1722"/>
      <c r="S186" s="1269">
        <v>311.74</v>
      </c>
      <c r="T186" s="1724"/>
      <c r="U186" s="1269">
        <v>308</v>
      </c>
      <c r="V186" s="1722"/>
      <c r="W186" s="1269">
        <v>335</v>
      </c>
      <c r="X186" s="1701"/>
      <c r="Y186" s="1269">
        <v>320</v>
      </c>
      <c r="Z186" s="1722"/>
      <c r="AA186" s="1267">
        <v>356</v>
      </c>
      <c r="AB186" s="1245">
        <f>SUM(C186:AA186)</f>
        <v>4069.2799999999997</v>
      </c>
      <c r="AC186" s="1245">
        <v>8</v>
      </c>
      <c r="AD186" s="1245">
        <v>7</v>
      </c>
      <c r="AE186" s="1245">
        <v>0</v>
      </c>
      <c r="AF186" s="1246">
        <v>0</v>
      </c>
      <c r="AG186" s="1243">
        <v>13</v>
      </c>
      <c r="AH186" s="1243">
        <f>AH178+AG186</f>
        <v>288</v>
      </c>
    </row>
    <row r="187" spans="1:34" s="1243" customFormat="1" ht="21">
      <c r="B187" s="1709"/>
      <c r="D187" s="1704"/>
      <c r="E187" s="1765" t="s">
        <v>1728</v>
      </c>
      <c r="F187" s="1704"/>
      <c r="H187" s="1714"/>
      <c r="J187" s="1744"/>
      <c r="L187" s="1723"/>
      <c r="N187" s="1714"/>
      <c r="P187" s="1723"/>
      <c r="R187" s="1723"/>
      <c r="T187" s="1725"/>
      <c r="V187" s="1723"/>
      <c r="X187" s="1709"/>
      <c r="Z187" s="1723"/>
      <c r="AA187" s="1244"/>
      <c r="AB187" s="1241"/>
      <c r="AC187" s="1245"/>
      <c r="AD187" s="1245"/>
      <c r="AE187" s="1245"/>
      <c r="AF187" s="1242"/>
    </row>
    <row r="188" spans="1:34" s="1243" customFormat="1" ht="21">
      <c r="B188" s="1243" t="s">
        <v>32</v>
      </c>
      <c r="D188" s="1243" t="s">
        <v>1423</v>
      </c>
      <c r="E188" s="1766"/>
      <c r="F188" s="1243" t="s">
        <v>1423</v>
      </c>
      <c r="H188" s="1243" t="s">
        <v>1425</v>
      </c>
      <c r="J188" s="1243" t="s">
        <v>32</v>
      </c>
      <c r="L188" s="1243" t="s">
        <v>34</v>
      </c>
      <c r="N188" s="1243" t="s">
        <v>1175</v>
      </c>
      <c r="P188" s="1243" t="s">
        <v>48</v>
      </c>
      <c r="R188" s="1243" t="s">
        <v>32</v>
      </c>
      <c r="T188" s="1243" t="s">
        <v>43</v>
      </c>
      <c r="V188" s="1243" t="s">
        <v>32</v>
      </c>
      <c r="X188" s="1243" t="s">
        <v>48</v>
      </c>
      <c r="Z188" s="1243" t="s">
        <v>48</v>
      </c>
      <c r="AA188" s="1244"/>
      <c r="AB188" s="1241"/>
      <c r="AC188" s="1241"/>
      <c r="AD188" s="1241"/>
      <c r="AE188" s="1241"/>
      <c r="AF188" s="1242"/>
    </row>
    <row r="189" spans="1:34" s="1243" customFormat="1" ht="21">
      <c r="B189" s="1264" t="s">
        <v>951</v>
      </c>
      <c r="D189" s="1264" t="s">
        <v>951</v>
      </c>
      <c r="E189" s="1274"/>
      <c r="F189" s="1264" t="s">
        <v>951</v>
      </c>
      <c r="AA189" s="1244"/>
      <c r="AB189" s="1241"/>
      <c r="AC189" s="1241"/>
      <c r="AD189" s="1241"/>
      <c r="AE189" s="1241"/>
      <c r="AF189" s="1242"/>
    </row>
    <row r="190" spans="1:34" s="1243" customFormat="1" ht="39">
      <c r="A190" s="1247"/>
      <c r="B190" s="1251" t="s">
        <v>1002</v>
      </c>
      <c r="C190" s="1247"/>
      <c r="D190" s="1247"/>
      <c r="E190" s="1247"/>
      <c r="F190" s="1247"/>
      <c r="G190" s="1247"/>
      <c r="H190" s="1247"/>
      <c r="I190" s="1247"/>
      <c r="J190" s="1247"/>
      <c r="K190" s="1247"/>
      <c r="L190" s="1247"/>
      <c r="M190" s="1247"/>
      <c r="N190" s="1247"/>
      <c r="O190" s="1247"/>
      <c r="P190" s="1247"/>
      <c r="Q190" s="1247"/>
      <c r="R190" s="1247"/>
      <c r="S190" s="1247"/>
      <c r="T190" s="1247"/>
      <c r="U190" s="1247"/>
      <c r="V190" s="1247"/>
      <c r="W190" s="1247"/>
      <c r="X190" s="1247"/>
      <c r="Y190" s="1247"/>
      <c r="Z190" s="1247"/>
      <c r="AA190" s="1249"/>
      <c r="AB190" s="1241"/>
      <c r="AC190" s="1241"/>
      <c r="AD190" s="1241"/>
      <c r="AE190" s="1241"/>
      <c r="AF190" s="1242"/>
    </row>
    <row r="191" spans="1:34" s="1243" customFormat="1" ht="21">
      <c r="A191" s="1253"/>
      <c r="B191" s="1253" t="s">
        <v>1376</v>
      </c>
      <c r="C191" s="1253"/>
      <c r="D191" s="1253" t="s">
        <v>1377</v>
      </c>
      <c r="E191" s="1253"/>
      <c r="F191" s="1253" t="s">
        <v>1378</v>
      </c>
      <c r="G191" s="1253"/>
      <c r="H191" s="1253" t="s">
        <v>1379</v>
      </c>
      <c r="I191" s="1253"/>
      <c r="J191" s="1253" t="s">
        <v>1380</v>
      </c>
      <c r="K191" s="1253"/>
      <c r="L191" s="1253" t="s">
        <v>1381</v>
      </c>
      <c r="M191" s="1253"/>
      <c r="N191" s="1253" t="s">
        <v>1382</v>
      </c>
      <c r="O191" s="1253"/>
      <c r="P191" s="1253" t="s">
        <v>1383</v>
      </c>
      <c r="Q191" s="1253"/>
      <c r="R191" s="1253" t="s">
        <v>1384</v>
      </c>
      <c r="S191" s="1253"/>
      <c r="T191" s="1253" t="s">
        <v>1385</v>
      </c>
      <c r="U191" s="1253"/>
      <c r="V191" s="1253" t="s">
        <v>1386</v>
      </c>
      <c r="W191" s="1253"/>
      <c r="X191" s="1253" t="s">
        <v>1387</v>
      </c>
      <c r="Y191" s="1253"/>
      <c r="Z191" s="1253" t="s">
        <v>1388</v>
      </c>
      <c r="AA191" s="1254"/>
      <c r="AB191" s="1245"/>
      <c r="AC191" s="1245"/>
      <c r="AD191" s="1245"/>
      <c r="AE191" s="1245"/>
      <c r="AF191" s="1246"/>
    </row>
    <row r="192" spans="1:34" s="1243" customFormat="1" ht="21">
      <c r="AA192" s="1244"/>
      <c r="AB192" s="1241"/>
      <c r="AC192" s="1245"/>
      <c r="AD192" s="1245"/>
      <c r="AE192" s="1245"/>
      <c r="AF192" s="1242"/>
    </row>
    <row r="193" spans="1:34" s="1243" customFormat="1" ht="21">
      <c r="AA193" s="1244"/>
      <c r="AB193" s="1241"/>
      <c r="AC193" s="1245"/>
      <c r="AD193" s="1245"/>
      <c r="AE193" s="1245"/>
      <c r="AF193" s="1242"/>
    </row>
    <row r="194" spans="1:34" s="1243" customFormat="1" ht="21">
      <c r="B194" s="1722"/>
      <c r="C194" s="1269">
        <v>306</v>
      </c>
      <c r="D194" s="1722"/>
      <c r="E194" s="1269">
        <v>302</v>
      </c>
      <c r="F194" s="1722"/>
      <c r="G194" s="1269">
        <v>336.74</v>
      </c>
      <c r="H194" s="1713"/>
      <c r="I194" s="1269">
        <v>340</v>
      </c>
      <c r="J194" s="1722"/>
      <c r="K194" s="1269">
        <v>357</v>
      </c>
      <c r="L194" s="1722"/>
      <c r="M194" s="1269">
        <v>341.48</v>
      </c>
      <c r="N194" s="1713"/>
      <c r="O194" s="1269">
        <v>376.98</v>
      </c>
      <c r="P194" s="1724"/>
      <c r="Q194" s="1269">
        <v>391.22</v>
      </c>
      <c r="R194" s="1703"/>
      <c r="S194" s="1269">
        <v>320</v>
      </c>
      <c r="T194" s="1722"/>
      <c r="U194" s="1269">
        <v>364</v>
      </c>
      <c r="V194" s="1722"/>
      <c r="W194" s="1269">
        <v>305.39999999999998</v>
      </c>
      <c r="X194" s="1713"/>
      <c r="Y194" s="1269">
        <v>283</v>
      </c>
      <c r="Z194" s="1767"/>
      <c r="AA194" s="1267">
        <v>279.69</v>
      </c>
      <c r="AB194" s="1245">
        <f>SUM(C194:AA194)</f>
        <v>4303.51</v>
      </c>
      <c r="AC194" s="1245">
        <v>12</v>
      </c>
      <c r="AD194" s="1245">
        <v>8</v>
      </c>
      <c r="AE194" s="1245">
        <v>0</v>
      </c>
      <c r="AF194" s="1246">
        <v>0</v>
      </c>
      <c r="AG194" s="1243">
        <v>13</v>
      </c>
      <c r="AH194" s="1243">
        <f>AH186+AG194</f>
        <v>301</v>
      </c>
    </row>
    <row r="195" spans="1:34" s="1243" customFormat="1" ht="21">
      <c r="B195" s="1723"/>
      <c r="D195" s="1723"/>
      <c r="F195" s="1723"/>
      <c r="H195" s="1714"/>
      <c r="J195" s="1723"/>
      <c r="L195" s="1723"/>
      <c r="N195" s="1714"/>
      <c r="P195" s="1725"/>
      <c r="R195" s="1704"/>
      <c r="T195" s="1723"/>
      <c r="V195" s="1723"/>
      <c r="X195" s="1714"/>
      <c r="Z195" s="1768"/>
      <c r="AA195" s="1244"/>
      <c r="AB195" s="1241"/>
      <c r="AC195" s="1245"/>
      <c r="AD195" s="1245"/>
      <c r="AE195" s="1245"/>
      <c r="AF195" s="1242"/>
    </row>
    <row r="196" spans="1:34" s="1243" customFormat="1" ht="21">
      <c r="B196" s="1243" t="s">
        <v>49</v>
      </c>
      <c r="D196" s="1243" t="s">
        <v>32</v>
      </c>
      <c r="F196" s="1243" t="s">
        <v>32</v>
      </c>
      <c r="H196" s="1243" t="s">
        <v>45</v>
      </c>
      <c r="J196" s="1243" t="s">
        <v>32</v>
      </c>
      <c r="L196" s="1243" t="s">
        <v>32</v>
      </c>
      <c r="N196" s="1243" t="s">
        <v>1425</v>
      </c>
      <c r="P196" s="1243" t="s">
        <v>1423</v>
      </c>
      <c r="R196" s="1243" t="s">
        <v>45</v>
      </c>
      <c r="T196" s="1243" t="s">
        <v>32</v>
      </c>
      <c r="V196" s="1243" t="s">
        <v>48</v>
      </c>
      <c r="X196" s="1243" t="s">
        <v>1181</v>
      </c>
      <c r="Z196" s="1243" t="s">
        <v>1175</v>
      </c>
      <c r="AA196" s="1244"/>
      <c r="AB196" s="1241"/>
      <c r="AC196" s="1241"/>
      <c r="AD196" s="1241"/>
      <c r="AE196" s="1241"/>
      <c r="AF196" s="1242"/>
    </row>
    <row r="197" spans="1:34" s="1243" customFormat="1" ht="21">
      <c r="A197" s="1247"/>
      <c r="B197" s="1247"/>
      <c r="C197" s="1247"/>
      <c r="D197" s="1247"/>
      <c r="E197" s="1247"/>
      <c r="F197" s="1247"/>
      <c r="G197" s="1247"/>
      <c r="H197" s="1247"/>
      <c r="I197" s="1247"/>
      <c r="J197" s="1247"/>
      <c r="K197" s="1247"/>
      <c r="L197" s="1247"/>
      <c r="M197" s="1247"/>
      <c r="N197" s="1247"/>
      <c r="O197" s="1247"/>
      <c r="P197" s="1247"/>
      <c r="Q197" s="1247"/>
      <c r="R197" s="1252" t="s">
        <v>977</v>
      </c>
      <c r="S197" s="1247"/>
      <c r="T197" s="1247"/>
      <c r="U197" s="1247"/>
      <c r="V197" s="1247"/>
      <c r="W197" s="1247"/>
      <c r="X197" s="1247"/>
      <c r="Y197" s="1247"/>
      <c r="Z197" s="1247"/>
      <c r="AA197" s="1249"/>
      <c r="AB197" s="1245"/>
      <c r="AC197" s="1245"/>
      <c r="AD197" s="1245"/>
      <c r="AE197" s="1245"/>
      <c r="AF197" s="1246"/>
    </row>
    <row r="198" spans="1:34" s="1243" customFormat="1" ht="21">
      <c r="A198" s="1253"/>
      <c r="B198" s="1253" t="s">
        <v>1428</v>
      </c>
      <c r="C198" s="1253"/>
      <c r="D198" s="1253" t="s">
        <v>1389</v>
      </c>
      <c r="E198" s="1253"/>
      <c r="F198" s="1253" t="s">
        <v>1390</v>
      </c>
      <c r="G198" s="1253"/>
      <c r="H198" s="1253" t="s">
        <v>1391</v>
      </c>
      <c r="I198" s="1253"/>
      <c r="J198" s="1253" t="s">
        <v>1433</v>
      </c>
      <c r="K198" s="1253"/>
      <c r="L198" s="1253" t="s">
        <v>1392</v>
      </c>
      <c r="M198" s="1253"/>
      <c r="N198" s="1253" t="s">
        <v>1393</v>
      </c>
      <c r="O198" s="1253"/>
      <c r="P198" s="1253" t="s">
        <v>1394</v>
      </c>
      <c r="Q198" s="1253"/>
      <c r="R198" s="1253" t="s">
        <v>1395</v>
      </c>
      <c r="S198" s="1253"/>
      <c r="T198" s="1253" t="s">
        <v>1396</v>
      </c>
      <c r="U198" s="1253"/>
      <c r="V198" s="1253" t="s">
        <v>1397</v>
      </c>
      <c r="W198" s="1253"/>
      <c r="X198" s="1253" t="s">
        <v>1398</v>
      </c>
      <c r="Y198" s="1253"/>
      <c r="Z198" s="1253" t="s">
        <v>1434</v>
      </c>
      <c r="AA198" s="1254"/>
      <c r="AB198" s="1241"/>
      <c r="AC198" s="1241"/>
      <c r="AD198" s="1241"/>
      <c r="AE198" s="1241"/>
      <c r="AF198" s="1242"/>
    </row>
    <row r="199" spans="1:34" s="1243" customFormat="1" ht="21">
      <c r="AA199" s="1244"/>
      <c r="AB199" s="1241"/>
      <c r="AC199" s="1241"/>
      <c r="AD199" s="1241"/>
      <c r="AE199" s="1241"/>
      <c r="AF199" s="1242"/>
    </row>
    <row r="200" spans="1:34" s="1243" customFormat="1" ht="21">
      <c r="AA200" s="1244"/>
      <c r="AB200" s="1245"/>
      <c r="AC200" s="1245"/>
      <c r="AD200" s="1245"/>
      <c r="AE200" s="1245"/>
      <c r="AF200" s="1246"/>
    </row>
    <row r="201" spans="1:34" s="1243" customFormat="1" ht="21">
      <c r="B201" s="1713"/>
      <c r="C201" s="1269">
        <v>221.09</v>
      </c>
      <c r="D201" s="1713"/>
      <c r="E201" s="1269">
        <v>326.43</v>
      </c>
      <c r="F201" s="1741" t="s">
        <v>978</v>
      </c>
      <c r="G201" s="1269">
        <v>367.89</v>
      </c>
      <c r="H201" s="1703"/>
      <c r="I201" s="1269">
        <v>206.08</v>
      </c>
      <c r="J201" s="1713"/>
      <c r="K201" s="1269">
        <v>300</v>
      </c>
      <c r="L201" s="1713"/>
      <c r="M201" s="1269">
        <v>307.98</v>
      </c>
      <c r="N201" s="1703"/>
      <c r="O201" s="1269">
        <v>303.20999999999998</v>
      </c>
      <c r="P201" s="1703"/>
      <c r="Q201" s="1269">
        <v>348.78</v>
      </c>
      <c r="R201" s="1747"/>
      <c r="S201" s="1269">
        <v>265</v>
      </c>
      <c r="T201" s="1722"/>
      <c r="U201" s="1269">
        <v>255</v>
      </c>
      <c r="V201" s="1722"/>
      <c r="W201" s="1269">
        <v>235.13</v>
      </c>
      <c r="X201" s="1724"/>
      <c r="Y201" s="1269">
        <v>347.38</v>
      </c>
      <c r="Z201" s="1713"/>
      <c r="AA201" s="1267">
        <v>341.94</v>
      </c>
      <c r="AB201" s="1245">
        <f>SUM(C201:AA201)</f>
        <v>3825.9100000000003</v>
      </c>
      <c r="AC201" s="1245">
        <v>9</v>
      </c>
      <c r="AD201" s="1245">
        <v>9</v>
      </c>
      <c r="AE201" s="1245">
        <v>0</v>
      </c>
      <c r="AF201" s="1246">
        <v>0</v>
      </c>
      <c r="AG201" s="1243">
        <v>13</v>
      </c>
      <c r="AH201" s="1243">
        <f>AH194+AG201</f>
        <v>314</v>
      </c>
    </row>
    <row r="202" spans="1:34" s="1243" customFormat="1" ht="21">
      <c r="B202" s="1714"/>
      <c r="C202" s="1732" t="s">
        <v>1729</v>
      </c>
      <c r="D202" s="1714"/>
      <c r="F202" s="1742"/>
      <c r="H202" s="1704"/>
      <c r="I202" s="1732" t="s">
        <v>1730</v>
      </c>
      <c r="J202" s="1714"/>
      <c r="L202" s="1714"/>
      <c r="N202" s="1704"/>
      <c r="P202" s="1704"/>
      <c r="R202" s="1748"/>
      <c r="T202" s="1723"/>
      <c r="V202" s="1723"/>
      <c r="X202" s="1725"/>
      <c r="Z202" s="1714"/>
      <c r="AA202" s="1244"/>
      <c r="AB202" s="1241"/>
      <c r="AC202" s="1245"/>
      <c r="AD202" s="1245"/>
      <c r="AE202" s="1245"/>
      <c r="AF202" s="1242"/>
    </row>
    <row r="203" spans="1:34" s="1243" customFormat="1" ht="21">
      <c r="B203" s="1243" t="s">
        <v>1427</v>
      </c>
      <c r="C203" s="1733"/>
      <c r="D203" s="1243" t="s">
        <v>1427</v>
      </c>
      <c r="F203" s="1243" t="s">
        <v>50</v>
      </c>
      <c r="H203" s="1243" t="s">
        <v>1427</v>
      </c>
      <c r="I203" s="1733"/>
      <c r="J203" s="1243" t="s">
        <v>1427</v>
      </c>
      <c r="L203" s="1243" t="s">
        <v>1175</v>
      </c>
      <c r="N203" s="1243" t="s">
        <v>43</v>
      </c>
      <c r="P203" s="1243" t="s">
        <v>1423</v>
      </c>
      <c r="R203" s="1243" t="s">
        <v>1181</v>
      </c>
      <c r="T203" s="1243" t="s">
        <v>34</v>
      </c>
      <c r="V203" s="1243" t="s">
        <v>32</v>
      </c>
      <c r="X203" s="1243" t="s">
        <v>57</v>
      </c>
      <c r="Z203" s="1243" t="s">
        <v>1425</v>
      </c>
      <c r="AA203" s="1244"/>
      <c r="AB203" s="1241"/>
      <c r="AC203" s="1241"/>
      <c r="AD203" s="1241"/>
      <c r="AE203" s="1241"/>
      <c r="AF203" s="1242"/>
    </row>
    <row r="204" spans="1:34" s="1243" customFormat="1" ht="21">
      <c r="A204" s="1247"/>
      <c r="B204" s="1247"/>
      <c r="C204" s="1734"/>
      <c r="D204" s="1247"/>
      <c r="E204" s="1247"/>
      <c r="F204" s="1247"/>
      <c r="G204" s="1247"/>
      <c r="H204" s="1247"/>
      <c r="I204" s="1734"/>
      <c r="J204" s="1247"/>
      <c r="K204" s="1247"/>
      <c r="L204" s="1247"/>
      <c r="M204" s="1247"/>
      <c r="N204" s="1252" t="s">
        <v>977</v>
      </c>
      <c r="O204" s="1247"/>
      <c r="P204" s="1247"/>
      <c r="Q204" s="1247"/>
      <c r="R204" s="1247"/>
      <c r="S204" s="1247"/>
      <c r="T204" s="1247"/>
      <c r="U204" s="1247"/>
      <c r="V204" s="1247"/>
      <c r="W204" s="1247"/>
      <c r="X204" s="1247"/>
      <c r="Y204" s="1247"/>
      <c r="Z204" s="1247"/>
      <c r="AA204" s="1249"/>
      <c r="AB204" s="1241"/>
      <c r="AC204" s="1241"/>
      <c r="AD204" s="1241"/>
      <c r="AE204" s="1241"/>
      <c r="AF204" s="1242"/>
    </row>
    <row r="205" spans="1:34" s="1243" customFormat="1" ht="21">
      <c r="A205" s="1253"/>
      <c r="B205" s="1253" t="s">
        <v>1400</v>
      </c>
      <c r="C205" s="1253"/>
      <c r="D205" s="1253" t="s">
        <v>1401</v>
      </c>
      <c r="E205" s="1253"/>
      <c r="F205" s="1253" t="s">
        <v>1402</v>
      </c>
      <c r="G205" s="1253"/>
      <c r="H205" s="1253" t="s">
        <v>1403</v>
      </c>
      <c r="I205" s="1253"/>
      <c r="J205" s="1253" t="s">
        <v>1404</v>
      </c>
      <c r="K205" s="1253"/>
      <c r="L205" s="1253" t="s">
        <v>1405</v>
      </c>
      <c r="M205" s="1253"/>
      <c r="N205" s="1253" t="s">
        <v>1406</v>
      </c>
      <c r="O205" s="1253"/>
      <c r="P205" s="1253" t="s">
        <v>1407</v>
      </c>
      <c r="Q205" s="1253"/>
      <c r="R205" s="1253" t="s">
        <v>1408</v>
      </c>
      <c r="S205" s="1253"/>
      <c r="T205" s="1253" t="s">
        <v>1409</v>
      </c>
      <c r="U205" s="1253"/>
      <c r="V205" s="1253" t="s">
        <v>1410</v>
      </c>
      <c r="W205" s="1253"/>
      <c r="X205" s="1253" t="s">
        <v>1411</v>
      </c>
      <c r="Y205" s="1253"/>
      <c r="Z205" s="1253" t="s">
        <v>1412</v>
      </c>
      <c r="AA205" s="1254"/>
      <c r="AB205" s="1245"/>
      <c r="AC205" s="1245"/>
      <c r="AD205" s="1245"/>
      <c r="AE205" s="1245"/>
      <c r="AF205" s="1246"/>
    </row>
    <row r="206" spans="1:34" s="1243" customFormat="1" ht="21">
      <c r="AA206" s="1244"/>
      <c r="AB206" s="1241"/>
      <c r="AC206" s="1245"/>
      <c r="AD206" s="1245"/>
      <c r="AE206" s="1245"/>
      <c r="AF206" s="1242"/>
    </row>
    <row r="207" spans="1:34" s="1243" customFormat="1" ht="21">
      <c r="AA207" s="1244"/>
      <c r="AB207" s="1241"/>
      <c r="AC207" s="1245"/>
      <c r="AD207" s="1245"/>
      <c r="AE207" s="1245"/>
      <c r="AF207" s="1242"/>
    </row>
    <row r="208" spans="1:34" s="1243" customFormat="1" ht="21">
      <c r="B208" s="1713"/>
      <c r="C208" s="1269">
        <v>97.17</v>
      </c>
      <c r="D208" s="1741"/>
      <c r="E208" s="1269">
        <v>280</v>
      </c>
      <c r="F208" s="1701"/>
      <c r="G208" s="1269">
        <v>315</v>
      </c>
      <c r="H208" s="1701"/>
      <c r="I208" s="1269">
        <v>347</v>
      </c>
      <c r="J208" s="1701"/>
      <c r="K208" s="1269">
        <v>351.91</v>
      </c>
      <c r="L208" s="1703"/>
      <c r="M208" s="1269">
        <v>220</v>
      </c>
      <c r="N208" s="1743"/>
      <c r="O208" s="1269">
        <v>260.02999999999997</v>
      </c>
      <c r="P208" s="1713"/>
      <c r="Q208" s="1269">
        <v>251</v>
      </c>
      <c r="R208" s="1722"/>
      <c r="S208" s="1269">
        <v>193.67</v>
      </c>
      <c r="T208" s="1713"/>
      <c r="U208" s="1269">
        <v>325</v>
      </c>
      <c r="V208" s="1722"/>
      <c r="W208" s="1269">
        <v>341</v>
      </c>
      <c r="X208" s="1722"/>
      <c r="Y208" s="1269">
        <v>343.38</v>
      </c>
      <c r="Z208" s="1724"/>
      <c r="AA208" s="1267">
        <v>261</v>
      </c>
      <c r="AB208" s="1245">
        <f>SUM(C208:AA208)</f>
        <v>3586.1600000000003</v>
      </c>
      <c r="AC208" s="1245">
        <v>7</v>
      </c>
      <c r="AD208" s="1245">
        <v>4</v>
      </c>
      <c r="AE208" s="1245">
        <v>0</v>
      </c>
      <c r="AF208" s="1246">
        <v>0</v>
      </c>
      <c r="AG208" s="1243">
        <v>13</v>
      </c>
      <c r="AH208" s="1243">
        <f>AH201+AG208</f>
        <v>327</v>
      </c>
    </row>
    <row r="209" spans="1:34" s="1243" customFormat="1" ht="21">
      <c r="B209" s="1714"/>
      <c r="D209" s="1742"/>
      <c r="F209" s="1709"/>
      <c r="H209" s="1709"/>
      <c r="J209" s="1709"/>
      <c r="L209" s="1704"/>
      <c r="N209" s="1744"/>
      <c r="P209" s="1714"/>
      <c r="R209" s="1723"/>
      <c r="T209" s="1714"/>
      <c r="V209" s="1723"/>
      <c r="X209" s="1723"/>
      <c r="Z209" s="1725"/>
      <c r="AA209" s="1244"/>
      <c r="AB209" s="1241"/>
      <c r="AC209" s="1245"/>
      <c r="AD209" s="1245"/>
      <c r="AE209" s="1245"/>
      <c r="AF209" s="1242"/>
    </row>
    <row r="210" spans="1:34" s="1243" customFormat="1" ht="21">
      <c r="B210" s="1243" t="s">
        <v>45</v>
      </c>
      <c r="D210" s="1243" t="s">
        <v>43</v>
      </c>
      <c r="F210" s="1243" t="s">
        <v>32</v>
      </c>
      <c r="H210" s="1243" t="s">
        <v>32</v>
      </c>
      <c r="J210" s="1243" t="s">
        <v>48</v>
      </c>
      <c r="L210" s="1243" t="s">
        <v>1181</v>
      </c>
      <c r="N210" s="1243" t="s">
        <v>32</v>
      </c>
      <c r="P210" s="1243" t="s">
        <v>1181</v>
      </c>
      <c r="R210" s="1243" t="s">
        <v>32</v>
      </c>
      <c r="T210" s="1243" t="s">
        <v>45</v>
      </c>
      <c r="V210" s="1243" t="s">
        <v>49</v>
      </c>
      <c r="X210" s="1243" t="s">
        <v>48</v>
      </c>
      <c r="Z210" s="1243" t="s">
        <v>1170</v>
      </c>
      <c r="AA210" s="1244"/>
      <c r="AB210" s="1241"/>
      <c r="AC210" s="1241"/>
      <c r="AD210" s="1241"/>
      <c r="AE210" s="1241"/>
      <c r="AF210" s="1242"/>
    </row>
    <row r="211" spans="1:34" s="1243" customFormat="1" ht="21">
      <c r="A211" s="1247"/>
      <c r="B211" s="1247"/>
      <c r="C211" s="1247"/>
      <c r="D211" s="1247"/>
      <c r="E211" s="1247"/>
      <c r="F211" s="1247"/>
      <c r="G211" s="1247"/>
      <c r="H211" s="1252" t="s">
        <v>977</v>
      </c>
      <c r="I211" s="1247"/>
      <c r="J211" s="1252" t="s">
        <v>977</v>
      </c>
      <c r="K211" s="1247"/>
      <c r="L211" s="1247"/>
      <c r="M211" s="1247"/>
      <c r="N211" s="1247"/>
      <c r="O211" s="1247"/>
      <c r="P211" s="1247"/>
      <c r="Q211" s="1247"/>
      <c r="R211" s="1247"/>
      <c r="S211" s="1247"/>
      <c r="T211" s="1247"/>
      <c r="U211" s="1247"/>
      <c r="V211" s="1247"/>
      <c r="W211" s="1247"/>
      <c r="X211" s="1247"/>
      <c r="Y211" s="1247"/>
      <c r="Z211" s="1247"/>
      <c r="AA211" s="1249"/>
      <c r="AB211" s="1245"/>
      <c r="AC211" s="1245"/>
      <c r="AD211" s="1245"/>
      <c r="AE211" s="1245"/>
      <c r="AF211" s="1246"/>
    </row>
    <row r="212" spans="1:34" s="1243" customFormat="1" ht="21">
      <c r="A212" s="1253"/>
      <c r="B212" s="1253" t="s">
        <v>1413</v>
      </c>
      <c r="C212" s="1253"/>
      <c r="D212" s="1253" t="s">
        <v>1414</v>
      </c>
      <c r="E212" s="1253"/>
      <c r="F212" s="1253" t="s">
        <v>1415</v>
      </c>
      <c r="G212" s="1253"/>
      <c r="H212" s="1253" t="s">
        <v>1416</v>
      </c>
      <c r="I212" s="1253"/>
      <c r="J212" s="1253" t="s">
        <v>1417</v>
      </c>
      <c r="K212" s="1253"/>
      <c r="L212" s="1253" t="s">
        <v>1418</v>
      </c>
      <c r="M212" s="1253"/>
      <c r="N212" s="1253" t="s">
        <v>1419</v>
      </c>
      <c r="O212" s="1253"/>
      <c r="P212" s="1253" t="s">
        <v>1420</v>
      </c>
      <c r="Q212" s="1253"/>
      <c r="R212" s="1253" t="s">
        <v>1421</v>
      </c>
      <c r="S212" s="1253"/>
      <c r="T212" s="1253" t="s">
        <v>1422</v>
      </c>
      <c r="U212" s="1253"/>
      <c r="V212" s="1253" t="s">
        <v>1714</v>
      </c>
      <c r="W212" s="1253"/>
      <c r="X212" s="1253" t="s">
        <v>1715</v>
      </c>
      <c r="Y212" s="1253" t="s">
        <v>1716</v>
      </c>
      <c r="Z212" s="1253" t="s">
        <v>1717</v>
      </c>
      <c r="AA212" s="1254" t="s">
        <v>1214</v>
      </c>
      <c r="AB212" s="1245"/>
      <c r="AC212" s="1245"/>
      <c r="AD212" s="1245"/>
      <c r="AE212" s="1245"/>
      <c r="AF212" s="1246"/>
    </row>
    <row r="213" spans="1:34" s="1243" customFormat="1" ht="21">
      <c r="AA213" s="1244"/>
      <c r="AB213" s="1241"/>
      <c r="AC213" s="1245"/>
      <c r="AD213" s="1245"/>
      <c r="AE213" s="1245"/>
      <c r="AF213" s="1242"/>
    </row>
    <row r="214" spans="1:34" s="1243" customFormat="1" ht="21">
      <c r="AA214" s="1244"/>
      <c r="AB214" s="1241"/>
      <c r="AC214" s="1245"/>
      <c r="AD214" s="1245"/>
      <c r="AE214" s="1245"/>
      <c r="AF214" s="1242"/>
    </row>
    <row r="215" spans="1:34" s="1243" customFormat="1" ht="21">
      <c r="B215" s="1722"/>
      <c r="C215" s="1261">
        <v>307</v>
      </c>
      <c r="D215" s="1722"/>
      <c r="E215" s="1261">
        <v>341</v>
      </c>
      <c r="F215" s="1722"/>
      <c r="G215" s="1261">
        <v>355.57</v>
      </c>
      <c r="H215" s="1713"/>
      <c r="I215" s="1261">
        <v>232.9</v>
      </c>
      <c r="J215" s="1713"/>
      <c r="K215" s="1261">
        <v>364</v>
      </c>
      <c r="L215" s="1726"/>
      <c r="M215" s="1261">
        <v>280</v>
      </c>
      <c r="N215" s="1722"/>
      <c r="O215" s="1261">
        <v>253</v>
      </c>
      <c r="P215" s="1722"/>
      <c r="Q215" s="1261">
        <v>291.60000000000002</v>
      </c>
      <c r="R215" s="1703"/>
      <c r="S215" s="1261">
        <v>270.60000000000002</v>
      </c>
      <c r="T215" s="1703"/>
      <c r="U215" s="1261">
        <v>225</v>
      </c>
      <c r="V215" s="1701"/>
      <c r="W215" s="1261">
        <v>304.23</v>
      </c>
      <c r="X215" s="1699"/>
      <c r="Y215" s="1261">
        <v>254.29</v>
      </c>
      <c r="Z215" s="1261">
        <v>177.25</v>
      </c>
      <c r="AA215" s="1244">
        <v>89.74</v>
      </c>
      <c r="AB215" s="1245">
        <f>SUM(C215:AA215)</f>
        <v>3746.18</v>
      </c>
      <c r="AC215" s="1245">
        <v>8</v>
      </c>
      <c r="AD215" s="1245">
        <v>2</v>
      </c>
      <c r="AE215" s="1245">
        <v>0</v>
      </c>
      <c r="AF215" s="1246">
        <v>0</v>
      </c>
      <c r="AG215" s="1243">
        <v>9</v>
      </c>
      <c r="AH215" s="1243">
        <f>AH208+AG215</f>
        <v>336</v>
      </c>
    </row>
    <row r="216" spans="1:34" s="1243" customFormat="1" ht="21">
      <c r="B216" s="1723"/>
      <c r="D216" s="1723"/>
      <c r="F216" s="1723"/>
      <c r="H216" s="1714"/>
      <c r="I216" s="1732" t="s">
        <v>1731</v>
      </c>
      <c r="J216" s="1714"/>
      <c r="L216" s="1727"/>
      <c r="N216" s="1723"/>
      <c r="P216" s="1723"/>
      <c r="R216" s="1704"/>
      <c r="T216" s="1704"/>
      <c r="V216" s="1709"/>
      <c r="X216" s="1700"/>
      <c r="AA216" s="1244"/>
      <c r="AB216" s="1241"/>
      <c r="AC216" s="1245"/>
      <c r="AD216" s="1245"/>
      <c r="AE216" s="1245"/>
      <c r="AF216" s="1242"/>
    </row>
    <row r="217" spans="1:34" s="1243" customFormat="1" ht="21">
      <c r="B217" s="1243" t="s">
        <v>32</v>
      </c>
      <c r="D217" s="1243" t="s">
        <v>48</v>
      </c>
      <c r="F217" s="1243" t="s">
        <v>48</v>
      </c>
      <c r="H217" s="1243" t="s">
        <v>1426</v>
      </c>
      <c r="I217" s="1733"/>
      <c r="J217" s="1243" t="s">
        <v>1426</v>
      </c>
      <c r="L217" s="1243" t="s">
        <v>48</v>
      </c>
      <c r="N217" s="1243" t="s">
        <v>32</v>
      </c>
      <c r="P217" s="1243" t="s">
        <v>34</v>
      </c>
      <c r="R217" s="1243" t="s">
        <v>50</v>
      </c>
      <c r="T217" s="1243" t="s">
        <v>50</v>
      </c>
      <c r="V217" s="1243" t="s">
        <v>49</v>
      </c>
      <c r="X217" s="1243" t="s">
        <v>1713</v>
      </c>
      <c r="AA217" s="1244"/>
      <c r="AB217" s="1241"/>
      <c r="AC217" s="1241"/>
      <c r="AD217" s="1241"/>
      <c r="AE217" s="1241"/>
      <c r="AF217" s="1242"/>
    </row>
    <row r="218" spans="1:34" s="1243" customFormat="1" ht="21.75" thickBot="1">
      <c r="A218" s="1275"/>
      <c r="B218" s="1275"/>
      <c r="C218" s="1275"/>
      <c r="D218" s="1275"/>
      <c r="E218" s="1275"/>
      <c r="F218" s="1275"/>
      <c r="G218" s="1275"/>
      <c r="H218" s="1275"/>
      <c r="I218" s="1769"/>
      <c r="J218" s="1275"/>
      <c r="K218" s="1275"/>
      <c r="L218" s="1275"/>
      <c r="M218" s="1275"/>
      <c r="N218" s="1275"/>
      <c r="O218" s="1275"/>
      <c r="P218" s="1275"/>
      <c r="Q218" s="1275"/>
      <c r="R218" s="1275"/>
      <c r="S218" s="1276"/>
      <c r="T218" s="1250" t="s">
        <v>951</v>
      </c>
      <c r="U218" s="1275"/>
      <c r="V218" s="1250" t="s">
        <v>951</v>
      </c>
      <c r="W218" s="1275"/>
      <c r="X218" s="1250" t="s">
        <v>951</v>
      </c>
      <c r="Y218" s="1276"/>
      <c r="Z218" s="1275"/>
      <c r="AA218" s="1277"/>
      <c r="AB218" s="1245"/>
      <c r="AC218" s="1245"/>
      <c r="AD218" s="1245"/>
      <c r="AE218" s="1245"/>
      <c r="AF218" s="1246"/>
    </row>
    <row r="219" spans="1:34" s="1097" customFormat="1" ht="18.75" customHeight="1">
      <c r="A219" s="1770"/>
      <c r="B219" s="1770"/>
      <c r="C219" s="1770"/>
      <c r="D219" s="1770"/>
      <c r="E219" s="1770"/>
      <c r="F219" s="1770"/>
      <c r="G219" s="1770"/>
      <c r="H219" s="1770"/>
      <c r="I219" s="1770"/>
      <c r="J219" s="1770"/>
      <c r="K219" s="1770"/>
      <c r="L219" s="1770"/>
      <c r="M219" s="1770"/>
      <c r="N219" s="1770"/>
      <c r="O219" s="1770"/>
      <c r="P219" s="1770"/>
      <c r="Q219" s="1770"/>
      <c r="R219" s="1770"/>
      <c r="S219" s="1770"/>
      <c r="T219" s="1770"/>
      <c r="U219" s="1770"/>
      <c r="V219" s="1770"/>
      <c r="W219" s="1770"/>
      <c r="X219" s="1770"/>
      <c r="Y219" s="1770"/>
      <c r="Z219" s="1770"/>
      <c r="AA219" s="1771"/>
      <c r="AB219" s="867">
        <f>SUM(AB20:AB218)/1000</f>
        <v>101.10105999999999</v>
      </c>
      <c r="AC219" s="868">
        <f>SUM(AC20:AC218)</f>
        <v>184</v>
      </c>
      <c r="AD219" s="868">
        <f>SUM(AD20:AD218)</f>
        <v>138</v>
      </c>
      <c r="AE219" s="868">
        <f>SUM(AE20:AE218)</f>
        <v>71</v>
      </c>
      <c r="AF219" s="868">
        <f>SUM(AF20:AF218)</f>
        <v>0</v>
      </c>
      <c r="AG219" s="868">
        <f>SUM(AG20:AG218)</f>
        <v>336</v>
      </c>
    </row>
    <row r="220" spans="1:34" s="1097" customFormat="1" ht="6.75" customHeight="1">
      <c r="A220" s="1772"/>
      <c r="B220" s="1772"/>
      <c r="C220" s="1772"/>
      <c r="D220" s="1772"/>
      <c r="E220" s="1772"/>
      <c r="F220" s="1772"/>
      <c r="G220" s="1772"/>
      <c r="H220" s="1772"/>
      <c r="I220" s="1772"/>
      <c r="J220" s="1772"/>
      <c r="K220" s="1772"/>
      <c r="L220" s="1772"/>
      <c r="M220" s="1772"/>
      <c r="N220" s="1772"/>
      <c r="O220" s="1772"/>
      <c r="P220" s="1772"/>
      <c r="Q220" s="1772"/>
      <c r="R220" s="1772"/>
      <c r="S220" s="1772"/>
      <c r="T220" s="1772"/>
      <c r="U220" s="1772"/>
      <c r="V220" s="1772"/>
      <c r="W220" s="1772"/>
      <c r="X220" s="1772"/>
      <c r="Y220" s="1772"/>
      <c r="Z220" s="1772"/>
      <c r="AA220" s="1772"/>
      <c r="AB220" s="1772"/>
      <c r="AC220" s="1772"/>
      <c r="AD220" s="1772"/>
      <c r="AE220" s="1772"/>
      <c r="AF220" s="1772"/>
    </row>
    <row r="221" spans="1:34" s="590" customFormat="1" ht="12.75">
      <c r="H221" s="590" t="s">
        <v>951</v>
      </c>
      <c r="L221" s="591"/>
      <c r="M221" s="591"/>
    </row>
    <row r="222" spans="1:34" s="1112" customFormat="1">
      <c r="H222" s="1114"/>
      <c r="I222" s="1115" t="s">
        <v>2045</v>
      </c>
    </row>
    <row r="223" spans="1:34" s="1112" customFormat="1">
      <c r="H223" s="1116"/>
      <c r="I223" s="1115" t="s">
        <v>977</v>
      </c>
    </row>
    <row r="224" spans="1:34" s="1112" customFormat="1">
      <c r="H224" s="1512" t="s">
        <v>2029</v>
      </c>
      <c r="I224" s="1112" t="s">
        <v>2030</v>
      </c>
    </row>
    <row r="225" spans="8:9" s="1112" customFormat="1">
      <c r="H225" s="1512"/>
      <c r="I225" s="1112" t="s">
        <v>2031</v>
      </c>
    </row>
    <row r="226" spans="8:9" s="1112" customFormat="1">
      <c r="H226" s="1512"/>
      <c r="I226" s="1112" t="s">
        <v>2032</v>
      </c>
    </row>
    <row r="227" spans="8:9" s="1112" customFormat="1">
      <c r="H227" s="1512"/>
      <c r="I227" s="1112" t="s">
        <v>2033</v>
      </c>
    </row>
    <row r="228" spans="8:9" s="1112" customFormat="1"/>
    <row r="229" spans="8:9" s="1112" customFormat="1"/>
    <row r="230" spans="8:9" s="1112" customFormat="1"/>
  </sheetData>
  <mergeCells count="397">
    <mergeCell ref="H224:H227"/>
    <mergeCell ref="T215:T216"/>
    <mergeCell ref="V215:V216"/>
    <mergeCell ref="X215:X216"/>
    <mergeCell ref="I216:I218"/>
    <mergeCell ref="A219:AA219"/>
    <mergeCell ref="A220:AF220"/>
    <mergeCell ref="Z208:Z209"/>
    <mergeCell ref="B215:B216"/>
    <mergeCell ref="D215:D216"/>
    <mergeCell ref="F215:F216"/>
    <mergeCell ref="H215:H216"/>
    <mergeCell ref="J215:J216"/>
    <mergeCell ref="L215:L216"/>
    <mergeCell ref="N215:N216"/>
    <mergeCell ref="P215:P216"/>
    <mergeCell ref="R215:R216"/>
    <mergeCell ref="N208:N209"/>
    <mergeCell ref="P208:P209"/>
    <mergeCell ref="R208:R209"/>
    <mergeCell ref="T208:T209"/>
    <mergeCell ref="V208:V209"/>
    <mergeCell ref="X208:X209"/>
    <mergeCell ref="B208:B209"/>
    <mergeCell ref="D208:D209"/>
    <mergeCell ref="F208:F209"/>
    <mergeCell ref="H208:H209"/>
    <mergeCell ref="J208:J209"/>
    <mergeCell ref="L208:L209"/>
    <mergeCell ref="R201:R202"/>
    <mergeCell ref="T201:T202"/>
    <mergeCell ref="V201:V202"/>
    <mergeCell ref="X201:X202"/>
    <mergeCell ref="Z201:Z202"/>
    <mergeCell ref="C202:C204"/>
    <mergeCell ref="I202:I204"/>
    <mergeCell ref="X194:X195"/>
    <mergeCell ref="Z194:Z195"/>
    <mergeCell ref="B201:B202"/>
    <mergeCell ref="D201:D202"/>
    <mergeCell ref="F201:F202"/>
    <mergeCell ref="H201:H202"/>
    <mergeCell ref="J201:J202"/>
    <mergeCell ref="L201:L202"/>
    <mergeCell ref="N201:N202"/>
    <mergeCell ref="P201:P202"/>
    <mergeCell ref="L194:L195"/>
    <mergeCell ref="N194:N195"/>
    <mergeCell ref="P194:P195"/>
    <mergeCell ref="R194:R195"/>
    <mergeCell ref="T194:T195"/>
    <mergeCell ref="V194:V195"/>
    <mergeCell ref="E187:E188"/>
    <mergeCell ref="B194:B195"/>
    <mergeCell ref="D194:D195"/>
    <mergeCell ref="F194:F195"/>
    <mergeCell ref="H194:H195"/>
    <mergeCell ref="J194:J195"/>
    <mergeCell ref="P186:P187"/>
    <mergeCell ref="R186:R187"/>
    <mergeCell ref="T186:T187"/>
    <mergeCell ref="V186:V187"/>
    <mergeCell ref="X186:X187"/>
    <mergeCell ref="Z186:Z187"/>
    <mergeCell ref="Z178:Z179"/>
    <mergeCell ref="K179:K182"/>
    <mergeCell ref="W179:W180"/>
    <mergeCell ref="B186:B187"/>
    <mergeCell ref="D186:D187"/>
    <mergeCell ref="F186:F187"/>
    <mergeCell ref="H186:H187"/>
    <mergeCell ref="J186:J187"/>
    <mergeCell ref="L186:L187"/>
    <mergeCell ref="N186:N187"/>
    <mergeCell ref="N178:N179"/>
    <mergeCell ref="P178:P179"/>
    <mergeCell ref="R178:R179"/>
    <mergeCell ref="T178:T179"/>
    <mergeCell ref="V178:V179"/>
    <mergeCell ref="X178:X179"/>
    <mergeCell ref="B178:B179"/>
    <mergeCell ref="D178:D179"/>
    <mergeCell ref="F178:F179"/>
    <mergeCell ref="H178:H179"/>
    <mergeCell ref="J178:J179"/>
    <mergeCell ref="L178:L179"/>
    <mergeCell ref="P171:P172"/>
    <mergeCell ref="R171:R172"/>
    <mergeCell ref="T171:T172"/>
    <mergeCell ref="V171:V172"/>
    <mergeCell ref="X171:X172"/>
    <mergeCell ref="Z171:Z172"/>
    <mergeCell ref="E165:E166"/>
    <mergeCell ref="O165:O167"/>
    <mergeCell ref="T164:T165"/>
    <mergeCell ref="V164:V165"/>
    <mergeCell ref="X164:X165"/>
    <mergeCell ref="Z164:Z165"/>
    <mergeCell ref="B171:B172"/>
    <mergeCell ref="D171:D172"/>
    <mergeCell ref="F171:F172"/>
    <mergeCell ref="H171:H172"/>
    <mergeCell ref="J171:J172"/>
    <mergeCell ref="L171:L172"/>
    <mergeCell ref="N171:N172"/>
    <mergeCell ref="P164:P165"/>
    <mergeCell ref="R164:R165"/>
    <mergeCell ref="E163:E164"/>
    <mergeCell ref="B164:B165"/>
    <mergeCell ref="D164:D165"/>
    <mergeCell ref="F164:F165"/>
    <mergeCell ref="H164:H165"/>
    <mergeCell ref="J164:J165"/>
    <mergeCell ref="L164:L165"/>
    <mergeCell ref="N164:N165"/>
    <mergeCell ref="L157:L158"/>
    <mergeCell ref="N157:N158"/>
    <mergeCell ref="R149:R150"/>
    <mergeCell ref="T149:T150"/>
    <mergeCell ref="V149:V150"/>
    <mergeCell ref="X149:X150"/>
    <mergeCell ref="Z149:Z150"/>
    <mergeCell ref="B157:B158"/>
    <mergeCell ref="D157:D158"/>
    <mergeCell ref="F157:F158"/>
    <mergeCell ref="H157:H158"/>
    <mergeCell ref="J157:J158"/>
    <mergeCell ref="X157:X158"/>
    <mergeCell ref="Z157:Z158"/>
    <mergeCell ref="P157:P158"/>
    <mergeCell ref="R157:R158"/>
    <mergeCell ref="T157:T158"/>
    <mergeCell ref="V157:V158"/>
    <mergeCell ref="B149:B150"/>
    <mergeCell ref="D149:D150"/>
    <mergeCell ref="F149:F150"/>
    <mergeCell ref="H149:H150"/>
    <mergeCell ref="J149:J150"/>
    <mergeCell ref="L149:L150"/>
    <mergeCell ref="N149:N150"/>
    <mergeCell ref="P149:P150"/>
    <mergeCell ref="L142:L143"/>
    <mergeCell ref="N142:N143"/>
    <mergeCell ref="P142:P143"/>
    <mergeCell ref="X134:X135"/>
    <mergeCell ref="Z134:Z135"/>
    <mergeCell ref="C135:C138"/>
    <mergeCell ref="B142:B143"/>
    <mergeCell ref="D142:D143"/>
    <mergeCell ref="F142:F143"/>
    <mergeCell ref="H142:H143"/>
    <mergeCell ref="J142:J143"/>
    <mergeCell ref="X142:X143"/>
    <mergeCell ref="Z142:Z143"/>
    <mergeCell ref="R142:R143"/>
    <mergeCell ref="T142:T143"/>
    <mergeCell ref="V142:V143"/>
    <mergeCell ref="B126:B127"/>
    <mergeCell ref="D126:D127"/>
    <mergeCell ref="F126:F127"/>
    <mergeCell ref="H126:H127"/>
    <mergeCell ref="J126:J127"/>
    <mergeCell ref="L126:L127"/>
    <mergeCell ref="Z126:Z127"/>
    <mergeCell ref="B134:B135"/>
    <mergeCell ref="D134:D135"/>
    <mergeCell ref="F134:F135"/>
    <mergeCell ref="H134:H135"/>
    <mergeCell ref="J134:J135"/>
    <mergeCell ref="L134:L135"/>
    <mergeCell ref="N134:N135"/>
    <mergeCell ref="P134:P135"/>
    <mergeCell ref="R134:R135"/>
    <mergeCell ref="N126:N127"/>
    <mergeCell ref="P126:P127"/>
    <mergeCell ref="R126:R127"/>
    <mergeCell ref="T126:T127"/>
    <mergeCell ref="V126:V127"/>
    <mergeCell ref="X126:X127"/>
    <mergeCell ref="T134:T135"/>
    <mergeCell ref="V134:V135"/>
    <mergeCell ref="Z110:Z111"/>
    <mergeCell ref="B118:B119"/>
    <mergeCell ref="D118:D119"/>
    <mergeCell ref="F118:F119"/>
    <mergeCell ref="H118:H119"/>
    <mergeCell ref="J118:J119"/>
    <mergeCell ref="L118:L119"/>
    <mergeCell ref="N118:N119"/>
    <mergeCell ref="P118:P119"/>
    <mergeCell ref="R118:R119"/>
    <mergeCell ref="N110:N111"/>
    <mergeCell ref="P110:P111"/>
    <mergeCell ref="R110:R111"/>
    <mergeCell ref="T110:T111"/>
    <mergeCell ref="V110:V111"/>
    <mergeCell ref="X110:X111"/>
    <mergeCell ref="T118:T119"/>
    <mergeCell ref="V118:V119"/>
    <mergeCell ref="X118:X119"/>
    <mergeCell ref="Z118:Z119"/>
    <mergeCell ref="D104:D105"/>
    <mergeCell ref="F104:F105"/>
    <mergeCell ref="T104:T105"/>
    <mergeCell ref="V104:V105"/>
    <mergeCell ref="B110:B111"/>
    <mergeCell ref="D110:D111"/>
    <mergeCell ref="F110:F111"/>
    <mergeCell ref="H110:H111"/>
    <mergeCell ref="J110:J111"/>
    <mergeCell ref="L110:L111"/>
    <mergeCell ref="T102:T103"/>
    <mergeCell ref="V102:V103"/>
    <mergeCell ref="X102:X103"/>
    <mergeCell ref="Z102:Z103"/>
    <mergeCell ref="E103:E106"/>
    <mergeCell ref="U103:U106"/>
    <mergeCell ref="Z95:Z96"/>
    <mergeCell ref="B102:B103"/>
    <mergeCell ref="D102:D103"/>
    <mergeCell ref="F102:F103"/>
    <mergeCell ref="H102:H103"/>
    <mergeCell ref="J102:J103"/>
    <mergeCell ref="L102:L103"/>
    <mergeCell ref="N102:N103"/>
    <mergeCell ref="P102:P103"/>
    <mergeCell ref="R102:R103"/>
    <mergeCell ref="N95:N96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Z81:Z82"/>
    <mergeCell ref="O82:O86"/>
    <mergeCell ref="B88:B89"/>
    <mergeCell ref="D88:D89"/>
    <mergeCell ref="F88:F89"/>
    <mergeCell ref="H88:H89"/>
    <mergeCell ref="N81:N82"/>
    <mergeCell ref="P81:P82"/>
    <mergeCell ref="R81:R82"/>
    <mergeCell ref="T81:T82"/>
    <mergeCell ref="V81:V82"/>
    <mergeCell ref="X81:X82"/>
    <mergeCell ref="T74:T75"/>
    <mergeCell ref="V74:V75"/>
    <mergeCell ref="X74:X75"/>
    <mergeCell ref="Z74:Z75"/>
    <mergeCell ref="B81:B82"/>
    <mergeCell ref="D81:D82"/>
    <mergeCell ref="F81:F82"/>
    <mergeCell ref="H81:H82"/>
    <mergeCell ref="J81:J82"/>
    <mergeCell ref="L81:L82"/>
    <mergeCell ref="B74:B75"/>
    <mergeCell ref="D74:D75"/>
    <mergeCell ref="F74:F75"/>
    <mergeCell ref="H74:H75"/>
    <mergeCell ref="J74:J75"/>
    <mergeCell ref="L74:L75"/>
    <mergeCell ref="N74:N75"/>
    <mergeCell ref="P74:P75"/>
    <mergeCell ref="R74:R75"/>
    <mergeCell ref="X60:X61"/>
    <mergeCell ref="Z60:Z61"/>
    <mergeCell ref="B67:B68"/>
    <mergeCell ref="D67:D68"/>
    <mergeCell ref="F67:F68"/>
    <mergeCell ref="H67:H68"/>
    <mergeCell ref="J67:J68"/>
    <mergeCell ref="L67:L68"/>
    <mergeCell ref="Z67:Z68"/>
    <mergeCell ref="N67:N68"/>
    <mergeCell ref="P67:P68"/>
    <mergeCell ref="R67:R68"/>
    <mergeCell ref="T67:T68"/>
    <mergeCell ref="V67:V68"/>
    <mergeCell ref="X67:X68"/>
    <mergeCell ref="Z53:Z54"/>
    <mergeCell ref="B60:B61"/>
    <mergeCell ref="D60:D61"/>
    <mergeCell ref="F60:F61"/>
    <mergeCell ref="H60:H61"/>
    <mergeCell ref="J60:J61"/>
    <mergeCell ref="L60:L61"/>
    <mergeCell ref="N60:N61"/>
    <mergeCell ref="P60:P61"/>
    <mergeCell ref="R60:R61"/>
    <mergeCell ref="N53:N54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T60:T61"/>
    <mergeCell ref="V60:V61"/>
    <mergeCell ref="P46:P47"/>
    <mergeCell ref="R46:R47"/>
    <mergeCell ref="T46:T47"/>
    <mergeCell ref="V46:V47"/>
    <mergeCell ref="X46:X47"/>
    <mergeCell ref="Z46:Z47"/>
    <mergeCell ref="X39:X40"/>
    <mergeCell ref="Z39:Z40"/>
    <mergeCell ref="K40:K42"/>
    <mergeCell ref="P39:P40"/>
    <mergeCell ref="R39:R40"/>
    <mergeCell ref="T39:T40"/>
    <mergeCell ref="V39:V40"/>
    <mergeCell ref="B46:B47"/>
    <mergeCell ref="D46:D47"/>
    <mergeCell ref="F46:F47"/>
    <mergeCell ref="H46:H47"/>
    <mergeCell ref="J46:J47"/>
    <mergeCell ref="L46:L47"/>
    <mergeCell ref="N46:N47"/>
    <mergeCell ref="L39:L40"/>
    <mergeCell ref="N39:N40"/>
    <mergeCell ref="T32:T33"/>
    <mergeCell ref="V32:V33"/>
    <mergeCell ref="X32:X33"/>
    <mergeCell ref="Z32:Z33"/>
    <mergeCell ref="AA33:AA34"/>
    <mergeCell ref="B39:B40"/>
    <mergeCell ref="D39:D40"/>
    <mergeCell ref="F39:F40"/>
    <mergeCell ref="H39:H40"/>
    <mergeCell ref="J39:J40"/>
    <mergeCell ref="B32:B33"/>
    <mergeCell ref="D32:D33"/>
    <mergeCell ref="F32:F33"/>
    <mergeCell ref="H32:H33"/>
    <mergeCell ref="J32:J33"/>
    <mergeCell ref="L32:L33"/>
    <mergeCell ref="N32:N33"/>
    <mergeCell ref="P32:P33"/>
    <mergeCell ref="R32:R33"/>
    <mergeCell ref="AC17:AC18"/>
    <mergeCell ref="AD17:AD18"/>
    <mergeCell ref="AE17:AE18"/>
    <mergeCell ref="AF17:AF18"/>
    <mergeCell ref="B23:B24"/>
    <mergeCell ref="D23:D24"/>
    <mergeCell ref="F23:F24"/>
    <mergeCell ref="H23:H24"/>
    <mergeCell ref="J23:J24"/>
    <mergeCell ref="L23:L24"/>
    <mergeCell ref="Z23:Z24"/>
    <mergeCell ref="N23:N24"/>
    <mergeCell ref="P23:P24"/>
    <mergeCell ref="R23:R24"/>
    <mergeCell ref="T23:T24"/>
    <mergeCell ref="V23:V24"/>
    <mergeCell ref="X23:X24"/>
    <mergeCell ref="R13:S13"/>
    <mergeCell ref="U13:U15"/>
    <mergeCell ref="V14:V15"/>
    <mergeCell ref="C15:F15"/>
    <mergeCell ref="R15:S15"/>
    <mergeCell ref="AB17:AB18"/>
    <mergeCell ref="W10:W11"/>
    <mergeCell ref="B11:F11"/>
    <mergeCell ref="G11:H11"/>
    <mergeCell ref="I11:K11"/>
    <mergeCell ref="B12:F12"/>
    <mergeCell ref="G12:H12"/>
    <mergeCell ref="I12:K12"/>
    <mergeCell ref="I8:K8"/>
    <mergeCell ref="B9:F9"/>
    <mergeCell ref="G9:H9"/>
    <mergeCell ref="I9:K9"/>
    <mergeCell ref="B10:F10"/>
    <mergeCell ref="G10:H10"/>
    <mergeCell ref="I10:K10"/>
    <mergeCell ref="A1:AF1"/>
    <mergeCell ref="A3:AF3"/>
    <mergeCell ref="A4:AF4"/>
    <mergeCell ref="B6:K7"/>
    <mergeCell ref="R6:AB6"/>
    <mergeCell ref="Y7:Y9"/>
    <mergeCell ref="AA7:AA9"/>
    <mergeCell ref="AB7:AB9"/>
    <mergeCell ref="B8:F8"/>
    <mergeCell ref="G8:H8"/>
  </mergeCells>
  <pageMargins left="0.70866141732283472" right="0.70866141732283472" top="0.74803149606299213" bottom="0.74803149606299213" header="0.31496062992125984" footer="0.31496062992125984"/>
  <pageSetup paperSize="9" scale="27" fitToHeight="4" orientation="landscape" horizontalDpi="300" verticalDpi="300" r:id="rId1"/>
  <rowBreaks count="2" manualBreakCount="2">
    <brk id="77" max="31" man="1"/>
    <brk id="152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13" zoomScale="95" workbookViewId="0">
      <selection activeCell="C14" sqref="C14"/>
    </sheetView>
  </sheetViews>
  <sheetFormatPr defaultRowHeight="15"/>
  <cols>
    <col min="1" max="1" width="9.140625" style="573"/>
    <col min="2" max="2" width="12" style="1230" bestFit="1" customWidth="1"/>
    <col min="3" max="3" width="146.28515625" customWidth="1"/>
  </cols>
  <sheetData>
    <row r="1" spans="1:3" ht="15.75" thickBot="1">
      <c r="A1" s="1773" t="s">
        <v>2097</v>
      </c>
      <c r="B1" s="1774"/>
      <c r="C1" s="1775"/>
    </row>
    <row r="2" spans="1:3" ht="15.75" thickBot="1">
      <c r="A2" s="1190" t="s">
        <v>2098</v>
      </c>
      <c r="B2" s="1227" t="s">
        <v>2099</v>
      </c>
      <c r="C2" s="1191" t="s">
        <v>2100</v>
      </c>
    </row>
    <row r="3" spans="1:3" ht="15.75" thickBot="1">
      <c r="A3" s="1222"/>
      <c r="B3" s="1228"/>
      <c r="C3" s="1192" t="s">
        <v>2101</v>
      </c>
    </row>
    <row r="4" spans="1:3" ht="15.75" thickBot="1">
      <c r="A4" s="1223">
        <v>1</v>
      </c>
      <c r="B4" s="1229" t="s">
        <v>2102</v>
      </c>
      <c r="C4" s="1193" t="s">
        <v>2103</v>
      </c>
    </row>
    <row r="5" spans="1:3" ht="30" thickBot="1">
      <c r="A5" s="1223">
        <v>2</v>
      </c>
      <c r="B5" s="1229" t="s">
        <v>2102</v>
      </c>
      <c r="C5" s="1193" t="s">
        <v>2104</v>
      </c>
    </row>
    <row r="6" spans="1:3" ht="30" thickBot="1">
      <c r="A6" s="1223">
        <v>3</v>
      </c>
      <c r="B6" s="1229" t="s">
        <v>2105</v>
      </c>
      <c r="C6" s="1193" t="s">
        <v>2106</v>
      </c>
    </row>
    <row r="7" spans="1:3" ht="15.75" thickBot="1">
      <c r="A7" s="1223">
        <v>4</v>
      </c>
      <c r="B7" s="1229" t="s">
        <v>2105</v>
      </c>
      <c r="C7" s="1193" t="s">
        <v>2107</v>
      </c>
    </row>
    <row r="8" spans="1:3" ht="15.75" thickBot="1">
      <c r="A8" s="1223">
        <v>5</v>
      </c>
      <c r="B8" s="1229" t="s">
        <v>2105</v>
      </c>
      <c r="C8" s="1193" t="s">
        <v>2108</v>
      </c>
    </row>
    <row r="9" spans="1:3" ht="15.75" thickBot="1">
      <c r="A9" s="1223">
        <v>6</v>
      </c>
      <c r="B9" s="1229" t="s">
        <v>2105</v>
      </c>
      <c r="C9" s="1193" t="s">
        <v>2109</v>
      </c>
    </row>
    <row r="10" spans="1:3" ht="30" thickBot="1">
      <c r="A10" s="1223">
        <v>7</v>
      </c>
      <c r="B10" s="1229" t="s">
        <v>2105</v>
      </c>
      <c r="C10" s="1193" t="s">
        <v>2110</v>
      </c>
    </row>
    <row r="11" spans="1:3" ht="30" thickBot="1">
      <c r="A11" s="1223">
        <v>8</v>
      </c>
      <c r="B11" s="1229" t="s">
        <v>2105</v>
      </c>
      <c r="C11" s="1193" t="s">
        <v>2111</v>
      </c>
    </row>
    <row r="12" spans="1:3" ht="15.75" thickBot="1">
      <c r="A12" s="1223">
        <v>9</v>
      </c>
      <c r="B12" s="1229" t="s">
        <v>2105</v>
      </c>
      <c r="C12" s="1193" t="s">
        <v>2112</v>
      </c>
    </row>
    <row r="13" spans="1:3" ht="15.75" thickBot="1">
      <c r="A13" s="1223">
        <v>10</v>
      </c>
      <c r="B13" s="1229" t="s">
        <v>2105</v>
      </c>
      <c r="C13" s="1193" t="s">
        <v>2113</v>
      </c>
    </row>
    <row r="14" spans="1:3" ht="15.75" thickBot="1">
      <c r="A14" s="1223">
        <v>11</v>
      </c>
      <c r="B14" s="1229" t="s">
        <v>2105</v>
      </c>
      <c r="C14" s="1193" t="s">
        <v>2114</v>
      </c>
    </row>
    <row r="15" spans="1:3" ht="15.75" thickBot="1">
      <c r="A15" s="1223">
        <v>12</v>
      </c>
      <c r="B15" s="1229" t="s">
        <v>2105</v>
      </c>
      <c r="C15" s="1193" t="s">
        <v>2115</v>
      </c>
    </row>
    <row r="16" spans="1:3" ht="30" thickBot="1">
      <c r="A16" s="1223">
        <v>13</v>
      </c>
      <c r="B16" s="1229" t="s">
        <v>2116</v>
      </c>
      <c r="C16" s="1193" t="s">
        <v>2117</v>
      </c>
    </row>
    <row r="17" spans="1:3" ht="15.75" thickBot="1">
      <c r="A17" s="1223">
        <v>14</v>
      </c>
      <c r="B17" s="1229" t="s">
        <v>2116</v>
      </c>
      <c r="C17" s="1193" t="s">
        <v>2118</v>
      </c>
    </row>
    <row r="18" spans="1:3" ht="30" thickBot="1">
      <c r="A18" s="1223">
        <v>15</v>
      </c>
      <c r="B18" s="1229" t="s">
        <v>2105</v>
      </c>
      <c r="C18" s="1193" t="s">
        <v>2119</v>
      </c>
    </row>
    <row r="19" spans="1:3" ht="15.75" thickBot="1">
      <c r="A19" s="1223">
        <v>16</v>
      </c>
      <c r="B19" s="1229" t="s">
        <v>2105</v>
      </c>
      <c r="C19" s="1193" t="s">
        <v>2120</v>
      </c>
    </row>
    <row r="20" spans="1:3" ht="30" thickBot="1">
      <c r="A20" s="1223">
        <v>17</v>
      </c>
      <c r="B20" s="1229" t="s">
        <v>2116</v>
      </c>
      <c r="C20" s="1193" t="s">
        <v>2121</v>
      </c>
    </row>
    <row r="21" spans="1:3" ht="15.75" thickBot="1">
      <c r="A21" s="1223">
        <v>18</v>
      </c>
      <c r="B21" s="1229" t="s">
        <v>2116</v>
      </c>
      <c r="C21" s="1193" t="s">
        <v>2122</v>
      </c>
    </row>
    <row r="22" spans="1:3" ht="30" thickBot="1">
      <c r="A22" s="1223">
        <v>19</v>
      </c>
      <c r="B22" s="1229" t="s">
        <v>2116</v>
      </c>
      <c r="C22" s="1193" t="s">
        <v>2123</v>
      </c>
    </row>
    <row r="23" spans="1:3" ht="44.25" thickBot="1">
      <c r="A23" s="1223">
        <v>20</v>
      </c>
      <c r="B23" s="1229" t="s">
        <v>2116</v>
      </c>
      <c r="C23" s="1193" t="s">
        <v>2124</v>
      </c>
    </row>
    <row r="24" spans="1:3" ht="15.75" thickBot="1">
      <c r="A24" s="1223">
        <v>21</v>
      </c>
      <c r="B24" s="1229" t="s">
        <v>2116</v>
      </c>
      <c r="C24" s="1193" t="s">
        <v>2125</v>
      </c>
    </row>
    <row r="25" spans="1:3" ht="15.75" thickBot="1">
      <c r="A25" s="1223">
        <v>22</v>
      </c>
      <c r="B25" s="1229" t="s">
        <v>2116</v>
      </c>
      <c r="C25" s="1193" t="s">
        <v>2126</v>
      </c>
    </row>
    <row r="26" spans="1:3" ht="15.75" thickBot="1">
      <c r="A26" s="1223">
        <v>23</v>
      </c>
      <c r="B26" s="1229" t="s">
        <v>2116</v>
      </c>
      <c r="C26" s="1193" t="s">
        <v>2127</v>
      </c>
    </row>
    <row r="27" spans="1:3" ht="15.75" thickBot="1">
      <c r="A27" s="1222"/>
      <c r="B27" s="1228"/>
      <c r="C27" s="1192" t="s">
        <v>2128</v>
      </c>
    </row>
    <row r="28" spans="1:3" ht="30" thickBot="1">
      <c r="A28" s="1223">
        <v>1</v>
      </c>
      <c r="B28" s="1229" t="s">
        <v>2116</v>
      </c>
      <c r="C28" s="1193" t="s">
        <v>2129</v>
      </c>
    </row>
    <row r="29" spans="1:3" ht="15.75" thickBot="1">
      <c r="A29" s="1223">
        <v>2</v>
      </c>
      <c r="B29" s="1229" t="s">
        <v>2116</v>
      </c>
      <c r="C29" s="1193" t="s">
        <v>2130</v>
      </c>
    </row>
    <row r="30" spans="1:3" ht="15.75" thickBot="1">
      <c r="A30" s="1223">
        <v>3</v>
      </c>
      <c r="B30" s="1229" t="s">
        <v>2116</v>
      </c>
      <c r="C30" s="1193" t="s">
        <v>2131</v>
      </c>
    </row>
    <row r="31" spans="1:3" ht="15" customHeight="1" thickBot="1">
      <c r="A31" s="1222"/>
      <c r="B31" s="1228"/>
      <c r="C31" s="1192" t="s">
        <v>2132</v>
      </c>
    </row>
    <row r="32" spans="1:3" ht="30" thickBot="1">
      <c r="A32" s="1223">
        <v>1</v>
      </c>
      <c r="B32" s="1229" t="s">
        <v>2116</v>
      </c>
      <c r="C32" s="1193" t="s">
        <v>2133</v>
      </c>
    </row>
    <row r="33" spans="1:3" ht="30" thickBot="1">
      <c r="A33" s="1223">
        <v>2</v>
      </c>
      <c r="B33" s="1229" t="s">
        <v>2116</v>
      </c>
      <c r="C33" s="1193" t="s">
        <v>2134</v>
      </c>
    </row>
    <row r="34" spans="1:3" ht="30" thickBot="1">
      <c r="A34" s="1223">
        <v>3</v>
      </c>
      <c r="B34" s="1229" t="s">
        <v>2116</v>
      </c>
      <c r="C34" s="1193" t="s">
        <v>2135</v>
      </c>
    </row>
    <row r="35" spans="1:3" ht="15.75" thickBot="1">
      <c r="A35" s="1223">
        <v>4</v>
      </c>
      <c r="B35" s="1229" t="s">
        <v>2116</v>
      </c>
      <c r="C35" s="1193" t="s">
        <v>2136</v>
      </c>
    </row>
    <row r="36" spans="1:3" ht="30" thickBot="1">
      <c r="A36" s="1223">
        <v>5</v>
      </c>
      <c r="B36" s="1229" t="s">
        <v>2116</v>
      </c>
      <c r="C36" s="1193" t="s">
        <v>2137</v>
      </c>
    </row>
    <row r="37" spans="1:3" ht="15.75" thickBot="1">
      <c r="A37" s="1223">
        <v>6</v>
      </c>
      <c r="B37" s="1229" t="s">
        <v>2116</v>
      </c>
      <c r="C37" s="1193" t="s">
        <v>2138</v>
      </c>
    </row>
    <row r="38" spans="1:3" ht="15.75" thickBot="1">
      <c r="A38" s="1223">
        <v>7</v>
      </c>
      <c r="B38" s="1229" t="s">
        <v>2116</v>
      </c>
      <c r="C38" s="1193" t="s">
        <v>2139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I294"/>
  <sheetViews>
    <sheetView workbookViewId="0">
      <selection activeCell="I104" sqref="I104"/>
    </sheetView>
  </sheetViews>
  <sheetFormatPr defaultRowHeight="15"/>
  <cols>
    <col min="6" max="6" width="11.140625" bestFit="1" customWidth="1"/>
    <col min="7" max="7" width="10.85546875" bestFit="1" customWidth="1"/>
  </cols>
  <sheetData>
    <row r="1" spans="1:9" ht="15.75" thickBot="1">
      <c r="A1" s="1777" t="s">
        <v>62</v>
      </c>
      <c r="B1" s="1778" t="s">
        <v>1439</v>
      </c>
      <c r="C1" s="1780" t="s">
        <v>63</v>
      </c>
      <c r="D1" s="1782" t="s">
        <v>38</v>
      </c>
      <c r="E1" s="1783" t="s">
        <v>1440</v>
      </c>
      <c r="F1" s="1776" t="s">
        <v>35</v>
      </c>
      <c r="G1" s="1776"/>
      <c r="H1" s="1776"/>
      <c r="I1" s="1776"/>
    </row>
    <row r="2" spans="1:9" ht="15.75" thickBot="1">
      <c r="A2" s="1777"/>
      <c r="B2" s="1778"/>
      <c r="C2" s="1780"/>
      <c r="D2" s="1782"/>
      <c r="E2" s="1783"/>
      <c r="F2" s="1776"/>
      <c r="G2" s="1776"/>
      <c r="H2" s="1776"/>
      <c r="I2" s="1776"/>
    </row>
    <row r="3" spans="1:9">
      <c r="A3" s="1777"/>
      <c r="B3" s="1779"/>
      <c r="C3" s="1781"/>
      <c r="D3" s="1782"/>
      <c r="E3" s="1783"/>
      <c r="F3" s="600" t="s">
        <v>1441</v>
      </c>
      <c r="G3" s="601" t="s">
        <v>940</v>
      </c>
      <c r="H3" s="601" t="s">
        <v>1442</v>
      </c>
      <c r="I3" s="601" t="s">
        <v>1443</v>
      </c>
    </row>
    <row r="4" spans="1:9" ht="15.75">
      <c r="A4" s="602"/>
      <c r="B4" s="603"/>
      <c r="C4" s="603"/>
      <c r="D4" s="604"/>
      <c r="E4" s="81"/>
      <c r="F4" s="1"/>
      <c r="G4" s="1"/>
      <c r="H4" s="1"/>
      <c r="I4" s="1"/>
    </row>
    <row r="5" spans="1:9">
      <c r="A5" s="74">
        <v>1</v>
      </c>
      <c r="B5" s="74" t="s">
        <v>1444</v>
      </c>
      <c r="C5" s="605" t="s">
        <v>213</v>
      </c>
      <c r="D5" s="81" t="s">
        <v>43</v>
      </c>
      <c r="E5" s="606">
        <v>0</v>
      </c>
      <c r="F5" s="1"/>
      <c r="G5" s="1"/>
      <c r="H5" s="1"/>
      <c r="I5" s="1"/>
    </row>
    <row r="6" spans="1:9">
      <c r="A6" s="74">
        <v>2</v>
      </c>
      <c r="B6" s="74"/>
      <c r="C6" s="572" t="s">
        <v>1211</v>
      </c>
      <c r="D6" s="81" t="s">
        <v>49</v>
      </c>
      <c r="E6" s="607">
        <v>360</v>
      </c>
      <c r="F6" s="1"/>
      <c r="G6" s="1"/>
      <c r="H6" s="1"/>
      <c r="I6" s="1"/>
    </row>
    <row r="7" spans="1:9">
      <c r="A7" s="74">
        <v>3</v>
      </c>
      <c r="B7" s="74" t="s">
        <v>1445</v>
      </c>
      <c r="C7" s="572" t="s">
        <v>1212</v>
      </c>
      <c r="D7" s="81" t="s">
        <v>39</v>
      </c>
      <c r="E7" s="607">
        <v>328</v>
      </c>
      <c r="F7" s="1"/>
      <c r="G7" s="1"/>
      <c r="H7" s="1"/>
      <c r="I7" s="1"/>
    </row>
    <row r="8" spans="1:9">
      <c r="A8" s="74">
        <v>4</v>
      </c>
      <c r="B8" s="74" t="s">
        <v>1446</v>
      </c>
      <c r="C8" s="608" t="s">
        <v>66</v>
      </c>
      <c r="D8" s="81" t="s">
        <v>39</v>
      </c>
      <c r="E8" s="607">
        <v>360</v>
      </c>
      <c r="F8" s="1"/>
      <c r="G8" s="1"/>
      <c r="H8" s="1"/>
      <c r="I8" s="1"/>
    </row>
    <row r="9" spans="1:9">
      <c r="A9" s="74">
        <v>5</v>
      </c>
      <c r="B9" s="74" t="s">
        <v>1447</v>
      </c>
      <c r="C9" s="608" t="s">
        <v>224</v>
      </c>
      <c r="D9" s="81" t="s">
        <v>39</v>
      </c>
      <c r="E9" s="607">
        <v>409</v>
      </c>
      <c r="F9" s="1"/>
      <c r="G9" s="1"/>
      <c r="H9" s="1"/>
      <c r="I9" s="1"/>
    </row>
    <row r="10" spans="1:9">
      <c r="A10" s="74">
        <v>6</v>
      </c>
      <c r="B10" s="74"/>
      <c r="C10" s="572" t="s">
        <v>230</v>
      </c>
      <c r="D10" s="81" t="s">
        <v>34</v>
      </c>
      <c r="E10" s="607">
        <v>360</v>
      </c>
      <c r="F10" s="1"/>
      <c r="G10" s="1"/>
      <c r="H10" s="1"/>
      <c r="I10" s="1"/>
    </row>
    <row r="11" spans="1:9">
      <c r="A11" s="74">
        <v>7</v>
      </c>
      <c r="B11" s="74"/>
      <c r="C11" s="572" t="s">
        <v>234</v>
      </c>
      <c r="D11" s="81" t="s">
        <v>48</v>
      </c>
      <c r="E11" s="607">
        <v>340</v>
      </c>
      <c r="F11" s="1"/>
      <c r="G11" s="1"/>
      <c r="H11" s="1"/>
      <c r="I11" s="1"/>
    </row>
    <row r="12" spans="1:9">
      <c r="A12" s="74">
        <v>8</v>
      </c>
      <c r="B12" s="74"/>
      <c r="C12" s="572" t="s">
        <v>239</v>
      </c>
      <c r="D12" s="81" t="s">
        <v>49</v>
      </c>
      <c r="E12" s="607">
        <v>360</v>
      </c>
      <c r="F12" s="1"/>
      <c r="G12" s="1"/>
      <c r="H12" s="1"/>
      <c r="I12" s="1"/>
    </row>
    <row r="13" spans="1:9">
      <c r="A13" s="74">
        <v>9</v>
      </c>
      <c r="B13" s="74" t="s">
        <v>1448</v>
      </c>
      <c r="C13" s="572" t="s">
        <v>67</v>
      </c>
      <c r="D13" s="81" t="s">
        <v>43</v>
      </c>
      <c r="E13" s="607">
        <v>314</v>
      </c>
      <c r="F13" s="1"/>
      <c r="G13" s="1"/>
      <c r="H13" s="1"/>
      <c r="I13" s="1"/>
    </row>
    <row r="14" spans="1:9">
      <c r="A14" s="74">
        <v>10</v>
      </c>
      <c r="B14" s="74" t="s">
        <v>1449</v>
      </c>
      <c r="C14" s="572" t="s">
        <v>68</v>
      </c>
      <c r="D14" s="81" t="s">
        <v>45</v>
      </c>
      <c r="E14" s="607">
        <v>341</v>
      </c>
      <c r="F14" s="1"/>
      <c r="G14" s="1"/>
      <c r="H14" s="1"/>
      <c r="I14" s="1"/>
    </row>
    <row r="15" spans="1:9">
      <c r="A15" s="74">
        <v>11</v>
      </c>
      <c r="B15" s="74"/>
      <c r="C15" s="572" t="s">
        <v>564</v>
      </c>
      <c r="D15" s="81" t="s">
        <v>48</v>
      </c>
      <c r="E15" s="607">
        <v>307</v>
      </c>
      <c r="F15" s="74" t="s">
        <v>29</v>
      </c>
      <c r="G15" s="74" t="s">
        <v>29</v>
      </c>
      <c r="H15" s="1"/>
      <c r="I15" s="1"/>
    </row>
    <row r="16" spans="1:9">
      <c r="A16" s="74">
        <v>12</v>
      </c>
      <c r="B16" s="74"/>
      <c r="C16" s="572" t="s">
        <v>563</v>
      </c>
      <c r="D16" s="81" t="s">
        <v>49</v>
      </c>
      <c r="E16" s="607">
        <v>287</v>
      </c>
      <c r="F16" s="74" t="s">
        <v>29</v>
      </c>
      <c r="G16" s="74" t="s">
        <v>29</v>
      </c>
      <c r="H16" s="1"/>
      <c r="I16" s="1"/>
    </row>
    <row r="17" spans="1:9">
      <c r="A17" s="74">
        <v>13</v>
      </c>
      <c r="B17" s="74" t="s">
        <v>1450</v>
      </c>
      <c r="C17" s="572" t="s">
        <v>56</v>
      </c>
      <c r="D17" s="81" t="s">
        <v>43</v>
      </c>
      <c r="E17" s="607">
        <v>319</v>
      </c>
      <c r="F17" s="74" t="s">
        <v>29</v>
      </c>
      <c r="G17" s="74" t="s">
        <v>29</v>
      </c>
      <c r="H17" s="1"/>
      <c r="I17" s="1"/>
    </row>
    <row r="18" spans="1:9">
      <c r="A18" s="74">
        <v>14</v>
      </c>
      <c r="B18" s="74"/>
      <c r="C18" s="74" t="s">
        <v>561</v>
      </c>
      <c r="D18" s="81" t="s">
        <v>34</v>
      </c>
      <c r="E18" s="607">
        <v>320</v>
      </c>
      <c r="F18" s="74" t="s">
        <v>29</v>
      </c>
      <c r="G18" s="74" t="s">
        <v>29</v>
      </c>
      <c r="H18" s="1"/>
      <c r="I18" s="1"/>
    </row>
    <row r="19" spans="1:9">
      <c r="A19" s="74">
        <v>15</v>
      </c>
      <c r="B19" s="74" t="s">
        <v>1451</v>
      </c>
      <c r="C19" s="74" t="s">
        <v>60</v>
      </c>
      <c r="D19" s="81" t="s">
        <v>45</v>
      </c>
      <c r="E19" s="607">
        <v>320</v>
      </c>
      <c r="F19" s="74" t="s">
        <v>29</v>
      </c>
      <c r="G19" s="74" t="s">
        <v>29</v>
      </c>
      <c r="H19" s="1"/>
      <c r="I19" s="1"/>
    </row>
    <row r="20" spans="1:9">
      <c r="A20" s="74">
        <v>16</v>
      </c>
      <c r="B20" s="74" t="s">
        <v>1452</v>
      </c>
      <c r="C20" s="74" t="s">
        <v>55</v>
      </c>
      <c r="D20" s="81" t="s">
        <v>45</v>
      </c>
      <c r="E20" s="607">
        <v>341</v>
      </c>
      <c r="F20" s="74" t="s">
        <v>29</v>
      </c>
      <c r="G20" s="74" t="s">
        <v>29</v>
      </c>
      <c r="H20" s="1"/>
      <c r="I20" s="1"/>
    </row>
    <row r="21" spans="1:9">
      <c r="A21" s="74">
        <v>17</v>
      </c>
      <c r="B21" s="74" t="s">
        <v>1453</v>
      </c>
      <c r="C21" s="74" t="s">
        <v>59</v>
      </c>
      <c r="D21" s="81" t="s">
        <v>50</v>
      </c>
      <c r="E21" s="607">
        <v>309</v>
      </c>
      <c r="F21" s="74" t="s">
        <v>29</v>
      </c>
      <c r="G21" s="74" t="s">
        <v>29</v>
      </c>
      <c r="H21" s="1"/>
      <c r="I21" s="1"/>
    </row>
    <row r="22" spans="1:9">
      <c r="A22" s="74">
        <v>18</v>
      </c>
      <c r="B22" s="74"/>
      <c r="C22" s="74" t="s">
        <v>565</v>
      </c>
      <c r="D22" s="81" t="s">
        <v>48</v>
      </c>
      <c r="E22" s="607">
        <v>326</v>
      </c>
      <c r="F22" s="74" t="s">
        <v>29</v>
      </c>
      <c r="G22" s="74" t="s">
        <v>29</v>
      </c>
      <c r="H22" s="1"/>
      <c r="I22" s="1"/>
    </row>
    <row r="23" spans="1:9">
      <c r="A23" s="74">
        <v>19</v>
      </c>
      <c r="B23" s="74" t="s">
        <v>1454</v>
      </c>
      <c r="C23" s="74" t="s">
        <v>58</v>
      </c>
      <c r="D23" s="81" t="s">
        <v>57</v>
      </c>
      <c r="E23" s="607">
        <v>325</v>
      </c>
      <c r="F23" s="74" t="s">
        <v>29</v>
      </c>
      <c r="G23" s="74" t="s">
        <v>29</v>
      </c>
      <c r="H23" s="1"/>
      <c r="I23" s="1"/>
    </row>
    <row r="24" spans="1:9">
      <c r="A24" s="74">
        <v>20</v>
      </c>
      <c r="B24" s="74"/>
      <c r="C24" s="74" t="s">
        <v>296</v>
      </c>
      <c r="D24" s="81" t="s">
        <v>49</v>
      </c>
      <c r="E24" s="607">
        <v>340</v>
      </c>
      <c r="F24" s="74" t="s">
        <v>29</v>
      </c>
      <c r="G24" s="74" t="s">
        <v>29</v>
      </c>
      <c r="H24" s="1"/>
      <c r="I24" s="1"/>
    </row>
    <row r="25" spans="1:9">
      <c r="A25" s="74">
        <v>21</v>
      </c>
      <c r="B25" s="74" t="s">
        <v>1455</v>
      </c>
      <c r="C25" s="74" t="s">
        <v>46</v>
      </c>
      <c r="D25" s="81" t="s">
        <v>45</v>
      </c>
      <c r="E25" s="607">
        <v>350</v>
      </c>
      <c r="F25" s="74" t="s">
        <v>29</v>
      </c>
      <c r="G25" s="74" t="s">
        <v>29</v>
      </c>
      <c r="H25" s="1"/>
      <c r="I25" s="1"/>
    </row>
    <row r="26" spans="1:9">
      <c r="A26" s="74">
        <v>22</v>
      </c>
      <c r="B26" s="74"/>
      <c r="C26" s="74" t="s">
        <v>310</v>
      </c>
      <c r="D26" s="81" t="s">
        <v>48</v>
      </c>
      <c r="E26" s="607">
        <v>330</v>
      </c>
      <c r="F26" s="1"/>
      <c r="G26" s="1"/>
      <c r="H26" s="1"/>
      <c r="I26" s="1"/>
    </row>
    <row r="27" spans="1:9">
      <c r="A27" s="74">
        <v>23</v>
      </c>
      <c r="B27" s="74" t="s">
        <v>1456</v>
      </c>
      <c r="C27" s="74" t="s">
        <v>47</v>
      </c>
      <c r="D27" s="81" t="s">
        <v>43</v>
      </c>
      <c r="E27" s="607">
        <v>330</v>
      </c>
      <c r="F27" s="74" t="s">
        <v>29</v>
      </c>
      <c r="G27" s="74" t="s">
        <v>29</v>
      </c>
      <c r="H27" s="1"/>
      <c r="I27" s="1"/>
    </row>
    <row r="28" spans="1:9">
      <c r="A28" s="74">
        <v>24</v>
      </c>
      <c r="B28" s="74" t="s">
        <v>1457</v>
      </c>
      <c r="C28" s="74" t="s">
        <v>69</v>
      </c>
      <c r="D28" s="81" t="s">
        <v>45</v>
      </c>
      <c r="E28" s="607">
        <v>369</v>
      </c>
      <c r="F28" s="1"/>
      <c r="G28" s="1"/>
      <c r="H28" s="1"/>
      <c r="I28" s="1"/>
    </row>
    <row r="29" spans="1:9">
      <c r="A29" s="74">
        <v>25</v>
      </c>
      <c r="B29" s="74" t="s">
        <v>1458</v>
      </c>
      <c r="C29" s="74" t="s">
        <v>356</v>
      </c>
      <c r="D29" s="81" t="s">
        <v>1181</v>
      </c>
      <c r="E29" s="607">
        <v>375</v>
      </c>
      <c r="F29" s="1"/>
      <c r="G29" s="1"/>
      <c r="H29" s="1"/>
      <c r="I29" s="1"/>
    </row>
    <row r="30" spans="1:9">
      <c r="A30" s="74">
        <v>26</v>
      </c>
      <c r="B30" s="74"/>
      <c r="C30" s="74" t="s">
        <v>1213</v>
      </c>
      <c r="D30" s="81" t="s">
        <v>1214</v>
      </c>
      <c r="E30" s="607">
        <v>72</v>
      </c>
      <c r="F30" s="1"/>
      <c r="G30" s="1"/>
      <c r="H30" s="1"/>
      <c r="I30" s="1"/>
    </row>
    <row r="31" spans="1:9">
      <c r="A31" s="74">
        <v>27</v>
      </c>
      <c r="B31" s="74"/>
      <c r="C31" s="74" t="s">
        <v>1215</v>
      </c>
      <c r="D31" s="81" t="s">
        <v>1214</v>
      </c>
      <c r="E31" s="607">
        <v>50</v>
      </c>
      <c r="F31" s="1"/>
      <c r="G31" s="1"/>
      <c r="H31" s="1"/>
      <c r="I31" s="1"/>
    </row>
    <row r="32" spans="1:9">
      <c r="A32" s="74">
        <v>28</v>
      </c>
      <c r="B32" s="74" t="s">
        <v>1459</v>
      </c>
      <c r="C32" s="74" t="s">
        <v>364</v>
      </c>
      <c r="D32" s="81" t="s">
        <v>1181</v>
      </c>
      <c r="E32" s="607">
        <v>48</v>
      </c>
      <c r="F32" s="1"/>
      <c r="G32" s="1"/>
      <c r="H32" s="1"/>
      <c r="I32" s="1"/>
    </row>
    <row r="33" spans="1:9">
      <c r="A33" s="74">
        <v>29</v>
      </c>
      <c r="B33" s="74" t="s">
        <v>1460</v>
      </c>
      <c r="C33" s="74" t="s">
        <v>371</v>
      </c>
      <c r="D33" s="81" t="s">
        <v>43</v>
      </c>
      <c r="E33" s="607">
        <v>263</v>
      </c>
      <c r="F33" s="1"/>
      <c r="G33" s="1"/>
      <c r="H33" s="1"/>
      <c r="I33" s="1"/>
    </row>
    <row r="34" spans="1:9">
      <c r="A34" s="74">
        <v>30</v>
      </c>
      <c r="B34" s="74" t="s">
        <v>1461</v>
      </c>
      <c r="C34" s="74" t="s">
        <v>70</v>
      </c>
      <c r="D34" s="81" t="s">
        <v>1181</v>
      </c>
      <c r="E34" s="607">
        <v>231</v>
      </c>
      <c r="F34" s="1"/>
      <c r="G34" s="1"/>
      <c r="H34" s="1"/>
      <c r="I34" s="1"/>
    </row>
    <row r="35" spans="1:9">
      <c r="A35" s="74">
        <v>31</v>
      </c>
      <c r="B35" s="74"/>
      <c r="C35" s="74" t="s">
        <v>1216</v>
      </c>
      <c r="D35" s="81" t="s">
        <v>1214</v>
      </c>
      <c r="E35" s="607">
        <v>84</v>
      </c>
      <c r="F35" s="1"/>
      <c r="G35" s="1"/>
      <c r="H35" s="1"/>
      <c r="I35" s="1"/>
    </row>
    <row r="36" spans="1:9">
      <c r="A36" s="74">
        <v>32</v>
      </c>
      <c r="B36" s="74"/>
      <c r="C36" s="74" t="s">
        <v>1217</v>
      </c>
      <c r="D36" s="81" t="s">
        <v>1214</v>
      </c>
      <c r="E36" s="607">
        <v>50</v>
      </c>
      <c r="F36" s="1"/>
      <c r="G36" s="1"/>
      <c r="H36" s="1"/>
      <c r="I36" s="1"/>
    </row>
    <row r="37" spans="1:9">
      <c r="A37" s="74">
        <v>33</v>
      </c>
      <c r="B37" s="74" t="s">
        <v>1462</v>
      </c>
      <c r="C37" s="74" t="s">
        <v>393</v>
      </c>
      <c r="D37" s="81" t="s">
        <v>1181</v>
      </c>
      <c r="E37" s="607">
        <v>56</v>
      </c>
      <c r="F37" s="1"/>
      <c r="G37" s="1"/>
      <c r="H37" s="1"/>
      <c r="I37" s="1"/>
    </row>
    <row r="38" spans="1:9">
      <c r="A38" s="74">
        <v>34</v>
      </c>
      <c r="B38" s="74" t="s">
        <v>1463</v>
      </c>
      <c r="C38" s="74" t="s">
        <v>416</v>
      </c>
      <c r="D38" s="81" t="s">
        <v>45</v>
      </c>
      <c r="E38" s="607">
        <v>333</v>
      </c>
      <c r="F38" s="1"/>
      <c r="G38" s="1"/>
      <c r="H38" s="1"/>
      <c r="I38" s="1"/>
    </row>
    <row r="39" spans="1:9">
      <c r="A39" s="74">
        <v>35</v>
      </c>
      <c r="B39" s="74" t="s">
        <v>1464</v>
      </c>
      <c r="C39" s="74" t="s">
        <v>71</v>
      </c>
      <c r="D39" s="81" t="s">
        <v>1175</v>
      </c>
      <c r="E39" s="607">
        <v>337</v>
      </c>
      <c r="F39" s="1"/>
      <c r="G39" s="1"/>
      <c r="H39" s="1"/>
      <c r="I39" s="1"/>
    </row>
    <row r="40" spans="1:9">
      <c r="A40" s="74">
        <v>36</v>
      </c>
      <c r="B40" s="74" t="s">
        <v>1465</v>
      </c>
      <c r="C40" s="74" t="s">
        <v>436</v>
      </c>
      <c r="D40" s="81" t="s">
        <v>43</v>
      </c>
      <c r="E40" s="607">
        <v>342</v>
      </c>
      <c r="F40" s="1"/>
      <c r="G40" s="1"/>
      <c r="H40" s="1"/>
      <c r="I40" s="1"/>
    </row>
    <row r="41" spans="1:9">
      <c r="A41" s="74">
        <v>37</v>
      </c>
      <c r="B41" s="74" t="s">
        <v>1466</v>
      </c>
      <c r="C41" s="74" t="s">
        <v>443</v>
      </c>
      <c r="D41" s="81" t="s">
        <v>45</v>
      </c>
      <c r="E41" s="607">
        <v>307</v>
      </c>
      <c r="F41" s="1"/>
      <c r="G41" s="1"/>
      <c r="H41" s="1"/>
      <c r="I41" s="1"/>
    </row>
    <row r="42" spans="1:9">
      <c r="A42" s="74">
        <v>38</v>
      </c>
      <c r="B42" s="74"/>
      <c r="C42" s="74" t="s">
        <v>1218</v>
      </c>
      <c r="D42" s="81" t="s">
        <v>49</v>
      </c>
      <c r="E42" s="607">
        <v>344</v>
      </c>
      <c r="F42" s="1"/>
      <c r="G42" s="1"/>
      <c r="H42" s="1"/>
      <c r="I42" s="1"/>
    </row>
    <row r="43" spans="1:9">
      <c r="A43" s="74">
        <v>39</v>
      </c>
      <c r="B43" s="74"/>
      <c r="C43" s="74" t="s">
        <v>1219</v>
      </c>
      <c r="D43" s="81" t="s">
        <v>48</v>
      </c>
      <c r="E43" s="607">
        <v>265</v>
      </c>
      <c r="F43" s="1"/>
      <c r="G43" s="1"/>
      <c r="H43" s="1"/>
      <c r="I43" s="1"/>
    </row>
    <row r="44" spans="1:9">
      <c r="A44" s="74">
        <v>40</v>
      </c>
      <c r="B44" s="74" t="s">
        <v>1467</v>
      </c>
      <c r="C44" s="74" t="s">
        <v>457</v>
      </c>
      <c r="D44" s="81" t="s">
        <v>57</v>
      </c>
      <c r="E44" s="607">
        <v>265</v>
      </c>
      <c r="F44" s="1"/>
      <c r="G44" s="1"/>
      <c r="H44" s="1"/>
      <c r="I44" s="1"/>
    </row>
    <row r="45" spans="1:9">
      <c r="A45" s="74">
        <v>41</v>
      </c>
      <c r="B45" s="74" t="s">
        <v>1468</v>
      </c>
      <c r="C45" s="74" t="s">
        <v>73</v>
      </c>
      <c r="D45" s="81" t="s">
        <v>1181</v>
      </c>
      <c r="E45" s="607">
        <v>335</v>
      </c>
      <c r="F45" s="1"/>
      <c r="G45" s="1"/>
      <c r="H45" s="1"/>
      <c r="I45" s="1"/>
    </row>
    <row r="46" spans="1:9">
      <c r="A46" s="74">
        <v>42</v>
      </c>
      <c r="B46" s="74" t="s">
        <v>1469</v>
      </c>
      <c r="C46" s="74" t="s">
        <v>1168</v>
      </c>
      <c r="D46" s="81" t="s">
        <v>1181</v>
      </c>
      <c r="E46" s="607">
        <v>308</v>
      </c>
      <c r="F46" s="74" t="s">
        <v>29</v>
      </c>
      <c r="G46" s="1"/>
      <c r="H46" s="1"/>
      <c r="I46" s="1"/>
    </row>
    <row r="47" spans="1:9">
      <c r="A47" s="74">
        <v>43</v>
      </c>
      <c r="B47" s="74" t="s">
        <v>1470</v>
      </c>
      <c r="C47" s="74" t="s">
        <v>1206</v>
      </c>
      <c r="D47" s="81" t="s">
        <v>50</v>
      </c>
      <c r="E47" s="607">
        <v>293</v>
      </c>
      <c r="F47" s="609" t="s">
        <v>978</v>
      </c>
      <c r="G47" s="1"/>
      <c r="H47" s="1"/>
      <c r="I47" s="1"/>
    </row>
    <row r="48" spans="1:9">
      <c r="A48" s="74">
        <v>44</v>
      </c>
      <c r="B48" s="74" t="s">
        <v>1471</v>
      </c>
      <c r="C48" s="74" t="s">
        <v>44</v>
      </c>
      <c r="D48" s="81" t="s">
        <v>43</v>
      </c>
      <c r="E48" s="607">
        <v>290</v>
      </c>
      <c r="F48" s="74" t="s">
        <v>29</v>
      </c>
      <c r="G48" s="74" t="s">
        <v>29</v>
      </c>
      <c r="H48" s="1"/>
      <c r="I48" s="1"/>
    </row>
    <row r="49" spans="1:9">
      <c r="A49" s="74">
        <v>45</v>
      </c>
      <c r="B49" s="74" t="s">
        <v>1472</v>
      </c>
      <c r="C49" s="74" t="s">
        <v>40</v>
      </c>
      <c r="D49" s="81" t="s">
        <v>39</v>
      </c>
      <c r="E49" s="607">
        <v>329</v>
      </c>
      <c r="F49" s="74" t="s">
        <v>29</v>
      </c>
      <c r="G49" s="74" t="s">
        <v>29</v>
      </c>
      <c r="H49" s="1"/>
      <c r="I49" s="1"/>
    </row>
    <row r="50" spans="1:9">
      <c r="A50" s="74">
        <v>46</v>
      </c>
      <c r="B50" s="74"/>
      <c r="C50" s="74" t="s">
        <v>1182</v>
      </c>
      <c r="D50" s="81" t="s">
        <v>34</v>
      </c>
      <c r="E50" s="607">
        <v>320</v>
      </c>
      <c r="F50" s="609" t="s">
        <v>978</v>
      </c>
      <c r="G50" s="1"/>
      <c r="H50" s="1"/>
      <c r="I50" s="1"/>
    </row>
    <row r="51" spans="1:9">
      <c r="A51" s="74">
        <v>47</v>
      </c>
      <c r="B51" s="74"/>
      <c r="C51" s="74" t="s">
        <v>1220</v>
      </c>
      <c r="D51" s="81" t="s">
        <v>34</v>
      </c>
      <c r="E51" s="607">
        <v>318</v>
      </c>
      <c r="F51" s="1"/>
      <c r="G51" s="1"/>
      <c r="H51" s="1"/>
      <c r="I51" s="1"/>
    </row>
    <row r="52" spans="1:9">
      <c r="A52" s="74">
        <v>48</v>
      </c>
      <c r="B52" s="74"/>
      <c r="C52" s="74" t="s">
        <v>1221</v>
      </c>
      <c r="D52" s="81" t="s">
        <v>32</v>
      </c>
      <c r="E52" s="607">
        <v>325</v>
      </c>
      <c r="F52" s="1"/>
      <c r="G52" s="1"/>
      <c r="H52" s="1"/>
      <c r="I52" s="1"/>
    </row>
    <row r="53" spans="1:9">
      <c r="A53" s="74">
        <v>49</v>
      </c>
      <c r="B53" s="74"/>
      <c r="C53" s="74" t="s">
        <v>1222</v>
      </c>
      <c r="D53" s="81" t="s">
        <v>34</v>
      </c>
      <c r="E53" s="607">
        <v>340</v>
      </c>
      <c r="F53" s="1"/>
      <c r="G53" s="1"/>
      <c r="H53" s="1"/>
      <c r="I53" s="1"/>
    </row>
    <row r="54" spans="1:9">
      <c r="A54" s="74">
        <v>50</v>
      </c>
      <c r="B54" s="74"/>
      <c r="C54" s="74" t="s">
        <v>1223</v>
      </c>
      <c r="D54" s="81" t="s">
        <v>32</v>
      </c>
      <c r="E54" s="607">
        <v>335</v>
      </c>
      <c r="F54" s="1"/>
      <c r="G54" s="1"/>
      <c r="H54" s="1"/>
      <c r="I54" s="1"/>
    </row>
    <row r="55" spans="1:9">
      <c r="A55" s="74">
        <v>51</v>
      </c>
      <c r="B55" s="74" t="s">
        <v>1473</v>
      </c>
      <c r="C55" s="74" t="s">
        <v>74</v>
      </c>
      <c r="D55" s="81" t="s">
        <v>53</v>
      </c>
      <c r="E55" s="607">
        <v>340</v>
      </c>
      <c r="F55" s="1"/>
      <c r="G55" s="1"/>
      <c r="H55" s="1"/>
      <c r="I55" s="1"/>
    </row>
    <row r="56" spans="1:9">
      <c r="A56" s="74">
        <v>52</v>
      </c>
      <c r="B56" s="74" t="s">
        <v>1474</v>
      </c>
      <c r="C56" s="74" t="s">
        <v>54</v>
      </c>
      <c r="D56" s="81" t="s">
        <v>53</v>
      </c>
      <c r="E56" s="607">
        <v>332</v>
      </c>
      <c r="F56" s="74" t="s">
        <v>29</v>
      </c>
      <c r="G56" s="74" t="s">
        <v>29</v>
      </c>
      <c r="H56" s="1"/>
      <c r="I56" s="1"/>
    </row>
    <row r="57" spans="1:9">
      <c r="A57" s="74">
        <v>53</v>
      </c>
      <c r="B57" s="74" t="s">
        <v>1475</v>
      </c>
      <c r="C57" s="74" t="s">
        <v>704</v>
      </c>
      <c r="D57" s="81" t="s">
        <v>50</v>
      </c>
      <c r="E57" s="607">
        <v>325</v>
      </c>
      <c r="F57" s="1"/>
      <c r="G57" s="1"/>
      <c r="H57" s="1"/>
      <c r="I57" s="1"/>
    </row>
    <row r="58" spans="1:9">
      <c r="A58" s="74">
        <v>54</v>
      </c>
      <c r="B58" s="74" t="s">
        <v>1476</v>
      </c>
      <c r="C58" s="74" t="s">
        <v>75</v>
      </c>
      <c r="D58" s="81" t="s">
        <v>50</v>
      </c>
      <c r="E58" s="607">
        <v>350</v>
      </c>
      <c r="F58" s="1"/>
      <c r="G58" s="1"/>
      <c r="H58" s="1"/>
      <c r="I58" s="1"/>
    </row>
    <row r="59" spans="1:9">
      <c r="A59" s="74">
        <v>55</v>
      </c>
      <c r="B59" s="74" t="s">
        <v>1477</v>
      </c>
      <c r="C59" s="74" t="s">
        <v>689</v>
      </c>
      <c r="D59" s="81" t="s">
        <v>50</v>
      </c>
      <c r="E59" s="607">
        <v>344</v>
      </c>
      <c r="F59" s="1"/>
      <c r="G59" s="1"/>
      <c r="H59" s="1"/>
      <c r="I59" s="1"/>
    </row>
    <row r="60" spans="1:9">
      <c r="A60" s="74">
        <v>56</v>
      </c>
      <c r="B60" s="74" t="s">
        <v>1478</v>
      </c>
      <c r="C60" s="74" t="s">
        <v>51</v>
      </c>
      <c r="D60" s="81" t="s">
        <v>50</v>
      </c>
      <c r="E60" s="607">
        <v>343</v>
      </c>
      <c r="F60" s="610" t="s">
        <v>29</v>
      </c>
      <c r="G60" s="610" t="s">
        <v>29</v>
      </c>
      <c r="H60" s="1"/>
      <c r="I60" s="1"/>
    </row>
    <row r="61" spans="1:9">
      <c r="A61" s="74">
        <v>57</v>
      </c>
      <c r="B61" s="74"/>
      <c r="C61" s="74" t="s">
        <v>1224</v>
      </c>
      <c r="D61" s="81" t="s">
        <v>32</v>
      </c>
      <c r="E61" s="607">
        <v>334</v>
      </c>
      <c r="F61" s="1"/>
      <c r="G61" s="1"/>
      <c r="H61" s="1"/>
      <c r="I61" s="1"/>
    </row>
    <row r="62" spans="1:9">
      <c r="A62" s="74">
        <v>58</v>
      </c>
      <c r="B62" s="74"/>
      <c r="C62" s="74" t="s">
        <v>1225</v>
      </c>
      <c r="D62" s="81" t="s">
        <v>34</v>
      </c>
      <c r="E62" s="607">
        <v>350</v>
      </c>
      <c r="F62" s="1"/>
      <c r="G62" s="1"/>
      <c r="H62" s="1"/>
      <c r="I62" s="1"/>
    </row>
    <row r="63" spans="1:9">
      <c r="A63" s="74">
        <v>59</v>
      </c>
      <c r="B63" s="74" t="s">
        <v>1479</v>
      </c>
      <c r="C63" s="74" t="s">
        <v>76</v>
      </c>
      <c r="D63" s="81" t="s">
        <v>50</v>
      </c>
      <c r="E63" s="607">
        <v>350</v>
      </c>
      <c r="F63" s="1"/>
      <c r="G63" s="1"/>
      <c r="H63" s="1"/>
      <c r="I63" s="1"/>
    </row>
    <row r="64" spans="1:9">
      <c r="A64" s="74">
        <v>60</v>
      </c>
      <c r="B64" s="74"/>
      <c r="C64" s="74" t="s">
        <v>1226</v>
      </c>
      <c r="D64" s="81" t="s">
        <v>32</v>
      </c>
      <c r="E64" s="607">
        <v>345</v>
      </c>
      <c r="F64" s="1"/>
      <c r="G64" s="1"/>
      <c r="H64" s="1"/>
      <c r="I64" s="1"/>
    </row>
    <row r="65" spans="1:9">
      <c r="A65" s="74">
        <v>61</v>
      </c>
      <c r="B65" s="74"/>
      <c r="C65" s="74" t="s">
        <v>1227</v>
      </c>
      <c r="D65" s="81" t="s">
        <v>32</v>
      </c>
      <c r="E65" s="607">
        <v>348</v>
      </c>
      <c r="F65" s="1"/>
      <c r="G65" s="1"/>
      <c r="H65" s="1"/>
      <c r="I65" s="1"/>
    </row>
    <row r="66" spans="1:9">
      <c r="A66" s="74">
        <v>62</v>
      </c>
      <c r="B66" s="74"/>
      <c r="C66" s="74" t="s">
        <v>1228</v>
      </c>
      <c r="D66" s="81" t="s">
        <v>34</v>
      </c>
      <c r="E66" s="607">
        <v>340</v>
      </c>
      <c r="F66" s="1"/>
      <c r="G66" s="1"/>
      <c r="H66" s="1"/>
      <c r="I66" s="1"/>
    </row>
    <row r="67" spans="1:9">
      <c r="A67" s="74">
        <v>63</v>
      </c>
      <c r="B67" s="74"/>
      <c r="C67" s="74" t="s">
        <v>1229</v>
      </c>
      <c r="D67" s="81" t="s">
        <v>34</v>
      </c>
      <c r="E67" s="607">
        <v>315</v>
      </c>
      <c r="F67" s="1"/>
      <c r="G67" s="1"/>
      <c r="H67" s="1"/>
      <c r="I67" s="1"/>
    </row>
    <row r="68" spans="1:9">
      <c r="A68" s="74">
        <v>64</v>
      </c>
      <c r="B68" s="74" t="s">
        <v>1480</v>
      </c>
      <c r="C68" s="74" t="s">
        <v>77</v>
      </c>
      <c r="D68" s="81" t="s">
        <v>50</v>
      </c>
      <c r="E68" s="607">
        <v>315</v>
      </c>
      <c r="F68" s="1"/>
      <c r="G68" s="1"/>
      <c r="H68" s="1"/>
      <c r="I68" s="1"/>
    </row>
    <row r="69" spans="1:9">
      <c r="A69" s="74">
        <v>65</v>
      </c>
      <c r="B69" s="74"/>
      <c r="C69" s="74" t="s">
        <v>1230</v>
      </c>
      <c r="D69" s="81" t="s">
        <v>32</v>
      </c>
      <c r="E69" s="607">
        <v>359</v>
      </c>
      <c r="F69" s="1"/>
      <c r="G69" s="1"/>
      <c r="H69" s="1"/>
      <c r="I69" s="1"/>
    </row>
    <row r="70" spans="1:9">
      <c r="A70" s="74">
        <v>66</v>
      </c>
      <c r="B70" s="74"/>
      <c r="C70" s="74" t="s">
        <v>1231</v>
      </c>
      <c r="D70" s="81" t="s">
        <v>48</v>
      </c>
      <c r="E70" s="607">
        <v>322</v>
      </c>
      <c r="F70" s="1"/>
      <c r="G70" s="1"/>
      <c r="H70" s="1"/>
      <c r="I70" s="1"/>
    </row>
    <row r="71" spans="1:9">
      <c r="A71" s="74">
        <v>67</v>
      </c>
      <c r="B71" s="74" t="s">
        <v>1481</v>
      </c>
      <c r="C71" s="74" t="s">
        <v>78</v>
      </c>
      <c r="D71" s="81" t="s">
        <v>57</v>
      </c>
      <c r="E71" s="607">
        <v>335</v>
      </c>
      <c r="F71" s="1"/>
      <c r="G71" s="1"/>
      <c r="H71" s="1"/>
      <c r="I71" s="1"/>
    </row>
    <row r="72" spans="1:9">
      <c r="A72" s="74">
        <v>68</v>
      </c>
      <c r="B72" s="611"/>
      <c r="C72" s="612"/>
      <c r="D72" s="609"/>
      <c r="E72" s="74"/>
      <c r="F72" s="1"/>
      <c r="G72" s="1"/>
      <c r="H72" s="1"/>
      <c r="I72" s="1"/>
    </row>
    <row r="73" spans="1:9">
      <c r="A73" s="74">
        <v>69</v>
      </c>
      <c r="B73" s="611"/>
      <c r="C73" s="613"/>
      <c r="D73" s="609"/>
      <c r="E73" s="74"/>
      <c r="F73" s="1"/>
      <c r="G73" s="1"/>
      <c r="H73" s="1"/>
      <c r="I73" s="1"/>
    </row>
    <row r="74" spans="1:9">
      <c r="A74" s="74">
        <v>70</v>
      </c>
      <c r="B74" s="611"/>
      <c r="C74" s="613"/>
      <c r="D74" s="609"/>
      <c r="E74" s="74"/>
      <c r="F74" s="1"/>
      <c r="G74" s="1"/>
      <c r="H74" s="1"/>
      <c r="I74" s="1"/>
    </row>
    <row r="75" spans="1:9">
      <c r="A75" s="74">
        <v>71</v>
      </c>
      <c r="B75" s="611"/>
      <c r="C75" s="613"/>
      <c r="D75" s="609"/>
      <c r="E75" s="74"/>
      <c r="F75" s="1"/>
      <c r="G75" s="1"/>
      <c r="H75" s="1"/>
      <c r="I75" s="1"/>
    </row>
    <row r="76" spans="1:9">
      <c r="A76" s="74">
        <v>72</v>
      </c>
      <c r="B76" s="34" t="s">
        <v>1482</v>
      </c>
      <c r="C76" s="74" t="s">
        <v>1232</v>
      </c>
      <c r="D76" s="74" t="s">
        <v>1171</v>
      </c>
      <c r="E76" s="573">
        <v>0</v>
      </c>
      <c r="F76" s="1"/>
      <c r="G76" s="1"/>
      <c r="H76" s="1"/>
      <c r="I76" s="1"/>
    </row>
    <row r="77" spans="1:9">
      <c r="A77" s="74">
        <v>73</v>
      </c>
      <c r="B77" s="34"/>
      <c r="C77" s="34" t="s">
        <v>1233</v>
      </c>
      <c r="D77" s="74" t="s">
        <v>1167</v>
      </c>
      <c r="E77" s="74">
        <v>356</v>
      </c>
      <c r="F77" s="1"/>
      <c r="G77" s="1"/>
      <c r="H77" s="1"/>
      <c r="I77" s="1"/>
    </row>
    <row r="78" spans="1:9">
      <c r="A78" s="74">
        <v>74</v>
      </c>
      <c r="B78" s="34"/>
      <c r="C78" s="74" t="s">
        <v>1234</v>
      </c>
      <c r="D78" s="74" t="s">
        <v>1167</v>
      </c>
      <c r="E78" s="74">
        <v>311</v>
      </c>
      <c r="F78" s="1"/>
      <c r="G78" s="1"/>
      <c r="H78" s="1"/>
      <c r="I78" s="1"/>
    </row>
    <row r="79" spans="1:9">
      <c r="A79" s="74">
        <v>75</v>
      </c>
      <c r="B79" s="34" t="s">
        <v>1483</v>
      </c>
      <c r="C79" s="74" t="s">
        <v>1235</v>
      </c>
      <c r="D79" s="74" t="s">
        <v>1438</v>
      </c>
      <c r="E79" s="74">
        <v>324.56</v>
      </c>
      <c r="F79" s="1"/>
      <c r="G79" s="1"/>
      <c r="H79" s="1"/>
      <c r="I79" s="1"/>
    </row>
    <row r="80" spans="1:9">
      <c r="A80" s="74">
        <v>76</v>
      </c>
      <c r="B80" s="34"/>
      <c r="C80" s="74" t="s">
        <v>1236</v>
      </c>
      <c r="D80" s="74" t="s">
        <v>1205</v>
      </c>
      <c r="E80" s="74">
        <v>356</v>
      </c>
      <c r="F80" s="1"/>
      <c r="G80" s="1"/>
      <c r="H80" s="1"/>
      <c r="I80" s="1"/>
    </row>
    <row r="81" spans="1:9">
      <c r="A81" s="74">
        <v>77</v>
      </c>
      <c r="B81" s="34"/>
      <c r="C81" s="74" t="s">
        <v>1237</v>
      </c>
      <c r="D81" s="74" t="s">
        <v>1205</v>
      </c>
      <c r="E81" s="74">
        <v>340</v>
      </c>
      <c r="F81" s="1"/>
      <c r="G81" s="1"/>
      <c r="H81" s="1"/>
      <c r="I81" s="1"/>
    </row>
    <row r="82" spans="1:9">
      <c r="A82" s="74">
        <v>78</v>
      </c>
      <c r="B82" s="34" t="s">
        <v>1484</v>
      </c>
      <c r="C82" s="74" t="s">
        <v>1238</v>
      </c>
      <c r="D82" s="74" t="s">
        <v>1438</v>
      </c>
      <c r="E82" s="74">
        <v>357.17</v>
      </c>
      <c r="F82" s="1"/>
      <c r="G82" s="1"/>
      <c r="H82" s="1"/>
      <c r="I82" s="1"/>
    </row>
    <row r="83" spans="1:9">
      <c r="A83" s="74">
        <v>79</v>
      </c>
      <c r="B83" s="34" t="s">
        <v>1485</v>
      </c>
      <c r="C83" s="74" t="s">
        <v>1239</v>
      </c>
      <c r="D83" s="74" t="s">
        <v>1438</v>
      </c>
      <c r="E83" s="74">
        <v>262.52</v>
      </c>
      <c r="F83" s="1"/>
      <c r="G83" s="1"/>
      <c r="H83" s="1"/>
      <c r="I83" s="1"/>
    </row>
    <row r="84" spans="1:9">
      <c r="A84" s="74">
        <v>80</v>
      </c>
      <c r="B84" s="34"/>
      <c r="C84" s="74" t="s">
        <v>1240</v>
      </c>
      <c r="D84" s="74" t="s">
        <v>1167</v>
      </c>
      <c r="E84" s="74">
        <v>251</v>
      </c>
      <c r="F84" s="1"/>
      <c r="G84" s="1"/>
      <c r="H84" s="1"/>
      <c r="I84" s="1"/>
    </row>
    <row r="85" spans="1:9">
      <c r="A85" s="74">
        <v>81</v>
      </c>
      <c r="B85" s="34"/>
      <c r="C85" s="74" t="s">
        <v>1241</v>
      </c>
      <c r="D85" s="74" t="s">
        <v>1167</v>
      </c>
      <c r="E85" s="74">
        <v>222</v>
      </c>
      <c r="F85" s="1"/>
      <c r="G85" s="1"/>
      <c r="H85" s="1"/>
      <c r="I85" s="1"/>
    </row>
    <row r="86" spans="1:9">
      <c r="A86" s="74">
        <v>82</v>
      </c>
      <c r="B86" s="34" t="s">
        <v>1486</v>
      </c>
      <c r="C86" s="74" t="s">
        <v>1242</v>
      </c>
      <c r="D86" s="74" t="s">
        <v>1170</v>
      </c>
      <c r="E86" s="74">
        <v>228.52</v>
      </c>
      <c r="F86" s="1"/>
      <c r="G86" s="1"/>
      <c r="H86" s="1"/>
      <c r="I86" s="1"/>
    </row>
    <row r="87" spans="1:9">
      <c r="A87" s="74">
        <v>83</v>
      </c>
      <c r="B87" s="34"/>
      <c r="C87" s="74" t="s">
        <v>1243</v>
      </c>
      <c r="D87" s="74" t="s">
        <v>1436</v>
      </c>
      <c r="E87" s="74">
        <v>333</v>
      </c>
      <c r="F87" s="1"/>
      <c r="G87" s="1"/>
      <c r="H87" s="1"/>
      <c r="I87" s="1"/>
    </row>
    <row r="88" spans="1:9">
      <c r="A88" s="74">
        <v>84</v>
      </c>
      <c r="B88" s="34"/>
      <c r="C88" s="74" t="s">
        <v>1244</v>
      </c>
      <c r="D88" s="74" t="s">
        <v>1436</v>
      </c>
      <c r="E88" s="75">
        <v>363.3</v>
      </c>
      <c r="F88" s="1"/>
      <c r="G88" s="1"/>
      <c r="H88" s="1"/>
      <c r="I88" s="1"/>
    </row>
    <row r="89" spans="1:9">
      <c r="A89" s="74">
        <v>85</v>
      </c>
      <c r="B89" s="34" t="s">
        <v>1487</v>
      </c>
      <c r="C89" s="74" t="s">
        <v>1245</v>
      </c>
      <c r="D89" s="74" t="s">
        <v>1438</v>
      </c>
      <c r="E89" s="75">
        <v>327.2</v>
      </c>
      <c r="F89" s="1"/>
      <c r="G89" s="1"/>
      <c r="H89" s="1"/>
      <c r="I89" s="1"/>
    </row>
    <row r="90" spans="1:9">
      <c r="A90" s="74">
        <v>86</v>
      </c>
      <c r="B90" s="34"/>
      <c r="C90" s="74" t="s">
        <v>1246</v>
      </c>
      <c r="D90" s="74" t="s">
        <v>1258</v>
      </c>
      <c r="E90" s="74">
        <v>90</v>
      </c>
      <c r="F90" s="1"/>
      <c r="G90" s="1"/>
      <c r="H90" s="1"/>
      <c r="I90" s="1"/>
    </row>
    <row r="91" spans="1:9">
      <c r="A91" s="74">
        <v>87</v>
      </c>
      <c r="B91" s="34"/>
      <c r="C91" s="74" t="s">
        <v>1247</v>
      </c>
      <c r="D91" s="74" t="s">
        <v>1258</v>
      </c>
      <c r="E91" s="74">
        <v>90</v>
      </c>
      <c r="F91" s="1"/>
      <c r="G91" s="1"/>
      <c r="H91" s="1"/>
      <c r="I91" s="1"/>
    </row>
    <row r="92" spans="1:9">
      <c r="A92" s="74">
        <v>88</v>
      </c>
      <c r="B92" s="34" t="s">
        <v>1488</v>
      </c>
      <c r="C92" s="74" t="s">
        <v>1248</v>
      </c>
      <c r="D92" s="74" t="s">
        <v>1438</v>
      </c>
      <c r="E92" s="74">
        <v>97</v>
      </c>
      <c r="F92" s="1"/>
      <c r="G92" s="1"/>
      <c r="H92" s="1"/>
      <c r="I92" s="1"/>
    </row>
    <row r="93" spans="1:9">
      <c r="A93" s="74">
        <v>89</v>
      </c>
      <c r="B93" s="34" t="s">
        <v>1489</v>
      </c>
      <c r="C93" s="74" t="s">
        <v>1249</v>
      </c>
      <c r="D93" s="74" t="s">
        <v>1490</v>
      </c>
      <c r="E93" s="74">
        <v>266.75</v>
      </c>
      <c r="F93" s="1"/>
      <c r="G93" s="1"/>
      <c r="H93" s="1"/>
      <c r="I93" s="1"/>
    </row>
    <row r="94" spans="1:9">
      <c r="A94" s="74">
        <v>90</v>
      </c>
      <c r="B94" s="34"/>
      <c r="C94" s="74" t="s">
        <v>1250</v>
      </c>
      <c r="D94" s="74" t="s">
        <v>1167</v>
      </c>
      <c r="E94" s="74">
        <v>290</v>
      </c>
      <c r="F94" s="1"/>
      <c r="G94" s="1"/>
      <c r="H94" s="1"/>
      <c r="I94" s="1"/>
    </row>
    <row r="95" spans="1:9">
      <c r="A95" s="74">
        <v>91</v>
      </c>
      <c r="B95" s="34"/>
      <c r="C95" s="74" t="s">
        <v>1251</v>
      </c>
      <c r="D95" s="74" t="s">
        <v>1167</v>
      </c>
      <c r="E95" s="74">
        <v>338</v>
      </c>
      <c r="F95" s="1"/>
      <c r="G95" s="1"/>
      <c r="H95" s="1"/>
      <c r="I95" s="1"/>
    </row>
    <row r="96" spans="1:9">
      <c r="A96" s="74">
        <v>92</v>
      </c>
      <c r="B96" s="34"/>
      <c r="C96" s="74" t="s">
        <v>1252</v>
      </c>
      <c r="D96" s="74" t="s">
        <v>1437</v>
      </c>
      <c r="E96" s="74">
        <v>344</v>
      </c>
      <c r="F96" s="1"/>
      <c r="G96" s="1"/>
      <c r="H96" s="1"/>
      <c r="I96" s="1"/>
    </row>
    <row r="97" spans="1:9">
      <c r="A97" s="74">
        <v>93</v>
      </c>
      <c r="B97" s="34" t="s">
        <v>1491</v>
      </c>
      <c r="C97" s="74" t="s">
        <v>1253</v>
      </c>
      <c r="D97" s="74" t="s">
        <v>1171</v>
      </c>
      <c r="E97" s="74">
        <v>303.12</v>
      </c>
      <c r="F97" s="1"/>
      <c r="G97" s="1"/>
      <c r="H97" s="1"/>
      <c r="I97" s="1"/>
    </row>
    <row r="98" spans="1:9">
      <c r="A98" s="74">
        <v>94</v>
      </c>
      <c r="B98" s="34" t="s">
        <v>1492</v>
      </c>
      <c r="C98" s="74" t="s">
        <v>1254</v>
      </c>
      <c r="D98" s="74" t="s">
        <v>1258</v>
      </c>
      <c r="E98" s="74">
        <v>90.48</v>
      </c>
      <c r="F98" s="1"/>
      <c r="G98" s="1"/>
      <c r="H98" s="1"/>
      <c r="I98" s="1"/>
    </row>
    <row r="99" spans="1:9">
      <c r="A99" s="74">
        <v>95</v>
      </c>
      <c r="B99" s="34" t="s">
        <v>1493</v>
      </c>
      <c r="C99" s="74" t="s">
        <v>1255</v>
      </c>
      <c r="D99" s="74" t="s">
        <v>1258</v>
      </c>
      <c r="E99" s="74">
        <v>71.959999999999994</v>
      </c>
      <c r="F99" s="1"/>
      <c r="G99" s="1"/>
      <c r="H99" s="1"/>
      <c r="I99" s="1"/>
    </row>
    <row r="100" spans="1:9">
      <c r="A100" s="74">
        <v>96</v>
      </c>
      <c r="B100" s="34" t="s">
        <v>1494</v>
      </c>
      <c r="C100" s="74" t="s">
        <v>1256</v>
      </c>
      <c r="D100" s="74" t="s">
        <v>1435</v>
      </c>
      <c r="E100" s="74">
        <v>124.51</v>
      </c>
      <c r="F100" s="1"/>
      <c r="G100" s="1"/>
      <c r="H100" s="1"/>
      <c r="I100" s="1"/>
    </row>
    <row r="101" spans="1:9">
      <c r="A101" s="74">
        <v>97</v>
      </c>
      <c r="B101" s="34" t="s">
        <v>1495</v>
      </c>
      <c r="C101" s="74" t="s">
        <v>1257</v>
      </c>
      <c r="D101" s="74" t="s">
        <v>648</v>
      </c>
      <c r="E101" s="74">
        <v>92.34</v>
      </c>
      <c r="F101" s="1"/>
      <c r="G101" s="1"/>
      <c r="H101" s="1"/>
      <c r="I101" s="1"/>
    </row>
    <row r="102" spans="1:9">
      <c r="A102" s="74">
        <v>98</v>
      </c>
      <c r="B102" s="34" t="s">
        <v>1496</v>
      </c>
      <c r="C102" s="74" t="s">
        <v>1259</v>
      </c>
      <c r="D102" s="74" t="s">
        <v>1497</v>
      </c>
      <c r="E102" s="74">
        <v>244.97</v>
      </c>
      <c r="F102" s="1"/>
      <c r="G102" s="1"/>
      <c r="H102" s="1"/>
      <c r="I102" s="1"/>
    </row>
    <row r="103" spans="1:9">
      <c r="A103" s="74">
        <v>99</v>
      </c>
      <c r="B103" s="34"/>
      <c r="C103" s="74" t="s">
        <v>1260</v>
      </c>
      <c r="D103" s="74" t="s">
        <v>1437</v>
      </c>
      <c r="E103" s="74">
        <v>275</v>
      </c>
      <c r="F103" s="1"/>
      <c r="G103" s="1"/>
      <c r="H103" s="1"/>
      <c r="I103" s="1"/>
    </row>
    <row r="104" spans="1:9">
      <c r="A104" s="74">
        <v>100</v>
      </c>
      <c r="B104" s="34"/>
      <c r="C104" s="74" t="s">
        <v>1261</v>
      </c>
      <c r="D104" s="74" t="s">
        <v>1436</v>
      </c>
      <c r="E104" s="74">
        <v>367</v>
      </c>
      <c r="F104" s="1"/>
      <c r="G104" s="1"/>
      <c r="H104" s="1"/>
      <c r="I104" s="1"/>
    </row>
    <row r="105" spans="1:9">
      <c r="A105" s="74">
        <v>101</v>
      </c>
      <c r="B105" s="34"/>
      <c r="C105" s="74" t="s">
        <v>1262</v>
      </c>
      <c r="D105" s="74" t="s">
        <v>1437</v>
      </c>
      <c r="E105" s="74">
        <v>331</v>
      </c>
      <c r="F105" s="1"/>
      <c r="G105" s="1"/>
      <c r="H105" s="1"/>
      <c r="I105" s="1"/>
    </row>
    <row r="106" spans="1:9">
      <c r="A106" s="74">
        <v>102</v>
      </c>
      <c r="B106" s="34" t="s">
        <v>1498</v>
      </c>
      <c r="C106" s="74" t="s">
        <v>1263</v>
      </c>
      <c r="D106" s="74" t="s">
        <v>1438</v>
      </c>
      <c r="E106" s="74">
        <v>299.87</v>
      </c>
      <c r="F106" s="1"/>
      <c r="G106" s="1"/>
      <c r="H106" s="1"/>
      <c r="I106" s="1"/>
    </row>
    <row r="107" spans="1:9">
      <c r="A107" s="74">
        <v>103</v>
      </c>
      <c r="B107" s="34"/>
      <c r="C107" s="74" t="s">
        <v>1264</v>
      </c>
      <c r="D107" s="74" t="s">
        <v>1167</v>
      </c>
      <c r="E107" s="74">
        <v>229</v>
      </c>
      <c r="F107" s="1"/>
      <c r="G107" s="1"/>
      <c r="H107" s="1"/>
      <c r="I107" s="1"/>
    </row>
    <row r="108" spans="1:9">
      <c r="A108" s="74">
        <v>104</v>
      </c>
      <c r="B108" s="34" t="s">
        <v>1499</v>
      </c>
      <c r="C108" s="74" t="s">
        <v>1265</v>
      </c>
      <c r="D108" s="74" t="s">
        <v>1500</v>
      </c>
      <c r="E108" s="74">
        <v>233.14</v>
      </c>
      <c r="F108" s="1"/>
      <c r="G108" s="1"/>
      <c r="H108" s="1"/>
      <c r="I108" s="1"/>
    </row>
    <row r="109" spans="1:9">
      <c r="A109" s="74">
        <v>105</v>
      </c>
      <c r="B109" s="34"/>
      <c r="C109" s="74" t="s">
        <v>1266</v>
      </c>
      <c r="D109" s="74" t="s">
        <v>1205</v>
      </c>
      <c r="E109" s="74">
        <v>280</v>
      </c>
      <c r="F109" s="1"/>
      <c r="G109" s="1"/>
      <c r="H109" s="1"/>
      <c r="I109" s="1"/>
    </row>
    <row r="110" spans="1:9">
      <c r="A110" s="74">
        <v>106</v>
      </c>
      <c r="B110" s="34" t="s">
        <v>1501</v>
      </c>
      <c r="C110" s="74" t="s">
        <v>1267</v>
      </c>
      <c r="D110" s="74" t="s">
        <v>1435</v>
      </c>
      <c r="E110" s="74">
        <v>293.92</v>
      </c>
      <c r="F110" s="1"/>
      <c r="G110" s="1"/>
      <c r="H110" s="1"/>
      <c r="I110" s="1"/>
    </row>
    <row r="111" spans="1:9">
      <c r="A111" s="74">
        <v>107</v>
      </c>
      <c r="B111" s="34"/>
      <c r="C111" s="74" t="s">
        <v>1268</v>
      </c>
      <c r="D111" s="74" t="s">
        <v>1436</v>
      </c>
      <c r="E111" s="74">
        <v>312</v>
      </c>
      <c r="F111" s="1"/>
      <c r="G111" s="1"/>
      <c r="H111" s="1"/>
      <c r="I111" s="1"/>
    </row>
    <row r="112" spans="1:9">
      <c r="A112" s="74">
        <v>108</v>
      </c>
      <c r="B112" s="34" t="s">
        <v>1502</v>
      </c>
      <c r="C112" s="74" t="s">
        <v>1269</v>
      </c>
      <c r="D112" s="74" t="s">
        <v>1503</v>
      </c>
      <c r="E112" s="74">
        <v>346.18</v>
      </c>
      <c r="F112" s="1"/>
      <c r="G112" s="1"/>
      <c r="H112" s="1"/>
      <c r="I112" s="1"/>
    </row>
    <row r="113" spans="1:9">
      <c r="A113" s="74">
        <v>109</v>
      </c>
      <c r="B113" s="34" t="s">
        <v>1504</v>
      </c>
      <c r="C113" s="74" t="s">
        <v>1270</v>
      </c>
      <c r="D113" s="74" t="s">
        <v>1497</v>
      </c>
      <c r="E113" s="74">
        <v>325.29000000000002</v>
      </c>
      <c r="F113" s="1"/>
      <c r="G113" s="1"/>
      <c r="H113" s="1"/>
      <c r="I113" s="1"/>
    </row>
    <row r="114" spans="1:9">
      <c r="A114" s="74">
        <v>110</v>
      </c>
      <c r="B114" s="34" t="s">
        <v>1505</v>
      </c>
      <c r="C114" s="74" t="s">
        <v>1271</v>
      </c>
      <c r="D114" s="74" t="s">
        <v>1503</v>
      </c>
      <c r="E114" s="74">
        <v>347.32</v>
      </c>
      <c r="F114" s="1"/>
      <c r="G114" s="1"/>
      <c r="H114" s="1"/>
      <c r="I114" s="1"/>
    </row>
    <row r="115" spans="1:9">
      <c r="A115" s="74">
        <v>111</v>
      </c>
      <c r="B115" s="34" t="s">
        <v>1506</v>
      </c>
      <c r="C115" s="74" t="s">
        <v>1272</v>
      </c>
      <c r="D115" s="74" t="s">
        <v>1171</v>
      </c>
      <c r="E115" s="74">
        <v>233.33</v>
      </c>
      <c r="F115" s="1"/>
      <c r="G115" s="1"/>
      <c r="H115" s="1"/>
      <c r="I115" s="1"/>
    </row>
    <row r="116" spans="1:9">
      <c r="A116" s="74">
        <v>112</v>
      </c>
      <c r="B116" s="34"/>
      <c r="C116" s="74" t="s">
        <v>1273</v>
      </c>
      <c r="D116" s="74" t="s">
        <v>1205</v>
      </c>
      <c r="E116" s="74">
        <v>338</v>
      </c>
      <c r="F116" s="1"/>
      <c r="G116" s="1"/>
      <c r="H116" s="1"/>
      <c r="I116" s="1"/>
    </row>
    <row r="117" spans="1:9">
      <c r="A117" s="74">
        <v>113</v>
      </c>
      <c r="B117" s="34"/>
      <c r="C117" s="74" t="s">
        <v>1274</v>
      </c>
      <c r="D117" s="74" t="s">
        <v>1167</v>
      </c>
      <c r="E117" s="74">
        <v>320</v>
      </c>
      <c r="F117" s="1"/>
      <c r="G117" s="1"/>
      <c r="H117" s="1"/>
      <c r="I117" s="1"/>
    </row>
    <row r="118" spans="1:9">
      <c r="A118" s="74">
        <v>114</v>
      </c>
      <c r="B118" s="34"/>
      <c r="C118" s="74" t="s">
        <v>1275</v>
      </c>
      <c r="D118" s="74" t="s">
        <v>1167</v>
      </c>
      <c r="E118" s="74">
        <v>290</v>
      </c>
      <c r="F118" s="1"/>
      <c r="G118" s="1"/>
      <c r="H118" s="1"/>
      <c r="I118" s="1"/>
    </row>
    <row r="119" spans="1:9">
      <c r="A119" s="74">
        <v>115</v>
      </c>
      <c r="B119" s="34" t="s">
        <v>1507</v>
      </c>
      <c r="C119" s="74" t="s">
        <v>1276</v>
      </c>
      <c r="D119" s="74" t="s">
        <v>1500</v>
      </c>
      <c r="E119" s="74">
        <v>284.92</v>
      </c>
      <c r="F119" s="1"/>
      <c r="G119" s="1"/>
      <c r="H119" s="1"/>
      <c r="I119" s="1"/>
    </row>
    <row r="120" spans="1:9">
      <c r="A120" s="74">
        <v>116</v>
      </c>
      <c r="B120" s="34"/>
      <c r="C120" s="74" t="s">
        <v>1277</v>
      </c>
      <c r="D120" s="74" t="s">
        <v>1167</v>
      </c>
      <c r="E120" s="74">
        <v>365</v>
      </c>
      <c r="F120" s="1"/>
      <c r="G120" s="1"/>
      <c r="H120" s="1"/>
      <c r="I120" s="1"/>
    </row>
    <row r="121" spans="1:9">
      <c r="A121" s="74">
        <v>117</v>
      </c>
      <c r="B121" s="34" t="s">
        <v>1508</v>
      </c>
      <c r="C121" s="74" t="s">
        <v>1278</v>
      </c>
      <c r="D121" s="74" t="s">
        <v>1497</v>
      </c>
      <c r="E121" s="75">
        <v>328.9</v>
      </c>
      <c r="F121" s="1"/>
      <c r="G121" s="1"/>
      <c r="H121" s="1"/>
      <c r="I121" s="1"/>
    </row>
    <row r="122" spans="1:9">
      <c r="A122" s="74">
        <v>118</v>
      </c>
      <c r="B122" s="34" t="s">
        <v>1509</v>
      </c>
      <c r="C122" s="74" t="s">
        <v>1279</v>
      </c>
      <c r="D122" s="74" t="s">
        <v>1438</v>
      </c>
      <c r="E122" s="74">
        <v>348.96</v>
      </c>
      <c r="F122" s="1"/>
      <c r="G122" s="1"/>
      <c r="H122" s="1"/>
      <c r="I122" s="1"/>
    </row>
    <row r="123" spans="1:9">
      <c r="A123" s="74">
        <v>119</v>
      </c>
      <c r="B123" s="34"/>
      <c r="C123" s="74" t="s">
        <v>1280</v>
      </c>
      <c r="D123" s="74" t="s">
        <v>1205</v>
      </c>
      <c r="E123" s="74">
        <v>351</v>
      </c>
      <c r="F123" s="1"/>
      <c r="G123" s="1"/>
      <c r="H123" s="1"/>
      <c r="I123" s="1"/>
    </row>
    <row r="124" spans="1:9">
      <c r="A124" s="74">
        <v>120</v>
      </c>
      <c r="B124" s="34" t="s">
        <v>1510</v>
      </c>
      <c r="C124" s="74" t="s">
        <v>1281</v>
      </c>
      <c r="D124" s="74" t="s">
        <v>1171</v>
      </c>
      <c r="E124" s="74">
        <v>321.51</v>
      </c>
      <c r="F124" s="1"/>
      <c r="G124" s="1"/>
      <c r="H124" s="1"/>
      <c r="I124" s="1"/>
    </row>
    <row r="125" spans="1:9">
      <c r="A125" s="74">
        <v>121</v>
      </c>
      <c r="B125" s="34" t="s">
        <v>1511</v>
      </c>
      <c r="C125" s="74" t="s">
        <v>1282</v>
      </c>
      <c r="D125" s="74" t="s">
        <v>1497</v>
      </c>
      <c r="E125" s="75">
        <v>346.3</v>
      </c>
      <c r="F125" s="1"/>
      <c r="G125" s="1"/>
      <c r="H125" s="1"/>
      <c r="I125" s="1"/>
    </row>
    <row r="126" spans="1:9">
      <c r="A126" s="74">
        <v>122</v>
      </c>
      <c r="B126" s="34"/>
      <c r="C126" s="74" t="s">
        <v>1195</v>
      </c>
      <c r="D126" s="74" t="s">
        <v>1167</v>
      </c>
      <c r="E126" s="74">
        <v>274</v>
      </c>
      <c r="F126" s="1"/>
      <c r="G126" s="1"/>
      <c r="H126" s="1"/>
      <c r="I126" s="1"/>
    </row>
    <row r="127" spans="1:9">
      <c r="A127" s="74">
        <v>123</v>
      </c>
      <c r="B127" s="34" t="s">
        <v>1512</v>
      </c>
      <c r="C127" s="74" t="s">
        <v>1194</v>
      </c>
      <c r="D127" s="74" t="s">
        <v>1171</v>
      </c>
      <c r="E127" s="74">
        <v>336.92</v>
      </c>
      <c r="F127" s="1"/>
      <c r="G127" s="1"/>
      <c r="H127" s="1"/>
      <c r="I127" s="1"/>
    </row>
    <row r="128" spans="1:9">
      <c r="A128" s="74">
        <v>124</v>
      </c>
      <c r="B128" s="34"/>
      <c r="C128" s="74" t="s">
        <v>1283</v>
      </c>
      <c r="D128" s="74" t="s">
        <v>1167</v>
      </c>
      <c r="E128" s="74">
        <v>239</v>
      </c>
      <c r="F128" s="1"/>
      <c r="G128" s="1"/>
      <c r="H128" s="1"/>
      <c r="I128" s="1"/>
    </row>
    <row r="129" spans="1:9">
      <c r="A129" s="74">
        <v>125</v>
      </c>
      <c r="B129" s="34" t="s">
        <v>1513</v>
      </c>
      <c r="C129" s="74" t="s">
        <v>1193</v>
      </c>
      <c r="D129" s="74" t="s">
        <v>1438</v>
      </c>
      <c r="E129" s="74">
        <v>200.34</v>
      </c>
      <c r="F129" s="1"/>
      <c r="G129" s="1"/>
      <c r="H129" s="1"/>
      <c r="I129" s="1"/>
    </row>
    <row r="130" spans="1:9">
      <c r="A130" s="74">
        <v>126</v>
      </c>
      <c r="B130" s="34"/>
      <c r="C130" s="74" t="s">
        <v>1284</v>
      </c>
      <c r="D130" s="74" t="s">
        <v>1167</v>
      </c>
      <c r="E130" s="74">
        <v>276</v>
      </c>
      <c r="F130" s="1"/>
      <c r="G130" s="1"/>
      <c r="H130" s="1"/>
      <c r="I130" s="1"/>
    </row>
    <row r="131" spans="1:9">
      <c r="A131" s="74">
        <v>127</v>
      </c>
      <c r="B131" s="34"/>
      <c r="C131" s="74" t="s">
        <v>1285</v>
      </c>
      <c r="D131" s="74" t="s">
        <v>1436</v>
      </c>
      <c r="E131" s="74">
        <v>337</v>
      </c>
      <c r="F131" s="1"/>
      <c r="G131" s="1"/>
      <c r="H131" s="1"/>
      <c r="I131" s="1"/>
    </row>
    <row r="132" spans="1:9">
      <c r="A132" s="74">
        <v>128</v>
      </c>
      <c r="B132" s="34" t="s">
        <v>1514</v>
      </c>
      <c r="C132" s="74" t="s">
        <v>1286</v>
      </c>
      <c r="D132" s="74" t="s">
        <v>1170</v>
      </c>
      <c r="E132" s="74">
        <v>316.76</v>
      </c>
      <c r="F132" s="1"/>
      <c r="G132" s="1"/>
      <c r="H132" s="1"/>
      <c r="I132" s="1"/>
    </row>
    <row r="133" spans="1:9">
      <c r="A133" s="74">
        <v>129</v>
      </c>
      <c r="B133" s="34"/>
      <c r="C133" s="74" t="s">
        <v>1287</v>
      </c>
      <c r="D133" s="74" t="s">
        <v>1436</v>
      </c>
      <c r="E133" s="74">
        <v>352</v>
      </c>
      <c r="F133" s="1"/>
      <c r="G133" s="1"/>
      <c r="H133" s="1"/>
      <c r="I133" s="1"/>
    </row>
    <row r="134" spans="1:9">
      <c r="A134" s="74">
        <v>130</v>
      </c>
      <c r="B134" s="34" t="s">
        <v>1515</v>
      </c>
      <c r="C134" s="74" t="s">
        <v>1288</v>
      </c>
      <c r="D134" s="74" t="s">
        <v>1516</v>
      </c>
      <c r="E134" s="74">
        <v>331.24</v>
      </c>
      <c r="F134" s="1"/>
      <c r="G134" s="1"/>
      <c r="H134" s="1"/>
      <c r="I134" s="1"/>
    </row>
    <row r="135" spans="1:9">
      <c r="A135" s="74">
        <v>131</v>
      </c>
      <c r="B135" s="34"/>
      <c r="C135" s="74" t="s">
        <v>1192</v>
      </c>
      <c r="D135" s="74" t="s">
        <v>1436</v>
      </c>
      <c r="E135" s="74">
        <v>358</v>
      </c>
      <c r="F135" s="1"/>
      <c r="G135" s="1"/>
      <c r="H135" s="1"/>
      <c r="I135" s="1"/>
    </row>
    <row r="136" spans="1:9">
      <c r="A136" s="74">
        <v>132</v>
      </c>
      <c r="B136" s="34" t="s">
        <v>1517</v>
      </c>
      <c r="C136" s="74" t="s">
        <v>1289</v>
      </c>
      <c r="D136" s="74" t="s">
        <v>1503</v>
      </c>
      <c r="E136" s="74">
        <v>341.04</v>
      </c>
      <c r="F136" s="1"/>
      <c r="G136" s="1"/>
      <c r="H136" s="1"/>
      <c r="I136" s="1"/>
    </row>
    <row r="137" spans="1:9">
      <c r="A137" s="74">
        <v>133</v>
      </c>
      <c r="B137" s="34"/>
      <c r="C137" s="74" t="s">
        <v>1183</v>
      </c>
      <c r="D137" s="74" t="s">
        <v>1205</v>
      </c>
      <c r="E137" s="74">
        <v>286</v>
      </c>
      <c r="F137" s="1"/>
      <c r="G137" s="1"/>
      <c r="H137" s="1"/>
      <c r="I137" s="1"/>
    </row>
    <row r="138" spans="1:9">
      <c r="A138" s="74">
        <v>134</v>
      </c>
      <c r="B138" s="34"/>
      <c r="C138" s="74" t="s">
        <v>1290</v>
      </c>
      <c r="D138" s="74" t="s">
        <v>1167</v>
      </c>
      <c r="E138" s="74">
        <v>357</v>
      </c>
      <c r="F138" s="1"/>
      <c r="G138" s="1"/>
      <c r="H138" s="1"/>
      <c r="I138" s="1"/>
    </row>
    <row r="139" spans="1:9">
      <c r="A139" s="74">
        <v>135</v>
      </c>
      <c r="B139" s="34"/>
      <c r="C139" s="74" t="s">
        <v>1184</v>
      </c>
      <c r="D139" s="74" t="s">
        <v>1435</v>
      </c>
      <c r="E139" s="74">
        <v>337.63</v>
      </c>
      <c r="F139" s="1"/>
      <c r="G139" s="1"/>
      <c r="H139" s="1"/>
      <c r="I139" s="1"/>
    </row>
    <row r="140" spans="1:9">
      <c r="A140" s="74">
        <v>136</v>
      </c>
      <c r="B140" s="34"/>
      <c r="C140" s="74" t="s">
        <v>1185</v>
      </c>
      <c r="D140" s="74" t="s">
        <v>1437</v>
      </c>
      <c r="E140" s="74">
        <v>282</v>
      </c>
      <c r="F140" s="1"/>
      <c r="G140" s="1"/>
      <c r="H140" s="1"/>
      <c r="I140" s="1"/>
    </row>
    <row r="141" spans="1:9">
      <c r="A141" s="74">
        <v>137</v>
      </c>
      <c r="B141" s="34"/>
      <c r="C141" s="74" t="s">
        <v>1291</v>
      </c>
      <c r="D141" s="74" t="s">
        <v>648</v>
      </c>
      <c r="E141" s="74">
        <v>348.04</v>
      </c>
      <c r="F141" s="1"/>
      <c r="G141" s="1"/>
      <c r="H141" s="1"/>
      <c r="I141" s="1"/>
    </row>
    <row r="142" spans="1:9">
      <c r="A142" s="74">
        <v>138</v>
      </c>
      <c r="B142" s="34" t="s">
        <v>1518</v>
      </c>
      <c r="C142" s="74" t="s">
        <v>1292</v>
      </c>
      <c r="D142" s="74" t="s">
        <v>648</v>
      </c>
      <c r="E142" s="74">
        <v>233.78</v>
      </c>
      <c r="F142" s="1"/>
      <c r="G142" s="1"/>
      <c r="H142" s="1"/>
      <c r="I142" s="1"/>
    </row>
    <row r="143" spans="1:9">
      <c r="A143" s="74">
        <v>139</v>
      </c>
      <c r="B143" s="34"/>
      <c r="C143" s="74" t="s">
        <v>1293</v>
      </c>
      <c r="D143" s="74" t="s">
        <v>1437</v>
      </c>
      <c r="E143" s="74">
        <v>334</v>
      </c>
      <c r="F143" s="1"/>
      <c r="G143" s="1"/>
      <c r="H143" s="1"/>
      <c r="I143" s="1"/>
    </row>
    <row r="144" spans="1:9">
      <c r="A144" s="74">
        <v>140</v>
      </c>
      <c r="B144" s="34" t="s">
        <v>1519</v>
      </c>
      <c r="C144" s="74" t="s">
        <v>1294</v>
      </c>
      <c r="D144" s="74" t="s">
        <v>1171</v>
      </c>
      <c r="E144" s="74">
        <v>257.67</v>
      </c>
      <c r="F144" s="1"/>
      <c r="G144" s="1"/>
      <c r="H144" s="1"/>
      <c r="I144" s="1"/>
    </row>
    <row r="145" spans="1:9">
      <c r="A145" s="74">
        <v>141</v>
      </c>
      <c r="B145" s="34" t="s">
        <v>1520</v>
      </c>
      <c r="C145" s="74" t="s">
        <v>1295</v>
      </c>
      <c r="D145" s="74" t="s">
        <v>1438</v>
      </c>
      <c r="E145" s="74">
        <v>344.79</v>
      </c>
      <c r="F145" s="1"/>
      <c r="G145" s="1"/>
      <c r="H145" s="1"/>
      <c r="I145" s="1"/>
    </row>
    <row r="146" spans="1:9">
      <c r="A146" s="74">
        <v>142</v>
      </c>
      <c r="B146" s="34"/>
      <c r="C146" s="74" t="s">
        <v>1296</v>
      </c>
      <c r="D146" s="74" t="s">
        <v>1167</v>
      </c>
      <c r="E146" s="74">
        <v>247</v>
      </c>
      <c r="F146" s="1"/>
      <c r="G146" s="1"/>
      <c r="H146" s="1"/>
      <c r="I146" s="1"/>
    </row>
    <row r="147" spans="1:9">
      <c r="A147" s="74">
        <v>143</v>
      </c>
      <c r="B147" s="34"/>
      <c r="C147" s="74" t="s">
        <v>1297</v>
      </c>
      <c r="D147" s="74" t="s">
        <v>1205</v>
      </c>
      <c r="E147" s="74">
        <v>275</v>
      </c>
      <c r="F147" s="1"/>
      <c r="G147" s="1"/>
      <c r="H147" s="1"/>
      <c r="I147" s="1"/>
    </row>
    <row r="148" spans="1:9">
      <c r="A148" s="74">
        <v>144</v>
      </c>
      <c r="B148" s="34"/>
      <c r="C148" s="74" t="s">
        <v>1298</v>
      </c>
      <c r="D148" s="74" t="s">
        <v>1205</v>
      </c>
      <c r="E148" s="74">
        <v>262</v>
      </c>
      <c r="F148" s="1"/>
      <c r="G148" s="1"/>
      <c r="H148" s="1"/>
      <c r="I148" s="1"/>
    </row>
    <row r="149" spans="1:9">
      <c r="A149" s="74">
        <v>145</v>
      </c>
      <c r="B149" s="34"/>
      <c r="C149" s="74" t="s">
        <v>1299</v>
      </c>
      <c r="D149" s="74" t="s">
        <v>1205</v>
      </c>
      <c r="E149" s="74">
        <v>236</v>
      </c>
      <c r="F149" s="1"/>
      <c r="G149" s="1"/>
      <c r="H149" s="1"/>
      <c r="I149" s="1"/>
    </row>
    <row r="150" spans="1:9">
      <c r="A150" s="74">
        <v>146</v>
      </c>
      <c r="B150" s="34" t="s">
        <v>1521</v>
      </c>
      <c r="C150" s="74" t="s">
        <v>1300</v>
      </c>
      <c r="D150" s="74" t="s">
        <v>1171</v>
      </c>
      <c r="E150" s="74">
        <v>233.07</v>
      </c>
      <c r="F150" s="1"/>
      <c r="G150" s="1"/>
      <c r="H150" s="1"/>
      <c r="I150" s="1"/>
    </row>
    <row r="151" spans="1:9">
      <c r="A151" s="74">
        <v>147</v>
      </c>
      <c r="B151" s="34"/>
      <c r="C151" s="74" t="s">
        <v>1172</v>
      </c>
      <c r="D151" s="74" t="s">
        <v>1436</v>
      </c>
      <c r="E151" s="74">
        <v>256</v>
      </c>
      <c r="F151" s="1"/>
      <c r="G151" s="1"/>
      <c r="H151" s="1"/>
      <c r="I151" s="1"/>
    </row>
    <row r="152" spans="1:9">
      <c r="A152" s="74">
        <v>148</v>
      </c>
      <c r="B152" s="34"/>
      <c r="C152" s="74" t="s">
        <v>1173</v>
      </c>
      <c r="D152" s="74" t="s">
        <v>1436</v>
      </c>
      <c r="E152" s="74">
        <v>326</v>
      </c>
      <c r="F152" s="1"/>
      <c r="G152" s="1"/>
      <c r="H152" s="1"/>
      <c r="I152" s="1"/>
    </row>
    <row r="153" spans="1:9">
      <c r="A153" s="74">
        <v>149</v>
      </c>
      <c r="B153" s="34" t="s">
        <v>1522</v>
      </c>
      <c r="C153" s="74" t="s">
        <v>1174</v>
      </c>
      <c r="D153" s="74" t="s">
        <v>1490</v>
      </c>
      <c r="E153" s="74">
        <v>359</v>
      </c>
      <c r="F153" s="1"/>
      <c r="G153" s="1"/>
      <c r="H153" s="1"/>
      <c r="I153" s="1"/>
    </row>
    <row r="154" spans="1:9">
      <c r="A154" s="74">
        <v>150</v>
      </c>
      <c r="B154" s="34"/>
      <c r="C154" s="74" t="s">
        <v>1176</v>
      </c>
      <c r="D154" s="74" t="s">
        <v>1167</v>
      </c>
      <c r="E154" s="74">
        <v>393</v>
      </c>
      <c r="F154" s="1"/>
      <c r="G154" s="1"/>
      <c r="H154" s="1"/>
      <c r="I154" s="1"/>
    </row>
    <row r="155" spans="1:9">
      <c r="A155" s="74">
        <v>151</v>
      </c>
      <c r="B155" s="34"/>
      <c r="C155" s="74" t="s">
        <v>1166</v>
      </c>
      <c r="D155" s="74" t="s">
        <v>1167</v>
      </c>
      <c r="E155" s="74">
        <v>303</v>
      </c>
      <c r="F155" s="74" t="s">
        <v>29</v>
      </c>
      <c r="G155" s="74" t="s">
        <v>29</v>
      </c>
      <c r="H155" s="1"/>
      <c r="I155" s="1"/>
    </row>
    <row r="156" spans="1:9">
      <c r="A156" s="74">
        <v>152</v>
      </c>
      <c r="B156" s="34" t="s">
        <v>1523</v>
      </c>
      <c r="C156" s="74" t="s">
        <v>1169</v>
      </c>
      <c r="D156" s="74" t="s">
        <v>1170</v>
      </c>
      <c r="E156" s="75">
        <v>395.2</v>
      </c>
      <c r="F156" s="74" t="s">
        <v>29</v>
      </c>
      <c r="G156" s="74" t="s">
        <v>29</v>
      </c>
      <c r="H156" s="1"/>
      <c r="I156" s="1"/>
    </row>
    <row r="157" spans="1:9">
      <c r="A157" s="74">
        <v>153</v>
      </c>
      <c r="B157" s="34" t="s">
        <v>1524</v>
      </c>
      <c r="C157" s="74" t="s">
        <v>1210</v>
      </c>
      <c r="D157" s="74" t="s">
        <v>1170</v>
      </c>
      <c r="E157" s="74">
        <v>343.79</v>
      </c>
      <c r="F157" s="609" t="s">
        <v>978</v>
      </c>
      <c r="G157" s="1"/>
      <c r="H157" s="1"/>
      <c r="I157" s="1"/>
    </row>
    <row r="158" spans="1:9">
      <c r="A158" s="74">
        <v>154</v>
      </c>
      <c r="B158" s="34"/>
      <c r="C158" s="74" t="s">
        <v>1178</v>
      </c>
      <c r="D158" s="74" t="s">
        <v>1205</v>
      </c>
      <c r="E158" s="74">
        <v>351</v>
      </c>
      <c r="F158" s="74" t="s">
        <v>29</v>
      </c>
      <c r="G158" s="74" t="s">
        <v>29</v>
      </c>
      <c r="H158" s="1"/>
      <c r="I158" s="1"/>
    </row>
    <row r="159" spans="1:9">
      <c r="A159" s="74">
        <v>155</v>
      </c>
      <c r="B159" s="34"/>
      <c r="C159" s="74" t="s">
        <v>1179</v>
      </c>
      <c r="D159" s="74" t="s">
        <v>1167</v>
      </c>
      <c r="E159" s="74">
        <v>347</v>
      </c>
      <c r="F159" s="74" t="s">
        <v>29</v>
      </c>
      <c r="G159" s="74" t="s">
        <v>29</v>
      </c>
      <c r="H159" s="1"/>
      <c r="I159" s="1"/>
    </row>
    <row r="160" spans="1:9">
      <c r="A160" s="74">
        <v>156</v>
      </c>
      <c r="B160" s="34"/>
      <c r="C160" s="74" t="s">
        <v>1301</v>
      </c>
      <c r="D160" s="74" t="s">
        <v>1436</v>
      </c>
      <c r="E160" s="74">
        <v>351</v>
      </c>
      <c r="F160" s="609" t="s">
        <v>978</v>
      </c>
      <c r="G160" s="1"/>
      <c r="H160" s="1"/>
      <c r="I160" s="1"/>
    </row>
    <row r="161" spans="1:9">
      <c r="A161" s="74">
        <v>157</v>
      </c>
      <c r="B161" s="34" t="s">
        <v>1525</v>
      </c>
      <c r="C161" s="74" t="s">
        <v>1180</v>
      </c>
      <c r="D161" s="74" t="s">
        <v>1500</v>
      </c>
      <c r="E161" s="74">
        <v>323.83</v>
      </c>
      <c r="F161" s="1"/>
      <c r="G161" s="1"/>
      <c r="H161" s="1"/>
      <c r="I161" s="1"/>
    </row>
    <row r="162" spans="1:9">
      <c r="A162" s="74">
        <v>158</v>
      </c>
      <c r="B162" s="34"/>
      <c r="C162" s="74" t="s">
        <v>1190</v>
      </c>
      <c r="D162" s="74" t="s">
        <v>1436</v>
      </c>
      <c r="E162" s="74">
        <v>253</v>
      </c>
      <c r="F162" s="1"/>
      <c r="G162" s="1"/>
      <c r="H162" s="1"/>
      <c r="I162" s="1"/>
    </row>
    <row r="163" spans="1:9">
      <c r="A163" s="74">
        <v>159</v>
      </c>
      <c r="B163" s="34"/>
      <c r="C163" s="74" t="s">
        <v>1191</v>
      </c>
      <c r="D163" s="74" t="s">
        <v>1167</v>
      </c>
      <c r="E163" s="74">
        <v>274</v>
      </c>
      <c r="F163" s="1"/>
      <c r="G163" s="1"/>
      <c r="H163" s="1"/>
      <c r="I163" s="1"/>
    </row>
    <row r="164" spans="1:9">
      <c r="A164" s="74">
        <v>160</v>
      </c>
      <c r="B164" s="34"/>
      <c r="C164" s="74" t="s">
        <v>1196</v>
      </c>
      <c r="D164" s="74" t="s">
        <v>1167</v>
      </c>
      <c r="E164" s="74">
        <v>282</v>
      </c>
      <c r="F164" s="1"/>
      <c r="G164" s="1"/>
      <c r="H164" s="1"/>
      <c r="I164" s="1"/>
    </row>
    <row r="165" spans="1:9">
      <c r="A165" s="74">
        <v>161</v>
      </c>
      <c r="B165" s="34"/>
      <c r="C165" s="74" t="s">
        <v>1197</v>
      </c>
      <c r="D165" s="74" t="s">
        <v>1167</v>
      </c>
      <c r="E165" s="74">
        <v>321</v>
      </c>
      <c r="F165" s="1"/>
      <c r="G165" s="1"/>
      <c r="H165" s="1"/>
      <c r="I165" s="1"/>
    </row>
    <row r="166" spans="1:9">
      <c r="A166" s="74">
        <v>162</v>
      </c>
      <c r="B166" s="34"/>
      <c r="C166" s="74" t="s">
        <v>1198</v>
      </c>
      <c r="D166" s="74" t="s">
        <v>1500</v>
      </c>
      <c r="E166" s="74">
        <v>353.24</v>
      </c>
      <c r="F166" s="1"/>
      <c r="G166" s="1"/>
      <c r="H166" s="1"/>
      <c r="I166" s="1"/>
    </row>
    <row r="167" spans="1:9">
      <c r="A167" s="74">
        <v>163</v>
      </c>
      <c r="B167" s="34"/>
      <c r="C167" s="74" t="s">
        <v>1199</v>
      </c>
      <c r="D167" s="74" t="s">
        <v>1205</v>
      </c>
      <c r="E167" s="74">
        <v>207</v>
      </c>
      <c r="F167" s="1"/>
      <c r="G167" s="1"/>
      <c r="H167" s="1"/>
      <c r="I167" s="1"/>
    </row>
    <row r="168" spans="1:9">
      <c r="A168" s="74">
        <v>164</v>
      </c>
      <c r="B168" s="34"/>
      <c r="C168" s="74" t="s">
        <v>1200</v>
      </c>
      <c r="D168" s="74" t="s">
        <v>1205</v>
      </c>
      <c r="E168" s="74">
        <v>329</v>
      </c>
      <c r="F168" s="1"/>
      <c r="G168" s="1"/>
      <c r="H168" s="1"/>
      <c r="I168" s="1"/>
    </row>
    <row r="169" spans="1:9">
      <c r="A169" s="74">
        <v>165</v>
      </c>
      <c r="B169" s="34"/>
      <c r="C169" s="74" t="s">
        <v>1302</v>
      </c>
      <c r="D169" s="74" t="s">
        <v>1205</v>
      </c>
      <c r="E169" s="74">
        <v>334</v>
      </c>
      <c r="F169" s="1"/>
      <c r="G169" s="1"/>
      <c r="H169" s="1"/>
      <c r="I169" s="1"/>
    </row>
    <row r="170" spans="1:9">
      <c r="A170" s="74">
        <v>166</v>
      </c>
      <c r="B170" s="34"/>
      <c r="C170" s="74" t="s">
        <v>1303</v>
      </c>
      <c r="D170" s="74" t="s">
        <v>1167</v>
      </c>
      <c r="E170" s="74">
        <v>331</v>
      </c>
      <c r="F170" s="1"/>
      <c r="G170" s="1"/>
      <c r="H170" s="1"/>
      <c r="I170" s="1"/>
    </row>
    <row r="171" spans="1:9">
      <c r="A171" s="74">
        <v>167</v>
      </c>
      <c r="B171" s="34" t="s">
        <v>1526</v>
      </c>
      <c r="C171" s="74" t="s">
        <v>1304</v>
      </c>
      <c r="D171" s="74" t="s">
        <v>1500</v>
      </c>
      <c r="E171" s="74">
        <v>209.59</v>
      </c>
      <c r="F171" s="1"/>
      <c r="G171" s="1"/>
      <c r="H171" s="1"/>
      <c r="I171" s="1"/>
    </row>
    <row r="172" spans="1:9">
      <c r="A172" s="74">
        <v>168</v>
      </c>
      <c r="B172" s="34"/>
      <c r="C172" s="74" t="s">
        <v>1202</v>
      </c>
      <c r="D172" s="74" t="s">
        <v>1167</v>
      </c>
      <c r="E172" s="74">
        <v>304</v>
      </c>
      <c r="F172" s="1"/>
      <c r="G172" s="1"/>
      <c r="H172" s="1"/>
      <c r="I172" s="1"/>
    </row>
    <row r="173" spans="1:9">
      <c r="A173" s="74">
        <v>169</v>
      </c>
      <c r="B173" s="34"/>
      <c r="C173" s="74" t="s">
        <v>1203</v>
      </c>
      <c r="D173" s="74" t="s">
        <v>1436</v>
      </c>
      <c r="E173" s="74">
        <v>302</v>
      </c>
      <c r="F173" s="1"/>
      <c r="G173" s="1"/>
      <c r="H173" s="1"/>
      <c r="I173" s="1"/>
    </row>
    <row r="174" spans="1:9">
      <c r="A174" s="74">
        <v>170</v>
      </c>
      <c r="B174" s="34"/>
      <c r="C174" s="74" t="s">
        <v>1305</v>
      </c>
      <c r="D174" s="74" t="s">
        <v>1167</v>
      </c>
      <c r="E174" s="74">
        <v>315</v>
      </c>
      <c r="F174" s="1"/>
      <c r="G174" s="1"/>
      <c r="H174" s="1"/>
      <c r="I174" s="1"/>
    </row>
    <row r="175" spans="1:9">
      <c r="A175" s="74">
        <v>171</v>
      </c>
      <c r="B175" s="34"/>
      <c r="C175" s="74" t="s">
        <v>1306</v>
      </c>
      <c r="D175" s="74" t="s">
        <v>1436</v>
      </c>
      <c r="E175" s="74">
        <v>285</v>
      </c>
      <c r="F175" s="1"/>
      <c r="G175" s="1"/>
      <c r="H175" s="1"/>
      <c r="I175" s="1"/>
    </row>
    <row r="176" spans="1:9">
      <c r="A176" s="74">
        <v>172</v>
      </c>
      <c r="B176" s="34" t="s">
        <v>1527</v>
      </c>
      <c r="C176" s="74" t="s">
        <v>1307</v>
      </c>
      <c r="D176" s="74" t="s">
        <v>1497</v>
      </c>
      <c r="E176" s="74">
        <v>348.77</v>
      </c>
      <c r="F176" s="1"/>
      <c r="G176" s="1"/>
      <c r="H176" s="1"/>
      <c r="I176" s="1"/>
    </row>
    <row r="177" spans="1:9">
      <c r="A177" s="74">
        <v>173</v>
      </c>
      <c r="B177" s="34" t="s">
        <v>1528</v>
      </c>
      <c r="C177" s="74" t="s">
        <v>1308</v>
      </c>
      <c r="D177" s="74" t="s">
        <v>1171</v>
      </c>
      <c r="E177" s="74">
        <v>281.67</v>
      </c>
      <c r="F177" s="1"/>
      <c r="G177" s="1"/>
      <c r="H177" s="1"/>
      <c r="I177" s="1"/>
    </row>
    <row r="178" spans="1:9">
      <c r="A178" s="74">
        <v>174</v>
      </c>
      <c r="B178" s="34"/>
      <c r="C178" s="74" t="s">
        <v>1309</v>
      </c>
      <c r="D178" s="74" t="s">
        <v>1167</v>
      </c>
      <c r="E178" s="74">
        <v>322</v>
      </c>
      <c r="F178" s="1"/>
      <c r="G178" s="1"/>
      <c r="H178" s="1"/>
      <c r="I178" s="1"/>
    </row>
    <row r="179" spans="1:9">
      <c r="A179" s="74">
        <v>175</v>
      </c>
      <c r="B179" s="34"/>
      <c r="C179" s="74" t="s">
        <v>1310</v>
      </c>
      <c r="D179" s="74" t="s">
        <v>1436</v>
      </c>
      <c r="E179" s="74">
        <v>293</v>
      </c>
      <c r="F179" s="1"/>
      <c r="G179" s="1"/>
      <c r="H179" s="1"/>
      <c r="I179" s="1"/>
    </row>
    <row r="180" spans="1:9">
      <c r="A180" s="74">
        <v>176</v>
      </c>
      <c r="B180" s="34"/>
      <c r="C180" s="74" t="s">
        <v>1311</v>
      </c>
      <c r="D180" s="74" t="s">
        <v>1167</v>
      </c>
      <c r="E180" s="74">
        <v>314</v>
      </c>
      <c r="F180" s="1"/>
      <c r="G180" s="1"/>
      <c r="H180" s="1"/>
      <c r="I180" s="1"/>
    </row>
    <row r="181" spans="1:9">
      <c r="A181" s="74">
        <v>177</v>
      </c>
      <c r="B181" s="34"/>
      <c r="C181" s="74" t="s">
        <v>1312</v>
      </c>
      <c r="D181" s="74" t="s">
        <v>1205</v>
      </c>
      <c r="E181" s="74">
        <v>342</v>
      </c>
      <c r="F181" s="1"/>
      <c r="G181" s="1"/>
      <c r="H181" s="1"/>
      <c r="I181" s="1"/>
    </row>
    <row r="182" spans="1:9">
      <c r="A182" s="74">
        <v>178</v>
      </c>
      <c r="B182" s="34"/>
      <c r="C182" s="74" t="s">
        <v>1313</v>
      </c>
      <c r="D182" s="74" t="s">
        <v>1167</v>
      </c>
      <c r="E182" s="74">
        <v>269</v>
      </c>
      <c r="F182" s="1"/>
      <c r="G182" s="1"/>
      <c r="H182" s="1"/>
      <c r="I182" s="1"/>
    </row>
    <row r="183" spans="1:9">
      <c r="A183" s="74">
        <v>179</v>
      </c>
      <c r="B183" s="34" t="s">
        <v>1529</v>
      </c>
      <c r="C183" s="74" t="s">
        <v>1314</v>
      </c>
      <c r="D183" s="74" t="s">
        <v>1503</v>
      </c>
      <c r="E183" s="74">
        <v>318.97000000000003</v>
      </c>
      <c r="F183" s="1"/>
      <c r="G183" s="1"/>
      <c r="H183" s="1"/>
      <c r="I183" s="1"/>
    </row>
    <row r="184" spans="1:9">
      <c r="A184" s="74">
        <v>180</v>
      </c>
      <c r="B184" s="34"/>
      <c r="C184" s="74" t="s">
        <v>1315</v>
      </c>
      <c r="D184" s="74" t="s">
        <v>1167</v>
      </c>
      <c r="E184" s="74">
        <v>251</v>
      </c>
      <c r="F184" s="1"/>
      <c r="G184" s="1"/>
      <c r="H184" s="1"/>
      <c r="I184" s="1"/>
    </row>
    <row r="185" spans="1:9">
      <c r="A185" s="74">
        <v>181</v>
      </c>
      <c r="B185" s="34"/>
      <c r="C185" s="74" t="s">
        <v>1316</v>
      </c>
      <c r="D185" s="74" t="s">
        <v>1436</v>
      </c>
      <c r="E185" s="74">
        <v>302</v>
      </c>
      <c r="F185" s="1"/>
      <c r="G185" s="1"/>
      <c r="H185" s="1"/>
      <c r="I185" s="1"/>
    </row>
    <row r="186" spans="1:9">
      <c r="A186" s="74">
        <v>182</v>
      </c>
      <c r="B186" s="34" t="s">
        <v>1530</v>
      </c>
      <c r="C186" s="74" t="s">
        <v>1317</v>
      </c>
      <c r="D186" s="74" t="s">
        <v>1497</v>
      </c>
      <c r="E186" s="74">
        <v>338.05</v>
      </c>
      <c r="F186" s="1"/>
      <c r="G186" s="1"/>
      <c r="H186" s="1"/>
      <c r="I186" s="1"/>
    </row>
    <row r="187" spans="1:9">
      <c r="A187" s="74">
        <v>183</v>
      </c>
      <c r="B187" s="34"/>
      <c r="C187" s="74" t="s">
        <v>1318</v>
      </c>
      <c r="D187" s="74" t="s">
        <v>1205</v>
      </c>
      <c r="E187" s="74">
        <v>326</v>
      </c>
      <c r="F187" s="1"/>
      <c r="G187" s="1"/>
      <c r="H187" s="1"/>
      <c r="I187" s="1"/>
    </row>
    <row r="188" spans="1:9">
      <c r="A188" s="74">
        <v>184</v>
      </c>
      <c r="B188" s="34"/>
      <c r="C188" s="74" t="s">
        <v>1319</v>
      </c>
      <c r="D188" s="74" t="s">
        <v>1205</v>
      </c>
      <c r="E188" s="74">
        <v>291</v>
      </c>
      <c r="F188" s="1"/>
      <c r="G188" s="1"/>
      <c r="H188" s="1"/>
      <c r="I188" s="1"/>
    </row>
    <row r="189" spans="1:9">
      <c r="A189" s="74">
        <v>185</v>
      </c>
      <c r="B189" s="34"/>
      <c r="C189" s="74" t="s">
        <v>1320</v>
      </c>
      <c r="D189" s="74" t="s">
        <v>1205</v>
      </c>
      <c r="E189" s="74">
        <v>288</v>
      </c>
      <c r="F189" s="1"/>
      <c r="G189" s="1"/>
      <c r="H189" s="1"/>
      <c r="I189" s="1"/>
    </row>
    <row r="190" spans="1:9">
      <c r="A190" s="74">
        <v>186</v>
      </c>
      <c r="B190" s="34" t="s">
        <v>1531</v>
      </c>
      <c r="C190" s="74" t="s">
        <v>1321</v>
      </c>
      <c r="D190" s="74" t="s">
        <v>1171</v>
      </c>
      <c r="E190" s="74">
        <v>202.34</v>
      </c>
      <c r="F190" s="1"/>
      <c r="G190" s="1"/>
      <c r="H190" s="1"/>
      <c r="I190" s="1"/>
    </row>
    <row r="191" spans="1:9">
      <c r="A191" s="74">
        <v>187</v>
      </c>
      <c r="B191" s="34"/>
      <c r="C191" s="74" t="s">
        <v>1322</v>
      </c>
      <c r="D191" s="74" t="s">
        <v>1167</v>
      </c>
      <c r="E191" s="74">
        <v>250</v>
      </c>
      <c r="F191" s="1"/>
      <c r="G191" s="1"/>
      <c r="H191" s="1"/>
      <c r="I191" s="1"/>
    </row>
    <row r="192" spans="1:9">
      <c r="A192" s="74">
        <v>188</v>
      </c>
      <c r="B192" s="34" t="s">
        <v>1532</v>
      </c>
      <c r="C192" s="74" t="s">
        <v>1323</v>
      </c>
      <c r="D192" s="74" t="s">
        <v>1438</v>
      </c>
      <c r="E192" s="74">
        <v>186.62</v>
      </c>
      <c r="F192" s="1"/>
      <c r="G192" s="1"/>
      <c r="H192" s="1"/>
      <c r="I192" s="1"/>
    </row>
    <row r="193" spans="1:9">
      <c r="A193" s="74">
        <v>189</v>
      </c>
      <c r="B193" s="34"/>
      <c r="C193" s="74" t="s">
        <v>1324</v>
      </c>
      <c r="D193" s="74" t="s">
        <v>1167</v>
      </c>
      <c r="E193" s="74">
        <v>277</v>
      </c>
      <c r="F193" s="1"/>
      <c r="G193" s="1"/>
      <c r="H193" s="1"/>
      <c r="I193" s="1"/>
    </row>
    <row r="194" spans="1:9">
      <c r="A194" s="74">
        <v>190</v>
      </c>
      <c r="B194" s="34" t="s">
        <v>1533</v>
      </c>
      <c r="C194" s="74" t="s">
        <v>1325</v>
      </c>
      <c r="D194" s="74" t="s">
        <v>1171</v>
      </c>
      <c r="E194" s="74">
        <v>229.01</v>
      </c>
      <c r="F194" s="1"/>
      <c r="G194" s="1"/>
      <c r="H194" s="1"/>
      <c r="I194" s="1"/>
    </row>
    <row r="195" spans="1:9">
      <c r="A195" s="74">
        <v>191</v>
      </c>
      <c r="B195" s="34" t="s">
        <v>1534</v>
      </c>
      <c r="C195" s="74" t="s">
        <v>1326</v>
      </c>
      <c r="D195" s="74" t="s">
        <v>1438</v>
      </c>
      <c r="E195" s="74">
        <v>216.63</v>
      </c>
      <c r="F195" s="1"/>
      <c r="G195" s="1"/>
      <c r="H195" s="1"/>
      <c r="I195" s="1"/>
    </row>
    <row r="196" spans="1:9">
      <c r="A196" s="74">
        <v>192</v>
      </c>
      <c r="B196" s="34"/>
      <c r="C196" s="74" t="s">
        <v>1327</v>
      </c>
      <c r="D196" s="74" t="s">
        <v>1167</v>
      </c>
      <c r="E196" s="74">
        <v>260</v>
      </c>
      <c r="F196" s="1"/>
      <c r="G196" s="1"/>
      <c r="H196" s="1"/>
      <c r="I196" s="1"/>
    </row>
    <row r="197" spans="1:9">
      <c r="A197" s="74">
        <v>193</v>
      </c>
      <c r="B197" s="34"/>
      <c r="C197" s="74" t="s">
        <v>1328</v>
      </c>
      <c r="D197" s="74" t="s">
        <v>1167</v>
      </c>
      <c r="E197" s="74">
        <v>296</v>
      </c>
      <c r="F197" s="1"/>
      <c r="G197" s="1"/>
      <c r="H197" s="1"/>
      <c r="I197" s="1"/>
    </row>
    <row r="198" spans="1:9">
      <c r="A198" s="74">
        <v>194</v>
      </c>
      <c r="B198" s="34" t="s">
        <v>1535</v>
      </c>
      <c r="C198" s="74" t="s">
        <v>1329</v>
      </c>
      <c r="D198" s="74" t="s">
        <v>1435</v>
      </c>
      <c r="E198" s="74">
        <v>287.11</v>
      </c>
      <c r="F198" s="1"/>
      <c r="G198" s="1"/>
      <c r="H198" s="1"/>
      <c r="I198" s="1"/>
    </row>
    <row r="199" spans="1:9">
      <c r="A199" s="74">
        <v>195</v>
      </c>
      <c r="B199" s="34" t="s">
        <v>1536</v>
      </c>
      <c r="C199" s="74" t="s">
        <v>1330</v>
      </c>
      <c r="D199" s="74" t="s">
        <v>648</v>
      </c>
      <c r="E199" s="75">
        <v>241.7</v>
      </c>
      <c r="F199" s="1"/>
      <c r="G199" s="1"/>
      <c r="H199" s="1"/>
      <c r="I199" s="1"/>
    </row>
    <row r="200" spans="1:9">
      <c r="A200" s="74">
        <v>196</v>
      </c>
      <c r="B200" s="34" t="s">
        <v>1537</v>
      </c>
      <c r="C200" s="74" t="s">
        <v>1331</v>
      </c>
      <c r="D200" s="74" t="s">
        <v>648</v>
      </c>
      <c r="E200" s="74">
        <v>143.96</v>
      </c>
      <c r="F200" s="1"/>
      <c r="G200" s="1"/>
      <c r="H200" s="1"/>
      <c r="I200" s="1"/>
    </row>
    <row r="201" spans="1:9">
      <c r="A201" s="74">
        <v>197</v>
      </c>
      <c r="B201" s="34" t="s">
        <v>1538</v>
      </c>
      <c r="C201" s="74" t="s">
        <v>1332</v>
      </c>
      <c r="D201" s="74" t="s">
        <v>1438</v>
      </c>
      <c r="E201" s="74">
        <v>360.45</v>
      </c>
      <c r="F201" s="1"/>
      <c r="G201" s="1"/>
      <c r="H201" s="1"/>
      <c r="I201" s="1"/>
    </row>
    <row r="202" spans="1:9">
      <c r="A202" s="74">
        <v>198</v>
      </c>
      <c r="B202" s="34"/>
      <c r="C202" s="74" t="s">
        <v>1333</v>
      </c>
      <c r="D202" s="74" t="s">
        <v>1436</v>
      </c>
      <c r="E202" s="74">
        <v>302</v>
      </c>
      <c r="F202" s="1"/>
      <c r="G202" s="1"/>
      <c r="H202" s="1"/>
      <c r="I202" s="1"/>
    </row>
    <row r="203" spans="1:9">
      <c r="A203" s="74">
        <v>199</v>
      </c>
      <c r="B203" s="34"/>
      <c r="C203" s="74" t="s">
        <v>1334</v>
      </c>
      <c r="D203" s="74" t="s">
        <v>1436</v>
      </c>
      <c r="E203" s="74">
        <v>353</v>
      </c>
      <c r="F203" s="1"/>
      <c r="G203" s="1"/>
      <c r="H203" s="1"/>
      <c r="I203" s="1"/>
    </row>
    <row r="204" spans="1:9">
      <c r="A204" s="74">
        <v>200</v>
      </c>
      <c r="B204" s="34"/>
      <c r="C204" s="74" t="s">
        <v>1335</v>
      </c>
      <c r="D204" s="74" t="s">
        <v>1205</v>
      </c>
      <c r="E204" s="74">
        <v>341</v>
      </c>
      <c r="F204" s="1"/>
      <c r="G204" s="1"/>
      <c r="H204" s="1"/>
      <c r="I204" s="1"/>
    </row>
    <row r="205" spans="1:9">
      <c r="A205" s="74">
        <v>201</v>
      </c>
      <c r="B205" s="34" t="s">
        <v>1539</v>
      </c>
      <c r="C205" s="74" t="s">
        <v>1336</v>
      </c>
      <c r="D205" s="74" t="s">
        <v>1170</v>
      </c>
      <c r="E205" s="75">
        <v>353.1</v>
      </c>
      <c r="F205" s="1"/>
      <c r="G205" s="1"/>
      <c r="H205" s="1"/>
      <c r="I205" s="1"/>
    </row>
    <row r="206" spans="1:9">
      <c r="A206" s="74">
        <v>202</v>
      </c>
      <c r="B206" s="34"/>
      <c r="C206" s="74" t="s">
        <v>1337</v>
      </c>
      <c r="D206" s="74" t="s">
        <v>1167</v>
      </c>
      <c r="E206" s="74">
        <v>343</v>
      </c>
      <c r="F206" s="1"/>
      <c r="G206" s="1"/>
      <c r="H206" s="1"/>
      <c r="I206" s="1"/>
    </row>
    <row r="207" spans="1:9">
      <c r="A207" s="74">
        <v>203</v>
      </c>
      <c r="B207" s="34" t="s">
        <v>1540</v>
      </c>
      <c r="C207" s="74" t="s">
        <v>1338</v>
      </c>
      <c r="D207" s="74" t="s">
        <v>1438</v>
      </c>
      <c r="E207" s="74">
        <v>352.08</v>
      </c>
      <c r="F207" s="1"/>
      <c r="G207" s="1"/>
      <c r="H207" s="1"/>
      <c r="I207" s="1"/>
    </row>
    <row r="208" spans="1:9">
      <c r="A208" s="74">
        <v>204</v>
      </c>
      <c r="B208" s="34"/>
      <c r="C208" s="74" t="s">
        <v>1339</v>
      </c>
      <c r="D208" s="74" t="s">
        <v>1436</v>
      </c>
      <c r="E208" s="74">
        <v>330</v>
      </c>
      <c r="F208" s="1"/>
      <c r="G208" s="1"/>
      <c r="H208" s="1"/>
      <c r="I208" s="1"/>
    </row>
    <row r="209" spans="1:9">
      <c r="A209" s="74">
        <v>205</v>
      </c>
      <c r="B209" s="34" t="s">
        <v>1541</v>
      </c>
      <c r="C209" s="74" t="s">
        <v>1340</v>
      </c>
      <c r="D209" s="74" t="s">
        <v>1438</v>
      </c>
      <c r="E209" s="74">
        <v>349.25</v>
      </c>
      <c r="F209" s="1"/>
      <c r="G209" s="1"/>
      <c r="H209" s="1"/>
      <c r="I209" s="1"/>
    </row>
    <row r="210" spans="1:9">
      <c r="A210" s="74">
        <v>206</v>
      </c>
      <c r="B210" s="34"/>
      <c r="C210" s="74" t="s">
        <v>1341</v>
      </c>
      <c r="D210" s="74" t="s">
        <v>1167</v>
      </c>
      <c r="E210" s="74">
        <v>246</v>
      </c>
      <c r="F210" s="1"/>
      <c r="G210" s="1"/>
      <c r="H210" s="1"/>
      <c r="I210" s="1"/>
    </row>
    <row r="211" spans="1:9">
      <c r="A211" s="74">
        <v>207</v>
      </c>
      <c r="B211" s="34"/>
      <c r="C211" s="74" t="s">
        <v>1342</v>
      </c>
      <c r="D211" s="74" t="s">
        <v>1167</v>
      </c>
      <c r="E211" s="74">
        <v>237</v>
      </c>
      <c r="F211" s="1"/>
      <c r="G211" s="1"/>
      <c r="H211" s="1"/>
      <c r="I211" s="1"/>
    </row>
    <row r="212" spans="1:9">
      <c r="A212" s="74">
        <v>208</v>
      </c>
      <c r="B212" s="34"/>
      <c r="C212" s="74" t="s">
        <v>1343</v>
      </c>
      <c r="D212" s="74" t="s">
        <v>1167</v>
      </c>
      <c r="E212" s="74">
        <v>240</v>
      </c>
      <c r="F212" s="1"/>
      <c r="G212" s="1"/>
      <c r="H212" s="1"/>
      <c r="I212" s="1"/>
    </row>
    <row r="213" spans="1:9">
      <c r="A213" s="74">
        <v>209</v>
      </c>
      <c r="B213" s="34"/>
      <c r="C213" s="74" t="s">
        <v>1344</v>
      </c>
      <c r="D213" s="74" t="s">
        <v>1437</v>
      </c>
      <c r="E213" s="74">
        <v>272</v>
      </c>
      <c r="F213" s="1"/>
      <c r="G213" s="1"/>
      <c r="H213" s="1"/>
      <c r="I213" s="1"/>
    </row>
    <row r="214" spans="1:9">
      <c r="A214" s="74">
        <v>210</v>
      </c>
      <c r="B214" s="34" t="s">
        <v>1542</v>
      </c>
      <c r="C214" s="74" t="s">
        <v>1345</v>
      </c>
      <c r="D214" s="74" t="s">
        <v>1500</v>
      </c>
      <c r="E214" s="74">
        <v>342.61</v>
      </c>
      <c r="F214" s="1"/>
      <c r="G214" s="1"/>
      <c r="H214" s="1"/>
      <c r="I214" s="1"/>
    </row>
    <row r="215" spans="1:9">
      <c r="A215" s="74">
        <v>211</v>
      </c>
      <c r="B215" s="34"/>
      <c r="C215" s="74" t="s">
        <v>1346</v>
      </c>
      <c r="D215" s="74" t="s">
        <v>1437</v>
      </c>
      <c r="E215" s="74">
        <v>326</v>
      </c>
      <c r="F215" s="1"/>
      <c r="G215" s="1"/>
      <c r="H215" s="1"/>
      <c r="I215" s="1"/>
    </row>
    <row r="216" spans="1:9">
      <c r="A216" s="74">
        <v>212</v>
      </c>
      <c r="B216" s="34" t="s">
        <v>1543</v>
      </c>
      <c r="C216" s="74" t="s">
        <v>1347</v>
      </c>
      <c r="D216" s="74" t="s">
        <v>1170</v>
      </c>
      <c r="E216" s="74">
        <v>328.58</v>
      </c>
      <c r="F216" s="1"/>
      <c r="G216" s="1"/>
      <c r="H216" s="1"/>
      <c r="I216" s="1"/>
    </row>
    <row r="217" spans="1:9">
      <c r="A217" s="74">
        <v>213</v>
      </c>
      <c r="B217" s="34"/>
      <c r="C217" s="74" t="s">
        <v>1348</v>
      </c>
      <c r="D217" s="74" t="s">
        <v>1436</v>
      </c>
      <c r="E217" s="74">
        <v>305</v>
      </c>
      <c r="F217" s="1"/>
      <c r="G217" s="1"/>
      <c r="H217" s="1"/>
      <c r="I217" s="1"/>
    </row>
    <row r="218" spans="1:9">
      <c r="A218" s="74">
        <v>214</v>
      </c>
      <c r="B218" s="34"/>
      <c r="C218" s="74" t="s">
        <v>1349</v>
      </c>
      <c r="D218" s="74" t="s">
        <v>1437</v>
      </c>
      <c r="E218" s="74">
        <v>372</v>
      </c>
      <c r="F218" s="1"/>
      <c r="G218" s="1"/>
      <c r="H218" s="1"/>
      <c r="I218" s="1"/>
    </row>
    <row r="219" spans="1:9">
      <c r="A219" s="74">
        <v>215</v>
      </c>
      <c r="B219" s="34"/>
      <c r="C219" s="74" t="s">
        <v>1350</v>
      </c>
      <c r="D219" s="74" t="s">
        <v>1437</v>
      </c>
      <c r="E219" s="74">
        <v>290</v>
      </c>
      <c r="F219" s="1"/>
      <c r="G219" s="1"/>
      <c r="H219" s="1"/>
      <c r="I219" s="1"/>
    </row>
    <row r="220" spans="1:9">
      <c r="A220" s="74">
        <v>216</v>
      </c>
      <c r="B220" s="34" t="s">
        <v>1544</v>
      </c>
      <c r="C220" s="74" t="s">
        <v>1351</v>
      </c>
      <c r="D220" s="74" t="s">
        <v>1438</v>
      </c>
      <c r="E220" s="74">
        <v>388.98</v>
      </c>
      <c r="F220" s="1"/>
      <c r="G220" s="1"/>
      <c r="H220" s="1"/>
      <c r="I220" s="1"/>
    </row>
    <row r="221" spans="1:9">
      <c r="A221" s="74">
        <v>217</v>
      </c>
      <c r="B221" s="34" t="s">
        <v>1545</v>
      </c>
      <c r="C221" s="74" t="s">
        <v>1352</v>
      </c>
      <c r="D221" s="74" t="s">
        <v>1171</v>
      </c>
      <c r="E221" s="74">
        <v>219.95</v>
      </c>
      <c r="F221" s="1"/>
      <c r="G221" s="1"/>
      <c r="H221" s="1"/>
      <c r="I221" s="1"/>
    </row>
    <row r="222" spans="1:9">
      <c r="A222" s="74">
        <v>218</v>
      </c>
      <c r="B222" s="34"/>
      <c r="C222" s="74" t="s">
        <v>1353</v>
      </c>
      <c r="D222" s="74" t="s">
        <v>1490</v>
      </c>
      <c r="E222" s="74">
        <v>284</v>
      </c>
      <c r="F222" s="1"/>
      <c r="G222" s="1"/>
      <c r="H222" s="1"/>
      <c r="I222" s="1"/>
    </row>
    <row r="223" spans="1:9">
      <c r="A223" s="74">
        <v>219</v>
      </c>
      <c r="B223" s="34" t="s">
        <v>1546</v>
      </c>
      <c r="C223" s="74" t="s">
        <v>1354</v>
      </c>
      <c r="D223" s="74" t="s">
        <v>653</v>
      </c>
      <c r="E223" s="74">
        <v>325.20999999999998</v>
      </c>
      <c r="F223" s="1"/>
      <c r="G223" s="1"/>
      <c r="H223" s="1"/>
      <c r="I223" s="1"/>
    </row>
    <row r="224" spans="1:9">
      <c r="A224" s="74">
        <v>220</v>
      </c>
      <c r="B224" s="34" t="s">
        <v>1547</v>
      </c>
      <c r="C224" s="74" t="s">
        <v>1355</v>
      </c>
      <c r="D224" s="74" t="s">
        <v>648</v>
      </c>
      <c r="E224" s="74">
        <v>273.11</v>
      </c>
      <c r="F224" s="1"/>
      <c r="G224" s="1"/>
      <c r="H224" s="1"/>
      <c r="I224" s="1"/>
    </row>
    <row r="225" spans="1:9">
      <c r="A225" s="74">
        <v>221</v>
      </c>
      <c r="B225" s="34" t="s">
        <v>1548</v>
      </c>
      <c r="C225" s="74" t="s">
        <v>1356</v>
      </c>
      <c r="D225" s="74" t="s">
        <v>1170</v>
      </c>
      <c r="E225" s="74">
        <v>269.49</v>
      </c>
      <c r="F225" s="1"/>
      <c r="G225" s="1"/>
      <c r="H225" s="1"/>
      <c r="I225" s="1"/>
    </row>
    <row r="226" spans="1:9">
      <c r="A226" s="74">
        <v>222</v>
      </c>
      <c r="B226" s="34"/>
      <c r="C226" s="74" t="s">
        <v>1357</v>
      </c>
      <c r="D226" s="74" t="s">
        <v>1436</v>
      </c>
      <c r="E226" s="74">
        <v>350</v>
      </c>
      <c r="F226" s="1"/>
      <c r="G226" s="1"/>
      <c r="H226" s="1"/>
      <c r="I226" s="1"/>
    </row>
    <row r="227" spans="1:9">
      <c r="A227" s="74">
        <v>223</v>
      </c>
      <c r="B227" s="34" t="s">
        <v>1549</v>
      </c>
      <c r="C227" s="74" t="s">
        <v>1358</v>
      </c>
      <c r="D227" s="74" t="s">
        <v>1500</v>
      </c>
      <c r="E227" s="74">
        <v>275.45999999999998</v>
      </c>
      <c r="F227" s="1"/>
      <c r="G227" s="1"/>
      <c r="H227" s="1"/>
      <c r="I227" s="1"/>
    </row>
    <row r="228" spans="1:9">
      <c r="A228" s="74">
        <v>224</v>
      </c>
      <c r="B228" s="34"/>
      <c r="C228" s="74" t="s">
        <v>1359</v>
      </c>
      <c r="D228" s="74" t="s">
        <v>1437</v>
      </c>
      <c r="E228" s="74">
        <v>346</v>
      </c>
      <c r="F228" s="1"/>
      <c r="G228" s="1"/>
      <c r="H228" s="1"/>
      <c r="I228" s="1"/>
    </row>
    <row r="229" spans="1:9">
      <c r="A229" s="74">
        <v>225</v>
      </c>
      <c r="B229" s="34" t="s">
        <v>1550</v>
      </c>
      <c r="C229" s="74" t="s">
        <v>1360</v>
      </c>
      <c r="D229" s="74" t="s">
        <v>1170</v>
      </c>
      <c r="E229" s="74">
        <v>314.56</v>
      </c>
      <c r="F229" s="1"/>
      <c r="G229" s="1"/>
      <c r="H229" s="1"/>
      <c r="I229" s="1"/>
    </row>
    <row r="230" spans="1:9">
      <c r="A230" s="74">
        <v>226</v>
      </c>
      <c r="B230" s="34" t="s">
        <v>1551</v>
      </c>
      <c r="C230" s="74" t="s">
        <v>1361</v>
      </c>
      <c r="D230" s="74" t="s">
        <v>1171</v>
      </c>
      <c r="E230" s="74">
        <v>136.47999999999999</v>
      </c>
      <c r="F230" s="1"/>
      <c r="G230" s="1"/>
      <c r="H230" s="1"/>
      <c r="I230" s="1"/>
    </row>
    <row r="231" spans="1:9">
      <c r="A231" s="74">
        <v>227</v>
      </c>
      <c r="B231" s="34" t="s">
        <v>1552</v>
      </c>
      <c r="C231" s="74" t="s">
        <v>1362</v>
      </c>
      <c r="D231" s="74" t="s">
        <v>1171</v>
      </c>
      <c r="E231" s="74">
        <v>155.65</v>
      </c>
      <c r="F231" s="1"/>
      <c r="G231" s="1"/>
      <c r="H231" s="1"/>
      <c r="I231" s="1"/>
    </row>
    <row r="232" spans="1:9">
      <c r="A232" s="74">
        <v>228</v>
      </c>
      <c r="B232" s="34"/>
      <c r="C232" s="74" t="s">
        <v>1363</v>
      </c>
      <c r="D232" s="74" t="s">
        <v>1167</v>
      </c>
      <c r="E232" s="74">
        <v>211</v>
      </c>
      <c r="F232" s="1"/>
      <c r="G232" s="1"/>
      <c r="H232" s="1"/>
      <c r="I232" s="1"/>
    </row>
    <row r="233" spans="1:9">
      <c r="A233" s="74">
        <v>229</v>
      </c>
      <c r="B233" s="34" t="s">
        <v>1553</v>
      </c>
      <c r="C233" s="74" t="s">
        <v>1364</v>
      </c>
      <c r="D233" s="74" t="s">
        <v>1497</v>
      </c>
      <c r="E233" s="74">
        <v>293.25</v>
      </c>
      <c r="F233" s="1"/>
      <c r="G233" s="1"/>
      <c r="H233" s="1"/>
      <c r="I233" s="1"/>
    </row>
    <row r="234" spans="1:9">
      <c r="A234" s="74">
        <v>230</v>
      </c>
      <c r="B234" s="34" t="s">
        <v>1554</v>
      </c>
      <c r="C234" s="74" t="s">
        <v>1365</v>
      </c>
      <c r="D234" s="74" t="s">
        <v>1497</v>
      </c>
      <c r="E234" s="74">
        <v>154.27000000000001</v>
      </c>
      <c r="F234" s="1"/>
      <c r="G234" s="1"/>
      <c r="H234" s="1"/>
      <c r="I234" s="1"/>
    </row>
    <row r="235" spans="1:9">
      <c r="A235" s="74">
        <v>231</v>
      </c>
      <c r="B235" s="34" t="s">
        <v>1555</v>
      </c>
      <c r="C235" s="74" t="s">
        <v>1366</v>
      </c>
      <c r="D235" s="74" t="s">
        <v>1556</v>
      </c>
      <c r="E235" s="74">
        <v>340.86</v>
      </c>
      <c r="F235" s="1"/>
      <c r="G235" s="1"/>
      <c r="H235" s="1"/>
      <c r="I235" s="1"/>
    </row>
    <row r="236" spans="1:9">
      <c r="A236" s="74">
        <v>232</v>
      </c>
      <c r="B236" s="34"/>
      <c r="C236" s="74" t="s">
        <v>1367</v>
      </c>
      <c r="D236" s="74" t="s">
        <v>1167</v>
      </c>
      <c r="E236" s="74">
        <v>302</v>
      </c>
      <c r="F236" s="1"/>
      <c r="G236" s="1"/>
      <c r="H236" s="1"/>
      <c r="I236" s="1"/>
    </row>
    <row r="237" spans="1:9">
      <c r="A237" s="74">
        <v>233</v>
      </c>
      <c r="B237" s="34"/>
      <c r="C237" s="74" t="s">
        <v>1368</v>
      </c>
      <c r="D237" s="74" t="s">
        <v>1205</v>
      </c>
      <c r="E237" s="74">
        <v>329</v>
      </c>
      <c r="F237" s="1"/>
      <c r="G237" s="1"/>
      <c r="H237" s="1"/>
      <c r="I237" s="1"/>
    </row>
    <row r="238" spans="1:9">
      <c r="A238" s="74">
        <v>234</v>
      </c>
      <c r="B238" s="34" t="s">
        <v>1557</v>
      </c>
      <c r="C238" s="74" t="s">
        <v>1369</v>
      </c>
      <c r="D238" s="74" t="s">
        <v>1490</v>
      </c>
      <c r="E238" s="74">
        <v>338.16</v>
      </c>
      <c r="F238" s="1"/>
      <c r="G238" s="1"/>
      <c r="H238" s="1"/>
      <c r="I238" s="1"/>
    </row>
    <row r="239" spans="1:9">
      <c r="A239" s="74">
        <v>235</v>
      </c>
      <c r="B239" s="34"/>
      <c r="C239" s="74" t="s">
        <v>1370</v>
      </c>
      <c r="D239" s="74" t="s">
        <v>1436</v>
      </c>
      <c r="E239" s="74">
        <v>317</v>
      </c>
      <c r="F239" s="1"/>
      <c r="G239" s="1"/>
      <c r="H239" s="1"/>
      <c r="I239" s="1"/>
    </row>
    <row r="240" spans="1:9">
      <c r="A240" s="74">
        <v>236</v>
      </c>
      <c r="B240" s="34"/>
      <c r="C240" s="74" t="s">
        <v>1371</v>
      </c>
      <c r="D240" s="74" t="s">
        <v>1167</v>
      </c>
      <c r="E240" s="74">
        <v>364</v>
      </c>
      <c r="F240" s="1"/>
      <c r="G240" s="1"/>
      <c r="H240" s="1"/>
      <c r="I240" s="1"/>
    </row>
    <row r="241" spans="1:9">
      <c r="A241" s="74">
        <v>237</v>
      </c>
      <c r="B241" s="34" t="s">
        <v>1558</v>
      </c>
      <c r="C241" s="74" t="s">
        <v>1372</v>
      </c>
      <c r="D241" s="74" t="s">
        <v>1170</v>
      </c>
      <c r="E241" s="74">
        <v>311.74</v>
      </c>
      <c r="F241" s="1"/>
      <c r="G241" s="1"/>
      <c r="H241" s="1"/>
      <c r="I241" s="1"/>
    </row>
    <row r="242" spans="1:9">
      <c r="A242" s="74">
        <v>238</v>
      </c>
      <c r="B242" s="34"/>
      <c r="C242" s="74" t="s">
        <v>1373</v>
      </c>
      <c r="D242" s="74" t="s">
        <v>1167</v>
      </c>
      <c r="E242" s="74">
        <v>308</v>
      </c>
      <c r="F242" s="1"/>
      <c r="G242" s="1"/>
      <c r="H242" s="1"/>
      <c r="I242" s="1"/>
    </row>
    <row r="243" spans="1:9">
      <c r="A243" s="74">
        <v>239</v>
      </c>
      <c r="B243" s="34"/>
      <c r="C243" s="74" t="s">
        <v>1374</v>
      </c>
      <c r="D243" s="74" t="s">
        <v>1436</v>
      </c>
      <c r="E243" s="74">
        <v>335</v>
      </c>
      <c r="F243" s="1"/>
      <c r="G243" s="1"/>
      <c r="H243" s="1"/>
      <c r="I243" s="1"/>
    </row>
    <row r="244" spans="1:9">
      <c r="A244" s="74">
        <v>240</v>
      </c>
      <c r="B244" s="34"/>
      <c r="C244" s="74" t="s">
        <v>1375</v>
      </c>
      <c r="D244" s="74" t="s">
        <v>1436</v>
      </c>
      <c r="E244" s="74">
        <v>320</v>
      </c>
      <c r="F244" s="1"/>
      <c r="G244" s="1"/>
      <c r="H244" s="1"/>
      <c r="I244" s="1"/>
    </row>
    <row r="245" spans="1:9">
      <c r="A245" s="74">
        <v>241</v>
      </c>
      <c r="B245" s="34"/>
      <c r="C245" s="74" t="s">
        <v>1376</v>
      </c>
      <c r="D245" s="74" t="s">
        <v>1436</v>
      </c>
      <c r="E245" s="74">
        <v>356</v>
      </c>
      <c r="F245" s="1"/>
      <c r="G245" s="1"/>
      <c r="H245" s="1"/>
      <c r="I245" s="1"/>
    </row>
    <row r="246" spans="1:9">
      <c r="A246" s="74">
        <v>242</v>
      </c>
      <c r="B246" s="34"/>
      <c r="C246" s="74" t="s">
        <v>1377</v>
      </c>
      <c r="D246" s="74" t="s">
        <v>1167</v>
      </c>
      <c r="E246" s="74">
        <v>306</v>
      </c>
      <c r="F246" s="1"/>
      <c r="G246" s="1"/>
      <c r="H246" s="1"/>
      <c r="I246" s="1"/>
    </row>
    <row r="247" spans="1:9">
      <c r="A247" s="74">
        <v>243</v>
      </c>
      <c r="B247" s="34"/>
      <c r="C247" s="74" t="s">
        <v>1378</v>
      </c>
      <c r="D247" s="74" t="s">
        <v>1167</v>
      </c>
      <c r="E247" s="74">
        <v>302</v>
      </c>
      <c r="F247" s="1"/>
      <c r="G247" s="1"/>
      <c r="H247" s="1"/>
      <c r="I247" s="1"/>
    </row>
    <row r="248" spans="1:9">
      <c r="A248" s="74">
        <v>244</v>
      </c>
      <c r="B248" s="34" t="s">
        <v>1559</v>
      </c>
      <c r="C248" s="74" t="s">
        <v>1379</v>
      </c>
      <c r="D248" s="74" t="s">
        <v>1435</v>
      </c>
      <c r="E248" s="74">
        <v>336.74</v>
      </c>
      <c r="F248" s="1"/>
      <c r="G248" s="1"/>
      <c r="H248" s="1"/>
      <c r="I248" s="1"/>
    </row>
    <row r="249" spans="1:9">
      <c r="A249" s="74">
        <v>245</v>
      </c>
      <c r="B249" s="34"/>
      <c r="C249" s="74" t="s">
        <v>1380</v>
      </c>
      <c r="D249" s="74" t="s">
        <v>1167</v>
      </c>
      <c r="E249" s="74">
        <v>340</v>
      </c>
      <c r="F249" s="1"/>
      <c r="G249" s="1"/>
      <c r="H249" s="1"/>
      <c r="I249" s="1"/>
    </row>
    <row r="250" spans="1:9">
      <c r="A250" s="74">
        <v>246</v>
      </c>
      <c r="B250" s="34"/>
      <c r="C250" s="74" t="s">
        <v>1381</v>
      </c>
      <c r="D250" s="74" t="s">
        <v>1167</v>
      </c>
      <c r="E250" s="74">
        <v>357</v>
      </c>
      <c r="F250" s="1"/>
      <c r="G250" s="1"/>
      <c r="H250" s="1"/>
      <c r="I250" s="1"/>
    </row>
    <row r="251" spans="1:9">
      <c r="A251" s="74">
        <v>247</v>
      </c>
      <c r="B251" s="34" t="s">
        <v>1560</v>
      </c>
      <c r="C251" s="74" t="s">
        <v>1382</v>
      </c>
      <c r="D251" s="74" t="s">
        <v>1556</v>
      </c>
      <c r="E251" s="74">
        <v>341.48</v>
      </c>
      <c r="F251" s="1"/>
      <c r="G251" s="1"/>
      <c r="H251" s="1"/>
      <c r="I251" s="1"/>
    </row>
    <row r="252" spans="1:9">
      <c r="A252" s="74">
        <v>248</v>
      </c>
      <c r="B252" s="34" t="s">
        <v>1561</v>
      </c>
      <c r="C252" s="74" t="s">
        <v>1383</v>
      </c>
      <c r="D252" s="74" t="s">
        <v>1497</v>
      </c>
      <c r="E252" s="74">
        <v>376.98</v>
      </c>
      <c r="F252" s="1"/>
      <c r="G252" s="1"/>
      <c r="H252" s="1"/>
      <c r="I252" s="1"/>
    </row>
    <row r="253" spans="1:9">
      <c r="A253" s="74">
        <v>249</v>
      </c>
      <c r="B253" s="34" t="s">
        <v>1562</v>
      </c>
      <c r="C253" s="74" t="s">
        <v>1384</v>
      </c>
      <c r="D253" s="74" t="s">
        <v>1435</v>
      </c>
      <c r="E253" s="74">
        <v>391.22</v>
      </c>
      <c r="F253" s="1"/>
      <c r="G253" s="1"/>
      <c r="H253" s="1"/>
      <c r="I253" s="1"/>
    </row>
    <row r="254" spans="1:9">
      <c r="A254" s="74">
        <v>250</v>
      </c>
      <c r="B254" s="34"/>
      <c r="C254" s="74" t="s">
        <v>1385</v>
      </c>
      <c r="D254" s="74" t="s">
        <v>1167</v>
      </c>
      <c r="E254" s="74">
        <v>320</v>
      </c>
      <c r="F254" s="1"/>
      <c r="G254" s="1"/>
      <c r="H254" s="1"/>
      <c r="I254" s="1"/>
    </row>
    <row r="255" spans="1:9">
      <c r="A255" s="74">
        <v>251</v>
      </c>
      <c r="B255" s="34"/>
      <c r="C255" s="74" t="s">
        <v>1386</v>
      </c>
      <c r="D255" s="74" t="s">
        <v>1436</v>
      </c>
      <c r="E255" s="74">
        <v>364</v>
      </c>
      <c r="F255" s="1"/>
      <c r="G255" s="1"/>
      <c r="H255" s="1"/>
      <c r="I255" s="1"/>
    </row>
    <row r="256" spans="1:9">
      <c r="A256" s="74">
        <v>252</v>
      </c>
      <c r="B256" s="34" t="s">
        <v>1563</v>
      </c>
      <c r="C256" s="74" t="s">
        <v>1387</v>
      </c>
      <c r="D256" s="74" t="s">
        <v>1171</v>
      </c>
      <c r="E256" s="75">
        <v>305.39999999999998</v>
      </c>
      <c r="F256" s="1"/>
      <c r="G256" s="1"/>
      <c r="H256" s="1"/>
      <c r="I256" s="1"/>
    </row>
    <row r="257" spans="1:9">
      <c r="A257" s="74">
        <v>253</v>
      </c>
      <c r="B257" s="34"/>
      <c r="C257" s="74" t="s">
        <v>1388</v>
      </c>
      <c r="D257" s="74" t="s">
        <v>1490</v>
      </c>
      <c r="E257" s="74">
        <v>283</v>
      </c>
      <c r="F257" s="1"/>
      <c r="G257" s="1"/>
      <c r="H257" s="1"/>
      <c r="I257" s="1"/>
    </row>
    <row r="258" spans="1:9">
      <c r="A258" s="74">
        <v>254</v>
      </c>
      <c r="B258" s="34" t="s">
        <v>1564</v>
      </c>
      <c r="C258" s="74" t="s">
        <v>1428</v>
      </c>
      <c r="D258" s="74" t="s">
        <v>653</v>
      </c>
      <c r="E258" s="74">
        <v>279.69</v>
      </c>
      <c r="F258" s="1"/>
      <c r="G258" s="1"/>
      <c r="H258" s="1"/>
      <c r="I258" s="1"/>
    </row>
    <row r="259" spans="1:9">
      <c r="A259" s="74">
        <v>255</v>
      </c>
      <c r="B259" s="34" t="s">
        <v>1565</v>
      </c>
      <c r="C259" s="74" t="s">
        <v>1389</v>
      </c>
      <c r="D259" s="74" t="s">
        <v>653</v>
      </c>
      <c r="E259" s="74">
        <v>221.09</v>
      </c>
      <c r="F259" s="1"/>
      <c r="G259" s="1"/>
      <c r="H259" s="1"/>
      <c r="I259" s="1"/>
    </row>
    <row r="260" spans="1:9">
      <c r="A260" s="74">
        <v>256</v>
      </c>
      <c r="B260" s="34" t="s">
        <v>1566</v>
      </c>
      <c r="C260" s="74" t="s">
        <v>1390</v>
      </c>
      <c r="D260" s="74" t="s">
        <v>1438</v>
      </c>
      <c r="E260" s="74">
        <v>326.43</v>
      </c>
      <c r="F260" s="1"/>
      <c r="G260" s="1"/>
      <c r="H260" s="1"/>
      <c r="I260" s="1"/>
    </row>
    <row r="261" spans="1:9">
      <c r="A261" s="74">
        <v>257</v>
      </c>
      <c r="B261" s="34" t="s">
        <v>1567</v>
      </c>
      <c r="C261" s="74" t="s">
        <v>1391</v>
      </c>
      <c r="D261" s="74" t="s">
        <v>653</v>
      </c>
      <c r="E261" s="74">
        <v>367.89</v>
      </c>
      <c r="F261" s="1"/>
      <c r="G261" s="1"/>
      <c r="H261" s="1"/>
      <c r="I261" s="1"/>
    </row>
    <row r="262" spans="1:9">
      <c r="A262" s="74">
        <v>258</v>
      </c>
      <c r="B262" s="34" t="s">
        <v>1568</v>
      </c>
      <c r="C262" s="74" t="s">
        <v>1433</v>
      </c>
      <c r="D262" s="74" t="s">
        <v>653</v>
      </c>
      <c r="E262" s="74">
        <v>206.08</v>
      </c>
      <c r="F262" s="1"/>
      <c r="G262" s="1"/>
      <c r="H262" s="1"/>
      <c r="I262" s="1"/>
    </row>
    <row r="263" spans="1:9">
      <c r="A263" s="74">
        <v>259</v>
      </c>
      <c r="B263" s="34"/>
      <c r="C263" s="74" t="s">
        <v>1392</v>
      </c>
      <c r="D263" s="74" t="s">
        <v>1490</v>
      </c>
      <c r="E263" s="74">
        <v>300</v>
      </c>
      <c r="F263" s="1"/>
      <c r="G263" s="1"/>
      <c r="H263" s="1"/>
      <c r="I263" s="1"/>
    </row>
    <row r="264" spans="1:9">
      <c r="A264" s="74">
        <v>260</v>
      </c>
      <c r="B264" s="34" t="s">
        <v>1569</v>
      </c>
      <c r="C264" s="74" t="s">
        <v>1393</v>
      </c>
      <c r="D264" s="74" t="s">
        <v>1170</v>
      </c>
      <c r="E264" s="74">
        <v>307.98</v>
      </c>
      <c r="F264" s="1"/>
      <c r="G264" s="1"/>
      <c r="H264" s="1"/>
      <c r="I264" s="1"/>
    </row>
    <row r="265" spans="1:9">
      <c r="A265" s="74">
        <v>261</v>
      </c>
      <c r="B265" s="34" t="s">
        <v>1570</v>
      </c>
      <c r="C265" s="74" t="s">
        <v>1394</v>
      </c>
      <c r="D265" s="74" t="s">
        <v>1497</v>
      </c>
      <c r="E265" s="74">
        <v>303.20999999999998</v>
      </c>
      <c r="F265" s="1"/>
      <c r="G265" s="1"/>
      <c r="H265" s="1"/>
      <c r="I265" s="1"/>
    </row>
    <row r="266" spans="1:9">
      <c r="A266" s="74">
        <v>262</v>
      </c>
      <c r="B266" s="34" t="s">
        <v>1571</v>
      </c>
      <c r="C266" s="74" t="s">
        <v>1395</v>
      </c>
      <c r="D266" s="74" t="s">
        <v>1171</v>
      </c>
      <c r="E266" s="74">
        <v>348.78</v>
      </c>
      <c r="F266" s="1"/>
      <c r="G266" s="1"/>
      <c r="H266" s="1"/>
      <c r="I266" s="1"/>
    </row>
    <row r="267" spans="1:9">
      <c r="A267" s="74">
        <v>263</v>
      </c>
      <c r="B267" s="34"/>
      <c r="C267" s="74" t="s">
        <v>1396</v>
      </c>
      <c r="D267" s="74" t="s">
        <v>1205</v>
      </c>
      <c r="E267" s="74">
        <v>265</v>
      </c>
      <c r="F267" s="1"/>
      <c r="G267" s="1"/>
      <c r="H267" s="1"/>
      <c r="I267" s="1"/>
    </row>
    <row r="268" spans="1:9">
      <c r="A268" s="74">
        <v>264</v>
      </c>
      <c r="B268" s="34"/>
      <c r="C268" s="74" t="s">
        <v>1397</v>
      </c>
      <c r="D268" s="74" t="s">
        <v>1167</v>
      </c>
      <c r="E268" s="74">
        <v>255</v>
      </c>
      <c r="F268" s="1"/>
      <c r="G268" s="1"/>
      <c r="H268" s="1"/>
      <c r="I268" s="1"/>
    </row>
    <row r="269" spans="1:9">
      <c r="A269" s="74">
        <v>265</v>
      </c>
      <c r="B269" s="34"/>
      <c r="C269" s="74" t="s">
        <v>1398</v>
      </c>
      <c r="D269" s="74" t="s">
        <v>1503</v>
      </c>
      <c r="E269" s="74">
        <v>235.13</v>
      </c>
      <c r="F269" s="1"/>
      <c r="G269" s="1"/>
      <c r="H269" s="1"/>
      <c r="I269" s="1"/>
    </row>
    <row r="270" spans="1:9">
      <c r="A270" s="74">
        <v>266</v>
      </c>
      <c r="B270" s="34" t="s">
        <v>1572</v>
      </c>
      <c r="C270" s="74" t="s">
        <v>1399</v>
      </c>
      <c r="D270" s="74" t="s">
        <v>1556</v>
      </c>
      <c r="E270" s="74">
        <v>347.38</v>
      </c>
      <c r="F270" s="1"/>
      <c r="G270" s="1"/>
      <c r="H270" s="1"/>
      <c r="I270" s="1"/>
    </row>
    <row r="271" spans="1:9">
      <c r="A271" s="74">
        <v>267</v>
      </c>
      <c r="B271" s="34" t="s">
        <v>1573</v>
      </c>
      <c r="C271" s="74" t="s">
        <v>1400</v>
      </c>
      <c r="D271" s="74" t="s">
        <v>1435</v>
      </c>
      <c r="E271" s="74">
        <v>341.94</v>
      </c>
      <c r="F271" s="1"/>
      <c r="G271" s="1"/>
      <c r="H271" s="1"/>
      <c r="I271" s="1"/>
    </row>
    <row r="272" spans="1:9">
      <c r="A272" s="74">
        <v>268</v>
      </c>
      <c r="B272" s="34" t="s">
        <v>1574</v>
      </c>
      <c r="C272" s="74" t="s">
        <v>1401</v>
      </c>
      <c r="D272" s="74" t="s">
        <v>1170</v>
      </c>
      <c r="E272" s="74">
        <v>97.17</v>
      </c>
      <c r="F272" s="1"/>
      <c r="G272" s="1"/>
      <c r="H272" s="1"/>
      <c r="I272" s="1"/>
    </row>
    <row r="273" spans="1:9">
      <c r="A273" s="74">
        <v>269</v>
      </c>
      <c r="B273" s="34"/>
      <c r="C273" s="74" t="s">
        <v>1402</v>
      </c>
      <c r="D273" s="74" t="s">
        <v>1167</v>
      </c>
      <c r="E273" s="74">
        <v>280</v>
      </c>
      <c r="F273" s="1"/>
      <c r="G273" s="1"/>
      <c r="H273" s="1"/>
      <c r="I273" s="1"/>
    </row>
    <row r="274" spans="1:9">
      <c r="A274" s="74">
        <v>270</v>
      </c>
      <c r="B274" s="34"/>
      <c r="C274" s="74" t="s">
        <v>1403</v>
      </c>
      <c r="D274" s="74" t="s">
        <v>1167</v>
      </c>
      <c r="E274" s="74">
        <v>315</v>
      </c>
      <c r="F274" s="1"/>
      <c r="G274" s="1"/>
      <c r="H274" s="1"/>
      <c r="I274" s="1"/>
    </row>
    <row r="275" spans="1:9">
      <c r="A275" s="74">
        <v>271</v>
      </c>
      <c r="B275" s="34"/>
      <c r="C275" s="74" t="s">
        <v>1404</v>
      </c>
      <c r="D275" s="74" t="s">
        <v>1436</v>
      </c>
      <c r="E275" s="74">
        <v>347</v>
      </c>
      <c r="F275" s="1"/>
      <c r="G275" s="1"/>
      <c r="H275" s="1"/>
      <c r="I275" s="1"/>
    </row>
    <row r="276" spans="1:9">
      <c r="A276" s="74">
        <v>272</v>
      </c>
      <c r="B276" s="34" t="s">
        <v>1575</v>
      </c>
      <c r="C276" s="74" t="s">
        <v>1405</v>
      </c>
      <c r="D276" s="74" t="s">
        <v>1171</v>
      </c>
      <c r="E276" s="74">
        <v>351.91</v>
      </c>
      <c r="F276" s="1"/>
      <c r="G276" s="1"/>
      <c r="H276" s="1"/>
      <c r="I276" s="1"/>
    </row>
    <row r="277" spans="1:9">
      <c r="A277" s="74">
        <v>273</v>
      </c>
      <c r="B277" s="34"/>
      <c r="C277" s="74" t="s">
        <v>1406</v>
      </c>
      <c r="D277" s="74" t="s">
        <v>1167</v>
      </c>
      <c r="E277" s="74">
        <v>220</v>
      </c>
      <c r="F277" s="1"/>
      <c r="G277" s="1"/>
      <c r="H277" s="1"/>
      <c r="I277" s="1"/>
    </row>
    <row r="278" spans="1:9">
      <c r="A278" s="74">
        <v>274</v>
      </c>
      <c r="B278" s="34" t="s">
        <v>1576</v>
      </c>
      <c r="C278" s="74" t="s">
        <v>1407</v>
      </c>
      <c r="D278" s="74" t="s">
        <v>1171</v>
      </c>
      <c r="E278" s="74">
        <v>260.02999999999997</v>
      </c>
      <c r="F278" s="1"/>
      <c r="G278" s="1"/>
      <c r="H278" s="1"/>
      <c r="I278" s="1"/>
    </row>
    <row r="279" spans="1:9">
      <c r="A279" s="74">
        <v>275</v>
      </c>
      <c r="B279" s="34"/>
      <c r="C279" s="74" t="s">
        <v>1408</v>
      </c>
      <c r="D279" s="74" t="s">
        <v>1167</v>
      </c>
      <c r="E279" s="74">
        <v>251</v>
      </c>
      <c r="F279" s="1"/>
      <c r="G279" s="1"/>
      <c r="H279" s="1"/>
      <c r="I279" s="1"/>
    </row>
    <row r="280" spans="1:9">
      <c r="A280" s="74">
        <v>276</v>
      </c>
      <c r="B280" s="34" t="s">
        <v>1577</v>
      </c>
      <c r="C280" s="74" t="s">
        <v>1409</v>
      </c>
      <c r="D280" s="74" t="s">
        <v>1435</v>
      </c>
      <c r="E280" s="74">
        <v>193.67</v>
      </c>
      <c r="F280" s="1"/>
      <c r="G280" s="1"/>
      <c r="H280" s="1"/>
      <c r="I280" s="1"/>
    </row>
    <row r="281" spans="1:9">
      <c r="A281" s="74">
        <v>277</v>
      </c>
      <c r="B281" s="34"/>
      <c r="C281" s="74" t="s">
        <v>1410</v>
      </c>
      <c r="D281" s="74" t="s">
        <v>1437</v>
      </c>
      <c r="E281" s="74">
        <v>325</v>
      </c>
      <c r="F281" s="1"/>
      <c r="G281" s="1"/>
      <c r="H281" s="1"/>
      <c r="I281" s="1"/>
    </row>
    <row r="282" spans="1:9">
      <c r="A282" s="74">
        <v>278</v>
      </c>
      <c r="B282" s="34"/>
      <c r="C282" s="74" t="s">
        <v>1411</v>
      </c>
      <c r="D282" s="74" t="s">
        <v>1436</v>
      </c>
      <c r="E282" s="74">
        <v>341</v>
      </c>
      <c r="F282" s="1"/>
      <c r="G282" s="1"/>
      <c r="H282" s="1"/>
      <c r="I282" s="1"/>
    </row>
    <row r="283" spans="1:9">
      <c r="A283" s="74">
        <v>279</v>
      </c>
      <c r="B283" s="34" t="s">
        <v>1578</v>
      </c>
      <c r="C283" s="74" t="s">
        <v>1412</v>
      </c>
      <c r="D283" s="74" t="s">
        <v>1170</v>
      </c>
      <c r="E283" s="74">
        <v>343.38</v>
      </c>
      <c r="F283" s="1"/>
      <c r="G283" s="1"/>
      <c r="H283" s="1"/>
      <c r="I283" s="1"/>
    </row>
    <row r="284" spans="1:9">
      <c r="A284" s="74">
        <v>280</v>
      </c>
      <c r="B284" s="34"/>
      <c r="C284" s="74" t="s">
        <v>1413</v>
      </c>
      <c r="D284" s="74" t="s">
        <v>1167</v>
      </c>
      <c r="E284" s="74">
        <v>261</v>
      </c>
      <c r="F284" s="1"/>
      <c r="G284" s="1"/>
      <c r="H284" s="1"/>
      <c r="I284" s="1"/>
    </row>
    <row r="285" spans="1:9">
      <c r="A285" s="74">
        <v>281</v>
      </c>
      <c r="B285" s="34"/>
      <c r="C285" s="74" t="s">
        <v>1414</v>
      </c>
      <c r="D285" s="74" t="s">
        <v>1436</v>
      </c>
      <c r="E285" s="74">
        <v>307</v>
      </c>
      <c r="F285" s="1"/>
      <c r="G285" s="1"/>
      <c r="H285" s="1"/>
      <c r="I285" s="1"/>
    </row>
    <row r="286" spans="1:9">
      <c r="A286" s="74">
        <v>282</v>
      </c>
      <c r="B286" s="34"/>
      <c r="C286" s="74" t="s">
        <v>1415</v>
      </c>
      <c r="D286" s="74" t="s">
        <v>1436</v>
      </c>
      <c r="E286" s="74">
        <v>341</v>
      </c>
      <c r="F286" s="1"/>
      <c r="G286" s="1"/>
      <c r="H286" s="1"/>
      <c r="I286" s="1"/>
    </row>
    <row r="287" spans="1:9">
      <c r="A287" s="74">
        <v>283</v>
      </c>
      <c r="B287" s="34" t="s">
        <v>1579</v>
      </c>
      <c r="C287" s="74" t="s">
        <v>1416</v>
      </c>
      <c r="D287" s="74" t="s">
        <v>648</v>
      </c>
      <c r="E287" s="74">
        <v>355.57</v>
      </c>
      <c r="F287" s="1"/>
      <c r="G287" s="1"/>
      <c r="H287" s="1"/>
      <c r="I287" s="1"/>
    </row>
    <row r="288" spans="1:9">
      <c r="A288" s="74">
        <v>284</v>
      </c>
      <c r="B288" s="34" t="s">
        <v>1580</v>
      </c>
      <c r="C288" s="74" t="s">
        <v>1417</v>
      </c>
      <c r="D288" s="74" t="s">
        <v>648</v>
      </c>
      <c r="E288" s="75">
        <v>232.9</v>
      </c>
      <c r="F288" s="1"/>
      <c r="G288" s="1"/>
      <c r="H288" s="1"/>
      <c r="I288" s="1"/>
    </row>
    <row r="289" spans="1:9">
      <c r="A289" s="74">
        <v>285</v>
      </c>
      <c r="B289" s="34"/>
      <c r="C289" s="74" t="s">
        <v>1418</v>
      </c>
      <c r="D289" s="74" t="s">
        <v>1436</v>
      </c>
      <c r="E289" s="74">
        <v>364</v>
      </c>
      <c r="F289" s="1"/>
      <c r="G289" s="1"/>
      <c r="H289" s="1"/>
      <c r="I289" s="1"/>
    </row>
    <row r="290" spans="1:9">
      <c r="A290" s="74">
        <v>286</v>
      </c>
      <c r="B290" s="34"/>
      <c r="C290" s="74" t="s">
        <v>1419</v>
      </c>
      <c r="D290" s="74" t="s">
        <v>1167</v>
      </c>
      <c r="E290" s="74">
        <v>280</v>
      </c>
      <c r="F290" s="1"/>
      <c r="G290" s="1"/>
      <c r="H290" s="1"/>
      <c r="I290" s="1"/>
    </row>
    <row r="291" spans="1:9">
      <c r="A291" s="74">
        <v>287</v>
      </c>
      <c r="B291" s="34"/>
      <c r="C291" s="74" t="s">
        <v>1420</v>
      </c>
      <c r="D291" s="74" t="s">
        <v>1205</v>
      </c>
      <c r="E291" s="74">
        <v>253</v>
      </c>
      <c r="F291" s="1"/>
      <c r="G291" s="1"/>
      <c r="H291" s="1"/>
      <c r="I291" s="1"/>
    </row>
    <row r="292" spans="1:9">
      <c r="A292" s="74">
        <v>288</v>
      </c>
      <c r="B292" s="34" t="s">
        <v>1581</v>
      </c>
      <c r="C292" s="74" t="s">
        <v>1421</v>
      </c>
      <c r="D292" s="74" t="s">
        <v>1438</v>
      </c>
      <c r="E292" s="75">
        <v>291.60000000000002</v>
      </c>
      <c r="F292" s="1"/>
      <c r="G292" s="1"/>
      <c r="H292" s="1"/>
      <c r="I292" s="1"/>
    </row>
    <row r="293" spans="1:9">
      <c r="A293" s="74">
        <v>289</v>
      </c>
      <c r="B293" s="34" t="s">
        <v>1582</v>
      </c>
      <c r="C293" s="74" t="s">
        <v>1422</v>
      </c>
      <c r="D293" s="74" t="s">
        <v>1438</v>
      </c>
      <c r="E293" s="75">
        <v>270.60000000000002</v>
      </c>
      <c r="F293" s="1"/>
      <c r="G293" s="1"/>
      <c r="H293" s="1"/>
      <c r="I293" s="1"/>
    </row>
    <row r="294" spans="1:9">
      <c r="A294" s="573"/>
      <c r="B294" s="573"/>
      <c r="C294" s="573"/>
      <c r="D294" s="573"/>
      <c r="E294" s="606">
        <f>SUM(E5:E293)</f>
        <v>83944.290000000008</v>
      </c>
    </row>
  </sheetData>
  <mergeCells count="6">
    <mergeCell ref="F1:I2"/>
    <mergeCell ref="A1:A3"/>
    <mergeCell ref="B1:B3"/>
    <mergeCell ref="C1:C3"/>
    <mergeCell ref="D1:D3"/>
    <mergeCell ref="E1:E3"/>
  </mergeCells>
  <conditionalFormatting sqref="A72:A29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2:C75">
    <cfRule type="colorScale" priority="4">
      <colorScale>
        <cfvo type="num" val="0"/>
        <cfvo type="max"/>
        <color rgb="FFFF7128"/>
        <color rgb="FFFFEF9C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6">
    <cfRule type="containsText" dxfId="105" priority="3" operator="containsText" text="Completed">
      <formula>NOT(ISERROR(SEARCH("Completed",F46)))</formula>
    </cfRule>
  </conditionalFormatting>
  <conditionalFormatting sqref="F15:G25">
    <cfRule type="containsText" dxfId="104" priority="7" operator="containsText" text="Completed">
      <formula>NOT(ISERROR(SEARCH("Completed",F15)))</formula>
    </cfRule>
  </conditionalFormatting>
  <conditionalFormatting sqref="F27:G27">
    <cfRule type="containsText" dxfId="103" priority="11" operator="containsText" text="Completed">
      <formula>NOT(ISERROR(SEARCH("Completed",F27)))</formula>
    </cfRule>
  </conditionalFormatting>
  <conditionalFormatting sqref="F48:G49">
    <cfRule type="containsText" dxfId="102" priority="10" operator="containsText" text="Completed">
      <formula>NOT(ISERROR(SEARCH("Completed",F48)))</formula>
    </cfRule>
  </conditionalFormatting>
  <conditionalFormatting sqref="F56:G56">
    <cfRule type="containsText" dxfId="101" priority="9" operator="containsText" text="Completed">
      <formula>NOT(ISERROR(SEARCH("Completed",F56)))</formula>
    </cfRule>
  </conditionalFormatting>
  <conditionalFormatting sqref="F60:G60">
    <cfRule type="containsText" dxfId="100" priority="8" operator="containsText" text="Completed">
      <formula>NOT(ISERROR(SEARCH("Completed",F60)))</formula>
    </cfRule>
  </conditionalFormatting>
  <conditionalFormatting sqref="F155:G156">
    <cfRule type="containsText" dxfId="99" priority="2" operator="containsText" text="Completed">
      <formula>NOT(ISERROR(SEARCH("Completed",F155)))</formula>
    </cfRule>
  </conditionalFormatting>
  <conditionalFormatting sqref="F158:G159">
    <cfRule type="containsText" dxfId="98" priority="1" operator="containsText" text="Completed">
      <formula>NOT(ISERROR(SEARCH("Completed",F158)))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M78"/>
  <sheetViews>
    <sheetView view="pageBreakPreview" zoomScale="60" zoomScaleNormal="85" workbookViewId="0">
      <pane xSplit="4" ySplit="9" topLeftCell="L10" activePane="bottomRight" state="frozen"/>
      <selection pane="topRight" activeCell="E1" sqref="E1"/>
      <selection pane="bottomLeft" activeCell="A10" sqref="A10"/>
      <selection pane="bottomRight" activeCell="A5" sqref="A5:AJ5"/>
    </sheetView>
  </sheetViews>
  <sheetFormatPr defaultRowHeight="15"/>
  <cols>
    <col min="1" max="1" width="8.7109375" style="117" customWidth="1"/>
    <col min="2" max="3" width="9.140625" style="117"/>
    <col min="4" max="4" width="14.140625" style="117" bestFit="1" customWidth="1"/>
    <col min="5" max="5" width="11.7109375" style="117" bestFit="1" customWidth="1"/>
    <col min="6" max="6" width="11.28515625" style="117" customWidth="1"/>
    <col min="7" max="7" width="17" style="117" customWidth="1"/>
    <col min="10" max="10" width="11.42578125" customWidth="1"/>
    <col min="11" max="11" width="27.7109375" bestFit="1" customWidth="1"/>
    <col min="12" max="12" width="11.42578125" bestFit="1" customWidth="1"/>
    <col min="13" max="13" width="17.28515625" customWidth="1"/>
    <col min="14" max="14" width="14" bestFit="1" customWidth="1"/>
    <col min="15" max="18" width="0" hidden="1" customWidth="1"/>
    <col min="19" max="19" width="11.5703125" style="117" customWidth="1"/>
    <col min="20" max="21" width="0" hidden="1" customWidth="1"/>
    <col min="23" max="23" width="18" customWidth="1"/>
    <col min="24" max="24" width="12" customWidth="1"/>
    <col min="25" max="25" width="16.5703125" bestFit="1" customWidth="1"/>
    <col min="29" max="29" width="9.28515625" customWidth="1"/>
    <col min="31" max="31" width="8.7109375" customWidth="1"/>
    <col min="32" max="32" width="23.7109375" hidden="1" customWidth="1"/>
    <col min="33" max="33" width="24" hidden="1" customWidth="1"/>
    <col min="34" max="34" width="18.28515625" bestFit="1" customWidth="1"/>
    <col min="35" max="35" width="19.85546875" bestFit="1" customWidth="1"/>
    <col min="36" max="36" width="32.7109375" customWidth="1"/>
    <col min="37" max="37" width="26" customWidth="1"/>
    <col min="38" max="39" width="10.140625" hidden="1" customWidth="1"/>
  </cols>
  <sheetData>
    <row r="1" spans="1:39" ht="20.25">
      <c r="A1" s="1786" t="s">
        <v>566</v>
      </c>
      <c r="B1" s="1787"/>
      <c r="C1" s="1787"/>
      <c r="D1" s="1787"/>
      <c r="E1" s="1787"/>
      <c r="F1" s="1787"/>
      <c r="G1" s="1787"/>
      <c r="H1" s="1787"/>
      <c r="I1" s="1787"/>
      <c r="J1" s="1787"/>
      <c r="K1" s="1787"/>
      <c r="L1" s="1787"/>
      <c r="M1" s="1787"/>
      <c r="N1" s="1787"/>
      <c r="O1" s="1787"/>
      <c r="P1" s="1787"/>
      <c r="Q1" s="1787"/>
      <c r="R1" s="1787"/>
      <c r="S1" s="1787"/>
      <c r="T1" s="1787"/>
      <c r="U1" s="1787"/>
      <c r="V1" s="1787"/>
      <c r="W1" s="1787"/>
      <c r="X1" s="1787"/>
      <c r="Y1" s="1787"/>
      <c r="Z1" s="1787"/>
      <c r="AA1" s="1787"/>
      <c r="AB1" s="1787"/>
      <c r="AC1" s="1787"/>
      <c r="AD1" s="1787"/>
      <c r="AE1" s="1787"/>
      <c r="AF1" s="1787"/>
      <c r="AG1" s="1787"/>
      <c r="AH1" s="1787"/>
      <c r="AI1" s="1787"/>
      <c r="AJ1" s="1787"/>
      <c r="AK1" s="134"/>
      <c r="AL1" s="135"/>
      <c r="AM1" s="134"/>
    </row>
    <row r="2" spans="1:39" ht="20.25">
      <c r="A2" s="1788" t="s">
        <v>88</v>
      </c>
      <c r="B2" s="1789"/>
      <c r="C2" s="1789"/>
      <c r="D2" s="1789"/>
      <c r="E2" s="1789"/>
      <c r="F2" s="1789"/>
      <c r="G2" s="1789"/>
      <c r="H2" s="1789"/>
      <c r="I2" s="1789"/>
      <c r="J2" s="1789"/>
      <c r="K2" s="1789"/>
      <c r="L2" s="1789"/>
      <c r="M2" s="1789"/>
      <c r="N2" s="1789"/>
      <c r="O2" s="1789"/>
      <c r="P2" s="1789"/>
      <c r="Q2" s="1789"/>
      <c r="R2" s="1789"/>
      <c r="S2" s="1789"/>
      <c r="T2" s="1789"/>
      <c r="U2" s="1789"/>
      <c r="V2" s="1789"/>
      <c r="W2" s="1789"/>
      <c r="X2" s="1789"/>
      <c r="Y2" s="1789"/>
      <c r="Z2" s="1789"/>
      <c r="AA2" s="1789"/>
      <c r="AB2" s="1789"/>
      <c r="AC2" s="1789"/>
      <c r="AD2" s="1789"/>
      <c r="AE2" s="1789"/>
      <c r="AF2" s="1789"/>
      <c r="AG2" s="1789"/>
      <c r="AH2" s="1789"/>
      <c r="AI2" s="1789"/>
      <c r="AJ2" s="1789"/>
      <c r="AK2" s="136" t="s">
        <v>90</v>
      </c>
      <c r="AL2" s="137"/>
      <c r="AM2" s="138"/>
    </row>
    <row r="3" spans="1:39" ht="21.6" customHeight="1">
      <c r="A3" s="1788" t="s">
        <v>89</v>
      </c>
      <c r="B3" s="1789"/>
      <c r="C3" s="1789"/>
      <c r="D3" s="1789"/>
      <c r="E3" s="1789"/>
      <c r="F3" s="1789"/>
      <c r="G3" s="1789"/>
      <c r="H3" s="1789"/>
      <c r="I3" s="1789"/>
      <c r="J3" s="1789"/>
      <c r="K3" s="1789"/>
      <c r="L3" s="1789"/>
      <c r="M3" s="1789"/>
      <c r="N3" s="1789"/>
      <c r="O3" s="1789"/>
      <c r="P3" s="1789"/>
      <c r="Q3" s="1789"/>
      <c r="R3" s="1789"/>
      <c r="S3" s="1789"/>
      <c r="T3" s="1789"/>
      <c r="U3" s="1789"/>
      <c r="V3" s="1789"/>
      <c r="W3" s="1789"/>
      <c r="X3" s="1789"/>
      <c r="Y3" s="1789"/>
      <c r="Z3" s="1789"/>
      <c r="AA3" s="1789"/>
      <c r="AB3" s="1789"/>
      <c r="AC3" s="1789"/>
      <c r="AD3" s="1789"/>
      <c r="AE3" s="1789"/>
      <c r="AF3" s="1789"/>
      <c r="AG3" s="1789"/>
      <c r="AH3" s="1789"/>
      <c r="AI3" s="1789"/>
      <c r="AJ3" s="1789"/>
      <c r="AK3" s="136" t="s">
        <v>567</v>
      </c>
      <c r="AL3" s="137"/>
      <c r="AM3" s="138"/>
    </row>
    <row r="4" spans="1:39" ht="20.25">
      <c r="A4" s="1788" t="s">
        <v>91</v>
      </c>
      <c r="B4" s="1789"/>
      <c r="C4" s="1789"/>
      <c r="D4" s="1789"/>
      <c r="E4" s="1789"/>
      <c r="F4" s="1789"/>
      <c r="G4" s="1789"/>
      <c r="H4" s="1789"/>
      <c r="I4" s="1789"/>
      <c r="J4" s="1789"/>
      <c r="K4" s="1789"/>
      <c r="L4" s="1789"/>
      <c r="M4" s="1789"/>
      <c r="N4" s="1789"/>
      <c r="O4" s="1789"/>
      <c r="P4" s="1789"/>
      <c r="Q4" s="1789"/>
      <c r="R4" s="1789"/>
      <c r="S4" s="1789"/>
      <c r="T4" s="1789"/>
      <c r="U4" s="1789"/>
      <c r="V4" s="1789"/>
      <c r="W4" s="1789"/>
      <c r="X4" s="1789"/>
      <c r="Y4" s="1789"/>
      <c r="Z4" s="1789"/>
      <c r="AA4" s="1789"/>
      <c r="AB4" s="1789"/>
      <c r="AC4" s="1789"/>
      <c r="AD4" s="1789"/>
      <c r="AE4" s="1789"/>
      <c r="AF4" s="1789"/>
      <c r="AG4" s="1789"/>
      <c r="AH4" s="1789"/>
      <c r="AI4" s="1789"/>
      <c r="AJ4" s="1789"/>
      <c r="AK4" s="136" t="s">
        <v>94</v>
      </c>
      <c r="AL4" s="137"/>
      <c r="AM4" s="138"/>
    </row>
    <row r="5" spans="1:39" ht="20.25">
      <c r="A5" s="1788" t="s">
        <v>93</v>
      </c>
      <c r="B5" s="1789"/>
      <c r="C5" s="1789"/>
      <c r="D5" s="1789"/>
      <c r="E5" s="1789"/>
      <c r="F5" s="1789"/>
      <c r="G5" s="1789"/>
      <c r="H5" s="1789"/>
      <c r="I5" s="1789"/>
      <c r="J5" s="1789"/>
      <c r="K5" s="1789"/>
      <c r="L5" s="1789"/>
      <c r="M5" s="1789"/>
      <c r="N5" s="1789"/>
      <c r="O5" s="1789"/>
      <c r="P5" s="1789"/>
      <c r="Q5" s="1789"/>
      <c r="R5" s="1789"/>
      <c r="S5" s="1789"/>
      <c r="T5" s="1789"/>
      <c r="U5" s="1789"/>
      <c r="V5" s="1789"/>
      <c r="W5" s="1789"/>
      <c r="X5" s="1789"/>
      <c r="Y5" s="1789"/>
      <c r="Z5" s="1789"/>
      <c r="AA5" s="1789"/>
      <c r="AB5" s="1789"/>
      <c r="AC5" s="1789"/>
      <c r="AD5" s="1789"/>
      <c r="AE5" s="1789"/>
      <c r="AF5" s="1789"/>
      <c r="AG5" s="1789"/>
      <c r="AH5" s="1789"/>
      <c r="AI5" s="1789"/>
      <c r="AJ5" s="1789"/>
      <c r="AK5" s="138"/>
      <c r="AL5" s="137"/>
      <c r="AM5" s="138"/>
    </row>
    <row r="6" spans="1:39" ht="31.15" customHeight="1" thickBot="1">
      <c r="A6" s="1784" t="s">
        <v>568</v>
      </c>
      <c r="B6" s="1785"/>
      <c r="C6" s="1785"/>
      <c r="D6" s="1785"/>
      <c r="E6" s="1785"/>
      <c r="F6" s="1785"/>
      <c r="G6" s="1785"/>
      <c r="H6" s="1785"/>
      <c r="I6" s="1785"/>
      <c r="J6" s="1785"/>
      <c r="K6" s="1785"/>
      <c r="L6" s="1785"/>
      <c r="M6" s="1785"/>
      <c r="N6" s="1785"/>
      <c r="O6" s="1785"/>
      <c r="P6" s="1785"/>
      <c r="Q6" s="1785"/>
      <c r="R6" s="1785"/>
      <c r="S6" s="1785"/>
      <c r="T6" s="1785"/>
      <c r="U6" s="1785"/>
      <c r="V6" s="1785"/>
      <c r="W6" s="1785"/>
      <c r="X6" s="1785"/>
      <c r="Y6" s="1785"/>
      <c r="Z6" s="1785"/>
      <c r="AA6" s="1785"/>
      <c r="AB6" s="1785"/>
      <c r="AC6" s="1785"/>
      <c r="AD6" s="1785"/>
      <c r="AE6" s="1785"/>
      <c r="AF6" s="1785"/>
      <c r="AG6" s="1785"/>
      <c r="AH6" s="1785"/>
      <c r="AI6" s="1785"/>
      <c r="AJ6" s="1785"/>
      <c r="AK6" s="139"/>
      <c r="AL6" s="140"/>
      <c r="AM6" s="141"/>
    </row>
    <row r="7" spans="1:39" ht="28.15" customHeight="1" thickBot="1">
      <c r="A7" s="1795" t="s">
        <v>569</v>
      </c>
      <c r="B7" s="1796"/>
      <c r="C7" s="1796"/>
      <c r="D7" s="1796"/>
      <c r="E7" s="1796"/>
      <c r="F7" s="1796"/>
      <c r="G7" s="1797"/>
      <c r="H7" s="1795" t="s">
        <v>570</v>
      </c>
      <c r="I7" s="1796"/>
      <c r="J7" s="1796"/>
      <c r="K7" s="1796"/>
      <c r="L7" s="1796"/>
      <c r="M7" s="1796"/>
      <c r="N7" s="1796"/>
      <c r="O7" s="1796"/>
      <c r="P7" s="1796"/>
      <c r="Q7" s="1796"/>
      <c r="R7" s="1796"/>
      <c r="S7" s="1796"/>
      <c r="T7" s="1796"/>
      <c r="U7" s="1796"/>
      <c r="V7" s="1796"/>
      <c r="W7" s="1796"/>
      <c r="X7" s="1796"/>
      <c r="Y7" s="1796"/>
      <c r="Z7" s="1796"/>
      <c r="AA7" s="1796"/>
      <c r="AB7" s="1796"/>
      <c r="AC7" s="1796"/>
      <c r="AD7" s="1796"/>
      <c r="AE7" s="1796"/>
      <c r="AF7" s="1796"/>
      <c r="AG7" s="1796"/>
      <c r="AH7" s="1796"/>
      <c r="AI7" s="1796"/>
      <c r="AJ7" s="1796"/>
      <c r="AK7" s="1797"/>
      <c r="AL7" s="142"/>
      <c r="AM7" s="143"/>
    </row>
    <row r="8" spans="1:39" ht="33" customHeight="1" thickBot="1">
      <c r="A8" s="1793" t="s">
        <v>97</v>
      </c>
      <c r="B8" s="1793" t="s">
        <v>98</v>
      </c>
      <c r="C8" s="1793" t="s">
        <v>99</v>
      </c>
      <c r="D8" s="1793" t="s">
        <v>100</v>
      </c>
      <c r="E8" s="1793" t="s">
        <v>106</v>
      </c>
      <c r="F8" s="1793" t="s">
        <v>102</v>
      </c>
      <c r="G8" s="1793" t="s">
        <v>104</v>
      </c>
      <c r="H8" s="1793" t="s">
        <v>98</v>
      </c>
      <c r="I8" s="1793" t="s">
        <v>99</v>
      </c>
      <c r="J8" s="1793" t="s">
        <v>100</v>
      </c>
      <c r="K8" s="1793" t="s">
        <v>101</v>
      </c>
      <c r="L8" s="1793" t="s">
        <v>102</v>
      </c>
      <c r="M8" s="1793" t="s">
        <v>104</v>
      </c>
      <c r="N8" s="1793" t="s">
        <v>103</v>
      </c>
      <c r="O8" s="1798" t="s">
        <v>105</v>
      </c>
      <c r="P8" s="1802"/>
      <c r="Q8" s="1802"/>
      <c r="R8" s="1800"/>
      <c r="S8" s="1793" t="s">
        <v>106</v>
      </c>
      <c r="T8" s="1798" t="s">
        <v>107</v>
      </c>
      <c r="U8" s="1800" t="s">
        <v>108</v>
      </c>
      <c r="V8" s="1793" t="s">
        <v>109</v>
      </c>
      <c r="W8" s="1793" t="s">
        <v>110</v>
      </c>
      <c r="X8" s="1793" t="s">
        <v>111</v>
      </c>
      <c r="Y8" s="1793" t="s">
        <v>112</v>
      </c>
      <c r="Z8" s="1803" t="s">
        <v>113</v>
      </c>
      <c r="AA8" s="1804"/>
      <c r="AB8" s="1805"/>
      <c r="AC8" s="1803" t="s">
        <v>114</v>
      </c>
      <c r="AD8" s="1804"/>
      <c r="AE8" s="1805"/>
      <c r="AF8" s="1798" t="s">
        <v>115</v>
      </c>
      <c r="AG8" s="1800" t="s">
        <v>116</v>
      </c>
      <c r="AH8" s="1803" t="s">
        <v>571</v>
      </c>
      <c r="AI8" s="1806"/>
      <c r="AJ8" s="1793" t="s">
        <v>572</v>
      </c>
      <c r="AK8" s="1807" t="s">
        <v>119</v>
      </c>
      <c r="AL8" s="1809" t="s">
        <v>120</v>
      </c>
      <c r="AM8" s="1811" t="s">
        <v>121</v>
      </c>
    </row>
    <row r="9" spans="1:39" ht="36" customHeight="1" thickBot="1">
      <c r="A9" s="1794"/>
      <c r="B9" s="1794"/>
      <c r="C9" s="1794"/>
      <c r="D9" s="1794"/>
      <c r="E9" s="1794"/>
      <c r="F9" s="1794"/>
      <c r="G9" s="1794"/>
      <c r="H9" s="1794"/>
      <c r="I9" s="1794"/>
      <c r="J9" s="1794"/>
      <c r="K9" s="1794"/>
      <c r="L9" s="1794"/>
      <c r="M9" s="1794"/>
      <c r="N9" s="1794"/>
      <c r="O9" s="144" t="s">
        <v>123</v>
      </c>
      <c r="P9" s="145" t="s">
        <v>124</v>
      </c>
      <c r="Q9" s="145" t="s">
        <v>125</v>
      </c>
      <c r="R9" s="146"/>
      <c r="S9" s="1794"/>
      <c r="T9" s="1799"/>
      <c r="U9" s="1801"/>
      <c r="V9" s="1794"/>
      <c r="W9" s="1794"/>
      <c r="X9" s="1794"/>
      <c r="Y9" s="1794"/>
      <c r="Z9" s="147" t="s">
        <v>126</v>
      </c>
      <c r="AA9" s="147" t="s">
        <v>127</v>
      </c>
      <c r="AB9" s="147" t="s">
        <v>128</v>
      </c>
      <c r="AC9" s="147" t="s">
        <v>126</v>
      </c>
      <c r="AD9" s="147" t="s">
        <v>127</v>
      </c>
      <c r="AE9" s="147" t="s">
        <v>128</v>
      </c>
      <c r="AF9" s="1799"/>
      <c r="AG9" s="1801"/>
      <c r="AH9" s="147" t="s">
        <v>129</v>
      </c>
      <c r="AI9" s="147" t="s">
        <v>130</v>
      </c>
      <c r="AJ9" s="1794"/>
      <c r="AK9" s="1808"/>
      <c r="AL9" s="1810"/>
      <c r="AM9" s="1812"/>
    </row>
    <row r="10" spans="1:39" ht="31.5">
      <c r="A10" s="148">
        <v>1</v>
      </c>
      <c r="B10" s="149" t="s">
        <v>173</v>
      </c>
      <c r="C10" s="149" t="s">
        <v>174</v>
      </c>
      <c r="D10" s="149" t="s">
        <v>573</v>
      </c>
      <c r="E10" s="150" t="s">
        <v>134</v>
      </c>
      <c r="F10" s="151"/>
      <c r="G10" s="152">
        <v>0</v>
      </c>
      <c r="H10" s="148" t="s">
        <v>173</v>
      </c>
      <c r="I10" s="149" t="s">
        <v>174</v>
      </c>
      <c r="J10" s="149" t="s">
        <v>573</v>
      </c>
      <c r="K10" s="149">
        <v>38.33</v>
      </c>
      <c r="L10" s="151"/>
      <c r="M10" s="151">
        <v>0</v>
      </c>
      <c r="N10" s="151">
        <v>0</v>
      </c>
      <c r="O10" s="153"/>
      <c r="P10" s="153"/>
      <c r="Q10" s="153"/>
      <c r="R10" s="153"/>
      <c r="S10" s="154" t="s">
        <v>134</v>
      </c>
      <c r="T10" s="155"/>
      <c r="U10" s="156"/>
      <c r="V10" s="157">
        <v>55.383000000000003</v>
      </c>
      <c r="W10" s="158" t="s">
        <v>574</v>
      </c>
      <c r="X10" s="157">
        <v>592.31200000000001</v>
      </c>
      <c r="Y10" s="152">
        <v>296.15600000000001</v>
      </c>
      <c r="Z10" s="148">
        <v>135</v>
      </c>
      <c r="AA10" s="149">
        <v>161</v>
      </c>
      <c r="AB10" s="159">
        <v>296</v>
      </c>
      <c r="AC10" s="148">
        <v>137</v>
      </c>
      <c r="AD10" s="149">
        <v>160</v>
      </c>
      <c r="AE10" s="159">
        <v>297</v>
      </c>
      <c r="AF10" s="160" t="s">
        <v>575</v>
      </c>
      <c r="AG10" s="161" t="s">
        <v>576</v>
      </c>
      <c r="AH10" s="162">
        <v>289518.57199999999</v>
      </c>
      <c r="AI10" s="162">
        <v>2864336.1290000002</v>
      </c>
      <c r="AJ10" s="163"/>
      <c r="AK10" s="164" t="s">
        <v>577</v>
      </c>
      <c r="AL10" s="165"/>
      <c r="AM10" s="166"/>
    </row>
    <row r="11" spans="1:39" ht="15.75">
      <c r="A11" s="167"/>
      <c r="B11" s="168" t="s">
        <v>134</v>
      </c>
      <c r="C11" s="168"/>
      <c r="D11" s="168"/>
      <c r="E11" s="169"/>
      <c r="F11" s="170">
        <v>314.77300000000002</v>
      </c>
      <c r="G11" s="171"/>
      <c r="H11" s="167" t="s">
        <v>134</v>
      </c>
      <c r="I11" s="168"/>
      <c r="J11" s="168"/>
      <c r="K11" s="168"/>
      <c r="L11" s="170">
        <v>314.77300000000002</v>
      </c>
      <c r="M11" s="168"/>
      <c r="N11" s="168"/>
      <c r="O11" s="172"/>
      <c r="P11" s="172"/>
      <c r="Q11" s="172"/>
      <c r="R11" s="172"/>
      <c r="S11" s="173"/>
      <c r="T11" s="174"/>
      <c r="U11" s="175"/>
      <c r="V11" s="176"/>
      <c r="W11" s="171"/>
      <c r="X11" s="176"/>
      <c r="Y11" s="177"/>
      <c r="Z11" s="167"/>
      <c r="AA11" s="168"/>
      <c r="AB11" s="171"/>
      <c r="AC11" s="167"/>
      <c r="AD11" s="168"/>
      <c r="AE11" s="171"/>
      <c r="AF11" s="178"/>
      <c r="AG11" s="179"/>
      <c r="AH11" s="180"/>
      <c r="AI11" s="180"/>
      <c r="AJ11" s="181" t="s">
        <v>578</v>
      </c>
      <c r="AK11" s="182"/>
      <c r="AL11" s="165"/>
      <c r="AM11" s="166"/>
    </row>
    <row r="12" spans="1:39" ht="15.75">
      <c r="A12" s="183">
        <v>2</v>
      </c>
      <c r="B12" s="184" t="s">
        <v>180</v>
      </c>
      <c r="C12" s="184" t="s">
        <v>181</v>
      </c>
      <c r="D12" s="184" t="s">
        <v>573</v>
      </c>
      <c r="E12" s="185" t="s">
        <v>134</v>
      </c>
      <c r="F12" s="186"/>
      <c r="G12" s="187">
        <f t="shared" ref="G12" si="0">G10+F11</f>
        <v>314.77300000000002</v>
      </c>
      <c r="H12" s="183" t="s">
        <v>180</v>
      </c>
      <c r="I12" s="184" t="s">
        <v>181</v>
      </c>
      <c r="J12" s="184" t="s">
        <v>573</v>
      </c>
      <c r="K12" s="184">
        <v>38.33</v>
      </c>
      <c r="L12" s="186"/>
      <c r="M12" s="186">
        <f t="shared" ref="M12" si="1">M10+L11</f>
        <v>314.77300000000002</v>
      </c>
      <c r="N12" s="186">
        <f>SUM(L10:L11)</f>
        <v>314.77300000000002</v>
      </c>
      <c r="O12" s="188"/>
      <c r="P12" s="188"/>
      <c r="Q12" s="188"/>
      <c r="R12" s="188"/>
      <c r="S12" s="189" t="s">
        <v>134</v>
      </c>
      <c r="T12" s="190"/>
      <c r="U12" s="191"/>
      <c r="V12" s="192">
        <v>54.869</v>
      </c>
      <c r="W12" s="193" t="s">
        <v>579</v>
      </c>
      <c r="X12" s="192">
        <v>567.77300000000002</v>
      </c>
      <c r="Y12" s="187">
        <v>283.88650000000001</v>
      </c>
      <c r="Z12" s="183">
        <v>154</v>
      </c>
      <c r="AA12" s="184">
        <v>97</v>
      </c>
      <c r="AB12" s="193">
        <v>251</v>
      </c>
      <c r="AC12" s="183">
        <v>155</v>
      </c>
      <c r="AD12" s="184">
        <v>109</v>
      </c>
      <c r="AE12" s="193">
        <v>264</v>
      </c>
      <c r="AF12" s="194" t="s">
        <v>580</v>
      </c>
      <c r="AG12" s="195" t="s">
        <v>581</v>
      </c>
      <c r="AH12" s="196">
        <v>289225.28899999999</v>
      </c>
      <c r="AI12" s="196">
        <v>2864221.818</v>
      </c>
      <c r="AJ12" s="197"/>
      <c r="AK12" s="198" t="s">
        <v>577</v>
      </c>
      <c r="AL12" s="165"/>
      <c r="AM12" s="166"/>
    </row>
    <row r="13" spans="1:39" ht="15.75">
      <c r="A13" s="167"/>
      <c r="B13" s="168" t="s">
        <v>134</v>
      </c>
      <c r="C13" s="168"/>
      <c r="D13" s="168"/>
      <c r="E13" s="169"/>
      <c r="F13" s="170">
        <v>253</v>
      </c>
      <c r="G13" s="171"/>
      <c r="H13" s="167" t="s">
        <v>134</v>
      </c>
      <c r="I13" s="168"/>
      <c r="J13" s="168"/>
      <c r="K13" s="168"/>
      <c r="L13" s="170">
        <v>253</v>
      </c>
      <c r="M13" s="168"/>
      <c r="N13" s="168"/>
      <c r="O13" s="172"/>
      <c r="P13" s="172"/>
      <c r="Q13" s="172"/>
      <c r="R13" s="172"/>
      <c r="S13" s="173"/>
      <c r="T13" s="174"/>
      <c r="U13" s="175"/>
      <c r="V13" s="176"/>
      <c r="W13" s="171"/>
      <c r="X13" s="176"/>
      <c r="Y13" s="177"/>
      <c r="Z13" s="167"/>
      <c r="AA13" s="168"/>
      <c r="AB13" s="171"/>
      <c r="AC13" s="167"/>
      <c r="AD13" s="168"/>
      <c r="AE13" s="171"/>
      <c r="AF13" s="178"/>
      <c r="AG13" s="179"/>
      <c r="AH13" s="180"/>
      <c r="AI13" s="180"/>
      <c r="AJ13" s="181" t="s">
        <v>313</v>
      </c>
      <c r="AK13" s="182"/>
      <c r="AL13" s="165"/>
      <c r="AM13" s="166"/>
    </row>
    <row r="14" spans="1:39" ht="15.75">
      <c r="A14" s="167">
        <v>3</v>
      </c>
      <c r="B14" s="168" t="s">
        <v>134</v>
      </c>
      <c r="C14" s="168" t="s">
        <v>186</v>
      </c>
      <c r="D14" s="168" t="s">
        <v>582</v>
      </c>
      <c r="E14" s="169" t="s">
        <v>134</v>
      </c>
      <c r="F14" s="170"/>
      <c r="G14" s="177">
        <f t="shared" ref="G14" si="2">G12+F13</f>
        <v>567.77300000000002</v>
      </c>
      <c r="H14" s="167" t="s">
        <v>134</v>
      </c>
      <c r="I14" s="168" t="s">
        <v>186</v>
      </c>
      <c r="J14" s="168" t="s">
        <v>582</v>
      </c>
      <c r="K14" s="168">
        <v>40.53</v>
      </c>
      <c r="L14" s="170"/>
      <c r="M14" s="170">
        <f t="shared" ref="M14" si="3">M12+L13</f>
        <v>567.77300000000002</v>
      </c>
      <c r="N14" s="168" t="s">
        <v>134</v>
      </c>
      <c r="O14" s="172"/>
      <c r="P14" s="172"/>
      <c r="Q14" s="172"/>
      <c r="R14" s="172"/>
      <c r="S14" s="173" t="s">
        <v>134</v>
      </c>
      <c r="T14" s="174"/>
      <c r="U14" s="175"/>
      <c r="V14" s="176">
        <v>55.082000000000001</v>
      </c>
      <c r="W14" s="171" t="s">
        <v>134</v>
      </c>
      <c r="X14" s="176">
        <v>583.79999999999995</v>
      </c>
      <c r="Y14" s="177">
        <v>291.89999999999998</v>
      </c>
      <c r="Z14" s="167">
        <v>156</v>
      </c>
      <c r="AA14" s="168">
        <v>184</v>
      </c>
      <c r="AB14" s="171">
        <v>340</v>
      </c>
      <c r="AC14" s="167">
        <v>145</v>
      </c>
      <c r="AD14" s="168">
        <v>177</v>
      </c>
      <c r="AE14" s="171">
        <v>322</v>
      </c>
      <c r="AF14" s="178" t="s">
        <v>583</v>
      </c>
      <c r="AG14" s="179" t="s">
        <v>584</v>
      </c>
      <c r="AH14" s="180">
        <v>288972.71799999999</v>
      </c>
      <c r="AI14" s="180">
        <v>2864236.5389999999</v>
      </c>
      <c r="AJ14" s="199"/>
      <c r="AK14" s="182" t="s">
        <v>577</v>
      </c>
      <c r="AL14" s="165"/>
      <c r="AM14" s="166"/>
    </row>
    <row r="15" spans="1:39" ht="31.15" customHeight="1">
      <c r="A15" s="167"/>
      <c r="B15" s="168" t="s">
        <v>134</v>
      </c>
      <c r="C15" s="168"/>
      <c r="D15" s="168"/>
      <c r="E15" s="169"/>
      <c r="F15" s="170">
        <v>330.8</v>
      </c>
      <c r="G15" s="171"/>
      <c r="H15" s="167" t="s">
        <v>134</v>
      </c>
      <c r="I15" s="168"/>
      <c r="J15" s="168"/>
      <c r="K15" s="168"/>
      <c r="L15" s="170">
        <v>330.8</v>
      </c>
      <c r="M15" s="168"/>
      <c r="N15" s="168"/>
      <c r="O15" s="172"/>
      <c r="P15" s="172"/>
      <c r="Q15" s="172"/>
      <c r="R15" s="172"/>
      <c r="S15" s="173"/>
      <c r="T15" s="174"/>
      <c r="U15" s="175"/>
      <c r="V15" s="176"/>
      <c r="W15" s="171"/>
      <c r="X15" s="176"/>
      <c r="Y15" s="177"/>
      <c r="Z15" s="167"/>
      <c r="AA15" s="168"/>
      <c r="AB15" s="171"/>
      <c r="AC15" s="167"/>
      <c r="AD15" s="168"/>
      <c r="AE15" s="171"/>
      <c r="AF15" s="178"/>
      <c r="AG15" s="179"/>
      <c r="AH15" s="180"/>
      <c r="AI15" s="180"/>
      <c r="AJ15" s="181" t="s">
        <v>585</v>
      </c>
      <c r="AK15" s="182"/>
      <c r="AL15" s="165"/>
      <c r="AM15" s="166"/>
    </row>
    <row r="16" spans="1:39" ht="15.75">
      <c r="A16" s="183">
        <v>4</v>
      </c>
      <c r="B16" s="184" t="s">
        <v>192</v>
      </c>
      <c r="C16" s="184" t="s">
        <v>64</v>
      </c>
      <c r="D16" s="184" t="s">
        <v>586</v>
      </c>
      <c r="E16" s="185" t="s">
        <v>134</v>
      </c>
      <c r="F16" s="186"/>
      <c r="G16" s="187">
        <f t="shared" ref="G16" si="4">G14+F15</f>
        <v>898.57300000000009</v>
      </c>
      <c r="H16" s="183" t="s">
        <v>192</v>
      </c>
      <c r="I16" s="184" t="s">
        <v>64</v>
      </c>
      <c r="J16" s="184" t="s">
        <v>586</v>
      </c>
      <c r="K16" s="184">
        <v>38.33</v>
      </c>
      <c r="L16" s="186"/>
      <c r="M16" s="186">
        <f t="shared" ref="M16" si="5">M14+L15</f>
        <v>898.57300000000009</v>
      </c>
      <c r="N16" s="186">
        <f>SUM(L12:L15)</f>
        <v>583.79999999999995</v>
      </c>
      <c r="O16" s="188"/>
      <c r="P16" s="188"/>
      <c r="Q16" s="188"/>
      <c r="R16" s="188"/>
      <c r="S16" s="189" t="s">
        <v>134</v>
      </c>
      <c r="T16" s="190"/>
      <c r="U16" s="191"/>
      <c r="V16" s="192">
        <v>55.472000000000001</v>
      </c>
      <c r="W16" s="193" t="s">
        <v>587</v>
      </c>
      <c r="X16" s="192">
        <v>548.79999999999995</v>
      </c>
      <c r="Y16" s="187">
        <v>274.39999999999998</v>
      </c>
      <c r="Z16" s="183">
        <v>147</v>
      </c>
      <c r="AA16" s="184">
        <v>95</v>
      </c>
      <c r="AB16" s="193">
        <v>242</v>
      </c>
      <c r="AC16" s="183">
        <v>154</v>
      </c>
      <c r="AD16" s="184">
        <v>102</v>
      </c>
      <c r="AE16" s="193">
        <v>257</v>
      </c>
      <c r="AF16" s="194" t="s">
        <v>588</v>
      </c>
      <c r="AG16" s="195" t="s">
        <v>589</v>
      </c>
      <c r="AH16" s="196">
        <v>288642.478</v>
      </c>
      <c r="AI16" s="196">
        <v>2864255.7880000002</v>
      </c>
      <c r="AJ16" s="197"/>
      <c r="AK16" s="198" t="s">
        <v>590</v>
      </c>
      <c r="AL16" s="165"/>
      <c r="AM16" s="166"/>
    </row>
    <row r="17" spans="1:39" ht="15.75">
      <c r="A17" s="167"/>
      <c r="B17" s="168" t="s">
        <v>134</v>
      </c>
      <c r="C17" s="168"/>
      <c r="D17" s="168"/>
      <c r="E17" s="169"/>
      <c r="F17" s="170">
        <v>218</v>
      </c>
      <c r="G17" s="171"/>
      <c r="H17" s="167" t="s">
        <v>134</v>
      </c>
      <c r="I17" s="168"/>
      <c r="J17" s="168"/>
      <c r="K17" s="168"/>
      <c r="L17" s="170">
        <v>218</v>
      </c>
      <c r="M17" s="168"/>
      <c r="N17" s="168"/>
      <c r="O17" s="172"/>
      <c r="P17" s="172"/>
      <c r="Q17" s="172"/>
      <c r="R17" s="172"/>
      <c r="S17" s="173"/>
      <c r="T17" s="174"/>
      <c r="U17" s="175"/>
      <c r="V17" s="176"/>
      <c r="W17" s="171"/>
      <c r="X17" s="176"/>
      <c r="Y17" s="177"/>
      <c r="Z17" s="167"/>
      <c r="AA17" s="168"/>
      <c r="AB17" s="171"/>
      <c r="AC17" s="167"/>
      <c r="AD17" s="168"/>
      <c r="AE17" s="171"/>
      <c r="AF17" s="178"/>
      <c r="AG17" s="179"/>
      <c r="AH17" s="180"/>
      <c r="AI17" s="180"/>
      <c r="AJ17" s="181"/>
      <c r="AK17" s="182"/>
      <c r="AL17" s="165"/>
      <c r="AM17" s="166"/>
    </row>
    <row r="18" spans="1:39" ht="15.75">
      <c r="A18" s="167">
        <v>5</v>
      </c>
      <c r="B18" s="168" t="s">
        <v>134</v>
      </c>
      <c r="C18" s="168" t="s">
        <v>198</v>
      </c>
      <c r="D18" s="168" t="s">
        <v>591</v>
      </c>
      <c r="E18" s="169" t="s">
        <v>134</v>
      </c>
      <c r="F18" s="170"/>
      <c r="G18" s="177">
        <f t="shared" ref="G18" si="6">G16+F17</f>
        <v>1116.5730000000001</v>
      </c>
      <c r="H18" s="167" t="s">
        <v>134</v>
      </c>
      <c r="I18" s="168" t="s">
        <v>198</v>
      </c>
      <c r="J18" s="168" t="s">
        <v>591</v>
      </c>
      <c r="K18" s="168">
        <v>37.53</v>
      </c>
      <c r="L18" s="170"/>
      <c r="M18" s="170">
        <f t="shared" ref="M18" si="7">M16+L17</f>
        <v>1116.5730000000001</v>
      </c>
      <c r="N18" s="168" t="s">
        <v>134</v>
      </c>
      <c r="O18" s="172"/>
      <c r="P18" s="172"/>
      <c r="Q18" s="172"/>
      <c r="R18" s="172"/>
      <c r="S18" s="173" t="s">
        <v>134</v>
      </c>
      <c r="T18" s="174"/>
      <c r="U18" s="175"/>
      <c r="V18" s="176">
        <v>56.622</v>
      </c>
      <c r="W18" s="171" t="s">
        <v>134</v>
      </c>
      <c r="X18" s="176">
        <v>438.351</v>
      </c>
      <c r="Y18" s="177">
        <v>219.1755</v>
      </c>
      <c r="Z18" s="167">
        <v>123</v>
      </c>
      <c r="AA18" s="168">
        <v>120</v>
      </c>
      <c r="AB18" s="171">
        <v>243</v>
      </c>
      <c r="AC18" s="167">
        <v>116</v>
      </c>
      <c r="AD18" s="168">
        <v>115</v>
      </c>
      <c r="AE18" s="171">
        <v>231</v>
      </c>
      <c r="AF18" s="178" t="s">
        <v>592</v>
      </c>
      <c r="AG18" s="179" t="s">
        <v>593</v>
      </c>
      <c r="AH18" s="180">
        <v>288466.79800000001</v>
      </c>
      <c r="AI18" s="180">
        <v>2864384.8640000001</v>
      </c>
      <c r="AJ18" s="199"/>
      <c r="AK18" s="182" t="s">
        <v>594</v>
      </c>
      <c r="AL18" s="165"/>
      <c r="AM18" s="166"/>
    </row>
    <row r="19" spans="1:39" ht="15.75">
      <c r="A19" s="167"/>
      <c r="B19" s="168" t="s">
        <v>134</v>
      </c>
      <c r="C19" s="168"/>
      <c r="D19" s="168"/>
      <c r="E19" s="169"/>
      <c r="F19" s="170">
        <v>220.351</v>
      </c>
      <c r="G19" s="171"/>
      <c r="H19" s="167" t="s">
        <v>134</v>
      </c>
      <c r="I19" s="168"/>
      <c r="J19" s="168"/>
      <c r="K19" s="168"/>
      <c r="L19" s="170">
        <v>220.351</v>
      </c>
      <c r="M19" s="168"/>
      <c r="N19" s="168"/>
      <c r="O19" s="172"/>
      <c r="P19" s="172"/>
      <c r="Q19" s="172"/>
      <c r="R19" s="172"/>
      <c r="S19" s="173"/>
      <c r="T19" s="174"/>
      <c r="U19" s="175"/>
      <c r="V19" s="176"/>
      <c r="W19" s="171"/>
      <c r="X19" s="176"/>
      <c r="Y19" s="177"/>
      <c r="Z19" s="167"/>
      <c r="AA19" s="168"/>
      <c r="AB19" s="171"/>
      <c r="AC19" s="167"/>
      <c r="AD19" s="168"/>
      <c r="AE19" s="171"/>
      <c r="AF19" s="178"/>
      <c r="AG19" s="179"/>
      <c r="AH19" s="180"/>
      <c r="AI19" s="180"/>
      <c r="AJ19" s="181"/>
      <c r="AK19" s="182"/>
      <c r="AL19" s="165"/>
      <c r="AM19" s="166"/>
    </row>
    <row r="20" spans="1:39" ht="15.75">
      <c r="A20" s="183">
        <v>6</v>
      </c>
      <c r="B20" s="184" t="s">
        <v>207</v>
      </c>
      <c r="C20" s="184" t="s">
        <v>65</v>
      </c>
      <c r="D20" s="184" t="s">
        <v>573</v>
      </c>
      <c r="E20" s="185" t="s">
        <v>134</v>
      </c>
      <c r="F20" s="186"/>
      <c r="G20" s="187">
        <f t="shared" ref="G20" si="8">G18+F19</f>
        <v>1336.924</v>
      </c>
      <c r="H20" s="183" t="s">
        <v>207</v>
      </c>
      <c r="I20" s="184" t="s">
        <v>65</v>
      </c>
      <c r="J20" s="184" t="s">
        <v>573</v>
      </c>
      <c r="K20" s="184">
        <v>38.33</v>
      </c>
      <c r="L20" s="186"/>
      <c r="M20" s="186">
        <f t="shared" ref="M20" si="9">M18+L19</f>
        <v>1336.924</v>
      </c>
      <c r="N20" s="186">
        <f>SUM(L16:L19)</f>
        <v>438.351</v>
      </c>
      <c r="O20" s="188"/>
      <c r="P20" s="188"/>
      <c r="Q20" s="188"/>
      <c r="R20" s="188"/>
      <c r="S20" s="189" t="s">
        <v>134</v>
      </c>
      <c r="T20" s="190"/>
      <c r="U20" s="191"/>
      <c r="V20" s="192">
        <v>55.875999999999998</v>
      </c>
      <c r="W20" s="193" t="s">
        <v>595</v>
      </c>
      <c r="X20" s="192">
        <v>410.351</v>
      </c>
      <c r="Y20" s="187">
        <v>205.1755</v>
      </c>
      <c r="Z20" s="183">
        <v>101</v>
      </c>
      <c r="AA20" s="184">
        <v>55</v>
      </c>
      <c r="AB20" s="193">
        <v>156</v>
      </c>
      <c r="AC20" s="183">
        <v>106</v>
      </c>
      <c r="AD20" s="184">
        <v>72</v>
      </c>
      <c r="AE20" s="193">
        <v>178</v>
      </c>
      <c r="AF20" s="194" t="s">
        <v>596</v>
      </c>
      <c r="AG20" s="195" t="s">
        <v>597</v>
      </c>
      <c r="AH20" s="196">
        <v>288289.22399999999</v>
      </c>
      <c r="AI20" s="196">
        <v>2864515.3319999999</v>
      </c>
      <c r="AJ20" s="197"/>
      <c r="AK20" s="198" t="s">
        <v>594</v>
      </c>
      <c r="AL20" s="165"/>
      <c r="AM20" s="166"/>
    </row>
    <row r="21" spans="1:39" ht="15.75">
      <c r="A21" s="167"/>
      <c r="B21" s="168" t="s">
        <v>134</v>
      </c>
      <c r="C21" s="168"/>
      <c r="D21" s="168"/>
      <c r="E21" s="169"/>
      <c r="F21" s="170">
        <v>190</v>
      </c>
      <c r="G21" s="171"/>
      <c r="H21" s="167" t="s">
        <v>134</v>
      </c>
      <c r="I21" s="168"/>
      <c r="J21" s="168"/>
      <c r="K21" s="168"/>
      <c r="L21" s="170">
        <v>190</v>
      </c>
      <c r="M21" s="168"/>
      <c r="N21" s="168"/>
      <c r="O21" s="172"/>
      <c r="P21" s="172"/>
      <c r="Q21" s="172"/>
      <c r="R21" s="172"/>
      <c r="S21" s="173"/>
      <c r="T21" s="174"/>
      <c r="U21" s="175"/>
      <c r="V21" s="176"/>
      <c r="W21" s="171"/>
      <c r="X21" s="176"/>
      <c r="Y21" s="177"/>
      <c r="Z21" s="167"/>
      <c r="AA21" s="168"/>
      <c r="AB21" s="171"/>
      <c r="AC21" s="167"/>
      <c r="AD21" s="168"/>
      <c r="AE21" s="171"/>
      <c r="AF21" s="178"/>
      <c r="AG21" s="179"/>
      <c r="AH21" s="180"/>
      <c r="AI21" s="180"/>
      <c r="AJ21" s="181"/>
      <c r="AK21" s="182"/>
      <c r="AL21" s="165"/>
      <c r="AM21" s="166"/>
    </row>
    <row r="22" spans="1:39" ht="61.9" customHeight="1">
      <c r="A22" s="167">
        <v>7</v>
      </c>
      <c r="B22" s="168" t="s">
        <v>134</v>
      </c>
      <c r="C22" s="168" t="s">
        <v>598</v>
      </c>
      <c r="D22" s="168" t="s">
        <v>582</v>
      </c>
      <c r="E22" s="169" t="s">
        <v>134</v>
      </c>
      <c r="F22" s="170"/>
      <c r="G22" s="177">
        <f t="shared" ref="G22" si="10">G20+F21</f>
        <v>1526.924</v>
      </c>
      <c r="H22" s="167" t="s">
        <v>134</v>
      </c>
      <c r="I22" s="168" t="s">
        <v>598</v>
      </c>
      <c r="J22" s="168" t="s">
        <v>582</v>
      </c>
      <c r="K22" s="168">
        <v>40.53</v>
      </c>
      <c r="L22" s="170"/>
      <c r="M22" s="170">
        <f t="shared" ref="M22" si="11">M20+L21</f>
        <v>1526.924</v>
      </c>
      <c r="N22" s="168" t="s">
        <v>134</v>
      </c>
      <c r="O22" s="172"/>
      <c r="P22" s="172"/>
      <c r="Q22" s="172"/>
      <c r="R22" s="172"/>
      <c r="S22" s="173" t="s">
        <v>134</v>
      </c>
      <c r="T22" s="174"/>
      <c r="U22" s="175"/>
      <c r="V22" s="176">
        <v>56.057000000000002</v>
      </c>
      <c r="W22" s="171" t="s">
        <v>134</v>
      </c>
      <c r="X22" s="176">
        <v>450</v>
      </c>
      <c r="Y22" s="177">
        <v>225</v>
      </c>
      <c r="Z22" s="167">
        <v>135</v>
      </c>
      <c r="AA22" s="168">
        <v>100</v>
      </c>
      <c r="AB22" s="171">
        <v>235</v>
      </c>
      <c r="AC22" s="167">
        <v>118</v>
      </c>
      <c r="AD22" s="168">
        <v>113</v>
      </c>
      <c r="AE22" s="171">
        <v>231</v>
      </c>
      <c r="AF22" s="178" t="s">
        <v>599</v>
      </c>
      <c r="AG22" s="179" t="s">
        <v>600</v>
      </c>
      <c r="AH22" s="180">
        <v>288104.125</v>
      </c>
      <c r="AI22" s="180">
        <v>2864558.2080000001</v>
      </c>
      <c r="AJ22" s="200" t="s">
        <v>601</v>
      </c>
      <c r="AK22" s="182" t="s">
        <v>594</v>
      </c>
      <c r="AL22" s="165"/>
      <c r="AM22" s="166"/>
    </row>
    <row r="23" spans="1:39" ht="15.75">
      <c r="A23" s="167"/>
      <c r="B23" s="168" t="s">
        <v>134</v>
      </c>
      <c r="C23" s="168"/>
      <c r="D23" s="168"/>
      <c r="E23" s="169"/>
      <c r="F23" s="170">
        <v>260</v>
      </c>
      <c r="G23" s="171"/>
      <c r="H23" s="167" t="s">
        <v>134</v>
      </c>
      <c r="I23" s="168"/>
      <c r="J23" s="168"/>
      <c r="K23" s="168"/>
      <c r="L23" s="170">
        <v>260</v>
      </c>
      <c r="M23" s="168"/>
      <c r="N23" s="168"/>
      <c r="O23" s="172"/>
      <c r="P23" s="172"/>
      <c r="Q23" s="172"/>
      <c r="R23" s="172"/>
      <c r="S23" s="173"/>
      <c r="T23" s="174"/>
      <c r="U23" s="175"/>
      <c r="V23" s="176"/>
      <c r="W23" s="171"/>
      <c r="X23" s="176"/>
      <c r="Y23" s="177"/>
      <c r="Z23" s="167"/>
      <c r="AA23" s="168"/>
      <c r="AB23" s="171"/>
      <c r="AC23" s="167"/>
      <c r="AD23" s="168"/>
      <c r="AE23" s="171"/>
      <c r="AF23" s="178"/>
      <c r="AG23" s="179"/>
      <c r="AH23" s="180"/>
      <c r="AI23" s="180"/>
      <c r="AJ23" s="181" t="s">
        <v>578</v>
      </c>
      <c r="AK23" s="182"/>
      <c r="AL23" s="165"/>
      <c r="AM23" s="166"/>
    </row>
    <row r="24" spans="1:39" ht="15.75">
      <c r="A24" s="167">
        <v>8</v>
      </c>
      <c r="B24" s="168" t="s">
        <v>134</v>
      </c>
      <c r="C24" s="168" t="s">
        <v>602</v>
      </c>
      <c r="D24" s="168" t="s">
        <v>603</v>
      </c>
      <c r="E24" s="169" t="s">
        <v>134</v>
      </c>
      <c r="F24" s="170"/>
      <c r="G24" s="177">
        <f t="shared" ref="G24" si="12">G22+F23</f>
        <v>1786.924</v>
      </c>
      <c r="H24" s="167" t="s">
        <v>134</v>
      </c>
      <c r="I24" s="168" t="s">
        <v>602</v>
      </c>
      <c r="J24" s="168" t="s">
        <v>603</v>
      </c>
      <c r="K24" s="168">
        <v>43.53</v>
      </c>
      <c r="L24" s="170"/>
      <c r="M24" s="170">
        <f t="shared" ref="M24" si="13">M22+L23</f>
        <v>1786.924</v>
      </c>
      <c r="N24" s="168" t="s">
        <v>134</v>
      </c>
      <c r="O24" s="172"/>
      <c r="P24" s="172"/>
      <c r="Q24" s="172"/>
      <c r="R24" s="172"/>
      <c r="S24" s="173" t="s">
        <v>134</v>
      </c>
      <c r="T24" s="174"/>
      <c r="U24" s="175"/>
      <c r="V24" s="176">
        <v>56.426000000000002</v>
      </c>
      <c r="W24" s="171" t="s">
        <v>134</v>
      </c>
      <c r="X24" s="176">
        <v>583.05200000000002</v>
      </c>
      <c r="Y24" s="177">
        <v>291.52600000000001</v>
      </c>
      <c r="Z24" s="167">
        <v>160</v>
      </c>
      <c r="AA24" s="168">
        <v>170</v>
      </c>
      <c r="AB24" s="171">
        <v>330</v>
      </c>
      <c r="AC24" s="167">
        <v>148</v>
      </c>
      <c r="AD24" s="168">
        <v>167</v>
      </c>
      <c r="AE24" s="171">
        <v>314</v>
      </c>
      <c r="AF24" s="178" t="s">
        <v>604</v>
      </c>
      <c r="AG24" s="179" t="s">
        <v>605</v>
      </c>
      <c r="AH24" s="180">
        <v>287850.83199999999</v>
      </c>
      <c r="AI24" s="180">
        <v>2864616.8810000001</v>
      </c>
      <c r="AJ24" s="181"/>
      <c r="AK24" s="182" t="s">
        <v>590</v>
      </c>
      <c r="AL24" s="165"/>
      <c r="AM24" s="166"/>
    </row>
    <row r="25" spans="1:39" ht="31.15" customHeight="1">
      <c r="A25" s="167"/>
      <c r="B25" s="168" t="s">
        <v>134</v>
      </c>
      <c r="C25" s="168"/>
      <c r="D25" s="168"/>
      <c r="E25" s="169"/>
      <c r="F25" s="170">
        <v>323.05200000000002</v>
      </c>
      <c r="G25" s="171"/>
      <c r="H25" s="167" t="s">
        <v>134</v>
      </c>
      <c r="I25" s="168"/>
      <c r="J25" s="168"/>
      <c r="K25" s="168"/>
      <c r="L25" s="170">
        <v>323.05200000000002</v>
      </c>
      <c r="M25" s="168"/>
      <c r="N25" s="168"/>
      <c r="O25" s="172"/>
      <c r="P25" s="172"/>
      <c r="Q25" s="172"/>
      <c r="R25" s="172"/>
      <c r="S25" s="173"/>
      <c r="T25" s="174"/>
      <c r="U25" s="175"/>
      <c r="V25" s="176"/>
      <c r="W25" s="171"/>
      <c r="X25" s="176"/>
      <c r="Y25" s="177"/>
      <c r="Z25" s="167"/>
      <c r="AA25" s="168"/>
      <c r="AB25" s="171"/>
      <c r="AC25" s="167"/>
      <c r="AD25" s="168"/>
      <c r="AE25" s="171"/>
      <c r="AF25" s="178"/>
      <c r="AG25" s="179"/>
      <c r="AH25" s="180"/>
      <c r="AI25" s="180"/>
      <c r="AJ25" s="181" t="s">
        <v>606</v>
      </c>
      <c r="AK25" s="182"/>
      <c r="AL25" s="165"/>
      <c r="AM25" s="166"/>
    </row>
    <row r="26" spans="1:39" ht="15.75">
      <c r="A26" s="183">
        <v>9</v>
      </c>
      <c r="B26" s="184" t="s">
        <v>212</v>
      </c>
      <c r="C26" s="184" t="s">
        <v>213</v>
      </c>
      <c r="D26" s="184" t="s">
        <v>607</v>
      </c>
      <c r="E26" s="185" t="s">
        <v>134</v>
      </c>
      <c r="F26" s="186"/>
      <c r="G26" s="187">
        <f t="shared" ref="G26" si="14">G24+F25</f>
        <v>2109.9760000000001</v>
      </c>
      <c r="H26" s="183" t="s">
        <v>212</v>
      </c>
      <c r="I26" s="184" t="s">
        <v>213</v>
      </c>
      <c r="J26" s="184" t="s">
        <v>607</v>
      </c>
      <c r="K26" s="184">
        <v>44.33</v>
      </c>
      <c r="L26" s="186"/>
      <c r="M26" s="186">
        <f t="shared" ref="M26" si="15">M24+L25</f>
        <v>2109.9760000000001</v>
      </c>
      <c r="N26" s="186">
        <f>SUM(L20:L25)</f>
        <v>773.05200000000002</v>
      </c>
      <c r="O26" s="188"/>
      <c r="P26" s="188"/>
      <c r="Q26" s="188"/>
      <c r="R26" s="188"/>
      <c r="S26" s="189" t="s">
        <v>134</v>
      </c>
      <c r="T26" s="190"/>
      <c r="U26" s="191"/>
      <c r="V26" s="192">
        <v>55.334000000000003</v>
      </c>
      <c r="W26" s="193" t="s">
        <v>608</v>
      </c>
      <c r="X26" s="192">
        <v>569.07500000000005</v>
      </c>
      <c r="Y26" s="187">
        <v>284.53750000000002</v>
      </c>
      <c r="Z26" s="183">
        <v>153</v>
      </c>
      <c r="AA26" s="184">
        <v>189</v>
      </c>
      <c r="AB26" s="193">
        <v>342</v>
      </c>
      <c r="AC26" s="183">
        <v>157</v>
      </c>
      <c r="AD26" s="184">
        <v>159</v>
      </c>
      <c r="AE26" s="193">
        <v>316</v>
      </c>
      <c r="AF26" s="194" t="s">
        <v>609</v>
      </c>
      <c r="AG26" s="195" t="s">
        <v>610</v>
      </c>
      <c r="AH26" s="196">
        <v>287536.11300000001</v>
      </c>
      <c r="AI26" s="196">
        <v>2864689.7829999998</v>
      </c>
      <c r="AJ26" s="197"/>
      <c r="AK26" s="198" t="s">
        <v>590</v>
      </c>
      <c r="AL26" s="165"/>
      <c r="AM26" s="166"/>
    </row>
    <row r="27" spans="1:39" ht="15.75">
      <c r="A27" s="167"/>
      <c r="B27" s="168" t="s">
        <v>134</v>
      </c>
      <c r="C27" s="168"/>
      <c r="D27" s="168"/>
      <c r="E27" s="169"/>
      <c r="F27" s="170">
        <v>246.023</v>
      </c>
      <c r="G27" s="171"/>
      <c r="H27" s="167" t="s">
        <v>134</v>
      </c>
      <c r="I27" s="168"/>
      <c r="J27" s="168"/>
      <c r="K27" s="168"/>
      <c r="L27" s="170">
        <v>246.023</v>
      </c>
      <c r="M27" s="168"/>
      <c r="N27" s="168"/>
      <c r="O27" s="172"/>
      <c r="P27" s="172"/>
      <c r="Q27" s="172"/>
      <c r="R27" s="172"/>
      <c r="S27" s="173"/>
      <c r="T27" s="174"/>
      <c r="U27" s="175"/>
      <c r="V27" s="176"/>
      <c r="W27" s="171"/>
      <c r="X27" s="176"/>
      <c r="Y27" s="177"/>
      <c r="Z27" s="167"/>
      <c r="AA27" s="168"/>
      <c r="AB27" s="171"/>
      <c r="AC27" s="167"/>
      <c r="AD27" s="168"/>
      <c r="AE27" s="171"/>
      <c r="AF27" s="178"/>
      <c r="AG27" s="179"/>
      <c r="AH27" s="180"/>
      <c r="AI27" s="180"/>
      <c r="AJ27" s="181" t="s">
        <v>217</v>
      </c>
      <c r="AK27" s="182"/>
      <c r="AL27" s="165"/>
      <c r="AM27" s="166"/>
    </row>
    <row r="28" spans="1:39" ht="15.75">
      <c r="A28" s="183">
        <v>10</v>
      </c>
      <c r="B28" s="184" t="s">
        <v>218</v>
      </c>
      <c r="C28" s="184" t="s">
        <v>66</v>
      </c>
      <c r="D28" s="184" t="s">
        <v>586</v>
      </c>
      <c r="E28" s="185" t="s">
        <v>134</v>
      </c>
      <c r="F28" s="186"/>
      <c r="G28" s="187">
        <f t="shared" ref="G28" si="16">G26+F27</f>
        <v>2355.9990000000003</v>
      </c>
      <c r="H28" s="183" t="s">
        <v>218</v>
      </c>
      <c r="I28" s="184" t="s">
        <v>66</v>
      </c>
      <c r="J28" s="184" t="s">
        <v>586</v>
      </c>
      <c r="K28" s="184">
        <v>38.33</v>
      </c>
      <c r="L28" s="186"/>
      <c r="M28" s="186">
        <f t="shared" ref="M28" si="17">M26+L27</f>
        <v>2355.9990000000003</v>
      </c>
      <c r="N28" s="186">
        <f>SUM(L26:L27)</f>
        <v>246.023</v>
      </c>
      <c r="O28" s="188"/>
      <c r="P28" s="188"/>
      <c r="Q28" s="188"/>
      <c r="R28" s="188"/>
      <c r="S28" s="189" t="s">
        <v>134</v>
      </c>
      <c r="T28" s="190"/>
      <c r="U28" s="191"/>
      <c r="V28" s="192">
        <v>54.551000000000002</v>
      </c>
      <c r="W28" s="193" t="s">
        <v>611</v>
      </c>
      <c r="X28" s="192">
        <v>501.02300000000002</v>
      </c>
      <c r="Y28" s="187">
        <v>250.51150000000001</v>
      </c>
      <c r="Z28" s="183">
        <v>57</v>
      </c>
      <c r="AA28" s="184">
        <v>102</v>
      </c>
      <c r="AB28" s="193">
        <v>159</v>
      </c>
      <c r="AC28" s="183">
        <v>88</v>
      </c>
      <c r="AD28" s="184">
        <v>114</v>
      </c>
      <c r="AE28" s="193">
        <v>202</v>
      </c>
      <c r="AF28" s="194" t="s">
        <v>612</v>
      </c>
      <c r="AG28" s="195" t="s">
        <v>613</v>
      </c>
      <c r="AH28" s="196">
        <v>287352.28399999999</v>
      </c>
      <c r="AI28" s="196">
        <v>2864853.2889999999</v>
      </c>
      <c r="AJ28" s="197"/>
      <c r="AK28" s="198" t="s">
        <v>614</v>
      </c>
      <c r="AL28" s="165"/>
      <c r="AM28" s="166"/>
    </row>
    <row r="29" spans="1:39" ht="15.75">
      <c r="A29" s="167"/>
      <c r="B29" s="168" t="s">
        <v>134</v>
      </c>
      <c r="C29" s="168"/>
      <c r="D29" s="168"/>
      <c r="E29" s="169"/>
      <c r="F29" s="170">
        <v>255</v>
      </c>
      <c r="G29" s="171"/>
      <c r="H29" s="167" t="s">
        <v>134</v>
      </c>
      <c r="I29" s="168"/>
      <c r="J29" s="168"/>
      <c r="K29" s="168"/>
      <c r="L29" s="170">
        <v>255</v>
      </c>
      <c r="M29" s="168"/>
      <c r="N29" s="168"/>
      <c r="O29" s="172"/>
      <c r="P29" s="172"/>
      <c r="Q29" s="172"/>
      <c r="R29" s="172"/>
      <c r="S29" s="173"/>
      <c r="T29" s="174"/>
      <c r="U29" s="175"/>
      <c r="V29" s="176"/>
      <c r="W29" s="171"/>
      <c r="X29" s="176"/>
      <c r="Y29" s="177"/>
      <c r="Z29" s="167"/>
      <c r="AA29" s="168"/>
      <c r="AB29" s="171"/>
      <c r="AC29" s="167"/>
      <c r="AD29" s="168"/>
      <c r="AE29" s="171"/>
      <c r="AF29" s="178"/>
      <c r="AG29" s="179"/>
      <c r="AH29" s="180"/>
      <c r="AI29" s="180"/>
      <c r="AJ29" s="181" t="s">
        <v>615</v>
      </c>
      <c r="AK29" s="182"/>
      <c r="AL29" s="165"/>
      <c r="AM29" s="166"/>
    </row>
    <row r="30" spans="1:39" ht="65.45" customHeight="1">
      <c r="A30" s="167">
        <v>11</v>
      </c>
      <c r="B30" s="168" t="s">
        <v>134</v>
      </c>
      <c r="C30" s="168" t="s">
        <v>616</v>
      </c>
      <c r="D30" s="168" t="s">
        <v>582</v>
      </c>
      <c r="E30" s="169" t="s">
        <v>134</v>
      </c>
      <c r="F30" s="170"/>
      <c r="G30" s="177">
        <f t="shared" ref="G30" si="18">G28+F29</f>
        <v>2610.9990000000003</v>
      </c>
      <c r="H30" s="167" t="s">
        <v>134</v>
      </c>
      <c r="I30" s="168" t="s">
        <v>616</v>
      </c>
      <c r="J30" s="168" t="s">
        <v>582</v>
      </c>
      <c r="K30" s="168">
        <v>40.53</v>
      </c>
      <c r="L30" s="170"/>
      <c r="M30" s="170">
        <f t="shared" ref="M30" si="19">M28+L29</f>
        <v>2610.9990000000003</v>
      </c>
      <c r="N30" s="168" t="s">
        <v>134</v>
      </c>
      <c r="O30" s="172"/>
      <c r="P30" s="172"/>
      <c r="Q30" s="172"/>
      <c r="R30" s="172"/>
      <c r="S30" s="173" t="s">
        <v>134</v>
      </c>
      <c r="T30" s="174"/>
      <c r="U30" s="175"/>
      <c r="V30" s="176">
        <v>54.201000000000001</v>
      </c>
      <c r="W30" s="171" t="s">
        <v>134</v>
      </c>
      <c r="X30" s="176">
        <v>407</v>
      </c>
      <c r="Y30" s="177">
        <v>203.5</v>
      </c>
      <c r="Z30" s="167">
        <v>153</v>
      </c>
      <c r="AA30" s="168">
        <v>70</v>
      </c>
      <c r="AB30" s="171">
        <v>223</v>
      </c>
      <c r="AC30" s="167">
        <v>142</v>
      </c>
      <c r="AD30" s="168">
        <v>73</v>
      </c>
      <c r="AE30" s="171">
        <v>215</v>
      </c>
      <c r="AF30" s="178" t="s">
        <v>617</v>
      </c>
      <c r="AG30" s="179" t="s">
        <v>618</v>
      </c>
      <c r="AH30" s="180">
        <v>287281.05800000002</v>
      </c>
      <c r="AI30" s="180">
        <v>2865098.14</v>
      </c>
      <c r="AJ30" s="200" t="s">
        <v>601</v>
      </c>
      <c r="AK30" s="182" t="s">
        <v>619</v>
      </c>
      <c r="AL30" s="165"/>
      <c r="AM30" s="166"/>
    </row>
    <row r="31" spans="1:39" ht="15.75">
      <c r="A31" s="167"/>
      <c r="B31" s="168" t="s">
        <v>134</v>
      </c>
      <c r="C31" s="168"/>
      <c r="D31" s="168"/>
      <c r="E31" s="169"/>
      <c r="F31" s="170">
        <v>152</v>
      </c>
      <c r="G31" s="171"/>
      <c r="H31" s="167" t="s">
        <v>134</v>
      </c>
      <c r="I31" s="168"/>
      <c r="J31" s="168"/>
      <c r="K31" s="168"/>
      <c r="L31" s="170">
        <v>152</v>
      </c>
      <c r="M31" s="168"/>
      <c r="N31" s="168"/>
      <c r="O31" s="172"/>
      <c r="P31" s="172"/>
      <c r="Q31" s="172"/>
      <c r="R31" s="172"/>
      <c r="S31" s="173"/>
      <c r="T31" s="174"/>
      <c r="U31" s="175"/>
      <c r="V31" s="176"/>
      <c r="W31" s="171"/>
      <c r="X31" s="176"/>
      <c r="Y31" s="177"/>
      <c r="Z31" s="167"/>
      <c r="AA31" s="168"/>
      <c r="AB31" s="171"/>
      <c r="AC31" s="167"/>
      <c r="AD31" s="168"/>
      <c r="AE31" s="171"/>
      <c r="AF31" s="178"/>
      <c r="AG31" s="179"/>
      <c r="AH31" s="180"/>
      <c r="AI31" s="180"/>
      <c r="AJ31" s="181" t="s">
        <v>620</v>
      </c>
      <c r="AK31" s="182"/>
      <c r="AL31" s="165"/>
      <c r="AM31" s="166"/>
    </row>
    <row r="32" spans="1:39" ht="62.45" customHeight="1">
      <c r="A32" s="167">
        <v>12</v>
      </c>
      <c r="B32" s="168" t="s">
        <v>134</v>
      </c>
      <c r="C32" s="168" t="s">
        <v>621</v>
      </c>
      <c r="D32" s="168" t="s">
        <v>582</v>
      </c>
      <c r="E32" s="169" t="s">
        <v>134</v>
      </c>
      <c r="F32" s="170"/>
      <c r="G32" s="177">
        <f t="shared" ref="G32" si="20">G30+F31</f>
        <v>2762.9990000000003</v>
      </c>
      <c r="H32" s="167" t="s">
        <v>134</v>
      </c>
      <c r="I32" s="168" t="s">
        <v>621</v>
      </c>
      <c r="J32" s="168" t="s">
        <v>582</v>
      </c>
      <c r="K32" s="168">
        <v>40.53</v>
      </c>
      <c r="L32" s="170"/>
      <c r="M32" s="170">
        <f t="shared" ref="M32" si="21">M30+L31</f>
        <v>2762.9990000000003</v>
      </c>
      <c r="N32" s="168" t="s">
        <v>134</v>
      </c>
      <c r="O32" s="172"/>
      <c r="P32" s="172"/>
      <c r="Q32" s="172"/>
      <c r="R32" s="172"/>
      <c r="S32" s="173" t="s">
        <v>134</v>
      </c>
      <c r="T32" s="174"/>
      <c r="U32" s="175"/>
      <c r="V32" s="176">
        <v>54.569000000000003</v>
      </c>
      <c r="W32" s="171" t="s">
        <v>134</v>
      </c>
      <c r="X32" s="176">
        <v>446.49799999999999</v>
      </c>
      <c r="Y32" s="177">
        <v>223.249</v>
      </c>
      <c r="Z32" s="167">
        <v>82</v>
      </c>
      <c r="AA32" s="168">
        <v>172</v>
      </c>
      <c r="AB32" s="171">
        <v>253</v>
      </c>
      <c r="AC32" s="167">
        <v>79</v>
      </c>
      <c r="AD32" s="168">
        <v>161</v>
      </c>
      <c r="AE32" s="171">
        <v>240</v>
      </c>
      <c r="AF32" s="178" t="s">
        <v>622</v>
      </c>
      <c r="AG32" s="179" t="s">
        <v>623</v>
      </c>
      <c r="AH32" s="180">
        <v>287238.60100000002</v>
      </c>
      <c r="AI32" s="180">
        <v>2865244.0890000002</v>
      </c>
      <c r="AJ32" s="200" t="s">
        <v>601</v>
      </c>
      <c r="AK32" s="182" t="s">
        <v>619</v>
      </c>
      <c r="AL32" s="165"/>
      <c r="AM32" s="166"/>
    </row>
    <row r="33" spans="1:39" ht="30" customHeight="1">
      <c r="A33" s="167"/>
      <c r="B33" s="168" t="s">
        <v>134</v>
      </c>
      <c r="C33" s="168"/>
      <c r="D33" s="168"/>
      <c r="E33" s="169"/>
      <c r="F33" s="170">
        <v>294.49799999999999</v>
      </c>
      <c r="G33" s="171"/>
      <c r="H33" s="167" t="s">
        <v>134</v>
      </c>
      <c r="I33" s="168"/>
      <c r="J33" s="168"/>
      <c r="K33" s="168"/>
      <c r="L33" s="170">
        <v>294.49799999999999</v>
      </c>
      <c r="M33" s="168"/>
      <c r="N33" s="168"/>
      <c r="O33" s="172"/>
      <c r="P33" s="172"/>
      <c r="Q33" s="172"/>
      <c r="R33" s="172"/>
      <c r="S33" s="173"/>
      <c r="T33" s="174"/>
      <c r="U33" s="175"/>
      <c r="V33" s="176"/>
      <c r="W33" s="171"/>
      <c r="X33" s="176"/>
      <c r="Y33" s="177"/>
      <c r="Z33" s="167"/>
      <c r="AA33" s="168"/>
      <c r="AB33" s="171"/>
      <c r="AC33" s="167"/>
      <c r="AD33" s="168"/>
      <c r="AE33" s="171"/>
      <c r="AF33" s="178"/>
      <c r="AG33" s="179"/>
      <c r="AH33" s="180"/>
      <c r="AI33" s="180"/>
      <c r="AJ33" s="181" t="s">
        <v>624</v>
      </c>
      <c r="AK33" s="182"/>
      <c r="AL33" s="165"/>
      <c r="AM33" s="166"/>
    </row>
    <row r="34" spans="1:39" ht="15.75">
      <c r="A34" s="183">
        <v>13</v>
      </c>
      <c r="B34" s="184" t="s">
        <v>223</v>
      </c>
      <c r="C34" s="184" t="s">
        <v>224</v>
      </c>
      <c r="D34" s="184" t="s">
        <v>573</v>
      </c>
      <c r="E34" s="185" t="s">
        <v>134</v>
      </c>
      <c r="F34" s="186"/>
      <c r="G34" s="187">
        <f t="shared" ref="G34" si="22">G32+F33</f>
        <v>3057.4970000000003</v>
      </c>
      <c r="H34" s="183" t="s">
        <v>223</v>
      </c>
      <c r="I34" s="184" t="s">
        <v>224</v>
      </c>
      <c r="J34" s="184" t="s">
        <v>573</v>
      </c>
      <c r="K34" s="184">
        <v>38.33</v>
      </c>
      <c r="L34" s="186"/>
      <c r="M34" s="186">
        <f t="shared" ref="M34" si="23">M32+L33</f>
        <v>3057.4970000000003</v>
      </c>
      <c r="N34" s="186">
        <f>SUM(L28:L33)</f>
        <v>701.49800000000005</v>
      </c>
      <c r="O34" s="188"/>
      <c r="P34" s="188"/>
      <c r="Q34" s="188"/>
      <c r="R34" s="188"/>
      <c r="S34" s="189" t="s">
        <v>134</v>
      </c>
      <c r="T34" s="190"/>
      <c r="U34" s="191"/>
      <c r="V34" s="192">
        <v>54.658999999999999</v>
      </c>
      <c r="W34" s="193" t="s">
        <v>625</v>
      </c>
      <c r="X34" s="192">
        <v>563.49800000000005</v>
      </c>
      <c r="Y34" s="187">
        <v>281.74900000000002</v>
      </c>
      <c r="Z34" s="183">
        <v>123</v>
      </c>
      <c r="AA34" s="184">
        <v>110</v>
      </c>
      <c r="AB34" s="193">
        <v>233</v>
      </c>
      <c r="AC34" s="183">
        <v>134</v>
      </c>
      <c r="AD34" s="184">
        <v>120</v>
      </c>
      <c r="AE34" s="193">
        <v>254</v>
      </c>
      <c r="AF34" s="194" t="s">
        <v>626</v>
      </c>
      <c r="AG34" s="195" t="s">
        <v>627</v>
      </c>
      <c r="AH34" s="196">
        <v>287156.342</v>
      </c>
      <c r="AI34" s="196">
        <v>2865526.8659999999</v>
      </c>
      <c r="AJ34" s="197"/>
      <c r="AK34" s="198" t="s">
        <v>628</v>
      </c>
      <c r="AL34" s="165"/>
      <c r="AM34" s="166"/>
    </row>
    <row r="35" spans="1:39" ht="15.75">
      <c r="A35" s="167"/>
      <c r="B35" s="168" t="s">
        <v>134</v>
      </c>
      <c r="C35" s="168"/>
      <c r="D35" s="168"/>
      <c r="E35" s="169"/>
      <c r="F35" s="170">
        <v>269</v>
      </c>
      <c r="G35" s="171"/>
      <c r="H35" s="167" t="s">
        <v>134</v>
      </c>
      <c r="I35" s="168"/>
      <c r="J35" s="168"/>
      <c r="K35" s="168"/>
      <c r="L35" s="170">
        <v>269</v>
      </c>
      <c r="M35" s="168"/>
      <c r="N35" s="168"/>
      <c r="O35" s="172"/>
      <c r="P35" s="172"/>
      <c r="Q35" s="172"/>
      <c r="R35" s="172"/>
      <c r="S35" s="173"/>
      <c r="T35" s="174"/>
      <c r="U35" s="175"/>
      <c r="V35" s="176"/>
      <c r="W35" s="171"/>
      <c r="X35" s="176"/>
      <c r="Y35" s="177"/>
      <c r="Z35" s="167"/>
      <c r="AA35" s="168"/>
      <c r="AB35" s="171"/>
      <c r="AC35" s="167"/>
      <c r="AD35" s="168"/>
      <c r="AE35" s="171"/>
      <c r="AF35" s="178"/>
      <c r="AG35" s="179"/>
      <c r="AH35" s="180"/>
      <c r="AI35" s="180"/>
      <c r="AJ35" s="181" t="s">
        <v>313</v>
      </c>
      <c r="AK35" s="182"/>
      <c r="AL35" s="165"/>
      <c r="AM35" s="166"/>
    </row>
    <row r="36" spans="1:39" ht="15.75">
      <c r="A36" s="167">
        <v>14</v>
      </c>
      <c r="B36" s="168" t="s">
        <v>134</v>
      </c>
      <c r="C36" s="168" t="s">
        <v>230</v>
      </c>
      <c r="D36" s="168" t="s">
        <v>582</v>
      </c>
      <c r="E36" s="169" t="s">
        <v>134</v>
      </c>
      <c r="F36" s="170"/>
      <c r="G36" s="177">
        <f t="shared" ref="G36" si="24">G34+F35</f>
        <v>3326.4970000000003</v>
      </c>
      <c r="H36" s="167" t="s">
        <v>134</v>
      </c>
      <c r="I36" s="168" t="s">
        <v>230</v>
      </c>
      <c r="J36" s="168" t="s">
        <v>582</v>
      </c>
      <c r="K36" s="168">
        <v>40.53</v>
      </c>
      <c r="L36" s="170"/>
      <c r="M36" s="170">
        <f t="shared" ref="M36" si="25">M34+L35</f>
        <v>3326.4970000000003</v>
      </c>
      <c r="N36" s="168" t="s">
        <v>134</v>
      </c>
      <c r="O36" s="172"/>
      <c r="P36" s="172"/>
      <c r="Q36" s="172"/>
      <c r="R36" s="172"/>
      <c r="S36" s="173" t="s">
        <v>134</v>
      </c>
      <c r="T36" s="174"/>
      <c r="U36" s="175"/>
      <c r="V36" s="176">
        <v>54.457999999999998</v>
      </c>
      <c r="W36" s="171" t="s">
        <v>134</v>
      </c>
      <c r="X36" s="176">
        <v>602</v>
      </c>
      <c r="Y36" s="177">
        <v>301</v>
      </c>
      <c r="Z36" s="167">
        <v>159</v>
      </c>
      <c r="AA36" s="168">
        <v>168</v>
      </c>
      <c r="AB36" s="171">
        <v>327</v>
      </c>
      <c r="AC36" s="167">
        <v>149</v>
      </c>
      <c r="AD36" s="168">
        <v>168</v>
      </c>
      <c r="AE36" s="171">
        <v>317</v>
      </c>
      <c r="AF36" s="178" t="s">
        <v>629</v>
      </c>
      <c r="AG36" s="179" t="s">
        <v>630</v>
      </c>
      <c r="AH36" s="180">
        <v>287184.94500000001</v>
      </c>
      <c r="AI36" s="180">
        <v>2865794.341</v>
      </c>
      <c r="AJ36" s="181"/>
      <c r="AK36" s="182" t="s">
        <v>628</v>
      </c>
      <c r="AL36" s="165"/>
      <c r="AM36" s="166"/>
    </row>
    <row r="37" spans="1:39" ht="15.75">
      <c r="A37" s="167"/>
      <c r="B37" s="168" t="s">
        <v>134</v>
      </c>
      <c r="C37" s="168"/>
      <c r="D37" s="168"/>
      <c r="E37" s="169"/>
      <c r="F37" s="170">
        <v>333</v>
      </c>
      <c r="G37" s="171"/>
      <c r="H37" s="167" t="s">
        <v>134</v>
      </c>
      <c r="I37" s="168"/>
      <c r="J37" s="168"/>
      <c r="K37" s="168"/>
      <c r="L37" s="170">
        <v>333</v>
      </c>
      <c r="M37" s="168"/>
      <c r="N37" s="168"/>
      <c r="O37" s="172"/>
      <c r="P37" s="172"/>
      <c r="Q37" s="172"/>
      <c r="R37" s="172"/>
      <c r="S37" s="173"/>
      <c r="T37" s="174"/>
      <c r="U37" s="175"/>
      <c r="V37" s="176"/>
      <c r="W37" s="171"/>
      <c r="X37" s="176"/>
      <c r="Y37" s="177"/>
      <c r="Z37" s="167"/>
      <c r="AA37" s="168"/>
      <c r="AB37" s="171"/>
      <c r="AC37" s="167"/>
      <c r="AD37" s="168"/>
      <c r="AE37" s="171"/>
      <c r="AF37" s="178"/>
      <c r="AG37" s="179"/>
      <c r="AH37" s="180"/>
      <c r="AI37" s="180"/>
      <c r="AJ37" s="181" t="s">
        <v>578</v>
      </c>
      <c r="AK37" s="182"/>
      <c r="AL37" s="165"/>
      <c r="AM37" s="166"/>
    </row>
    <row r="38" spans="1:39" ht="15.75">
      <c r="A38" s="167">
        <v>15</v>
      </c>
      <c r="B38" s="168" t="s">
        <v>134</v>
      </c>
      <c r="C38" s="168" t="s">
        <v>234</v>
      </c>
      <c r="D38" s="168" t="s">
        <v>582</v>
      </c>
      <c r="E38" s="169" t="s">
        <v>134</v>
      </c>
      <c r="F38" s="170"/>
      <c r="G38" s="177">
        <f t="shared" ref="G38" si="26">G36+F37</f>
        <v>3659.4970000000003</v>
      </c>
      <c r="H38" s="167" t="s">
        <v>134</v>
      </c>
      <c r="I38" s="168" t="s">
        <v>234</v>
      </c>
      <c r="J38" s="168" t="s">
        <v>582</v>
      </c>
      <c r="K38" s="168">
        <v>40.53</v>
      </c>
      <c r="L38" s="170"/>
      <c r="M38" s="170">
        <f t="shared" ref="M38" si="27">M36+L37</f>
        <v>3659.4970000000003</v>
      </c>
      <c r="N38" s="168" t="s">
        <v>134</v>
      </c>
      <c r="O38" s="172"/>
      <c r="P38" s="172"/>
      <c r="Q38" s="172"/>
      <c r="R38" s="172"/>
      <c r="S38" s="173" t="s">
        <v>134</v>
      </c>
      <c r="T38" s="174"/>
      <c r="U38" s="175"/>
      <c r="V38" s="176">
        <v>54.264000000000003</v>
      </c>
      <c r="W38" s="171" t="s">
        <v>134</v>
      </c>
      <c r="X38" s="176">
        <v>590</v>
      </c>
      <c r="Y38" s="177">
        <v>295</v>
      </c>
      <c r="Z38" s="167">
        <v>165</v>
      </c>
      <c r="AA38" s="168">
        <v>147</v>
      </c>
      <c r="AB38" s="171">
        <v>312</v>
      </c>
      <c r="AC38" s="167">
        <v>166</v>
      </c>
      <c r="AD38" s="168">
        <v>140</v>
      </c>
      <c r="AE38" s="171">
        <v>306</v>
      </c>
      <c r="AF38" s="178" t="s">
        <v>631</v>
      </c>
      <c r="AG38" s="179" t="s">
        <v>632</v>
      </c>
      <c r="AH38" s="180">
        <v>287220.353</v>
      </c>
      <c r="AI38" s="180">
        <v>2866125.4530000002</v>
      </c>
      <c r="AJ38" s="181"/>
      <c r="AK38" s="182" t="s">
        <v>628</v>
      </c>
      <c r="AL38" s="165"/>
      <c r="AM38" s="166"/>
    </row>
    <row r="39" spans="1:39" ht="15.75">
      <c r="A39" s="167"/>
      <c r="B39" s="168" t="s">
        <v>134</v>
      </c>
      <c r="C39" s="168"/>
      <c r="D39" s="168"/>
      <c r="E39" s="169"/>
      <c r="F39" s="170">
        <v>257</v>
      </c>
      <c r="G39" s="171"/>
      <c r="H39" s="167" t="s">
        <v>134</v>
      </c>
      <c r="I39" s="168"/>
      <c r="J39" s="168"/>
      <c r="K39" s="168"/>
      <c r="L39" s="170">
        <v>257</v>
      </c>
      <c r="M39" s="168"/>
      <c r="N39" s="168"/>
      <c r="O39" s="172"/>
      <c r="P39" s="172"/>
      <c r="Q39" s="172"/>
      <c r="R39" s="172"/>
      <c r="S39" s="173"/>
      <c r="T39" s="174"/>
      <c r="U39" s="175"/>
      <c r="V39" s="176"/>
      <c r="W39" s="171"/>
      <c r="X39" s="176"/>
      <c r="Y39" s="177"/>
      <c r="Z39" s="167"/>
      <c r="AA39" s="168"/>
      <c r="AB39" s="171"/>
      <c r="AC39" s="167"/>
      <c r="AD39" s="168"/>
      <c r="AE39" s="171"/>
      <c r="AF39" s="178"/>
      <c r="AG39" s="179"/>
      <c r="AH39" s="180"/>
      <c r="AI39" s="180"/>
      <c r="AJ39" s="181" t="s">
        <v>633</v>
      </c>
      <c r="AK39" s="182"/>
      <c r="AL39" s="165"/>
      <c r="AM39" s="166"/>
    </row>
    <row r="40" spans="1:39" ht="15.75">
      <c r="A40" s="167">
        <v>16</v>
      </c>
      <c r="B40" s="168" t="s">
        <v>134</v>
      </c>
      <c r="C40" s="168" t="s">
        <v>239</v>
      </c>
      <c r="D40" s="168" t="s">
        <v>591</v>
      </c>
      <c r="E40" s="169" t="s">
        <v>134</v>
      </c>
      <c r="F40" s="170"/>
      <c r="G40" s="177">
        <f t="shared" ref="G40" si="28">G38+F39</f>
        <v>3916.4970000000003</v>
      </c>
      <c r="H40" s="167" t="s">
        <v>134</v>
      </c>
      <c r="I40" s="168" t="s">
        <v>239</v>
      </c>
      <c r="J40" s="168" t="s">
        <v>591</v>
      </c>
      <c r="K40" s="168">
        <v>37.53</v>
      </c>
      <c r="L40" s="170"/>
      <c r="M40" s="170">
        <f t="shared" ref="M40" si="29">M38+L39</f>
        <v>3916.4970000000003</v>
      </c>
      <c r="N40" s="168" t="s">
        <v>134</v>
      </c>
      <c r="O40" s="172"/>
      <c r="P40" s="172"/>
      <c r="Q40" s="172"/>
      <c r="R40" s="172"/>
      <c r="S40" s="173" t="s">
        <v>134</v>
      </c>
      <c r="T40" s="174"/>
      <c r="U40" s="175"/>
      <c r="V40" s="176">
        <v>55.203000000000003</v>
      </c>
      <c r="W40" s="171" t="s">
        <v>134</v>
      </c>
      <c r="X40" s="176">
        <v>554</v>
      </c>
      <c r="Y40" s="177">
        <v>277</v>
      </c>
      <c r="Z40" s="167">
        <v>110</v>
      </c>
      <c r="AA40" s="168">
        <v>153</v>
      </c>
      <c r="AB40" s="171">
        <v>263</v>
      </c>
      <c r="AC40" s="167">
        <v>118</v>
      </c>
      <c r="AD40" s="168">
        <v>151</v>
      </c>
      <c r="AE40" s="171">
        <v>269</v>
      </c>
      <c r="AF40" s="178" t="s">
        <v>634</v>
      </c>
      <c r="AG40" s="179" t="s">
        <v>635</v>
      </c>
      <c r="AH40" s="180">
        <v>287247.68</v>
      </c>
      <c r="AI40" s="180">
        <v>2866380.9959999998</v>
      </c>
      <c r="AJ40" s="199"/>
      <c r="AK40" s="182" t="s">
        <v>636</v>
      </c>
      <c r="AL40" s="165"/>
      <c r="AM40" s="166"/>
    </row>
    <row r="41" spans="1:39" ht="15.75">
      <c r="A41" s="167"/>
      <c r="B41" s="168" t="s">
        <v>134</v>
      </c>
      <c r="C41" s="168"/>
      <c r="D41" s="168"/>
      <c r="E41" s="169"/>
      <c r="F41" s="170">
        <v>297</v>
      </c>
      <c r="G41" s="171"/>
      <c r="H41" s="167" t="s">
        <v>134</v>
      </c>
      <c r="I41" s="168"/>
      <c r="J41" s="168"/>
      <c r="K41" s="168"/>
      <c r="L41" s="170">
        <v>297</v>
      </c>
      <c r="M41" s="168"/>
      <c r="N41" s="168"/>
      <c r="O41" s="172"/>
      <c r="P41" s="172"/>
      <c r="Q41" s="172"/>
      <c r="R41" s="172"/>
      <c r="S41" s="173"/>
      <c r="T41" s="174"/>
      <c r="U41" s="175"/>
      <c r="V41" s="176"/>
      <c r="W41" s="171"/>
      <c r="X41" s="176"/>
      <c r="Y41" s="177"/>
      <c r="Z41" s="167"/>
      <c r="AA41" s="168"/>
      <c r="AB41" s="171"/>
      <c r="AC41" s="167"/>
      <c r="AD41" s="168"/>
      <c r="AE41" s="171"/>
      <c r="AF41" s="178"/>
      <c r="AG41" s="179"/>
      <c r="AH41" s="180"/>
      <c r="AI41" s="180"/>
      <c r="AJ41" s="181"/>
      <c r="AK41" s="182"/>
      <c r="AL41" s="165"/>
      <c r="AM41" s="166"/>
    </row>
    <row r="42" spans="1:39" ht="15.75">
      <c r="A42" s="167">
        <v>17</v>
      </c>
      <c r="B42" s="168" t="s">
        <v>134</v>
      </c>
      <c r="C42" s="168" t="s">
        <v>637</v>
      </c>
      <c r="D42" s="168" t="s">
        <v>591</v>
      </c>
      <c r="E42" s="169" t="s">
        <v>134</v>
      </c>
      <c r="F42" s="170"/>
      <c r="G42" s="177">
        <f t="shared" ref="G42" si="30">G40+F41</f>
        <v>4213.4970000000003</v>
      </c>
      <c r="H42" s="167" t="s">
        <v>134</v>
      </c>
      <c r="I42" s="168" t="s">
        <v>637</v>
      </c>
      <c r="J42" s="168" t="s">
        <v>591</v>
      </c>
      <c r="K42" s="168">
        <v>37.53</v>
      </c>
      <c r="L42" s="170"/>
      <c r="M42" s="170">
        <f t="shared" ref="M42" si="31">M40+L41</f>
        <v>4213.4970000000003</v>
      </c>
      <c r="N42" s="168" t="s">
        <v>134</v>
      </c>
      <c r="O42" s="172"/>
      <c r="P42" s="172"/>
      <c r="Q42" s="172"/>
      <c r="R42" s="172"/>
      <c r="S42" s="173" t="s">
        <v>134</v>
      </c>
      <c r="T42" s="174"/>
      <c r="U42" s="175"/>
      <c r="V42" s="176">
        <v>54.618000000000002</v>
      </c>
      <c r="W42" s="171" t="s">
        <v>134</v>
      </c>
      <c r="X42" s="176">
        <v>588.08999999999992</v>
      </c>
      <c r="Y42" s="177">
        <v>294.04499999999996</v>
      </c>
      <c r="Z42" s="167">
        <v>144</v>
      </c>
      <c r="AA42" s="168">
        <v>144</v>
      </c>
      <c r="AB42" s="171">
        <v>288</v>
      </c>
      <c r="AC42" s="167">
        <v>146</v>
      </c>
      <c r="AD42" s="168">
        <v>145</v>
      </c>
      <c r="AE42" s="171">
        <v>291</v>
      </c>
      <c r="AF42" s="178" t="s">
        <v>638</v>
      </c>
      <c r="AG42" s="179" t="s">
        <v>639</v>
      </c>
      <c r="AH42" s="180">
        <v>287279.26</v>
      </c>
      <c r="AI42" s="180">
        <v>2866676.3119999999</v>
      </c>
      <c r="AJ42" s="181"/>
      <c r="AK42" s="182" t="s">
        <v>636</v>
      </c>
      <c r="AL42" s="165"/>
      <c r="AM42" s="166"/>
    </row>
    <row r="43" spans="1:39" ht="15.75">
      <c r="A43" s="167"/>
      <c r="B43" s="168" t="s">
        <v>134</v>
      </c>
      <c r="C43" s="168"/>
      <c r="D43" s="168"/>
      <c r="E43" s="169"/>
      <c r="F43" s="170">
        <v>291.08999999999997</v>
      </c>
      <c r="G43" s="171"/>
      <c r="H43" s="167" t="s">
        <v>134</v>
      </c>
      <c r="I43" s="168"/>
      <c r="J43" s="168"/>
      <c r="K43" s="168"/>
      <c r="L43" s="170">
        <v>291.08999999999997</v>
      </c>
      <c r="M43" s="168"/>
      <c r="N43" s="168"/>
      <c r="O43" s="172"/>
      <c r="P43" s="172"/>
      <c r="Q43" s="172"/>
      <c r="R43" s="172"/>
      <c r="S43" s="173"/>
      <c r="T43" s="174"/>
      <c r="U43" s="175"/>
      <c r="V43" s="176"/>
      <c r="W43" s="171"/>
      <c r="X43" s="176"/>
      <c r="Y43" s="177"/>
      <c r="Z43" s="167"/>
      <c r="AA43" s="168"/>
      <c r="AB43" s="171"/>
      <c r="AC43" s="167"/>
      <c r="AD43" s="168"/>
      <c r="AE43" s="171"/>
      <c r="AF43" s="178"/>
      <c r="AG43" s="179"/>
      <c r="AH43" s="180"/>
      <c r="AI43" s="180"/>
      <c r="AJ43" s="181" t="s">
        <v>578</v>
      </c>
      <c r="AK43" s="182"/>
      <c r="AL43" s="165"/>
      <c r="AM43" s="166"/>
    </row>
    <row r="44" spans="1:39" ht="15.75">
      <c r="A44" s="183">
        <v>18</v>
      </c>
      <c r="B44" s="184" t="s">
        <v>244</v>
      </c>
      <c r="C44" s="184" t="s">
        <v>67</v>
      </c>
      <c r="D44" s="184" t="s">
        <v>586</v>
      </c>
      <c r="E44" s="185" t="s">
        <v>134</v>
      </c>
      <c r="F44" s="186"/>
      <c r="G44" s="187">
        <f t="shared" ref="G44" si="32">G42+F43</f>
        <v>4504.5870000000004</v>
      </c>
      <c r="H44" s="183" t="s">
        <v>244</v>
      </c>
      <c r="I44" s="184" t="s">
        <v>67</v>
      </c>
      <c r="J44" s="184" t="s">
        <v>586</v>
      </c>
      <c r="K44" s="184">
        <v>38.33</v>
      </c>
      <c r="L44" s="186"/>
      <c r="M44" s="186">
        <f t="shared" ref="M44" si="33">M42+L43</f>
        <v>4504.5870000000004</v>
      </c>
      <c r="N44" s="186">
        <f>SUM(L34:L43)</f>
        <v>1447.09</v>
      </c>
      <c r="O44" s="188"/>
      <c r="P44" s="188"/>
      <c r="Q44" s="188"/>
      <c r="R44" s="188"/>
      <c r="S44" s="189" t="s">
        <v>134</v>
      </c>
      <c r="T44" s="190"/>
      <c r="U44" s="191"/>
      <c r="V44" s="192">
        <v>54.902999999999999</v>
      </c>
      <c r="W44" s="193" t="s">
        <v>640</v>
      </c>
      <c r="X44" s="192">
        <v>526.08999999999992</v>
      </c>
      <c r="Y44" s="187">
        <v>263.04499999999996</v>
      </c>
      <c r="Z44" s="183">
        <v>147</v>
      </c>
      <c r="AA44" s="184">
        <v>59</v>
      </c>
      <c r="AB44" s="193">
        <v>206</v>
      </c>
      <c r="AC44" s="183">
        <v>147</v>
      </c>
      <c r="AD44" s="184">
        <v>81</v>
      </c>
      <c r="AE44" s="193">
        <v>227</v>
      </c>
      <c r="AF44" s="194" t="s">
        <v>641</v>
      </c>
      <c r="AG44" s="195" t="s">
        <v>642</v>
      </c>
      <c r="AH44" s="196">
        <v>287310.212</v>
      </c>
      <c r="AI44" s="196">
        <v>2866965.7519999999</v>
      </c>
      <c r="AJ44" s="197"/>
      <c r="AK44" s="198" t="s">
        <v>643</v>
      </c>
      <c r="AL44" s="165"/>
      <c r="AM44" s="166"/>
    </row>
    <row r="45" spans="1:39" ht="15.75">
      <c r="A45" s="167"/>
      <c r="B45" s="168" t="s">
        <v>134</v>
      </c>
      <c r="C45" s="168"/>
      <c r="D45" s="168"/>
      <c r="E45" s="169"/>
      <c r="F45" s="170">
        <v>235</v>
      </c>
      <c r="G45" s="171"/>
      <c r="H45" s="167" t="s">
        <v>134</v>
      </c>
      <c r="I45" s="168"/>
      <c r="J45" s="168"/>
      <c r="K45" s="168"/>
      <c r="L45" s="170">
        <v>235</v>
      </c>
      <c r="M45" s="168"/>
      <c r="N45" s="168"/>
      <c r="O45" s="172"/>
      <c r="P45" s="172"/>
      <c r="Q45" s="172"/>
      <c r="R45" s="172"/>
      <c r="S45" s="173"/>
      <c r="T45" s="174"/>
      <c r="U45" s="175"/>
      <c r="V45" s="176"/>
      <c r="W45" s="171"/>
      <c r="X45" s="176"/>
      <c r="Y45" s="177"/>
      <c r="Z45" s="167"/>
      <c r="AA45" s="168"/>
      <c r="AB45" s="171"/>
      <c r="AC45" s="167"/>
      <c r="AD45" s="168"/>
      <c r="AE45" s="171"/>
      <c r="AF45" s="178"/>
      <c r="AG45" s="179"/>
      <c r="AH45" s="180"/>
      <c r="AI45" s="180"/>
      <c r="AJ45" s="181" t="s">
        <v>644</v>
      </c>
      <c r="AK45" s="182"/>
      <c r="AL45" s="165"/>
      <c r="AM45" s="166"/>
    </row>
    <row r="46" spans="1:39" ht="15.75">
      <c r="A46" s="167">
        <v>19</v>
      </c>
      <c r="B46" s="168" t="s">
        <v>134</v>
      </c>
      <c r="C46" s="168" t="s">
        <v>250</v>
      </c>
      <c r="D46" s="168" t="s">
        <v>603</v>
      </c>
      <c r="E46" s="169" t="s">
        <v>134</v>
      </c>
      <c r="F46" s="170"/>
      <c r="G46" s="177">
        <f t="shared" ref="G46" si="34">G44+F45</f>
        <v>4739.5870000000004</v>
      </c>
      <c r="H46" s="167" t="s">
        <v>134</v>
      </c>
      <c r="I46" s="168" t="s">
        <v>250</v>
      </c>
      <c r="J46" s="168" t="s">
        <v>603</v>
      </c>
      <c r="K46" s="168">
        <v>43.53</v>
      </c>
      <c r="L46" s="170"/>
      <c r="M46" s="170">
        <f t="shared" ref="M46" si="35">M44+L45</f>
        <v>4739.5870000000004</v>
      </c>
      <c r="N46" s="168" t="s">
        <v>134</v>
      </c>
      <c r="O46" s="172"/>
      <c r="P46" s="172"/>
      <c r="Q46" s="172"/>
      <c r="R46" s="172"/>
      <c r="S46" s="173" t="s">
        <v>134</v>
      </c>
      <c r="T46" s="174"/>
      <c r="U46" s="175"/>
      <c r="V46" s="176">
        <v>54.987000000000002</v>
      </c>
      <c r="W46" s="171" t="s">
        <v>134</v>
      </c>
      <c r="X46" s="176">
        <v>593.48900000000003</v>
      </c>
      <c r="Y46" s="177">
        <v>296.74450000000002</v>
      </c>
      <c r="Z46" s="167">
        <v>176</v>
      </c>
      <c r="AA46" s="168">
        <v>108</v>
      </c>
      <c r="AB46" s="171">
        <v>284</v>
      </c>
      <c r="AC46" s="167">
        <v>155</v>
      </c>
      <c r="AD46" s="168">
        <v>135</v>
      </c>
      <c r="AE46" s="171">
        <v>289</v>
      </c>
      <c r="AF46" s="178" t="s">
        <v>645</v>
      </c>
      <c r="AG46" s="179" t="s">
        <v>646</v>
      </c>
      <c r="AH46" s="180">
        <v>287209.08199999999</v>
      </c>
      <c r="AI46" s="180">
        <v>2867177.8790000002</v>
      </c>
      <c r="AJ46" s="181"/>
      <c r="AK46" s="182" t="s">
        <v>643</v>
      </c>
      <c r="AL46" s="165"/>
      <c r="AM46" s="166"/>
    </row>
    <row r="47" spans="1:39" ht="31.9" customHeight="1">
      <c r="A47" s="167"/>
      <c r="B47" s="168" t="s">
        <v>134</v>
      </c>
      <c r="C47" s="168"/>
      <c r="D47" s="168"/>
      <c r="E47" s="169"/>
      <c r="F47" s="170">
        <v>358.48899999999998</v>
      </c>
      <c r="G47" s="171"/>
      <c r="H47" s="167" t="s">
        <v>134</v>
      </c>
      <c r="I47" s="168"/>
      <c r="J47" s="168"/>
      <c r="K47" s="168"/>
      <c r="L47" s="170">
        <v>358.48899999999998</v>
      </c>
      <c r="M47" s="168"/>
      <c r="N47" s="168"/>
      <c r="O47" s="172"/>
      <c r="P47" s="172"/>
      <c r="Q47" s="172"/>
      <c r="R47" s="172"/>
      <c r="S47" s="173"/>
      <c r="T47" s="174"/>
      <c r="U47" s="175"/>
      <c r="V47" s="176"/>
      <c r="W47" s="171"/>
      <c r="X47" s="176"/>
      <c r="Y47" s="177"/>
      <c r="Z47" s="167"/>
      <c r="AA47" s="168"/>
      <c r="AB47" s="171"/>
      <c r="AC47" s="167"/>
      <c r="AD47" s="168"/>
      <c r="AE47" s="171"/>
      <c r="AF47" s="178"/>
      <c r="AG47" s="179"/>
      <c r="AH47" s="180"/>
      <c r="AI47" s="180"/>
      <c r="AJ47" s="181" t="s">
        <v>647</v>
      </c>
      <c r="AK47" s="182"/>
      <c r="AL47" s="165"/>
      <c r="AM47" s="166"/>
    </row>
    <row r="48" spans="1:39" ht="15.75">
      <c r="A48" s="183">
        <v>20</v>
      </c>
      <c r="B48" s="184" t="s">
        <v>256</v>
      </c>
      <c r="C48" s="184" t="s">
        <v>68</v>
      </c>
      <c r="D48" s="184" t="s">
        <v>648</v>
      </c>
      <c r="E48" s="185" t="s">
        <v>134</v>
      </c>
      <c r="F48" s="186"/>
      <c r="G48" s="187">
        <f t="shared" ref="G48" si="36">G46+F47</f>
        <v>5098.076</v>
      </c>
      <c r="H48" s="183" t="s">
        <v>256</v>
      </c>
      <c r="I48" s="184" t="s">
        <v>68</v>
      </c>
      <c r="J48" s="184" t="s">
        <v>648</v>
      </c>
      <c r="K48" s="184">
        <v>56.33</v>
      </c>
      <c r="L48" s="186"/>
      <c r="M48" s="186">
        <f t="shared" ref="M48" si="37">M46+L47</f>
        <v>5098.076</v>
      </c>
      <c r="N48" s="186">
        <f>SUM(L44:L47)</f>
        <v>593.48900000000003</v>
      </c>
      <c r="O48" s="188"/>
      <c r="P48" s="188"/>
      <c r="Q48" s="188"/>
      <c r="R48" s="188"/>
      <c r="S48" s="189" t="s">
        <v>134</v>
      </c>
      <c r="T48" s="190"/>
      <c r="U48" s="191"/>
      <c r="V48" s="192">
        <v>54.600999999999999</v>
      </c>
      <c r="W48" s="193" t="s">
        <v>649</v>
      </c>
      <c r="X48" s="192">
        <v>590.17499999999995</v>
      </c>
      <c r="Y48" s="187">
        <v>295.08749999999998</v>
      </c>
      <c r="Z48" s="183">
        <v>251</v>
      </c>
      <c r="AA48" s="184">
        <v>38</v>
      </c>
      <c r="AB48" s="193">
        <v>289</v>
      </c>
      <c r="AC48" s="183">
        <v>225</v>
      </c>
      <c r="AD48" s="184">
        <v>76</v>
      </c>
      <c r="AE48" s="193">
        <v>302</v>
      </c>
      <c r="AF48" s="194" t="s">
        <v>650</v>
      </c>
      <c r="AG48" s="195" t="s">
        <v>651</v>
      </c>
      <c r="AH48" s="196">
        <v>287054.81099999999</v>
      </c>
      <c r="AI48" s="196">
        <v>2867501.4750000001</v>
      </c>
      <c r="AJ48" s="197"/>
      <c r="AK48" s="198" t="s">
        <v>643</v>
      </c>
      <c r="AL48" s="165"/>
      <c r="AM48" s="166"/>
    </row>
    <row r="49" spans="1:39" ht="36.6" customHeight="1">
      <c r="A49" s="167"/>
      <c r="B49" s="168" t="s">
        <v>134</v>
      </c>
      <c r="C49" s="168"/>
      <c r="D49" s="168"/>
      <c r="E49" s="169"/>
      <c r="F49" s="170">
        <v>231.68600000000001</v>
      </c>
      <c r="G49" s="171"/>
      <c r="H49" s="167" t="s">
        <v>134</v>
      </c>
      <c r="I49" s="168"/>
      <c r="J49" s="168"/>
      <c r="K49" s="168"/>
      <c r="L49" s="170">
        <v>231.68600000000001</v>
      </c>
      <c r="M49" s="168"/>
      <c r="N49" s="168"/>
      <c r="O49" s="172"/>
      <c r="P49" s="172"/>
      <c r="Q49" s="172"/>
      <c r="R49" s="172"/>
      <c r="S49" s="173"/>
      <c r="T49" s="174"/>
      <c r="U49" s="175"/>
      <c r="V49" s="176"/>
      <c r="W49" s="171"/>
      <c r="X49" s="176"/>
      <c r="Y49" s="177"/>
      <c r="Z49" s="167"/>
      <c r="AA49" s="168"/>
      <c r="AB49" s="171"/>
      <c r="AC49" s="167"/>
      <c r="AD49" s="168"/>
      <c r="AE49" s="171"/>
      <c r="AF49" s="178"/>
      <c r="AG49" s="179"/>
      <c r="AH49" s="180"/>
      <c r="AI49" s="180"/>
      <c r="AJ49" s="200" t="s">
        <v>652</v>
      </c>
      <c r="AK49" s="182"/>
      <c r="AL49" s="165"/>
      <c r="AM49" s="166"/>
    </row>
    <row r="50" spans="1:39" ht="24.6" customHeight="1">
      <c r="A50" s="183">
        <v>21</v>
      </c>
      <c r="B50" s="184" t="s">
        <v>263</v>
      </c>
      <c r="C50" s="184" t="s">
        <v>56</v>
      </c>
      <c r="D50" s="184" t="s">
        <v>653</v>
      </c>
      <c r="E50" s="185" t="s">
        <v>134</v>
      </c>
      <c r="F50" s="186"/>
      <c r="G50" s="187">
        <f t="shared" ref="G50" si="38">G48+F49</f>
        <v>5329.7619999999997</v>
      </c>
      <c r="H50" s="183" t="s">
        <v>263</v>
      </c>
      <c r="I50" s="184" t="s">
        <v>56</v>
      </c>
      <c r="J50" s="184" t="s">
        <v>653</v>
      </c>
      <c r="K50" s="184">
        <v>63.33</v>
      </c>
      <c r="L50" s="186"/>
      <c r="M50" s="186">
        <f t="shared" ref="M50" si="39">M48+L49</f>
        <v>5329.7619999999997</v>
      </c>
      <c r="N50" s="186">
        <f>SUM(L48:L49)</f>
        <v>231.68600000000001</v>
      </c>
      <c r="O50" s="188"/>
      <c r="P50" s="188"/>
      <c r="Q50" s="188"/>
      <c r="R50" s="188"/>
      <c r="S50" s="189" t="s">
        <v>134</v>
      </c>
      <c r="T50" s="190"/>
      <c r="U50" s="191"/>
      <c r="V50" s="192">
        <v>54.97</v>
      </c>
      <c r="W50" s="193" t="s">
        <v>654</v>
      </c>
      <c r="X50" s="192">
        <v>441.11500000000001</v>
      </c>
      <c r="Y50" s="187">
        <v>220.5575</v>
      </c>
      <c r="Z50" s="183">
        <v>194</v>
      </c>
      <c r="AA50" s="184">
        <v>273</v>
      </c>
      <c r="AB50" s="193">
        <v>467</v>
      </c>
      <c r="AC50" s="183">
        <v>156</v>
      </c>
      <c r="AD50" s="184">
        <v>184</v>
      </c>
      <c r="AE50" s="193">
        <v>340</v>
      </c>
      <c r="AF50" s="194" t="s">
        <v>655</v>
      </c>
      <c r="AG50" s="195" t="s">
        <v>656</v>
      </c>
      <c r="AH50" s="196">
        <v>286959.446</v>
      </c>
      <c r="AI50" s="196">
        <v>2867712.6239999998</v>
      </c>
      <c r="AJ50" s="197"/>
      <c r="AK50" s="198" t="s">
        <v>643</v>
      </c>
      <c r="AL50" s="165"/>
      <c r="AM50" s="166"/>
    </row>
    <row r="51" spans="1:39" ht="33.6" customHeight="1">
      <c r="A51" s="167"/>
      <c r="B51" s="168" t="s">
        <v>134</v>
      </c>
      <c r="C51" s="168"/>
      <c r="D51" s="168"/>
      <c r="E51" s="169"/>
      <c r="F51" s="170">
        <v>209.429</v>
      </c>
      <c r="G51" s="171"/>
      <c r="H51" s="167" t="s">
        <v>134</v>
      </c>
      <c r="I51" s="168"/>
      <c r="J51" s="168"/>
      <c r="K51" s="168"/>
      <c r="L51" s="170">
        <v>209.429</v>
      </c>
      <c r="M51" s="168"/>
      <c r="N51" s="168"/>
      <c r="O51" s="172"/>
      <c r="P51" s="172"/>
      <c r="Q51" s="172"/>
      <c r="R51" s="172"/>
      <c r="S51" s="173"/>
      <c r="T51" s="174"/>
      <c r="U51" s="175"/>
      <c r="V51" s="176"/>
      <c r="W51" s="171"/>
      <c r="X51" s="176"/>
      <c r="Y51" s="177"/>
      <c r="Z51" s="167"/>
      <c r="AA51" s="168"/>
      <c r="AB51" s="171"/>
      <c r="AC51" s="167"/>
      <c r="AD51" s="168"/>
      <c r="AE51" s="171"/>
      <c r="AF51" s="178"/>
      <c r="AG51" s="179"/>
      <c r="AH51" s="180"/>
      <c r="AI51" s="180"/>
      <c r="AJ51" s="200" t="s">
        <v>657</v>
      </c>
      <c r="AK51" s="182"/>
      <c r="AL51" s="165"/>
      <c r="AM51" s="166"/>
    </row>
    <row r="52" spans="1:39" ht="32.25" thickBot="1">
      <c r="A52" s="201">
        <v>22</v>
      </c>
      <c r="B52" s="202" t="s">
        <v>270</v>
      </c>
      <c r="C52" s="202" t="s">
        <v>60</v>
      </c>
      <c r="D52" s="202" t="s">
        <v>658</v>
      </c>
      <c r="E52" s="203">
        <v>2</v>
      </c>
      <c r="F52" s="204"/>
      <c r="G52" s="205">
        <f t="shared" ref="G52" si="40">G50+F51</f>
        <v>5539.1909999999998</v>
      </c>
      <c r="H52" s="201" t="s">
        <v>270</v>
      </c>
      <c r="I52" s="202" t="s">
        <v>60</v>
      </c>
      <c r="J52" s="202" t="s">
        <v>658</v>
      </c>
      <c r="K52" s="202">
        <v>47.33</v>
      </c>
      <c r="L52" s="204"/>
      <c r="M52" s="204">
        <f t="shared" ref="M52" si="41">M50+L51</f>
        <v>5539.1909999999998</v>
      </c>
      <c r="N52" s="204">
        <f>SUM(L50:L51)</f>
        <v>209.429</v>
      </c>
      <c r="O52" s="206"/>
      <c r="P52" s="206"/>
      <c r="Q52" s="206"/>
      <c r="R52" s="206"/>
      <c r="S52" s="207">
        <v>2</v>
      </c>
      <c r="T52" s="208"/>
      <c r="U52" s="209"/>
      <c r="V52" s="210">
        <v>55.048999999999999</v>
      </c>
      <c r="W52" s="211" t="s">
        <v>659</v>
      </c>
      <c r="X52" s="210">
        <v>313.98099999999999</v>
      </c>
      <c r="Y52" s="205">
        <v>156.9905</v>
      </c>
      <c r="Z52" s="201">
        <v>-63</v>
      </c>
      <c r="AA52" s="202">
        <v>150</v>
      </c>
      <c r="AB52" s="212">
        <v>86</v>
      </c>
      <c r="AC52" s="201">
        <v>26</v>
      </c>
      <c r="AD52" s="202">
        <v>94</v>
      </c>
      <c r="AE52" s="212">
        <v>120</v>
      </c>
      <c r="AF52" s="213" t="s">
        <v>660</v>
      </c>
      <c r="AG52" s="214" t="s">
        <v>661</v>
      </c>
      <c r="AH52" s="215">
        <v>286785.57699999999</v>
      </c>
      <c r="AI52" s="215">
        <v>2867829.372</v>
      </c>
      <c r="AJ52" s="216" t="s">
        <v>662</v>
      </c>
      <c r="AK52" s="217" t="s">
        <v>643</v>
      </c>
      <c r="AL52" s="165"/>
      <c r="AM52" s="166"/>
    </row>
    <row r="53" spans="1:39" ht="24" customHeight="1" thickBot="1">
      <c r="A53" s="218"/>
      <c r="B53" s="219"/>
      <c r="C53" s="219"/>
      <c r="D53" s="219"/>
      <c r="E53" s="219"/>
      <c r="F53" s="219"/>
      <c r="G53" s="219"/>
      <c r="H53" s="1790" t="s">
        <v>468</v>
      </c>
      <c r="I53" s="1791"/>
      <c r="J53" s="1791"/>
      <c r="K53" s="1792"/>
      <c r="L53" s="220">
        <f>SUM(L10:L52)/1000</f>
        <v>5.5391909999999998</v>
      </c>
      <c r="M53" s="221" t="s">
        <v>469</v>
      </c>
      <c r="N53" s="222"/>
      <c r="O53" s="219"/>
      <c r="P53" s="219"/>
      <c r="Q53" s="219"/>
      <c r="R53" s="219"/>
      <c r="S53" s="223"/>
      <c r="T53" s="219"/>
      <c r="U53" s="219"/>
      <c r="V53" s="223"/>
      <c r="W53" s="223"/>
      <c r="X53" s="224"/>
      <c r="Y53" s="223"/>
      <c r="Z53" s="223"/>
      <c r="AA53" s="223"/>
      <c r="AB53" s="223"/>
      <c r="AC53" s="223"/>
      <c r="AD53" s="223"/>
      <c r="AE53" s="223"/>
      <c r="AF53" s="223"/>
      <c r="AG53" s="223"/>
      <c r="AH53" s="225"/>
      <c r="AI53" s="225"/>
      <c r="AJ53" s="226"/>
      <c r="AK53" s="227"/>
      <c r="AL53" s="219"/>
      <c r="AM53" s="227"/>
    </row>
    <row r="54" spans="1:39" ht="42" customHeight="1" thickBot="1">
      <c r="A54" s="1816" t="s">
        <v>470</v>
      </c>
      <c r="B54" s="1817"/>
      <c r="C54" s="1817"/>
      <c r="D54" s="1817"/>
      <c r="E54" s="1817"/>
      <c r="F54" s="1817"/>
      <c r="G54" s="1817"/>
      <c r="H54" s="1817"/>
      <c r="I54" s="1817"/>
      <c r="J54" s="1817"/>
      <c r="K54" s="1817"/>
      <c r="L54" s="1817"/>
      <c r="M54" s="1817"/>
      <c r="N54" s="1817"/>
      <c r="O54" s="1817"/>
      <c r="P54" s="1817"/>
      <c r="Q54" s="1817"/>
      <c r="R54" s="1817"/>
      <c r="S54" s="1817"/>
      <c r="T54" s="1817"/>
      <c r="U54" s="1817"/>
      <c r="V54" s="1818"/>
      <c r="W54" s="1819" t="s">
        <v>663</v>
      </c>
      <c r="X54" s="1820"/>
      <c r="Y54" s="1820"/>
      <c r="Z54" s="1820"/>
      <c r="AA54" s="1820"/>
      <c r="AB54" s="1820"/>
      <c r="AC54" s="1820"/>
      <c r="AD54" s="1820"/>
      <c r="AE54" s="1820"/>
      <c r="AF54" s="1820"/>
      <c r="AG54" s="1820"/>
      <c r="AH54" s="1820"/>
      <c r="AI54" s="1820"/>
      <c r="AJ54" s="1820"/>
      <c r="AK54" s="1821"/>
      <c r="AL54" s="228"/>
      <c r="AM54" s="229"/>
    </row>
    <row r="55" spans="1:39" ht="24" customHeight="1" thickBot="1">
      <c r="A55" s="1816" t="s">
        <v>472</v>
      </c>
      <c r="B55" s="1817"/>
      <c r="C55" s="1817"/>
      <c r="D55" s="1817"/>
      <c r="E55" s="1818"/>
      <c r="F55" s="1816" t="s">
        <v>473</v>
      </c>
      <c r="G55" s="1817"/>
      <c r="H55" s="1817"/>
      <c r="I55" s="1817"/>
      <c r="J55" s="1818"/>
      <c r="K55" s="1816" t="s">
        <v>474</v>
      </c>
      <c r="L55" s="1817"/>
      <c r="M55" s="1817"/>
      <c r="N55" s="1817"/>
      <c r="O55" s="1817"/>
      <c r="P55" s="1817"/>
      <c r="Q55" s="1817"/>
      <c r="R55" s="1817"/>
      <c r="S55" s="1817"/>
      <c r="T55" s="1817"/>
      <c r="U55" s="1817"/>
      <c r="V55" s="1818"/>
      <c r="W55" s="1816" t="s">
        <v>473</v>
      </c>
      <c r="X55" s="1817"/>
      <c r="Y55" s="1817"/>
      <c r="Z55" s="1817"/>
      <c r="AA55" s="1818"/>
      <c r="AB55" s="1822" t="s">
        <v>475</v>
      </c>
      <c r="AC55" s="1823"/>
      <c r="AD55" s="1823"/>
      <c r="AE55" s="1823"/>
      <c r="AF55" s="1823"/>
      <c r="AG55" s="1823"/>
      <c r="AH55" s="1824"/>
      <c r="AI55" s="1822" t="s">
        <v>476</v>
      </c>
      <c r="AJ55" s="1823"/>
      <c r="AK55" s="1824"/>
      <c r="AL55" s="230"/>
      <c r="AM55" s="231"/>
    </row>
    <row r="56" spans="1:39" ht="183" customHeight="1" thickBot="1">
      <c r="A56" s="1813"/>
      <c r="B56" s="1814"/>
      <c r="C56" s="1814"/>
      <c r="D56" s="1814"/>
      <c r="E56" s="1815"/>
      <c r="F56" s="1813"/>
      <c r="G56" s="1814"/>
      <c r="H56" s="1814"/>
      <c r="I56" s="1814"/>
      <c r="J56" s="1815"/>
      <c r="K56" s="1813"/>
      <c r="L56" s="1814"/>
      <c r="M56" s="1814"/>
      <c r="N56" s="1814"/>
      <c r="O56" s="1814"/>
      <c r="P56" s="1814"/>
      <c r="Q56" s="1814"/>
      <c r="R56" s="1814"/>
      <c r="S56" s="1814"/>
      <c r="T56" s="1814"/>
      <c r="U56" s="1814"/>
      <c r="V56" s="1815"/>
      <c r="W56" s="1813"/>
      <c r="X56" s="1814"/>
      <c r="Y56" s="1814"/>
      <c r="Z56" s="1814"/>
      <c r="AA56" s="1815"/>
      <c r="AB56" s="1813"/>
      <c r="AC56" s="1814"/>
      <c r="AD56" s="1814"/>
      <c r="AE56" s="1814"/>
      <c r="AF56" s="1814"/>
      <c r="AG56" s="1814"/>
      <c r="AH56" s="1815"/>
      <c r="AI56" s="1813"/>
      <c r="AJ56" s="1814"/>
      <c r="AK56" s="1815"/>
      <c r="AL56" s="232"/>
      <c r="AM56" s="233"/>
    </row>
    <row r="57" spans="1:39">
      <c r="A57" s="234"/>
      <c r="B57" s="235"/>
      <c r="C57" s="235"/>
      <c r="D57" s="235"/>
      <c r="E57" s="235"/>
      <c r="F57" s="235"/>
      <c r="G57" s="235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5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  <c r="AH57" s="236"/>
      <c r="AI57" s="236"/>
      <c r="AJ57" s="236"/>
      <c r="AK57" s="237"/>
      <c r="AM57" s="118"/>
    </row>
    <row r="58" spans="1:39" ht="15.75">
      <c r="A58" s="116"/>
      <c r="K58" s="119" t="s">
        <v>477</v>
      </c>
      <c r="L58" s="120"/>
      <c r="M58" s="120"/>
      <c r="AK58" s="118"/>
      <c r="AM58" s="118"/>
    </row>
    <row r="59" spans="1:39" ht="15.75" thickBot="1">
      <c r="A59" s="116"/>
      <c r="K59" s="117"/>
      <c r="L59" s="117"/>
      <c r="AK59" s="118"/>
      <c r="AM59" s="118"/>
    </row>
    <row r="60" spans="1:39">
      <c r="A60" s="116"/>
      <c r="K60" s="238" t="s">
        <v>591</v>
      </c>
      <c r="L60" s="239" t="s">
        <v>478</v>
      </c>
      <c r="M60" s="240">
        <f t="shared" ref="M60:M77" si="42">COUNTIF($J$10:$J$1239,K60)</f>
        <v>3</v>
      </c>
      <c r="AK60" s="118"/>
      <c r="AM60" s="118"/>
    </row>
    <row r="61" spans="1:39">
      <c r="A61" s="116"/>
      <c r="K61" s="241" t="s">
        <v>582</v>
      </c>
      <c r="L61" s="242" t="s">
        <v>478</v>
      </c>
      <c r="M61" s="243">
        <f t="shared" si="42"/>
        <v>6</v>
      </c>
      <c r="AK61" s="118"/>
      <c r="AM61" s="118"/>
    </row>
    <row r="62" spans="1:39">
      <c r="A62" s="116"/>
      <c r="K62" s="241" t="s">
        <v>603</v>
      </c>
      <c r="L62" s="242" t="s">
        <v>478</v>
      </c>
      <c r="M62" s="243">
        <f t="shared" si="42"/>
        <v>2</v>
      </c>
      <c r="AK62" s="118"/>
      <c r="AM62" s="118"/>
    </row>
    <row r="63" spans="1:39">
      <c r="A63" s="116"/>
      <c r="K63" s="241" t="s">
        <v>664</v>
      </c>
      <c r="L63" s="242" t="s">
        <v>478</v>
      </c>
      <c r="M63" s="243">
        <f t="shared" si="42"/>
        <v>0</v>
      </c>
      <c r="AK63" s="118"/>
      <c r="AM63" s="118"/>
    </row>
    <row r="64" spans="1:39">
      <c r="A64" s="116"/>
      <c r="K64" s="241" t="s">
        <v>665</v>
      </c>
      <c r="L64" s="242" t="s">
        <v>478</v>
      </c>
      <c r="M64" s="243">
        <f t="shared" si="42"/>
        <v>0</v>
      </c>
      <c r="AK64" s="118"/>
      <c r="AM64" s="118"/>
    </row>
    <row r="65" spans="1:39">
      <c r="A65" s="116"/>
      <c r="K65" s="241" t="s">
        <v>666</v>
      </c>
      <c r="L65" s="242" t="s">
        <v>478</v>
      </c>
      <c r="M65" s="243">
        <f t="shared" si="42"/>
        <v>0</v>
      </c>
      <c r="AK65" s="118"/>
      <c r="AM65" s="118"/>
    </row>
    <row r="66" spans="1:39">
      <c r="A66" s="116"/>
      <c r="K66" s="241" t="s">
        <v>667</v>
      </c>
      <c r="L66" s="242" t="s">
        <v>478</v>
      </c>
      <c r="M66" s="243">
        <f t="shared" si="42"/>
        <v>0</v>
      </c>
      <c r="AK66" s="118"/>
      <c r="AM66" s="118"/>
    </row>
    <row r="67" spans="1:39">
      <c r="A67" s="116"/>
      <c r="K67" s="241" t="s">
        <v>668</v>
      </c>
      <c r="L67" s="242" t="s">
        <v>478</v>
      </c>
      <c r="M67" s="243">
        <f t="shared" si="42"/>
        <v>0</v>
      </c>
      <c r="AK67" s="118"/>
      <c r="AM67" s="118"/>
    </row>
    <row r="68" spans="1:39">
      <c r="A68" s="116"/>
      <c r="K68" s="241" t="s">
        <v>573</v>
      </c>
      <c r="L68" s="242" t="s">
        <v>478</v>
      </c>
      <c r="M68" s="243">
        <f t="shared" si="42"/>
        <v>4</v>
      </c>
      <c r="AK68" s="118"/>
      <c r="AM68" s="118"/>
    </row>
    <row r="69" spans="1:39">
      <c r="A69" s="116"/>
      <c r="K69" s="241" t="s">
        <v>669</v>
      </c>
      <c r="L69" s="242" t="s">
        <v>478</v>
      </c>
      <c r="M69" s="243">
        <f t="shared" si="42"/>
        <v>0</v>
      </c>
      <c r="AK69" s="118"/>
      <c r="AM69" s="118"/>
    </row>
    <row r="70" spans="1:39">
      <c r="A70" s="116"/>
      <c r="K70" s="241" t="s">
        <v>607</v>
      </c>
      <c r="L70" s="242" t="s">
        <v>478</v>
      </c>
      <c r="M70" s="243">
        <f t="shared" si="42"/>
        <v>1</v>
      </c>
      <c r="AK70" s="118"/>
      <c r="AM70" s="118"/>
    </row>
    <row r="71" spans="1:39">
      <c r="A71" s="116"/>
      <c r="K71" s="241" t="s">
        <v>670</v>
      </c>
      <c r="L71" s="242" t="s">
        <v>478</v>
      </c>
      <c r="M71" s="243">
        <f t="shared" si="42"/>
        <v>0</v>
      </c>
      <c r="AK71" s="118"/>
      <c r="AM71" s="118"/>
    </row>
    <row r="72" spans="1:39">
      <c r="A72" s="116"/>
      <c r="K72" s="241" t="s">
        <v>586</v>
      </c>
      <c r="L72" s="242" t="s">
        <v>478</v>
      </c>
      <c r="M72" s="243">
        <f t="shared" si="42"/>
        <v>3</v>
      </c>
      <c r="AK72" s="118"/>
      <c r="AM72" s="118"/>
    </row>
    <row r="73" spans="1:39">
      <c r="A73" s="116"/>
      <c r="K73" s="241" t="s">
        <v>648</v>
      </c>
      <c r="L73" s="242" t="s">
        <v>478</v>
      </c>
      <c r="M73" s="243">
        <f t="shared" si="42"/>
        <v>1</v>
      </c>
      <c r="AK73" s="118"/>
      <c r="AM73" s="118"/>
    </row>
    <row r="74" spans="1:39">
      <c r="A74" s="116"/>
      <c r="K74" s="241" t="s">
        <v>653</v>
      </c>
      <c r="L74" s="242" t="s">
        <v>478</v>
      </c>
      <c r="M74" s="243">
        <f t="shared" si="42"/>
        <v>1</v>
      </c>
      <c r="AK74" s="118"/>
      <c r="AM74" s="118"/>
    </row>
    <row r="75" spans="1:39">
      <c r="A75" s="116"/>
      <c r="K75" s="241" t="s">
        <v>671</v>
      </c>
      <c r="L75" s="242" t="s">
        <v>478</v>
      </c>
      <c r="M75" s="243">
        <f t="shared" si="42"/>
        <v>0</v>
      </c>
      <c r="AK75" s="118"/>
      <c r="AM75" s="118"/>
    </row>
    <row r="76" spans="1:39">
      <c r="A76" s="116"/>
      <c r="K76" s="241" t="s">
        <v>672</v>
      </c>
      <c r="L76" s="242" t="s">
        <v>478</v>
      </c>
      <c r="M76" s="243">
        <f t="shared" si="42"/>
        <v>0</v>
      </c>
      <c r="AK76" s="118"/>
      <c r="AM76" s="118"/>
    </row>
    <row r="77" spans="1:39">
      <c r="A77" s="116"/>
      <c r="K77" s="241" t="s">
        <v>658</v>
      </c>
      <c r="L77" s="242" t="s">
        <v>478</v>
      </c>
      <c r="M77" s="243">
        <f t="shared" si="42"/>
        <v>1</v>
      </c>
      <c r="AK77" s="118"/>
      <c r="AM77" s="118"/>
    </row>
    <row r="78" spans="1:39" ht="16.5" thickBot="1">
      <c r="A78" s="127"/>
      <c r="B78" s="105"/>
      <c r="C78" s="105"/>
      <c r="D78" s="105"/>
      <c r="E78" s="105"/>
      <c r="F78" s="105"/>
      <c r="G78" s="105"/>
      <c r="H78" s="109"/>
      <c r="I78" s="109"/>
      <c r="J78" s="109"/>
      <c r="K78" s="128" t="s">
        <v>128</v>
      </c>
      <c r="L78" s="244" t="s">
        <v>478</v>
      </c>
      <c r="M78" s="245">
        <f>SUM(M60:M77)</f>
        <v>22</v>
      </c>
      <c r="N78" s="109"/>
      <c r="O78" s="109"/>
      <c r="P78" s="109"/>
      <c r="Q78" s="109"/>
      <c r="R78" s="109"/>
      <c r="S78" s="105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31"/>
      <c r="AL78" s="109"/>
      <c r="AM78" s="131"/>
    </row>
  </sheetData>
  <autoFilter ref="A9:AM55"/>
  <mergeCells count="54">
    <mergeCell ref="AI56:AK56"/>
    <mergeCell ref="A54:V54"/>
    <mergeCell ref="W54:AK54"/>
    <mergeCell ref="A55:E55"/>
    <mergeCell ref="F55:J55"/>
    <mergeCell ref="K55:V55"/>
    <mergeCell ref="W55:AA55"/>
    <mergeCell ref="AB55:AH55"/>
    <mergeCell ref="AI55:AK55"/>
    <mergeCell ref="A56:E56"/>
    <mergeCell ref="F56:J56"/>
    <mergeCell ref="K56:V56"/>
    <mergeCell ref="W56:AA56"/>
    <mergeCell ref="AB56:AH56"/>
    <mergeCell ref="AH8:AI8"/>
    <mergeCell ref="AJ8:AJ9"/>
    <mergeCell ref="AK8:AK9"/>
    <mergeCell ref="AL8:AL9"/>
    <mergeCell ref="AM8:AM9"/>
    <mergeCell ref="Z8:AB8"/>
    <mergeCell ref="AC8:AE8"/>
    <mergeCell ref="I8:I9"/>
    <mergeCell ref="J8:J9"/>
    <mergeCell ref="K8:K9"/>
    <mergeCell ref="L8:L9"/>
    <mergeCell ref="M8:M9"/>
    <mergeCell ref="N8:N9"/>
    <mergeCell ref="V8:V9"/>
    <mergeCell ref="W8:W9"/>
    <mergeCell ref="S8:S9"/>
    <mergeCell ref="T8:T9"/>
    <mergeCell ref="U8:U9"/>
    <mergeCell ref="H53:K53"/>
    <mergeCell ref="X8:X9"/>
    <mergeCell ref="Y8:Y9"/>
    <mergeCell ref="A7:G7"/>
    <mergeCell ref="H7:AK7"/>
    <mergeCell ref="A8:A9"/>
    <mergeCell ref="B8:B9"/>
    <mergeCell ref="C8:C9"/>
    <mergeCell ref="D8:D9"/>
    <mergeCell ref="E8:E9"/>
    <mergeCell ref="F8:F9"/>
    <mergeCell ref="G8:G9"/>
    <mergeCell ref="H8:H9"/>
    <mergeCell ref="AF8:AF9"/>
    <mergeCell ref="AG8:AG9"/>
    <mergeCell ref="O8:R8"/>
    <mergeCell ref="A6:AJ6"/>
    <mergeCell ref="A1:AJ1"/>
    <mergeCell ref="A2:AJ2"/>
    <mergeCell ref="A3:AJ3"/>
    <mergeCell ref="A4:AJ4"/>
    <mergeCell ref="A5:AJ5"/>
  </mergeCells>
  <printOptions horizontalCentered="1"/>
  <pageMargins left="0" right="0" top="0.19685039370078741" bottom="1.5748031496062993" header="0" footer="0"/>
  <pageSetup paperSize="9" scale="36" orientation="landscape" r:id="rId1"/>
  <headerFooter>
    <oddHeader>&amp;RPage &amp;P of &amp;N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I92"/>
  <sheetViews>
    <sheetView view="pageBreakPreview" zoomScale="85" zoomScaleNormal="85" zoomScaleSheetLayoutView="85" workbookViewId="0">
      <pane xSplit="4" ySplit="9" topLeftCell="E26" activePane="bottomRight" state="frozen"/>
      <selection pane="topRight" activeCell="E1" sqref="E1"/>
      <selection pane="bottomLeft" activeCell="A9" sqref="A9"/>
      <selection pane="bottomRight" activeCell="S82" sqref="S82"/>
    </sheetView>
  </sheetViews>
  <sheetFormatPr defaultRowHeight="15"/>
  <cols>
    <col min="1" max="1" width="9.140625" style="117"/>
    <col min="4" max="5" width="11.42578125" customWidth="1"/>
    <col min="7" max="7" width="11.42578125" bestFit="1" customWidth="1"/>
    <col min="8" max="8" width="15.5703125" customWidth="1"/>
    <col min="9" max="9" width="10.85546875" customWidth="1"/>
    <col min="10" max="13" width="0" hidden="1" customWidth="1"/>
    <col min="14" max="14" width="11.5703125" style="117" customWidth="1"/>
    <col min="15" max="16" width="0" hidden="1" customWidth="1"/>
    <col min="18" max="18" width="14.28515625" customWidth="1"/>
    <col min="19" max="19" width="12" customWidth="1"/>
    <col min="27" max="27" width="16.5703125" hidden="1" customWidth="1"/>
    <col min="28" max="28" width="15.85546875" hidden="1" customWidth="1"/>
    <col min="29" max="29" width="13.7109375" customWidth="1"/>
    <col min="30" max="30" width="14.28515625" customWidth="1"/>
    <col min="31" max="31" width="40.5703125" customWidth="1"/>
    <col min="32" max="34" width="0" hidden="1" customWidth="1"/>
    <col min="35" max="35" width="33.140625" customWidth="1"/>
  </cols>
  <sheetData>
    <row r="1" spans="1:35" ht="20.25">
      <c r="A1" s="1786" t="s">
        <v>566</v>
      </c>
      <c r="B1" s="1787"/>
      <c r="C1" s="1787"/>
      <c r="D1" s="1787"/>
      <c r="E1" s="1787"/>
      <c r="F1" s="1787"/>
      <c r="G1" s="1787"/>
      <c r="H1" s="1787"/>
      <c r="I1" s="1787"/>
      <c r="J1" s="1787"/>
      <c r="K1" s="1787"/>
      <c r="L1" s="1787"/>
      <c r="M1" s="1787"/>
      <c r="N1" s="1787"/>
      <c r="O1" s="1787"/>
      <c r="P1" s="1787"/>
      <c r="Q1" s="1787"/>
      <c r="R1" s="1787"/>
      <c r="S1" s="1787"/>
      <c r="T1" s="1787"/>
      <c r="U1" s="1787"/>
      <c r="V1" s="1787"/>
      <c r="W1" s="1787"/>
      <c r="X1" s="1787"/>
      <c r="Y1" s="1787"/>
      <c r="Z1" s="1787"/>
      <c r="AA1" s="1787"/>
      <c r="AB1" s="1787"/>
      <c r="AC1" s="1787"/>
      <c r="AD1" s="1787"/>
      <c r="AE1" s="1787"/>
      <c r="AF1" s="135"/>
      <c r="AG1" s="135"/>
      <c r="AH1" s="135"/>
      <c r="AI1" s="134"/>
    </row>
    <row r="2" spans="1:35" ht="20.25">
      <c r="A2" s="1788" t="s">
        <v>88</v>
      </c>
      <c r="B2" s="1789"/>
      <c r="C2" s="1789"/>
      <c r="D2" s="1789"/>
      <c r="E2" s="1789"/>
      <c r="F2" s="1789"/>
      <c r="G2" s="1789"/>
      <c r="H2" s="1789"/>
      <c r="I2" s="1789"/>
      <c r="J2" s="1789"/>
      <c r="K2" s="1789"/>
      <c r="L2" s="1789"/>
      <c r="M2" s="1789"/>
      <c r="N2" s="1789"/>
      <c r="O2" s="1789"/>
      <c r="P2" s="1789"/>
      <c r="Q2" s="1789"/>
      <c r="R2" s="1789"/>
      <c r="S2" s="1789"/>
      <c r="T2" s="1789"/>
      <c r="U2" s="1789"/>
      <c r="V2" s="1789"/>
      <c r="W2" s="1789"/>
      <c r="X2" s="1789"/>
      <c r="Y2" s="1789"/>
      <c r="Z2" s="1789"/>
      <c r="AA2" s="1789"/>
      <c r="AB2" s="1789"/>
      <c r="AC2" s="1789"/>
      <c r="AD2" s="1789"/>
      <c r="AE2" s="1789"/>
      <c r="AF2" s="137"/>
      <c r="AG2" s="137"/>
      <c r="AH2" s="137"/>
      <c r="AI2" s="136" t="s">
        <v>90</v>
      </c>
    </row>
    <row r="3" spans="1:35" ht="21.6" customHeight="1">
      <c r="A3" s="1788" t="s">
        <v>89</v>
      </c>
      <c r="B3" s="1789"/>
      <c r="C3" s="1789"/>
      <c r="D3" s="1789"/>
      <c r="E3" s="1789"/>
      <c r="F3" s="1789"/>
      <c r="G3" s="1789"/>
      <c r="H3" s="1789"/>
      <c r="I3" s="1789"/>
      <c r="J3" s="1789"/>
      <c r="K3" s="1789"/>
      <c r="L3" s="1789"/>
      <c r="M3" s="1789"/>
      <c r="N3" s="1789"/>
      <c r="O3" s="1789"/>
      <c r="P3" s="1789"/>
      <c r="Q3" s="1789"/>
      <c r="R3" s="1789"/>
      <c r="S3" s="1789"/>
      <c r="T3" s="1789"/>
      <c r="U3" s="1789"/>
      <c r="V3" s="1789"/>
      <c r="W3" s="1789"/>
      <c r="X3" s="1789"/>
      <c r="Y3" s="1789"/>
      <c r="Z3" s="1789"/>
      <c r="AA3" s="1789"/>
      <c r="AB3" s="1789"/>
      <c r="AC3" s="1789"/>
      <c r="AD3" s="1789"/>
      <c r="AE3" s="1789"/>
      <c r="AF3" s="137"/>
      <c r="AG3" s="137"/>
      <c r="AH3" s="137"/>
      <c r="AI3" s="136" t="s">
        <v>889</v>
      </c>
    </row>
    <row r="4" spans="1:35" ht="20.25">
      <c r="A4" s="1788" t="s">
        <v>91</v>
      </c>
      <c r="B4" s="1789"/>
      <c r="C4" s="1789"/>
      <c r="D4" s="1789"/>
      <c r="E4" s="1789"/>
      <c r="F4" s="1789"/>
      <c r="G4" s="1789"/>
      <c r="H4" s="1789"/>
      <c r="I4" s="1789"/>
      <c r="J4" s="1789"/>
      <c r="K4" s="1789"/>
      <c r="L4" s="1789"/>
      <c r="M4" s="1789"/>
      <c r="N4" s="1789"/>
      <c r="O4" s="1789"/>
      <c r="P4" s="1789"/>
      <c r="Q4" s="1789"/>
      <c r="R4" s="1789"/>
      <c r="S4" s="1789"/>
      <c r="T4" s="1789"/>
      <c r="U4" s="1789"/>
      <c r="V4" s="1789"/>
      <c r="W4" s="1789"/>
      <c r="X4" s="1789"/>
      <c r="Y4" s="1789"/>
      <c r="Z4" s="1789"/>
      <c r="AA4" s="1789"/>
      <c r="AB4" s="1789"/>
      <c r="AC4" s="1789"/>
      <c r="AD4" s="1789"/>
      <c r="AE4" s="1789"/>
      <c r="AF4" s="137"/>
      <c r="AG4" s="137"/>
      <c r="AH4" s="137"/>
      <c r="AI4" s="136" t="s">
        <v>94</v>
      </c>
    </row>
    <row r="5" spans="1:35" ht="20.25">
      <c r="A5" s="1788" t="s">
        <v>93</v>
      </c>
      <c r="B5" s="1789"/>
      <c r="C5" s="1789"/>
      <c r="D5" s="1789"/>
      <c r="E5" s="1789"/>
      <c r="F5" s="1789"/>
      <c r="G5" s="1789"/>
      <c r="H5" s="1789"/>
      <c r="I5" s="1789"/>
      <c r="J5" s="1789"/>
      <c r="K5" s="1789"/>
      <c r="L5" s="1789"/>
      <c r="M5" s="1789"/>
      <c r="N5" s="1789"/>
      <c r="O5" s="1789"/>
      <c r="P5" s="1789"/>
      <c r="Q5" s="1789"/>
      <c r="R5" s="1789"/>
      <c r="S5" s="1789"/>
      <c r="T5" s="1789"/>
      <c r="U5" s="1789"/>
      <c r="V5" s="1789"/>
      <c r="W5" s="1789"/>
      <c r="X5" s="1789"/>
      <c r="Y5" s="1789"/>
      <c r="Z5" s="1789"/>
      <c r="AA5" s="1789"/>
      <c r="AB5" s="1789"/>
      <c r="AC5" s="1789"/>
      <c r="AD5" s="1789"/>
      <c r="AE5" s="1789"/>
      <c r="AF5" s="137"/>
      <c r="AG5" s="137"/>
      <c r="AH5" s="137"/>
      <c r="AI5" s="141"/>
    </row>
    <row r="6" spans="1:35" ht="18">
      <c r="A6" s="1825" t="s">
        <v>890</v>
      </c>
      <c r="B6" s="1826"/>
      <c r="C6" s="1826"/>
      <c r="D6" s="1826"/>
      <c r="E6" s="1826"/>
      <c r="F6" s="1826"/>
      <c r="G6" s="1826"/>
      <c r="H6" s="1826"/>
      <c r="I6" s="1826"/>
      <c r="J6" s="1826"/>
      <c r="K6" s="1826"/>
      <c r="L6" s="1826"/>
      <c r="M6" s="1826"/>
      <c r="N6" s="1826"/>
      <c r="O6" s="1826"/>
      <c r="P6" s="1826"/>
      <c r="Q6" s="1826"/>
      <c r="R6" s="1826"/>
      <c r="S6" s="1826"/>
      <c r="T6" s="1826"/>
      <c r="U6" s="1826"/>
      <c r="V6" s="1826"/>
      <c r="W6" s="1826"/>
      <c r="X6" s="1826"/>
      <c r="Y6" s="1826"/>
      <c r="Z6" s="1826"/>
      <c r="AA6" s="1826"/>
      <c r="AB6" s="1826"/>
      <c r="AC6" s="1826"/>
      <c r="AD6" s="1826"/>
      <c r="AE6" s="1826"/>
      <c r="AF6" s="140"/>
      <c r="AG6" s="140"/>
      <c r="AH6" s="140"/>
      <c r="AI6" s="141"/>
    </row>
    <row r="7" spans="1:35" ht="15.75" thickBot="1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  <c r="AA7" s="299"/>
      <c r="AB7" s="299"/>
      <c r="AC7" s="299"/>
      <c r="AD7" s="299"/>
      <c r="AE7" s="300"/>
      <c r="AF7" s="289"/>
      <c r="AG7" s="289"/>
      <c r="AH7" s="1827"/>
      <c r="AI7" s="1828"/>
    </row>
    <row r="8" spans="1:35" ht="30" customHeight="1" thickBot="1">
      <c r="A8" s="1829" t="s">
        <v>97</v>
      </c>
      <c r="B8" s="1829" t="s">
        <v>98</v>
      </c>
      <c r="C8" s="1829" t="s">
        <v>99</v>
      </c>
      <c r="D8" s="1829" t="s">
        <v>100</v>
      </c>
      <c r="E8" s="1843" t="s">
        <v>994</v>
      </c>
      <c r="F8" s="1829" t="s">
        <v>101</v>
      </c>
      <c r="G8" s="1829" t="s">
        <v>102</v>
      </c>
      <c r="H8" s="1829" t="s">
        <v>104</v>
      </c>
      <c r="I8" s="1829" t="s">
        <v>103</v>
      </c>
      <c r="J8" s="1831" t="s">
        <v>105</v>
      </c>
      <c r="K8" s="1832"/>
      <c r="L8" s="1832"/>
      <c r="M8" s="1833"/>
      <c r="N8" s="1829" t="s">
        <v>106</v>
      </c>
      <c r="O8" s="1831" t="s">
        <v>107</v>
      </c>
      <c r="P8" s="1833" t="s">
        <v>108</v>
      </c>
      <c r="Q8" s="1829" t="s">
        <v>109</v>
      </c>
      <c r="R8" s="1829" t="s">
        <v>110</v>
      </c>
      <c r="S8" s="1838" t="s">
        <v>111</v>
      </c>
      <c r="T8" s="1829" t="s">
        <v>112</v>
      </c>
      <c r="U8" s="1840" t="s">
        <v>113</v>
      </c>
      <c r="V8" s="1841"/>
      <c r="W8" s="1842"/>
      <c r="X8" s="1840" t="s">
        <v>114</v>
      </c>
      <c r="Y8" s="1841"/>
      <c r="Z8" s="1842"/>
      <c r="AA8" s="1831" t="s">
        <v>115</v>
      </c>
      <c r="AB8" s="1833" t="s">
        <v>116</v>
      </c>
      <c r="AC8" s="1835" t="s">
        <v>117</v>
      </c>
      <c r="AD8" s="1836"/>
      <c r="AE8" s="1845" t="s">
        <v>118</v>
      </c>
      <c r="AF8" s="1831" t="s">
        <v>119</v>
      </c>
      <c r="AG8" s="1832" t="s">
        <v>120</v>
      </c>
      <c r="AH8" s="1833" t="s">
        <v>121</v>
      </c>
      <c r="AI8" s="1845" t="s">
        <v>122</v>
      </c>
    </row>
    <row r="9" spans="1:35" ht="26.25" customHeight="1" thickBot="1">
      <c r="A9" s="1830"/>
      <c r="B9" s="1830"/>
      <c r="C9" s="1830"/>
      <c r="D9" s="1830"/>
      <c r="E9" s="1844"/>
      <c r="F9" s="1830"/>
      <c r="G9" s="1830"/>
      <c r="H9" s="1830"/>
      <c r="I9" s="1830"/>
      <c r="J9" s="301" t="s">
        <v>123</v>
      </c>
      <c r="K9" s="302" t="s">
        <v>124</v>
      </c>
      <c r="L9" s="302" t="s">
        <v>125</v>
      </c>
      <c r="M9" s="303"/>
      <c r="N9" s="1830"/>
      <c r="O9" s="1837"/>
      <c r="P9" s="1834"/>
      <c r="Q9" s="1830"/>
      <c r="R9" s="1830"/>
      <c r="S9" s="1839"/>
      <c r="T9" s="1830"/>
      <c r="U9" s="304" t="s">
        <v>126</v>
      </c>
      <c r="V9" s="304" t="s">
        <v>127</v>
      </c>
      <c r="W9" s="304" t="s">
        <v>128</v>
      </c>
      <c r="X9" s="304" t="s">
        <v>126</v>
      </c>
      <c r="Y9" s="304" t="s">
        <v>127</v>
      </c>
      <c r="Z9" s="304" t="s">
        <v>128</v>
      </c>
      <c r="AA9" s="1837"/>
      <c r="AB9" s="1834"/>
      <c r="AC9" s="305" t="s">
        <v>129</v>
      </c>
      <c r="AD9" s="305" t="s">
        <v>130</v>
      </c>
      <c r="AE9" s="1846"/>
      <c r="AF9" s="1837"/>
      <c r="AG9" s="1847"/>
      <c r="AH9" s="1834"/>
      <c r="AI9" s="1848"/>
    </row>
    <row r="10" spans="1:35" ht="18.75">
      <c r="A10" s="60">
        <v>1</v>
      </c>
      <c r="B10" s="61" t="s">
        <v>131</v>
      </c>
      <c r="C10" s="61" t="s">
        <v>132</v>
      </c>
      <c r="D10" s="61" t="s">
        <v>586</v>
      </c>
      <c r="E10" s="61" t="s">
        <v>982</v>
      </c>
      <c r="F10" s="61">
        <v>38.33</v>
      </c>
      <c r="G10" s="306"/>
      <c r="H10" s="61">
        <v>0</v>
      </c>
      <c r="I10" s="61" t="s">
        <v>134</v>
      </c>
      <c r="J10" s="62"/>
      <c r="K10" s="62"/>
      <c r="L10" s="62"/>
      <c r="M10" s="62"/>
      <c r="N10" s="307" t="s">
        <v>134</v>
      </c>
      <c r="O10" s="62"/>
      <c r="P10" s="62"/>
      <c r="Q10" s="64">
        <v>55.381999999999998</v>
      </c>
      <c r="R10" s="61" t="s">
        <v>891</v>
      </c>
      <c r="S10" s="64">
        <v>112.78</v>
      </c>
      <c r="T10" s="308">
        <v>56.39</v>
      </c>
      <c r="U10" s="60">
        <v>0</v>
      </c>
      <c r="V10" s="61">
        <v>67</v>
      </c>
      <c r="W10" s="66">
        <v>67</v>
      </c>
      <c r="X10" s="60">
        <v>0</v>
      </c>
      <c r="Y10" s="61">
        <v>59</v>
      </c>
      <c r="Z10" s="66">
        <v>59</v>
      </c>
      <c r="AA10" s="309" t="s">
        <v>892</v>
      </c>
      <c r="AB10" s="310" t="s">
        <v>893</v>
      </c>
      <c r="AC10" s="69">
        <v>290046.73</v>
      </c>
      <c r="AD10" s="311">
        <v>2864612.852</v>
      </c>
      <c r="AE10" s="312"/>
      <c r="AF10" s="265"/>
      <c r="AG10" s="62"/>
      <c r="AH10" s="62"/>
      <c r="AI10" s="313"/>
    </row>
    <row r="11" spans="1:35" ht="18.75">
      <c r="A11" s="73"/>
      <c r="B11" s="74" t="s">
        <v>134</v>
      </c>
      <c r="C11" s="74"/>
      <c r="D11" s="74"/>
      <c r="E11" s="74"/>
      <c r="F11" s="74"/>
      <c r="G11" s="75">
        <v>112.78</v>
      </c>
      <c r="H11" s="74"/>
      <c r="I11" s="74"/>
      <c r="J11" s="76"/>
      <c r="K11" s="76"/>
      <c r="L11" s="76"/>
      <c r="M11" s="76"/>
      <c r="N11" s="314"/>
      <c r="O11" s="76"/>
      <c r="P11" s="76"/>
      <c r="Q11" s="75"/>
      <c r="R11" s="74"/>
      <c r="S11" s="75"/>
      <c r="T11" s="315"/>
      <c r="U11" s="73"/>
      <c r="V11" s="74"/>
      <c r="W11" s="79"/>
      <c r="X11" s="73"/>
      <c r="Y11" s="74"/>
      <c r="Z11" s="79"/>
      <c r="AA11" s="80"/>
      <c r="AB11" s="81"/>
      <c r="AC11" s="82"/>
      <c r="AD11" s="316"/>
      <c r="AE11" s="317" t="s">
        <v>894</v>
      </c>
      <c r="AF11" s="261"/>
      <c r="AG11" s="76"/>
      <c r="AH11" s="76"/>
      <c r="AI11" s="318"/>
    </row>
    <row r="12" spans="1:35" ht="18.75">
      <c r="A12" s="73">
        <v>2</v>
      </c>
      <c r="B12" s="74" t="s">
        <v>140</v>
      </c>
      <c r="C12" s="74" t="s">
        <v>141</v>
      </c>
      <c r="D12" s="74" t="s">
        <v>573</v>
      </c>
      <c r="E12" s="74" t="s">
        <v>982</v>
      </c>
      <c r="F12" s="74">
        <v>38.33</v>
      </c>
      <c r="G12" s="75"/>
      <c r="H12" s="75">
        <v>112.78</v>
      </c>
      <c r="I12" s="74">
        <f>SUM(G10:G11)</f>
        <v>112.78</v>
      </c>
      <c r="J12" s="76"/>
      <c r="K12" s="76"/>
      <c r="L12" s="76"/>
      <c r="M12" s="76"/>
      <c r="N12" s="314" t="s">
        <v>134</v>
      </c>
      <c r="O12" s="76"/>
      <c r="P12" s="76"/>
      <c r="Q12" s="75">
        <v>54.984999999999999</v>
      </c>
      <c r="R12" s="74" t="s">
        <v>895</v>
      </c>
      <c r="S12" s="75">
        <v>225.95400000000001</v>
      </c>
      <c r="T12" s="315">
        <v>112.977</v>
      </c>
      <c r="U12" s="73">
        <v>46</v>
      </c>
      <c r="V12" s="74">
        <v>40</v>
      </c>
      <c r="W12" s="79">
        <v>87</v>
      </c>
      <c r="X12" s="73">
        <v>53</v>
      </c>
      <c r="Y12" s="74">
        <v>52</v>
      </c>
      <c r="Z12" s="79">
        <v>105</v>
      </c>
      <c r="AA12" s="80" t="s">
        <v>896</v>
      </c>
      <c r="AB12" s="81" t="s">
        <v>897</v>
      </c>
      <c r="AC12" s="82">
        <v>290025.21500000003</v>
      </c>
      <c r="AD12" s="316">
        <v>2864502.1430000002</v>
      </c>
      <c r="AE12" s="319"/>
      <c r="AF12" s="261"/>
      <c r="AG12" s="76"/>
      <c r="AH12" s="76"/>
      <c r="AI12" s="318"/>
    </row>
    <row r="13" spans="1:35" ht="18.75">
      <c r="A13" s="73"/>
      <c r="B13" s="74" t="s">
        <v>134</v>
      </c>
      <c r="C13" s="74"/>
      <c r="D13" s="74"/>
      <c r="E13" s="74"/>
      <c r="F13" s="74"/>
      <c r="G13" s="75">
        <v>113.17400000000001</v>
      </c>
      <c r="H13" s="74"/>
      <c r="I13" s="74"/>
      <c r="J13" s="76"/>
      <c r="K13" s="76"/>
      <c r="L13" s="76"/>
      <c r="M13" s="76"/>
      <c r="N13" s="314"/>
      <c r="O13" s="76"/>
      <c r="P13" s="76"/>
      <c r="Q13" s="75"/>
      <c r="R13" s="74"/>
      <c r="S13" s="75"/>
      <c r="T13" s="315"/>
      <c r="U13" s="73"/>
      <c r="V13" s="74"/>
      <c r="W13" s="79"/>
      <c r="X13" s="73"/>
      <c r="Y13" s="74"/>
      <c r="Z13" s="79"/>
      <c r="AA13" s="80"/>
      <c r="AB13" s="81"/>
      <c r="AC13" s="82"/>
      <c r="AD13" s="316"/>
      <c r="AE13" s="319" t="s">
        <v>578</v>
      </c>
      <c r="AF13" s="261"/>
      <c r="AG13" s="76"/>
      <c r="AH13" s="76"/>
      <c r="AI13" s="318"/>
    </row>
    <row r="14" spans="1:35" ht="18.75">
      <c r="A14" s="73">
        <v>3</v>
      </c>
      <c r="B14" s="74" t="s">
        <v>146</v>
      </c>
      <c r="C14" s="74" t="s">
        <v>147</v>
      </c>
      <c r="D14" s="74" t="s">
        <v>573</v>
      </c>
      <c r="E14" s="74" t="s">
        <v>982</v>
      </c>
      <c r="F14" s="74">
        <v>38.33</v>
      </c>
      <c r="G14" s="75"/>
      <c r="H14" s="75">
        <v>225.95400000000001</v>
      </c>
      <c r="I14" s="75">
        <f>SUM(G12:G13)</f>
        <v>113.17400000000001</v>
      </c>
      <c r="J14" s="76"/>
      <c r="K14" s="76"/>
      <c r="L14" s="76"/>
      <c r="M14" s="76"/>
      <c r="N14" s="314" t="s">
        <v>134</v>
      </c>
      <c r="O14" s="76"/>
      <c r="P14" s="76"/>
      <c r="Q14" s="75">
        <v>55.616999999999997</v>
      </c>
      <c r="R14" s="74" t="s">
        <v>898</v>
      </c>
      <c r="S14" s="75">
        <v>279.63200000000001</v>
      </c>
      <c r="T14" s="315">
        <v>139.816</v>
      </c>
      <c r="U14" s="73">
        <v>73</v>
      </c>
      <c r="V14" s="74">
        <v>80</v>
      </c>
      <c r="W14" s="79">
        <v>153</v>
      </c>
      <c r="X14" s="73">
        <v>61</v>
      </c>
      <c r="Y14" s="74">
        <v>82</v>
      </c>
      <c r="Z14" s="79">
        <v>143</v>
      </c>
      <c r="AA14" s="80" t="s">
        <v>899</v>
      </c>
      <c r="AB14" s="81" t="s">
        <v>900</v>
      </c>
      <c r="AC14" s="82">
        <v>289951.37199999997</v>
      </c>
      <c r="AD14" s="316">
        <v>2864416.3790000002</v>
      </c>
      <c r="AE14" s="319"/>
      <c r="AF14" s="261"/>
      <c r="AG14" s="76"/>
      <c r="AH14" s="76"/>
      <c r="AI14" s="318"/>
    </row>
    <row r="15" spans="1:35" ht="18.75">
      <c r="A15" s="73"/>
      <c r="B15" s="74" t="s">
        <v>134</v>
      </c>
      <c r="C15" s="74"/>
      <c r="D15" s="74"/>
      <c r="E15" s="74"/>
      <c r="F15" s="74"/>
      <c r="G15" s="253">
        <v>166.458</v>
      </c>
      <c r="H15" s="74"/>
      <c r="I15" s="74"/>
      <c r="J15" s="76"/>
      <c r="K15" s="76"/>
      <c r="L15" s="76"/>
      <c r="M15" s="76"/>
      <c r="N15" s="314"/>
      <c r="O15" s="76"/>
      <c r="P15" s="76"/>
      <c r="Q15" s="75"/>
      <c r="R15" s="74"/>
      <c r="S15" s="75"/>
      <c r="T15" s="315"/>
      <c r="U15" s="73"/>
      <c r="V15" s="74"/>
      <c r="W15" s="79"/>
      <c r="X15" s="73"/>
      <c r="Y15" s="74"/>
      <c r="Z15" s="79"/>
      <c r="AA15" s="80"/>
      <c r="AB15" s="81"/>
      <c r="AC15" s="82"/>
      <c r="AD15" s="316"/>
      <c r="AE15" s="319" t="s">
        <v>901</v>
      </c>
      <c r="AF15" s="261"/>
      <c r="AG15" s="76"/>
      <c r="AH15" s="76"/>
      <c r="AI15" s="318"/>
    </row>
    <row r="16" spans="1:35" ht="18.75">
      <c r="A16" s="73">
        <v>4</v>
      </c>
      <c r="B16" s="74" t="s">
        <v>165</v>
      </c>
      <c r="C16" s="74" t="s">
        <v>166</v>
      </c>
      <c r="D16" s="74" t="s">
        <v>573</v>
      </c>
      <c r="E16" s="74" t="s">
        <v>982</v>
      </c>
      <c r="F16" s="74">
        <v>38.33</v>
      </c>
      <c r="G16" s="75"/>
      <c r="H16" s="75">
        <v>392.41200000000003</v>
      </c>
      <c r="I16" s="75">
        <f>SUM(G14:G15)</f>
        <v>166.458</v>
      </c>
      <c r="J16" s="76"/>
      <c r="K16" s="76"/>
      <c r="L16" s="76"/>
      <c r="M16" s="76"/>
      <c r="N16" s="314">
        <v>2</v>
      </c>
      <c r="O16" s="76"/>
      <c r="P16" s="76"/>
      <c r="Q16" s="75">
        <v>53.831000000000003</v>
      </c>
      <c r="R16" s="74" t="s">
        <v>902</v>
      </c>
      <c r="S16" s="75">
        <v>443.99699999999996</v>
      </c>
      <c r="T16" s="315">
        <v>221.99849999999998</v>
      </c>
      <c r="U16" s="73">
        <v>87</v>
      </c>
      <c r="V16" s="74">
        <v>143</v>
      </c>
      <c r="W16" s="79">
        <v>229</v>
      </c>
      <c r="X16" s="73">
        <v>85</v>
      </c>
      <c r="Y16" s="74">
        <v>141</v>
      </c>
      <c r="Z16" s="79">
        <v>226</v>
      </c>
      <c r="AA16" s="80" t="s">
        <v>903</v>
      </c>
      <c r="AB16" s="81" t="s">
        <v>904</v>
      </c>
      <c r="AC16" s="82">
        <v>289795.18199999997</v>
      </c>
      <c r="AD16" s="316">
        <v>2864358.821</v>
      </c>
      <c r="AE16" s="319"/>
      <c r="AF16" s="261"/>
      <c r="AG16" s="76"/>
      <c r="AH16" s="76"/>
      <c r="AI16" s="318" t="s">
        <v>662</v>
      </c>
    </row>
    <row r="17" spans="1:35" ht="18.75">
      <c r="A17" s="73"/>
      <c r="B17" s="74" t="s">
        <v>134</v>
      </c>
      <c r="C17" s="74"/>
      <c r="D17" s="74"/>
      <c r="E17" s="74"/>
      <c r="F17" s="74"/>
      <c r="G17" s="75">
        <v>277.53899999999999</v>
      </c>
      <c r="H17" s="74"/>
      <c r="I17" s="74"/>
      <c r="J17" s="76"/>
      <c r="K17" s="76"/>
      <c r="L17" s="76"/>
      <c r="M17" s="76"/>
      <c r="N17" s="314"/>
      <c r="O17" s="76"/>
      <c r="P17" s="76"/>
      <c r="Q17" s="75"/>
      <c r="R17" s="74"/>
      <c r="S17" s="75"/>
      <c r="T17" s="315"/>
      <c r="U17" s="73"/>
      <c r="V17" s="74"/>
      <c r="W17" s="79"/>
      <c r="X17" s="73"/>
      <c r="Y17" s="74"/>
      <c r="Z17" s="79"/>
      <c r="AA17" s="80"/>
      <c r="AB17" s="81"/>
      <c r="AC17" s="82"/>
      <c r="AD17" s="316"/>
      <c r="AE17" s="319" t="s">
        <v>615</v>
      </c>
      <c r="AF17" s="261"/>
      <c r="AG17" s="76"/>
      <c r="AH17" s="76"/>
      <c r="AI17" s="318"/>
    </row>
    <row r="18" spans="1:35" ht="18.75">
      <c r="A18" s="73">
        <v>5</v>
      </c>
      <c r="B18" s="74" t="s">
        <v>173</v>
      </c>
      <c r="C18" s="74" t="s">
        <v>174</v>
      </c>
      <c r="D18" s="74" t="s">
        <v>573</v>
      </c>
      <c r="E18" s="74" t="s">
        <v>982</v>
      </c>
      <c r="F18" s="74">
        <v>38.33</v>
      </c>
      <c r="G18" s="75"/>
      <c r="H18" s="75">
        <v>669.95100000000002</v>
      </c>
      <c r="I18" s="75">
        <f>SUM(G16:G17)</f>
        <v>277.53899999999999</v>
      </c>
      <c r="J18" s="76"/>
      <c r="K18" s="76"/>
      <c r="L18" s="76"/>
      <c r="M18" s="76"/>
      <c r="N18" s="314" t="s">
        <v>134</v>
      </c>
      <c r="O18" s="76"/>
      <c r="P18" s="76"/>
      <c r="Q18" s="75">
        <v>55.383000000000003</v>
      </c>
      <c r="R18" s="74" t="s">
        <v>905</v>
      </c>
      <c r="S18" s="75">
        <v>592.31200000000001</v>
      </c>
      <c r="T18" s="315">
        <v>296.15600000000001</v>
      </c>
      <c r="U18" s="73">
        <v>135</v>
      </c>
      <c r="V18" s="74">
        <v>161</v>
      </c>
      <c r="W18" s="79">
        <v>296</v>
      </c>
      <c r="X18" s="73">
        <v>137</v>
      </c>
      <c r="Y18" s="74">
        <v>160</v>
      </c>
      <c r="Z18" s="79">
        <v>297</v>
      </c>
      <c r="AA18" s="80" t="s">
        <v>575</v>
      </c>
      <c r="AB18" s="81" t="s">
        <v>576</v>
      </c>
      <c r="AC18" s="82">
        <v>289518.57199999999</v>
      </c>
      <c r="AD18" s="316">
        <v>2864336.1290000002</v>
      </c>
      <c r="AE18" s="320"/>
      <c r="AF18" s="261"/>
      <c r="AG18" s="76"/>
      <c r="AH18" s="76"/>
      <c r="AI18" s="318"/>
    </row>
    <row r="19" spans="1:35" ht="18.75">
      <c r="A19" s="73"/>
      <c r="B19" s="74" t="s">
        <v>134</v>
      </c>
      <c r="C19" s="74"/>
      <c r="D19" s="74"/>
      <c r="E19" s="74"/>
      <c r="F19" s="74"/>
      <c r="G19" s="75">
        <v>314.77300000000002</v>
      </c>
      <c r="H19" s="74"/>
      <c r="I19" s="74"/>
      <c r="J19" s="76"/>
      <c r="K19" s="76"/>
      <c r="L19" s="76"/>
      <c r="M19" s="76"/>
      <c r="N19" s="314"/>
      <c r="O19" s="76"/>
      <c r="P19" s="76"/>
      <c r="Q19" s="75"/>
      <c r="R19" s="74"/>
      <c r="S19" s="75"/>
      <c r="T19" s="315"/>
      <c r="U19" s="73"/>
      <c r="V19" s="74"/>
      <c r="W19" s="79"/>
      <c r="X19" s="73"/>
      <c r="Y19" s="74"/>
      <c r="Z19" s="79"/>
      <c r="AA19" s="80"/>
      <c r="AB19" s="81"/>
      <c r="AC19" s="82"/>
      <c r="AD19" s="316"/>
      <c r="AE19" s="319" t="s">
        <v>578</v>
      </c>
      <c r="AF19" s="261"/>
      <c r="AG19" s="76"/>
      <c r="AH19" s="76"/>
      <c r="AI19" s="318"/>
    </row>
    <row r="20" spans="1:35" ht="18.75">
      <c r="A20" s="73">
        <v>6</v>
      </c>
      <c r="B20" s="74" t="s">
        <v>180</v>
      </c>
      <c r="C20" s="74" t="s">
        <v>181</v>
      </c>
      <c r="D20" s="74" t="s">
        <v>573</v>
      </c>
      <c r="E20" s="74" t="s">
        <v>982</v>
      </c>
      <c r="F20" s="74">
        <v>38.33</v>
      </c>
      <c r="G20" s="75"/>
      <c r="H20" s="75">
        <v>984.72400000000005</v>
      </c>
      <c r="I20" s="75">
        <f>SUM(G18:G19)</f>
        <v>314.77300000000002</v>
      </c>
      <c r="J20" s="76"/>
      <c r="K20" s="76"/>
      <c r="L20" s="76"/>
      <c r="M20" s="76"/>
      <c r="N20" s="314" t="s">
        <v>134</v>
      </c>
      <c r="O20" s="76"/>
      <c r="P20" s="76"/>
      <c r="Q20" s="75">
        <v>54.869</v>
      </c>
      <c r="R20" s="74" t="s">
        <v>579</v>
      </c>
      <c r="S20" s="75">
        <v>567.77300000000002</v>
      </c>
      <c r="T20" s="315">
        <v>283.88650000000001</v>
      </c>
      <c r="U20" s="73">
        <v>154</v>
      </c>
      <c r="V20" s="74">
        <v>97</v>
      </c>
      <c r="W20" s="79">
        <v>251</v>
      </c>
      <c r="X20" s="73">
        <v>155</v>
      </c>
      <c r="Y20" s="74">
        <v>109</v>
      </c>
      <c r="Z20" s="79">
        <v>264</v>
      </c>
      <c r="AA20" s="80" t="s">
        <v>580</v>
      </c>
      <c r="AB20" s="81" t="s">
        <v>581</v>
      </c>
      <c r="AC20" s="82">
        <v>289225.28899999999</v>
      </c>
      <c r="AD20" s="316">
        <v>2864221.818</v>
      </c>
      <c r="AE20" s="319"/>
      <c r="AF20" s="261"/>
      <c r="AG20" s="76"/>
      <c r="AH20" s="76"/>
      <c r="AI20" s="318"/>
    </row>
    <row r="21" spans="1:35" ht="18.75">
      <c r="A21" s="73"/>
      <c r="B21" s="74" t="s">
        <v>134</v>
      </c>
      <c r="C21" s="74"/>
      <c r="D21" s="74"/>
      <c r="E21" s="74"/>
      <c r="F21" s="74"/>
      <c r="G21" s="75">
        <v>253</v>
      </c>
      <c r="H21" s="74"/>
      <c r="I21" s="74"/>
      <c r="J21" s="76"/>
      <c r="K21" s="76"/>
      <c r="L21" s="76"/>
      <c r="M21" s="76"/>
      <c r="N21" s="314"/>
      <c r="O21" s="76"/>
      <c r="P21" s="76"/>
      <c r="Q21" s="75"/>
      <c r="R21" s="74"/>
      <c r="S21" s="75"/>
      <c r="T21" s="315"/>
      <c r="U21" s="73"/>
      <c r="V21" s="74"/>
      <c r="W21" s="79"/>
      <c r="X21" s="73"/>
      <c r="Y21" s="74"/>
      <c r="Z21" s="79"/>
      <c r="AA21" s="80"/>
      <c r="AB21" s="81"/>
      <c r="AC21" s="82"/>
      <c r="AD21" s="316"/>
      <c r="AE21" s="319" t="s">
        <v>313</v>
      </c>
      <c r="AF21" s="261"/>
      <c r="AG21" s="76"/>
      <c r="AH21" s="76"/>
      <c r="AI21" s="318"/>
    </row>
    <row r="22" spans="1:35" ht="18.75">
      <c r="A22" s="73">
        <v>7</v>
      </c>
      <c r="B22" s="74" t="s">
        <v>134</v>
      </c>
      <c r="C22" s="74" t="s">
        <v>186</v>
      </c>
      <c r="D22" s="74" t="s">
        <v>582</v>
      </c>
      <c r="E22" s="74" t="s">
        <v>995</v>
      </c>
      <c r="F22" s="74">
        <v>40.53</v>
      </c>
      <c r="G22" s="75"/>
      <c r="H22" s="75">
        <v>1237.7240000000002</v>
      </c>
      <c r="I22" s="74" t="s">
        <v>134</v>
      </c>
      <c r="J22" s="76"/>
      <c r="K22" s="76"/>
      <c r="L22" s="76"/>
      <c r="M22" s="76"/>
      <c r="N22" s="314" t="s">
        <v>134</v>
      </c>
      <c r="O22" s="76"/>
      <c r="P22" s="76"/>
      <c r="Q22" s="75">
        <v>55.082000000000001</v>
      </c>
      <c r="R22" s="74" t="s">
        <v>134</v>
      </c>
      <c r="S22" s="75">
        <v>583.79999999999995</v>
      </c>
      <c r="T22" s="315">
        <v>291.89999999999998</v>
      </c>
      <c r="U22" s="73">
        <v>156</v>
      </c>
      <c r="V22" s="74">
        <v>184</v>
      </c>
      <c r="W22" s="79">
        <v>340</v>
      </c>
      <c r="X22" s="73">
        <v>145</v>
      </c>
      <c r="Y22" s="74">
        <v>177</v>
      </c>
      <c r="Z22" s="79">
        <v>322</v>
      </c>
      <c r="AA22" s="80" t="s">
        <v>583</v>
      </c>
      <c r="AB22" s="81" t="s">
        <v>584</v>
      </c>
      <c r="AC22" s="82">
        <v>288972.71799999999</v>
      </c>
      <c r="AD22" s="316">
        <v>2864236.5389999999</v>
      </c>
      <c r="AE22" s="320"/>
      <c r="AF22" s="261"/>
      <c r="AG22" s="76"/>
      <c r="AH22" s="76"/>
      <c r="AI22" s="318"/>
    </row>
    <row r="23" spans="1:35" ht="18.75">
      <c r="A23" s="73"/>
      <c r="B23" s="74" t="s">
        <v>134</v>
      </c>
      <c r="C23" s="74"/>
      <c r="D23" s="74"/>
      <c r="E23" s="74"/>
      <c r="F23" s="74"/>
      <c r="G23" s="75">
        <v>330.8</v>
      </c>
      <c r="H23" s="74"/>
      <c r="I23" s="74"/>
      <c r="J23" s="76"/>
      <c r="K23" s="76"/>
      <c r="L23" s="76"/>
      <c r="M23" s="76"/>
      <c r="N23" s="314"/>
      <c r="O23" s="76"/>
      <c r="P23" s="76"/>
      <c r="Q23" s="75"/>
      <c r="R23" s="74"/>
      <c r="S23" s="75"/>
      <c r="T23" s="315"/>
      <c r="U23" s="73"/>
      <c r="V23" s="74"/>
      <c r="W23" s="79"/>
      <c r="X23" s="73"/>
      <c r="Y23" s="74"/>
      <c r="Z23" s="79"/>
      <c r="AA23" s="80"/>
      <c r="AB23" s="81"/>
      <c r="AC23" s="82"/>
      <c r="AD23" s="316"/>
      <c r="AE23" s="319" t="s">
        <v>585</v>
      </c>
      <c r="AF23" s="261"/>
      <c r="AG23" s="76"/>
      <c r="AH23" s="76"/>
      <c r="AI23" s="318"/>
    </row>
    <row r="24" spans="1:35" ht="18.75">
      <c r="A24" s="73">
        <v>8</v>
      </c>
      <c r="B24" s="74" t="s">
        <v>192</v>
      </c>
      <c r="C24" s="74" t="s">
        <v>64</v>
      </c>
      <c r="D24" s="74" t="s">
        <v>586</v>
      </c>
      <c r="E24" s="74" t="s">
        <v>995</v>
      </c>
      <c r="F24" s="74">
        <v>38.33</v>
      </c>
      <c r="G24" s="75"/>
      <c r="H24" s="75">
        <v>1568.5240000000001</v>
      </c>
      <c r="I24" s="75">
        <f>SUM(G20:G23)</f>
        <v>583.79999999999995</v>
      </c>
      <c r="J24" s="76"/>
      <c r="K24" s="76"/>
      <c r="L24" s="76"/>
      <c r="M24" s="76"/>
      <c r="N24" s="314" t="s">
        <v>134</v>
      </c>
      <c r="O24" s="76"/>
      <c r="P24" s="76"/>
      <c r="Q24" s="75">
        <v>55.472000000000001</v>
      </c>
      <c r="R24" s="74" t="s">
        <v>587</v>
      </c>
      <c r="S24" s="75">
        <v>548.79999999999995</v>
      </c>
      <c r="T24" s="315">
        <v>274.39999999999998</v>
      </c>
      <c r="U24" s="73">
        <v>147</v>
      </c>
      <c r="V24" s="74">
        <v>95</v>
      </c>
      <c r="W24" s="79">
        <v>242</v>
      </c>
      <c r="X24" s="73">
        <v>154</v>
      </c>
      <c r="Y24" s="74">
        <v>102</v>
      </c>
      <c r="Z24" s="79">
        <v>257</v>
      </c>
      <c r="AA24" s="80" t="s">
        <v>588</v>
      </c>
      <c r="AB24" s="81" t="s">
        <v>589</v>
      </c>
      <c r="AC24" s="82">
        <v>288642.478</v>
      </c>
      <c r="AD24" s="316">
        <v>2864255.7880000002</v>
      </c>
      <c r="AE24" s="319"/>
      <c r="AF24" s="261"/>
      <c r="AG24" s="76"/>
      <c r="AH24" s="76"/>
      <c r="AI24" s="318"/>
    </row>
    <row r="25" spans="1:35" ht="18.75">
      <c r="A25" s="73"/>
      <c r="B25" s="74" t="s">
        <v>134</v>
      </c>
      <c r="C25" s="74"/>
      <c r="D25" s="74"/>
      <c r="E25" s="74"/>
      <c r="F25" s="74"/>
      <c r="G25" s="75">
        <v>218</v>
      </c>
      <c r="H25" s="74"/>
      <c r="I25" s="74"/>
      <c r="J25" s="76"/>
      <c r="K25" s="76"/>
      <c r="L25" s="76"/>
      <c r="M25" s="76"/>
      <c r="N25" s="314"/>
      <c r="O25" s="76"/>
      <c r="P25" s="76"/>
      <c r="Q25" s="75"/>
      <c r="R25" s="74"/>
      <c r="S25" s="75"/>
      <c r="T25" s="315"/>
      <c r="U25" s="73"/>
      <c r="V25" s="74"/>
      <c r="W25" s="79"/>
      <c r="X25" s="73"/>
      <c r="Y25" s="74"/>
      <c r="Z25" s="79"/>
      <c r="AA25" s="80"/>
      <c r="AB25" s="81"/>
      <c r="AC25" s="82"/>
      <c r="AD25" s="316"/>
      <c r="AE25" s="319"/>
      <c r="AF25" s="261"/>
      <c r="AG25" s="76"/>
      <c r="AH25" s="76"/>
      <c r="AI25" s="318"/>
    </row>
    <row r="26" spans="1:35" ht="18.75">
      <c r="A26" s="73">
        <v>9</v>
      </c>
      <c r="B26" s="74" t="s">
        <v>134</v>
      </c>
      <c r="C26" s="74" t="s">
        <v>198</v>
      </c>
      <c r="D26" s="74" t="s">
        <v>591</v>
      </c>
      <c r="E26" s="74" t="s">
        <v>995</v>
      </c>
      <c r="F26" s="74">
        <v>37.53</v>
      </c>
      <c r="G26" s="75"/>
      <c r="H26" s="75">
        <v>1786.5240000000001</v>
      </c>
      <c r="I26" s="74" t="s">
        <v>134</v>
      </c>
      <c r="J26" s="76"/>
      <c r="K26" s="76"/>
      <c r="L26" s="76"/>
      <c r="M26" s="76"/>
      <c r="N26" s="314" t="s">
        <v>134</v>
      </c>
      <c r="O26" s="76"/>
      <c r="P26" s="76"/>
      <c r="Q26" s="75">
        <v>56.622</v>
      </c>
      <c r="R26" s="74" t="s">
        <v>134</v>
      </c>
      <c r="S26" s="75">
        <v>438.351</v>
      </c>
      <c r="T26" s="315">
        <v>219.1755</v>
      </c>
      <c r="U26" s="73">
        <v>123</v>
      </c>
      <c r="V26" s="74">
        <v>120</v>
      </c>
      <c r="W26" s="79">
        <v>243</v>
      </c>
      <c r="X26" s="73">
        <v>116</v>
      </c>
      <c r="Y26" s="74">
        <v>115</v>
      </c>
      <c r="Z26" s="79">
        <v>231</v>
      </c>
      <c r="AA26" s="80" t="s">
        <v>592</v>
      </c>
      <c r="AB26" s="81" t="s">
        <v>593</v>
      </c>
      <c r="AC26" s="82">
        <v>288466.79800000001</v>
      </c>
      <c r="AD26" s="316">
        <v>2864384.8640000001</v>
      </c>
      <c r="AE26" s="320"/>
      <c r="AF26" s="261"/>
      <c r="AG26" s="76"/>
      <c r="AH26" s="76"/>
      <c r="AI26" s="318"/>
    </row>
    <row r="27" spans="1:35" ht="18.75">
      <c r="A27" s="73"/>
      <c r="B27" s="74" t="s">
        <v>134</v>
      </c>
      <c r="C27" s="74"/>
      <c r="D27" s="74"/>
      <c r="E27" s="74"/>
      <c r="F27" s="74"/>
      <c r="G27" s="75">
        <v>220.351</v>
      </c>
      <c r="H27" s="74"/>
      <c r="I27" s="74"/>
      <c r="J27" s="76"/>
      <c r="K27" s="76"/>
      <c r="L27" s="76"/>
      <c r="M27" s="76"/>
      <c r="N27" s="314"/>
      <c r="O27" s="76"/>
      <c r="P27" s="76"/>
      <c r="Q27" s="75"/>
      <c r="R27" s="74"/>
      <c r="S27" s="75"/>
      <c r="T27" s="315"/>
      <c r="U27" s="73"/>
      <c r="V27" s="74"/>
      <c r="W27" s="79"/>
      <c r="X27" s="73"/>
      <c r="Y27" s="74"/>
      <c r="Z27" s="79"/>
      <c r="AA27" s="80"/>
      <c r="AB27" s="81"/>
      <c r="AC27" s="82"/>
      <c r="AD27" s="316"/>
      <c r="AE27" s="319"/>
      <c r="AF27" s="261"/>
      <c r="AG27" s="76"/>
      <c r="AH27" s="76"/>
      <c r="AI27" s="318"/>
    </row>
    <row r="28" spans="1:35" ht="18.75">
      <c r="A28" s="73">
        <v>10</v>
      </c>
      <c r="B28" s="74" t="s">
        <v>207</v>
      </c>
      <c r="C28" s="74" t="s">
        <v>65</v>
      </c>
      <c r="D28" s="74" t="s">
        <v>573</v>
      </c>
      <c r="E28" s="74" t="s">
        <v>995</v>
      </c>
      <c r="F28" s="74">
        <v>38.33</v>
      </c>
      <c r="G28" s="75"/>
      <c r="H28" s="75">
        <v>2006.875</v>
      </c>
      <c r="I28" s="75">
        <f>SUM(G24:G27)</f>
        <v>438.351</v>
      </c>
      <c r="J28" s="76"/>
      <c r="K28" s="76"/>
      <c r="L28" s="76"/>
      <c r="M28" s="76"/>
      <c r="N28" s="314" t="s">
        <v>134</v>
      </c>
      <c r="O28" s="76"/>
      <c r="P28" s="76"/>
      <c r="Q28" s="75">
        <v>55.875999999999998</v>
      </c>
      <c r="R28" s="74" t="s">
        <v>595</v>
      </c>
      <c r="S28" s="75">
        <v>410.351</v>
      </c>
      <c r="T28" s="315">
        <v>205.1755</v>
      </c>
      <c r="U28" s="73">
        <v>101</v>
      </c>
      <c r="V28" s="74">
        <v>55</v>
      </c>
      <c r="W28" s="79">
        <v>156</v>
      </c>
      <c r="X28" s="73">
        <v>106</v>
      </c>
      <c r="Y28" s="74">
        <v>72</v>
      </c>
      <c r="Z28" s="79">
        <v>178</v>
      </c>
      <c r="AA28" s="80" t="s">
        <v>596</v>
      </c>
      <c r="AB28" s="81" t="s">
        <v>597</v>
      </c>
      <c r="AC28" s="82">
        <v>288289.22399999999</v>
      </c>
      <c r="AD28" s="316">
        <v>2864515.3319999999</v>
      </c>
      <c r="AE28" s="319"/>
      <c r="AF28" s="261"/>
      <c r="AG28" s="76"/>
      <c r="AH28" s="76"/>
      <c r="AI28" s="318"/>
    </row>
    <row r="29" spans="1:35" ht="18.75">
      <c r="A29" s="73"/>
      <c r="B29" s="74" t="s">
        <v>134</v>
      </c>
      <c r="C29" s="74"/>
      <c r="D29" s="74"/>
      <c r="E29" s="74"/>
      <c r="F29" s="74"/>
      <c r="G29" s="75">
        <v>190</v>
      </c>
      <c r="H29" s="74"/>
      <c r="I29" s="74"/>
      <c r="J29" s="76"/>
      <c r="K29" s="76"/>
      <c r="L29" s="76"/>
      <c r="M29" s="76"/>
      <c r="N29" s="314"/>
      <c r="O29" s="76"/>
      <c r="P29" s="76"/>
      <c r="Q29" s="75"/>
      <c r="R29" s="74"/>
      <c r="S29" s="75"/>
      <c r="T29" s="315"/>
      <c r="U29" s="73"/>
      <c r="V29" s="74"/>
      <c r="W29" s="79"/>
      <c r="X29" s="73"/>
      <c r="Y29" s="74"/>
      <c r="Z29" s="79"/>
      <c r="AA29" s="80"/>
      <c r="AB29" s="81"/>
      <c r="AC29" s="82"/>
      <c r="AD29" s="316"/>
      <c r="AE29" s="319"/>
      <c r="AF29" s="261"/>
      <c r="AG29" s="76"/>
      <c r="AH29" s="76"/>
      <c r="AI29" s="318"/>
    </row>
    <row r="30" spans="1:35" ht="61.9" customHeight="1">
      <c r="A30" s="73">
        <v>11</v>
      </c>
      <c r="B30" s="74" t="s">
        <v>134</v>
      </c>
      <c r="C30" s="74" t="s">
        <v>598</v>
      </c>
      <c r="D30" s="74" t="s">
        <v>582</v>
      </c>
      <c r="E30" s="74" t="s">
        <v>995</v>
      </c>
      <c r="F30" s="74">
        <v>40.53</v>
      </c>
      <c r="G30" s="75"/>
      <c r="H30" s="75">
        <v>2196.875</v>
      </c>
      <c r="I30" s="74" t="s">
        <v>134</v>
      </c>
      <c r="J30" s="76"/>
      <c r="K30" s="76"/>
      <c r="L30" s="76"/>
      <c r="M30" s="76"/>
      <c r="N30" s="314" t="s">
        <v>134</v>
      </c>
      <c r="O30" s="76"/>
      <c r="P30" s="76"/>
      <c r="Q30" s="75">
        <v>56.057000000000002</v>
      </c>
      <c r="R30" s="74" t="s">
        <v>134</v>
      </c>
      <c r="S30" s="75">
        <v>450</v>
      </c>
      <c r="T30" s="315">
        <v>225</v>
      </c>
      <c r="U30" s="73">
        <v>135</v>
      </c>
      <c r="V30" s="74">
        <v>100</v>
      </c>
      <c r="W30" s="79">
        <v>235</v>
      </c>
      <c r="X30" s="73">
        <v>118</v>
      </c>
      <c r="Y30" s="74">
        <v>113</v>
      </c>
      <c r="Z30" s="79">
        <v>231</v>
      </c>
      <c r="AA30" s="80" t="s">
        <v>599</v>
      </c>
      <c r="AB30" s="81" t="s">
        <v>600</v>
      </c>
      <c r="AC30" s="82">
        <v>288104.125</v>
      </c>
      <c r="AD30" s="316">
        <v>2864558.2080000001</v>
      </c>
      <c r="AE30" s="320"/>
      <c r="AF30" s="261"/>
      <c r="AG30" s="76"/>
      <c r="AH30" s="76"/>
      <c r="AI30" s="321" t="s">
        <v>601</v>
      </c>
    </row>
    <row r="31" spans="1:35" ht="18.75">
      <c r="A31" s="73"/>
      <c r="B31" s="74" t="s">
        <v>134</v>
      </c>
      <c r="C31" s="74"/>
      <c r="D31" s="74"/>
      <c r="E31" s="74"/>
      <c r="F31" s="74"/>
      <c r="G31" s="75">
        <v>260</v>
      </c>
      <c r="H31" s="74"/>
      <c r="I31" s="74"/>
      <c r="J31" s="76"/>
      <c r="K31" s="76"/>
      <c r="L31" s="76"/>
      <c r="M31" s="76"/>
      <c r="N31" s="314"/>
      <c r="O31" s="76"/>
      <c r="P31" s="76"/>
      <c r="Q31" s="75"/>
      <c r="R31" s="74"/>
      <c r="S31" s="75"/>
      <c r="T31" s="315"/>
      <c r="U31" s="73"/>
      <c r="V31" s="74"/>
      <c r="W31" s="79"/>
      <c r="X31" s="73"/>
      <c r="Y31" s="74"/>
      <c r="Z31" s="79"/>
      <c r="AA31" s="80"/>
      <c r="AB31" s="81"/>
      <c r="AC31" s="82"/>
      <c r="AD31" s="316"/>
      <c r="AE31" s="319" t="s">
        <v>578</v>
      </c>
      <c r="AF31" s="261"/>
      <c r="AG31" s="76"/>
      <c r="AH31" s="76"/>
      <c r="AI31" s="318"/>
    </row>
    <row r="32" spans="1:35" ht="18.75">
      <c r="A32" s="73">
        <v>12</v>
      </c>
      <c r="B32" s="74" t="s">
        <v>134</v>
      </c>
      <c r="C32" s="74" t="s">
        <v>602</v>
      </c>
      <c r="D32" s="74" t="s">
        <v>603</v>
      </c>
      <c r="E32" s="74" t="s">
        <v>982</v>
      </c>
      <c r="F32" s="74">
        <v>43.53</v>
      </c>
      <c r="G32" s="75"/>
      <c r="H32" s="75">
        <v>2456.875</v>
      </c>
      <c r="I32" s="74" t="s">
        <v>134</v>
      </c>
      <c r="J32" s="76"/>
      <c r="K32" s="76"/>
      <c r="L32" s="76"/>
      <c r="M32" s="76"/>
      <c r="N32" s="314" t="s">
        <v>134</v>
      </c>
      <c r="O32" s="76"/>
      <c r="P32" s="76"/>
      <c r="Q32" s="75">
        <v>56.426000000000002</v>
      </c>
      <c r="R32" s="74" t="s">
        <v>134</v>
      </c>
      <c r="S32" s="75">
        <v>583.05200000000002</v>
      </c>
      <c r="T32" s="315">
        <v>291.52600000000001</v>
      </c>
      <c r="U32" s="73">
        <v>160</v>
      </c>
      <c r="V32" s="74">
        <v>170</v>
      </c>
      <c r="W32" s="79">
        <v>330</v>
      </c>
      <c r="X32" s="73">
        <v>148</v>
      </c>
      <c r="Y32" s="74">
        <v>167</v>
      </c>
      <c r="Z32" s="79">
        <v>314</v>
      </c>
      <c r="AA32" s="80" t="s">
        <v>604</v>
      </c>
      <c r="AB32" s="81" t="s">
        <v>605</v>
      </c>
      <c r="AC32" s="82">
        <v>287850.83199999999</v>
      </c>
      <c r="AD32" s="316">
        <v>2864616.8810000001</v>
      </c>
      <c r="AE32" s="319"/>
      <c r="AF32" s="261"/>
      <c r="AG32" s="76"/>
      <c r="AH32" s="76"/>
      <c r="AI32" s="318"/>
    </row>
    <row r="33" spans="1:35" ht="18.75">
      <c r="A33" s="73"/>
      <c r="B33" s="74" t="s">
        <v>134</v>
      </c>
      <c r="C33" s="74"/>
      <c r="D33" s="74"/>
      <c r="E33" s="74"/>
      <c r="F33" s="74"/>
      <c r="G33" s="75">
        <v>323.05200000000002</v>
      </c>
      <c r="H33" s="74"/>
      <c r="I33" s="74"/>
      <c r="J33" s="76"/>
      <c r="K33" s="76"/>
      <c r="L33" s="76"/>
      <c r="M33" s="76"/>
      <c r="N33" s="314"/>
      <c r="O33" s="76"/>
      <c r="P33" s="76"/>
      <c r="Q33" s="75"/>
      <c r="R33" s="74"/>
      <c r="S33" s="75"/>
      <c r="T33" s="315"/>
      <c r="U33" s="73"/>
      <c r="V33" s="74"/>
      <c r="W33" s="79"/>
      <c r="X33" s="73"/>
      <c r="Y33" s="74"/>
      <c r="Z33" s="79"/>
      <c r="AA33" s="80"/>
      <c r="AB33" s="81"/>
      <c r="AC33" s="82"/>
      <c r="AD33" s="316"/>
      <c r="AE33" s="319" t="s">
        <v>606</v>
      </c>
      <c r="AF33" s="261"/>
      <c r="AG33" s="76"/>
      <c r="AH33" s="76"/>
      <c r="AI33" s="318"/>
    </row>
    <row r="34" spans="1:35" ht="18.75">
      <c r="A34" s="73">
        <v>13</v>
      </c>
      <c r="B34" s="74" t="s">
        <v>212</v>
      </c>
      <c r="C34" s="74" t="s">
        <v>213</v>
      </c>
      <c r="D34" s="74" t="s">
        <v>607</v>
      </c>
      <c r="E34" s="74" t="s">
        <v>982</v>
      </c>
      <c r="F34" s="74">
        <v>44.33</v>
      </c>
      <c r="G34" s="75"/>
      <c r="H34" s="75">
        <v>2779.9270000000001</v>
      </c>
      <c r="I34" s="75">
        <f>SUM(G28:G33)</f>
        <v>773.05200000000002</v>
      </c>
      <c r="J34" s="76"/>
      <c r="K34" s="76"/>
      <c r="L34" s="76"/>
      <c r="M34" s="76"/>
      <c r="N34" s="314" t="s">
        <v>134</v>
      </c>
      <c r="O34" s="76"/>
      <c r="P34" s="76"/>
      <c r="Q34" s="75">
        <v>55.334000000000003</v>
      </c>
      <c r="R34" s="74" t="s">
        <v>608</v>
      </c>
      <c r="S34" s="75">
        <v>569.07500000000005</v>
      </c>
      <c r="T34" s="315">
        <v>284.53750000000002</v>
      </c>
      <c r="U34" s="73">
        <v>153</v>
      </c>
      <c r="V34" s="74">
        <v>189</v>
      </c>
      <c r="W34" s="79">
        <v>342</v>
      </c>
      <c r="X34" s="73">
        <v>157</v>
      </c>
      <c r="Y34" s="74">
        <v>159</v>
      </c>
      <c r="Z34" s="79">
        <v>316</v>
      </c>
      <c r="AA34" s="80" t="s">
        <v>609</v>
      </c>
      <c r="AB34" s="81" t="s">
        <v>610</v>
      </c>
      <c r="AC34" s="82">
        <v>287536.11300000001</v>
      </c>
      <c r="AD34" s="316">
        <v>2864689.7829999998</v>
      </c>
      <c r="AE34" s="319"/>
      <c r="AF34" s="261"/>
      <c r="AG34" s="76"/>
      <c r="AH34" s="76"/>
      <c r="AI34" s="318"/>
    </row>
    <row r="35" spans="1:35" ht="18.75">
      <c r="A35" s="73"/>
      <c r="B35" s="74" t="s">
        <v>134</v>
      </c>
      <c r="C35" s="74"/>
      <c r="D35" s="74"/>
      <c r="E35" s="74"/>
      <c r="F35" s="74"/>
      <c r="G35" s="75">
        <v>246.023</v>
      </c>
      <c r="H35" s="74"/>
      <c r="I35" s="74"/>
      <c r="J35" s="76"/>
      <c r="K35" s="76"/>
      <c r="L35" s="76"/>
      <c r="M35" s="76"/>
      <c r="N35" s="314"/>
      <c r="O35" s="76"/>
      <c r="P35" s="76"/>
      <c r="Q35" s="75"/>
      <c r="R35" s="74"/>
      <c r="S35" s="75"/>
      <c r="T35" s="315"/>
      <c r="U35" s="73"/>
      <c r="V35" s="74"/>
      <c r="W35" s="79"/>
      <c r="X35" s="73"/>
      <c r="Y35" s="74"/>
      <c r="Z35" s="79"/>
      <c r="AA35" s="80"/>
      <c r="AB35" s="81"/>
      <c r="AC35" s="82"/>
      <c r="AD35" s="316"/>
      <c r="AE35" s="319" t="s">
        <v>217</v>
      </c>
      <c r="AF35" s="261"/>
      <c r="AG35" s="76"/>
      <c r="AH35" s="76"/>
      <c r="AI35" s="318"/>
    </row>
    <row r="36" spans="1:35" ht="18.75">
      <c r="A36" s="73">
        <v>14</v>
      </c>
      <c r="B36" s="74" t="s">
        <v>218</v>
      </c>
      <c r="C36" s="74" t="s">
        <v>66</v>
      </c>
      <c r="D36" s="74" t="s">
        <v>586</v>
      </c>
      <c r="E36" s="74" t="s">
        <v>982</v>
      </c>
      <c r="F36" s="74">
        <v>38.33</v>
      </c>
      <c r="G36" s="75"/>
      <c r="H36" s="75">
        <v>3025.9500000000003</v>
      </c>
      <c r="I36" s="75">
        <f>SUM(G34:G35)</f>
        <v>246.023</v>
      </c>
      <c r="J36" s="76"/>
      <c r="K36" s="76"/>
      <c r="L36" s="76"/>
      <c r="M36" s="76"/>
      <c r="N36" s="314" t="s">
        <v>134</v>
      </c>
      <c r="O36" s="76"/>
      <c r="P36" s="76"/>
      <c r="Q36" s="75">
        <v>54.551000000000002</v>
      </c>
      <c r="R36" s="74" t="s">
        <v>611</v>
      </c>
      <c r="S36" s="75">
        <v>501.02300000000002</v>
      </c>
      <c r="T36" s="315">
        <v>250.51150000000001</v>
      </c>
      <c r="U36" s="73">
        <v>57</v>
      </c>
      <c r="V36" s="74">
        <v>102</v>
      </c>
      <c r="W36" s="79">
        <v>159</v>
      </c>
      <c r="X36" s="73">
        <v>88</v>
      </c>
      <c r="Y36" s="74">
        <v>114</v>
      </c>
      <c r="Z36" s="79">
        <v>202</v>
      </c>
      <c r="AA36" s="80" t="s">
        <v>612</v>
      </c>
      <c r="AB36" s="81" t="s">
        <v>613</v>
      </c>
      <c r="AC36" s="82">
        <v>287352.28399999999</v>
      </c>
      <c r="AD36" s="316">
        <v>2864853.2889999999</v>
      </c>
      <c r="AE36" s="319"/>
      <c r="AF36" s="261"/>
      <c r="AG36" s="76"/>
      <c r="AH36" s="76"/>
      <c r="AI36" s="318"/>
    </row>
    <row r="37" spans="1:35" ht="18.75">
      <c r="A37" s="73"/>
      <c r="B37" s="74" t="s">
        <v>134</v>
      </c>
      <c r="C37" s="74"/>
      <c r="D37" s="74"/>
      <c r="E37" s="74"/>
      <c r="F37" s="74"/>
      <c r="G37" s="75">
        <v>255</v>
      </c>
      <c r="H37" s="74"/>
      <c r="I37" s="74"/>
      <c r="J37" s="76"/>
      <c r="K37" s="76"/>
      <c r="L37" s="76"/>
      <c r="M37" s="76"/>
      <c r="N37" s="314"/>
      <c r="O37" s="76"/>
      <c r="P37" s="76"/>
      <c r="Q37" s="75"/>
      <c r="R37" s="74"/>
      <c r="S37" s="75"/>
      <c r="T37" s="315"/>
      <c r="U37" s="73"/>
      <c r="V37" s="74"/>
      <c r="W37" s="79"/>
      <c r="X37" s="73"/>
      <c r="Y37" s="74"/>
      <c r="Z37" s="79"/>
      <c r="AA37" s="80"/>
      <c r="AB37" s="81"/>
      <c r="AC37" s="82"/>
      <c r="AD37" s="316"/>
      <c r="AE37" s="319" t="s">
        <v>615</v>
      </c>
      <c r="AF37" s="261"/>
      <c r="AG37" s="76"/>
      <c r="AH37" s="76"/>
      <c r="AI37" s="318"/>
    </row>
    <row r="38" spans="1:35" ht="65.45" customHeight="1">
      <c r="A38" s="73">
        <v>15</v>
      </c>
      <c r="B38" s="74" t="s">
        <v>134</v>
      </c>
      <c r="C38" s="74" t="s">
        <v>616</v>
      </c>
      <c r="D38" s="74" t="s">
        <v>582</v>
      </c>
      <c r="E38" s="74" t="s">
        <v>995</v>
      </c>
      <c r="F38" s="74">
        <v>40.53</v>
      </c>
      <c r="G38" s="75"/>
      <c r="H38" s="75">
        <v>3280.9500000000003</v>
      </c>
      <c r="I38" s="74" t="s">
        <v>134</v>
      </c>
      <c r="J38" s="76"/>
      <c r="K38" s="76"/>
      <c r="L38" s="76"/>
      <c r="M38" s="76"/>
      <c r="N38" s="314" t="s">
        <v>134</v>
      </c>
      <c r="O38" s="76"/>
      <c r="P38" s="76"/>
      <c r="Q38" s="75">
        <v>54.201000000000001</v>
      </c>
      <c r="R38" s="74" t="s">
        <v>134</v>
      </c>
      <c r="S38" s="75">
        <v>407</v>
      </c>
      <c r="T38" s="315">
        <v>203.5</v>
      </c>
      <c r="U38" s="73">
        <v>153</v>
      </c>
      <c r="V38" s="74">
        <v>70</v>
      </c>
      <c r="W38" s="79">
        <v>223</v>
      </c>
      <c r="X38" s="73">
        <v>142</v>
      </c>
      <c r="Y38" s="74">
        <v>73</v>
      </c>
      <c r="Z38" s="79">
        <v>215</v>
      </c>
      <c r="AA38" s="80" t="s">
        <v>617</v>
      </c>
      <c r="AB38" s="81" t="s">
        <v>618</v>
      </c>
      <c r="AC38" s="82">
        <v>287281.05800000002</v>
      </c>
      <c r="AD38" s="316">
        <v>2865098.14</v>
      </c>
      <c r="AE38" s="319"/>
      <c r="AF38" s="261"/>
      <c r="AG38" s="76"/>
      <c r="AH38" s="76"/>
      <c r="AI38" s="321" t="s">
        <v>601</v>
      </c>
    </row>
    <row r="39" spans="1:35" ht="18.75">
      <c r="A39" s="73"/>
      <c r="B39" s="74" t="s">
        <v>134</v>
      </c>
      <c r="C39" s="74"/>
      <c r="D39" s="74"/>
      <c r="E39" s="74"/>
      <c r="F39" s="74"/>
      <c r="G39" s="75">
        <v>152</v>
      </c>
      <c r="H39" s="74"/>
      <c r="I39" s="74"/>
      <c r="J39" s="76"/>
      <c r="K39" s="76"/>
      <c r="L39" s="76"/>
      <c r="M39" s="76"/>
      <c r="N39" s="314"/>
      <c r="O39" s="76"/>
      <c r="P39" s="76"/>
      <c r="Q39" s="75"/>
      <c r="R39" s="74"/>
      <c r="S39" s="75"/>
      <c r="T39" s="315"/>
      <c r="U39" s="73"/>
      <c r="V39" s="74"/>
      <c r="W39" s="79"/>
      <c r="X39" s="73"/>
      <c r="Y39" s="74"/>
      <c r="Z39" s="79"/>
      <c r="AA39" s="80"/>
      <c r="AB39" s="81"/>
      <c r="AC39" s="82"/>
      <c r="AD39" s="316"/>
      <c r="AE39" s="319" t="s">
        <v>620</v>
      </c>
      <c r="AF39" s="261"/>
      <c r="AG39" s="76"/>
      <c r="AH39" s="76"/>
      <c r="AI39" s="318"/>
    </row>
    <row r="40" spans="1:35" ht="62.45" customHeight="1">
      <c r="A40" s="73">
        <v>16</v>
      </c>
      <c r="B40" s="74" t="s">
        <v>134</v>
      </c>
      <c r="C40" s="74" t="s">
        <v>621</v>
      </c>
      <c r="D40" s="74" t="s">
        <v>582</v>
      </c>
      <c r="E40" s="74" t="s">
        <v>995</v>
      </c>
      <c r="F40" s="74">
        <v>40.53</v>
      </c>
      <c r="G40" s="75"/>
      <c r="H40" s="75">
        <v>3432.9500000000003</v>
      </c>
      <c r="I40" s="74" t="s">
        <v>134</v>
      </c>
      <c r="J40" s="76"/>
      <c r="K40" s="76"/>
      <c r="L40" s="76"/>
      <c r="M40" s="76"/>
      <c r="N40" s="314" t="s">
        <v>134</v>
      </c>
      <c r="O40" s="76"/>
      <c r="P40" s="76"/>
      <c r="Q40" s="75">
        <v>54.569000000000003</v>
      </c>
      <c r="R40" s="74" t="s">
        <v>134</v>
      </c>
      <c r="S40" s="75">
        <v>446.49799999999999</v>
      </c>
      <c r="T40" s="315">
        <v>223.249</v>
      </c>
      <c r="U40" s="73">
        <v>82</v>
      </c>
      <c r="V40" s="74">
        <v>172</v>
      </c>
      <c r="W40" s="79">
        <v>253</v>
      </c>
      <c r="X40" s="73">
        <v>79</v>
      </c>
      <c r="Y40" s="74">
        <v>161</v>
      </c>
      <c r="Z40" s="79">
        <v>240</v>
      </c>
      <c r="AA40" s="80" t="s">
        <v>622</v>
      </c>
      <c r="AB40" s="81" t="s">
        <v>623</v>
      </c>
      <c r="AC40" s="82">
        <v>287238.60100000002</v>
      </c>
      <c r="AD40" s="316">
        <v>2865244.0890000002</v>
      </c>
      <c r="AE40" s="320"/>
      <c r="AF40" s="261"/>
      <c r="AG40" s="76"/>
      <c r="AH40" s="76"/>
      <c r="AI40" s="321" t="s">
        <v>601</v>
      </c>
    </row>
    <row r="41" spans="1:35" ht="18.75">
      <c r="A41" s="73"/>
      <c r="B41" s="74" t="s">
        <v>134</v>
      </c>
      <c r="C41" s="74"/>
      <c r="D41" s="74"/>
      <c r="E41" s="74"/>
      <c r="F41" s="74"/>
      <c r="G41" s="75">
        <v>294.49799999999999</v>
      </c>
      <c r="H41" s="74"/>
      <c r="I41" s="74"/>
      <c r="J41" s="76"/>
      <c r="K41" s="76"/>
      <c r="L41" s="76"/>
      <c r="M41" s="76"/>
      <c r="N41" s="314"/>
      <c r="O41" s="76"/>
      <c r="P41" s="76"/>
      <c r="Q41" s="75"/>
      <c r="R41" s="74"/>
      <c r="S41" s="75"/>
      <c r="T41" s="315"/>
      <c r="U41" s="73"/>
      <c r="V41" s="74"/>
      <c r="W41" s="79"/>
      <c r="X41" s="73"/>
      <c r="Y41" s="74"/>
      <c r="Z41" s="79"/>
      <c r="AA41" s="80"/>
      <c r="AB41" s="81"/>
      <c r="AC41" s="82"/>
      <c r="AD41" s="316"/>
      <c r="AE41" s="319" t="s">
        <v>624</v>
      </c>
      <c r="AF41" s="261"/>
      <c r="AG41" s="76"/>
      <c r="AH41" s="76"/>
      <c r="AI41" s="318"/>
    </row>
    <row r="42" spans="1:35" ht="18.75">
      <c r="A42" s="73">
        <v>17</v>
      </c>
      <c r="B42" s="74" t="s">
        <v>223</v>
      </c>
      <c r="C42" s="74" t="s">
        <v>224</v>
      </c>
      <c r="D42" s="74" t="s">
        <v>573</v>
      </c>
      <c r="E42" s="74" t="s">
        <v>995</v>
      </c>
      <c r="F42" s="74">
        <v>38.33</v>
      </c>
      <c r="G42" s="75"/>
      <c r="H42" s="75">
        <v>3727.4480000000003</v>
      </c>
      <c r="I42" s="75">
        <f>SUM(G36:G41)</f>
        <v>701.49800000000005</v>
      </c>
      <c r="J42" s="76"/>
      <c r="K42" s="76"/>
      <c r="L42" s="76"/>
      <c r="M42" s="76"/>
      <c r="N42" s="314" t="s">
        <v>134</v>
      </c>
      <c r="O42" s="76"/>
      <c r="P42" s="76"/>
      <c r="Q42" s="75">
        <v>54.658999999999999</v>
      </c>
      <c r="R42" s="74" t="s">
        <v>625</v>
      </c>
      <c r="S42" s="75">
        <v>563.49800000000005</v>
      </c>
      <c r="T42" s="315">
        <v>281.74900000000002</v>
      </c>
      <c r="U42" s="73">
        <v>123</v>
      </c>
      <c r="V42" s="74">
        <v>110</v>
      </c>
      <c r="W42" s="79">
        <v>233</v>
      </c>
      <c r="X42" s="73">
        <v>134</v>
      </c>
      <c r="Y42" s="74">
        <v>120</v>
      </c>
      <c r="Z42" s="79">
        <v>254</v>
      </c>
      <c r="AA42" s="80" t="s">
        <v>626</v>
      </c>
      <c r="AB42" s="81" t="s">
        <v>627</v>
      </c>
      <c r="AC42" s="82">
        <v>287156.342</v>
      </c>
      <c r="AD42" s="316">
        <v>2865526.8659999999</v>
      </c>
      <c r="AE42" s="319"/>
      <c r="AF42" s="261"/>
      <c r="AG42" s="76"/>
      <c r="AH42" s="76"/>
      <c r="AI42" s="318"/>
    </row>
    <row r="43" spans="1:35" ht="18.75">
      <c r="A43" s="73"/>
      <c r="B43" s="74" t="s">
        <v>134</v>
      </c>
      <c r="C43" s="74"/>
      <c r="D43" s="74"/>
      <c r="E43" s="74"/>
      <c r="F43" s="74"/>
      <c r="G43" s="75">
        <v>269</v>
      </c>
      <c r="H43" s="74"/>
      <c r="I43" s="74"/>
      <c r="J43" s="76"/>
      <c r="K43" s="76"/>
      <c r="L43" s="76"/>
      <c r="M43" s="76"/>
      <c r="N43" s="314"/>
      <c r="O43" s="76"/>
      <c r="P43" s="76"/>
      <c r="Q43" s="75"/>
      <c r="R43" s="74"/>
      <c r="S43" s="75"/>
      <c r="T43" s="315"/>
      <c r="U43" s="73"/>
      <c r="V43" s="74"/>
      <c r="W43" s="79"/>
      <c r="X43" s="73"/>
      <c r="Y43" s="74"/>
      <c r="Z43" s="79"/>
      <c r="AA43" s="80"/>
      <c r="AB43" s="81"/>
      <c r="AC43" s="82"/>
      <c r="AD43" s="316"/>
      <c r="AE43" s="319" t="s">
        <v>313</v>
      </c>
      <c r="AF43" s="261"/>
      <c r="AG43" s="76"/>
      <c r="AH43" s="76"/>
      <c r="AI43" s="318"/>
    </row>
    <row r="44" spans="1:35" ht="18.75">
      <c r="A44" s="73">
        <v>18</v>
      </c>
      <c r="B44" s="74" t="s">
        <v>134</v>
      </c>
      <c r="C44" s="74" t="s">
        <v>230</v>
      </c>
      <c r="D44" s="74" t="s">
        <v>582</v>
      </c>
      <c r="E44" s="74" t="s">
        <v>995</v>
      </c>
      <c r="F44" s="74">
        <v>40.53</v>
      </c>
      <c r="G44" s="75"/>
      <c r="H44" s="75">
        <v>3996.4480000000003</v>
      </c>
      <c r="I44" s="74" t="s">
        <v>134</v>
      </c>
      <c r="J44" s="76"/>
      <c r="K44" s="76"/>
      <c r="L44" s="76"/>
      <c r="M44" s="76"/>
      <c r="N44" s="314" t="s">
        <v>134</v>
      </c>
      <c r="O44" s="76"/>
      <c r="P44" s="76"/>
      <c r="Q44" s="75">
        <v>54.457999999999998</v>
      </c>
      <c r="R44" s="74" t="s">
        <v>134</v>
      </c>
      <c r="S44" s="75">
        <v>602</v>
      </c>
      <c r="T44" s="315">
        <v>301</v>
      </c>
      <c r="U44" s="73">
        <v>159</v>
      </c>
      <c r="V44" s="74">
        <v>168</v>
      </c>
      <c r="W44" s="79">
        <v>327</v>
      </c>
      <c r="X44" s="73">
        <v>149</v>
      </c>
      <c r="Y44" s="74">
        <v>168</v>
      </c>
      <c r="Z44" s="79">
        <v>317</v>
      </c>
      <c r="AA44" s="80" t="s">
        <v>629</v>
      </c>
      <c r="AB44" s="81" t="s">
        <v>630</v>
      </c>
      <c r="AC44" s="82">
        <v>287184.94500000001</v>
      </c>
      <c r="AD44" s="316">
        <v>2865794.341</v>
      </c>
      <c r="AE44" s="319"/>
      <c r="AF44" s="261"/>
      <c r="AG44" s="76"/>
      <c r="AH44" s="76"/>
      <c r="AI44" s="318"/>
    </row>
    <row r="45" spans="1:35" ht="18.75">
      <c r="A45" s="73"/>
      <c r="B45" s="74" t="s">
        <v>134</v>
      </c>
      <c r="C45" s="74"/>
      <c r="D45" s="74"/>
      <c r="E45" s="74"/>
      <c r="F45" s="74"/>
      <c r="G45" s="75">
        <v>333</v>
      </c>
      <c r="H45" s="74"/>
      <c r="I45" s="74"/>
      <c r="J45" s="76"/>
      <c r="K45" s="76"/>
      <c r="L45" s="76"/>
      <c r="M45" s="76"/>
      <c r="N45" s="314"/>
      <c r="O45" s="76"/>
      <c r="P45" s="76"/>
      <c r="Q45" s="75"/>
      <c r="R45" s="74"/>
      <c r="S45" s="75"/>
      <c r="T45" s="315"/>
      <c r="U45" s="73"/>
      <c r="V45" s="74"/>
      <c r="W45" s="79"/>
      <c r="X45" s="73"/>
      <c r="Y45" s="74"/>
      <c r="Z45" s="79"/>
      <c r="AA45" s="80"/>
      <c r="AB45" s="81"/>
      <c r="AC45" s="82"/>
      <c r="AD45" s="316"/>
      <c r="AE45" s="319" t="s">
        <v>578</v>
      </c>
      <c r="AF45" s="261"/>
      <c r="AG45" s="76"/>
      <c r="AH45" s="76"/>
      <c r="AI45" s="318"/>
    </row>
    <row r="46" spans="1:35" ht="18.75">
      <c r="A46" s="73">
        <v>19</v>
      </c>
      <c r="B46" s="74" t="s">
        <v>134</v>
      </c>
      <c r="C46" s="74" t="s">
        <v>234</v>
      </c>
      <c r="D46" s="74" t="s">
        <v>582</v>
      </c>
      <c r="E46" s="74" t="s">
        <v>995</v>
      </c>
      <c r="F46" s="74">
        <v>40.53</v>
      </c>
      <c r="G46" s="75"/>
      <c r="H46" s="75">
        <v>4329.4480000000003</v>
      </c>
      <c r="I46" s="74" t="s">
        <v>134</v>
      </c>
      <c r="J46" s="76"/>
      <c r="K46" s="76"/>
      <c r="L46" s="76"/>
      <c r="M46" s="76"/>
      <c r="N46" s="314" t="s">
        <v>134</v>
      </c>
      <c r="O46" s="76"/>
      <c r="P46" s="76"/>
      <c r="Q46" s="75">
        <v>54.264000000000003</v>
      </c>
      <c r="R46" s="74" t="s">
        <v>134</v>
      </c>
      <c r="S46" s="75">
        <v>590</v>
      </c>
      <c r="T46" s="315">
        <v>295</v>
      </c>
      <c r="U46" s="73">
        <v>165</v>
      </c>
      <c r="V46" s="74">
        <v>147</v>
      </c>
      <c r="W46" s="79">
        <v>312</v>
      </c>
      <c r="X46" s="73">
        <v>166</v>
      </c>
      <c r="Y46" s="74">
        <v>140</v>
      </c>
      <c r="Z46" s="79">
        <v>306</v>
      </c>
      <c r="AA46" s="80" t="s">
        <v>631</v>
      </c>
      <c r="AB46" s="81" t="s">
        <v>632</v>
      </c>
      <c r="AC46" s="82">
        <v>287220.353</v>
      </c>
      <c r="AD46" s="316">
        <v>2866125.4530000002</v>
      </c>
      <c r="AE46" s="319"/>
      <c r="AF46" s="261"/>
      <c r="AG46" s="76"/>
      <c r="AH46" s="76"/>
      <c r="AI46" s="318"/>
    </row>
    <row r="47" spans="1:35" ht="18.75">
      <c r="A47" s="73"/>
      <c r="B47" s="74" t="s">
        <v>134</v>
      </c>
      <c r="C47" s="74"/>
      <c r="D47" s="74"/>
      <c r="E47" s="74"/>
      <c r="F47" s="74"/>
      <c r="G47" s="75">
        <v>257</v>
      </c>
      <c r="H47" s="74"/>
      <c r="I47" s="74"/>
      <c r="J47" s="76"/>
      <c r="K47" s="76"/>
      <c r="L47" s="76"/>
      <c r="M47" s="76"/>
      <c r="N47" s="314"/>
      <c r="O47" s="76"/>
      <c r="P47" s="76"/>
      <c r="Q47" s="75"/>
      <c r="R47" s="74"/>
      <c r="S47" s="75"/>
      <c r="T47" s="315"/>
      <c r="U47" s="73"/>
      <c r="V47" s="74"/>
      <c r="W47" s="79"/>
      <c r="X47" s="73"/>
      <c r="Y47" s="74"/>
      <c r="Z47" s="79"/>
      <c r="AA47" s="80"/>
      <c r="AB47" s="81"/>
      <c r="AC47" s="82"/>
      <c r="AD47" s="316"/>
      <c r="AE47" s="319" t="s">
        <v>633</v>
      </c>
      <c r="AF47" s="261"/>
      <c r="AG47" s="76"/>
      <c r="AH47" s="76"/>
      <c r="AI47" s="318"/>
    </row>
    <row r="48" spans="1:35" ht="18.75">
      <c r="A48" s="73">
        <v>20</v>
      </c>
      <c r="B48" s="74" t="s">
        <v>134</v>
      </c>
      <c r="C48" s="74" t="s">
        <v>239</v>
      </c>
      <c r="D48" s="74" t="s">
        <v>591</v>
      </c>
      <c r="E48" s="74" t="s">
        <v>995</v>
      </c>
      <c r="F48" s="74">
        <v>37.53</v>
      </c>
      <c r="G48" s="75"/>
      <c r="H48" s="75">
        <v>4586.4480000000003</v>
      </c>
      <c r="I48" s="74" t="s">
        <v>134</v>
      </c>
      <c r="J48" s="76"/>
      <c r="K48" s="76"/>
      <c r="L48" s="76"/>
      <c r="M48" s="76"/>
      <c r="N48" s="314" t="s">
        <v>134</v>
      </c>
      <c r="O48" s="76"/>
      <c r="P48" s="76"/>
      <c r="Q48" s="75">
        <v>55.203000000000003</v>
      </c>
      <c r="R48" s="74" t="s">
        <v>134</v>
      </c>
      <c r="S48" s="75">
        <v>554</v>
      </c>
      <c r="T48" s="315">
        <v>277</v>
      </c>
      <c r="U48" s="73">
        <v>110</v>
      </c>
      <c r="V48" s="74">
        <v>153</v>
      </c>
      <c r="W48" s="79">
        <v>263</v>
      </c>
      <c r="X48" s="73">
        <v>118</v>
      </c>
      <c r="Y48" s="74">
        <v>151</v>
      </c>
      <c r="Z48" s="79">
        <v>269</v>
      </c>
      <c r="AA48" s="80" t="s">
        <v>634</v>
      </c>
      <c r="AB48" s="81" t="s">
        <v>635</v>
      </c>
      <c r="AC48" s="82">
        <v>287247.68</v>
      </c>
      <c r="AD48" s="316">
        <v>2866380.9959999998</v>
      </c>
      <c r="AE48" s="320"/>
      <c r="AF48" s="261"/>
      <c r="AG48" s="76"/>
      <c r="AH48" s="76"/>
      <c r="AI48" s="318"/>
    </row>
    <row r="49" spans="1:35" ht="18.75">
      <c r="A49" s="73"/>
      <c r="B49" s="74" t="s">
        <v>134</v>
      </c>
      <c r="C49" s="74"/>
      <c r="D49" s="74"/>
      <c r="E49" s="74"/>
      <c r="F49" s="74"/>
      <c r="G49" s="75">
        <v>297</v>
      </c>
      <c r="H49" s="74"/>
      <c r="I49" s="74"/>
      <c r="J49" s="76"/>
      <c r="K49" s="76"/>
      <c r="L49" s="76"/>
      <c r="M49" s="76"/>
      <c r="N49" s="314"/>
      <c r="O49" s="76"/>
      <c r="P49" s="76"/>
      <c r="Q49" s="75"/>
      <c r="R49" s="74"/>
      <c r="S49" s="75"/>
      <c r="T49" s="315"/>
      <c r="U49" s="73"/>
      <c r="V49" s="74"/>
      <c r="W49" s="79"/>
      <c r="X49" s="73"/>
      <c r="Y49" s="74"/>
      <c r="Z49" s="79"/>
      <c r="AA49" s="80"/>
      <c r="AB49" s="81"/>
      <c r="AC49" s="82"/>
      <c r="AD49" s="316"/>
      <c r="AE49" s="319"/>
      <c r="AF49" s="261"/>
      <c r="AG49" s="76"/>
      <c r="AH49" s="76"/>
      <c r="AI49" s="318"/>
    </row>
    <row r="50" spans="1:35" ht="18.75">
      <c r="A50" s="73">
        <v>21</v>
      </c>
      <c r="B50" s="74" t="s">
        <v>134</v>
      </c>
      <c r="C50" s="74" t="s">
        <v>637</v>
      </c>
      <c r="D50" s="74" t="s">
        <v>591</v>
      </c>
      <c r="E50" s="74" t="s">
        <v>995</v>
      </c>
      <c r="F50" s="74">
        <v>37.53</v>
      </c>
      <c r="G50" s="75"/>
      <c r="H50" s="75">
        <v>4883.4480000000003</v>
      </c>
      <c r="I50" s="74" t="s">
        <v>134</v>
      </c>
      <c r="J50" s="76"/>
      <c r="K50" s="76"/>
      <c r="L50" s="76"/>
      <c r="M50" s="76"/>
      <c r="N50" s="314" t="s">
        <v>134</v>
      </c>
      <c r="O50" s="76"/>
      <c r="P50" s="76"/>
      <c r="Q50" s="75">
        <v>54.618000000000002</v>
      </c>
      <c r="R50" s="74" t="s">
        <v>134</v>
      </c>
      <c r="S50" s="75">
        <v>588.08999999999992</v>
      </c>
      <c r="T50" s="315">
        <v>294.04499999999996</v>
      </c>
      <c r="U50" s="73">
        <v>144</v>
      </c>
      <c r="V50" s="74">
        <v>144</v>
      </c>
      <c r="W50" s="79">
        <v>288</v>
      </c>
      <c r="X50" s="73">
        <v>146</v>
      </c>
      <c r="Y50" s="74">
        <v>145</v>
      </c>
      <c r="Z50" s="79">
        <v>291</v>
      </c>
      <c r="AA50" s="80" t="s">
        <v>638</v>
      </c>
      <c r="AB50" s="81" t="s">
        <v>639</v>
      </c>
      <c r="AC50" s="82">
        <v>287279.26</v>
      </c>
      <c r="AD50" s="316">
        <v>2866676.3119999999</v>
      </c>
      <c r="AE50" s="319"/>
      <c r="AF50" s="261"/>
      <c r="AG50" s="76"/>
      <c r="AH50" s="76"/>
      <c r="AI50" s="318"/>
    </row>
    <row r="51" spans="1:35" ht="18.75">
      <c r="A51" s="73"/>
      <c r="B51" s="74" t="s">
        <v>134</v>
      </c>
      <c r="C51" s="74"/>
      <c r="D51" s="74"/>
      <c r="E51" s="74"/>
      <c r="F51" s="74"/>
      <c r="G51" s="75">
        <v>291.08999999999997</v>
      </c>
      <c r="H51" s="74"/>
      <c r="I51" s="74"/>
      <c r="J51" s="76"/>
      <c r="K51" s="76"/>
      <c r="L51" s="76"/>
      <c r="M51" s="76"/>
      <c r="N51" s="314"/>
      <c r="O51" s="76"/>
      <c r="P51" s="76"/>
      <c r="Q51" s="75"/>
      <c r="R51" s="74"/>
      <c r="S51" s="75"/>
      <c r="T51" s="315"/>
      <c r="U51" s="73"/>
      <c r="V51" s="74"/>
      <c r="W51" s="79"/>
      <c r="X51" s="73"/>
      <c r="Y51" s="74"/>
      <c r="Z51" s="79"/>
      <c r="AA51" s="80"/>
      <c r="AB51" s="81"/>
      <c r="AC51" s="82"/>
      <c r="AD51" s="316"/>
      <c r="AE51" s="319" t="s">
        <v>578</v>
      </c>
      <c r="AF51" s="261"/>
      <c r="AG51" s="76"/>
      <c r="AH51" s="76"/>
      <c r="AI51" s="318"/>
    </row>
    <row r="52" spans="1:35" ht="18.75">
      <c r="A52" s="73">
        <v>22</v>
      </c>
      <c r="B52" s="74" t="s">
        <v>244</v>
      </c>
      <c r="C52" s="74" t="s">
        <v>67</v>
      </c>
      <c r="D52" s="74" t="s">
        <v>586</v>
      </c>
      <c r="E52" s="74" t="s">
        <v>995</v>
      </c>
      <c r="F52" s="74">
        <v>38.33</v>
      </c>
      <c r="G52" s="75"/>
      <c r="H52" s="75">
        <v>5174.5380000000005</v>
      </c>
      <c r="I52" s="75">
        <f>SUM(G42:G51)</f>
        <v>1447.09</v>
      </c>
      <c r="J52" s="76"/>
      <c r="K52" s="76"/>
      <c r="L52" s="76"/>
      <c r="M52" s="76"/>
      <c r="N52" s="314" t="s">
        <v>134</v>
      </c>
      <c r="O52" s="76"/>
      <c r="P52" s="76"/>
      <c r="Q52" s="75">
        <v>54.902999999999999</v>
      </c>
      <c r="R52" s="74" t="s">
        <v>640</v>
      </c>
      <c r="S52" s="75">
        <v>526.08999999999992</v>
      </c>
      <c r="T52" s="315">
        <v>263.04499999999996</v>
      </c>
      <c r="U52" s="73">
        <v>147</v>
      </c>
      <c r="V52" s="74">
        <v>59</v>
      </c>
      <c r="W52" s="79">
        <v>206</v>
      </c>
      <c r="X52" s="73">
        <v>147</v>
      </c>
      <c r="Y52" s="74">
        <v>81</v>
      </c>
      <c r="Z52" s="79">
        <v>227</v>
      </c>
      <c r="AA52" s="80" t="s">
        <v>641</v>
      </c>
      <c r="AB52" s="81" t="s">
        <v>642</v>
      </c>
      <c r="AC52" s="82">
        <v>287310.212</v>
      </c>
      <c r="AD52" s="316">
        <v>2866965.7519999999</v>
      </c>
      <c r="AE52" s="319"/>
      <c r="AF52" s="261"/>
      <c r="AG52" s="76"/>
      <c r="AH52" s="76"/>
      <c r="AI52" s="318"/>
    </row>
    <row r="53" spans="1:35" ht="18.75">
      <c r="A53" s="73"/>
      <c r="B53" s="74" t="s">
        <v>134</v>
      </c>
      <c r="C53" s="74"/>
      <c r="D53" s="74"/>
      <c r="E53" s="74"/>
      <c r="F53" s="74"/>
      <c r="G53" s="75">
        <v>235</v>
      </c>
      <c r="H53" s="74"/>
      <c r="I53" s="74"/>
      <c r="J53" s="76"/>
      <c r="K53" s="76"/>
      <c r="L53" s="76"/>
      <c r="M53" s="76"/>
      <c r="N53" s="314"/>
      <c r="O53" s="76"/>
      <c r="P53" s="76"/>
      <c r="Q53" s="75"/>
      <c r="R53" s="74"/>
      <c r="S53" s="75"/>
      <c r="T53" s="315"/>
      <c r="U53" s="73"/>
      <c r="V53" s="74"/>
      <c r="W53" s="79"/>
      <c r="X53" s="73"/>
      <c r="Y53" s="74"/>
      <c r="Z53" s="79"/>
      <c r="AA53" s="80"/>
      <c r="AB53" s="81"/>
      <c r="AC53" s="82"/>
      <c r="AD53" s="316"/>
      <c r="AE53" s="319" t="s">
        <v>644</v>
      </c>
      <c r="AF53" s="261"/>
      <c r="AG53" s="76"/>
      <c r="AH53" s="76"/>
      <c r="AI53" s="318"/>
    </row>
    <row r="54" spans="1:35" ht="18.75">
      <c r="A54" s="73">
        <v>23</v>
      </c>
      <c r="B54" s="74" t="s">
        <v>134</v>
      </c>
      <c r="C54" s="74" t="s">
        <v>250</v>
      </c>
      <c r="D54" s="74" t="s">
        <v>603</v>
      </c>
      <c r="E54" s="74" t="s">
        <v>982</v>
      </c>
      <c r="F54" s="74">
        <v>43.53</v>
      </c>
      <c r="G54" s="75"/>
      <c r="H54" s="75">
        <v>5409.5380000000005</v>
      </c>
      <c r="I54" s="74" t="s">
        <v>134</v>
      </c>
      <c r="J54" s="76"/>
      <c r="K54" s="76"/>
      <c r="L54" s="76"/>
      <c r="M54" s="76"/>
      <c r="N54" s="314" t="s">
        <v>134</v>
      </c>
      <c r="O54" s="76"/>
      <c r="P54" s="76"/>
      <c r="Q54" s="75">
        <v>54.987000000000002</v>
      </c>
      <c r="R54" s="74" t="s">
        <v>134</v>
      </c>
      <c r="S54" s="75">
        <v>593.48900000000003</v>
      </c>
      <c r="T54" s="315">
        <v>296.74450000000002</v>
      </c>
      <c r="U54" s="73">
        <v>176</v>
      </c>
      <c r="V54" s="74">
        <v>108</v>
      </c>
      <c r="W54" s="79">
        <v>284</v>
      </c>
      <c r="X54" s="73">
        <v>155</v>
      </c>
      <c r="Y54" s="74">
        <v>135</v>
      </c>
      <c r="Z54" s="79">
        <v>289</v>
      </c>
      <c r="AA54" s="80" t="s">
        <v>645</v>
      </c>
      <c r="AB54" s="81" t="s">
        <v>646</v>
      </c>
      <c r="AC54" s="82">
        <v>287209.08199999999</v>
      </c>
      <c r="AD54" s="316">
        <v>2867177.8790000002</v>
      </c>
      <c r="AE54" s="319"/>
      <c r="AF54" s="261"/>
      <c r="AG54" s="76"/>
      <c r="AH54" s="76"/>
      <c r="AI54" s="318"/>
    </row>
    <row r="55" spans="1:35" ht="18.75">
      <c r="A55" s="73"/>
      <c r="B55" s="74" t="s">
        <v>134</v>
      </c>
      <c r="C55" s="74"/>
      <c r="D55" s="74"/>
      <c r="E55" s="74"/>
      <c r="F55" s="74"/>
      <c r="G55" s="75">
        <v>358.48899999999998</v>
      </c>
      <c r="H55" s="74"/>
      <c r="I55" s="74"/>
      <c r="J55" s="76"/>
      <c r="K55" s="76"/>
      <c r="L55" s="76"/>
      <c r="M55" s="76"/>
      <c r="N55" s="314"/>
      <c r="O55" s="76"/>
      <c r="P55" s="76"/>
      <c r="Q55" s="75"/>
      <c r="R55" s="74"/>
      <c r="S55" s="75"/>
      <c r="T55" s="315"/>
      <c r="U55" s="73"/>
      <c r="V55" s="74"/>
      <c r="W55" s="79"/>
      <c r="X55" s="73"/>
      <c r="Y55" s="74"/>
      <c r="Z55" s="79"/>
      <c r="AA55" s="80"/>
      <c r="AB55" s="81"/>
      <c r="AC55" s="82"/>
      <c r="AD55" s="316"/>
      <c r="AE55" s="319" t="s">
        <v>647</v>
      </c>
      <c r="AF55" s="261"/>
      <c r="AG55" s="76"/>
      <c r="AH55" s="76"/>
      <c r="AI55" s="318"/>
    </row>
    <row r="56" spans="1:35" ht="18.75">
      <c r="A56" s="73">
        <v>24</v>
      </c>
      <c r="B56" s="74" t="s">
        <v>256</v>
      </c>
      <c r="C56" s="74" t="s">
        <v>68</v>
      </c>
      <c r="D56" s="74" t="s">
        <v>648</v>
      </c>
      <c r="E56" s="74" t="s">
        <v>982</v>
      </c>
      <c r="F56" s="74">
        <v>56.33</v>
      </c>
      <c r="G56" s="75"/>
      <c r="H56" s="75">
        <v>5768.027</v>
      </c>
      <c r="I56" s="75">
        <f>SUM(G52:G55)</f>
        <v>593.48900000000003</v>
      </c>
      <c r="J56" s="76"/>
      <c r="K56" s="76"/>
      <c r="L56" s="76"/>
      <c r="M56" s="76"/>
      <c r="N56" s="314" t="s">
        <v>134</v>
      </c>
      <c r="O56" s="76"/>
      <c r="P56" s="76"/>
      <c r="Q56" s="75">
        <v>54.600999999999999</v>
      </c>
      <c r="R56" s="74" t="s">
        <v>649</v>
      </c>
      <c r="S56" s="75">
        <v>590.17499999999995</v>
      </c>
      <c r="T56" s="315">
        <v>295.08749999999998</v>
      </c>
      <c r="U56" s="73">
        <v>251</v>
      </c>
      <c r="V56" s="74">
        <v>38</v>
      </c>
      <c r="W56" s="79">
        <v>289</v>
      </c>
      <c r="X56" s="73">
        <v>225</v>
      </c>
      <c r="Y56" s="74">
        <v>76</v>
      </c>
      <c r="Z56" s="79">
        <v>302</v>
      </c>
      <c r="AA56" s="80" t="s">
        <v>650</v>
      </c>
      <c r="AB56" s="81" t="s">
        <v>651</v>
      </c>
      <c r="AC56" s="82">
        <v>287054.81099999999</v>
      </c>
      <c r="AD56" s="316">
        <v>2867501.4750000001</v>
      </c>
      <c r="AE56" s="319"/>
      <c r="AF56" s="261"/>
      <c r="AG56" s="76"/>
      <c r="AH56" s="76"/>
      <c r="AI56" s="318"/>
    </row>
    <row r="57" spans="1:35" ht="18.75">
      <c r="A57" s="73"/>
      <c r="B57" s="74" t="s">
        <v>134</v>
      </c>
      <c r="C57" s="74"/>
      <c r="D57" s="74"/>
      <c r="E57" s="74"/>
      <c r="F57" s="74"/>
      <c r="G57" s="75">
        <v>231.68600000000001</v>
      </c>
      <c r="H57" s="74"/>
      <c r="I57" s="74"/>
      <c r="J57" s="76"/>
      <c r="K57" s="76"/>
      <c r="L57" s="76"/>
      <c r="M57" s="76"/>
      <c r="N57" s="314"/>
      <c r="O57" s="76"/>
      <c r="P57" s="76"/>
      <c r="Q57" s="75"/>
      <c r="R57" s="74"/>
      <c r="S57" s="75"/>
      <c r="T57" s="315"/>
      <c r="U57" s="73"/>
      <c r="V57" s="74"/>
      <c r="W57" s="79"/>
      <c r="X57" s="73"/>
      <c r="Y57" s="74"/>
      <c r="Z57" s="79"/>
      <c r="AA57" s="80"/>
      <c r="AB57" s="81"/>
      <c r="AC57" s="82"/>
      <c r="AD57" s="316"/>
      <c r="AE57" s="319" t="s">
        <v>652</v>
      </c>
      <c r="AF57" s="261"/>
      <c r="AG57" s="76"/>
      <c r="AH57" s="76"/>
      <c r="AI57" s="318"/>
    </row>
    <row r="58" spans="1:35" ht="18.75">
      <c r="A58" s="73">
        <v>25</v>
      </c>
      <c r="B58" s="74" t="s">
        <v>263</v>
      </c>
      <c r="C58" s="74" t="s">
        <v>56</v>
      </c>
      <c r="D58" s="74" t="s">
        <v>653</v>
      </c>
      <c r="E58" s="74" t="s">
        <v>982</v>
      </c>
      <c r="F58" s="74">
        <v>63.33</v>
      </c>
      <c r="G58" s="75"/>
      <c r="H58" s="75">
        <v>5999.7129999999997</v>
      </c>
      <c r="I58" s="75">
        <f>SUM(G56:G57)</f>
        <v>231.68600000000001</v>
      </c>
      <c r="J58" s="76"/>
      <c r="K58" s="76"/>
      <c r="L58" s="76"/>
      <c r="M58" s="76"/>
      <c r="N58" s="314" t="s">
        <v>134</v>
      </c>
      <c r="O58" s="76"/>
      <c r="P58" s="76"/>
      <c r="Q58" s="75">
        <v>54.97</v>
      </c>
      <c r="R58" s="74" t="s">
        <v>654</v>
      </c>
      <c r="S58" s="75">
        <v>441.11500000000001</v>
      </c>
      <c r="T58" s="315">
        <v>220.5575</v>
      </c>
      <c r="U58" s="73">
        <v>194</v>
      </c>
      <c r="V58" s="74">
        <v>273</v>
      </c>
      <c r="W58" s="79">
        <v>467</v>
      </c>
      <c r="X58" s="73">
        <v>156</v>
      </c>
      <c r="Y58" s="74">
        <v>184</v>
      </c>
      <c r="Z58" s="79">
        <v>340</v>
      </c>
      <c r="AA58" s="80" t="s">
        <v>655</v>
      </c>
      <c r="AB58" s="81" t="s">
        <v>656</v>
      </c>
      <c r="AC58" s="82">
        <v>286959.446</v>
      </c>
      <c r="AD58" s="316">
        <v>2867712.6239999998</v>
      </c>
      <c r="AE58" s="319"/>
      <c r="AF58" s="261"/>
      <c r="AG58" s="76"/>
      <c r="AH58" s="76"/>
      <c r="AI58" s="318"/>
    </row>
    <row r="59" spans="1:35" ht="18.75">
      <c r="A59" s="73"/>
      <c r="B59" s="74" t="s">
        <v>134</v>
      </c>
      <c r="C59" s="74"/>
      <c r="D59" s="74"/>
      <c r="E59" s="74"/>
      <c r="F59" s="74"/>
      <c r="G59" s="75">
        <v>209.429</v>
      </c>
      <c r="H59" s="74"/>
      <c r="I59" s="74"/>
      <c r="J59" s="76"/>
      <c r="K59" s="76"/>
      <c r="L59" s="76"/>
      <c r="M59" s="76"/>
      <c r="N59" s="314"/>
      <c r="O59" s="76"/>
      <c r="P59" s="76"/>
      <c r="Q59" s="75"/>
      <c r="R59" s="74"/>
      <c r="S59" s="75"/>
      <c r="T59" s="315"/>
      <c r="U59" s="73"/>
      <c r="V59" s="74"/>
      <c r="W59" s="79"/>
      <c r="X59" s="73"/>
      <c r="Y59" s="74"/>
      <c r="Z59" s="79"/>
      <c r="AA59" s="80"/>
      <c r="AB59" s="81"/>
      <c r="AC59" s="82"/>
      <c r="AD59" s="316"/>
      <c r="AE59" s="319" t="s">
        <v>657</v>
      </c>
      <c r="AF59" s="261"/>
      <c r="AG59" s="76"/>
      <c r="AH59" s="76"/>
      <c r="AI59" s="318"/>
    </row>
    <row r="60" spans="1:35" ht="16.5" customHeight="1">
      <c r="A60" s="73">
        <v>26</v>
      </c>
      <c r="B60" s="74" t="s">
        <v>270</v>
      </c>
      <c r="C60" s="74" t="s">
        <v>60</v>
      </c>
      <c r="D60" s="74" t="s">
        <v>658</v>
      </c>
      <c r="E60" s="74" t="s">
        <v>982</v>
      </c>
      <c r="F60" s="74">
        <v>47.33</v>
      </c>
      <c r="G60" s="75"/>
      <c r="H60" s="75">
        <v>6209.1419999999998</v>
      </c>
      <c r="I60" s="75">
        <f>SUM(G58:G59)</f>
        <v>209.429</v>
      </c>
      <c r="J60" s="76"/>
      <c r="K60" s="76"/>
      <c r="L60" s="76"/>
      <c r="M60" s="76"/>
      <c r="N60" s="314">
        <v>2</v>
      </c>
      <c r="O60" s="76"/>
      <c r="P60" s="76"/>
      <c r="Q60" s="75">
        <v>55.048999999999999</v>
      </c>
      <c r="R60" s="74" t="s">
        <v>906</v>
      </c>
      <c r="S60" s="75">
        <v>313.98099999999999</v>
      </c>
      <c r="T60" s="315">
        <v>156.9905</v>
      </c>
      <c r="U60" s="73">
        <v>-63</v>
      </c>
      <c r="V60" s="74">
        <v>150</v>
      </c>
      <c r="W60" s="79">
        <v>86</v>
      </c>
      <c r="X60" s="73">
        <v>26</v>
      </c>
      <c r="Y60" s="74">
        <v>94</v>
      </c>
      <c r="Z60" s="79">
        <v>120</v>
      </c>
      <c r="AA60" s="80" t="s">
        <v>660</v>
      </c>
      <c r="AB60" s="81" t="s">
        <v>661</v>
      </c>
      <c r="AC60" s="82">
        <v>286785.57699999999</v>
      </c>
      <c r="AD60" s="316">
        <v>2867829.372</v>
      </c>
      <c r="AE60" s="319"/>
      <c r="AF60" s="261"/>
      <c r="AG60" s="76"/>
      <c r="AH60" s="76"/>
      <c r="AI60" s="318" t="s">
        <v>662</v>
      </c>
    </row>
    <row r="61" spans="1:35" ht="18.75">
      <c r="A61" s="73"/>
      <c r="B61" s="74" t="s">
        <v>134</v>
      </c>
      <c r="C61" s="74"/>
      <c r="D61" s="74"/>
      <c r="E61" s="74"/>
      <c r="F61" s="74"/>
      <c r="G61" s="75">
        <v>104.55200000000001</v>
      </c>
      <c r="H61" s="74"/>
      <c r="I61" s="74"/>
      <c r="J61" s="76"/>
      <c r="K61" s="76"/>
      <c r="L61" s="76"/>
      <c r="M61" s="76"/>
      <c r="N61" s="314"/>
      <c r="O61" s="76"/>
      <c r="P61" s="76"/>
      <c r="Q61" s="75"/>
      <c r="R61" s="74"/>
      <c r="S61" s="75"/>
      <c r="T61" s="315"/>
      <c r="U61" s="73"/>
      <c r="V61" s="74"/>
      <c r="W61" s="79"/>
      <c r="X61" s="73"/>
      <c r="Y61" s="74"/>
      <c r="Z61" s="79"/>
      <c r="AA61" s="80"/>
      <c r="AB61" s="81"/>
      <c r="AC61" s="82"/>
      <c r="AD61" s="316"/>
      <c r="AE61" s="319"/>
      <c r="AF61" s="261"/>
      <c r="AG61" s="76"/>
      <c r="AH61" s="76"/>
      <c r="AI61" s="318"/>
    </row>
    <row r="62" spans="1:35" ht="18.75">
      <c r="A62" s="73">
        <v>27</v>
      </c>
      <c r="B62" s="74" t="s">
        <v>280</v>
      </c>
      <c r="C62" s="74" t="s">
        <v>55</v>
      </c>
      <c r="D62" s="74" t="s">
        <v>671</v>
      </c>
      <c r="E62" s="74" t="s">
        <v>982</v>
      </c>
      <c r="F62" s="74">
        <v>41.33</v>
      </c>
      <c r="G62" s="75"/>
      <c r="H62" s="75">
        <v>6313.6939999999995</v>
      </c>
      <c r="I62" s="75">
        <f>SUM(G60:G61)</f>
        <v>104.55200000000001</v>
      </c>
      <c r="J62" s="76"/>
      <c r="K62" s="76"/>
      <c r="L62" s="76"/>
      <c r="M62" s="76"/>
      <c r="N62" s="314" t="s">
        <v>134</v>
      </c>
      <c r="O62" s="76"/>
      <c r="P62" s="76"/>
      <c r="Q62" s="75">
        <v>54.843000000000004</v>
      </c>
      <c r="R62" s="74" t="s">
        <v>907</v>
      </c>
      <c r="S62" s="75">
        <v>192.61099999999999</v>
      </c>
      <c r="T62" s="315">
        <v>96.305499999999995</v>
      </c>
      <c r="U62" s="73">
        <v>-45</v>
      </c>
      <c r="V62" s="74">
        <v>70</v>
      </c>
      <c r="W62" s="79">
        <v>25</v>
      </c>
      <c r="X62" s="73">
        <v>11</v>
      </c>
      <c r="Y62" s="74">
        <v>59</v>
      </c>
      <c r="Z62" s="79">
        <v>70</v>
      </c>
      <c r="AA62" s="80" t="s">
        <v>908</v>
      </c>
      <c r="AB62" s="81" t="s">
        <v>909</v>
      </c>
      <c r="AC62" s="82">
        <v>286690.98599999998</v>
      </c>
      <c r="AD62" s="316">
        <v>2867784.8330000001</v>
      </c>
      <c r="AE62" s="319"/>
      <c r="AF62" s="261"/>
      <c r="AG62" s="76"/>
      <c r="AH62" s="76"/>
      <c r="AI62" s="318"/>
    </row>
    <row r="63" spans="1:35" ht="18.75">
      <c r="A63" s="73"/>
      <c r="B63" s="74" t="s">
        <v>134</v>
      </c>
      <c r="C63" s="74"/>
      <c r="D63" s="74"/>
      <c r="E63" s="74"/>
      <c r="F63" s="74"/>
      <c r="G63" s="75">
        <v>88.058999999999997</v>
      </c>
      <c r="H63" s="74"/>
      <c r="I63" s="74"/>
      <c r="J63" s="76"/>
      <c r="K63" s="76"/>
      <c r="L63" s="76"/>
      <c r="M63" s="76"/>
      <c r="N63" s="314"/>
      <c r="O63" s="76"/>
      <c r="P63" s="76"/>
      <c r="Q63" s="75"/>
      <c r="R63" s="74"/>
      <c r="S63" s="75"/>
      <c r="T63" s="315"/>
      <c r="U63" s="73"/>
      <c r="V63" s="74"/>
      <c r="W63" s="79"/>
      <c r="X63" s="73"/>
      <c r="Y63" s="74"/>
      <c r="Z63" s="79"/>
      <c r="AA63" s="80"/>
      <c r="AB63" s="81"/>
      <c r="AC63" s="82"/>
      <c r="AD63" s="316"/>
      <c r="AE63" s="319"/>
      <c r="AF63" s="261"/>
      <c r="AG63" s="76"/>
      <c r="AH63" s="76"/>
      <c r="AI63" s="318"/>
    </row>
    <row r="64" spans="1:35" ht="18.75">
      <c r="A64" s="73">
        <v>28</v>
      </c>
      <c r="B64" s="74" t="s">
        <v>286</v>
      </c>
      <c r="C64" s="74" t="s">
        <v>59</v>
      </c>
      <c r="D64" s="74" t="s">
        <v>586</v>
      </c>
      <c r="E64" s="74" t="s">
        <v>982</v>
      </c>
      <c r="F64" s="74">
        <v>38.33</v>
      </c>
      <c r="G64" s="75"/>
      <c r="H64" s="75">
        <v>6401.7529999999997</v>
      </c>
      <c r="I64" s="75">
        <f>SUM(G62:G63)</f>
        <v>88.058999999999997</v>
      </c>
      <c r="J64" s="76"/>
      <c r="K64" s="76"/>
      <c r="L64" s="76"/>
      <c r="M64" s="76"/>
      <c r="N64" s="314" t="s">
        <v>134</v>
      </c>
      <c r="O64" s="76"/>
      <c r="P64" s="76"/>
      <c r="Q64" s="75">
        <v>54.436</v>
      </c>
      <c r="R64" s="74" t="s">
        <v>910</v>
      </c>
      <c r="S64" s="75">
        <v>160.947</v>
      </c>
      <c r="T64" s="315">
        <v>80.473500000000001</v>
      </c>
      <c r="U64" s="73">
        <v>19</v>
      </c>
      <c r="V64" s="74">
        <v>4</v>
      </c>
      <c r="W64" s="79">
        <v>23</v>
      </c>
      <c r="X64" s="73">
        <v>29</v>
      </c>
      <c r="Y64" s="74">
        <v>22</v>
      </c>
      <c r="Z64" s="79">
        <v>51</v>
      </c>
      <c r="AA64" s="80" t="s">
        <v>911</v>
      </c>
      <c r="AB64" s="81" t="s">
        <v>912</v>
      </c>
      <c r="AC64" s="82">
        <v>286682.13</v>
      </c>
      <c r="AD64" s="316">
        <v>2867697.22</v>
      </c>
      <c r="AE64" s="319"/>
      <c r="AF64" s="261"/>
      <c r="AG64" s="76"/>
      <c r="AH64" s="76"/>
      <c r="AI64" s="318"/>
    </row>
    <row r="65" spans="1:35" ht="18.75">
      <c r="A65" s="73"/>
      <c r="B65" s="74" t="s">
        <v>134</v>
      </c>
      <c r="C65" s="74"/>
      <c r="D65" s="74"/>
      <c r="E65" s="74"/>
      <c r="F65" s="74"/>
      <c r="G65" s="75">
        <v>72.888000000000005</v>
      </c>
      <c r="H65" s="74"/>
      <c r="I65" s="74"/>
      <c r="J65" s="76"/>
      <c r="K65" s="76"/>
      <c r="L65" s="76"/>
      <c r="M65" s="76"/>
      <c r="N65" s="314"/>
      <c r="O65" s="76"/>
      <c r="P65" s="76"/>
      <c r="Q65" s="75"/>
      <c r="R65" s="74"/>
      <c r="S65" s="75"/>
      <c r="T65" s="315"/>
      <c r="U65" s="73"/>
      <c r="V65" s="74"/>
      <c r="W65" s="79"/>
      <c r="X65" s="73"/>
      <c r="Y65" s="74"/>
      <c r="Z65" s="79"/>
      <c r="AA65" s="80"/>
      <c r="AB65" s="81"/>
      <c r="AC65" s="82"/>
      <c r="AD65" s="316"/>
      <c r="AE65" s="319"/>
      <c r="AF65" s="261"/>
      <c r="AG65" s="76"/>
      <c r="AH65" s="76"/>
      <c r="AI65" s="318"/>
    </row>
    <row r="66" spans="1:35" ht="19.5" thickBot="1">
      <c r="A66" s="322">
        <v>29</v>
      </c>
      <c r="B66" s="323" t="s">
        <v>291</v>
      </c>
      <c r="C66" s="323" t="s">
        <v>58</v>
      </c>
      <c r="D66" s="323" t="s">
        <v>671</v>
      </c>
      <c r="E66" s="323" t="s">
        <v>982</v>
      </c>
      <c r="F66" s="323">
        <v>41.33</v>
      </c>
      <c r="G66" s="324"/>
      <c r="H66" s="324">
        <v>6474.6409999999996</v>
      </c>
      <c r="I66" s="324">
        <f>SUM(G64:G65)</f>
        <v>72.888000000000005</v>
      </c>
      <c r="J66" s="325"/>
      <c r="K66" s="325"/>
      <c r="L66" s="325"/>
      <c r="M66" s="325"/>
      <c r="N66" s="326" t="s">
        <v>134</v>
      </c>
      <c r="O66" s="325"/>
      <c r="P66" s="325"/>
      <c r="Q66" s="324">
        <v>54.569000000000003</v>
      </c>
      <c r="R66" s="323" t="s">
        <v>913</v>
      </c>
      <c r="S66" s="324">
        <v>72.888000000000005</v>
      </c>
      <c r="T66" s="327">
        <v>36.444000000000003</v>
      </c>
      <c r="U66" s="322">
        <v>69</v>
      </c>
      <c r="V66" s="323">
        <v>0</v>
      </c>
      <c r="W66" s="328">
        <v>69</v>
      </c>
      <c r="X66" s="322">
        <v>52</v>
      </c>
      <c r="Y66" s="323">
        <v>0</v>
      </c>
      <c r="Z66" s="328">
        <v>52</v>
      </c>
      <c r="AA66" s="329" t="s">
        <v>914</v>
      </c>
      <c r="AB66" s="330" t="s">
        <v>915</v>
      </c>
      <c r="AC66" s="331">
        <v>286630.05099999998</v>
      </c>
      <c r="AD66" s="332">
        <v>2867646.2250000001</v>
      </c>
      <c r="AE66" s="333"/>
      <c r="AF66" s="334"/>
      <c r="AG66" s="325"/>
      <c r="AH66" s="325"/>
      <c r="AI66" s="335"/>
    </row>
    <row r="67" spans="1:35" ht="24" customHeight="1" thickBot="1">
      <c r="A67" s="218"/>
      <c r="B67" s="1790" t="s">
        <v>468</v>
      </c>
      <c r="C67" s="1791"/>
      <c r="D67" s="1791"/>
      <c r="E67" s="1791"/>
      <c r="F67" s="1792"/>
      <c r="G67" s="220">
        <f>SUM(G10:G66)/1000</f>
        <v>6.4746409999999992</v>
      </c>
      <c r="H67" s="221" t="s">
        <v>469</v>
      </c>
      <c r="I67" s="222"/>
      <c r="J67" s="219"/>
      <c r="K67" s="219"/>
      <c r="L67" s="219"/>
      <c r="M67" s="219"/>
      <c r="N67" s="223"/>
      <c r="O67" s="219"/>
      <c r="P67" s="219"/>
      <c r="Q67" s="223"/>
      <c r="R67" s="223"/>
      <c r="S67" s="224"/>
      <c r="T67" s="223"/>
      <c r="U67" s="223"/>
      <c r="V67" s="223"/>
      <c r="W67" s="223"/>
      <c r="X67" s="223"/>
      <c r="Y67" s="223"/>
      <c r="Z67" s="223"/>
      <c r="AA67" s="223"/>
      <c r="AB67" s="223"/>
      <c r="AC67" s="225"/>
      <c r="AD67" s="225"/>
      <c r="AE67" s="112"/>
      <c r="AF67" s="219"/>
      <c r="AG67" s="219"/>
      <c r="AH67" s="219"/>
      <c r="AI67" s="336"/>
    </row>
    <row r="68" spans="1:35" ht="42" customHeight="1" thickBot="1">
      <c r="A68" s="1816" t="s">
        <v>470</v>
      </c>
      <c r="B68" s="1817"/>
      <c r="C68" s="1817"/>
      <c r="D68" s="1817"/>
      <c r="E68" s="1817"/>
      <c r="F68" s="1817"/>
      <c r="G68" s="1817"/>
      <c r="H68" s="1817"/>
      <c r="I68" s="1817"/>
      <c r="J68" s="1817"/>
      <c r="K68" s="1817"/>
      <c r="L68" s="1817"/>
      <c r="M68" s="1817"/>
      <c r="N68" s="1817"/>
      <c r="O68" s="1817"/>
      <c r="P68" s="1817"/>
      <c r="Q68" s="1817"/>
      <c r="R68" s="1817"/>
      <c r="S68" s="1818"/>
      <c r="T68" s="1819" t="s">
        <v>663</v>
      </c>
      <c r="U68" s="1820"/>
      <c r="V68" s="1820"/>
      <c r="W68" s="1820"/>
      <c r="X68" s="1820"/>
      <c r="Y68" s="1820"/>
      <c r="Z68" s="1820"/>
      <c r="AA68" s="1820"/>
      <c r="AB68" s="1820"/>
      <c r="AC68" s="1820"/>
      <c r="AD68" s="1820"/>
      <c r="AE68" s="1820"/>
      <c r="AF68" s="1820"/>
      <c r="AG68" s="1820"/>
      <c r="AH68" s="1820"/>
      <c r="AI68" s="1821"/>
    </row>
    <row r="69" spans="1:35" ht="24" customHeight="1" thickBot="1">
      <c r="A69" s="1852" t="s">
        <v>472</v>
      </c>
      <c r="B69" s="1853"/>
      <c r="C69" s="1853"/>
      <c r="D69" s="1854"/>
      <c r="E69" s="398"/>
      <c r="F69" s="1816" t="s">
        <v>473</v>
      </c>
      <c r="G69" s="1817"/>
      <c r="H69" s="1817"/>
      <c r="I69" s="1818"/>
      <c r="J69" s="114" t="s">
        <v>474</v>
      </c>
      <c r="K69" s="114" t="s">
        <v>474</v>
      </c>
      <c r="L69" s="114" t="s">
        <v>474</v>
      </c>
      <c r="M69" s="114" t="s">
        <v>474</v>
      </c>
      <c r="N69" s="1816" t="s">
        <v>474</v>
      </c>
      <c r="O69" s="1817"/>
      <c r="P69" s="1817"/>
      <c r="Q69" s="1817"/>
      <c r="R69" s="1817"/>
      <c r="S69" s="1818"/>
      <c r="T69" s="1816" t="s">
        <v>473</v>
      </c>
      <c r="U69" s="1817"/>
      <c r="V69" s="1817"/>
      <c r="W69" s="1817"/>
      <c r="X69" s="1818"/>
      <c r="Y69" s="1822" t="s">
        <v>475</v>
      </c>
      <c r="Z69" s="1823"/>
      <c r="AA69" s="1823"/>
      <c r="AB69" s="1823"/>
      <c r="AC69" s="1823"/>
      <c r="AD69" s="1824"/>
      <c r="AE69" s="1822" t="s">
        <v>476</v>
      </c>
      <c r="AF69" s="1823"/>
      <c r="AG69" s="1823"/>
      <c r="AH69" s="1823"/>
      <c r="AI69" s="1824"/>
    </row>
    <row r="70" spans="1:35" ht="183" customHeight="1" thickBot="1">
      <c r="A70" s="1852"/>
      <c r="B70" s="1853"/>
      <c r="C70" s="1853"/>
      <c r="D70" s="1855"/>
      <c r="E70" s="398"/>
      <c r="F70" s="1813"/>
      <c r="G70" s="1814"/>
      <c r="H70" s="1814"/>
      <c r="I70" s="1815"/>
      <c r="J70" s="115"/>
      <c r="K70" s="115"/>
      <c r="L70" s="115"/>
      <c r="M70" s="115"/>
      <c r="N70" s="1813"/>
      <c r="O70" s="1814"/>
      <c r="P70" s="1814"/>
      <c r="Q70" s="1814"/>
      <c r="R70" s="1814"/>
      <c r="S70" s="1815"/>
      <c r="T70" s="1813"/>
      <c r="U70" s="1814"/>
      <c r="V70" s="1814"/>
      <c r="W70" s="1814"/>
      <c r="X70" s="1815"/>
      <c r="Y70" s="1813"/>
      <c r="Z70" s="1814"/>
      <c r="AA70" s="1814"/>
      <c r="AB70" s="1814"/>
      <c r="AC70" s="1814"/>
      <c r="AD70" s="1815"/>
      <c r="AE70" s="1849"/>
      <c r="AF70" s="1850"/>
      <c r="AG70" s="1850"/>
      <c r="AH70" s="1850"/>
      <c r="AI70" s="1851"/>
    </row>
    <row r="71" spans="1:35">
      <c r="A71" s="116"/>
      <c r="AI71" s="118"/>
    </row>
    <row r="72" spans="1:35" ht="15.75">
      <c r="A72" s="116"/>
      <c r="F72" s="119" t="s">
        <v>477</v>
      </c>
      <c r="G72" s="120"/>
      <c r="H72" s="120"/>
      <c r="AI72" s="118"/>
    </row>
    <row r="73" spans="1:35" ht="15.75" thickBot="1">
      <c r="A73" s="116"/>
      <c r="F73" s="117"/>
      <c r="G73" s="117"/>
      <c r="AI73" s="118"/>
    </row>
    <row r="74" spans="1:35">
      <c r="A74" s="116"/>
      <c r="F74" s="238" t="s">
        <v>591</v>
      </c>
      <c r="G74" s="239" t="s">
        <v>478</v>
      </c>
      <c r="H74" s="240">
        <f t="shared" ref="H74:H91" si="0">COUNTIF($D$10:$D$1253,F74)</f>
        <v>3</v>
      </c>
      <c r="AI74" s="118"/>
    </row>
    <row r="75" spans="1:35">
      <c r="A75" s="116"/>
      <c r="F75" s="241" t="s">
        <v>582</v>
      </c>
      <c r="G75" s="242" t="s">
        <v>478</v>
      </c>
      <c r="H75" s="243">
        <f t="shared" si="0"/>
        <v>6</v>
      </c>
      <c r="AI75" s="118"/>
    </row>
    <row r="76" spans="1:35">
      <c r="A76" s="116"/>
      <c r="F76" s="241" t="s">
        <v>603</v>
      </c>
      <c r="G76" s="242" t="s">
        <v>478</v>
      </c>
      <c r="H76" s="243">
        <f t="shared" si="0"/>
        <v>2</v>
      </c>
      <c r="AI76" s="118"/>
    </row>
    <row r="77" spans="1:35">
      <c r="A77" s="116"/>
      <c r="F77" s="241" t="s">
        <v>664</v>
      </c>
      <c r="G77" s="242" t="s">
        <v>478</v>
      </c>
      <c r="H77" s="243">
        <f t="shared" si="0"/>
        <v>0</v>
      </c>
      <c r="AI77" s="118"/>
    </row>
    <row r="78" spans="1:35">
      <c r="A78" s="116"/>
      <c r="F78" s="241" t="s">
        <v>665</v>
      </c>
      <c r="G78" s="242" t="s">
        <v>478</v>
      </c>
      <c r="H78" s="243">
        <f t="shared" si="0"/>
        <v>0</v>
      </c>
      <c r="AI78" s="118"/>
    </row>
    <row r="79" spans="1:35">
      <c r="A79" s="116"/>
      <c r="F79" s="241" t="s">
        <v>666</v>
      </c>
      <c r="G79" s="242" t="s">
        <v>478</v>
      </c>
      <c r="H79" s="243">
        <f t="shared" si="0"/>
        <v>0</v>
      </c>
      <c r="AI79" s="118"/>
    </row>
    <row r="80" spans="1:35">
      <c r="A80" s="116"/>
      <c r="F80" s="241" t="s">
        <v>667</v>
      </c>
      <c r="G80" s="242" t="s">
        <v>478</v>
      </c>
      <c r="H80" s="243">
        <f t="shared" si="0"/>
        <v>0</v>
      </c>
      <c r="AI80" s="118"/>
    </row>
    <row r="81" spans="1:35">
      <c r="A81" s="116"/>
      <c r="F81" s="241" t="s">
        <v>668</v>
      </c>
      <c r="G81" s="242" t="s">
        <v>478</v>
      </c>
      <c r="H81" s="243">
        <f t="shared" si="0"/>
        <v>0</v>
      </c>
      <c r="AI81" s="118"/>
    </row>
    <row r="82" spans="1:35">
      <c r="A82" s="116"/>
      <c r="F82" s="241" t="s">
        <v>573</v>
      </c>
      <c r="G82" s="242" t="s">
        <v>478</v>
      </c>
      <c r="H82" s="243">
        <f t="shared" si="0"/>
        <v>7</v>
      </c>
      <c r="AI82" s="118"/>
    </row>
    <row r="83" spans="1:35">
      <c r="A83" s="116"/>
      <c r="F83" s="241" t="s">
        <v>669</v>
      </c>
      <c r="G83" s="242" t="s">
        <v>478</v>
      </c>
      <c r="H83" s="243">
        <f t="shared" si="0"/>
        <v>0</v>
      </c>
      <c r="AI83" s="118"/>
    </row>
    <row r="84" spans="1:35">
      <c r="A84" s="116"/>
      <c r="F84" s="241" t="s">
        <v>607</v>
      </c>
      <c r="G84" s="242" t="s">
        <v>478</v>
      </c>
      <c r="H84" s="243">
        <f t="shared" si="0"/>
        <v>1</v>
      </c>
      <c r="AI84" s="118"/>
    </row>
    <row r="85" spans="1:35">
      <c r="A85" s="116"/>
      <c r="F85" s="241" t="s">
        <v>670</v>
      </c>
      <c r="G85" s="242" t="s">
        <v>478</v>
      </c>
      <c r="H85" s="243">
        <f t="shared" si="0"/>
        <v>0</v>
      </c>
      <c r="AI85" s="118"/>
    </row>
    <row r="86" spans="1:35">
      <c r="A86" s="116"/>
      <c r="F86" s="241" t="s">
        <v>586</v>
      </c>
      <c r="G86" s="242" t="s">
        <v>478</v>
      </c>
      <c r="H86" s="243">
        <f t="shared" si="0"/>
        <v>5</v>
      </c>
      <c r="AI86" s="118"/>
    </row>
    <row r="87" spans="1:35">
      <c r="A87" s="116"/>
      <c r="F87" s="241" t="s">
        <v>648</v>
      </c>
      <c r="G87" s="242" t="s">
        <v>478</v>
      </c>
      <c r="H87" s="243">
        <f t="shared" si="0"/>
        <v>1</v>
      </c>
      <c r="AI87" s="118"/>
    </row>
    <row r="88" spans="1:35">
      <c r="A88" s="116"/>
      <c r="F88" s="241" t="s">
        <v>653</v>
      </c>
      <c r="G88" s="242" t="s">
        <v>478</v>
      </c>
      <c r="H88" s="243">
        <f t="shared" si="0"/>
        <v>1</v>
      </c>
      <c r="AI88" s="118"/>
    </row>
    <row r="89" spans="1:35">
      <c r="A89" s="116"/>
      <c r="F89" s="241" t="s">
        <v>671</v>
      </c>
      <c r="G89" s="242" t="s">
        <v>478</v>
      </c>
      <c r="H89" s="243">
        <f t="shared" si="0"/>
        <v>2</v>
      </c>
      <c r="AI89" s="118"/>
    </row>
    <row r="90" spans="1:35">
      <c r="A90" s="116"/>
      <c r="F90" s="241" t="s">
        <v>672</v>
      </c>
      <c r="G90" s="242" t="s">
        <v>478</v>
      </c>
      <c r="H90" s="243">
        <f t="shared" si="0"/>
        <v>0</v>
      </c>
      <c r="AI90" s="118"/>
    </row>
    <row r="91" spans="1:35">
      <c r="A91" s="116"/>
      <c r="F91" s="241" t="s">
        <v>658</v>
      </c>
      <c r="G91" s="242" t="s">
        <v>478</v>
      </c>
      <c r="H91" s="243">
        <f t="shared" si="0"/>
        <v>1</v>
      </c>
      <c r="AI91" s="118"/>
    </row>
    <row r="92" spans="1:35" ht="16.5" thickBot="1">
      <c r="A92" s="127"/>
      <c r="B92" s="109"/>
      <c r="C92" s="109"/>
      <c r="D92" s="109"/>
      <c r="E92" s="109"/>
      <c r="F92" s="128" t="s">
        <v>128</v>
      </c>
      <c r="G92" s="244" t="s">
        <v>478</v>
      </c>
      <c r="H92" s="245">
        <f>SUM(H74:H91)</f>
        <v>29</v>
      </c>
      <c r="I92" s="109"/>
      <c r="J92" s="109"/>
      <c r="K92" s="109"/>
      <c r="L92" s="109"/>
      <c r="M92" s="109"/>
      <c r="N92" s="105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31"/>
    </row>
  </sheetData>
  <autoFilter ref="A9:AI69"/>
  <mergeCells count="49">
    <mergeCell ref="AH8:AH9"/>
    <mergeCell ref="AI8:AI9"/>
    <mergeCell ref="AE70:AI70"/>
    <mergeCell ref="A68:S68"/>
    <mergeCell ref="T68:AI68"/>
    <mergeCell ref="A69:D69"/>
    <mergeCell ref="F69:I69"/>
    <mergeCell ref="N69:S69"/>
    <mergeCell ref="T69:X69"/>
    <mergeCell ref="Y69:AD69"/>
    <mergeCell ref="AE69:AI69"/>
    <mergeCell ref="A70:D70"/>
    <mergeCell ref="F70:I70"/>
    <mergeCell ref="N70:S70"/>
    <mergeCell ref="T70:X70"/>
    <mergeCell ref="Y70:AD70"/>
    <mergeCell ref="X8:Z8"/>
    <mergeCell ref="AA8:AA9"/>
    <mergeCell ref="AE8:AE9"/>
    <mergeCell ref="AF8:AF9"/>
    <mergeCell ref="AG8:AG9"/>
    <mergeCell ref="R8:R9"/>
    <mergeCell ref="S8:S9"/>
    <mergeCell ref="B67:F67"/>
    <mergeCell ref="T8:T9"/>
    <mergeCell ref="U8:W8"/>
    <mergeCell ref="E8:E9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A6:AE6"/>
    <mergeCell ref="A1:AE1"/>
    <mergeCell ref="A2:AE2"/>
    <mergeCell ref="A3:AE3"/>
    <mergeCell ref="A4:AE4"/>
    <mergeCell ref="A5:AE5"/>
  </mergeCells>
  <conditionalFormatting sqref="AI10:AI66">
    <cfRule type="containsText" dxfId="97" priority="1" operator="containsText" text="11,LT,RC">
      <formula>NOT(ISERROR(SEARCH("11,LT,RC",AI10)))</formula>
    </cfRule>
    <cfRule type="containsText" dxfId="96" priority="2" operator="containsText" text="text">
      <formula>NOT(ISERROR(SEARCH("text",AI10)))</formula>
    </cfRule>
  </conditionalFormatting>
  <printOptions horizontalCentered="1"/>
  <pageMargins left="0" right="0" top="0.39370078740157483" bottom="0" header="0" footer="0"/>
  <pageSetup scale="3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I160"/>
  <sheetViews>
    <sheetView view="pageBreakPreview" zoomScaleNormal="100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A5" sqref="A5:AE5"/>
    </sheetView>
  </sheetViews>
  <sheetFormatPr defaultRowHeight="15"/>
  <cols>
    <col min="2" max="2" width="8" customWidth="1"/>
    <col min="3" max="3" width="8.7109375" customWidth="1"/>
    <col min="4" max="4" width="11.85546875" customWidth="1"/>
    <col min="5" max="5" width="8.7109375" customWidth="1"/>
    <col min="7" max="7" width="10" bestFit="1" customWidth="1"/>
    <col min="8" max="8" width="13.7109375" customWidth="1"/>
    <col min="9" max="9" width="14.28515625" customWidth="1"/>
    <col min="10" max="13" width="0" hidden="1" customWidth="1"/>
    <col min="14" max="14" width="12.28515625" customWidth="1"/>
    <col min="15" max="16" width="0" hidden="1" customWidth="1"/>
    <col min="18" max="18" width="13.7109375" customWidth="1"/>
    <col min="19" max="19" width="10.5703125" customWidth="1"/>
    <col min="21" max="21" width="10.28515625" customWidth="1"/>
    <col min="22" max="22" width="10" customWidth="1"/>
    <col min="23" max="23" width="9.42578125" customWidth="1"/>
    <col min="24" max="26" width="9.7109375" customWidth="1"/>
    <col min="27" max="28" width="0" hidden="1" customWidth="1"/>
    <col min="29" max="29" width="13.7109375" customWidth="1"/>
    <col min="30" max="30" width="14" customWidth="1"/>
    <col min="31" max="31" width="35.42578125" customWidth="1"/>
    <col min="32" max="32" width="19.42578125" bestFit="1" customWidth="1"/>
    <col min="33" max="34" width="8.85546875" hidden="1" customWidth="1"/>
    <col min="35" max="35" width="26.28515625" customWidth="1"/>
  </cols>
  <sheetData>
    <row r="1" spans="1:35" ht="20.25">
      <c r="A1" s="1786" t="s">
        <v>87</v>
      </c>
      <c r="B1" s="1787"/>
      <c r="C1" s="1787"/>
      <c r="D1" s="1787"/>
      <c r="E1" s="1787"/>
      <c r="F1" s="1787"/>
      <c r="G1" s="1787"/>
      <c r="H1" s="1787"/>
      <c r="I1" s="1787"/>
      <c r="J1" s="1787"/>
      <c r="K1" s="1787"/>
      <c r="L1" s="1787"/>
      <c r="M1" s="1787"/>
      <c r="N1" s="1787"/>
      <c r="O1" s="1787"/>
      <c r="P1" s="1787"/>
      <c r="Q1" s="1787"/>
      <c r="R1" s="1787"/>
      <c r="S1" s="1787"/>
      <c r="T1" s="1787"/>
      <c r="U1" s="1787"/>
      <c r="V1" s="1787"/>
      <c r="W1" s="1787"/>
      <c r="X1" s="1787"/>
      <c r="Y1" s="1787"/>
      <c r="Z1" s="1787"/>
      <c r="AA1" s="1787"/>
      <c r="AB1" s="1787"/>
      <c r="AC1" s="1787"/>
      <c r="AD1" s="1787"/>
      <c r="AE1" s="1787"/>
      <c r="AF1" s="39"/>
      <c r="AG1" s="40"/>
      <c r="AH1" s="40"/>
      <c r="AI1" s="41"/>
    </row>
    <row r="2" spans="1:35" ht="20.25">
      <c r="A2" s="1788" t="s">
        <v>88</v>
      </c>
      <c r="B2" s="1789"/>
      <c r="C2" s="1789"/>
      <c r="D2" s="1789"/>
      <c r="E2" s="1789"/>
      <c r="F2" s="1789"/>
      <c r="G2" s="1789"/>
      <c r="H2" s="1789"/>
      <c r="I2" s="1789"/>
      <c r="J2" s="1789"/>
      <c r="K2" s="1789"/>
      <c r="L2" s="1789"/>
      <c r="M2" s="1789"/>
      <c r="N2" s="1789"/>
      <c r="O2" s="1789"/>
      <c r="P2" s="1789"/>
      <c r="Q2" s="1789"/>
      <c r="R2" s="1789"/>
      <c r="S2" s="1789"/>
      <c r="T2" s="1789"/>
      <c r="U2" s="1789"/>
      <c r="V2" s="1789"/>
      <c r="W2" s="1789"/>
      <c r="X2" s="1789"/>
      <c r="Y2" s="1789"/>
      <c r="Z2" s="1789"/>
      <c r="AA2" s="1789"/>
      <c r="AB2" s="1789"/>
      <c r="AC2" s="1789"/>
      <c r="AD2" s="1789"/>
      <c r="AE2" s="1789"/>
      <c r="AF2" s="42"/>
      <c r="AG2" s="43"/>
      <c r="AH2" s="44"/>
      <c r="AI2" s="45"/>
    </row>
    <row r="3" spans="1:35" ht="20.25">
      <c r="A3" s="1788" t="s">
        <v>89</v>
      </c>
      <c r="B3" s="1789"/>
      <c r="C3" s="1789"/>
      <c r="D3" s="1789"/>
      <c r="E3" s="1789"/>
      <c r="F3" s="1789"/>
      <c r="G3" s="1789"/>
      <c r="H3" s="1789"/>
      <c r="I3" s="1789"/>
      <c r="J3" s="1789"/>
      <c r="K3" s="1789"/>
      <c r="L3" s="1789"/>
      <c r="M3" s="1789"/>
      <c r="N3" s="1789"/>
      <c r="O3" s="1789"/>
      <c r="P3" s="1789"/>
      <c r="Q3" s="1789"/>
      <c r="R3" s="1789"/>
      <c r="S3" s="1789"/>
      <c r="T3" s="1789"/>
      <c r="U3" s="1789"/>
      <c r="V3" s="1789"/>
      <c r="W3" s="1789"/>
      <c r="X3" s="1789"/>
      <c r="Y3" s="1789"/>
      <c r="Z3" s="1789"/>
      <c r="AA3" s="1789"/>
      <c r="AB3" s="1789"/>
      <c r="AC3" s="1789"/>
      <c r="AD3" s="1789"/>
      <c r="AE3" s="1789"/>
      <c r="AF3" s="46"/>
      <c r="AG3" s="47"/>
      <c r="AH3" s="48"/>
      <c r="AI3" s="49" t="s">
        <v>90</v>
      </c>
    </row>
    <row r="4" spans="1:35" ht="20.25">
      <c r="A4" s="1788" t="s">
        <v>91</v>
      </c>
      <c r="B4" s="1789"/>
      <c r="C4" s="1789"/>
      <c r="D4" s="1789"/>
      <c r="E4" s="1789"/>
      <c r="F4" s="1789"/>
      <c r="G4" s="1789"/>
      <c r="H4" s="1789"/>
      <c r="I4" s="1789"/>
      <c r="J4" s="1789"/>
      <c r="K4" s="1789"/>
      <c r="L4" s="1789"/>
      <c r="M4" s="1789"/>
      <c r="N4" s="1789"/>
      <c r="O4" s="1789"/>
      <c r="P4" s="1789"/>
      <c r="Q4" s="1789"/>
      <c r="R4" s="1789"/>
      <c r="S4" s="1789"/>
      <c r="T4" s="1789"/>
      <c r="U4" s="1789"/>
      <c r="V4" s="1789"/>
      <c r="W4" s="1789"/>
      <c r="X4" s="1789"/>
      <c r="Y4" s="1789"/>
      <c r="Z4" s="1789"/>
      <c r="AA4" s="1789"/>
      <c r="AB4" s="1789"/>
      <c r="AC4" s="1789"/>
      <c r="AD4" s="1789"/>
      <c r="AE4" s="1789"/>
      <c r="AF4" s="46"/>
      <c r="AG4" s="47"/>
      <c r="AH4" s="48"/>
      <c r="AI4" s="49" t="s">
        <v>92</v>
      </c>
    </row>
    <row r="5" spans="1:35" ht="20.25">
      <c r="A5" s="1788" t="s">
        <v>93</v>
      </c>
      <c r="B5" s="1789"/>
      <c r="C5" s="1789"/>
      <c r="D5" s="1789"/>
      <c r="E5" s="1789"/>
      <c r="F5" s="1789"/>
      <c r="G5" s="1789"/>
      <c r="H5" s="1789"/>
      <c r="I5" s="1789"/>
      <c r="J5" s="1789"/>
      <c r="K5" s="1789"/>
      <c r="L5" s="1789"/>
      <c r="M5" s="1789"/>
      <c r="N5" s="1789"/>
      <c r="O5" s="1789"/>
      <c r="P5" s="1789"/>
      <c r="Q5" s="1789"/>
      <c r="R5" s="1789"/>
      <c r="S5" s="1789"/>
      <c r="T5" s="1789"/>
      <c r="U5" s="1789"/>
      <c r="V5" s="1789"/>
      <c r="W5" s="1789"/>
      <c r="X5" s="1789"/>
      <c r="Y5" s="1789"/>
      <c r="Z5" s="1789"/>
      <c r="AA5" s="1789"/>
      <c r="AB5" s="1789"/>
      <c r="AC5" s="1789"/>
      <c r="AD5" s="1789"/>
      <c r="AE5" s="1789"/>
      <c r="AF5" s="46"/>
      <c r="AG5" s="47"/>
      <c r="AH5" s="48"/>
      <c r="AI5" s="49" t="s">
        <v>94</v>
      </c>
    </row>
    <row r="6" spans="1:35" ht="18">
      <c r="A6" s="1825" t="s">
        <v>95</v>
      </c>
      <c r="B6" s="1826"/>
      <c r="C6" s="1826"/>
      <c r="D6" s="1826"/>
      <c r="E6" s="1826"/>
      <c r="F6" s="1826"/>
      <c r="G6" s="1826"/>
      <c r="H6" s="1826"/>
      <c r="I6" s="1826"/>
      <c r="J6" s="1826"/>
      <c r="K6" s="1826"/>
      <c r="L6" s="1826"/>
      <c r="M6" s="1826"/>
      <c r="N6" s="1826"/>
      <c r="O6" s="1826"/>
      <c r="P6" s="1826"/>
      <c r="Q6" s="1826"/>
      <c r="R6" s="1826"/>
      <c r="S6" s="1826"/>
      <c r="T6" s="1826"/>
      <c r="U6" s="1826"/>
      <c r="V6" s="1826"/>
      <c r="W6" s="1826"/>
      <c r="X6" s="1826"/>
      <c r="Y6" s="1826"/>
      <c r="Z6" s="1826"/>
      <c r="AA6" s="1826"/>
      <c r="AB6" s="1826"/>
      <c r="AC6" s="1826"/>
      <c r="AD6" s="1826"/>
      <c r="AE6" s="1826"/>
      <c r="AF6" s="46"/>
      <c r="AG6" s="47"/>
      <c r="AH6" s="48"/>
      <c r="AI6" s="50"/>
    </row>
    <row r="7" spans="1:35" ht="15.75" thickBot="1">
      <c r="A7" s="51"/>
      <c r="B7" s="52"/>
      <c r="C7" s="52">
        <f>41.273-20.778</f>
        <v>20.495000000000005</v>
      </c>
      <c r="D7" s="52"/>
      <c r="E7" s="52"/>
      <c r="F7" s="52"/>
      <c r="G7" s="52"/>
      <c r="H7" s="52"/>
      <c r="I7" s="52"/>
      <c r="J7" s="53"/>
      <c r="K7" s="53"/>
      <c r="L7" s="53"/>
      <c r="M7" s="53"/>
      <c r="N7" s="52"/>
      <c r="O7" s="53"/>
      <c r="P7" s="53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3"/>
      <c r="AG7" s="53"/>
      <c r="AH7" s="1876" t="s">
        <v>14</v>
      </c>
      <c r="AI7" s="1877" t="s">
        <v>96</v>
      </c>
    </row>
    <row r="8" spans="1:35" ht="23.45" customHeight="1" thickBot="1">
      <c r="A8" s="1838" t="s">
        <v>97</v>
      </c>
      <c r="B8" s="1838" t="s">
        <v>98</v>
      </c>
      <c r="C8" s="1838" t="s">
        <v>99</v>
      </c>
      <c r="D8" s="1838" t="s">
        <v>100</v>
      </c>
      <c r="E8" s="1843" t="s">
        <v>994</v>
      </c>
      <c r="F8" s="1838" t="s">
        <v>101</v>
      </c>
      <c r="G8" s="1838" t="s">
        <v>102</v>
      </c>
      <c r="H8" s="1838" t="s">
        <v>103</v>
      </c>
      <c r="I8" s="1838" t="s">
        <v>104</v>
      </c>
      <c r="J8" s="1869" t="s">
        <v>105</v>
      </c>
      <c r="K8" s="1871"/>
      <c r="L8" s="1871"/>
      <c r="M8" s="1856"/>
      <c r="N8" s="1838" t="s">
        <v>106</v>
      </c>
      <c r="O8" s="1869" t="s">
        <v>107</v>
      </c>
      <c r="P8" s="1856" t="s">
        <v>108</v>
      </c>
      <c r="Q8" s="1838" t="s">
        <v>109</v>
      </c>
      <c r="R8" s="1838" t="s">
        <v>110</v>
      </c>
      <c r="S8" s="1838" t="s">
        <v>111</v>
      </c>
      <c r="T8" s="1838" t="s">
        <v>112</v>
      </c>
      <c r="U8" s="1866" t="s">
        <v>113</v>
      </c>
      <c r="V8" s="1867"/>
      <c r="W8" s="1868"/>
      <c r="X8" s="1866" t="s">
        <v>114</v>
      </c>
      <c r="Y8" s="1867"/>
      <c r="Z8" s="1868"/>
      <c r="AA8" s="1869" t="s">
        <v>115</v>
      </c>
      <c r="AB8" s="1856" t="s">
        <v>116</v>
      </c>
      <c r="AC8" s="1852" t="s">
        <v>117</v>
      </c>
      <c r="AD8" s="1854"/>
      <c r="AE8" s="1858" t="s">
        <v>118</v>
      </c>
      <c r="AF8" s="1869" t="s">
        <v>119</v>
      </c>
      <c r="AG8" s="1871" t="s">
        <v>120</v>
      </c>
      <c r="AH8" s="1856" t="s">
        <v>121</v>
      </c>
      <c r="AI8" s="1858" t="s">
        <v>122</v>
      </c>
    </row>
    <row r="9" spans="1:35" ht="22.9" customHeight="1" thickBot="1">
      <c r="A9" s="1873"/>
      <c r="B9" s="1873"/>
      <c r="C9" s="1873"/>
      <c r="D9" s="1873"/>
      <c r="E9" s="1844"/>
      <c r="F9" s="1873"/>
      <c r="G9" s="1873"/>
      <c r="H9" s="1873"/>
      <c r="I9" s="1873"/>
      <c r="J9" s="55" t="s">
        <v>123</v>
      </c>
      <c r="K9" s="56" t="s">
        <v>124</v>
      </c>
      <c r="L9" s="56" t="s">
        <v>125</v>
      </c>
      <c r="M9" s="57"/>
      <c r="N9" s="1873"/>
      <c r="O9" s="1870"/>
      <c r="P9" s="1857"/>
      <c r="Q9" s="1873"/>
      <c r="R9" s="1873"/>
      <c r="S9" s="1873"/>
      <c r="T9" s="1873"/>
      <c r="U9" s="58" t="s">
        <v>126</v>
      </c>
      <c r="V9" s="58" t="s">
        <v>127</v>
      </c>
      <c r="W9" s="58" t="s">
        <v>128</v>
      </c>
      <c r="X9" s="58" t="s">
        <v>126</v>
      </c>
      <c r="Y9" s="58" t="s">
        <v>127</v>
      </c>
      <c r="Z9" s="58" t="s">
        <v>128</v>
      </c>
      <c r="AA9" s="1870"/>
      <c r="AB9" s="1857"/>
      <c r="AC9" s="59" t="s">
        <v>129</v>
      </c>
      <c r="AD9" s="59" t="s">
        <v>130</v>
      </c>
      <c r="AE9" s="1859"/>
      <c r="AF9" s="1870"/>
      <c r="AG9" s="1872"/>
      <c r="AH9" s="1857"/>
      <c r="AI9" s="1859"/>
    </row>
    <row r="10" spans="1:35" ht="23.25">
      <c r="A10" s="60">
        <v>1</v>
      </c>
      <c r="B10" s="61" t="s">
        <v>131</v>
      </c>
      <c r="C10" s="61" t="s">
        <v>132</v>
      </c>
      <c r="D10" s="61" t="s">
        <v>133</v>
      </c>
      <c r="E10" s="61" t="s">
        <v>982</v>
      </c>
      <c r="F10" s="61">
        <v>47.74</v>
      </c>
      <c r="G10" s="61"/>
      <c r="H10" s="61"/>
      <c r="I10" s="61">
        <v>0</v>
      </c>
      <c r="J10" s="62"/>
      <c r="K10" s="62"/>
      <c r="L10" s="62"/>
      <c r="M10" s="62"/>
      <c r="N10" s="63" t="s">
        <v>134</v>
      </c>
      <c r="O10" s="62"/>
      <c r="P10" s="62"/>
      <c r="Q10" s="64">
        <v>55.908999999999999</v>
      </c>
      <c r="R10" s="61" t="s">
        <v>135</v>
      </c>
      <c r="S10" s="64">
        <f>G11</f>
        <v>112.764</v>
      </c>
      <c r="T10" s="65">
        <v>56.381999999999998</v>
      </c>
      <c r="U10" s="60">
        <v>0</v>
      </c>
      <c r="V10" s="61">
        <v>66</v>
      </c>
      <c r="W10" s="66">
        <f>U10+V10</f>
        <v>66</v>
      </c>
      <c r="X10" s="60">
        <v>0</v>
      </c>
      <c r="Y10" s="61">
        <v>61</v>
      </c>
      <c r="Z10" s="66">
        <f>X10+Y10</f>
        <v>61</v>
      </c>
      <c r="AA10" s="67" t="s">
        <v>136</v>
      </c>
      <c r="AB10" s="68" t="s">
        <v>137</v>
      </c>
      <c r="AC10" s="69">
        <v>290073.21299999999</v>
      </c>
      <c r="AD10" s="70">
        <v>2865051.01</v>
      </c>
      <c r="AE10" s="71"/>
      <c r="AF10" s="62" t="s">
        <v>138</v>
      </c>
      <c r="AG10" s="62"/>
      <c r="AH10" s="62"/>
      <c r="AI10" s="72"/>
    </row>
    <row r="11" spans="1:35" ht="23.25">
      <c r="A11" s="73"/>
      <c r="B11" s="74" t="s">
        <v>134</v>
      </c>
      <c r="C11" s="74"/>
      <c r="D11" s="74"/>
      <c r="E11" s="74"/>
      <c r="F11" s="74"/>
      <c r="G11" s="75">
        <v>112.764</v>
      </c>
      <c r="H11" s="74"/>
      <c r="I11" s="74"/>
      <c r="J11" s="76"/>
      <c r="K11" s="76"/>
      <c r="L11" s="76"/>
      <c r="M11" s="76"/>
      <c r="N11" s="77"/>
      <c r="O11" s="76"/>
      <c r="P11" s="76"/>
      <c r="Q11" s="75"/>
      <c r="R11" s="74"/>
      <c r="S11" s="75"/>
      <c r="T11" s="78"/>
      <c r="U11" s="73"/>
      <c r="V11" s="74"/>
      <c r="W11" s="79"/>
      <c r="X11" s="73"/>
      <c r="Y11" s="74"/>
      <c r="Z11" s="79"/>
      <c r="AA11" s="80"/>
      <c r="AB11" s="81"/>
      <c r="AC11" s="82"/>
      <c r="AD11" s="83"/>
      <c r="AE11" s="84" t="s">
        <v>139</v>
      </c>
      <c r="AF11" s="76"/>
      <c r="AG11" s="76"/>
      <c r="AH11" s="76"/>
      <c r="AI11" s="85"/>
    </row>
    <row r="12" spans="1:35" ht="23.25">
      <c r="A12" s="73">
        <v>2</v>
      </c>
      <c r="B12" s="74" t="s">
        <v>140</v>
      </c>
      <c r="C12" s="74" t="s">
        <v>141</v>
      </c>
      <c r="D12" s="74" t="s">
        <v>133</v>
      </c>
      <c r="E12" s="74" t="s">
        <v>982</v>
      </c>
      <c r="F12" s="74">
        <v>47.74</v>
      </c>
      <c r="G12" s="75"/>
      <c r="H12" s="75">
        <f>SUM(G11:G12)</f>
        <v>112.764</v>
      </c>
      <c r="I12" s="75">
        <f>I10+G11</f>
        <v>112.764</v>
      </c>
      <c r="J12" s="76"/>
      <c r="K12" s="76"/>
      <c r="L12" s="76"/>
      <c r="M12" s="76"/>
      <c r="N12" s="77" t="s">
        <v>134</v>
      </c>
      <c r="O12" s="76"/>
      <c r="P12" s="76"/>
      <c r="Q12" s="75">
        <v>55.625</v>
      </c>
      <c r="R12" s="74" t="s">
        <v>142</v>
      </c>
      <c r="S12" s="75">
        <f>(G11+G13)</f>
        <v>271.423</v>
      </c>
      <c r="T12" s="78">
        <f>(G11+G13)/2</f>
        <v>135.7115</v>
      </c>
      <c r="U12" s="73">
        <v>52</v>
      </c>
      <c r="V12" s="74">
        <v>84</v>
      </c>
      <c r="W12" s="79">
        <f>U12+V12</f>
        <v>136</v>
      </c>
      <c r="X12" s="73">
        <v>57</v>
      </c>
      <c r="Y12" s="74">
        <v>83</v>
      </c>
      <c r="Z12" s="79">
        <f>X12+Y12</f>
        <v>140</v>
      </c>
      <c r="AA12" s="80" t="s">
        <v>143</v>
      </c>
      <c r="AB12" s="81" t="s">
        <v>144</v>
      </c>
      <c r="AC12" s="82">
        <v>290143.136</v>
      </c>
      <c r="AD12" s="83">
        <v>2865139.477</v>
      </c>
      <c r="AE12" s="86"/>
      <c r="AF12" s="76" t="s">
        <v>145</v>
      </c>
      <c r="AG12" s="76"/>
      <c r="AH12" s="76"/>
      <c r="AI12" s="85"/>
    </row>
    <row r="13" spans="1:35" ht="23.25">
      <c r="A13" s="73"/>
      <c r="B13" s="74" t="s">
        <v>134</v>
      </c>
      <c r="C13" s="74"/>
      <c r="D13" s="74"/>
      <c r="E13" s="74"/>
      <c r="F13" s="74"/>
      <c r="G13" s="75">
        <v>158.65899999999999</v>
      </c>
      <c r="H13" s="74" t="s">
        <v>14</v>
      </c>
      <c r="I13" s="74"/>
      <c r="J13" s="76"/>
      <c r="K13" s="76"/>
      <c r="L13" s="76"/>
      <c r="M13" s="76"/>
      <c r="N13" s="77"/>
      <c r="O13" s="76"/>
      <c r="P13" s="76"/>
      <c r="Q13" s="75"/>
      <c r="R13" s="74"/>
      <c r="S13" s="75"/>
      <c r="T13" s="78"/>
      <c r="U13" s="73"/>
      <c r="V13" s="74"/>
      <c r="W13" s="79"/>
      <c r="X13" s="73"/>
      <c r="Y13" s="74"/>
      <c r="Z13" s="79"/>
      <c r="AA13" s="80"/>
      <c r="AB13" s="81"/>
      <c r="AC13" s="82"/>
      <c r="AD13" s="83"/>
      <c r="AE13" s="86"/>
      <c r="AF13" s="76"/>
      <c r="AG13" s="76"/>
      <c r="AH13" s="76"/>
      <c r="AI13" s="85"/>
    </row>
    <row r="14" spans="1:35" ht="23.25">
      <c r="A14" s="73">
        <v>3</v>
      </c>
      <c r="B14" s="74" t="s">
        <v>146</v>
      </c>
      <c r="C14" s="74" t="s">
        <v>147</v>
      </c>
      <c r="D14" s="74" t="s">
        <v>133</v>
      </c>
      <c r="E14" s="74" t="s">
        <v>982</v>
      </c>
      <c r="F14" s="74">
        <v>47.74</v>
      </c>
      <c r="G14" s="75"/>
      <c r="H14" s="75">
        <f>SUM(G13:G14)</f>
        <v>158.65899999999999</v>
      </c>
      <c r="I14" s="75">
        <f t="shared" ref="I14" si="0">I12+G13</f>
        <v>271.423</v>
      </c>
      <c r="J14" s="76"/>
      <c r="K14" s="76"/>
      <c r="L14" s="76"/>
      <c r="M14" s="76"/>
      <c r="N14" s="77" t="s">
        <v>134</v>
      </c>
      <c r="O14" s="76"/>
      <c r="P14" s="76"/>
      <c r="Q14" s="75">
        <v>55.475999999999999</v>
      </c>
      <c r="R14" s="74" t="s">
        <v>148</v>
      </c>
      <c r="S14" s="75">
        <f t="shared" ref="S14" si="1">(G13+G15)</f>
        <v>454.65899999999999</v>
      </c>
      <c r="T14" s="78">
        <f t="shared" ref="T14" si="2">(G13+G15)/2</f>
        <v>227.3295</v>
      </c>
      <c r="U14" s="73">
        <v>79</v>
      </c>
      <c r="V14" s="74">
        <v>153</v>
      </c>
      <c r="W14" s="79">
        <f t="shared" ref="W14" si="3">U14+V14</f>
        <v>232</v>
      </c>
      <c r="X14" s="73">
        <v>81</v>
      </c>
      <c r="Y14" s="74">
        <v>152</v>
      </c>
      <c r="Z14" s="79">
        <f t="shared" ref="Z14" si="4">X14+Y14</f>
        <v>233</v>
      </c>
      <c r="AA14" s="80" t="s">
        <v>149</v>
      </c>
      <c r="AB14" s="81" t="s">
        <v>150</v>
      </c>
      <c r="AC14" s="82">
        <v>290295.87</v>
      </c>
      <c r="AD14" s="83">
        <v>2865182.4309999999</v>
      </c>
      <c r="AE14" s="86"/>
      <c r="AF14" s="76" t="s">
        <v>145</v>
      </c>
      <c r="AG14" s="76"/>
      <c r="AH14" s="76"/>
      <c r="AI14" s="85"/>
    </row>
    <row r="15" spans="1:35" ht="36.6" customHeight="1">
      <c r="A15" s="73"/>
      <c r="B15" s="74" t="s">
        <v>134</v>
      </c>
      <c r="C15" s="74"/>
      <c r="D15" s="74"/>
      <c r="E15" s="74"/>
      <c r="F15" s="74"/>
      <c r="G15" s="34">
        <v>296</v>
      </c>
      <c r="H15" s="74"/>
      <c r="I15" s="74"/>
      <c r="J15" s="76"/>
      <c r="K15" s="76"/>
      <c r="L15" s="76"/>
      <c r="M15" s="76"/>
      <c r="N15" s="77"/>
      <c r="O15" s="76"/>
      <c r="P15" s="76"/>
      <c r="Q15" s="75"/>
      <c r="R15" s="74"/>
      <c r="S15" s="75"/>
      <c r="T15" s="78"/>
      <c r="U15" s="73"/>
      <c r="V15" s="74"/>
      <c r="W15" s="79"/>
      <c r="X15" s="73"/>
      <c r="Y15" s="74"/>
      <c r="Z15" s="79"/>
      <c r="AA15" s="80"/>
      <c r="AB15" s="81"/>
      <c r="AC15" s="82"/>
      <c r="AD15" s="83"/>
      <c r="AE15" s="86" t="s">
        <v>151</v>
      </c>
      <c r="AF15" s="76"/>
      <c r="AG15" s="76"/>
      <c r="AH15" s="76"/>
      <c r="AI15" s="85"/>
    </row>
    <row r="16" spans="1:35" ht="23.25">
      <c r="A16" s="73">
        <v>4</v>
      </c>
      <c r="B16" s="74" t="s">
        <v>134</v>
      </c>
      <c r="C16" s="74" t="s">
        <v>152</v>
      </c>
      <c r="D16" s="74" t="s">
        <v>153</v>
      </c>
      <c r="E16" s="74" t="s">
        <v>982</v>
      </c>
      <c r="F16" s="74">
        <v>48.16</v>
      </c>
      <c r="G16" s="75"/>
      <c r="H16" s="75"/>
      <c r="I16" s="75">
        <f t="shared" ref="I16" si="5">I14+G15</f>
        <v>567.423</v>
      </c>
      <c r="J16" s="76"/>
      <c r="K16" s="76"/>
      <c r="L16" s="76"/>
      <c r="M16" s="76"/>
      <c r="N16" s="77" t="s">
        <v>134</v>
      </c>
      <c r="O16" s="76"/>
      <c r="P16" s="76"/>
      <c r="Q16" s="75">
        <v>54.966000000000001</v>
      </c>
      <c r="R16" s="74" t="s">
        <v>134</v>
      </c>
      <c r="S16" s="75">
        <f t="shared" ref="S16" si="6">(G15+G17)</f>
        <v>628</v>
      </c>
      <c r="T16" s="78">
        <f t="shared" ref="T16" si="7">(G15+G17)/2</f>
        <v>314</v>
      </c>
      <c r="U16" s="73">
        <v>146</v>
      </c>
      <c r="V16" s="74">
        <v>168</v>
      </c>
      <c r="W16" s="79">
        <f t="shared" ref="W16" si="8">U16+V16</f>
        <v>314</v>
      </c>
      <c r="X16" s="73">
        <v>147</v>
      </c>
      <c r="Y16" s="74">
        <v>168</v>
      </c>
      <c r="Z16" s="79">
        <f t="shared" ref="Z16" si="9">X16+Y16</f>
        <v>315</v>
      </c>
      <c r="AA16" s="80" t="s">
        <v>154</v>
      </c>
      <c r="AB16" s="81" t="s">
        <v>155</v>
      </c>
      <c r="AC16" s="82">
        <v>290582.30699999997</v>
      </c>
      <c r="AD16" s="83">
        <v>2865107.801</v>
      </c>
      <c r="AE16" s="86"/>
      <c r="AF16" s="76" t="s">
        <v>145</v>
      </c>
      <c r="AG16" s="76"/>
      <c r="AH16" s="76"/>
      <c r="AI16" s="85"/>
    </row>
    <row r="17" spans="1:35" ht="23.25">
      <c r="A17" s="73"/>
      <c r="B17" s="74" t="s">
        <v>134</v>
      </c>
      <c r="C17" s="74"/>
      <c r="D17" s="74"/>
      <c r="E17" s="74"/>
      <c r="F17" s="74"/>
      <c r="G17" s="75">
        <v>332</v>
      </c>
      <c r="H17" s="74"/>
      <c r="I17" s="74"/>
      <c r="J17" s="76"/>
      <c r="K17" s="76"/>
      <c r="L17" s="76"/>
      <c r="M17" s="76"/>
      <c r="N17" s="77"/>
      <c r="O17" s="76"/>
      <c r="P17" s="76"/>
      <c r="Q17" s="75"/>
      <c r="R17" s="74"/>
      <c r="S17" s="75"/>
      <c r="T17" s="78"/>
      <c r="U17" s="73"/>
      <c r="V17" s="74"/>
      <c r="W17" s="79"/>
      <c r="X17" s="73"/>
      <c r="Y17" s="74"/>
      <c r="Z17" s="79"/>
      <c r="AA17" s="80"/>
      <c r="AB17" s="81"/>
      <c r="AC17" s="82"/>
      <c r="AD17" s="83"/>
      <c r="AE17" s="87"/>
      <c r="AF17" s="76"/>
      <c r="AG17" s="76"/>
      <c r="AH17" s="76"/>
      <c r="AI17" s="85"/>
    </row>
    <row r="18" spans="1:35" ht="23.25">
      <c r="A18" s="73">
        <v>5</v>
      </c>
      <c r="B18" s="74" t="s">
        <v>134</v>
      </c>
      <c r="C18" s="74" t="s">
        <v>156</v>
      </c>
      <c r="D18" s="74" t="s">
        <v>153</v>
      </c>
      <c r="E18" s="74" t="s">
        <v>982</v>
      </c>
      <c r="F18" s="74">
        <v>48.16</v>
      </c>
      <c r="G18" s="75"/>
      <c r="H18" s="75"/>
      <c r="I18" s="75">
        <f t="shared" ref="I18" si="10">I16+G17</f>
        <v>899.423</v>
      </c>
      <c r="J18" s="76"/>
      <c r="K18" s="76"/>
      <c r="L18" s="76"/>
      <c r="M18" s="76"/>
      <c r="N18" s="77" t="s">
        <v>134</v>
      </c>
      <c r="O18" s="76"/>
      <c r="P18" s="76"/>
      <c r="Q18" s="75">
        <v>54.7</v>
      </c>
      <c r="R18" s="74" t="s">
        <v>134</v>
      </c>
      <c r="S18" s="75">
        <f t="shared" ref="S18" si="11">(G17+G19)</f>
        <v>609</v>
      </c>
      <c r="T18" s="78">
        <f t="shared" ref="T18" si="12">(G17+G19)/2</f>
        <v>304.5</v>
      </c>
      <c r="U18" s="73">
        <v>164</v>
      </c>
      <c r="V18" s="74">
        <v>138</v>
      </c>
      <c r="W18" s="79">
        <f t="shared" ref="W18" si="13">U18+V18</f>
        <v>302</v>
      </c>
      <c r="X18" s="73">
        <v>165</v>
      </c>
      <c r="Y18" s="74">
        <v>138</v>
      </c>
      <c r="Z18" s="79">
        <f t="shared" ref="Z18" si="14">X18+Y18</f>
        <v>303</v>
      </c>
      <c r="AA18" s="80" t="s">
        <v>157</v>
      </c>
      <c r="AB18" s="81" t="s">
        <v>158</v>
      </c>
      <c r="AC18" s="82">
        <v>290903.58100000001</v>
      </c>
      <c r="AD18" s="83">
        <v>2865024.0929999999</v>
      </c>
      <c r="AE18" s="88"/>
      <c r="AF18" s="76" t="s">
        <v>145</v>
      </c>
      <c r="AG18" s="76"/>
      <c r="AH18" s="76"/>
      <c r="AI18" s="85"/>
    </row>
    <row r="19" spans="1:35" ht="23.25">
      <c r="A19" s="73"/>
      <c r="B19" s="74" t="s">
        <v>134</v>
      </c>
      <c r="C19" s="74"/>
      <c r="D19" s="74"/>
      <c r="E19" s="74"/>
      <c r="F19" s="74"/>
      <c r="G19" s="75">
        <v>277</v>
      </c>
      <c r="H19" s="74"/>
      <c r="I19" s="74"/>
      <c r="J19" s="76"/>
      <c r="K19" s="76"/>
      <c r="L19" s="76"/>
      <c r="M19" s="76"/>
      <c r="N19" s="77"/>
      <c r="O19" s="76"/>
      <c r="P19" s="76"/>
      <c r="Q19" s="75"/>
      <c r="R19" s="74"/>
      <c r="S19" s="75"/>
      <c r="T19" s="78"/>
      <c r="U19" s="73"/>
      <c r="V19" s="74"/>
      <c r="W19" s="79"/>
      <c r="X19" s="73"/>
      <c r="Y19" s="74"/>
      <c r="Z19" s="79"/>
      <c r="AA19" s="80"/>
      <c r="AB19" s="81"/>
      <c r="AC19" s="82"/>
      <c r="AD19" s="83"/>
      <c r="AE19" s="86" t="s">
        <v>159</v>
      </c>
      <c r="AF19" s="76"/>
      <c r="AG19" s="76"/>
      <c r="AH19" s="76"/>
      <c r="AI19" s="85"/>
    </row>
    <row r="20" spans="1:35" ht="23.25">
      <c r="A20" s="73">
        <v>6</v>
      </c>
      <c r="B20" s="74" t="s">
        <v>134</v>
      </c>
      <c r="C20" s="74" t="s">
        <v>160</v>
      </c>
      <c r="D20" s="74" t="s">
        <v>153</v>
      </c>
      <c r="E20" s="74" t="s">
        <v>982</v>
      </c>
      <c r="F20" s="74">
        <v>48.16</v>
      </c>
      <c r="G20" s="75"/>
      <c r="H20" s="75"/>
      <c r="I20" s="75">
        <f t="shared" ref="I20" si="15">I18+G19</f>
        <v>1176.423</v>
      </c>
      <c r="J20" s="76"/>
      <c r="K20" s="76"/>
      <c r="L20" s="76"/>
      <c r="M20" s="76"/>
      <c r="N20" s="77" t="s">
        <v>134</v>
      </c>
      <c r="O20" s="76"/>
      <c r="P20" s="76"/>
      <c r="Q20" s="75">
        <v>54.83</v>
      </c>
      <c r="R20" s="74" t="s">
        <v>134</v>
      </c>
      <c r="S20" s="75">
        <f t="shared" ref="S20" si="16">(G19+G21)</f>
        <v>617.68399999999997</v>
      </c>
      <c r="T20" s="78">
        <f t="shared" ref="T20" si="17">(G19+G21)/2</f>
        <v>308.84199999999998</v>
      </c>
      <c r="U20" s="73">
        <v>140</v>
      </c>
      <c r="V20" s="74">
        <v>165</v>
      </c>
      <c r="W20" s="79">
        <f t="shared" ref="W20" si="18">U20+V20</f>
        <v>305</v>
      </c>
      <c r="X20" s="73">
        <v>139</v>
      </c>
      <c r="Y20" s="74">
        <v>167</v>
      </c>
      <c r="Z20" s="79">
        <f t="shared" ref="Z20" si="19">X20+Y20</f>
        <v>306</v>
      </c>
      <c r="AA20" s="80" t="s">
        <v>161</v>
      </c>
      <c r="AB20" s="81" t="s">
        <v>162</v>
      </c>
      <c r="AC20" s="82">
        <v>291171.63299999997</v>
      </c>
      <c r="AD20" s="83">
        <v>2864954.2540000002</v>
      </c>
      <c r="AE20" s="86"/>
      <c r="AF20" s="76" t="s">
        <v>163</v>
      </c>
      <c r="AG20" s="76"/>
      <c r="AH20" s="76"/>
      <c r="AI20" s="85"/>
    </row>
    <row r="21" spans="1:35" ht="23.25">
      <c r="A21" s="73"/>
      <c r="B21" s="74" t="s">
        <v>134</v>
      </c>
      <c r="C21" s="74"/>
      <c r="D21" s="74"/>
      <c r="E21" s="74"/>
      <c r="F21" s="74"/>
      <c r="G21" s="75">
        <v>340.68400000000003</v>
      </c>
      <c r="H21" s="74"/>
      <c r="I21" s="74"/>
      <c r="J21" s="76"/>
      <c r="K21" s="76"/>
      <c r="L21" s="76"/>
      <c r="M21" s="76"/>
      <c r="N21" s="77"/>
      <c r="O21" s="76"/>
      <c r="P21" s="76"/>
      <c r="Q21" s="75"/>
      <c r="R21" s="74"/>
      <c r="S21" s="75"/>
      <c r="T21" s="78"/>
      <c r="U21" s="73"/>
      <c r="V21" s="74"/>
      <c r="W21" s="79"/>
      <c r="X21" s="73"/>
      <c r="Y21" s="74"/>
      <c r="Z21" s="79"/>
      <c r="AA21" s="80"/>
      <c r="AB21" s="81"/>
      <c r="AC21" s="82"/>
      <c r="AD21" s="83"/>
      <c r="AE21" s="86" t="s">
        <v>164</v>
      </c>
      <c r="AF21" s="76"/>
      <c r="AG21" s="76"/>
      <c r="AH21" s="76"/>
      <c r="AI21" s="85"/>
    </row>
    <row r="22" spans="1:35" ht="23.25">
      <c r="A22" s="73">
        <v>7</v>
      </c>
      <c r="B22" s="74" t="s">
        <v>165</v>
      </c>
      <c r="C22" s="74" t="s">
        <v>166</v>
      </c>
      <c r="D22" s="74" t="s">
        <v>167</v>
      </c>
      <c r="E22" s="74" t="s">
        <v>982</v>
      </c>
      <c r="F22" s="74">
        <v>47.74</v>
      </c>
      <c r="G22" s="75"/>
      <c r="H22" s="75">
        <f>SUM(G15:G22)</f>
        <v>1245.684</v>
      </c>
      <c r="I22" s="75">
        <f t="shared" ref="I22" si="20">I20+G21</f>
        <v>1517.107</v>
      </c>
      <c r="J22" s="76"/>
      <c r="K22" s="76"/>
      <c r="L22" s="76"/>
      <c r="M22" s="76"/>
      <c r="N22" s="77" t="s">
        <v>134</v>
      </c>
      <c r="O22" s="76"/>
      <c r="P22" s="76"/>
      <c r="Q22" s="75">
        <v>55.869</v>
      </c>
      <c r="R22" s="74" t="s">
        <v>168</v>
      </c>
      <c r="S22" s="75">
        <f t="shared" ref="S22" si="21">(G21+G23)</f>
        <v>570.52500000000009</v>
      </c>
      <c r="T22" s="78">
        <f t="shared" ref="T22" si="22">(G21+G23)/2</f>
        <v>285.26250000000005</v>
      </c>
      <c r="U22" s="73">
        <v>178</v>
      </c>
      <c r="V22" s="74">
        <v>109</v>
      </c>
      <c r="W22" s="79">
        <f t="shared" ref="W22" si="23">U22+V22</f>
        <v>287</v>
      </c>
      <c r="X22" s="73">
        <v>176</v>
      </c>
      <c r="Y22" s="74">
        <v>112</v>
      </c>
      <c r="Z22" s="79">
        <f t="shared" ref="Z22" si="24">X22+Y22</f>
        <v>288</v>
      </c>
      <c r="AA22" s="80" t="s">
        <v>169</v>
      </c>
      <c r="AB22" s="81" t="s">
        <v>170</v>
      </c>
      <c r="AC22" s="82">
        <v>291501.31</v>
      </c>
      <c r="AD22" s="83">
        <v>2864868.3569999998</v>
      </c>
      <c r="AE22" s="88"/>
      <c r="AF22" s="76" t="s">
        <v>163</v>
      </c>
      <c r="AG22" s="76"/>
      <c r="AH22" s="76"/>
      <c r="AI22" s="85"/>
    </row>
    <row r="23" spans="1:35" ht="23.25">
      <c r="A23" s="73"/>
      <c r="B23" s="74" t="s">
        <v>134</v>
      </c>
      <c r="C23" s="74"/>
      <c r="D23" s="74"/>
      <c r="E23" s="74"/>
      <c r="F23" s="74"/>
      <c r="G23" s="75">
        <v>229.84100000000001</v>
      </c>
      <c r="H23" s="74"/>
      <c r="I23" s="74"/>
      <c r="J23" s="76"/>
      <c r="K23" s="76"/>
      <c r="L23" s="76"/>
      <c r="M23" s="76"/>
      <c r="N23" s="77"/>
      <c r="O23" s="76"/>
      <c r="P23" s="76"/>
      <c r="Q23" s="75"/>
      <c r="R23" s="74"/>
      <c r="S23" s="75"/>
      <c r="T23" s="78"/>
      <c r="U23" s="73"/>
      <c r="V23" s="74"/>
      <c r="W23" s="79"/>
      <c r="X23" s="73"/>
      <c r="Y23" s="74"/>
      <c r="Z23" s="79"/>
      <c r="AA23" s="80"/>
      <c r="AB23" s="81"/>
      <c r="AC23" s="82"/>
      <c r="AD23" s="83"/>
      <c r="AE23" s="86" t="s">
        <v>171</v>
      </c>
      <c r="AF23" s="76"/>
      <c r="AG23" s="76"/>
      <c r="AH23" s="76"/>
      <c r="AI23" s="85" t="s">
        <v>172</v>
      </c>
    </row>
    <row r="24" spans="1:35" ht="23.25">
      <c r="A24" s="73">
        <v>8</v>
      </c>
      <c r="B24" s="74" t="s">
        <v>173</v>
      </c>
      <c r="C24" s="74" t="s">
        <v>174</v>
      </c>
      <c r="D24" s="74" t="s">
        <v>133</v>
      </c>
      <c r="E24" s="74" t="s">
        <v>982</v>
      </c>
      <c r="F24" s="74">
        <v>47.74</v>
      </c>
      <c r="G24" s="75"/>
      <c r="H24" s="75">
        <f>SUM(G23:G24)</f>
        <v>229.84100000000001</v>
      </c>
      <c r="I24" s="75">
        <f t="shared" ref="I24" si="25">I22+G23</f>
        <v>1746.9479999999999</v>
      </c>
      <c r="J24" s="76"/>
      <c r="K24" s="76"/>
      <c r="L24" s="76"/>
      <c r="M24" s="76"/>
      <c r="N24" s="77" t="s">
        <v>134</v>
      </c>
      <c r="O24" s="76"/>
      <c r="P24" s="76"/>
      <c r="Q24" s="75">
        <v>56.286000000000001</v>
      </c>
      <c r="R24" s="74" t="s">
        <v>175</v>
      </c>
      <c r="S24" s="75">
        <f t="shared" ref="S24" si="26">(G23+G25)</f>
        <v>506.76600000000002</v>
      </c>
      <c r="T24" s="78">
        <f t="shared" ref="T24" si="27">(G23+G25)/2</f>
        <v>253.38300000000001</v>
      </c>
      <c r="U24" s="73">
        <v>118</v>
      </c>
      <c r="V24" s="74">
        <v>140</v>
      </c>
      <c r="W24" s="79">
        <f t="shared" ref="W24" si="28">U24+V24</f>
        <v>258</v>
      </c>
      <c r="X24" s="73">
        <v>116</v>
      </c>
      <c r="Y24" s="74">
        <v>140</v>
      </c>
      <c r="Z24" s="79">
        <f t="shared" ref="Z24" si="29">X24+Y24</f>
        <v>256</v>
      </c>
      <c r="AA24" s="80" t="s">
        <v>176</v>
      </c>
      <c r="AB24" s="81" t="s">
        <v>177</v>
      </c>
      <c r="AC24" s="82">
        <v>291694.49599999998</v>
      </c>
      <c r="AD24" s="83">
        <v>2864743.8339999998</v>
      </c>
      <c r="AE24" s="86"/>
      <c r="AF24" s="76" t="s">
        <v>178</v>
      </c>
      <c r="AG24" s="76"/>
      <c r="AH24" s="76"/>
      <c r="AI24" s="89"/>
    </row>
    <row r="25" spans="1:35" ht="31.15" customHeight="1">
      <c r="A25" s="73"/>
      <c r="B25" s="74" t="s">
        <v>134</v>
      </c>
      <c r="C25" s="74"/>
      <c r="D25" s="74"/>
      <c r="E25" s="74"/>
      <c r="F25" s="74"/>
      <c r="G25" s="75">
        <v>276.92500000000001</v>
      </c>
      <c r="H25" s="74"/>
      <c r="I25" s="74"/>
      <c r="J25" s="76"/>
      <c r="K25" s="76"/>
      <c r="L25" s="76"/>
      <c r="M25" s="76"/>
      <c r="N25" s="77"/>
      <c r="O25" s="76"/>
      <c r="P25" s="76"/>
      <c r="Q25" s="75"/>
      <c r="R25" s="74"/>
      <c r="S25" s="75"/>
      <c r="T25" s="78"/>
      <c r="U25" s="73"/>
      <c r="V25" s="74"/>
      <c r="W25" s="79"/>
      <c r="X25" s="73"/>
      <c r="Y25" s="74"/>
      <c r="Z25" s="79"/>
      <c r="AA25" s="80"/>
      <c r="AB25" s="81"/>
      <c r="AC25" s="82"/>
      <c r="AD25" s="83"/>
      <c r="AE25" s="86" t="s">
        <v>179</v>
      </c>
      <c r="AF25" s="76"/>
      <c r="AG25" s="76"/>
      <c r="AH25" s="76"/>
      <c r="AI25" s="85" t="s">
        <v>172</v>
      </c>
    </row>
    <row r="26" spans="1:35" ht="23.25">
      <c r="A26" s="73">
        <v>9</v>
      </c>
      <c r="B26" s="74" t="s">
        <v>180</v>
      </c>
      <c r="C26" s="74" t="s">
        <v>181</v>
      </c>
      <c r="D26" s="74" t="s">
        <v>133</v>
      </c>
      <c r="E26" s="74" t="s">
        <v>982</v>
      </c>
      <c r="F26" s="74">
        <v>47.74</v>
      </c>
      <c r="G26" s="75"/>
      <c r="H26" s="75">
        <f>SUM(G25:G26)</f>
        <v>276.92500000000001</v>
      </c>
      <c r="I26" s="75">
        <f t="shared" ref="I26" si="30">I24+G25</f>
        <v>2023.8729999999998</v>
      </c>
      <c r="J26" s="76"/>
      <c r="K26" s="76"/>
      <c r="L26" s="76"/>
      <c r="M26" s="76"/>
      <c r="N26" s="77" t="s">
        <v>134</v>
      </c>
      <c r="O26" s="76"/>
      <c r="P26" s="76"/>
      <c r="Q26" s="75">
        <v>56.119</v>
      </c>
      <c r="R26" s="74" t="s">
        <v>182</v>
      </c>
      <c r="S26" s="75">
        <f t="shared" ref="S26" si="31">(G25+G27)</f>
        <v>633.92499999999995</v>
      </c>
      <c r="T26" s="78">
        <f t="shared" ref="T26" si="32">(G25+G27)/2</f>
        <v>316.96249999999998</v>
      </c>
      <c r="U26" s="73">
        <v>137</v>
      </c>
      <c r="V26" s="74">
        <v>168</v>
      </c>
      <c r="W26" s="79">
        <f t="shared" ref="W26" si="33">U26+V26</f>
        <v>305</v>
      </c>
      <c r="X26" s="73">
        <v>138</v>
      </c>
      <c r="Y26" s="74">
        <v>173</v>
      </c>
      <c r="Z26" s="79">
        <f t="shared" ref="Z26" si="34">X26+Y26</f>
        <v>311</v>
      </c>
      <c r="AA26" s="80" t="s">
        <v>183</v>
      </c>
      <c r="AB26" s="81" t="s">
        <v>184</v>
      </c>
      <c r="AC26" s="82">
        <v>291958.88799999998</v>
      </c>
      <c r="AD26" s="83">
        <v>2864826.2</v>
      </c>
      <c r="AE26" s="88"/>
      <c r="AF26" s="76" t="s">
        <v>178</v>
      </c>
      <c r="AG26" s="76"/>
      <c r="AH26" s="76"/>
      <c r="AI26" s="85" t="s">
        <v>14</v>
      </c>
    </row>
    <row r="27" spans="1:35" ht="23.25">
      <c r="A27" s="73"/>
      <c r="B27" s="74" t="s">
        <v>134</v>
      </c>
      <c r="C27" s="74"/>
      <c r="D27" s="74"/>
      <c r="E27" s="74"/>
      <c r="F27" s="74"/>
      <c r="G27" s="75">
        <v>357</v>
      </c>
      <c r="H27" s="74"/>
      <c r="I27" s="74"/>
      <c r="J27" s="76"/>
      <c r="K27" s="76"/>
      <c r="L27" s="76"/>
      <c r="M27" s="76"/>
      <c r="N27" s="77"/>
      <c r="O27" s="76"/>
      <c r="P27" s="76"/>
      <c r="Q27" s="75"/>
      <c r="R27" s="74"/>
      <c r="S27" s="75"/>
      <c r="T27" s="78"/>
      <c r="U27" s="73"/>
      <c r="V27" s="74"/>
      <c r="W27" s="79"/>
      <c r="X27" s="73"/>
      <c r="Y27" s="74"/>
      <c r="Z27" s="79"/>
      <c r="AA27" s="80"/>
      <c r="AB27" s="81"/>
      <c r="AC27" s="82"/>
      <c r="AD27" s="83"/>
      <c r="AE27" s="86" t="s">
        <v>185</v>
      </c>
      <c r="AF27" s="76"/>
      <c r="AG27" s="76"/>
      <c r="AH27" s="76"/>
      <c r="AI27" s="85"/>
    </row>
    <row r="28" spans="1:35" ht="23.25">
      <c r="A28" s="73">
        <v>10</v>
      </c>
      <c r="B28" s="74" t="s">
        <v>134</v>
      </c>
      <c r="C28" s="74" t="s">
        <v>186</v>
      </c>
      <c r="D28" s="74" t="s">
        <v>187</v>
      </c>
      <c r="E28" s="74" t="s">
        <v>982</v>
      </c>
      <c r="F28" s="74">
        <v>51.16</v>
      </c>
      <c r="G28" s="75"/>
      <c r="H28" s="75"/>
      <c r="I28" s="75">
        <f t="shared" ref="I28" si="35">I26+G27</f>
        <v>2380.8729999999996</v>
      </c>
      <c r="J28" s="76"/>
      <c r="K28" s="76"/>
      <c r="L28" s="76"/>
      <c r="M28" s="76"/>
      <c r="N28" s="77" t="s">
        <v>134</v>
      </c>
      <c r="O28" s="76"/>
      <c r="P28" s="76"/>
      <c r="Q28" s="75">
        <v>55.075000000000003</v>
      </c>
      <c r="R28" s="74" t="s">
        <v>134</v>
      </c>
      <c r="S28" s="75">
        <f t="shared" ref="S28" si="36">(G27+G29)</f>
        <v>600.76700000000005</v>
      </c>
      <c r="T28" s="78">
        <f t="shared" ref="T28" si="37">(G27+G29)/2</f>
        <v>300.38350000000003</v>
      </c>
      <c r="U28" s="73">
        <v>193</v>
      </c>
      <c r="V28" s="74">
        <v>150</v>
      </c>
      <c r="W28" s="79">
        <f t="shared" ref="W28" si="38">U28+V28</f>
        <v>343</v>
      </c>
      <c r="X28" s="73">
        <v>189</v>
      </c>
      <c r="Y28" s="74">
        <v>140</v>
      </c>
      <c r="Z28" s="79">
        <f t="shared" ref="Z28" si="39">X28+Y28</f>
        <v>329</v>
      </c>
      <c r="AA28" s="80" t="s">
        <v>188</v>
      </c>
      <c r="AB28" s="81" t="s">
        <v>189</v>
      </c>
      <c r="AC28" s="82">
        <v>292248.46600000001</v>
      </c>
      <c r="AD28" s="83">
        <v>2864617.409</v>
      </c>
      <c r="AE28" s="86"/>
      <c r="AF28" s="76" t="s">
        <v>190</v>
      </c>
      <c r="AG28" s="76"/>
      <c r="AH28" s="76"/>
      <c r="AI28" s="85"/>
    </row>
    <row r="29" spans="1:35" ht="23.25">
      <c r="A29" s="73"/>
      <c r="B29" s="74" t="s">
        <v>134</v>
      </c>
      <c r="C29" s="74"/>
      <c r="D29" s="74"/>
      <c r="E29" s="74"/>
      <c r="F29" s="74"/>
      <c r="G29" s="75">
        <v>243.767</v>
      </c>
      <c r="H29" s="74"/>
      <c r="I29" s="74"/>
      <c r="J29" s="76"/>
      <c r="K29" s="76"/>
      <c r="L29" s="76"/>
      <c r="M29" s="76"/>
      <c r="N29" s="77"/>
      <c r="O29" s="76"/>
      <c r="P29" s="76"/>
      <c r="Q29" s="75"/>
      <c r="R29" s="74"/>
      <c r="S29" s="75"/>
      <c r="T29" s="78"/>
      <c r="U29" s="73"/>
      <c r="V29" s="74"/>
      <c r="W29" s="79"/>
      <c r="X29" s="73"/>
      <c r="Y29" s="74"/>
      <c r="Z29" s="79"/>
      <c r="AA29" s="80"/>
      <c r="AB29" s="81"/>
      <c r="AC29" s="82"/>
      <c r="AD29" s="83"/>
      <c r="AE29" s="86" t="s">
        <v>191</v>
      </c>
      <c r="AF29" s="76"/>
      <c r="AG29" s="76"/>
      <c r="AH29" s="76"/>
      <c r="AI29" s="85"/>
    </row>
    <row r="30" spans="1:35" ht="23.25">
      <c r="A30" s="73">
        <v>11</v>
      </c>
      <c r="B30" s="74" t="s">
        <v>192</v>
      </c>
      <c r="C30" s="74" t="s">
        <v>64</v>
      </c>
      <c r="D30" s="74" t="s">
        <v>193</v>
      </c>
      <c r="E30" s="74" t="s">
        <v>982</v>
      </c>
      <c r="F30" s="74">
        <v>47.74</v>
      </c>
      <c r="G30" s="75"/>
      <c r="H30" s="75">
        <f>SUM(G27:G30)</f>
        <v>600.76700000000005</v>
      </c>
      <c r="I30" s="75">
        <f t="shared" ref="I30" si="40">I28+G29</f>
        <v>2624.6399999999994</v>
      </c>
      <c r="J30" s="76"/>
      <c r="K30" s="76"/>
      <c r="L30" s="76"/>
      <c r="M30" s="76"/>
      <c r="N30" s="77" t="s">
        <v>134</v>
      </c>
      <c r="O30" s="76"/>
      <c r="P30" s="76"/>
      <c r="Q30" s="75">
        <v>54.996000000000002</v>
      </c>
      <c r="R30" s="74" t="s">
        <v>194</v>
      </c>
      <c r="S30" s="75">
        <f t="shared" ref="S30" si="41">(G29+G31)</f>
        <v>581.76700000000005</v>
      </c>
      <c r="T30" s="78">
        <f t="shared" ref="T30" si="42">(G29+G31)/2</f>
        <v>290.88350000000003</v>
      </c>
      <c r="U30" s="73">
        <v>94</v>
      </c>
      <c r="V30" s="74">
        <v>170</v>
      </c>
      <c r="W30" s="79">
        <f t="shared" ref="W30" si="43">U30+V30</f>
        <v>264</v>
      </c>
      <c r="X30" s="73">
        <v>104</v>
      </c>
      <c r="Y30" s="74">
        <v>170</v>
      </c>
      <c r="Z30" s="79">
        <f t="shared" ref="Z30" si="44">X30+Y30</f>
        <v>274</v>
      </c>
      <c r="AA30" s="80" t="s">
        <v>195</v>
      </c>
      <c r="AB30" s="81" t="s">
        <v>196</v>
      </c>
      <c r="AC30" s="82">
        <v>292446.19500000001</v>
      </c>
      <c r="AD30" s="83">
        <v>2864474.8420000002</v>
      </c>
      <c r="AE30" s="88"/>
      <c r="AF30" s="76" t="s">
        <v>190</v>
      </c>
      <c r="AG30" s="76"/>
      <c r="AH30" s="76"/>
      <c r="AI30" s="90"/>
    </row>
    <row r="31" spans="1:35" ht="36" customHeight="1">
      <c r="A31" s="73"/>
      <c r="B31" s="74" t="s">
        <v>134</v>
      </c>
      <c r="C31" s="74"/>
      <c r="D31" s="74"/>
      <c r="E31" s="74"/>
      <c r="F31" s="74"/>
      <c r="G31" s="75">
        <v>338</v>
      </c>
      <c r="H31" s="74"/>
      <c r="I31" s="74"/>
      <c r="J31" s="76"/>
      <c r="K31" s="76"/>
      <c r="L31" s="76"/>
      <c r="M31" s="76"/>
      <c r="N31" s="77"/>
      <c r="O31" s="76"/>
      <c r="P31" s="76"/>
      <c r="Q31" s="75"/>
      <c r="R31" s="74"/>
      <c r="S31" s="75"/>
      <c r="T31" s="78"/>
      <c r="U31" s="73"/>
      <c r="V31" s="74"/>
      <c r="W31" s="79"/>
      <c r="X31" s="73"/>
      <c r="Y31" s="74"/>
      <c r="Z31" s="79"/>
      <c r="AA31" s="80"/>
      <c r="AB31" s="81"/>
      <c r="AC31" s="82"/>
      <c r="AD31" s="83"/>
      <c r="AE31" s="86" t="s">
        <v>197</v>
      </c>
      <c r="AF31" s="76"/>
      <c r="AG31" s="76"/>
      <c r="AH31" s="76"/>
      <c r="AI31" s="85"/>
    </row>
    <row r="32" spans="1:35" ht="23.25">
      <c r="A32" s="73">
        <v>12</v>
      </c>
      <c r="B32" s="74" t="s">
        <v>134</v>
      </c>
      <c r="C32" s="74" t="s">
        <v>198</v>
      </c>
      <c r="D32" s="74" t="s">
        <v>153</v>
      </c>
      <c r="E32" s="74" t="s">
        <v>982</v>
      </c>
      <c r="F32" s="74">
        <v>48.16</v>
      </c>
      <c r="G32" s="75"/>
      <c r="H32" s="75"/>
      <c r="I32" s="75">
        <f t="shared" ref="I32" si="45">I30+G31</f>
        <v>2962.6399999999994</v>
      </c>
      <c r="J32" s="76"/>
      <c r="K32" s="76"/>
      <c r="L32" s="76"/>
      <c r="M32" s="76"/>
      <c r="N32" s="77" t="s">
        <v>134</v>
      </c>
      <c r="O32" s="76"/>
      <c r="P32" s="76"/>
      <c r="Q32" s="75">
        <v>54.828000000000003</v>
      </c>
      <c r="R32" s="74" t="s">
        <v>134</v>
      </c>
      <c r="S32" s="75">
        <f t="shared" ref="S32" si="46">(G31+G33)</f>
        <v>647</v>
      </c>
      <c r="T32" s="78">
        <f t="shared" ref="T32" si="47">(G31+G33)/2</f>
        <v>323.5</v>
      </c>
      <c r="U32" s="73">
        <v>169</v>
      </c>
      <c r="V32" s="74">
        <v>156</v>
      </c>
      <c r="W32" s="79">
        <f t="shared" ref="W32" si="48">U32+V32</f>
        <v>325</v>
      </c>
      <c r="X32" s="73">
        <v>169</v>
      </c>
      <c r="Y32" s="74">
        <v>156</v>
      </c>
      <c r="Z32" s="79">
        <f t="shared" ref="Z32" si="49">X32+Y32</f>
        <v>325</v>
      </c>
      <c r="AA32" s="80" t="s">
        <v>199</v>
      </c>
      <c r="AB32" s="81" t="s">
        <v>200</v>
      </c>
      <c r="AC32" s="82">
        <v>292686.09700000001</v>
      </c>
      <c r="AD32" s="83">
        <v>2864236.7439999999</v>
      </c>
      <c r="AE32" s="86"/>
      <c r="AF32" s="76" t="s">
        <v>201</v>
      </c>
      <c r="AG32" s="76"/>
      <c r="AH32" s="76"/>
      <c r="AI32" s="85"/>
    </row>
    <row r="33" spans="1:35" ht="11.25" customHeight="1">
      <c r="A33" s="73"/>
      <c r="B33" s="74" t="s">
        <v>134</v>
      </c>
      <c r="C33" s="74"/>
      <c r="D33" s="74"/>
      <c r="E33" s="74"/>
      <c r="F33" s="74"/>
      <c r="G33" s="75">
        <v>309</v>
      </c>
      <c r="H33" s="74"/>
      <c r="I33" s="74"/>
      <c r="J33" s="76"/>
      <c r="K33" s="76"/>
      <c r="L33" s="76"/>
      <c r="M33" s="76"/>
      <c r="N33" s="77"/>
      <c r="O33" s="76"/>
      <c r="P33" s="76"/>
      <c r="Q33" s="75"/>
      <c r="R33" s="74"/>
      <c r="S33" s="75"/>
      <c r="T33" s="78"/>
      <c r="U33" s="73"/>
      <c r="V33" s="74"/>
      <c r="W33" s="79"/>
      <c r="X33" s="73"/>
      <c r="Y33" s="74"/>
      <c r="Z33" s="79"/>
      <c r="AA33" s="80"/>
      <c r="AB33" s="81"/>
      <c r="AC33" s="82"/>
      <c r="AD33" s="83"/>
      <c r="AE33" s="86" t="s">
        <v>202</v>
      </c>
      <c r="AF33" s="76"/>
      <c r="AG33" s="76"/>
      <c r="AH33" s="76"/>
      <c r="AI33" s="85"/>
    </row>
    <row r="34" spans="1:35" ht="23.25">
      <c r="A34" s="73">
        <v>13</v>
      </c>
      <c r="B34" s="74" t="s">
        <v>134</v>
      </c>
      <c r="C34" s="74" t="s">
        <v>203</v>
      </c>
      <c r="D34" s="74" t="s">
        <v>153</v>
      </c>
      <c r="E34" s="74" t="s">
        <v>993</v>
      </c>
      <c r="F34" s="74">
        <v>48.16</v>
      </c>
      <c r="G34" s="75"/>
      <c r="H34" s="75"/>
      <c r="I34" s="75">
        <f t="shared" ref="I34" si="50">I32+G33</f>
        <v>3271.6399999999994</v>
      </c>
      <c r="J34" s="76"/>
      <c r="K34" s="76"/>
      <c r="L34" s="76"/>
      <c r="M34" s="76"/>
      <c r="N34" s="77" t="s">
        <v>134</v>
      </c>
      <c r="O34" s="76"/>
      <c r="P34" s="76"/>
      <c r="Q34" s="75">
        <v>54.600999999999999</v>
      </c>
      <c r="R34" s="74" t="s">
        <v>134</v>
      </c>
      <c r="S34" s="75">
        <f t="shared" ref="S34" si="51">(G33+G35)</f>
        <v>690.53399999999999</v>
      </c>
      <c r="T34" s="78">
        <f t="shared" ref="T34" si="52">(G33+G35)/2</f>
        <v>345.267</v>
      </c>
      <c r="U34" s="73">
        <v>153</v>
      </c>
      <c r="V34" s="74">
        <v>194</v>
      </c>
      <c r="W34" s="79">
        <f t="shared" ref="W34" si="53">U34+V34</f>
        <v>347</v>
      </c>
      <c r="X34" s="73">
        <v>154</v>
      </c>
      <c r="Y34" s="74">
        <v>193</v>
      </c>
      <c r="Z34" s="79">
        <f t="shared" ref="Z34" si="54">X34+Y34</f>
        <v>347</v>
      </c>
      <c r="AA34" s="80" t="s">
        <v>204</v>
      </c>
      <c r="AB34" s="81" t="s">
        <v>205</v>
      </c>
      <c r="AC34" s="82">
        <v>292905.41600000003</v>
      </c>
      <c r="AD34" s="83">
        <v>2864019.074</v>
      </c>
      <c r="AE34" s="86"/>
      <c r="AF34" s="76" t="s">
        <v>201</v>
      </c>
      <c r="AG34" s="76"/>
      <c r="AH34" s="76"/>
      <c r="AI34" s="85"/>
    </row>
    <row r="35" spans="1:35" ht="23.25">
      <c r="A35" s="73"/>
      <c r="B35" s="74" t="s">
        <v>134</v>
      </c>
      <c r="C35" s="74"/>
      <c r="D35" s="74"/>
      <c r="E35" s="74"/>
      <c r="F35" s="74"/>
      <c r="G35" s="75">
        <v>381.53399999999999</v>
      </c>
      <c r="H35" s="74"/>
      <c r="I35" s="74"/>
      <c r="J35" s="76"/>
      <c r="K35" s="76"/>
      <c r="L35" s="76"/>
      <c r="M35" s="76"/>
      <c r="N35" s="77"/>
      <c r="O35" s="76"/>
      <c r="P35" s="76"/>
      <c r="Q35" s="75"/>
      <c r="R35" s="74"/>
      <c r="S35" s="75"/>
      <c r="T35" s="78"/>
      <c r="U35" s="73"/>
      <c r="V35" s="74"/>
      <c r="W35" s="79"/>
      <c r="X35" s="73"/>
      <c r="Y35" s="74"/>
      <c r="Z35" s="79"/>
      <c r="AA35" s="80"/>
      <c r="AB35" s="81"/>
      <c r="AC35" s="82"/>
      <c r="AD35" s="83"/>
      <c r="AE35" s="86" t="s">
        <v>206</v>
      </c>
      <c r="AF35" s="76"/>
      <c r="AG35" s="76"/>
      <c r="AH35" s="76"/>
      <c r="AI35" s="85"/>
    </row>
    <row r="36" spans="1:35" ht="23.25">
      <c r="A36" s="73">
        <v>14</v>
      </c>
      <c r="B36" s="74" t="s">
        <v>207</v>
      </c>
      <c r="C36" s="74" t="s">
        <v>65</v>
      </c>
      <c r="D36" s="74" t="s">
        <v>193</v>
      </c>
      <c r="E36" s="74" t="s">
        <v>993</v>
      </c>
      <c r="F36" s="74">
        <v>47.74</v>
      </c>
      <c r="G36" s="75"/>
      <c r="H36" s="75">
        <f>SUM(G31:G36)</f>
        <v>1028.5340000000001</v>
      </c>
      <c r="I36" s="75">
        <f t="shared" ref="I36" si="55">I34+G35</f>
        <v>3653.1739999999995</v>
      </c>
      <c r="J36" s="76"/>
      <c r="K36" s="76"/>
      <c r="L36" s="76"/>
      <c r="M36" s="76"/>
      <c r="N36" s="77" t="s">
        <v>134</v>
      </c>
      <c r="O36" s="76"/>
      <c r="P36" s="76"/>
      <c r="Q36" s="75">
        <v>54.119</v>
      </c>
      <c r="R36" s="74" t="s">
        <v>208</v>
      </c>
      <c r="S36" s="75">
        <f t="shared" ref="S36" si="56">(G35+G37)</f>
        <v>713.404</v>
      </c>
      <c r="T36" s="78">
        <f t="shared" ref="T36" si="57">(G35+G37)/2</f>
        <v>356.702</v>
      </c>
      <c r="U36" s="73">
        <v>188</v>
      </c>
      <c r="V36" s="74">
        <v>165</v>
      </c>
      <c r="W36" s="79">
        <f t="shared" ref="W36" si="58">U36+V36</f>
        <v>353</v>
      </c>
      <c r="X36" s="73">
        <v>189</v>
      </c>
      <c r="Y36" s="74">
        <v>165</v>
      </c>
      <c r="Z36" s="79">
        <f t="shared" ref="Z36" si="59">X36+Y36</f>
        <v>354</v>
      </c>
      <c r="AA36" s="80" t="s">
        <v>209</v>
      </c>
      <c r="AB36" s="81" t="s">
        <v>210</v>
      </c>
      <c r="AC36" s="82">
        <v>293176.21799999999</v>
      </c>
      <c r="AD36" s="83">
        <v>2863750.3080000002</v>
      </c>
      <c r="AE36" s="86"/>
      <c r="AF36" s="76" t="s">
        <v>201</v>
      </c>
      <c r="AG36" s="76"/>
      <c r="AH36" s="76"/>
      <c r="AI36" s="85"/>
    </row>
    <row r="37" spans="1:35" ht="23.25">
      <c r="A37" s="73"/>
      <c r="B37" s="74" t="s">
        <v>134</v>
      </c>
      <c r="C37" s="74"/>
      <c r="D37" s="74"/>
      <c r="E37" s="74"/>
      <c r="F37" s="74"/>
      <c r="G37" s="75">
        <v>331.87</v>
      </c>
      <c r="H37" s="74"/>
      <c r="I37" s="74"/>
      <c r="J37" s="76"/>
      <c r="K37" s="76"/>
      <c r="L37" s="76"/>
      <c r="M37" s="76"/>
      <c r="N37" s="77"/>
      <c r="O37" s="76"/>
      <c r="P37" s="76"/>
      <c r="Q37" s="75"/>
      <c r="R37" s="74"/>
      <c r="S37" s="75"/>
      <c r="T37" s="78"/>
      <c r="U37" s="73"/>
      <c r="V37" s="74"/>
      <c r="W37" s="79"/>
      <c r="X37" s="73"/>
      <c r="Y37" s="74"/>
      <c r="Z37" s="79"/>
      <c r="AA37" s="80"/>
      <c r="AB37" s="81"/>
      <c r="AC37" s="82"/>
      <c r="AD37" s="83"/>
      <c r="AE37" s="86" t="s">
        <v>211</v>
      </c>
      <c r="AF37" s="76"/>
      <c r="AG37" s="76"/>
      <c r="AH37" s="76"/>
      <c r="AI37" s="85" t="s">
        <v>172</v>
      </c>
    </row>
    <row r="38" spans="1:35" ht="23.25">
      <c r="A38" s="73">
        <v>15</v>
      </c>
      <c r="B38" s="74" t="s">
        <v>212</v>
      </c>
      <c r="C38" s="74" t="s">
        <v>213</v>
      </c>
      <c r="D38" s="74" t="s">
        <v>167</v>
      </c>
      <c r="E38" s="74" t="s">
        <v>993</v>
      </c>
      <c r="F38" s="74">
        <v>47.74</v>
      </c>
      <c r="G38" s="75"/>
      <c r="H38" s="75">
        <f>SUM(G37:G38)</f>
        <v>331.87</v>
      </c>
      <c r="I38" s="75">
        <f t="shared" ref="I38" si="60">I36+G37</f>
        <v>3985.0439999999994</v>
      </c>
      <c r="J38" s="76"/>
      <c r="K38" s="76"/>
      <c r="L38" s="76"/>
      <c r="M38" s="76"/>
      <c r="N38" s="77" t="s">
        <v>134</v>
      </c>
      <c r="O38" s="76"/>
      <c r="P38" s="76"/>
      <c r="Q38" s="75">
        <v>54.134</v>
      </c>
      <c r="R38" s="74" t="s">
        <v>214</v>
      </c>
      <c r="S38" s="75">
        <f t="shared" ref="S38" si="61">(G37+G39)</f>
        <v>673.08199999999999</v>
      </c>
      <c r="T38" s="78">
        <f t="shared" ref="T38" si="62">(G37+G39)/2</f>
        <v>336.541</v>
      </c>
      <c r="U38" s="73">
        <v>165</v>
      </c>
      <c r="V38" s="74">
        <v>169</v>
      </c>
      <c r="W38" s="79">
        <f t="shared" ref="W38" si="63">U38+V38</f>
        <v>334</v>
      </c>
      <c r="X38" s="73">
        <v>165</v>
      </c>
      <c r="Y38" s="74">
        <v>170</v>
      </c>
      <c r="Z38" s="79">
        <f t="shared" ref="Z38" si="64">X38+Y38</f>
        <v>335</v>
      </c>
      <c r="AA38" s="80" t="s">
        <v>215</v>
      </c>
      <c r="AB38" s="81" t="s">
        <v>216</v>
      </c>
      <c r="AC38" s="82">
        <v>293432.53700000001</v>
      </c>
      <c r="AD38" s="83">
        <v>2863539.5040000002</v>
      </c>
      <c r="AE38" s="86"/>
      <c r="AF38" s="76" t="s">
        <v>201</v>
      </c>
      <c r="AG38" s="76"/>
      <c r="AH38" s="76"/>
      <c r="AI38" s="90"/>
    </row>
    <row r="39" spans="1:35" ht="23.25">
      <c r="A39" s="73"/>
      <c r="B39" s="74" t="s">
        <v>134</v>
      </c>
      <c r="C39" s="74"/>
      <c r="D39" s="74"/>
      <c r="E39" s="74"/>
      <c r="F39" s="74"/>
      <c r="G39" s="75">
        <v>341.21199999999999</v>
      </c>
      <c r="H39" s="74"/>
      <c r="I39" s="74"/>
      <c r="J39" s="76"/>
      <c r="K39" s="76"/>
      <c r="L39" s="76"/>
      <c r="M39" s="76"/>
      <c r="N39" s="77"/>
      <c r="O39" s="76"/>
      <c r="P39" s="76"/>
      <c r="Q39" s="75"/>
      <c r="R39" s="74"/>
      <c r="S39" s="75"/>
      <c r="T39" s="78"/>
      <c r="U39" s="73"/>
      <c r="V39" s="74"/>
      <c r="W39" s="79"/>
      <c r="X39" s="73"/>
      <c r="Y39" s="74"/>
      <c r="Z39" s="79"/>
      <c r="AA39" s="80"/>
      <c r="AB39" s="81"/>
      <c r="AC39" s="82"/>
      <c r="AD39" s="83"/>
      <c r="AE39" s="86" t="s">
        <v>217</v>
      </c>
      <c r="AF39" s="76"/>
      <c r="AG39" s="76"/>
      <c r="AH39" s="76"/>
      <c r="AI39" s="85"/>
    </row>
    <row r="40" spans="1:35" ht="23.25">
      <c r="A40" s="73">
        <v>16</v>
      </c>
      <c r="B40" s="74" t="s">
        <v>218</v>
      </c>
      <c r="C40" s="74" t="s">
        <v>66</v>
      </c>
      <c r="D40" s="74" t="s">
        <v>193</v>
      </c>
      <c r="E40" s="74" t="s">
        <v>993</v>
      </c>
      <c r="F40" s="74">
        <v>47.74</v>
      </c>
      <c r="G40" s="75"/>
      <c r="H40" s="75">
        <f>SUM(G39:G40)</f>
        <v>341.21199999999999</v>
      </c>
      <c r="I40" s="75">
        <f t="shared" ref="I40" si="65">I38+G39</f>
        <v>4326.2559999999994</v>
      </c>
      <c r="J40" s="76"/>
      <c r="K40" s="76"/>
      <c r="L40" s="76"/>
      <c r="M40" s="76"/>
      <c r="N40" s="77" t="s">
        <v>134</v>
      </c>
      <c r="O40" s="76"/>
      <c r="P40" s="76"/>
      <c r="Q40" s="75">
        <v>54.247999999999998</v>
      </c>
      <c r="R40" s="74" t="s">
        <v>219</v>
      </c>
      <c r="S40" s="75">
        <f t="shared" ref="S40" si="66">(G39+G41)</f>
        <v>584.70699999999999</v>
      </c>
      <c r="T40" s="78">
        <f t="shared" ref="T40" si="67">(G39+G41)/2</f>
        <v>292.3535</v>
      </c>
      <c r="U40" s="73">
        <v>171</v>
      </c>
      <c r="V40" s="74">
        <v>118</v>
      </c>
      <c r="W40" s="79">
        <f t="shared" ref="W40" si="68">U40+V40</f>
        <v>289</v>
      </c>
      <c r="X40" s="73">
        <v>171</v>
      </c>
      <c r="Y40" s="74">
        <v>119</v>
      </c>
      <c r="Z40" s="79">
        <f t="shared" ref="Z40" si="69">X40+Y40</f>
        <v>290</v>
      </c>
      <c r="AA40" s="80" t="s">
        <v>220</v>
      </c>
      <c r="AB40" s="81" t="s">
        <v>221</v>
      </c>
      <c r="AC40" s="82">
        <v>293751</v>
      </c>
      <c r="AD40" s="83">
        <v>2863417</v>
      </c>
      <c r="AE40" s="88"/>
      <c r="AF40" s="76" t="s">
        <v>201</v>
      </c>
      <c r="AG40" s="76"/>
      <c r="AH40" s="76"/>
      <c r="AI40" s="90"/>
    </row>
    <row r="41" spans="1:35" ht="23.25">
      <c r="A41" s="73"/>
      <c r="B41" s="74" t="s">
        <v>134</v>
      </c>
      <c r="C41" s="74"/>
      <c r="D41" s="74"/>
      <c r="E41" s="74"/>
      <c r="F41" s="74"/>
      <c r="G41" s="75">
        <v>243.495</v>
      </c>
      <c r="H41" s="74"/>
      <c r="I41" s="74"/>
      <c r="J41" s="76"/>
      <c r="K41" s="76"/>
      <c r="L41" s="76"/>
      <c r="M41" s="76"/>
      <c r="N41" s="77"/>
      <c r="O41" s="76"/>
      <c r="P41" s="76"/>
      <c r="Q41" s="75"/>
      <c r="R41" s="74"/>
      <c r="S41" s="75"/>
      <c r="T41" s="78"/>
      <c r="U41" s="73"/>
      <c r="V41" s="74"/>
      <c r="W41" s="79"/>
      <c r="X41" s="73"/>
      <c r="Y41" s="74"/>
      <c r="Z41" s="79"/>
      <c r="AA41" s="80"/>
      <c r="AB41" s="81"/>
      <c r="AC41" s="82"/>
      <c r="AD41" s="83"/>
      <c r="AE41" s="86" t="s">
        <v>222</v>
      </c>
      <c r="AF41" s="76"/>
      <c r="AG41" s="76"/>
      <c r="AH41" s="76"/>
      <c r="AI41" s="85"/>
    </row>
    <row r="42" spans="1:35" ht="23.25">
      <c r="A42" s="73">
        <v>17</v>
      </c>
      <c r="B42" s="74" t="s">
        <v>223</v>
      </c>
      <c r="C42" s="74" t="s">
        <v>224</v>
      </c>
      <c r="D42" s="74" t="s">
        <v>133</v>
      </c>
      <c r="E42" s="74" t="s">
        <v>993</v>
      </c>
      <c r="F42" s="74">
        <v>47.74</v>
      </c>
      <c r="G42" s="75"/>
      <c r="H42" s="75">
        <f>SUM(G41:G42)</f>
        <v>243.495</v>
      </c>
      <c r="I42" s="75">
        <f t="shared" ref="I42" si="70">I40+G41</f>
        <v>4569.7509999999993</v>
      </c>
      <c r="J42" s="76"/>
      <c r="K42" s="76"/>
      <c r="L42" s="76"/>
      <c r="M42" s="76"/>
      <c r="N42" s="77" t="s">
        <v>134</v>
      </c>
      <c r="O42" s="76"/>
      <c r="P42" s="76"/>
      <c r="Q42" s="75">
        <v>54.506</v>
      </c>
      <c r="R42" s="74" t="s">
        <v>225</v>
      </c>
      <c r="S42" s="75">
        <f t="shared" ref="S42" si="71">(G41+G43)</f>
        <v>559.495</v>
      </c>
      <c r="T42" s="78">
        <f t="shared" ref="T42" si="72">(G41+G43)/2</f>
        <v>279.7475</v>
      </c>
      <c r="U42" s="73">
        <v>123</v>
      </c>
      <c r="V42" s="74">
        <v>157</v>
      </c>
      <c r="W42" s="79">
        <f t="shared" ref="W42" si="73">U42+V42</f>
        <v>280</v>
      </c>
      <c r="X42" s="73">
        <v>122</v>
      </c>
      <c r="Y42" s="74">
        <v>157</v>
      </c>
      <c r="Z42" s="79">
        <f t="shared" ref="Z42" si="74">X42+Y42</f>
        <v>279</v>
      </c>
      <c r="AA42" s="80" t="s">
        <v>226</v>
      </c>
      <c r="AB42" s="81" t="s">
        <v>227</v>
      </c>
      <c r="AC42" s="82">
        <v>293982</v>
      </c>
      <c r="AD42" s="83">
        <v>2863340</v>
      </c>
      <c r="AE42" s="86"/>
      <c r="AF42" s="76" t="s">
        <v>228</v>
      </c>
      <c r="AG42" s="76"/>
      <c r="AH42" s="76"/>
      <c r="AI42" s="85"/>
    </row>
    <row r="43" spans="1:35" ht="23.25">
      <c r="A43" s="73"/>
      <c r="B43" s="74" t="s">
        <v>134</v>
      </c>
      <c r="C43" s="74"/>
      <c r="D43" s="74"/>
      <c r="E43" s="74"/>
      <c r="F43" s="74"/>
      <c r="G43" s="75">
        <v>316</v>
      </c>
      <c r="H43" s="74"/>
      <c r="I43" s="74"/>
      <c r="J43" s="76"/>
      <c r="K43" s="76"/>
      <c r="L43" s="76"/>
      <c r="M43" s="76"/>
      <c r="N43" s="77"/>
      <c r="O43" s="76"/>
      <c r="P43" s="76"/>
      <c r="Q43" s="75"/>
      <c r="R43" s="74"/>
      <c r="S43" s="75"/>
      <c r="T43" s="78"/>
      <c r="U43" s="73"/>
      <c r="V43" s="74"/>
      <c r="W43" s="79"/>
      <c r="X43" s="73"/>
      <c r="Y43" s="74"/>
      <c r="Z43" s="79"/>
      <c r="AA43" s="80"/>
      <c r="AB43" s="81"/>
      <c r="AC43" s="82"/>
      <c r="AD43" s="83"/>
      <c r="AE43" s="86" t="s">
        <v>229</v>
      </c>
      <c r="AF43" s="76"/>
      <c r="AG43" s="76"/>
      <c r="AH43" s="76"/>
      <c r="AI43" s="85"/>
    </row>
    <row r="44" spans="1:35" ht="23.25">
      <c r="A44" s="73">
        <v>18</v>
      </c>
      <c r="B44" s="74" t="s">
        <v>134</v>
      </c>
      <c r="C44" s="74" t="s">
        <v>230</v>
      </c>
      <c r="D44" s="74" t="s">
        <v>153</v>
      </c>
      <c r="E44" s="74" t="s">
        <v>993</v>
      </c>
      <c r="F44" s="74">
        <v>48.16</v>
      </c>
      <c r="G44" s="75"/>
      <c r="H44" s="75"/>
      <c r="I44" s="75">
        <f t="shared" ref="I44" si="75">I42+G43</f>
        <v>4885.7509999999993</v>
      </c>
      <c r="J44" s="76"/>
      <c r="K44" s="76"/>
      <c r="L44" s="76"/>
      <c r="M44" s="76"/>
      <c r="N44" s="77" t="s">
        <v>134</v>
      </c>
      <c r="O44" s="76"/>
      <c r="P44" s="76"/>
      <c r="Q44" s="75">
        <v>54.523000000000003</v>
      </c>
      <c r="R44" s="74" t="s">
        <v>134</v>
      </c>
      <c r="S44" s="75">
        <f t="shared" ref="S44" si="76">(G43+G45)</f>
        <v>641</v>
      </c>
      <c r="T44" s="78">
        <f t="shared" ref="T44" si="77">(G43+G45)/2</f>
        <v>320.5</v>
      </c>
      <c r="U44" s="73">
        <v>157</v>
      </c>
      <c r="V44" s="74">
        <v>161</v>
      </c>
      <c r="W44" s="79">
        <f t="shared" ref="W44" si="78">U44+V44</f>
        <v>318</v>
      </c>
      <c r="X44" s="73">
        <v>157</v>
      </c>
      <c r="Y44" s="74">
        <v>162</v>
      </c>
      <c r="Z44" s="79">
        <f t="shared" ref="Z44" si="79">X44+Y44</f>
        <v>319</v>
      </c>
      <c r="AA44" s="80" t="s">
        <v>231</v>
      </c>
      <c r="AB44" s="81" t="s">
        <v>232</v>
      </c>
      <c r="AC44" s="82">
        <v>294290.72100000002</v>
      </c>
      <c r="AD44" s="83">
        <v>2863407.4330000002</v>
      </c>
      <c r="AE44" s="86"/>
      <c r="AF44" s="76" t="s">
        <v>228</v>
      </c>
      <c r="AG44" s="76"/>
      <c r="AH44" s="76"/>
      <c r="AI44" s="85"/>
    </row>
    <row r="45" spans="1:35" ht="23.25">
      <c r="A45" s="73"/>
      <c r="B45" s="74" t="s">
        <v>134</v>
      </c>
      <c r="C45" s="74"/>
      <c r="D45" s="74"/>
      <c r="E45" s="74"/>
      <c r="F45" s="74"/>
      <c r="G45" s="75">
        <v>325</v>
      </c>
      <c r="H45" s="74"/>
      <c r="I45" s="74"/>
      <c r="J45" s="76"/>
      <c r="K45" s="76"/>
      <c r="L45" s="76"/>
      <c r="M45" s="76"/>
      <c r="N45" s="77"/>
      <c r="O45" s="76"/>
      <c r="P45" s="76"/>
      <c r="Q45" s="75"/>
      <c r="R45" s="74"/>
      <c r="S45" s="75"/>
      <c r="T45" s="78"/>
      <c r="U45" s="73"/>
      <c r="V45" s="74"/>
      <c r="W45" s="79"/>
      <c r="X45" s="73"/>
      <c r="Y45" s="74"/>
      <c r="Z45" s="79"/>
      <c r="AA45" s="80"/>
      <c r="AB45" s="81"/>
      <c r="AC45" s="82"/>
      <c r="AD45" s="83"/>
      <c r="AE45" s="86" t="s">
        <v>233</v>
      </c>
      <c r="AF45" s="76"/>
      <c r="AG45" s="76"/>
      <c r="AH45" s="76"/>
      <c r="AI45" s="85"/>
    </row>
    <row r="46" spans="1:35" ht="23.25">
      <c r="A46" s="73">
        <v>19</v>
      </c>
      <c r="B46" s="74" t="s">
        <v>134</v>
      </c>
      <c r="C46" s="74" t="s">
        <v>234</v>
      </c>
      <c r="D46" s="74" t="s">
        <v>153</v>
      </c>
      <c r="E46" s="74" t="s">
        <v>993</v>
      </c>
      <c r="F46" s="74">
        <v>48.16</v>
      </c>
      <c r="G46" s="75"/>
      <c r="H46" s="75"/>
      <c r="I46" s="75">
        <f t="shared" ref="I46" si="80">I44+G45</f>
        <v>5210.7509999999993</v>
      </c>
      <c r="J46" s="76"/>
      <c r="K46" s="76"/>
      <c r="L46" s="76"/>
      <c r="M46" s="76"/>
      <c r="N46" s="77" t="s">
        <v>134</v>
      </c>
      <c r="O46" s="76"/>
      <c r="P46" s="76"/>
      <c r="Q46" s="75">
        <v>54.695</v>
      </c>
      <c r="R46" s="74" t="s">
        <v>134</v>
      </c>
      <c r="S46" s="75">
        <f t="shared" ref="S46" si="81">(G45+G47)</f>
        <v>594</v>
      </c>
      <c r="T46" s="78">
        <f t="shared" ref="T46" si="82">(G45+G47)/2</f>
        <v>297</v>
      </c>
      <c r="U46" s="73">
        <v>164</v>
      </c>
      <c r="V46" s="74">
        <v>136</v>
      </c>
      <c r="W46" s="79">
        <f t="shared" ref="W46" si="83">U46+V46</f>
        <v>300</v>
      </c>
      <c r="X46" s="73">
        <v>164</v>
      </c>
      <c r="Y46" s="74">
        <v>135</v>
      </c>
      <c r="Z46" s="79">
        <f t="shared" ref="Z46" si="84">X46+Y46</f>
        <v>299</v>
      </c>
      <c r="AA46" s="80" t="s">
        <v>235</v>
      </c>
      <c r="AB46" s="81" t="s">
        <v>236</v>
      </c>
      <c r="AC46" s="82">
        <v>294608.23499999999</v>
      </c>
      <c r="AD46" s="83">
        <v>2863476.787</v>
      </c>
      <c r="AE46" s="86"/>
      <c r="AF46" s="76" t="s">
        <v>237</v>
      </c>
      <c r="AG46" s="76"/>
      <c r="AH46" s="76"/>
      <c r="AI46" s="85"/>
    </row>
    <row r="47" spans="1:35" ht="23.25">
      <c r="A47" s="73"/>
      <c r="B47" s="74" t="s">
        <v>134</v>
      </c>
      <c r="C47" s="74"/>
      <c r="D47" s="74"/>
      <c r="E47" s="74"/>
      <c r="F47" s="74"/>
      <c r="G47" s="75">
        <v>269</v>
      </c>
      <c r="H47" s="74"/>
      <c r="I47" s="74"/>
      <c r="J47" s="76"/>
      <c r="K47" s="76"/>
      <c r="L47" s="76"/>
      <c r="M47" s="76"/>
      <c r="N47" s="77"/>
      <c r="O47" s="76"/>
      <c r="P47" s="76"/>
      <c r="Q47" s="75"/>
      <c r="R47" s="74"/>
      <c r="S47" s="75"/>
      <c r="T47" s="78"/>
      <c r="U47" s="73"/>
      <c r="V47" s="74"/>
      <c r="W47" s="79"/>
      <c r="X47" s="73"/>
      <c r="Y47" s="74"/>
      <c r="Z47" s="79"/>
      <c r="AA47" s="80"/>
      <c r="AB47" s="81"/>
      <c r="AC47" s="82"/>
      <c r="AD47" s="83"/>
      <c r="AE47" s="86" t="s">
        <v>238</v>
      </c>
      <c r="AF47" s="76"/>
      <c r="AG47" s="76"/>
      <c r="AH47" s="76"/>
      <c r="AI47" s="85"/>
    </row>
    <row r="48" spans="1:35" ht="23.25">
      <c r="A48" s="73">
        <v>20</v>
      </c>
      <c r="B48" s="74" t="s">
        <v>134</v>
      </c>
      <c r="C48" s="74" t="s">
        <v>239</v>
      </c>
      <c r="D48" s="74" t="s">
        <v>153</v>
      </c>
      <c r="E48" s="74" t="s">
        <v>993</v>
      </c>
      <c r="F48" s="74">
        <v>48.16</v>
      </c>
      <c r="G48" s="75"/>
      <c r="H48" s="75"/>
      <c r="I48" s="75">
        <f t="shared" ref="I48" si="85">I46+G47</f>
        <v>5479.7509999999993</v>
      </c>
      <c r="J48" s="76"/>
      <c r="K48" s="76"/>
      <c r="L48" s="76"/>
      <c r="M48" s="76"/>
      <c r="N48" s="77" t="s">
        <v>134</v>
      </c>
      <c r="O48" s="76"/>
      <c r="P48" s="76"/>
      <c r="Q48" s="75">
        <v>54.582000000000001</v>
      </c>
      <c r="R48" s="74" t="s">
        <v>134</v>
      </c>
      <c r="S48" s="75">
        <f t="shared" ref="S48" si="86">(G47+G49)</f>
        <v>550.82799999999997</v>
      </c>
      <c r="T48" s="78">
        <f t="shared" ref="T48" si="87">(G47+G49)/2</f>
        <v>275.41399999999999</v>
      </c>
      <c r="U48" s="73">
        <v>134</v>
      </c>
      <c r="V48" s="74">
        <v>116</v>
      </c>
      <c r="W48" s="79">
        <f t="shared" ref="W48" si="88">U48+V48</f>
        <v>250</v>
      </c>
      <c r="X48" s="73">
        <v>134</v>
      </c>
      <c r="Y48" s="74">
        <v>125</v>
      </c>
      <c r="Z48" s="79">
        <f t="shared" ref="Z48" si="89">X48+Y48</f>
        <v>259</v>
      </c>
      <c r="AA48" s="80" t="s">
        <v>240</v>
      </c>
      <c r="AB48" s="81" t="s">
        <v>241</v>
      </c>
      <c r="AC48" s="82">
        <v>294871.03899999999</v>
      </c>
      <c r="AD48" s="83">
        <v>2863534.19</v>
      </c>
      <c r="AE48" s="88"/>
      <c r="AF48" s="76" t="s">
        <v>237</v>
      </c>
      <c r="AG48" s="76"/>
      <c r="AH48" s="76"/>
      <c r="AI48" s="85"/>
    </row>
    <row r="49" spans="1:35" ht="23.25">
      <c r="A49" s="73"/>
      <c r="B49" s="74" t="s">
        <v>134</v>
      </c>
      <c r="C49" s="74"/>
      <c r="D49" s="74"/>
      <c r="E49" s="74"/>
      <c r="F49" s="74"/>
      <c r="G49" s="75">
        <v>281.82799999999997</v>
      </c>
      <c r="H49" s="74"/>
      <c r="I49" s="74"/>
      <c r="J49" s="76"/>
      <c r="K49" s="76"/>
      <c r="L49" s="76"/>
      <c r="M49" s="76"/>
      <c r="N49" s="77"/>
      <c r="O49" s="76"/>
      <c r="P49" s="76"/>
      <c r="Q49" s="75"/>
      <c r="R49" s="74"/>
      <c r="S49" s="75"/>
      <c r="T49" s="78"/>
      <c r="U49" s="73"/>
      <c r="V49" s="74"/>
      <c r="W49" s="79"/>
      <c r="X49" s="73"/>
      <c r="Y49" s="74"/>
      <c r="Z49" s="79"/>
      <c r="AA49" s="80"/>
      <c r="AB49" s="81"/>
      <c r="AC49" s="82"/>
      <c r="AD49" s="83"/>
      <c r="AE49" s="86" t="s">
        <v>242</v>
      </c>
      <c r="AF49" s="76"/>
      <c r="AG49" s="76"/>
      <c r="AH49" s="76"/>
      <c r="AI49" s="85" t="s">
        <v>243</v>
      </c>
    </row>
    <row r="50" spans="1:35" ht="23.25">
      <c r="A50" s="73">
        <v>21</v>
      </c>
      <c r="B50" s="74" t="s">
        <v>244</v>
      </c>
      <c r="C50" s="74" t="s">
        <v>67</v>
      </c>
      <c r="D50" s="74" t="s">
        <v>245</v>
      </c>
      <c r="E50" s="74" t="s">
        <v>993</v>
      </c>
      <c r="F50" s="74">
        <v>50.74</v>
      </c>
      <c r="G50" s="75"/>
      <c r="H50" s="75">
        <f>SUM(G43:G50)</f>
        <v>1191.828</v>
      </c>
      <c r="I50" s="75">
        <f t="shared" ref="I50" si="90">I48+G49</f>
        <v>5761.5789999999997</v>
      </c>
      <c r="J50" s="76"/>
      <c r="K50" s="76"/>
      <c r="L50" s="76"/>
      <c r="M50" s="76"/>
      <c r="N50" s="77" t="s">
        <v>134</v>
      </c>
      <c r="O50" s="76"/>
      <c r="P50" s="76"/>
      <c r="Q50" s="75">
        <v>54.762</v>
      </c>
      <c r="R50" s="74" t="s">
        <v>246</v>
      </c>
      <c r="S50" s="75">
        <f t="shared" ref="S50" si="91">(G49+G51)</f>
        <v>704.82799999999997</v>
      </c>
      <c r="T50" s="78">
        <f t="shared" ref="T50" si="92">(G49+G51)/2</f>
        <v>352.41399999999999</v>
      </c>
      <c r="U50" s="73">
        <v>166</v>
      </c>
      <c r="V50" s="74">
        <v>177</v>
      </c>
      <c r="W50" s="79">
        <f t="shared" ref="W50" si="93">U50+V50</f>
        <v>343</v>
      </c>
      <c r="X50" s="73">
        <v>156</v>
      </c>
      <c r="Y50" s="74">
        <v>187</v>
      </c>
      <c r="Z50" s="79">
        <f t="shared" ref="Z50" si="94">X50+Y50</f>
        <v>343</v>
      </c>
      <c r="AA50" s="80" t="s">
        <v>247</v>
      </c>
      <c r="AB50" s="81" t="s">
        <v>248</v>
      </c>
      <c r="AC50" s="82">
        <v>295146.375</v>
      </c>
      <c r="AD50" s="83">
        <v>2863594.3309999998</v>
      </c>
      <c r="AE50" s="86"/>
      <c r="AF50" s="76" t="s">
        <v>237</v>
      </c>
      <c r="AG50" s="76"/>
      <c r="AH50" s="76"/>
      <c r="AI50" s="85"/>
    </row>
    <row r="51" spans="1:35" ht="34.9" customHeight="1">
      <c r="A51" s="73"/>
      <c r="B51" s="74" t="s">
        <v>134</v>
      </c>
      <c r="C51" s="74"/>
      <c r="D51" s="74"/>
      <c r="E51" s="74"/>
      <c r="F51" s="74"/>
      <c r="G51" s="75">
        <v>423</v>
      </c>
      <c r="H51" s="74"/>
      <c r="I51" s="74"/>
      <c r="J51" s="76"/>
      <c r="K51" s="76"/>
      <c r="L51" s="76"/>
      <c r="M51" s="76"/>
      <c r="N51" s="77"/>
      <c r="O51" s="76"/>
      <c r="P51" s="76"/>
      <c r="Q51" s="75"/>
      <c r="R51" s="74"/>
      <c r="S51" s="75"/>
      <c r="T51" s="78"/>
      <c r="U51" s="73"/>
      <c r="V51" s="74"/>
      <c r="W51" s="79"/>
      <c r="X51" s="73"/>
      <c r="Y51" s="74"/>
      <c r="Z51" s="79"/>
      <c r="AA51" s="80"/>
      <c r="AB51" s="81"/>
      <c r="AC51" s="82"/>
      <c r="AD51" s="83"/>
      <c r="AE51" s="86" t="s">
        <v>249</v>
      </c>
      <c r="AF51" s="76"/>
      <c r="AG51" s="76"/>
      <c r="AH51" s="76"/>
      <c r="AI51" s="85" t="s">
        <v>243</v>
      </c>
    </row>
    <row r="52" spans="1:35" ht="23.25">
      <c r="A52" s="73">
        <v>22</v>
      </c>
      <c r="B52" s="74" t="s">
        <v>134</v>
      </c>
      <c r="C52" s="74" t="s">
        <v>250</v>
      </c>
      <c r="D52" s="74" t="s">
        <v>251</v>
      </c>
      <c r="E52" s="74" t="s">
        <v>993</v>
      </c>
      <c r="F52" s="74">
        <v>57.16</v>
      </c>
      <c r="G52" s="75"/>
      <c r="H52" s="75"/>
      <c r="I52" s="75">
        <f t="shared" ref="I52" si="95">I50+G51</f>
        <v>6184.5789999999997</v>
      </c>
      <c r="J52" s="76"/>
      <c r="K52" s="76"/>
      <c r="L52" s="76"/>
      <c r="M52" s="76"/>
      <c r="N52" s="77" t="s">
        <v>134</v>
      </c>
      <c r="O52" s="76"/>
      <c r="P52" s="76"/>
      <c r="Q52" s="75">
        <v>55.779000000000003</v>
      </c>
      <c r="R52" s="74" t="s">
        <v>134</v>
      </c>
      <c r="S52" s="75">
        <f t="shared" ref="S52" si="96">(G51+G53)</f>
        <v>799.09500000000003</v>
      </c>
      <c r="T52" s="78">
        <f t="shared" ref="T52" si="97">(G51+G53)/2</f>
        <v>399.54750000000001</v>
      </c>
      <c r="U52" s="73">
        <v>246</v>
      </c>
      <c r="V52" s="74">
        <v>204</v>
      </c>
      <c r="W52" s="79">
        <f t="shared" ref="W52" si="98">U52+V52</f>
        <v>450</v>
      </c>
      <c r="X52" s="73">
        <v>237</v>
      </c>
      <c r="Y52" s="74">
        <v>199</v>
      </c>
      <c r="Z52" s="79">
        <f t="shared" ref="Z52" si="99">X52+Y52</f>
        <v>436</v>
      </c>
      <c r="AA52" s="80" t="s">
        <v>252</v>
      </c>
      <c r="AB52" s="81" t="s">
        <v>253</v>
      </c>
      <c r="AC52" s="82">
        <v>295545.50699999998</v>
      </c>
      <c r="AD52" s="83">
        <v>2863734.4130000002</v>
      </c>
      <c r="AE52" s="86"/>
      <c r="AF52" s="76" t="s">
        <v>254</v>
      </c>
      <c r="AG52" s="76"/>
      <c r="AH52" s="76"/>
      <c r="AI52" s="85"/>
    </row>
    <row r="53" spans="1:35" ht="23.25">
      <c r="A53" s="73"/>
      <c r="B53" s="74" t="s">
        <v>134</v>
      </c>
      <c r="C53" s="74"/>
      <c r="D53" s="74"/>
      <c r="E53" s="74"/>
      <c r="F53" s="74"/>
      <c r="G53" s="75">
        <v>376.09500000000003</v>
      </c>
      <c r="H53" s="74"/>
      <c r="I53" s="74"/>
      <c r="J53" s="76"/>
      <c r="K53" s="76"/>
      <c r="L53" s="76"/>
      <c r="M53" s="76"/>
      <c r="N53" s="77"/>
      <c r="O53" s="76"/>
      <c r="P53" s="76"/>
      <c r="Q53" s="75"/>
      <c r="R53" s="74"/>
      <c r="S53" s="75"/>
      <c r="T53" s="78"/>
      <c r="U53" s="73"/>
      <c r="V53" s="74"/>
      <c r="W53" s="79"/>
      <c r="X53" s="73"/>
      <c r="Y53" s="74"/>
      <c r="Z53" s="79"/>
      <c r="AA53" s="80"/>
      <c r="AB53" s="81"/>
      <c r="AC53" s="82"/>
      <c r="AD53" s="83"/>
      <c r="AE53" s="86" t="s">
        <v>255</v>
      </c>
      <c r="AF53" s="76"/>
      <c r="AG53" s="76"/>
      <c r="AH53" s="76"/>
      <c r="AI53" s="85"/>
    </row>
    <row r="54" spans="1:35" ht="23.25">
      <c r="A54" s="73">
        <v>23</v>
      </c>
      <c r="B54" s="74" t="s">
        <v>256</v>
      </c>
      <c r="C54" s="74" t="s">
        <v>68</v>
      </c>
      <c r="D54" s="74" t="s">
        <v>257</v>
      </c>
      <c r="E54" s="74" t="s">
        <v>993</v>
      </c>
      <c r="F54" s="74">
        <v>53.74</v>
      </c>
      <c r="G54" s="75"/>
      <c r="H54" s="75">
        <f>SUM(G51:G54)</f>
        <v>799.09500000000003</v>
      </c>
      <c r="I54" s="75">
        <f t="shared" ref="I54" si="100">I52+G53</f>
        <v>6560.674</v>
      </c>
      <c r="J54" s="76"/>
      <c r="K54" s="76"/>
      <c r="L54" s="76"/>
      <c r="M54" s="76"/>
      <c r="N54" s="77" t="s">
        <v>134</v>
      </c>
      <c r="O54" s="76"/>
      <c r="P54" s="76"/>
      <c r="Q54" s="75">
        <v>55.676000000000002</v>
      </c>
      <c r="R54" s="74" t="s">
        <v>258</v>
      </c>
      <c r="S54" s="75">
        <f t="shared" ref="S54" si="101">(G53+G55)</f>
        <v>815.17100000000005</v>
      </c>
      <c r="T54" s="78">
        <f t="shared" ref="T54" si="102">(G53+G55)/2</f>
        <v>407.58550000000002</v>
      </c>
      <c r="U54" s="73">
        <v>169</v>
      </c>
      <c r="V54" s="74">
        <v>217</v>
      </c>
      <c r="W54" s="79">
        <f t="shared" ref="W54" si="103">U54+V54</f>
        <v>386</v>
      </c>
      <c r="X54" s="73">
        <v>174</v>
      </c>
      <c r="Y54" s="74">
        <v>217</v>
      </c>
      <c r="Z54" s="79">
        <f t="shared" ref="Z54" si="104">X54+Y54</f>
        <v>391</v>
      </c>
      <c r="AA54" s="80" t="s">
        <v>259</v>
      </c>
      <c r="AB54" s="81" t="s">
        <v>260</v>
      </c>
      <c r="AC54" s="82">
        <v>295900.38</v>
      </c>
      <c r="AD54" s="83">
        <v>2863858.9619999998</v>
      </c>
      <c r="AE54" s="86"/>
      <c r="AF54" s="76" t="s">
        <v>261</v>
      </c>
      <c r="AG54" s="76"/>
      <c r="AH54" s="76"/>
      <c r="AI54" s="85"/>
    </row>
    <row r="55" spans="1:35" ht="61.9" customHeight="1">
      <c r="A55" s="73"/>
      <c r="B55" s="74" t="s">
        <v>134</v>
      </c>
      <c r="C55" s="74"/>
      <c r="D55" s="74"/>
      <c r="E55" s="74"/>
      <c r="F55" s="74"/>
      <c r="G55" s="75">
        <v>439.07600000000002</v>
      </c>
      <c r="H55" s="74"/>
      <c r="I55" s="74"/>
      <c r="J55" s="76"/>
      <c r="K55" s="76"/>
      <c r="L55" s="76"/>
      <c r="M55" s="76"/>
      <c r="N55" s="77"/>
      <c r="O55" s="76"/>
      <c r="P55" s="76"/>
      <c r="Q55" s="75"/>
      <c r="R55" s="74"/>
      <c r="S55" s="75"/>
      <c r="T55" s="78"/>
      <c r="U55" s="73"/>
      <c r="V55" s="74"/>
      <c r="W55" s="79"/>
      <c r="X55" s="73"/>
      <c r="Y55" s="74"/>
      <c r="Z55" s="79"/>
      <c r="AA55" s="80"/>
      <c r="AB55" s="81"/>
      <c r="AC55" s="82"/>
      <c r="AD55" s="83"/>
      <c r="AE55" s="86" t="s">
        <v>262</v>
      </c>
      <c r="AF55" s="76"/>
      <c r="AG55" s="76"/>
      <c r="AH55" s="76"/>
      <c r="AI55" s="85" t="s">
        <v>243</v>
      </c>
    </row>
    <row r="56" spans="1:35" ht="23.25">
      <c r="A56" s="73">
        <v>24</v>
      </c>
      <c r="B56" s="74" t="s">
        <v>263</v>
      </c>
      <c r="C56" s="74" t="s">
        <v>56</v>
      </c>
      <c r="D56" s="74" t="s">
        <v>264</v>
      </c>
      <c r="E56" s="74" t="s">
        <v>993</v>
      </c>
      <c r="F56" s="74">
        <v>53.74</v>
      </c>
      <c r="G56" s="75"/>
      <c r="H56" s="75">
        <f>SUM(G55:G56)</f>
        <v>439.07600000000002</v>
      </c>
      <c r="I56" s="75">
        <f t="shared" ref="I56" si="105">I54+G55</f>
        <v>6999.75</v>
      </c>
      <c r="J56" s="76"/>
      <c r="K56" s="76"/>
      <c r="L56" s="76"/>
      <c r="M56" s="76"/>
      <c r="N56" s="77" t="s">
        <v>134</v>
      </c>
      <c r="O56" s="76"/>
      <c r="P56" s="76"/>
      <c r="Q56" s="75">
        <v>55.774000000000001</v>
      </c>
      <c r="R56" s="74" t="s">
        <v>265</v>
      </c>
      <c r="S56" s="75">
        <f t="shared" ref="S56" si="106">(G55+G57)</f>
        <v>757.06500000000005</v>
      </c>
      <c r="T56" s="78">
        <f t="shared" ref="T56" si="107">(G55+G57)/2</f>
        <v>378.53250000000003</v>
      </c>
      <c r="U56" s="73">
        <v>218</v>
      </c>
      <c r="V56" s="74">
        <v>203</v>
      </c>
      <c r="W56" s="79">
        <f t="shared" ref="W56" si="108">U56+V56</f>
        <v>421</v>
      </c>
      <c r="X56" s="73">
        <v>218</v>
      </c>
      <c r="Y56" s="74">
        <v>186</v>
      </c>
      <c r="Z56" s="79">
        <f t="shared" ref="Z56" si="109">X56+Y56</f>
        <v>404</v>
      </c>
      <c r="AA56" s="80" t="s">
        <v>266</v>
      </c>
      <c r="AB56" s="81" t="s">
        <v>267</v>
      </c>
      <c r="AC56" s="82">
        <v>296033.17700000003</v>
      </c>
      <c r="AD56" s="83">
        <v>2864277.4739999999</v>
      </c>
      <c r="AE56" s="86"/>
      <c r="AF56" s="76" t="s">
        <v>268</v>
      </c>
      <c r="AG56" s="76"/>
      <c r="AH56" s="76"/>
      <c r="AI56" s="85"/>
    </row>
    <row r="57" spans="1:35" ht="37.15" customHeight="1">
      <c r="A57" s="73"/>
      <c r="B57" s="74" t="s">
        <v>134</v>
      </c>
      <c r="C57" s="74"/>
      <c r="D57" s="74"/>
      <c r="E57" s="74"/>
      <c r="F57" s="74"/>
      <c r="G57" s="75">
        <v>317.98899999999998</v>
      </c>
      <c r="H57" s="74"/>
      <c r="I57" s="74"/>
      <c r="J57" s="76"/>
      <c r="K57" s="76"/>
      <c r="L57" s="76"/>
      <c r="M57" s="76"/>
      <c r="N57" s="77"/>
      <c r="O57" s="76"/>
      <c r="P57" s="76"/>
      <c r="Q57" s="75"/>
      <c r="R57" s="74"/>
      <c r="S57" s="75"/>
      <c r="T57" s="78"/>
      <c r="U57" s="73"/>
      <c r="V57" s="74"/>
      <c r="W57" s="79"/>
      <c r="X57" s="73"/>
      <c r="Y57" s="74"/>
      <c r="Z57" s="79"/>
      <c r="AA57" s="80"/>
      <c r="AB57" s="81"/>
      <c r="AC57" s="82"/>
      <c r="AD57" s="83"/>
      <c r="AE57" s="86" t="s">
        <v>269</v>
      </c>
      <c r="AF57" s="76"/>
      <c r="AG57" s="76"/>
      <c r="AH57" s="76"/>
      <c r="AI57" s="85"/>
    </row>
    <row r="58" spans="1:35" ht="23.25">
      <c r="A58" s="73">
        <v>25</v>
      </c>
      <c r="B58" s="74" t="s">
        <v>270</v>
      </c>
      <c r="C58" s="74" t="s">
        <v>60</v>
      </c>
      <c r="D58" s="74" t="s">
        <v>167</v>
      </c>
      <c r="E58" s="74" t="s">
        <v>993</v>
      </c>
      <c r="F58" s="74">
        <v>47.74</v>
      </c>
      <c r="G58" s="75"/>
      <c r="H58" s="75">
        <f>SUM(G57:G58)</f>
        <v>317.98899999999998</v>
      </c>
      <c r="I58" s="75">
        <f t="shared" ref="I58" si="110">I56+G57</f>
        <v>7317.7389999999996</v>
      </c>
      <c r="J58" s="76"/>
      <c r="K58" s="76"/>
      <c r="L58" s="76"/>
      <c r="M58" s="76"/>
      <c r="N58" s="77" t="s">
        <v>134</v>
      </c>
      <c r="O58" s="76"/>
      <c r="P58" s="76"/>
      <c r="Q58" s="75">
        <v>55.311</v>
      </c>
      <c r="R58" s="74" t="s">
        <v>271</v>
      </c>
      <c r="S58" s="75">
        <f t="shared" ref="S58" si="111">(G57+G59)</f>
        <v>667.98900000000003</v>
      </c>
      <c r="T58" s="78">
        <f t="shared" ref="T58" si="112">(G57+G59)/2</f>
        <v>333.99450000000002</v>
      </c>
      <c r="U58" s="73">
        <v>112</v>
      </c>
      <c r="V58" s="74">
        <v>166</v>
      </c>
      <c r="W58" s="79">
        <f t="shared" ref="W58" si="113">U58+V58</f>
        <v>278</v>
      </c>
      <c r="X58" s="73">
        <v>128</v>
      </c>
      <c r="Y58" s="74">
        <v>168</v>
      </c>
      <c r="Z58" s="79">
        <f t="shared" ref="Z58" si="114">X58+Y58</f>
        <v>296</v>
      </c>
      <c r="AA58" s="80" t="s">
        <v>272</v>
      </c>
      <c r="AB58" s="81" t="s">
        <v>273</v>
      </c>
      <c r="AC58" s="82">
        <v>295973.81400000001</v>
      </c>
      <c r="AD58" s="83">
        <v>2864589.8730000001</v>
      </c>
      <c r="AE58" s="86"/>
      <c r="AF58" s="76" t="s">
        <v>254</v>
      </c>
      <c r="AG58" s="76"/>
      <c r="AH58" s="76"/>
      <c r="AI58" s="85"/>
    </row>
    <row r="59" spans="1:35" ht="37.9" customHeight="1">
      <c r="A59" s="73"/>
      <c r="B59" s="74" t="s">
        <v>134</v>
      </c>
      <c r="C59" s="74"/>
      <c r="D59" s="74"/>
      <c r="E59" s="74"/>
      <c r="F59" s="74"/>
      <c r="G59" s="75">
        <v>350</v>
      </c>
      <c r="H59" s="74"/>
      <c r="I59" s="74"/>
      <c r="J59" s="76"/>
      <c r="K59" s="76"/>
      <c r="L59" s="76"/>
      <c r="M59" s="76"/>
      <c r="N59" s="77"/>
      <c r="O59" s="76"/>
      <c r="P59" s="76"/>
      <c r="Q59" s="75"/>
      <c r="R59" s="74"/>
      <c r="S59" s="75"/>
      <c r="T59" s="78"/>
      <c r="U59" s="73"/>
      <c r="V59" s="74"/>
      <c r="W59" s="79"/>
      <c r="X59" s="73"/>
      <c r="Y59" s="74"/>
      <c r="Z59" s="79"/>
      <c r="AA59" s="80"/>
      <c r="AB59" s="81"/>
      <c r="AC59" s="82"/>
      <c r="AD59" s="83"/>
      <c r="AE59" s="86" t="s">
        <v>274</v>
      </c>
      <c r="AF59" s="76"/>
      <c r="AG59" s="76"/>
      <c r="AH59" s="76"/>
      <c r="AI59" s="85"/>
    </row>
    <row r="60" spans="1:35" ht="23.25">
      <c r="A60" s="73">
        <v>26</v>
      </c>
      <c r="B60" s="74" t="s">
        <v>134</v>
      </c>
      <c r="C60" s="74" t="s">
        <v>275</v>
      </c>
      <c r="D60" s="74" t="s">
        <v>187</v>
      </c>
      <c r="E60" s="74" t="s">
        <v>982</v>
      </c>
      <c r="F60" s="74">
        <v>51.16</v>
      </c>
      <c r="G60" s="75"/>
      <c r="H60" s="75"/>
      <c r="I60" s="75">
        <f t="shared" ref="I60" si="115">I58+G59</f>
        <v>7667.7389999999996</v>
      </c>
      <c r="J60" s="76"/>
      <c r="K60" s="76"/>
      <c r="L60" s="76"/>
      <c r="M60" s="76"/>
      <c r="N60" s="77" t="s">
        <v>134</v>
      </c>
      <c r="O60" s="76"/>
      <c r="P60" s="76"/>
      <c r="Q60" s="75">
        <v>53.686</v>
      </c>
      <c r="R60" s="74" t="s">
        <v>134</v>
      </c>
      <c r="S60" s="75">
        <f t="shared" ref="S60" si="116">(G59+G61)</f>
        <v>784.14100000000008</v>
      </c>
      <c r="T60" s="78">
        <f t="shared" ref="T60" si="117">(G59+G61)/2</f>
        <v>392.07050000000004</v>
      </c>
      <c r="U60" s="73">
        <v>183</v>
      </c>
      <c r="V60" s="74">
        <v>145</v>
      </c>
      <c r="W60" s="79">
        <f t="shared" ref="W60" si="118">U60+V60</f>
        <v>328</v>
      </c>
      <c r="X60" s="73">
        <v>181</v>
      </c>
      <c r="Y60" s="74">
        <v>165</v>
      </c>
      <c r="Z60" s="79">
        <f t="shared" ref="Z60" si="119">X60+Y60</f>
        <v>346</v>
      </c>
      <c r="AA60" s="80" t="s">
        <v>276</v>
      </c>
      <c r="AB60" s="81" t="s">
        <v>277</v>
      </c>
      <c r="AC60" s="82">
        <v>295782.53200000001</v>
      </c>
      <c r="AD60" s="83">
        <v>2864882.9789999998</v>
      </c>
      <c r="AE60" s="86"/>
      <c r="AF60" s="76" t="s">
        <v>278</v>
      </c>
      <c r="AG60" s="76"/>
      <c r="AH60" s="76"/>
      <c r="AI60" s="85"/>
    </row>
    <row r="61" spans="1:35" ht="23.25">
      <c r="A61" s="73"/>
      <c r="B61" s="74" t="s">
        <v>134</v>
      </c>
      <c r="C61" s="74"/>
      <c r="D61" s="74"/>
      <c r="E61" s="74"/>
      <c r="F61" s="74"/>
      <c r="G61" s="75">
        <v>434.14100000000002</v>
      </c>
      <c r="H61" s="74"/>
      <c r="I61" s="74"/>
      <c r="J61" s="76"/>
      <c r="K61" s="76"/>
      <c r="L61" s="76"/>
      <c r="M61" s="76"/>
      <c r="N61" s="77"/>
      <c r="O61" s="76"/>
      <c r="P61" s="76"/>
      <c r="Q61" s="75"/>
      <c r="R61" s="74"/>
      <c r="S61" s="75"/>
      <c r="T61" s="78"/>
      <c r="U61" s="73"/>
      <c r="V61" s="74"/>
      <c r="W61" s="79"/>
      <c r="X61" s="73"/>
      <c r="Y61" s="74"/>
      <c r="Z61" s="79"/>
      <c r="AA61" s="80"/>
      <c r="AB61" s="81"/>
      <c r="AC61" s="82"/>
      <c r="AD61" s="83"/>
      <c r="AE61" s="86" t="s">
        <v>279</v>
      </c>
      <c r="AF61" s="76"/>
      <c r="AG61" s="76"/>
      <c r="AH61" s="76"/>
      <c r="AI61" s="85"/>
    </row>
    <row r="62" spans="1:35" ht="23.25">
      <c r="A62" s="73">
        <v>27</v>
      </c>
      <c r="B62" s="74" t="s">
        <v>280</v>
      </c>
      <c r="C62" s="74" t="s">
        <v>55</v>
      </c>
      <c r="D62" s="74" t="s">
        <v>281</v>
      </c>
      <c r="E62" s="74" t="s">
        <v>982</v>
      </c>
      <c r="F62" s="74">
        <v>65.739999999999995</v>
      </c>
      <c r="G62" s="75"/>
      <c r="H62" s="75">
        <f>SUM(G59:G62)</f>
        <v>784.14100000000008</v>
      </c>
      <c r="I62" s="75">
        <f t="shared" ref="I62" si="120">I60+G61</f>
        <v>8101.8799999999992</v>
      </c>
      <c r="J62" s="76"/>
      <c r="K62" s="76"/>
      <c r="L62" s="76"/>
      <c r="M62" s="76"/>
      <c r="N62" s="77" t="s">
        <v>134</v>
      </c>
      <c r="O62" s="76"/>
      <c r="P62" s="76"/>
      <c r="Q62" s="75">
        <v>54.27</v>
      </c>
      <c r="R62" s="74" t="s">
        <v>282</v>
      </c>
      <c r="S62" s="75">
        <f t="shared" ref="S62" si="121">(G61+G63)</f>
        <v>705.14400000000001</v>
      </c>
      <c r="T62" s="78">
        <f t="shared" ref="T62" si="122">(G61+G63)/2</f>
        <v>352.572</v>
      </c>
      <c r="U62" s="73">
        <v>293</v>
      </c>
      <c r="V62" s="74">
        <v>80</v>
      </c>
      <c r="W62" s="79">
        <f t="shared" ref="W62" si="123">U62+V62</f>
        <v>373</v>
      </c>
      <c r="X62" s="73">
        <v>273</v>
      </c>
      <c r="Y62" s="74">
        <v>105</v>
      </c>
      <c r="Z62" s="79">
        <f t="shared" ref="Z62" si="124">X62+Y62</f>
        <v>378</v>
      </c>
      <c r="AA62" s="80" t="s">
        <v>283</v>
      </c>
      <c r="AB62" s="81" t="s">
        <v>284</v>
      </c>
      <c r="AC62" s="82">
        <v>295545.26500000001</v>
      </c>
      <c r="AD62" s="83">
        <v>2865246.5490000001</v>
      </c>
      <c r="AE62" s="86"/>
      <c r="AF62" s="76" t="s">
        <v>278</v>
      </c>
      <c r="AG62" s="76"/>
      <c r="AH62" s="76"/>
      <c r="AI62" s="85"/>
    </row>
    <row r="63" spans="1:35" ht="30">
      <c r="A63" s="73"/>
      <c r="B63" s="74" t="s">
        <v>134</v>
      </c>
      <c r="C63" s="74"/>
      <c r="D63" s="74"/>
      <c r="E63" s="74"/>
      <c r="F63" s="74"/>
      <c r="G63" s="75">
        <v>271.00299999999999</v>
      </c>
      <c r="H63" s="74"/>
      <c r="I63" s="74"/>
      <c r="J63" s="76"/>
      <c r="K63" s="76"/>
      <c r="L63" s="76"/>
      <c r="M63" s="76"/>
      <c r="N63" s="77"/>
      <c r="O63" s="76"/>
      <c r="P63" s="76"/>
      <c r="Q63" s="75"/>
      <c r="R63" s="74"/>
      <c r="S63" s="75"/>
      <c r="T63" s="78"/>
      <c r="U63" s="73"/>
      <c r="V63" s="74"/>
      <c r="W63" s="79"/>
      <c r="X63" s="73"/>
      <c r="Y63" s="74"/>
      <c r="Z63" s="79"/>
      <c r="AA63" s="80"/>
      <c r="AB63" s="81"/>
      <c r="AC63" s="82"/>
      <c r="AD63" s="83"/>
      <c r="AE63" s="86" t="s">
        <v>285</v>
      </c>
      <c r="AF63" s="76"/>
      <c r="AG63" s="76"/>
      <c r="AH63" s="76"/>
      <c r="AI63" s="85"/>
    </row>
    <row r="64" spans="1:35" ht="23.25">
      <c r="A64" s="73">
        <v>28</v>
      </c>
      <c r="B64" s="74" t="s">
        <v>286</v>
      </c>
      <c r="C64" s="74" t="s">
        <v>59</v>
      </c>
      <c r="D64" s="74" t="s">
        <v>287</v>
      </c>
      <c r="E64" s="74" t="s">
        <v>982</v>
      </c>
      <c r="F64" s="74">
        <v>72.739999999999995</v>
      </c>
      <c r="G64" s="75"/>
      <c r="H64" s="75">
        <f>SUM(G63:G64)</f>
        <v>271.00299999999999</v>
      </c>
      <c r="I64" s="75">
        <f t="shared" ref="I64" si="125">I62+G63</f>
        <v>8372.8829999999998</v>
      </c>
      <c r="J64" s="76"/>
      <c r="K64" s="76"/>
      <c r="L64" s="76"/>
      <c r="M64" s="76"/>
      <c r="N64" s="77" t="s">
        <v>134</v>
      </c>
      <c r="O64" s="76"/>
      <c r="P64" s="76"/>
      <c r="Q64" s="75">
        <v>54.363999999999997</v>
      </c>
      <c r="R64" s="74" t="s">
        <v>288</v>
      </c>
      <c r="S64" s="75">
        <f t="shared" ref="S64" si="126">(G63+G65)</f>
        <v>461.91199999999998</v>
      </c>
      <c r="T64" s="78">
        <f t="shared" ref="T64" si="127">(G63+G65)/2</f>
        <v>230.95599999999999</v>
      </c>
      <c r="U64" s="73">
        <v>198</v>
      </c>
      <c r="V64" s="74">
        <v>339</v>
      </c>
      <c r="W64" s="79">
        <f t="shared" ref="W64" si="128">U64+V64</f>
        <v>537</v>
      </c>
      <c r="X64" s="73">
        <v>173</v>
      </c>
      <c r="Y64" s="74">
        <v>206</v>
      </c>
      <c r="Z64" s="79">
        <f t="shared" ref="Z64" si="129">X64+Y64</f>
        <v>379</v>
      </c>
      <c r="AA64" s="80" t="s">
        <v>289</v>
      </c>
      <c r="AB64" s="81" t="s">
        <v>290</v>
      </c>
      <c r="AC64" s="82">
        <v>295588.04499999998</v>
      </c>
      <c r="AD64" s="83">
        <v>2865514.1540000001</v>
      </c>
      <c r="AE64" s="86"/>
      <c r="AF64" s="76" t="s">
        <v>278</v>
      </c>
      <c r="AG64" s="76"/>
      <c r="AH64" s="76"/>
      <c r="AI64" s="85"/>
    </row>
    <row r="65" spans="1:35" ht="23.25">
      <c r="A65" s="73"/>
      <c r="B65" s="74" t="s">
        <v>134</v>
      </c>
      <c r="C65" s="74"/>
      <c r="D65" s="74"/>
      <c r="E65" s="74"/>
      <c r="F65" s="74"/>
      <c r="G65" s="75">
        <v>190.90899999999999</v>
      </c>
      <c r="H65" s="74"/>
      <c r="I65" s="74"/>
      <c r="J65" s="76"/>
      <c r="K65" s="76"/>
      <c r="L65" s="76"/>
      <c r="M65" s="76"/>
      <c r="N65" s="77"/>
      <c r="O65" s="76"/>
      <c r="P65" s="76"/>
      <c r="Q65" s="75"/>
      <c r="R65" s="74"/>
      <c r="S65" s="75"/>
      <c r="T65" s="78"/>
      <c r="U65" s="73"/>
      <c r="V65" s="74"/>
      <c r="W65" s="79"/>
      <c r="X65" s="73"/>
      <c r="Y65" s="74"/>
      <c r="Z65" s="79"/>
      <c r="AA65" s="80"/>
      <c r="AB65" s="81"/>
      <c r="AC65" s="82"/>
      <c r="AD65" s="83"/>
      <c r="AE65" s="86" t="s">
        <v>279</v>
      </c>
      <c r="AF65" s="76"/>
      <c r="AG65" s="76"/>
      <c r="AH65" s="76"/>
      <c r="AI65" s="85"/>
    </row>
    <row r="66" spans="1:35" ht="23.25">
      <c r="A66" s="73">
        <v>29</v>
      </c>
      <c r="B66" s="74" t="s">
        <v>291</v>
      </c>
      <c r="C66" s="74" t="s">
        <v>58</v>
      </c>
      <c r="D66" s="74" t="s">
        <v>264</v>
      </c>
      <c r="E66" s="74" t="s">
        <v>982</v>
      </c>
      <c r="F66" s="74">
        <v>53.74</v>
      </c>
      <c r="G66" s="75"/>
      <c r="H66" s="75">
        <f>SUM(G65:G66)</f>
        <v>190.90899999999999</v>
      </c>
      <c r="I66" s="75">
        <f t="shared" ref="I66" si="130">I64+G65</f>
        <v>8563.7919999999995</v>
      </c>
      <c r="J66" s="76"/>
      <c r="K66" s="76"/>
      <c r="L66" s="76"/>
      <c r="M66" s="76"/>
      <c r="N66" s="77" t="s">
        <v>134</v>
      </c>
      <c r="O66" s="76"/>
      <c r="P66" s="76"/>
      <c r="Q66" s="75">
        <v>55.085000000000001</v>
      </c>
      <c r="R66" s="74" t="s">
        <v>292</v>
      </c>
      <c r="S66" s="75">
        <f t="shared" ref="S66" si="131">(G65+G67)</f>
        <v>601.90899999999999</v>
      </c>
      <c r="T66" s="78">
        <f t="shared" ref="T66" si="132">(G65+G67)/2</f>
        <v>300.9545</v>
      </c>
      <c r="U66" s="73">
        <v>-142</v>
      </c>
      <c r="V66" s="74">
        <v>223</v>
      </c>
      <c r="W66" s="79">
        <f t="shared" ref="W66" si="133">U66+V66</f>
        <v>81</v>
      </c>
      <c r="X66" s="73">
        <v>-9</v>
      </c>
      <c r="Y66" s="74">
        <v>219</v>
      </c>
      <c r="Z66" s="79">
        <f t="shared" ref="Z66" si="134">X66+Y66</f>
        <v>210</v>
      </c>
      <c r="AA66" s="80" t="s">
        <v>293</v>
      </c>
      <c r="AB66" s="81" t="s">
        <v>294</v>
      </c>
      <c r="AC66" s="82">
        <v>295754.56300000002</v>
      </c>
      <c r="AD66" s="83">
        <v>2865607.5249999999</v>
      </c>
      <c r="AE66" s="86"/>
      <c r="AF66" s="76" t="s">
        <v>278</v>
      </c>
      <c r="AG66" s="76"/>
      <c r="AH66" s="76"/>
      <c r="AI66" s="85"/>
    </row>
    <row r="67" spans="1:35" ht="23.25">
      <c r="A67" s="73"/>
      <c r="B67" s="74" t="s">
        <v>134</v>
      </c>
      <c r="C67" s="74"/>
      <c r="D67" s="74"/>
      <c r="E67" s="74"/>
      <c r="F67" s="74"/>
      <c r="G67" s="75">
        <v>411</v>
      </c>
      <c r="H67" s="74"/>
      <c r="I67" s="74"/>
      <c r="J67" s="76"/>
      <c r="K67" s="76"/>
      <c r="L67" s="76"/>
      <c r="M67" s="76"/>
      <c r="N67" s="77"/>
      <c r="O67" s="76"/>
      <c r="P67" s="76"/>
      <c r="Q67" s="75"/>
      <c r="R67" s="74"/>
      <c r="S67" s="75"/>
      <c r="T67" s="78"/>
      <c r="U67" s="73"/>
      <c r="V67" s="74"/>
      <c r="W67" s="79"/>
      <c r="X67" s="73"/>
      <c r="Y67" s="74"/>
      <c r="Z67" s="79"/>
      <c r="AA67" s="80"/>
      <c r="AB67" s="81"/>
      <c r="AC67" s="82"/>
      <c r="AD67" s="83"/>
      <c r="AE67" s="86" t="s">
        <v>295</v>
      </c>
      <c r="AF67" s="76"/>
      <c r="AG67" s="76"/>
      <c r="AH67" s="76"/>
      <c r="AI67" s="85"/>
    </row>
    <row r="68" spans="1:35" ht="23.25">
      <c r="A68" s="73">
        <v>30</v>
      </c>
      <c r="B68" s="74" t="s">
        <v>134</v>
      </c>
      <c r="C68" s="74" t="s">
        <v>296</v>
      </c>
      <c r="D68" s="74" t="s">
        <v>187</v>
      </c>
      <c r="E68" s="74" t="s">
        <v>993</v>
      </c>
      <c r="F68" s="74">
        <v>51.16</v>
      </c>
      <c r="G68" s="75"/>
      <c r="H68" s="75"/>
      <c r="I68" s="75">
        <f t="shared" ref="I68" si="135">I66+G67</f>
        <v>8974.7919999999995</v>
      </c>
      <c r="J68" s="76"/>
      <c r="K68" s="76"/>
      <c r="L68" s="76"/>
      <c r="M68" s="76"/>
      <c r="N68" s="77" t="s">
        <v>134</v>
      </c>
      <c r="O68" s="76"/>
      <c r="P68" s="76"/>
      <c r="Q68" s="75">
        <v>54.844999999999999</v>
      </c>
      <c r="R68" s="74" t="s">
        <v>134</v>
      </c>
      <c r="S68" s="75">
        <f t="shared" ref="S68" si="136">(G67+G69)</f>
        <v>798</v>
      </c>
      <c r="T68" s="78">
        <f t="shared" ref="T68" si="137">(G67+G69)/2</f>
        <v>399</v>
      </c>
      <c r="U68" s="73">
        <v>190</v>
      </c>
      <c r="V68" s="74">
        <v>176</v>
      </c>
      <c r="W68" s="79">
        <f t="shared" ref="W68" si="138">U68+V68</f>
        <v>366</v>
      </c>
      <c r="X68" s="73">
        <v>195</v>
      </c>
      <c r="Y68" s="74">
        <v>181</v>
      </c>
      <c r="Z68" s="79">
        <f t="shared" ref="Z68" si="139">X68+Y68</f>
        <v>376</v>
      </c>
      <c r="AA68" s="80" t="s">
        <v>297</v>
      </c>
      <c r="AB68" s="81" t="s">
        <v>298</v>
      </c>
      <c r="AC68" s="82">
        <v>296154.69799999997</v>
      </c>
      <c r="AD68" s="83">
        <v>2865701.4029999999</v>
      </c>
      <c r="AE68" s="86"/>
      <c r="AF68" s="76" t="s">
        <v>268</v>
      </c>
      <c r="AG68" s="76"/>
      <c r="AH68" s="76"/>
      <c r="AI68" s="85"/>
    </row>
    <row r="69" spans="1:35" ht="23.25">
      <c r="A69" s="73"/>
      <c r="B69" s="74" t="s">
        <v>134</v>
      </c>
      <c r="C69" s="74"/>
      <c r="D69" s="74"/>
      <c r="E69" s="74"/>
      <c r="F69" s="74"/>
      <c r="G69" s="75">
        <v>387</v>
      </c>
      <c r="H69" s="74"/>
      <c r="I69" s="74"/>
      <c r="J69" s="76"/>
      <c r="K69" s="76"/>
      <c r="L69" s="76"/>
      <c r="M69" s="76"/>
      <c r="N69" s="77"/>
      <c r="O69" s="76"/>
      <c r="P69" s="76"/>
      <c r="Q69" s="75"/>
      <c r="R69" s="74"/>
      <c r="S69" s="75"/>
      <c r="T69" s="78"/>
      <c r="U69" s="73"/>
      <c r="V69" s="74"/>
      <c r="W69" s="79"/>
      <c r="X69" s="73"/>
      <c r="Y69" s="74"/>
      <c r="Z69" s="79"/>
      <c r="AA69" s="80"/>
      <c r="AB69" s="81"/>
      <c r="AC69" s="82"/>
      <c r="AD69" s="83"/>
      <c r="AE69" s="86" t="s">
        <v>299</v>
      </c>
      <c r="AF69" s="76"/>
      <c r="AG69" s="76"/>
      <c r="AH69" s="76"/>
      <c r="AI69" s="85"/>
    </row>
    <row r="70" spans="1:35" ht="23.25">
      <c r="A70" s="73">
        <v>31</v>
      </c>
      <c r="B70" s="74" t="s">
        <v>134</v>
      </c>
      <c r="C70" s="74" t="s">
        <v>300</v>
      </c>
      <c r="D70" s="74" t="s">
        <v>301</v>
      </c>
      <c r="E70" s="74" t="s">
        <v>993</v>
      </c>
      <c r="F70" s="74">
        <v>54.16</v>
      </c>
      <c r="G70" s="75"/>
      <c r="H70" s="75"/>
      <c r="I70" s="75">
        <f t="shared" ref="I70" si="140">I68+G69</f>
        <v>9361.7919999999995</v>
      </c>
      <c r="J70" s="76"/>
      <c r="K70" s="76"/>
      <c r="L70" s="76"/>
      <c r="M70" s="76"/>
      <c r="N70" s="77" t="s">
        <v>134</v>
      </c>
      <c r="O70" s="76"/>
      <c r="P70" s="76"/>
      <c r="Q70" s="75">
        <v>55.198999999999998</v>
      </c>
      <c r="R70" s="74" t="s">
        <v>134</v>
      </c>
      <c r="S70" s="75">
        <f t="shared" ref="S70" si="141">(G69+G71)</f>
        <v>764.351</v>
      </c>
      <c r="T70" s="78">
        <f t="shared" ref="T70" si="142">(G69+G71)/2</f>
        <v>382.1755</v>
      </c>
      <c r="U70" s="73">
        <v>212</v>
      </c>
      <c r="V70" s="74">
        <v>207</v>
      </c>
      <c r="W70" s="79">
        <f t="shared" ref="W70" si="143">U70+V70</f>
        <v>419</v>
      </c>
      <c r="X70" s="73">
        <v>207</v>
      </c>
      <c r="Y70" s="74">
        <v>202</v>
      </c>
      <c r="Z70" s="79">
        <f t="shared" ref="Z70" si="144">X70+Y70</f>
        <v>409</v>
      </c>
      <c r="AA70" s="80" t="s">
        <v>302</v>
      </c>
      <c r="AB70" s="81" t="s">
        <v>303</v>
      </c>
      <c r="AC70" s="82">
        <v>296531.467</v>
      </c>
      <c r="AD70" s="83">
        <v>2865789.8</v>
      </c>
      <c r="AE70" s="86"/>
      <c r="AF70" s="76" t="s">
        <v>268</v>
      </c>
      <c r="AG70" s="76"/>
      <c r="AH70" s="76"/>
      <c r="AI70" s="85"/>
    </row>
    <row r="71" spans="1:35" ht="23.25">
      <c r="A71" s="73"/>
      <c r="B71" s="74" t="s">
        <v>134</v>
      </c>
      <c r="C71" s="74"/>
      <c r="D71" s="74"/>
      <c r="E71" s="74"/>
      <c r="F71" s="74"/>
      <c r="G71" s="75">
        <v>377.351</v>
      </c>
      <c r="H71" s="74"/>
      <c r="I71" s="74"/>
      <c r="J71" s="76"/>
      <c r="K71" s="76"/>
      <c r="L71" s="76"/>
      <c r="M71" s="76"/>
      <c r="N71" s="77"/>
      <c r="O71" s="76"/>
      <c r="P71" s="76"/>
      <c r="Q71" s="75"/>
      <c r="R71" s="74"/>
      <c r="S71" s="75"/>
      <c r="T71" s="78"/>
      <c r="U71" s="73"/>
      <c r="V71" s="74"/>
      <c r="W71" s="79"/>
      <c r="X71" s="73"/>
      <c r="Y71" s="74"/>
      <c r="Z71" s="79"/>
      <c r="AA71" s="80"/>
      <c r="AB71" s="81"/>
      <c r="AC71" s="82"/>
      <c r="AD71" s="83"/>
      <c r="AE71" s="86" t="s">
        <v>304</v>
      </c>
      <c r="AF71" s="76"/>
      <c r="AG71" s="76"/>
      <c r="AH71" s="76"/>
      <c r="AI71" s="85"/>
    </row>
    <row r="72" spans="1:35" ht="23.25">
      <c r="A72" s="73">
        <v>32</v>
      </c>
      <c r="B72" s="74" t="s">
        <v>305</v>
      </c>
      <c r="C72" s="74" t="s">
        <v>46</v>
      </c>
      <c r="D72" s="74" t="s">
        <v>245</v>
      </c>
      <c r="E72" s="74" t="s">
        <v>993</v>
      </c>
      <c r="F72" s="74">
        <v>50.74</v>
      </c>
      <c r="G72" s="75"/>
      <c r="H72" s="75">
        <f>SUM(G67:G72)</f>
        <v>1175.3510000000001</v>
      </c>
      <c r="I72" s="75">
        <f t="shared" ref="I72" si="145">I70+G71</f>
        <v>9739.143</v>
      </c>
      <c r="J72" s="76"/>
      <c r="K72" s="76"/>
      <c r="L72" s="76"/>
      <c r="M72" s="76"/>
      <c r="N72" s="77" t="s">
        <v>134</v>
      </c>
      <c r="O72" s="76"/>
      <c r="P72" s="76"/>
      <c r="Q72" s="75">
        <v>55.094999999999999</v>
      </c>
      <c r="R72" s="74" t="s">
        <v>306</v>
      </c>
      <c r="S72" s="75">
        <f t="shared" ref="S72" si="146">(G71+G73)</f>
        <v>769.351</v>
      </c>
      <c r="T72" s="78">
        <f t="shared" ref="T72" si="147">(G71+G73)/2</f>
        <v>384.6755</v>
      </c>
      <c r="U72" s="73">
        <v>172</v>
      </c>
      <c r="V72" s="74">
        <v>213</v>
      </c>
      <c r="W72" s="79">
        <f t="shared" ref="W72" si="148">U72+V72</f>
        <v>385</v>
      </c>
      <c r="X72" s="73">
        <v>177</v>
      </c>
      <c r="Y72" s="74">
        <v>209</v>
      </c>
      <c r="Z72" s="79">
        <f t="shared" ref="Z72" si="149">X72+Y72</f>
        <v>386</v>
      </c>
      <c r="AA72" s="80" t="s">
        <v>307</v>
      </c>
      <c r="AB72" s="81" t="s">
        <v>308</v>
      </c>
      <c r="AC72" s="82">
        <v>296898.842</v>
      </c>
      <c r="AD72" s="83">
        <v>2865875.9920000001</v>
      </c>
      <c r="AE72" s="86"/>
      <c r="AF72" s="76" t="s">
        <v>268</v>
      </c>
      <c r="AG72" s="76"/>
      <c r="AH72" s="76"/>
      <c r="AI72" s="85"/>
    </row>
    <row r="73" spans="1:35" ht="23.25">
      <c r="A73" s="73"/>
      <c r="B73" s="74" t="s">
        <v>134</v>
      </c>
      <c r="C73" s="74"/>
      <c r="D73" s="74"/>
      <c r="E73" s="74"/>
      <c r="F73" s="74"/>
      <c r="G73" s="75">
        <v>392</v>
      </c>
      <c r="H73" s="74"/>
      <c r="I73" s="74"/>
      <c r="J73" s="76"/>
      <c r="K73" s="76"/>
      <c r="L73" s="76"/>
      <c r="M73" s="76"/>
      <c r="N73" s="77"/>
      <c r="O73" s="76"/>
      <c r="P73" s="76"/>
      <c r="Q73" s="75"/>
      <c r="R73" s="74"/>
      <c r="S73" s="75"/>
      <c r="T73" s="78"/>
      <c r="U73" s="73"/>
      <c r="V73" s="74"/>
      <c r="W73" s="79"/>
      <c r="X73" s="73"/>
      <c r="Y73" s="74"/>
      <c r="Z73" s="79"/>
      <c r="AA73" s="80"/>
      <c r="AB73" s="81"/>
      <c r="AC73" s="82"/>
      <c r="AD73" s="83"/>
      <c r="AE73" s="86" t="s">
        <v>309</v>
      </c>
      <c r="AF73" s="76"/>
      <c r="AG73" s="76"/>
      <c r="AH73" s="76"/>
      <c r="AI73" s="85"/>
    </row>
    <row r="74" spans="1:35" ht="23.25">
      <c r="A74" s="73">
        <v>33</v>
      </c>
      <c r="B74" s="74" t="s">
        <v>134</v>
      </c>
      <c r="C74" s="74" t="s">
        <v>310</v>
      </c>
      <c r="D74" s="74" t="s">
        <v>153</v>
      </c>
      <c r="E74" s="74" t="s">
        <v>993</v>
      </c>
      <c r="F74" s="74">
        <v>48.16</v>
      </c>
      <c r="G74" s="75"/>
      <c r="H74" s="75"/>
      <c r="I74" s="75">
        <f t="shared" ref="I74" si="150">I72+G73</f>
        <v>10131.143</v>
      </c>
      <c r="J74" s="76"/>
      <c r="K74" s="76"/>
      <c r="L74" s="76"/>
      <c r="M74" s="76"/>
      <c r="N74" s="77" t="s">
        <v>134</v>
      </c>
      <c r="O74" s="76"/>
      <c r="P74" s="76"/>
      <c r="Q74" s="75">
        <v>55.002000000000002</v>
      </c>
      <c r="R74" s="74" t="s">
        <v>134</v>
      </c>
      <c r="S74" s="75">
        <f t="shared" ref="S74" si="151">(G73+G75)</f>
        <v>705</v>
      </c>
      <c r="T74" s="78">
        <f t="shared" ref="T74" si="152">(G73+G75)/2</f>
        <v>352.5</v>
      </c>
      <c r="U74" s="73">
        <v>180</v>
      </c>
      <c r="V74" s="74">
        <v>158</v>
      </c>
      <c r="W74" s="79">
        <f t="shared" ref="W74" si="153">U74+V74</f>
        <v>338</v>
      </c>
      <c r="X74" s="73">
        <v>186</v>
      </c>
      <c r="Y74" s="74">
        <v>158</v>
      </c>
      <c r="Z74" s="79">
        <f t="shared" ref="Z74" si="154">X74+Y74</f>
        <v>344</v>
      </c>
      <c r="AA74" s="80" t="s">
        <v>311</v>
      </c>
      <c r="AB74" s="81" t="s">
        <v>312</v>
      </c>
      <c r="AC74" s="82">
        <v>297290.81300000002</v>
      </c>
      <c r="AD74" s="83">
        <v>2865880.733</v>
      </c>
      <c r="AE74" s="86"/>
      <c r="AF74" s="76" t="s">
        <v>268</v>
      </c>
      <c r="AG74" s="76"/>
      <c r="AH74" s="76"/>
      <c r="AI74" s="85"/>
    </row>
    <row r="75" spans="1:35" ht="23.25">
      <c r="A75" s="73"/>
      <c r="B75" s="74" t="s">
        <v>134</v>
      </c>
      <c r="C75" s="74"/>
      <c r="D75" s="74"/>
      <c r="E75" s="74"/>
      <c r="F75" s="74"/>
      <c r="G75" s="75">
        <v>313</v>
      </c>
      <c r="H75" s="74"/>
      <c r="I75" s="74"/>
      <c r="J75" s="76"/>
      <c r="K75" s="76"/>
      <c r="L75" s="76"/>
      <c r="M75" s="76"/>
      <c r="N75" s="77"/>
      <c r="O75" s="76"/>
      <c r="P75" s="76"/>
      <c r="Q75" s="75"/>
      <c r="R75" s="74"/>
      <c r="S75" s="75"/>
      <c r="T75" s="78"/>
      <c r="U75" s="73"/>
      <c r="V75" s="74"/>
      <c r="W75" s="79"/>
      <c r="X75" s="73"/>
      <c r="Y75" s="74"/>
      <c r="Z75" s="79"/>
      <c r="AA75" s="80"/>
      <c r="AB75" s="81"/>
      <c r="AC75" s="82"/>
      <c r="AD75" s="83"/>
      <c r="AE75" s="86" t="s">
        <v>313</v>
      </c>
      <c r="AF75" s="76"/>
      <c r="AG75" s="76"/>
      <c r="AH75" s="76"/>
      <c r="AI75" s="85"/>
    </row>
    <row r="76" spans="1:35" ht="23.25">
      <c r="A76" s="73">
        <v>34</v>
      </c>
      <c r="B76" s="74" t="s">
        <v>134</v>
      </c>
      <c r="C76" s="74" t="s">
        <v>314</v>
      </c>
      <c r="D76" s="74" t="s">
        <v>153</v>
      </c>
      <c r="E76" s="74" t="s">
        <v>993</v>
      </c>
      <c r="F76" s="74">
        <v>48.16</v>
      </c>
      <c r="G76" s="75"/>
      <c r="H76" s="75"/>
      <c r="I76" s="75">
        <f t="shared" ref="I76" si="155">I74+G75</f>
        <v>10444.143</v>
      </c>
      <c r="J76" s="76"/>
      <c r="K76" s="76"/>
      <c r="L76" s="76"/>
      <c r="M76" s="76"/>
      <c r="N76" s="77" t="s">
        <v>134</v>
      </c>
      <c r="O76" s="76"/>
      <c r="P76" s="76"/>
      <c r="Q76" s="75">
        <v>54.82</v>
      </c>
      <c r="R76" s="74" t="s">
        <v>134</v>
      </c>
      <c r="S76" s="75">
        <f t="shared" ref="S76" si="156">(G75+G77)</f>
        <v>631</v>
      </c>
      <c r="T76" s="78">
        <f t="shared" ref="T76" si="157">(G75+G77)/2</f>
        <v>315.5</v>
      </c>
      <c r="U76" s="73">
        <v>155</v>
      </c>
      <c r="V76" s="74">
        <v>158</v>
      </c>
      <c r="W76" s="79">
        <f t="shared" ref="W76" si="158">U76+V76</f>
        <v>313</v>
      </c>
      <c r="X76" s="73">
        <v>156</v>
      </c>
      <c r="Y76" s="74">
        <v>158</v>
      </c>
      <c r="Z76" s="79">
        <f t="shared" ref="Z76" si="159">X76+Y76</f>
        <v>314</v>
      </c>
      <c r="AA76" s="80" t="s">
        <v>315</v>
      </c>
      <c r="AB76" s="81" t="s">
        <v>316</v>
      </c>
      <c r="AC76" s="82">
        <v>297603.78999999998</v>
      </c>
      <c r="AD76" s="83">
        <v>2865884.5189999999</v>
      </c>
      <c r="AE76" s="86"/>
      <c r="AF76" s="76" t="s">
        <v>317</v>
      </c>
      <c r="AG76" s="76"/>
      <c r="AH76" s="76"/>
      <c r="AI76" s="85"/>
    </row>
    <row r="77" spans="1:35" ht="23.25">
      <c r="A77" s="73"/>
      <c r="B77" s="74" t="s">
        <v>134</v>
      </c>
      <c r="C77" s="74"/>
      <c r="D77" s="74"/>
      <c r="E77" s="74"/>
      <c r="F77" s="74"/>
      <c r="G77" s="75">
        <v>318</v>
      </c>
      <c r="H77" s="74"/>
      <c r="I77" s="74"/>
      <c r="J77" s="76"/>
      <c r="K77" s="76"/>
      <c r="L77" s="76"/>
      <c r="M77" s="76"/>
      <c r="N77" s="77"/>
      <c r="O77" s="76"/>
      <c r="P77" s="76"/>
      <c r="Q77" s="75"/>
      <c r="R77" s="74"/>
      <c r="S77" s="75"/>
      <c r="T77" s="78"/>
      <c r="U77" s="73"/>
      <c r="V77" s="74"/>
      <c r="W77" s="79"/>
      <c r="X77" s="73"/>
      <c r="Y77" s="74"/>
      <c r="Z77" s="79"/>
      <c r="AA77" s="80"/>
      <c r="AB77" s="81"/>
      <c r="AC77" s="82"/>
      <c r="AD77" s="83"/>
      <c r="AE77" s="86" t="s">
        <v>217</v>
      </c>
      <c r="AF77" s="76"/>
      <c r="AG77" s="76"/>
      <c r="AH77" s="76"/>
      <c r="AI77" s="85"/>
    </row>
    <row r="78" spans="1:35" ht="23.25">
      <c r="A78" s="73">
        <v>35</v>
      </c>
      <c r="B78" s="74" t="s">
        <v>134</v>
      </c>
      <c r="C78" s="74" t="s">
        <v>318</v>
      </c>
      <c r="D78" s="74" t="s">
        <v>153</v>
      </c>
      <c r="E78" s="74" t="s">
        <v>993</v>
      </c>
      <c r="F78" s="74">
        <v>48.16</v>
      </c>
      <c r="G78" s="75"/>
      <c r="H78" s="75"/>
      <c r="I78" s="75">
        <f t="shared" ref="I78" si="160">I76+G77</f>
        <v>10762.143</v>
      </c>
      <c r="J78" s="76"/>
      <c r="K78" s="76"/>
      <c r="L78" s="76"/>
      <c r="M78" s="76"/>
      <c r="N78" s="77" t="s">
        <v>134</v>
      </c>
      <c r="O78" s="76"/>
      <c r="P78" s="76"/>
      <c r="Q78" s="75">
        <v>55.017000000000003</v>
      </c>
      <c r="R78" s="74" t="s">
        <v>134</v>
      </c>
      <c r="S78" s="75">
        <f t="shared" ref="S78" si="161">(G77+G79)</f>
        <v>665</v>
      </c>
      <c r="T78" s="78">
        <f t="shared" ref="T78" si="162">(G77+G79)/2</f>
        <v>332.5</v>
      </c>
      <c r="U78" s="73">
        <v>160</v>
      </c>
      <c r="V78" s="74">
        <v>173</v>
      </c>
      <c r="W78" s="79">
        <f t="shared" ref="W78" si="163">U78+V78</f>
        <v>333</v>
      </c>
      <c r="X78" s="73">
        <v>160</v>
      </c>
      <c r="Y78" s="74">
        <v>173</v>
      </c>
      <c r="Z78" s="79">
        <f t="shared" ref="Z78" si="164">X78+Y78</f>
        <v>333</v>
      </c>
      <c r="AA78" s="80" t="s">
        <v>319</v>
      </c>
      <c r="AB78" s="81" t="s">
        <v>320</v>
      </c>
      <c r="AC78" s="82">
        <v>297921.76699999999</v>
      </c>
      <c r="AD78" s="83">
        <v>2865888.3650000002</v>
      </c>
      <c r="AE78" s="86"/>
      <c r="AF78" s="76" t="s">
        <v>317</v>
      </c>
      <c r="AG78" s="76"/>
      <c r="AH78" s="76"/>
      <c r="AI78" s="85"/>
    </row>
    <row r="79" spans="1:35" ht="23.25">
      <c r="A79" s="73"/>
      <c r="B79" s="74" t="s">
        <v>134</v>
      </c>
      <c r="C79" s="74"/>
      <c r="D79" s="74"/>
      <c r="E79" s="74"/>
      <c r="F79" s="74"/>
      <c r="G79" s="75">
        <v>347</v>
      </c>
      <c r="H79" s="74"/>
      <c r="I79" s="74"/>
      <c r="J79" s="76"/>
      <c r="K79" s="76"/>
      <c r="L79" s="76"/>
      <c r="M79" s="76"/>
      <c r="N79" s="77"/>
      <c r="O79" s="76"/>
      <c r="P79" s="76"/>
      <c r="Q79" s="75"/>
      <c r="R79" s="74"/>
      <c r="S79" s="75"/>
      <c r="T79" s="78"/>
      <c r="U79" s="73"/>
      <c r="V79" s="74"/>
      <c r="W79" s="79"/>
      <c r="X79" s="73"/>
      <c r="Y79" s="74"/>
      <c r="Z79" s="79"/>
      <c r="AA79" s="80"/>
      <c r="AB79" s="81"/>
      <c r="AC79" s="82"/>
      <c r="AD79" s="83"/>
      <c r="AE79" s="86" t="s">
        <v>321</v>
      </c>
      <c r="AF79" s="76"/>
      <c r="AG79" s="76"/>
      <c r="AH79" s="76"/>
      <c r="AI79" s="85"/>
    </row>
    <row r="80" spans="1:35" ht="23.25">
      <c r="A80" s="73">
        <v>36</v>
      </c>
      <c r="B80" s="74" t="s">
        <v>134</v>
      </c>
      <c r="C80" s="74" t="s">
        <v>322</v>
      </c>
      <c r="D80" s="74" t="s">
        <v>153</v>
      </c>
      <c r="E80" s="74" t="s">
        <v>993</v>
      </c>
      <c r="F80" s="74">
        <v>48.16</v>
      </c>
      <c r="G80" s="75"/>
      <c r="H80" s="75"/>
      <c r="I80" s="75">
        <f t="shared" ref="I80" si="165">I78+G79</f>
        <v>11109.143</v>
      </c>
      <c r="J80" s="76"/>
      <c r="K80" s="76"/>
      <c r="L80" s="76"/>
      <c r="M80" s="76"/>
      <c r="N80" s="77" t="s">
        <v>134</v>
      </c>
      <c r="O80" s="76"/>
      <c r="P80" s="76"/>
      <c r="Q80" s="75">
        <v>55.197000000000003</v>
      </c>
      <c r="R80" s="74" t="s">
        <v>134</v>
      </c>
      <c r="S80" s="75">
        <f t="shared" ref="S80" si="166">(G79+G81)</f>
        <v>734.51499999999999</v>
      </c>
      <c r="T80" s="78">
        <f t="shared" ref="T80" si="167">(G79+G81)/2</f>
        <v>367.25749999999999</v>
      </c>
      <c r="U80" s="73">
        <v>175</v>
      </c>
      <c r="V80" s="74">
        <v>195</v>
      </c>
      <c r="W80" s="79">
        <f t="shared" ref="W80" si="168">U80+V80</f>
        <v>370</v>
      </c>
      <c r="X80" s="73">
        <v>175</v>
      </c>
      <c r="Y80" s="74">
        <v>195</v>
      </c>
      <c r="Z80" s="79">
        <f t="shared" ref="Z80" si="169">X80+Y80</f>
        <v>370</v>
      </c>
      <c r="AA80" s="80" t="s">
        <v>323</v>
      </c>
      <c r="AB80" s="81" t="s">
        <v>324</v>
      </c>
      <c r="AC80" s="82">
        <v>298268.74200000003</v>
      </c>
      <c r="AD80" s="83">
        <v>2865892.5619999999</v>
      </c>
      <c r="AE80" s="86"/>
      <c r="AF80" s="76" t="s">
        <v>317</v>
      </c>
      <c r="AG80" s="76"/>
      <c r="AH80" s="76"/>
      <c r="AI80" s="85"/>
    </row>
    <row r="81" spans="1:35" ht="23.25">
      <c r="A81" s="73"/>
      <c r="B81" s="74" t="s">
        <v>134</v>
      </c>
      <c r="C81" s="74"/>
      <c r="D81" s="74"/>
      <c r="E81" s="74"/>
      <c r="F81" s="74"/>
      <c r="G81" s="75">
        <v>387.51499999999999</v>
      </c>
      <c r="H81" s="74"/>
      <c r="I81" s="74"/>
      <c r="J81" s="76"/>
      <c r="K81" s="76"/>
      <c r="L81" s="76"/>
      <c r="M81" s="76"/>
      <c r="N81" s="77"/>
      <c r="O81" s="76"/>
      <c r="P81" s="76"/>
      <c r="Q81" s="75"/>
      <c r="R81" s="74"/>
      <c r="S81" s="75"/>
      <c r="T81" s="78"/>
      <c r="U81" s="73"/>
      <c r="V81" s="74"/>
      <c r="W81" s="79"/>
      <c r="X81" s="73"/>
      <c r="Y81" s="74"/>
      <c r="Z81" s="79"/>
      <c r="AA81" s="80"/>
      <c r="AB81" s="81"/>
      <c r="AC81" s="82"/>
      <c r="AD81" s="83"/>
      <c r="AE81" s="86" t="s">
        <v>217</v>
      </c>
      <c r="AF81" s="76"/>
      <c r="AG81" s="76"/>
      <c r="AH81" s="76"/>
      <c r="AI81" s="85"/>
    </row>
    <row r="82" spans="1:35" ht="23.25">
      <c r="A82" s="73">
        <v>37</v>
      </c>
      <c r="B82" s="74" t="s">
        <v>325</v>
      </c>
      <c r="C82" s="74" t="s">
        <v>326</v>
      </c>
      <c r="D82" s="74" t="s">
        <v>167</v>
      </c>
      <c r="E82" s="74" t="s">
        <v>993</v>
      </c>
      <c r="F82" s="74">
        <v>47.74</v>
      </c>
      <c r="G82" s="75"/>
      <c r="H82" s="75">
        <f>SUM(G73:G82)</f>
        <v>1757.5149999999999</v>
      </c>
      <c r="I82" s="75">
        <f t="shared" ref="I82" si="170">I80+G81</f>
        <v>11496.657999999999</v>
      </c>
      <c r="J82" s="76"/>
      <c r="K82" s="76"/>
      <c r="L82" s="76"/>
      <c r="M82" s="76"/>
      <c r="N82" s="77" t="s">
        <v>134</v>
      </c>
      <c r="O82" s="76"/>
      <c r="P82" s="76"/>
      <c r="Q82" s="75">
        <v>54.939</v>
      </c>
      <c r="R82" s="74" t="s">
        <v>327</v>
      </c>
      <c r="S82" s="75">
        <f t="shared" ref="S82" si="171">(G81+G83)</f>
        <v>732.51499999999999</v>
      </c>
      <c r="T82" s="78">
        <f t="shared" ref="T82" si="172">(G81+G83)/2</f>
        <v>366.25749999999999</v>
      </c>
      <c r="U82" s="73">
        <v>192</v>
      </c>
      <c r="V82" s="74">
        <v>132</v>
      </c>
      <c r="W82" s="79">
        <f t="shared" ref="W82" si="173">U82+V82</f>
        <v>324</v>
      </c>
      <c r="X82" s="73">
        <v>193</v>
      </c>
      <c r="Y82" s="74">
        <v>144</v>
      </c>
      <c r="Z82" s="79">
        <f t="shared" ref="Z82" si="174">X82+Y82</f>
        <v>337</v>
      </c>
      <c r="AA82" s="80" t="s">
        <v>328</v>
      </c>
      <c r="AB82" s="81" t="s">
        <v>329</v>
      </c>
      <c r="AC82" s="82">
        <v>298656.228</v>
      </c>
      <c r="AD82" s="83">
        <v>2865897.2489999998</v>
      </c>
      <c r="AE82" s="86"/>
      <c r="AF82" s="76" t="s">
        <v>330</v>
      </c>
      <c r="AG82" s="76"/>
      <c r="AH82" s="76"/>
      <c r="AI82" s="85"/>
    </row>
    <row r="83" spans="1:35" ht="23.25">
      <c r="A83" s="73"/>
      <c r="B83" s="74" t="s">
        <v>134</v>
      </c>
      <c r="C83" s="74"/>
      <c r="D83" s="74"/>
      <c r="E83" s="74"/>
      <c r="F83" s="74"/>
      <c r="G83" s="75">
        <v>345</v>
      </c>
      <c r="H83" s="74"/>
      <c r="I83" s="74"/>
      <c r="J83" s="76"/>
      <c r="K83" s="76"/>
      <c r="L83" s="76"/>
      <c r="M83" s="76"/>
      <c r="N83" s="77"/>
      <c r="O83" s="76"/>
      <c r="P83" s="76"/>
      <c r="Q83" s="75"/>
      <c r="R83" s="74"/>
      <c r="S83" s="75"/>
      <c r="T83" s="78"/>
      <c r="U83" s="73"/>
      <c r="V83" s="74"/>
      <c r="W83" s="79"/>
      <c r="X83" s="73"/>
      <c r="Y83" s="74"/>
      <c r="Z83" s="79"/>
      <c r="AA83" s="80"/>
      <c r="AB83" s="81"/>
      <c r="AC83" s="82"/>
      <c r="AD83" s="83"/>
      <c r="AE83" s="86" t="s">
        <v>331</v>
      </c>
      <c r="AF83" s="76"/>
      <c r="AG83" s="76"/>
      <c r="AH83" s="76"/>
      <c r="AI83" s="85"/>
    </row>
    <row r="84" spans="1:35" ht="23.25">
      <c r="A84" s="73">
        <v>38</v>
      </c>
      <c r="B84" s="74" t="s">
        <v>134</v>
      </c>
      <c r="C84" s="74" t="s">
        <v>332</v>
      </c>
      <c r="D84" s="74" t="s">
        <v>301</v>
      </c>
      <c r="E84" s="74" t="s">
        <v>993</v>
      </c>
      <c r="F84" s="74">
        <v>54.16</v>
      </c>
      <c r="G84" s="75"/>
      <c r="H84" s="75"/>
      <c r="I84" s="75">
        <f t="shared" ref="I84" si="175">I82+G83</f>
        <v>11841.657999999999</v>
      </c>
      <c r="J84" s="76"/>
      <c r="K84" s="76"/>
      <c r="L84" s="76"/>
      <c r="M84" s="76"/>
      <c r="N84" s="77" t="s">
        <v>134</v>
      </c>
      <c r="O84" s="76"/>
      <c r="P84" s="76"/>
      <c r="Q84" s="75">
        <v>55.436999999999998</v>
      </c>
      <c r="R84" s="74" t="s">
        <v>134</v>
      </c>
      <c r="S84" s="75">
        <f t="shared" ref="S84" si="176">(G83+G85)</f>
        <v>755.29300000000001</v>
      </c>
      <c r="T84" s="78">
        <f t="shared" ref="T84" si="177">(G83+G85)/2</f>
        <v>377.6465</v>
      </c>
      <c r="U84" s="73">
        <v>212</v>
      </c>
      <c r="V84" s="74">
        <v>203</v>
      </c>
      <c r="W84" s="79">
        <f t="shared" ref="W84" si="178">U84+V84</f>
        <v>415</v>
      </c>
      <c r="X84" s="73">
        <v>201</v>
      </c>
      <c r="Y84" s="74">
        <v>204</v>
      </c>
      <c r="Z84" s="79">
        <f t="shared" ref="Z84" si="179">X84+Y84</f>
        <v>405</v>
      </c>
      <c r="AA84" s="80" t="s">
        <v>333</v>
      </c>
      <c r="AB84" s="81" t="s">
        <v>334</v>
      </c>
      <c r="AC84" s="82">
        <v>298986.587</v>
      </c>
      <c r="AD84" s="83">
        <v>2865996.6869999999</v>
      </c>
      <c r="AE84" s="86"/>
      <c r="AF84" s="76" t="s">
        <v>330</v>
      </c>
      <c r="AG84" s="76"/>
      <c r="AH84" s="76"/>
      <c r="AI84" s="85"/>
    </row>
    <row r="85" spans="1:35" ht="23.25">
      <c r="A85" s="73"/>
      <c r="B85" s="74" t="s">
        <v>134</v>
      </c>
      <c r="C85" s="74"/>
      <c r="D85" s="74"/>
      <c r="E85" s="74"/>
      <c r="F85" s="74"/>
      <c r="G85" s="75">
        <v>410.29300000000001</v>
      </c>
      <c r="H85" s="74"/>
      <c r="I85" s="74"/>
      <c r="J85" s="76"/>
      <c r="K85" s="76"/>
      <c r="L85" s="76"/>
      <c r="M85" s="76"/>
      <c r="N85" s="77"/>
      <c r="O85" s="76"/>
      <c r="P85" s="76"/>
      <c r="Q85" s="75"/>
      <c r="R85" s="74"/>
      <c r="S85" s="75"/>
      <c r="T85" s="78"/>
      <c r="U85" s="73"/>
      <c r="V85" s="74"/>
      <c r="W85" s="79"/>
      <c r="X85" s="73"/>
      <c r="Y85" s="74"/>
      <c r="Z85" s="79"/>
      <c r="AA85" s="80"/>
      <c r="AB85" s="81"/>
      <c r="AC85" s="82"/>
      <c r="AD85" s="83"/>
      <c r="AE85" s="86" t="s">
        <v>335</v>
      </c>
      <c r="AF85" s="76"/>
      <c r="AG85" s="76"/>
      <c r="AH85" s="76"/>
      <c r="AI85" s="85"/>
    </row>
    <row r="86" spans="1:35" ht="23.25">
      <c r="A86" s="73">
        <v>39</v>
      </c>
      <c r="B86" s="74" t="s">
        <v>336</v>
      </c>
      <c r="C86" s="74" t="s">
        <v>47</v>
      </c>
      <c r="D86" s="74" t="s">
        <v>337</v>
      </c>
      <c r="E86" s="74" t="s">
        <v>993</v>
      </c>
      <c r="F86" s="74">
        <v>53.74</v>
      </c>
      <c r="G86" s="75"/>
      <c r="H86" s="75">
        <f>SUM(G83:G86)</f>
        <v>755.29300000000001</v>
      </c>
      <c r="I86" s="75">
        <f t="shared" ref="I86" si="180">I84+G85</f>
        <v>12251.950999999999</v>
      </c>
      <c r="J86" s="76"/>
      <c r="K86" s="76"/>
      <c r="L86" s="76"/>
      <c r="M86" s="76"/>
      <c r="N86" s="77" t="s">
        <v>134</v>
      </c>
      <c r="O86" s="76"/>
      <c r="P86" s="76"/>
      <c r="Q86" s="75">
        <v>56.058</v>
      </c>
      <c r="R86" s="74" t="s">
        <v>338</v>
      </c>
      <c r="S86" s="75">
        <f t="shared" ref="S86" si="181">(G85+G87)</f>
        <v>802.02300000000002</v>
      </c>
      <c r="T86" s="78">
        <f t="shared" ref="T86" si="182">(G85+G87)/2</f>
        <v>401.01150000000001</v>
      </c>
      <c r="U86" s="73">
        <v>209</v>
      </c>
      <c r="V86" s="74">
        <v>211</v>
      </c>
      <c r="W86" s="79">
        <f t="shared" ref="W86" si="183">U86+V86</f>
        <v>420</v>
      </c>
      <c r="X86" s="73">
        <v>208</v>
      </c>
      <c r="Y86" s="74">
        <v>206</v>
      </c>
      <c r="Z86" s="79">
        <f t="shared" ref="Z86" si="184">X86+Y86</f>
        <v>414</v>
      </c>
      <c r="AA86" s="80" t="s">
        <v>339</v>
      </c>
      <c r="AB86" s="81" t="s">
        <v>340</v>
      </c>
      <c r="AC86" s="82">
        <v>299379.46799999999</v>
      </c>
      <c r="AD86" s="83">
        <v>2866114.9440000001</v>
      </c>
      <c r="AE86" s="86"/>
      <c r="AF86" s="76" t="s">
        <v>341</v>
      </c>
      <c r="AG86" s="76"/>
      <c r="AH86" s="76"/>
      <c r="AI86" s="85"/>
    </row>
    <row r="87" spans="1:35" ht="23.25">
      <c r="A87" s="73"/>
      <c r="B87" s="74" t="s">
        <v>134</v>
      </c>
      <c r="C87" s="74"/>
      <c r="D87" s="74"/>
      <c r="E87" s="74"/>
      <c r="F87" s="74"/>
      <c r="G87" s="75">
        <v>391.73</v>
      </c>
      <c r="H87" s="74"/>
      <c r="I87" s="74"/>
      <c r="J87" s="76"/>
      <c r="K87" s="76"/>
      <c r="L87" s="76"/>
      <c r="M87" s="76"/>
      <c r="N87" s="77"/>
      <c r="O87" s="76"/>
      <c r="P87" s="76"/>
      <c r="Q87" s="75"/>
      <c r="R87" s="74"/>
      <c r="S87" s="75"/>
      <c r="T87" s="78"/>
      <c r="U87" s="73"/>
      <c r="V87" s="74"/>
      <c r="W87" s="79"/>
      <c r="X87" s="73"/>
      <c r="Y87" s="74"/>
      <c r="Z87" s="79"/>
      <c r="AA87" s="80"/>
      <c r="AB87" s="81"/>
      <c r="AC87" s="82"/>
      <c r="AD87" s="83"/>
      <c r="AE87" s="86" t="s">
        <v>342</v>
      </c>
      <c r="AF87" s="76"/>
      <c r="AG87" s="76"/>
      <c r="AH87" s="76"/>
      <c r="AI87" s="85"/>
    </row>
    <row r="88" spans="1:35" ht="23.25">
      <c r="A88" s="73">
        <v>40</v>
      </c>
      <c r="B88" s="74" t="s">
        <v>343</v>
      </c>
      <c r="C88" s="74" t="s">
        <v>69</v>
      </c>
      <c r="D88" s="74" t="s">
        <v>344</v>
      </c>
      <c r="E88" s="74" t="s">
        <v>993</v>
      </c>
      <c r="F88" s="74">
        <v>50.74</v>
      </c>
      <c r="G88" s="75"/>
      <c r="H88" s="75">
        <f>SUM(G87:G88)</f>
        <v>391.73</v>
      </c>
      <c r="I88" s="75">
        <f t="shared" ref="I88" si="185">I86+G87</f>
        <v>12643.680999999999</v>
      </c>
      <c r="J88" s="76"/>
      <c r="K88" s="76"/>
      <c r="L88" s="76"/>
      <c r="M88" s="76"/>
      <c r="N88" s="77" t="s">
        <v>134</v>
      </c>
      <c r="O88" s="76"/>
      <c r="P88" s="76"/>
      <c r="Q88" s="75">
        <v>56.137</v>
      </c>
      <c r="R88" s="74" t="s">
        <v>345</v>
      </c>
      <c r="S88" s="75">
        <f t="shared" ref="S88" si="186">(G87+G89)</f>
        <v>691.73</v>
      </c>
      <c r="T88" s="78">
        <f t="shared" ref="T88" si="187">(G87+G89)/2</f>
        <v>345.86500000000001</v>
      </c>
      <c r="U88" s="73">
        <v>179</v>
      </c>
      <c r="V88" s="74">
        <v>36</v>
      </c>
      <c r="W88" s="79">
        <f t="shared" ref="W88" si="188">U88+V88</f>
        <v>215</v>
      </c>
      <c r="X88" s="73">
        <v>184</v>
      </c>
      <c r="Y88" s="74">
        <v>80</v>
      </c>
      <c r="Z88" s="79">
        <f t="shared" ref="Z88" si="189">X88+Y88</f>
        <v>264</v>
      </c>
      <c r="AA88" s="80" t="s">
        <v>346</v>
      </c>
      <c r="AB88" s="81" t="s">
        <v>347</v>
      </c>
      <c r="AC88" s="82">
        <v>299770.103</v>
      </c>
      <c r="AD88" s="83">
        <v>2866144.219</v>
      </c>
      <c r="AE88" s="86"/>
      <c r="AF88" s="76" t="s">
        <v>341</v>
      </c>
      <c r="AG88" s="76"/>
      <c r="AH88" s="76"/>
      <c r="AI88" s="85"/>
    </row>
    <row r="89" spans="1:35" ht="33" customHeight="1">
      <c r="A89" s="73"/>
      <c r="B89" s="74" t="s">
        <v>134</v>
      </c>
      <c r="C89" s="74"/>
      <c r="D89" s="74"/>
      <c r="E89" s="74"/>
      <c r="F89" s="74"/>
      <c r="G89" s="75">
        <v>300</v>
      </c>
      <c r="H89" s="74"/>
      <c r="I89" s="74"/>
      <c r="J89" s="76"/>
      <c r="K89" s="76"/>
      <c r="L89" s="76"/>
      <c r="M89" s="76"/>
      <c r="N89" s="77"/>
      <c r="O89" s="76"/>
      <c r="P89" s="76"/>
      <c r="Q89" s="75"/>
      <c r="R89" s="74"/>
      <c r="S89" s="75"/>
      <c r="T89" s="78"/>
      <c r="U89" s="73"/>
      <c r="V89" s="74"/>
      <c r="W89" s="79"/>
      <c r="X89" s="73"/>
      <c r="Y89" s="74"/>
      <c r="Z89" s="79"/>
      <c r="AA89" s="80"/>
      <c r="AB89" s="81"/>
      <c r="AC89" s="82"/>
      <c r="AD89" s="83"/>
      <c r="AE89" s="86" t="s">
        <v>348</v>
      </c>
      <c r="AF89" s="76"/>
      <c r="AG89" s="76"/>
      <c r="AH89" s="76"/>
      <c r="AI89" s="85"/>
    </row>
    <row r="90" spans="1:35" ht="23.25">
      <c r="A90" s="73">
        <v>41</v>
      </c>
      <c r="B90" s="74" t="s">
        <v>134</v>
      </c>
      <c r="C90" s="74" t="s">
        <v>349</v>
      </c>
      <c r="D90" s="74" t="s">
        <v>281</v>
      </c>
      <c r="E90" s="74" t="s">
        <v>993</v>
      </c>
      <c r="F90" s="74">
        <v>65.739999999999995</v>
      </c>
      <c r="G90" s="75"/>
      <c r="H90" s="75"/>
      <c r="I90" s="75">
        <f t="shared" ref="I90" si="190">I88+G89</f>
        <v>12943.680999999999</v>
      </c>
      <c r="J90" s="76"/>
      <c r="K90" s="76"/>
      <c r="L90" s="76"/>
      <c r="M90" s="76"/>
      <c r="N90" s="77" t="s">
        <v>134</v>
      </c>
      <c r="O90" s="76"/>
      <c r="P90" s="76"/>
      <c r="Q90" s="75">
        <v>55.929000000000002</v>
      </c>
      <c r="R90" s="74" t="s">
        <v>134</v>
      </c>
      <c r="S90" s="75">
        <f t="shared" ref="S90" si="191">(G89+G91)</f>
        <v>758.61599999999999</v>
      </c>
      <c r="T90" s="78">
        <f t="shared" ref="T90" si="192">(G89+G91)/2</f>
        <v>379.30799999999999</v>
      </c>
      <c r="U90" s="73">
        <v>261</v>
      </c>
      <c r="V90" s="74">
        <v>257</v>
      </c>
      <c r="W90" s="79">
        <f t="shared" ref="W90" si="193">U90+V90</f>
        <v>518</v>
      </c>
      <c r="X90" s="73">
        <v>218</v>
      </c>
      <c r="Y90" s="74">
        <v>253</v>
      </c>
      <c r="Z90" s="79">
        <f t="shared" ref="Z90" si="194">X90+Y90</f>
        <v>471</v>
      </c>
      <c r="AA90" s="80" t="s">
        <v>350</v>
      </c>
      <c r="AB90" s="81" t="s">
        <v>351</v>
      </c>
      <c r="AC90" s="82">
        <v>299950.37</v>
      </c>
      <c r="AD90" s="83">
        <v>2866384.0189999999</v>
      </c>
      <c r="AE90" s="86"/>
      <c r="AF90" s="76" t="s">
        <v>352</v>
      </c>
      <c r="AG90" s="76"/>
      <c r="AH90" s="76"/>
      <c r="AI90" s="85"/>
    </row>
    <row r="91" spans="1:35" ht="34.9" customHeight="1">
      <c r="A91" s="73"/>
      <c r="B91" s="74" t="s">
        <v>134</v>
      </c>
      <c r="C91" s="74"/>
      <c r="D91" s="74"/>
      <c r="E91" s="74"/>
      <c r="F91" s="74"/>
      <c r="G91" s="75">
        <v>458.61599999999999</v>
      </c>
      <c r="H91" s="74"/>
      <c r="I91" s="74"/>
      <c r="J91" s="76"/>
      <c r="K91" s="76"/>
      <c r="L91" s="76"/>
      <c r="M91" s="76"/>
      <c r="N91" s="77"/>
      <c r="O91" s="76"/>
      <c r="P91" s="76"/>
      <c r="Q91" s="75"/>
      <c r="R91" s="74"/>
      <c r="S91" s="75"/>
      <c r="T91" s="78"/>
      <c r="U91" s="73"/>
      <c r="V91" s="74"/>
      <c r="W91" s="79"/>
      <c r="X91" s="73"/>
      <c r="Y91" s="74"/>
      <c r="Z91" s="79"/>
      <c r="AA91" s="80"/>
      <c r="AB91" s="81"/>
      <c r="AC91" s="82"/>
      <c r="AD91" s="83"/>
      <c r="AE91" s="86" t="s">
        <v>353</v>
      </c>
      <c r="AF91" s="76"/>
      <c r="AG91" s="76"/>
      <c r="AH91" s="76"/>
      <c r="AI91" s="85" t="s">
        <v>354</v>
      </c>
    </row>
    <row r="92" spans="1:35" ht="23.25">
      <c r="A92" s="73">
        <v>42</v>
      </c>
      <c r="B92" s="74" t="s">
        <v>355</v>
      </c>
      <c r="C92" s="74" t="s">
        <v>356</v>
      </c>
      <c r="D92" s="74" t="s">
        <v>357</v>
      </c>
      <c r="E92" s="74" t="s">
        <v>993</v>
      </c>
      <c r="F92" s="74">
        <v>56.74</v>
      </c>
      <c r="G92" s="75"/>
      <c r="H92" s="75">
        <f>SUM(G89:G92)</f>
        <v>758.61599999999999</v>
      </c>
      <c r="I92" s="75">
        <f t="shared" ref="I92" si="195">I90+G91</f>
        <v>13402.296999999999</v>
      </c>
      <c r="J92" s="76"/>
      <c r="K92" s="76"/>
      <c r="L92" s="76"/>
      <c r="M92" s="76"/>
      <c r="N92" s="77">
        <v>3</v>
      </c>
      <c r="O92" s="76"/>
      <c r="P92" s="76"/>
      <c r="Q92" s="75">
        <v>55.68</v>
      </c>
      <c r="R92" s="74" t="s">
        <v>358</v>
      </c>
      <c r="S92" s="75">
        <f t="shared" ref="S92" si="196">(G91+G93)</f>
        <v>764.79600000000005</v>
      </c>
      <c r="T92" s="78">
        <f t="shared" ref="T92" si="197">(G91+G93)/2</f>
        <v>382.39800000000002</v>
      </c>
      <c r="U92" s="73">
        <v>206</v>
      </c>
      <c r="V92" s="74">
        <v>219</v>
      </c>
      <c r="W92" s="79">
        <f t="shared" ref="W92" si="198">U92+V92</f>
        <v>425</v>
      </c>
      <c r="X92" s="73">
        <v>212</v>
      </c>
      <c r="Y92" s="74">
        <v>196</v>
      </c>
      <c r="Z92" s="79">
        <f t="shared" ref="Z92" si="199">X92+Y92</f>
        <v>408</v>
      </c>
      <c r="AA92" s="80" t="s">
        <v>359</v>
      </c>
      <c r="AB92" s="81" t="s">
        <v>360</v>
      </c>
      <c r="AC92" s="82">
        <v>300225.94699999999</v>
      </c>
      <c r="AD92" s="83">
        <v>2866750.6060000001</v>
      </c>
      <c r="AE92" s="86"/>
      <c r="AF92" s="76" t="s">
        <v>361</v>
      </c>
      <c r="AG92" s="76"/>
      <c r="AH92" s="76"/>
      <c r="AI92" s="89"/>
    </row>
    <row r="93" spans="1:35" ht="23.25">
      <c r="A93" s="73"/>
      <c r="B93" s="74" t="s">
        <v>134</v>
      </c>
      <c r="C93" s="74"/>
      <c r="D93" s="74"/>
      <c r="E93" s="74"/>
      <c r="F93" s="74"/>
      <c r="G93" s="75">
        <v>306.18</v>
      </c>
      <c r="H93" s="74"/>
      <c r="I93" s="74"/>
      <c r="J93" s="76"/>
      <c r="K93" s="76"/>
      <c r="L93" s="76"/>
      <c r="M93" s="76"/>
      <c r="N93" s="77"/>
      <c r="O93" s="76"/>
      <c r="P93" s="76"/>
      <c r="Q93" s="75"/>
      <c r="R93" s="74"/>
      <c r="S93" s="75"/>
      <c r="T93" s="78"/>
      <c r="U93" s="73"/>
      <c r="V93" s="74"/>
      <c r="W93" s="79"/>
      <c r="X93" s="73"/>
      <c r="Y93" s="74"/>
      <c r="Z93" s="79"/>
      <c r="AA93" s="80"/>
      <c r="AB93" s="81"/>
      <c r="AC93" s="82"/>
      <c r="AD93" s="83"/>
      <c r="AE93" s="86" t="s">
        <v>362</v>
      </c>
      <c r="AF93" s="76"/>
      <c r="AG93" s="76"/>
      <c r="AH93" s="76"/>
      <c r="AI93" s="85"/>
    </row>
    <row r="94" spans="1:35" ht="23.25">
      <c r="A94" s="73">
        <v>43</v>
      </c>
      <c r="B94" s="74" t="s">
        <v>363</v>
      </c>
      <c r="C94" s="74" t="s">
        <v>364</v>
      </c>
      <c r="D94" s="74" t="s">
        <v>344</v>
      </c>
      <c r="E94" s="74" t="s">
        <v>993</v>
      </c>
      <c r="F94" s="74">
        <v>50.74</v>
      </c>
      <c r="G94" s="75"/>
      <c r="H94" s="75">
        <f>SUM(G93:G94)</f>
        <v>306.18</v>
      </c>
      <c r="I94" s="75">
        <f t="shared" ref="I94" si="200">I92+G93</f>
        <v>13708.476999999999</v>
      </c>
      <c r="J94" s="76"/>
      <c r="K94" s="76"/>
      <c r="L94" s="76"/>
      <c r="M94" s="76"/>
      <c r="N94" s="77" t="s">
        <v>134</v>
      </c>
      <c r="O94" s="76"/>
      <c r="P94" s="76"/>
      <c r="Q94" s="75">
        <v>55.944000000000003</v>
      </c>
      <c r="R94" s="74" t="s">
        <v>365</v>
      </c>
      <c r="S94" s="75">
        <f t="shared" ref="S94" si="201">(G93+G95)</f>
        <v>691.91800000000001</v>
      </c>
      <c r="T94" s="78">
        <f t="shared" ref="T94" si="202">(G93+G95)/2</f>
        <v>345.959</v>
      </c>
      <c r="U94" s="73">
        <v>95</v>
      </c>
      <c r="V94" s="74">
        <v>211</v>
      </c>
      <c r="W94" s="79">
        <f t="shared" ref="W94" si="203">U94+V94</f>
        <v>306</v>
      </c>
      <c r="X94" s="73">
        <v>118</v>
      </c>
      <c r="Y94" s="74">
        <v>206</v>
      </c>
      <c r="Z94" s="79">
        <f t="shared" ref="Z94" si="204">X94+Y94</f>
        <v>324</v>
      </c>
      <c r="AA94" s="80" t="s">
        <v>366</v>
      </c>
      <c r="AB94" s="81" t="s">
        <v>367</v>
      </c>
      <c r="AC94" s="82">
        <v>300531.15700000001</v>
      </c>
      <c r="AD94" s="83">
        <v>2866726.2549999999</v>
      </c>
      <c r="AE94" s="86"/>
      <c r="AF94" s="76" t="s">
        <v>368</v>
      </c>
      <c r="AG94" s="76"/>
      <c r="AH94" s="76"/>
      <c r="AI94" s="85"/>
    </row>
    <row r="95" spans="1:35" ht="23.25">
      <c r="A95" s="73"/>
      <c r="B95" s="74" t="s">
        <v>134</v>
      </c>
      <c r="C95" s="74"/>
      <c r="D95" s="74"/>
      <c r="E95" s="74"/>
      <c r="F95" s="74"/>
      <c r="G95" s="75">
        <v>385.738</v>
      </c>
      <c r="H95" s="74"/>
      <c r="I95" s="74"/>
      <c r="J95" s="76"/>
      <c r="K95" s="76"/>
      <c r="L95" s="76"/>
      <c r="M95" s="76"/>
      <c r="N95" s="77"/>
      <c r="O95" s="76"/>
      <c r="P95" s="76"/>
      <c r="Q95" s="75"/>
      <c r="R95" s="74"/>
      <c r="S95" s="75"/>
      <c r="T95" s="78"/>
      <c r="U95" s="73"/>
      <c r="V95" s="74"/>
      <c r="W95" s="79"/>
      <c r="X95" s="73"/>
      <c r="Y95" s="74"/>
      <c r="Z95" s="79"/>
      <c r="AA95" s="80"/>
      <c r="AB95" s="81"/>
      <c r="AC95" s="82"/>
      <c r="AD95" s="83"/>
      <c r="AE95" s="86" t="s">
        <v>369</v>
      </c>
      <c r="AF95" s="76"/>
      <c r="AG95" s="76"/>
      <c r="AH95" s="76"/>
      <c r="AI95" s="85"/>
    </row>
    <row r="96" spans="1:35" ht="23.25">
      <c r="A96" s="73">
        <v>44</v>
      </c>
      <c r="B96" s="74" t="s">
        <v>370</v>
      </c>
      <c r="C96" s="74" t="s">
        <v>371</v>
      </c>
      <c r="D96" s="74" t="s">
        <v>133</v>
      </c>
      <c r="E96" s="74" t="s">
        <v>993</v>
      </c>
      <c r="F96" s="74">
        <v>47.74</v>
      </c>
      <c r="G96" s="75"/>
      <c r="H96" s="75">
        <f>SUM(G95:G96)</f>
        <v>385.738</v>
      </c>
      <c r="I96" s="75">
        <f t="shared" ref="I96" si="205">I94+G95</f>
        <v>14094.214999999998</v>
      </c>
      <c r="J96" s="76"/>
      <c r="K96" s="76"/>
      <c r="L96" s="76"/>
      <c r="M96" s="76"/>
      <c r="N96" s="77" t="s">
        <v>134</v>
      </c>
      <c r="O96" s="76"/>
      <c r="P96" s="76"/>
      <c r="Q96" s="75">
        <v>55.628999999999998</v>
      </c>
      <c r="R96" s="74" t="s">
        <v>372</v>
      </c>
      <c r="S96" s="75">
        <f t="shared" ref="S96" si="206">(G95+G97)</f>
        <v>725.73800000000006</v>
      </c>
      <c r="T96" s="78">
        <f t="shared" ref="T96" si="207">(G95+G97)/2</f>
        <v>362.86900000000003</v>
      </c>
      <c r="U96" s="73">
        <v>175</v>
      </c>
      <c r="V96" s="74">
        <v>151</v>
      </c>
      <c r="W96" s="79">
        <f t="shared" ref="W96" si="208">U96+V96</f>
        <v>326</v>
      </c>
      <c r="X96" s="73">
        <v>180</v>
      </c>
      <c r="Y96" s="74">
        <v>156</v>
      </c>
      <c r="Z96" s="79">
        <f t="shared" ref="Z96" si="209">X96+Y96</f>
        <v>336</v>
      </c>
      <c r="AA96" s="80" t="s">
        <v>373</v>
      </c>
      <c r="AB96" s="81" t="s">
        <v>374</v>
      </c>
      <c r="AC96" s="82">
        <v>300771.34399999998</v>
      </c>
      <c r="AD96" s="83">
        <v>2866424.4210000001</v>
      </c>
      <c r="AE96" s="86"/>
      <c r="AF96" s="76" t="s">
        <v>368</v>
      </c>
      <c r="AG96" s="76"/>
      <c r="AH96" s="76"/>
      <c r="AI96" s="85"/>
    </row>
    <row r="97" spans="1:35" ht="34.15" customHeight="1">
      <c r="A97" s="73"/>
      <c r="B97" s="74" t="s">
        <v>134</v>
      </c>
      <c r="C97" s="74"/>
      <c r="D97" s="74"/>
      <c r="E97" s="74"/>
      <c r="F97" s="74"/>
      <c r="G97" s="75">
        <v>340</v>
      </c>
      <c r="H97" s="74"/>
      <c r="I97" s="74"/>
      <c r="J97" s="76"/>
      <c r="K97" s="76"/>
      <c r="L97" s="76"/>
      <c r="M97" s="76"/>
      <c r="N97" s="77"/>
      <c r="O97" s="76"/>
      <c r="P97" s="76"/>
      <c r="Q97" s="75"/>
      <c r="R97" s="74"/>
      <c r="S97" s="75"/>
      <c r="T97" s="78"/>
      <c r="U97" s="73"/>
      <c r="V97" s="74"/>
      <c r="W97" s="79"/>
      <c r="X97" s="73"/>
      <c r="Y97" s="74"/>
      <c r="Z97" s="79"/>
      <c r="AA97" s="80"/>
      <c r="AB97" s="81"/>
      <c r="AC97" s="82"/>
      <c r="AD97" s="83"/>
      <c r="AE97" s="86" t="s">
        <v>375</v>
      </c>
      <c r="AF97" s="76"/>
      <c r="AG97" s="76"/>
      <c r="AH97" s="76"/>
      <c r="AI97" s="85" t="s">
        <v>354</v>
      </c>
    </row>
    <row r="98" spans="1:35" ht="23.25">
      <c r="A98" s="73">
        <v>45</v>
      </c>
      <c r="B98" s="74" t="s">
        <v>134</v>
      </c>
      <c r="C98" s="74" t="s">
        <v>376</v>
      </c>
      <c r="D98" s="74" t="s">
        <v>187</v>
      </c>
      <c r="E98" s="74" t="s">
        <v>993</v>
      </c>
      <c r="F98" s="74">
        <v>51.16</v>
      </c>
      <c r="G98" s="75"/>
      <c r="H98" s="75"/>
      <c r="I98" s="75">
        <f t="shared" ref="I98" si="210">I96+G97</f>
        <v>14434.214999999998</v>
      </c>
      <c r="J98" s="76"/>
      <c r="K98" s="76"/>
      <c r="L98" s="76"/>
      <c r="M98" s="76"/>
      <c r="N98" s="77" t="s">
        <v>134</v>
      </c>
      <c r="O98" s="76"/>
      <c r="P98" s="76"/>
      <c r="Q98" s="75">
        <v>55.396000000000001</v>
      </c>
      <c r="R98" s="74" t="s">
        <v>134</v>
      </c>
      <c r="S98" s="75">
        <f t="shared" ref="S98" si="211">(G97+G99)</f>
        <v>747.56600000000003</v>
      </c>
      <c r="T98" s="78">
        <f t="shared" ref="T98" si="212">(G97+G99)/2</f>
        <v>373.78300000000002</v>
      </c>
      <c r="U98" s="73">
        <v>186</v>
      </c>
      <c r="V98" s="74">
        <v>216</v>
      </c>
      <c r="W98" s="79">
        <f t="shared" ref="W98" si="213">U98+V98</f>
        <v>402</v>
      </c>
      <c r="X98" s="73">
        <v>181</v>
      </c>
      <c r="Y98" s="74">
        <v>213</v>
      </c>
      <c r="Z98" s="79">
        <f t="shared" ref="Z98" si="214">X98+Y98</f>
        <v>394</v>
      </c>
      <c r="AA98" s="80" t="s">
        <v>377</v>
      </c>
      <c r="AB98" s="81" t="s">
        <v>378</v>
      </c>
      <c r="AC98" s="82">
        <v>301111.217</v>
      </c>
      <c r="AD98" s="83">
        <v>2866415.14</v>
      </c>
      <c r="AE98" s="86"/>
      <c r="AF98" s="76" t="s">
        <v>368</v>
      </c>
      <c r="AG98" s="76"/>
      <c r="AH98" s="76"/>
      <c r="AI98" s="85"/>
    </row>
    <row r="99" spans="1:35" ht="23.25">
      <c r="A99" s="73"/>
      <c r="B99" s="74" t="s">
        <v>134</v>
      </c>
      <c r="C99" s="74"/>
      <c r="D99" s="74"/>
      <c r="E99" s="74"/>
      <c r="F99" s="74"/>
      <c r="G99" s="75">
        <v>407.56599999999997</v>
      </c>
      <c r="H99" s="74"/>
      <c r="I99" s="74"/>
      <c r="J99" s="76"/>
      <c r="K99" s="76"/>
      <c r="L99" s="76"/>
      <c r="M99" s="76"/>
      <c r="N99" s="77"/>
      <c r="O99" s="76"/>
      <c r="P99" s="76"/>
      <c r="Q99" s="75"/>
      <c r="R99" s="74"/>
      <c r="S99" s="75"/>
      <c r="T99" s="78"/>
      <c r="U99" s="73"/>
      <c r="V99" s="74"/>
      <c r="W99" s="79"/>
      <c r="X99" s="73"/>
      <c r="Y99" s="74"/>
      <c r="Z99" s="79"/>
      <c r="AA99" s="80"/>
      <c r="AB99" s="81"/>
      <c r="AC99" s="82"/>
      <c r="AD99" s="83"/>
      <c r="AE99" s="86"/>
      <c r="AF99" s="76"/>
      <c r="AG99" s="76"/>
      <c r="AH99" s="76"/>
      <c r="AI99" s="85"/>
    </row>
    <row r="100" spans="1:35" ht="23.25">
      <c r="A100" s="73">
        <v>46</v>
      </c>
      <c r="B100" s="74" t="s">
        <v>379</v>
      </c>
      <c r="C100" s="74" t="s">
        <v>70</v>
      </c>
      <c r="D100" s="74" t="s">
        <v>133</v>
      </c>
      <c r="E100" s="74" t="s">
        <v>993</v>
      </c>
      <c r="F100" s="74">
        <v>47.74</v>
      </c>
      <c r="G100" s="75"/>
      <c r="H100" s="75">
        <f>SUM(G97:G100)</f>
        <v>747.56600000000003</v>
      </c>
      <c r="I100" s="75">
        <f t="shared" ref="I100" si="215">I98+G99</f>
        <v>14841.780999999999</v>
      </c>
      <c r="J100" s="76"/>
      <c r="K100" s="76"/>
      <c r="L100" s="76"/>
      <c r="M100" s="76"/>
      <c r="N100" s="77" t="s">
        <v>134</v>
      </c>
      <c r="O100" s="76"/>
      <c r="P100" s="76"/>
      <c r="Q100" s="75">
        <v>55.786999999999999</v>
      </c>
      <c r="R100" s="74" t="s">
        <v>380</v>
      </c>
      <c r="S100" s="75">
        <f t="shared" ref="S100" si="216">(G99+G101)</f>
        <v>731.56600000000003</v>
      </c>
      <c r="T100" s="78">
        <f t="shared" ref="T100" si="217">(G99+G101)/2</f>
        <v>365.78300000000002</v>
      </c>
      <c r="U100" s="73">
        <v>189</v>
      </c>
      <c r="V100" s="74">
        <v>141</v>
      </c>
      <c r="W100" s="79">
        <f t="shared" ref="W100" si="218">U100+V100</f>
        <v>330</v>
      </c>
      <c r="X100" s="73">
        <v>193</v>
      </c>
      <c r="Y100" s="74">
        <v>147</v>
      </c>
      <c r="Z100" s="79">
        <f t="shared" ref="Z100" si="219">X100+Y100</f>
        <v>340</v>
      </c>
      <c r="AA100" s="80" t="s">
        <v>381</v>
      </c>
      <c r="AB100" s="81" t="s">
        <v>382</v>
      </c>
      <c r="AC100" s="82">
        <v>301518.63099999999</v>
      </c>
      <c r="AD100" s="83">
        <v>2866404.0150000001</v>
      </c>
      <c r="AE100" s="86"/>
      <c r="AF100" s="76" t="s">
        <v>368</v>
      </c>
      <c r="AG100" s="76"/>
      <c r="AH100" s="76"/>
      <c r="AI100" s="85"/>
    </row>
    <row r="101" spans="1:35" ht="34.9" customHeight="1">
      <c r="A101" s="73"/>
      <c r="B101" s="74" t="s">
        <v>134</v>
      </c>
      <c r="C101" s="74"/>
      <c r="D101" s="74"/>
      <c r="E101" s="74"/>
      <c r="F101" s="74"/>
      <c r="G101" s="75">
        <v>324</v>
      </c>
      <c r="H101" s="74"/>
      <c r="I101" s="74"/>
      <c r="J101" s="76"/>
      <c r="K101" s="76"/>
      <c r="L101" s="76"/>
      <c r="M101" s="76"/>
      <c r="N101" s="77"/>
      <c r="O101" s="76"/>
      <c r="P101" s="76"/>
      <c r="Q101" s="75"/>
      <c r="R101" s="74"/>
      <c r="S101" s="75"/>
      <c r="T101" s="78"/>
      <c r="U101" s="73"/>
      <c r="V101" s="74"/>
      <c r="W101" s="79"/>
      <c r="X101" s="73"/>
      <c r="Y101" s="74"/>
      <c r="Z101" s="79"/>
      <c r="AA101" s="80"/>
      <c r="AB101" s="81"/>
      <c r="AC101" s="82"/>
      <c r="AD101" s="83"/>
      <c r="AE101" s="86" t="s">
        <v>383</v>
      </c>
      <c r="AF101" s="76"/>
      <c r="AG101" s="76"/>
      <c r="AH101" s="76"/>
      <c r="AI101" s="85"/>
    </row>
    <row r="102" spans="1:35" ht="23.25">
      <c r="A102" s="73">
        <v>47</v>
      </c>
      <c r="B102" s="74" t="s">
        <v>134</v>
      </c>
      <c r="C102" s="74" t="s">
        <v>384</v>
      </c>
      <c r="D102" s="74" t="s">
        <v>187</v>
      </c>
      <c r="E102" s="74" t="s">
        <v>993</v>
      </c>
      <c r="F102" s="74">
        <v>51.16</v>
      </c>
      <c r="G102" s="75"/>
      <c r="H102" s="75"/>
      <c r="I102" s="75">
        <f t="shared" ref="I102" si="220">I100+G101</f>
        <v>15165.780999999999</v>
      </c>
      <c r="J102" s="76"/>
      <c r="K102" s="76"/>
      <c r="L102" s="76"/>
      <c r="M102" s="76"/>
      <c r="N102" s="77" t="s">
        <v>134</v>
      </c>
      <c r="O102" s="76"/>
      <c r="P102" s="76"/>
      <c r="Q102" s="75">
        <v>55.726999999999997</v>
      </c>
      <c r="R102" s="74" t="s">
        <v>134</v>
      </c>
      <c r="S102" s="75">
        <f t="shared" ref="S102" si="221">(G101+G103)</f>
        <v>705</v>
      </c>
      <c r="T102" s="78">
        <f t="shared" ref="T102" si="222">(G101+G103)/2</f>
        <v>352.5</v>
      </c>
      <c r="U102" s="73">
        <v>180</v>
      </c>
      <c r="V102" s="74">
        <v>179</v>
      </c>
      <c r="W102" s="79">
        <f t="shared" ref="W102" si="223">U102+V102</f>
        <v>359</v>
      </c>
      <c r="X102" s="73">
        <v>174</v>
      </c>
      <c r="Y102" s="74">
        <v>183</v>
      </c>
      <c r="Z102" s="79">
        <f t="shared" ref="Z102" si="224">X102+Y102</f>
        <v>357</v>
      </c>
      <c r="AA102" s="80" t="s">
        <v>385</v>
      </c>
      <c r="AB102" s="81" t="s">
        <v>386</v>
      </c>
      <c r="AC102" s="82">
        <v>301768.848</v>
      </c>
      <c r="AD102" s="83">
        <v>2866609.8489999999</v>
      </c>
      <c r="AE102" s="86"/>
      <c r="AF102" s="76" t="s">
        <v>368</v>
      </c>
      <c r="AG102" s="76"/>
      <c r="AH102" s="76"/>
      <c r="AI102" s="85"/>
    </row>
    <row r="103" spans="1:35" ht="36" customHeight="1">
      <c r="A103" s="73"/>
      <c r="B103" s="74" t="s">
        <v>134</v>
      </c>
      <c r="C103" s="74"/>
      <c r="D103" s="74"/>
      <c r="E103" s="74"/>
      <c r="F103" s="74"/>
      <c r="G103" s="75">
        <v>381</v>
      </c>
      <c r="H103" s="74"/>
      <c r="I103" s="74"/>
      <c r="J103" s="76"/>
      <c r="K103" s="76"/>
      <c r="L103" s="76"/>
      <c r="M103" s="76"/>
      <c r="N103" s="77"/>
      <c r="O103" s="76"/>
      <c r="P103" s="76"/>
      <c r="Q103" s="75"/>
      <c r="R103" s="74"/>
      <c r="S103" s="75"/>
      <c r="T103" s="78"/>
      <c r="U103" s="73"/>
      <c r="V103" s="74"/>
      <c r="W103" s="79"/>
      <c r="X103" s="73"/>
      <c r="Y103" s="74"/>
      <c r="Z103" s="79"/>
      <c r="AA103" s="80"/>
      <c r="AB103" s="81"/>
      <c r="AC103" s="82"/>
      <c r="AD103" s="83"/>
      <c r="AE103" s="86" t="s">
        <v>387</v>
      </c>
      <c r="AF103" s="76"/>
      <c r="AG103" s="76"/>
      <c r="AH103" s="76"/>
      <c r="AI103" s="85"/>
    </row>
    <row r="104" spans="1:35" ht="23.25">
      <c r="A104" s="73">
        <v>48</v>
      </c>
      <c r="B104" s="74" t="s">
        <v>134</v>
      </c>
      <c r="C104" s="74" t="s">
        <v>388</v>
      </c>
      <c r="D104" s="74" t="s">
        <v>301</v>
      </c>
      <c r="E104" s="74" t="s">
        <v>993</v>
      </c>
      <c r="F104" s="74">
        <v>54.16</v>
      </c>
      <c r="G104" s="75"/>
      <c r="H104" s="75"/>
      <c r="I104" s="75">
        <f t="shared" ref="I104" si="225">I102+G103</f>
        <v>15546.780999999999</v>
      </c>
      <c r="J104" s="76"/>
      <c r="K104" s="76"/>
      <c r="L104" s="76"/>
      <c r="M104" s="76"/>
      <c r="N104" s="77" t="s">
        <v>134</v>
      </c>
      <c r="O104" s="76"/>
      <c r="P104" s="76"/>
      <c r="Q104" s="75">
        <v>54.917000000000002</v>
      </c>
      <c r="R104" s="74" t="s">
        <v>134</v>
      </c>
      <c r="S104" s="75">
        <f t="shared" ref="S104" si="226">(G103+G105)</f>
        <v>750.15</v>
      </c>
      <c r="T104" s="78">
        <f t="shared" ref="T104" si="227">(G103+G105)/2</f>
        <v>375.07499999999999</v>
      </c>
      <c r="U104" s="73">
        <v>203</v>
      </c>
      <c r="V104" s="74">
        <v>199</v>
      </c>
      <c r="W104" s="79">
        <f t="shared" ref="W104" si="228">U104+V104</f>
        <v>402</v>
      </c>
      <c r="X104" s="73">
        <v>199</v>
      </c>
      <c r="Y104" s="74">
        <v>195</v>
      </c>
      <c r="Z104" s="79">
        <f t="shared" ref="Z104" si="229">X104+Y104</f>
        <v>394</v>
      </c>
      <c r="AA104" s="80" t="s">
        <v>389</v>
      </c>
      <c r="AB104" s="81" t="s">
        <v>390</v>
      </c>
      <c r="AC104" s="82">
        <v>302063.08399999997</v>
      </c>
      <c r="AD104" s="83">
        <v>2866851.8939999999</v>
      </c>
      <c r="AE104" s="86"/>
      <c r="AF104" s="76" t="s">
        <v>368</v>
      </c>
      <c r="AG104" s="76"/>
      <c r="AH104" s="76"/>
      <c r="AI104" s="85"/>
    </row>
    <row r="105" spans="1:35" ht="36" customHeight="1">
      <c r="A105" s="73"/>
      <c r="B105" s="74" t="s">
        <v>134</v>
      </c>
      <c r="C105" s="74"/>
      <c r="D105" s="74"/>
      <c r="E105" s="74"/>
      <c r="F105" s="74"/>
      <c r="G105" s="75">
        <v>369.15</v>
      </c>
      <c r="H105" s="74"/>
      <c r="I105" s="74"/>
      <c r="J105" s="76"/>
      <c r="K105" s="76"/>
      <c r="L105" s="76"/>
      <c r="M105" s="76"/>
      <c r="N105" s="77"/>
      <c r="O105" s="76"/>
      <c r="P105" s="76"/>
      <c r="Q105" s="75"/>
      <c r="R105" s="74"/>
      <c r="S105" s="75"/>
      <c r="T105" s="78"/>
      <c r="U105" s="73"/>
      <c r="V105" s="74"/>
      <c r="W105" s="79"/>
      <c r="X105" s="73"/>
      <c r="Y105" s="74"/>
      <c r="Z105" s="79"/>
      <c r="AA105" s="80"/>
      <c r="AB105" s="81"/>
      <c r="AC105" s="82"/>
      <c r="AD105" s="83"/>
      <c r="AE105" s="86" t="s">
        <v>391</v>
      </c>
      <c r="AF105" s="76"/>
      <c r="AG105" s="76"/>
      <c r="AH105" s="76"/>
      <c r="AI105" s="85"/>
    </row>
    <row r="106" spans="1:35" ht="23.25">
      <c r="A106" s="73">
        <v>49</v>
      </c>
      <c r="B106" s="74" t="s">
        <v>392</v>
      </c>
      <c r="C106" s="74" t="s">
        <v>393</v>
      </c>
      <c r="D106" s="74" t="s">
        <v>245</v>
      </c>
      <c r="E106" s="74" t="s">
        <v>993</v>
      </c>
      <c r="F106" s="74">
        <v>50.74</v>
      </c>
      <c r="G106" s="75"/>
      <c r="H106" s="75">
        <f>SUM(G101:G106)</f>
        <v>1074.1500000000001</v>
      </c>
      <c r="I106" s="75">
        <f t="shared" ref="I106" si="230">I104+G105</f>
        <v>15915.930999999999</v>
      </c>
      <c r="J106" s="76"/>
      <c r="K106" s="76"/>
      <c r="L106" s="76"/>
      <c r="M106" s="76"/>
      <c r="N106" s="77" t="s">
        <v>134</v>
      </c>
      <c r="O106" s="76"/>
      <c r="P106" s="76"/>
      <c r="Q106" s="75">
        <v>55.44</v>
      </c>
      <c r="R106" s="74" t="s">
        <v>394</v>
      </c>
      <c r="S106" s="75">
        <f t="shared" ref="S106" si="231">(G105+G107)</f>
        <v>783.15</v>
      </c>
      <c r="T106" s="78">
        <f t="shared" ref="T106" si="232">(G105+G107)/2</f>
        <v>391.57499999999999</v>
      </c>
      <c r="U106" s="73">
        <v>170</v>
      </c>
      <c r="V106" s="74">
        <v>190</v>
      </c>
      <c r="W106" s="79">
        <f t="shared" ref="W106" si="233">U106+V106</f>
        <v>360</v>
      </c>
      <c r="X106" s="73">
        <v>175</v>
      </c>
      <c r="Y106" s="74">
        <v>196</v>
      </c>
      <c r="Z106" s="79">
        <f t="shared" ref="Z106" si="234">X106+Y106</f>
        <v>371</v>
      </c>
      <c r="AA106" s="80" t="s">
        <v>395</v>
      </c>
      <c r="AB106" s="81" t="s">
        <v>396</v>
      </c>
      <c r="AC106" s="82">
        <v>302348.16899999999</v>
      </c>
      <c r="AD106" s="83">
        <v>2867086.4109999998</v>
      </c>
      <c r="AE106" s="86"/>
      <c r="AF106" s="76" t="s">
        <v>397</v>
      </c>
      <c r="AG106" s="76"/>
      <c r="AH106" s="76"/>
      <c r="AI106" s="85"/>
    </row>
    <row r="107" spans="1:35" ht="23.25">
      <c r="A107" s="73"/>
      <c r="B107" s="74" t="s">
        <v>134</v>
      </c>
      <c r="C107" s="74"/>
      <c r="D107" s="74"/>
      <c r="E107" s="74"/>
      <c r="F107" s="74"/>
      <c r="G107" s="75">
        <v>414</v>
      </c>
      <c r="H107" s="74"/>
      <c r="I107" s="74"/>
      <c r="J107" s="76"/>
      <c r="K107" s="76"/>
      <c r="L107" s="76"/>
      <c r="M107" s="76"/>
      <c r="N107" s="77"/>
      <c r="O107" s="76"/>
      <c r="P107" s="76"/>
      <c r="Q107" s="75"/>
      <c r="R107" s="74"/>
      <c r="S107" s="75"/>
      <c r="T107" s="78"/>
      <c r="U107" s="73"/>
      <c r="V107" s="74"/>
      <c r="W107" s="79"/>
      <c r="X107" s="73"/>
      <c r="Y107" s="74"/>
      <c r="Z107" s="79"/>
      <c r="AA107" s="80"/>
      <c r="AB107" s="81"/>
      <c r="AC107" s="82"/>
      <c r="AD107" s="83"/>
      <c r="AE107" s="86" t="s">
        <v>398</v>
      </c>
      <c r="AF107" s="76"/>
      <c r="AG107" s="76"/>
      <c r="AH107" s="76"/>
      <c r="AI107" s="85" t="s">
        <v>354</v>
      </c>
    </row>
    <row r="108" spans="1:35" ht="23.25">
      <c r="A108" s="73">
        <v>50</v>
      </c>
      <c r="B108" s="74" t="s">
        <v>134</v>
      </c>
      <c r="C108" s="74" t="s">
        <v>399</v>
      </c>
      <c r="D108" s="74" t="s">
        <v>301</v>
      </c>
      <c r="E108" s="74" t="s">
        <v>993</v>
      </c>
      <c r="F108" s="74">
        <v>54.16</v>
      </c>
      <c r="G108" s="75"/>
      <c r="H108" s="75"/>
      <c r="I108" s="75">
        <f t="shared" ref="I108" si="235">I106+G107</f>
        <v>16329.930999999999</v>
      </c>
      <c r="J108" s="76"/>
      <c r="K108" s="76"/>
      <c r="L108" s="76"/>
      <c r="M108" s="76"/>
      <c r="N108" s="77" t="s">
        <v>134</v>
      </c>
      <c r="O108" s="76"/>
      <c r="P108" s="76"/>
      <c r="Q108" s="75">
        <v>55.762999999999998</v>
      </c>
      <c r="R108" s="74" t="s">
        <v>134</v>
      </c>
      <c r="S108" s="75">
        <f t="shared" ref="S108" si="236">(G107+G109)</f>
        <v>784</v>
      </c>
      <c r="T108" s="78">
        <f t="shared" ref="T108" si="237">(G107+G109)/2</f>
        <v>392</v>
      </c>
      <c r="U108" s="73">
        <v>224</v>
      </c>
      <c r="V108" s="74">
        <v>222</v>
      </c>
      <c r="W108" s="79">
        <f t="shared" ref="W108" si="238">U108+V108</f>
        <v>446</v>
      </c>
      <c r="X108" s="73">
        <v>219</v>
      </c>
      <c r="Y108" s="74">
        <v>210</v>
      </c>
      <c r="Z108" s="79">
        <f t="shared" ref="Z108" si="239">X108+Y108</f>
        <v>429</v>
      </c>
      <c r="AA108" s="80" t="s">
        <v>400</v>
      </c>
      <c r="AB108" s="81" t="s">
        <v>401</v>
      </c>
      <c r="AC108" s="82">
        <v>302648.092</v>
      </c>
      <c r="AD108" s="83">
        <v>2867371.7919999999</v>
      </c>
      <c r="AE108" s="86"/>
      <c r="AF108" s="76" t="s">
        <v>397</v>
      </c>
      <c r="AG108" s="76"/>
      <c r="AH108" s="76"/>
      <c r="AI108" s="85"/>
    </row>
    <row r="109" spans="1:35" ht="23.25">
      <c r="A109" s="73"/>
      <c r="B109" s="74" t="s">
        <v>134</v>
      </c>
      <c r="C109" s="74"/>
      <c r="D109" s="74"/>
      <c r="E109" s="74"/>
      <c r="F109" s="74"/>
      <c r="G109" s="75">
        <v>370</v>
      </c>
      <c r="H109" s="74"/>
      <c r="I109" s="74"/>
      <c r="J109" s="76"/>
      <c r="K109" s="76"/>
      <c r="L109" s="76"/>
      <c r="M109" s="76"/>
      <c r="N109" s="77"/>
      <c r="O109" s="76"/>
      <c r="P109" s="76"/>
      <c r="Q109" s="75"/>
      <c r="R109" s="74"/>
      <c r="S109" s="75"/>
      <c r="T109" s="78"/>
      <c r="U109" s="73"/>
      <c r="V109" s="74"/>
      <c r="W109" s="79"/>
      <c r="X109" s="73"/>
      <c r="Y109" s="74"/>
      <c r="Z109" s="79"/>
      <c r="AA109" s="80"/>
      <c r="AB109" s="81"/>
      <c r="AC109" s="82"/>
      <c r="AD109" s="83"/>
      <c r="AE109" s="86" t="s">
        <v>402</v>
      </c>
      <c r="AF109" s="76"/>
      <c r="AG109" s="76"/>
      <c r="AH109" s="76"/>
      <c r="AI109" s="85"/>
    </row>
    <row r="110" spans="1:35" ht="23.25">
      <c r="A110" s="73">
        <v>51</v>
      </c>
      <c r="B110" s="74" t="s">
        <v>134</v>
      </c>
      <c r="C110" s="74" t="s">
        <v>403</v>
      </c>
      <c r="D110" s="74" t="s">
        <v>153</v>
      </c>
      <c r="E110" s="74" t="s">
        <v>993</v>
      </c>
      <c r="F110" s="74">
        <v>48.16</v>
      </c>
      <c r="G110" s="75"/>
      <c r="H110" s="75"/>
      <c r="I110" s="75">
        <f t="shared" ref="I110" si="240">I108+G109</f>
        <v>16699.930999999997</v>
      </c>
      <c r="J110" s="76"/>
      <c r="K110" s="76"/>
      <c r="L110" s="76"/>
      <c r="M110" s="76"/>
      <c r="N110" s="77" t="s">
        <v>134</v>
      </c>
      <c r="O110" s="76"/>
      <c r="P110" s="76"/>
      <c r="Q110" s="75">
        <v>55.453000000000003</v>
      </c>
      <c r="R110" s="74" t="s">
        <v>134</v>
      </c>
      <c r="S110" s="75">
        <f t="shared" ref="S110" si="241">(G109+G111)</f>
        <v>677</v>
      </c>
      <c r="T110" s="78">
        <f t="shared" ref="T110" si="242">(G109+G111)/2</f>
        <v>338.5</v>
      </c>
      <c r="U110" s="73">
        <v>149</v>
      </c>
      <c r="V110" s="74">
        <v>153</v>
      </c>
      <c r="W110" s="79">
        <f t="shared" ref="W110" si="243">U110+V110</f>
        <v>302</v>
      </c>
      <c r="X110" s="73">
        <v>161</v>
      </c>
      <c r="Y110" s="74">
        <v>154</v>
      </c>
      <c r="Z110" s="79">
        <f t="shared" ref="Z110" si="244">X110+Y110</f>
        <v>315</v>
      </c>
      <c r="AA110" s="80" t="s">
        <v>404</v>
      </c>
      <c r="AB110" s="81" t="s">
        <v>405</v>
      </c>
      <c r="AC110" s="82">
        <v>302916.13900000002</v>
      </c>
      <c r="AD110" s="83">
        <v>2867626.8420000002</v>
      </c>
      <c r="AE110" s="86"/>
      <c r="AF110" s="76" t="s">
        <v>406</v>
      </c>
      <c r="AG110" s="76"/>
      <c r="AH110" s="76"/>
      <c r="AI110" s="85"/>
    </row>
    <row r="111" spans="1:35" ht="23.25">
      <c r="A111" s="73"/>
      <c r="B111" s="74" t="s">
        <v>134</v>
      </c>
      <c r="C111" s="74"/>
      <c r="D111" s="74"/>
      <c r="E111" s="74"/>
      <c r="F111" s="74"/>
      <c r="G111" s="75">
        <v>307</v>
      </c>
      <c r="H111" s="74"/>
      <c r="I111" s="74"/>
      <c r="J111" s="76"/>
      <c r="K111" s="76"/>
      <c r="L111" s="76"/>
      <c r="M111" s="76"/>
      <c r="N111" s="77"/>
      <c r="O111" s="76"/>
      <c r="P111" s="76"/>
      <c r="Q111" s="75"/>
      <c r="R111" s="74"/>
      <c r="S111" s="75"/>
      <c r="T111" s="78"/>
      <c r="U111" s="73"/>
      <c r="V111" s="74"/>
      <c r="W111" s="79"/>
      <c r="X111" s="73"/>
      <c r="Y111" s="74"/>
      <c r="Z111" s="79"/>
      <c r="AA111" s="80"/>
      <c r="AB111" s="81"/>
      <c r="AC111" s="82"/>
      <c r="AD111" s="83"/>
      <c r="AE111" s="86" t="s">
        <v>402</v>
      </c>
      <c r="AF111" s="76"/>
      <c r="AG111" s="76"/>
      <c r="AH111" s="76"/>
      <c r="AI111" s="85"/>
    </row>
    <row r="112" spans="1:35" ht="23.25">
      <c r="A112" s="73">
        <v>52</v>
      </c>
      <c r="B112" s="74" t="s">
        <v>134</v>
      </c>
      <c r="C112" s="74" t="s">
        <v>407</v>
      </c>
      <c r="D112" s="74" t="s">
        <v>153</v>
      </c>
      <c r="E112" s="74" t="s">
        <v>993</v>
      </c>
      <c r="F112" s="74">
        <v>48.16</v>
      </c>
      <c r="G112" s="75"/>
      <c r="H112" s="75"/>
      <c r="I112" s="75">
        <f t="shared" ref="I112" si="245">I110+G111</f>
        <v>17006.930999999997</v>
      </c>
      <c r="J112" s="76"/>
      <c r="K112" s="76"/>
      <c r="L112" s="76"/>
      <c r="M112" s="76"/>
      <c r="N112" s="77" t="s">
        <v>134</v>
      </c>
      <c r="O112" s="76"/>
      <c r="P112" s="76"/>
      <c r="Q112" s="75">
        <v>55.494999999999997</v>
      </c>
      <c r="R112" s="74" t="s">
        <v>134</v>
      </c>
      <c r="S112" s="75">
        <f t="shared" ref="S112" si="246">(G111+G113)</f>
        <v>598</v>
      </c>
      <c r="T112" s="78">
        <f t="shared" ref="T112" si="247">(G111+G113)/2</f>
        <v>299</v>
      </c>
      <c r="U112" s="73">
        <v>154</v>
      </c>
      <c r="V112" s="74">
        <v>148</v>
      </c>
      <c r="W112" s="79">
        <f t="shared" ref="W112" si="248">U112+V112</f>
        <v>302</v>
      </c>
      <c r="X112" s="73">
        <v>154</v>
      </c>
      <c r="Y112" s="74">
        <v>147</v>
      </c>
      <c r="Z112" s="79">
        <f t="shared" ref="Z112" si="249">X112+Y112</f>
        <v>301</v>
      </c>
      <c r="AA112" s="80" t="s">
        <v>408</v>
      </c>
      <c r="AB112" s="81" t="s">
        <v>409</v>
      </c>
      <c r="AC112" s="82">
        <v>303138.54599999997</v>
      </c>
      <c r="AD112" s="83">
        <v>2867838.4649999999</v>
      </c>
      <c r="AE112" s="86"/>
      <c r="AF112" s="76" t="s">
        <v>406</v>
      </c>
      <c r="AG112" s="76"/>
      <c r="AH112" s="76"/>
      <c r="AI112" s="85"/>
    </row>
    <row r="113" spans="1:35" ht="23.25">
      <c r="A113" s="73"/>
      <c r="B113" s="74" t="s">
        <v>134</v>
      </c>
      <c r="C113" s="74"/>
      <c r="D113" s="74"/>
      <c r="E113" s="74"/>
      <c r="F113" s="74"/>
      <c r="G113" s="75">
        <v>291</v>
      </c>
      <c r="H113" s="74"/>
      <c r="I113" s="74"/>
      <c r="J113" s="76"/>
      <c r="K113" s="76"/>
      <c r="L113" s="76"/>
      <c r="M113" s="76"/>
      <c r="N113" s="77"/>
      <c r="O113" s="76"/>
      <c r="P113" s="76"/>
      <c r="Q113" s="75"/>
      <c r="R113" s="74"/>
      <c r="S113" s="75"/>
      <c r="T113" s="78"/>
      <c r="U113" s="73"/>
      <c r="V113" s="74"/>
      <c r="W113" s="79"/>
      <c r="X113" s="73"/>
      <c r="Y113" s="74"/>
      <c r="Z113" s="79"/>
      <c r="AA113" s="80"/>
      <c r="AB113" s="81"/>
      <c r="AC113" s="82"/>
      <c r="AD113" s="83"/>
      <c r="AE113" s="86" t="s">
        <v>410</v>
      </c>
      <c r="AF113" s="76"/>
      <c r="AG113" s="76"/>
      <c r="AH113" s="76"/>
      <c r="AI113" s="85"/>
    </row>
    <row r="114" spans="1:35" ht="23.25">
      <c r="A114" s="73">
        <v>53</v>
      </c>
      <c r="B114" s="74" t="s">
        <v>134</v>
      </c>
      <c r="C114" s="74" t="s">
        <v>411</v>
      </c>
      <c r="D114" s="74" t="s">
        <v>153</v>
      </c>
      <c r="E114" s="74" t="s">
        <v>993</v>
      </c>
      <c r="F114" s="74">
        <v>48.16</v>
      </c>
      <c r="G114" s="75"/>
      <c r="H114" s="75"/>
      <c r="I114" s="75">
        <f t="shared" ref="I114" si="250">I112+G113</f>
        <v>17297.930999999997</v>
      </c>
      <c r="J114" s="76"/>
      <c r="K114" s="76"/>
      <c r="L114" s="76"/>
      <c r="M114" s="76"/>
      <c r="N114" s="77" t="s">
        <v>134</v>
      </c>
      <c r="O114" s="76"/>
      <c r="P114" s="76"/>
      <c r="Q114" s="75">
        <v>55.183999999999997</v>
      </c>
      <c r="R114" s="74" t="s">
        <v>134</v>
      </c>
      <c r="S114" s="75">
        <f t="shared" ref="S114" si="251">(G113+G115)</f>
        <v>625.029</v>
      </c>
      <c r="T114" s="78">
        <f t="shared" ref="T114" si="252">(G113+G115)/2</f>
        <v>312.5145</v>
      </c>
      <c r="U114" s="73">
        <v>143</v>
      </c>
      <c r="V114" s="74">
        <v>152</v>
      </c>
      <c r="W114" s="79">
        <f t="shared" ref="W114" si="253">U114+V114</f>
        <v>295</v>
      </c>
      <c r="X114" s="73">
        <v>144</v>
      </c>
      <c r="Y114" s="74">
        <v>158</v>
      </c>
      <c r="Z114" s="79">
        <f t="shared" ref="Z114" si="254">X114+Y114</f>
        <v>302</v>
      </c>
      <c r="AA114" s="80" t="s">
        <v>412</v>
      </c>
      <c r="AB114" s="81" t="s">
        <v>413</v>
      </c>
      <c r="AC114" s="82">
        <v>303349.36200000002</v>
      </c>
      <c r="AD114" s="83">
        <v>2868039.0580000002</v>
      </c>
      <c r="AE114" s="86"/>
      <c r="AF114" s="76" t="s">
        <v>406</v>
      </c>
      <c r="AG114" s="76"/>
      <c r="AH114" s="76"/>
      <c r="AI114" s="85"/>
    </row>
    <row r="115" spans="1:35" ht="33.6" customHeight="1">
      <c r="A115" s="73"/>
      <c r="B115" s="74" t="s">
        <v>134</v>
      </c>
      <c r="C115" s="74"/>
      <c r="D115" s="74"/>
      <c r="E115" s="74"/>
      <c r="F115" s="74"/>
      <c r="G115" s="75">
        <v>334.029</v>
      </c>
      <c r="H115" s="74"/>
      <c r="I115" s="74"/>
      <c r="J115" s="76"/>
      <c r="K115" s="76"/>
      <c r="L115" s="76"/>
      <c r="M115" s="76"/>
      <c r="N115" s="77"/>
      <c r="O115" s="76"/>
      <c r="P115" s="76"/>
      <c r="Q115" s="75"/>
      <c r="R115" s="74"/>
      <c r="S115" s="75"/>
      <c r="T115" s="78"/>
      <c r="U115" s="73"/>
      <c r="V115" s="74"/>
      <c r="W115" s="79"/>
      <c r="X115" s="73"/>
      <c r="Y115" s="74"/>
      <c r="Z115" s="79"/>
      <c r="AA115" s="80"/>
      <c r="AB115" s="81"/>
      <c r="AC115" s="82"/>
      <c r="AD115" s="83"/>
      <c r="AE115" s="86" t="s">
        <v>414</v>
      </c>
      <c r="AF115" s="76"/>
      <c r="AG115" s="76"/>
      <c r="AH115" s="76"/>
      <c r="AI115" s="85"/>
    </row>
    <row r="116" spans="1:35" ht="23.25">
      <c r="A116" s="73">
        <v>54</v>
      </c>
      <c r="B116" s="74" t="s">
        <v>415</v>
      </c>
      <c r="C116" s="74" t="s">
        <v>416</v>
      </c>
      <c r="D116" s="74" t="s">
        <v>344</v>
      </c>
      <c r="E116" s="74" t="s">
        <v>993</v>
      </c>
      <c r="F116" s="74">
        <v>50.74</v>
      </c>
      <c r="G116" s="75"/>
      <c r="H116" s="75">
        <f>SUM(G107:G116)</f>
        <v>1716.029</v>
      </c>
      <c r="I116" s="75">
        <f t="shared" ref="I116" si="255">I114+G115</f>
        <v>17631.959999999995</v>
      </c>
      <c r="J116" s="76"/>
      <c r="K116" s="76"/>
      <c r="L116" s="76"/>
      <c r="M116" s="76"/>
      <c r="N116" s="77" t="s">
        <v>134</v>
      </c>
      <c r="O116" s="76"/>
      <c r="P116" s="76"/>
      <c r="Q116" s="75">
        <v>54.73</v>
      </c>
      <c r="R116" s="74" t="s">
        <v>417</v>
      </c>
      <c r="S116" s="75">
        <f t="shared" ref="S116" si="256">(G115+G117)</f>
        <v>600.029</v>
      </c>
      <c r="T116" s="78">
        <f t="shared" ref="T116" si="257">(G115+G117)/2</f>
        <v>300.0145</v>
      </c>
      <c r="U116" s="73">
        <v>185</v>
      </c>
      <c r="V116" s="74">
        <v>153</v>
      </c>
      <c r="W116" s="79">
        <f t="shared" ref="W116" si="258">U116+V116</f>
        <v>338</v>
      </c>
      <c r="X116" s="73">
        <v>180</v>
      </c>
      <c r="Y116" s="74">
        <v>145</v>
      </c>
      <c r="Z116" s="79">
        <f t="shared" ref="Z116" si="259">X116+Y116</f>
        <v>325</v>
      </c>
      <c r="AA116" s="80" t="s">
        <v>418</v>
      </c>
      <c r="AB116" s="81" t="s">
        <v>419</v>
      </c>
      <c r="AC116" s="82">
        <v>303591.34999999998</v>
      </c>
      <c r="AD116" s="83">
        <v>2868269.3130000001</v>
      </c>
      <c r="AE116" s="86"/>
      <c r="AF116" s="76" t="s">
        <v>406</v>
      </c>
      <c r="AG116" s="76"/>
      <c r="AH116" s="76"/>
      <c r="AI116" s="85"/>
    </row>
    <row r="117" spans="1:35" ht="23.25">
      <c r="A117" s="73"/>
      <c r="B117" s="74" t="s">
        <v>134</v>
      </c>
      <c r="C117" s="74"/>
      <c r="D117" s="74"/>
      <c r="E117" s="74"/>
      <c r="F117" s="74"/>
      <c r="G117" s="75">
        <v>266</v>
      </c>
      <c r="H117" s="74"/>
      <c r="I117" s="74"/>
      <c r="J117" s="76"/>
      <c r="K117" s="76"/>
      <c r="L117" s="76"/>
      <c r="M117" s="76"/>
      <c r="N117" s="77"/>
      <c r="O117" s="76"/>
      <c r="P117" s="76"/>
      <c r="Q117" s="75"/>
      <c r="R117" s="74"/>
      <c r="S117" s="75"/>
      <c r="T117" s="78"/>
      <c r="U117" s="73"/>
      <c r="V117" s="74"/>
      <c r="W117" s="79"/>
      <c r="X117" s="73"/>
      <c r="Y117" s="74"/>
      <c r="Z117" s="79"/>
      <c r="AA117" s="80"/>
      <c r="AB117" s="81"/>
      <c r="AC117" s="82"/>
      <c r="AD117" s="83"/>
      <c r="AE117" s="86" t="s">
        <v>420</v>
      </c>
      <c r="AF117" s="76"/>
      <c r="AG117" s="76"/>
      <c r="AH117" s="76"/>
      <c r="AI117" s="85"/>
    </row>
    <row r="118" spans="1:35" ht="23.25">
      <c r="A118" s="73">
        <v>55</v>
      </c>
      <c r="B118" s="74" t="s">
        <v>134</v>
      </c>
      <c r="C118" s="74" t="s">
        <v>421</v>
      </c>
      <c r="D118" s="74" t="s">
        <v>153</v>
      </c>
      <c r="E118" s="74" t="s">
        <v>993</v>
      </c>
      <c r="F118" s="74">
        <v>48.16</v>
      </c>
      <c r="G118" s="75"/>
      <c r="H118" s="75"/>
      <c r="I118" s="75">
        <f t="shared" ref="I118" si="260">I116+G117</f>
        <v>17897.959999999995</v>
      </c>
      <c r="J118" s="76"/>
      <c r="K118" s="76"/>
      <c r="L118" s="76"/>
      <c r="M118" s="76"/>
      <c r="N118" s="77" t="s">
        <v>134</v>
      </c>
      <c r="O118" s="76"/>
      <c r="P118" s="76"/>
      <c r="Q118" s="75">
        <v>55.531999999999996</v>
      </c>
      <c r="R118" s="74" t="s">
        <v>134</v>
      </c>
      <c r="S118" s="75">
        <f t="shared" ref="S118" si="261">(G117+G119)</f>
        <v>521.44499999999994</v>
      </c>
      <c r="T118" s="78">
        <f t="shared" ref="T118" si="262">(G117+G119)/2</f>
        <v>260.72249999999997</v>
      </c>
      <c r="U118" s="73">
        <v>115</v>
      </c>
      <c r="V118" s="74">
        <v>132</v>
      </c>
      <c r="W118" s="79">
        <f t="shared" ref="W118" si="263">U118+V118</f>
        <v>247</v>
      </c>
      <c r="X118" s="73">
        <v>124</v>
      </c>
      <c r="Y118" s="74">
        <v>131</v>
      </c>
      <c r="Z118" s="79">
        <f t="shared" ref="Z118" si="264">X118+Y118</f>
        <v>255</v>
      </c>
      <c r="AA118" s="80" t="s">
        <v>422</v>
      </c>
      <c r="AB118" s="81" t="s">
        <v>423</v>
      </c>
      <c r="AC118" s="82">
        <v>303855.20699999999</v>
      </c>
      <c r="AD118" s="83">
        <v>2868303.0079999999</v>
      </c>
      <c r="AE118" s="86"/>
      <c r="AF118" s="76" t="s">
        <v>406</v>
      </c>
      <c r="AG118" s="76"/>
      <c r="AH118" s="76"/>
      <c r="AI118" s="85"/>
    </row>
    <row r="119" spans="1:35" ht="23.25">
      <c r="A119" s="73"/>
      <c r="B119" s="74" t="s">
        <v>134</v>
      </c>
      <c r="C119" s="74"/>
      <c r="D119" s="74"/>
      <c r="E119" s="74"/>
      <c r="F119" s="74"/>
      <c r="G119" s="75">
        <v>255.44499999999999</v>
      </c>
      <c r="H119" s="74"/>
      <c r="I119" s="74"/>
      <c r="J119" s="76"/>
      <c r="K119" s="76"/>
      <c r="L119" s="76"/>
      <c r="M119" s="76"/>
      <c r="N119" s="77"/>
      <c r="O119" s="76"/>
      <c r="P119" s="76"/>
      <c r="Q119" s="75"/>
      <c r="R119" s="74"/>
      <c r="S119" s="75"/>
      <c r="T119" s="78"/>
      <c r="U119" s="73"/>
      <c r="V119" s="74"/>
      <c r="W119" s="79"/>
      <c r="X119" s="73"/>
      <c r="Y119" s="74"/>
      <c r="Z119" s="79"/>
      <c r="AA119" s="80"/>
      <c r="AB119" s="81"/>
      <c r="AC119" s="82"/>
      <c r="AD119" s="83"/>
      <c r="AE119" s="86" t="s">
        <v>424</v>
      </c>
      <c r="AF119" s="76"/>
      <c r="AG119" s="76"/>
      <c r="AH119" s="76"/>
      <c r="AI119" s="85"/>
    </row>
    <row r="120" spans="1:35" ht="23.25">
      <c r="A120" s="73">
        <v>56</v>
      </c>
      <c r="B120" s="74" t="s">
        <v>425</v>
      </c>
      <c r="C120" s="74" t="s">
        <v>71</v>
      </c>
      <c r="D120" s="74" t="s">
        <v>133</v>
      </c>
      <c r="E120" s="74" t="s">
        <v>993</v>
      </c>
      <c r="F120" s="74">
        <v>47.74</v>
      </c>
      <c r="G120" s="75"/>
      <c r="H120" s="75">
        <f>SUM(G117:G120)</f>
        <v>521.44499999999994</v>
      </c>
      <c r="I120" s="75">
        <f t="shared" ref="I120" si="265">I118+G119</f>
        <v>18153.404999999995</v>
      </c>
      <c r="J120" s="76"/>
      <c r="K120" s="76"/>
      <c r="L120" s="76"/>
      <c r="M120" s="76"/>
      <c r="N120" s="77" t="s">
        <v>134</v>
      </c>
      <c r="O120" s="76"/>
      <c r="P120" s="76"/>
      <c r="Q120" s="75">
        <v>55.265999999999998</v>
      </c>
      <c r="R120" s="74" t="s">
        <v>426</v>
      </c>
      <c r="S120" s="75">
        <f t="shared" ref="S120" si="266">(G119+G121)</f>
        <v>606.44499999999994</v>
      </c>
      <c r="T120" s="78">
        <f t="shared" ref="T120" si="267">(G119+G121)/2</f>
        <v>303.22249999999997</v>
      </c>
      <c r="U120" s="73">
        <v>127</v>
      </c>
      <c r="V120" s="74">
        <v>139</v>
      </c>
      <c r="W120" s="79">
        <f t="shared" ref="W120" si="268">U120+V120</f>
        <v>266</v>
      </c>
      <c r="X120" s="73">
        <v>128</v>
      </c>
      <c r="Y120" s="74">
        <v>150</v>
      </c>
      <c r="Z120" s="79">
        <f t="shared" ref="Z120" si="269">X120+Y120</f>
        <v>278</v>
      </c>
      <c r="AA120" s="80" t="s">
        <v>427</v>
      </c>
      <c r="AB120" s="81" t="s">
        <v>428</v>
      </c>
      <c r="AC120" s="82">
        <v>304108.59499999997</v>
      </c>
      <c r="AD120" s="83">
        <v>2868335.3659999999</v>
      </c>
      <c r="AE120" s="86"/>
      <c r="AF120" s="76" t="s">
        <v>406</v>
      </c>
      <c r="AG120" s="76"/>
      <c r="AH120" s="76"/>
      <c r="AI120" s="85"/>
    </row>
    <row r="121" spans="1:35" ht="23.25">
      <c r="A121" s="73"/>
      <c r="B121" s="74" t="s">
        <v>134</v>
      </c>
      <c r="C121" s="74"/>
      <c r="D121" s="74"/>
      <c r="E121" s="74"/>
      <c r="F121" s="74"/>
      <c r="G121" s="75">
        <v>351</v>
      </c>
      <c r="H121" s="74"/>
      <c r="I121" s="74"/>
      <c r="J121" s="76"/>
      <c r="K121" s="76"/>
      <c r="L121" s="76"/>
      <c r="M121" s="76"/>
      <c r="N121" s="77"/>
      <c r="O121" s="76"/>
      <c r="P121" s="76"/>
      <c r="Q121" s="75"/>
      <c r="R121" s="74"/>
      <c r="S121" s="75"/>
      <c r="T121" s="78"/>
      <c r="U121" s="73"/>
      <c r="V121" s="74"/>
      <c r="W121" s="79"/>
      <c r="X121" s="73"/>
      <c r="Y121" s="74"/>
      <c r="Z121" s="79"/>
      <c r="AA121" s="80"/>
      <c r="AB121" s="81"/>
      <c r="AC121" s="82"/>
      <c r="AD121" s="83"/>
      <c r="AE121" s="86" t="s">
        <v>429</v>
      </c>
      <c r="AF121" s="76"/>
      <c r="AG121" s="76"/>
      <c r="AH121" s="76"/>
      <c r="AI121" s="85"/>
    </row>
    <row r="122" spans="1:35" ht="23.25">
      <c r="A122" s="73">
        <v>57</v>
      </c>
      <c r="B122" s="74" t="s">
        <v>134</v>
      </c>
      <c r="C122" s="74" t="s">
        <v>430</v>
      </c>
      <c r="D122" s="74" t="s">
        <v>301</v>
      </c>
      <c r="E122" s="74" t="s">
        <v>993</v>
      </c>
      <c r="F122" s="74">
        <v>54.16</v>
      </c>
      <c r="G122" s="75"/>
      <c r="H122" s="75"/>
      <c r="I122" s="75">
        <f t="shared" ref="I122" si="270">I120+G121</f>
        <v>18504.404999999995</v>
      </c>
      <c r="J122" s="76"/>
      <c r="K122" s="76"/>
      <c r="L122" s="76"/>
      <c r="M122" s="76"/>
      <c r="N122" s="77" t="s">
        <v>134</v>
      </c>
      <c r="O122" s="76"/>
      <c r="P122" s="76"/>
      <c r="Q122" s="75">
        <v>55.738999999999997</v>
      </c>
      <c r="R122" s="74" t="s">
        <v>134</v>
      </c>
      <c r="S122" s="75">
        <f t="shared" ref="S122" si="271">(G121+G123)</f>
        <v>773.029</v>
      </c>
      <c r="T122" s="78">
        <f t="shared" ref="T122" si="272">(G121+G123)/2</f>
        <v>386.5145</v>
      </c>
      <c r="U122" s="73">
        <v>215</v>
      </c>
      <c r="V122" s="74">
        <v>226</v>
      </c>
      <c r="W122" s="79">
        <f t="shared" ref="W122" si="273">U122+V122</f>
        <v>441</v>
      </c>
      <c r="X122" s="73">
        <v>205</v>
      </c>
      <c r="Y122" s="74">
        <v>222</v>
      </c>
      <c r="Z122" s="79">
        <f t="shared" ref="Z122" si="274">X122+Y122</f>
        <v>427</v>
      </c>
      <c r="AA122" s="80" t="s">
        <v>431</v>
      </c>
      <c r="AB122" s="81" t="s">
        <v>432</v>
      </c>
      <c r="AC122" s="82">
        <v>304411.53399999999</v>
      </c>
      <c r="AD122" s="83">
        <v>2868158.0839999998</v>
      </c>
      <c r="AE122" s="86"/>
      <c r="AF122" s="76" t="s">
        <v>433</v>
      </c>
      <c r="AG122" s="76"/>
      <c r="AH122" s="76"/>
      <c r="AI122" s="85"/>
    </row>
    <row r="123" spans="1:35" ht="23.25">
      <c r="A123" s="73"/>
      <c r="B123" s="74" t="s">
        <v>134</v>
      </c>
      <c r="C123" s="74"/>
      <c r="D123" s="74"/>
      <c r="E123" s="74"/>
      <c r="F123" s="74"/>
      <c r="G123" s="75">
        <v>422.029</v>
      </c>
      <c r="H123" s="74"/>
      <c r="I123" s="74"/>
      <c r="J123" s="76"/>
      <c r="K123" s="76"/>
      <c r="L123" s="76"/>
      <c r="M123" s="76"/>
      <c r="N123" s="77"/>
      <c r="O123" s="76"/>
      <c r="P123" s="76"/>
      <c r="Q123" s="75"/>
      <c r="R123" s="74"/>
      <c r="S123" s="75"/>
      <c r="T123" s="78"/>
      <c r="U123" s="73"/>
      <c r="V123" s="74"/>
      <c r="W123" s="79"/>
      <c r="X123" s="73"/>
      <c r="Y123" s="74"/>
      <c r="Z123" s="79"/>
      <c r="AA123" s="80"/>
      <c r="AB123" s="81"/>
      <c r="AC123" s="82"/>
      <c r="AD123" s="83"/>
      <c r="AE123" s="86" t="s">
        <v>434</v>
      </c>
      <c r="AF123" s="76"/>
      <c r="AG123" s="76"/>
      <c r="AH123" s="76"/>
      <c r="AI123" s="85"/>
    </row>
    <row r="124" spans="1:35" ht="23.25">
      <c r="A124" s="73">
        <v>58</v>
      </c>
      <c r="B124" s="74" t="s">
        <v>435</v>
      </c>
      <c r="C124" s="74" t="s">
        <v>436</v>
      </c>
      <c r="D124" s="74" t="s">
        <v>437</v>
      </c>
      <c r="E124" s="74" t="s">
        <v>993</v>
      </c>
      <c r="F124" s="74">
        <v>50.74</v>
      </c>
      <c r="G124" s="75"/>
      <c r="H124" s="75">
        <f>SUM(G121:G124)</f>
        <v>773.029</v>
      </c>
      <c r="I124" s="75">
        <f t="shared" ref="I124" si="275">I122+G123</f>
        <v>18926.433999999994</v>
      </c>
      <c r="J124" s="76"/>
      <c r="K124" s="76"/>
      <c r="L124" s="76"/>
      <c r="M124" s="76"/>
      <c r="N124" s="77" t="s">
        <v>134</v>
      </c>
      <c r="O124" s="76"/>
      <c r="P124" s="76"/>
      <c r="Q124" s="75">
        <v>55.604999999999997</v>
      </c>
      <c r="R124" s="74" t="s">
        <v>438</v>
      </c>
      <c r="S124" s="75">
        <f t="shared" ref="S124" si="276">(G123+G125)</f>
        <v>806.11500000000001</v>
      </c>
      <c r="T124" s="78">
        <f t="shared" ref="T124" si="277">(G123+G125)/2</f>
        <v>403.0575</v>
      </c>
      <c r="U124" s="73">
        <v>195</v>
      </c>
      <c r="V124" s="74">
        <v>209</v>
      </c>
      <c r="W124" s="79">
        <f t="shared" ref="W124" si="278">U124+V124</f>
        <v>404</v>
      </c>
      <c r="X124" s="73">
        <v>200</v>
      </c>
      <c r="Y124" s="74">
        <v>204</v>
      </c>
      <c r="Z124" s="79">
        <f t="shared" ref="Z124" si="279">X124+Y124</f>
        <v>404</v>
      </c>
      <c r="AA124" s="80" t="s">
        <v>439</v>
      </c>
      <c r="AB124" s="81" t="s">
        <v>440</v>
      </c>
      <c r="AC124" s="82">
        <v>304775.77600000001</v>
      </c>
      <c r="AD124" s="83">
        <v>2867944.926</v>
      </c>
      <c r="AE124" s="86"/>
      <c r="AF124" s="76" t="s">
        <v>441</v>
      </c>
      <c r="AG124" s="76"/>
      <c r="AH124" s="76"/>
      <c r="AI124" s="85"/>
    </row>
    <row r="125" spans="1:35" ht="23.25">
      <c r="A125" s="73"/>
      <c r="B125" s="74" t="s">
        <v>134</v>
      </c>
      <c r="C125" s="74"/>
      <c r="D125" s="74"/>
      <c r="E125" s="74"/>
      <c r="F125" s="74"/>
      <c r="G125" s="75">
        <v>384.08600000000001</v>
      </c>
      <c r="H125" s="74"/>
      <c r="I125" s="74"/>
      <c r="J125" s="76"/>
      <c r="K125" s="76"/>
      <c r="L125" s="76"/>
      <c r="M125" s="76"/>
      <c r="N125" s="77"/>
      <c r="O125" s="76"/>
      <c r="P125" s="76"/>
      <c r="Q125" s="75"/>
      <c r="R125" s="74"/>
      <c r="S125" s="75"/>
      <c r="T125" s="78"/>
      <c r="U125" s="73"/>
      <c r="V125" s="74"/>
      <c r="W125" s="79"/>
      <c r="X125" s="73"/>
      <c r="Y125" s="74"/>
      <c r="Z125" s="79"/>
      <c r="AA125" s="80"/>
      <c r="AB125" s="81"/>
      <c r="AC125" s="82"/>
      <c r="AD125" s="83"/>
      <c r="AE125" s="86"/>
      <c r="AF125" s="76"/>
      <c r="AG125" s="76"/>
      <c r="AH125" s="76"/>
      <c r="AI125" s="85"/>
    </row>
    <row r="126" spans="1:35" ht="23.25">
      <c r="A126" s="73">
        <v>59</v>
      </c>
      <c r="B126" s="74" t="s">
        <v>442</v>
      </c>
      <c r="C126" s="74" t="s">
        <v>443</v>
      </c>
      <c r="D126" s="74" t="s">
        <v>133</v>
      </c>
      <c r="E126" s="74" t="s">
        <v>993</v>
      </c>
      <c r="F126" s="74">
        <v>47.74</v>
      </c>
      <c r="G126" s="75"/>
      <c r="H126" s="75">
        <f>SUM(G125:G126)</f>
        <v>384.08600000000001</v>
      </c>
      <c r="I126" s="75">
        <f t="shared" ref="I126" si="280">I124+G125</f>
        <v>19310.519999999993</v>
      </c>
      <c r="J126" s="76"/>
      <c r="K126" s="76"/>
      <c r="L126" s="76"/>
      <c r="M126" s="76"/>
      <c r="N126" s="77" t="s">
        <v>134</v>
      </c>
      <c r="O126" s="76"/>
      <c r="P126" s="76"/>
      <c r="Q126" s="75">
        <v>55.154000000000003</v>
      </c>
      <c r="R126" s="74" t="s">
        <v>444</v>
      </c>
      <c r="S126" s="75">
        <f t="shared" ref="S126" si="281">(G125+G127)</f>
        <v>750.23700000000008</v>
      </c>
      <c r="T126" s="78">
        <f t="shared" ref="T126" si="282">(G125+G127)/2</f>
        <v>375.11850000000004</v>
      </c>
      <c r="U126" s="73">
        <v>171</v>
      </c>
      <c r="V126" s="74">
        <v>145</v>
      </c>
      <c r="W126" s="79">
        <f t="shared" ref="W126" si="283">U126+V126</f>
        <v>316</v>
      </c>
      <c r="X126" s="73">
        <v>177</v>
      </c>
      <c r="Y126" s="74">
        <v>156</v>
      </c>
      <c r="Z126" s="79">
        <f t="shared" ref="Z126" si="284">X126+Y126</f>
        <v>333</v>
      </c>
      <c r="AA126" s="80" t="s">
        <v>445</v>
      </c>
      <c r="AB126" s="81" t="s">
        <v>446</v>
      </c>
      <c r="AC126" s="82">
        <v>305146.30900000001</v>
      </c>
      <c r="AD126" s="83">
        <v>2867843.7969999998</v>
      </c>
      <c r="AE126" s="86"/>
      <c r="AF126" s="76" t="s">
        <v>433</v>
      </c>
      <c r="AG126" s="76"/>
      <c r="AH126" s="76"/>
      <c r="AI126" s="85"/>
    </row>
    <row r="127" spans="1:35" ht="23.25">
      <c r="A127" s="73"/>
      <c r="B127" s="74" t="s">
        <v>134</v>
      </c>
      <c r="C127" s="74"/>
      <c r="D127" s="74"/>
      <c r="E127" s="74"/>
      <c r="F127" s="74"/>
      <c r="G127" s="75">
        <v>366.15100000000001</v>
      </c>
      <c r="H127" s="74"/>
      <c r="I127" s="74"/>
      <c r="J127" s="76"/>
      <c r="K127" s="76"/>
      <c r="L127" s="76"/>
      <c r="M127" s="76"/>
      <c r="N127" s="77"/>
      <c r="O127" s="76"/>
      <c r="P127" s="76"/>
      <c r="Q127" s="75"/>
      <c r="R127" s="74"/>
      <c r="S127" s="75"/>
      <c r="T127" s="78"/>
      <c r="U127" s="73"/>
      <c r="V127" s="74"/>
      <c r="W127" s="79"/>
      <c r="X127" s="73"/>
      <c r="Y127" s="74"/>
      <c r="Z127" s="79"/>
      <c r="AA127" s="80"/>
      <c r="AB127" s="81"/>
      <c r="AC127" s="82"/>
      <c r="AD127" s="83"/>
      <c r="AE127" s="86" t="s">
        <v>447</v>
      </c>
      <c r="AF127" s="76"/>
      <c r="AG127" s="76"/>
      <c r="AH127" s="76"/>
      <c r="AI127" s="85"/>
    </row>
    <row r="128" spans="1:35" ht="23.25">
      <c r="A128" s="73">
        <v>60</v>
      </c>
      <c r="B128" s="74" t="s">
        <v>448</v>
      </c>
      <c r="C128" s="74" t="s">
        <v>72</v>
      </c>
      <c r="D128" s="74" t="s">
        <v>337</v>
      </c>
      <c r="E128" s="74" t="s">
        <v>993</v>
      </c>
      <c r="F128" s="74">
        <v>53.74</v>
      </c>
      <c r="G128" s="75"/>
      <c r="H128" s="75">
        <f>SUM(G127:G128)</f>
        <v>366.15100000000001</v>
      </c>
      <c r="I128" s="75">
        <f t="shared" ref="I128" si="285">I126+G127</f>
        <v>19676.670999999995</v>
      </c>
      <c r="J128" s="76"/>
      <c r="K128" s="76"/>
      <c r="L128" s="76"/>
      <c r="M128" s="76"/>
      <c r="N128" s="77" t="s">
        <v>134</v>
      </c>
      <c r="O128" s="76"/>
      <c r="P128" s="76"/>
      <c r="Q128" s="75">
        <v>55.36</v>
      </c>
      <c r="R128" s="74" t="s">
        <v>449</v>
      </c>
      <c r="S128" s="75">
        <f t="shared" ref="S128" si="286">(G127+G129)</f>
        <v>724.15100000000007</v>
      </c>
      <c r="T128" s="78">
        <f t="shared" ref="T128" si="287">(G127+G129)/2</f>
        <v>362.07550000000003</v>
      </c>
      <c r="U128" s="73">
        <v>218</v>
      </c>
      <c r="V128" s="74">
        <v>180</v>
      </c>
      <c r="W128" s="79">
        <f t="shared" ref="W128" si="288">U128+V128</f>
        <v>398</v>
      </c>
      <c r="X128" s="73">
        <v>207</v>
      </c>
      <c r="Y128" s="74">
        <v>180</v>
      </c>
      <c r="Z128" s="79">
        <f t="shared" ref="Z128" si="289">X128+Y128</f>
        <v>387</v>
      </c>
      <c r="AA128" s="80" t="s">
        <v>450</v>
      </c>
      <c r="AB128" s="81" t="s">
        <v>451</v>
      </c>
      <c r="AC128" s="82">
        <v>305433.83799999999</v>
      </c>
      <c r="AD128" s="83">
        <v>2868070.4989999998</v>
      </c>
      <c r="AE128" s="86"/>
      <c r="AF128" s="76" t="s">
        <v>441</v>
      </c>
      <c r="AG128" s="76"/>
      <c r="AH128" s="76"/>
      <c r="AI128" s="85"/>
    </row>
    <row r="129" spans="1:35" ht="23.25">
      <c r="A129" s="73"/>
      <c r="B129" s="74" t="s">
        <v>134</v>
      </c>
      <c r="C129" s="74"/>
      <c r="D129" s="74"/>
      <c r="E129" s="74"/>
      <c r="F129" s="74"/>
      <c r="G129" s="75">
        <v>358</v>
      </c>
      <c r="H129" s="74"/>
      <c r="I129" s="74"/>
      <c r="J129" s="76"/>
      <c r="K129" s="76"/>
      <c r="L129" s="76"/>
      <c r="M129" s="76"/>
      <c r="N129" s="77"/>
      <c r="O129" s="76"/>
      <c r="P129" s="76"/>
      <c r="Q129" s="75"/>
      <c r="R129" s="74"/>
      <c r="S129" s="75"/>
      <c r="T129" s="78"/>
      <c r="U129" s="73"/>
      <c r="V129" s="74"/>
      <c r="W129" s="79"/>
      <c r="X129" s="73"/>
      <c r="Y129" s="74"/>
      <c r="Z129" s="79"/>
      <c r="AA129" s="80"/>
      <c r="AB129" s="81"/>
      <c r="AC129" s="82"/>
      <c r="AD129" s="83"/>
      <c r="AE129" s="86" t="s">
        <v>342</v>
      </c>
      <c r="AF129" s="76"/>
      <c r="AG129" s="76"/>
      <c r="AH129" s="76"/>
      <c r="AI129" s="85"/>
    </row>
    <row r="130" spans="1:35" ht="23.25">
      <c r="A130" s="73">
        <v>61</v>
      </c>
      <c r="B130" s="74" t="s">
        <v>134</v>
      </c>
      <c r="C130" s="74" t="s">
        <v>452</v>
      </c>
      <c r="D130" s="74" t="s">
        <v>301</v>
      </c>
      <c r="E130" s="74" t="s">
        <v>993</v>
      </c>
      <c r="F130" s="74">
        <v>54.16</v>
      </c>
      <c r="G130" s="75"/>
      <c r="H130" s="75"/>
      <c r="I130" s="75">
        <f t="shared" ref="I130" si="290">I128+G129</f>
        <v>20034.670999999995</v>
      </c>
      <c r="J130" s="76"/>
      <c r="K130" s="76"/>
      <c r="L130" s="76"/>
      <c r="M130" s="76"/>
      <c r="N130" s="77" t="s">
        <v>134</v>
      </c>
      <c r="O130" s="76"/>
      <c r="P130" s="76"/>
      <c r="Q130" s="75">
        <v>55.063000000000002</v>
      </c>
      <c r="R130" s="74" t="s">
        <v>134</v>
      </c>
      <c r="S130" s="75">
        <f t="shared" ref="S130" si="291">(G129+G131)</f>
        <v>762.49700000000007</v>
      </c>
      <c r="T130" s="78">
        <f t="shared" ref="T130" si="292">(G129+G131)/2</f>
        <v>381.24850000000004</v>
      </c>
      <c r="U130" s="73">
        <v>177</v>
      </c>
      <c r="V130" s="74">
        <v>218</v>
      </c>
      <c r="W130" s="79">
        <f t="shared" ref="W130" si="293">U130+V130</f>
        <v>395</v>
      </c>
      <c r="X130" s="73">
        <v>178</v>
      </c>
      <c r="Y130" s="74">
        <v>214</v>
      </c>
      <c r="Z130" s="79">
        <f t="shared" ref="Z130" si="294">X130+Y130</f>
        <v>392</v>
      </c>
      <c r="AA130" s="80" t="s">
        <v>453</v>
      </c>
      <c r="AB130" s="81" t="s">
        <v>454</v>
      </c>
      <c r="AC130" s="82">
        <v>305670.58399999997</v>
      </c>
      <c r="AD130" s="83">
        <v>2868339.0419999999</v>
      </c>
      <c r="AE130" s="86"/>
      <c r="AF130" s="76" t="s">
        <v>441</v>
      </c>
      <c r="AG130" s="76"/>
      <c r="AH130" s="76"/>
      <c r="AI130" s="85"/>
    </row>
    <row r="131" spans="1:35" ht="33.6" customHeight="1">
      <c r="A131" s="73"/>
      <c r="B131" s="74" t="s">
        <v>134</v>
      </c>
      <c r="C131" s="74"/>
      <c r="D131" s="74"/>
      <c r="E131" s="74"/>
      <c r="F131" s="74"/>
      <c r="G131" s="75">
        <v>404.49700000000001</v>
      </c>
      <c r="H131" s="74"/>
      <c r="I131" s="74"/>
      <c r="J131" s="76"/>
      <c r="K131" s="76"/>
      <c r="L131" s="76"/>
      <c r="M131" s="76"/>
      <c r="N131" s="77"/>
      <c r="O131" s="76"/>
      <c r="P131" s="76"/>
      <c r="Q131" s="75"/>
      <c r="R131" s="74"/>
      <c r="S131" s="75"/>
      <c r="T131" s="78"/>
      <c r="U131" s="73"/>
      <c r="V131" s="74"/>
      <c r="W131" s="79"/>
      <c r="X131" s="73"/>
      <c r="Y131" s="74"/>
      <c r="Z131" s="79"/>
      <c r="AA131" s="80"/>
      <c r="AB131" s="81"/>
      <c r="AC131" s="82"/>
      <c r="AD131" s="83"/>
      <c r="AE131" s="86" t="s">
        <v>455</v>
      </c>
      <c r="AF131" s="76"/>
      <c r="AG131" s="76"/>
      <c r="AH131" s="76"/>
      <c r="AI131" s="85"/>
    </row>
    <row r="132" spans="1:35" ht="23.25">
      <c r="A132" s="73">
        <v>62</v>
      </c>
      <c r="B132" s="74" t="s">
        <v>456</v>
      </c>
      <c r="C132" s="74" t="s">
        <v>457</v>
      </c>
      <c r="D132" s="74" t="s">
        <v>344</v>
      </c>
      <c r="E132" s="74" t="s">
        <v>982</v>
      </c>
      <c r="F132" s="74">
        <v>50.74</v>
      </c>
      <c r="G132" s="75"/>
      <c r="H132" s="75">
        <f>SUM(G129:G132)</f>
        <v>762.49700000000007</v>
      </c>
      <c r="I132" s="75">
        <f t="shared" ref="I132" si="295">I130+G131</f>
        <v>20439.167999999994</v>
      </c>
      <c r="J132" s="76"/>
      <c r="K132" s="76"/>
      <c r="L132" s="76"/>
      <c r="M132" s="76"/>
      <c r="N132" s="77" t="s">
        <v>134</v>
      </c>
      <c r="O132" s="76"/>
      <c r="P132" s="76"/>
      <c r="Q132" s="75">
        <v>55.392000000000003</v>
      </c>
      <c r="R132" s="74" t="s">
        <v>458</v>
      </c>
      <c r="S132" s="75">
        <f t="shared" ref="S132" si="296">(G131+G133)</f>
        <v>743.65899999999999</v>
      </c>
      <c r="T132" s="78">
        <f t="shared" ref="T132" si="297">(G131+G133)/2</f>
        <v>371.8295</v>
      </c>
      <c r="U132" s="73">
        <v>190</v>
      </c>
      <c r="V132" s="74">
        <v>193</v>
      </c>
      <c r="W132" s="79">
        <f t="shared" ref="W132" si="298">U132+V132</f>
        <v>383</v>
      </c>
      <c r="X132" s="73">
        <v>194</v>
      </c>
      <c r="Y132" s="74">
        <v>187</v>
      </c>
      <c r="Z132" s="79">
        <f t="shared" ref="Z132" si="299">X132+Y132</f>
        <v>381</v>
      </c>
      <c r="AA132" s="80" t="s">
        <v>459</v>
      </c>
      <c r="AB132" s="81" t="s">
        <v>460</v>
      </c>
      <c r="AC132" s="82">
        <v>305938.07900000003</v>
      </c>
      <c r="AD132" s="83">
        <v>2868642.463</v>
      </c>
      <c r="AE132" s="86"/>
      <c r="AF132" s="76" t="s">
        <v>461</v>
      </c>
      <c r="AG132" s="76"/>
      <c r="AH132" s="76"/>
      <c r="AI132" s="85"/>
    </row>
    <row r="133" spans="1:35" ht="34.15" customHeight="1">
      <c r="A133" s="73"/>
      <c r="B133" s="74" t="s">
        <v>134</v>
      </c>
      <c r="C133" s="74"/>
      <c r="D133" s="74"/>
      <c r="E133" s="74"/>
      <c r="F133" s="74"/>
      <c r="G133" s="75">
        <v>339.16199999999998</v>
      </c>
      <c r="H133" s="74"/>
      <c r="I133" s="74"/>
      <c r="J133" s="76"/>
      <c r="K133" s="76"/>
      <c r="L133" s="76"/>
      <c r="M133" s="76"/>
      <c r="N133" s="77"/>
      <c r="O133" s="76"/>
      <c r="P133" s="76"/>
      <c r="Q133" s="75"/>
      <c r="R133" s="74"/>
      <c r="S133" s="75"/>
      <c r="T133" s="78"/>
      <c r="U133" s="73"/>
      <c r="V133" s="74"/>
      <c r="W133" s="79"/>
      <c r="X133" s="73"/>
      <c r="Y133" s="74"/>
      <c r="Z133" s="79"/>
      <c r="AA133" s="80"/>
      <c r="AB133" s="81"/>
      <c r="AC133" s="82"/>
      <c r="AD133" s="83"/>
      <c r="AE133" s="86" t="s">
        <v>462</v>
      </c>
      <c r="AF133" s="76"/>
      <c r="AG133" s="76"/>
      <c r="AH133" s="76"/>
      <c r="AI133" s="85"/>
    </row>
    <row r="134" spans="1:35" ht="24" thickBot="1">
      <c r="A134" s="91">
        <v>63</v>
      </c>
      <c r="B134" s="92" t="s">
        <v>463</v>
      </c>
      <c r="C134" s="92" t="s">
        <v>73</v>
      </c>
      <c r="D134" s="92" t="s">
        <v>133</v>
      </c>
      <c r="E134" s="92" t="s">
        <v>982</v>
      </c>
      <c r="F134" s="92">
        <v>47.74</v>
      </c>
      <c r="G134" s="93"/>
      <c r="H134" s="93">
        <f>SUM(G133:G134)</f>
        <v>339.16199999999998</v>
      </c>
      <c r="I134" s="93">
        <f t="shared" ref="I134" si="300">I132+G133</f>
        <v>20778.329999999994</v>
      </c>
      <c r="J134" s="94"/>
      <c r="K134" s="94"/>
      <c r="L134" s="94"/>
      <c r="M134" s="94"/>
      <c r="N134" s="95" t="s">
        <v>134</v>
      </c>
      <c r="O134" s="94"/>
      <c r="P134" s="94"/>
      <c r="Q134" s="93">
        <v>55.177</v>
      </c>
      <c r="R134" s="92" t="s">
        <v>464</v>
      </c>
      <c r="S134" s="93">
        <f>(G133)</f>
        <v>339.16199999999998</v>
      </c>
      <c r="T134" s="96">
        <f>(G133)/2</f>
        <v>169.58099999999999</v>
      </c>
      <c r="U134" s="91">
        <v>153</v>
      </c>
      <c r="V134" s="92">
        <v>182</v>
      </c>
      <c r="W134" s="97">
        <f t="shared" ref="W134" si="301">U134+V134</f>
        <v>335</v>
      </c>
      <c r="X134" s="91">
        <v>160</v>
      </c>
      <c r="Y134" s="92">
        <v>182</v>
      </c>
      <c r="Z134" s="97">
        <f t="shared" ref="Z134" si="302">X134+Y134</f>
        <v>342</v>
      </c>
      <c r="AA134" s="98" t="s">
        <v>465</v>
      </c>
      <c r="AB134" s="99" t="s">
        <v>466</v>
      </c>
      <c r="AC134" s="100">
        <v>306272.80900000001</v>
      </c>
      <c r="AD134" s="101">
        <v>2868697.111</v>
      </c>
      <c r="AE134" s="102"/>
      <c r="AF134" s="94" t="s">
        <v>467</v>
      </c>
      <c r="AG134" s="94"/>
      <c r="AH134" s="94"/>
      <c r="AI134" s="103"/>
    </row>
    <row r="135" spans="1:35" ht="24" thickBot="1">
      <c r="A135" s="104"/>
      <c r="B135" s="105"/>
      <c r="C135" s="105"/>
      <c r="D135" s="1874" t="s">
        <v>468</v>
      </c>
      <c r="E135" s="1874"/>
      <c r="F135" s="1875"/>
      <c r="G135" s="106">
        <f>SUM(G10:G134)/1000</f>
        <v>20.778329999999993</v>
      </c>
      <c r="H135" s="107" t="s">
        <v>469</v>
      </c>
      <c r="I135" s="108"/>
      <c r="J135" s="109"/>
      <c r="K135" s="109"/>
      <c r="L135" s="109"/>
      <c r="M135" s="109"/>
      <c r="N135" s="105"/>
      <c r="O135" s="109"/>
      <c r="P135" s="109"/>
      <c r="Q135" s="105"/>
      <c r="R135" s="105"/>
      <c r="S135" s="110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11"/>
      <c r="AD135" s="111"/>
      <c r="AE135" s="112"/>
      <c r="AF135" s="109"/>
      <c r="AG135" s="109"/>
      <c r="AH135" s="109"/>
      <c r="AI135" s="113"/>
    </row>
    <row r="136" spans="1:35" ht="27" customHeight="1" thickBot="1">
      <c r="A136" s="1860" t="s">
        <v>470</v>
      </c>
      <c r="B136" s="1861"/>
      <c r="C136" s="1861"/>
      <c r="D136" s="1861"/>
      <c r="E136" s="1861"/>
      <c r="F136" s="1861"/>
      <c r="G136" s="1861"/>
      <c r="H136" s="1861"/>
      <c r="I136" s="1861"/>
      <c r="J136" s="1861"/>
      <c r="K136" s="1861"/>
      <c r="L136" s="1861"/>
      <c r="M136" s="1861"/>
      <c r="N136" s="1861"/>
      <c r="O136" s="1861"/>
      <c r="P136" s="1861"/>
      <c r="Q136" s="1861"/>
      <c r="R136" s="1861"/>
      <c r="S136" s="1862"/>
      <c r="T136" s="1863" t="s">
        <v>471</v>
      </c>
      <c r="U136" s="1864"/>
      <c r="V136" s="1864"/>
      <c r="W136" s="1864"/>
      <c r="X136" s="1864"/>
      <c r="Y136" s="1864"/>
      <c r="Z136" s="1864"/>
      <c r="AA136" s="1864"/>
      <c r="AB136" s="1864"/>
      <c r="AC136" s="1864"/>
      <c r="AD136" s="1864"/>
      <c r="AE136" s="1864"/>
      <c r="AF136" s="1864"/>
      <c r="AG136" s="1864"/>
      <c r="AH136" s="1864"/>
      <c r="AI136" s="1865"/>
    </row>
    <row r="137" spans="1:35" ht="29.45" customHeight="1" thickBot="1">
      <c r="A137" s="1852" t="s">
        <v>472</v>
      </c>
      <c r="B137" s="1853"/>
      <c r="C137" s="1853"/>
      <c r="D137" s="1854"/>
      <c r="E137" s="398"/>
      <c r="F137" s="1816" t="s">
        <v>473</v>
      </c>
      <c r="G137" s="1817"/>
      <c r="H137" s="1817"/>
      <c r="I137" s="1818"/>
      <c r="J137" s="114" t="s">
        <v>474</v>
      </c>
      <c r="K137" s="114" t="s">
        <v>474</v>
      </c>
      <c r="L137" s="114" t="s">
        <v>474</v>
      </c>
      <c r="M137" s="114" t="s">
        <v>474</v>
      </c>
      <c r="N137" s="1816" t="s">
        <v>474</v>
      </c>
      <c r="O137" s="1817"/>
      <c r="P137" s="1817"/>
      <c r="Q137" s="1817"/>
      <c r="R137" s="1817"/>
      <c r="S137" s="1818"/>
      <c r="T137" s="1816" t="s">
        <v>473</v>
      </c>
      <c r="U137" s="1817"/>
      <c r="V137" s="1817"/>
      <c r="W137" s="1817"/>
      <c r="X137" s="1818"/>
      <c r="Y137" s="1822" t="s">
        <v>475</v>
      </c>
      <c r="Z137" s="1823"/>
      <c r="AA137" s="1823"/>
      <c r="AB137" s="1823"/>
      <c r="AC137" s="1823"/>
      <c r="AD137" s="1824"/>
      <c r="AE137" s="1822" t="s">
        <v>476</v>
      </c>
      <c r="AF137" s="1823"/>
      <c r="AG137" s="1823"/>
      <c r="AH137" s="1823"/>
      <c r="AI137" s="1824"/>
    </row>
    <row r="138" spans="1:35" ht="160.15" customHeight="1" thickBot="1">
      <c r="A138" s="1852"/>
      <c r="B138" s="1853"/>
      <c r="C138" s="1853"/>
      <c r="D138" s="1855"/>
      <c r="E138" s="398"/>
      <c r="F138" s="1813"/>
      <c r="G138" s="1814"/>
      <c r="H138" s="1814"/>
      <c r="I138" s="1815"/>
      <c r="J138" s="115"/>
      <c r="K138" s="115"/>
      <c r="L138" s="115"/>
      <c r="M138" s="115"/>
      <c r="N138" s="1813"/>
      <c r="O138" s="1814"/>
      <c r="P138" s="1814"/>
      <c r="Q138" s="1814"/>
      <c r="R138" s="1814"/>
      <c r="S138" s="1815"/>
      <c r="T138" s="1813"/>
      <c r="U138" s="1814"/>
      <c r="V138" s="1814"/>
      <c r="W138" s="1814"/>
      <c r="X138" s="1815"/>
      <c r="Y138" s="1813"/>
      <c r="Z138" s="1814"/>
      <c r="AA138" s="1814"/>
      <c r="AB138" s="1814"/>
      <c r="AC138" s="1814"/>
      <c r="AD138" s="1815"/>
      <c r="AE138" s="1849"/>
      <c r="AF138" s="1850"/>
      <c r="AG138" s="1850"/>
      <c r="AH138" s="1850"/>
      <c r="AI138" s="1851"/>
    </row>
    <row r="139" spans="1:35">
      <c r="A139" s="116"/>
      <c r="N139" s="117"/>
      <c r="AI139" s="118"/>
    </row>
    <row r="140" spans="1:35" ht="15.75">
      <c r="A140" s="116"/>
      <c r="F140" s="119" t="s">
        <v>477</v>
      </c>
      <c r="G140" s="120"/>
      <c r="H140" s="120"/>
      <c r="N140" s="117"/>
      <c r="AI140" s="118"/>
    </row>
    <row r="141" spans="1:35" ht="15.75" thickBot="1">
      <c r="A141" s="116"/>
      <c r="F141" s="117"/>
      <c r="G141" s="117"/>
      <c r="N141" s="117"/>
      <c r="AI141" s="118"/>
    </row>
    <row r="142" spans="1:35">
      <c r="A142" s="116"/>
      <c r="F142" s="121" t="s">
        <v>153</v>
      </c>
      <c r="G142" s="122" t="s">
        <v>478</v>
      </c>
      <c r="H142" s="123">
        <f t="shared" ref="H142:H159" si="303">COUNTIF($D$10:$D$1321,F142)</f>
        <v>16</v>
      </c>
      <c r="N142" s="117"/>
      <c r="AI142" s="118"/>
    </row>
    <row r="143" spans="1:35">
      <c r="A143" s="116"/>
      <c r="F143" s="124" t="s">
        <v>187</v>
      </c>
      <c r="G143" s="125" t="s">
        <v>478</v>
      </c>
      <c r="H143" s="126">
        <f t="shared" si="303"/>
        <v>5</v>
      </c>
      <c r="N143" s="117"/>
      <c r="AI143" s="118"/>
    </row>
    <row r="144" spans="1:35" ht="15" customHeight="1">
      <c r="A144" s="116"/>
      <c r="F144" s="124" t="s">
        <v>301</v>
      </c>
      <c r="G144" s="125" t="s">
        <v>478</v>
      </c>
      <c r="H144" s="126">
        <f t="shared" si="303"/>
        <v>6</v>
      </c>
      <c r="N144" s="117"/>
      <c r="AI144" s="118"/>
    </row>
    <row r="145" spans="1:35">
      <c r="A145" s="116"/>
      <c r="F145" s="124" t="s">
        <v>251</v>
      </c>
      <c r="G145" s="125" t="s">
        <v>478</v>
      </c>
      <c r="H145" s="126">
        <f t="shared" si="303"/>
        <v>1</v>
      </c>
      <c r="N145" s="117"/>
      <c r="AI145" s="118"/>
    </row>
    <row r="146" spans="1:35">
      <c r="A146" s="116"/>
      <c r="F146" s="124" t="s">
        <v>193</v>
      </c>
      <c r="G146" s="125" t="s">
        <v>478</v>
      </c>
      <c r="H146" s="126">
        <f t="shared" si="303"/>
        <v>3</v>
      </c>
      <c r="N146" s="117"/>
      <c r="AI146" s="118"/>
    </row>
    <row r="147" spans="1:35">
      <c r="A147" s="116"/>
      <c r="F147" s="124" t="s">
        <v>245</v>
      </c>
      <c r="G147" s="125" t="s">
        <v>478</v>
      </c>
      <c r="H147" s="126">
        <f t="shared" si="303"/>
        <v>3</v>
      </c>
      <c r="N147" s="117"/>
      <c r="AI147" s="118"/>
    </row>
    <row r="148" spans="1:35">
      <c r="A148" s="116"/>
      <c r="F148" s="124" t="s">
        <v>337</v>
      </c>
      <c r="G148" s="125" t="s">
        <v>478</v>
      </c>
      <c r="H148" s="126">
        <f t="shared" si="303"/>
        <v>2</v>
      </c>
      <c r="N148" s="117"/>
      <c r="AI148" s="118"/>
    </row>
    <row r="149" spans="1:35">
      <c r="A149" s="116"/>
      <c r="F149" s="124" t="s">
        <v>479</v>
      </c>
      <c r="G149" s="125" t="s">
        <v>478</v>
      </c>
      <c r="H149" s="126">
        <f t="shared" si="303"/>
        <v>0</v>
      </c>
      <c r="N149" s="117"/>
      <c r="AI149" s="118"/>
    </row>
    <row r="150" spans="1:35">
      <c r="A150" s="116"/>
      <c r="F150" s="124" t="s">
        <v>167</v>
      </c>
      <c r="G150" s="125" t="s">
        <v>478</v>
      </c>
      <c r="H150" s="126">
        <f t="shared" si="303"/>
        <v>4</v>
      </c>
      <c r="N150" s="117"/>
      <c r="AI150" s="118"/>
    </row>
    <row r="151" spans="1:35">
      <c r="A151" s="116"/>
      <c r="F151" s="124" t="s">
        <v>437</v>
      </c>
      <c r="G151" s="125" t="s">
        <v>478</v>
      </c>
      <c r="H151" s="126">
        <f t="shared" si="303"/>
        <v>1</v>
      </c>
      <c r="N151" s="117"/>
      <c r="AI151" s="118"/>
    </row>
    <row r="152" spans="1:35">
      <c r="A152" s="116"/>
      <c r="F152" s="124" t="s">
        <v>264</v>
      </c>
      <c r="G152" s="125" t="s">
        <v>478</v>
      </c>
      <c r="H152" s="126">
        <f t="shared" si="303"/>
        <v>2</v>
      </c>
      <c r="N152" s="117"/>
      <c r="AI152" s="118"/>
    </row>
    <row r="153" spans="1:35" ht="15" customHeight="1">
      <c r="A153" s="116"/>
      <c r="F153" s="124" t="s">
        <v>480</v>
      </c>
      <c r="G153" s="125" t="s">
        <v>478</v>
      </c>
      <c r="H153" s="126">
        <f t="shared" si="303"/>
        <v>0</v>
      </c>
      <c r="N153" s="117"/>
      <c r="AI153" s="118"/>
    </row>
    <row r="154" spans="1:35">
      <c r="A154" s="116"/>
      <c r="F154" s="124" t="s">
        <v>133</v>
      </c>
      <c r="G154" s="125" t="s">
        <v>478</v>
      </c>
      <c r="H154" s="126">
        <f t="shared" si="303"/>
        <v>11</v>
      </c>
      <c r="N154" s="117"/>
      <c r="AI154" s="118"/>
    </row>
    <row r="155" spans="1:35">
      <c r="A155" s="116"/>
      <c r="F155" s="124" t="s">
        <v>281</v>
      </c>
      <c r="G155" s="125" t="s">
        <v>478</v>
      </c>
      <c r="H155" s="126">
        <f t="shared" si="303"/>
        <v>2</v>
      </c>
      <c r="N155" s="117"/>
      <c r="AI155" s="118"/>
    </row>
    <row r="156" spans="1:35">
      <c r="A156" s="116"/>
      <c r="F156" s="124" t="s">
        <v>287</v>
      </c>
      <c r="G156" s="125" t="s">
        <v>478</v>
      </c>
      <c r="H156" s="126">
        <f t="shared" si="303"/>
        <v>1</v>
      </c>
      <c r="N156" s="117"/>
      <c r="AI156" s="118"/>
    </row>
    <row r="157" spans="1:35">
      <c r="A157" s="116"/>
      <c r="F157" s="124" t="s">
        <v>344</v>
      </c>
      <c r="G157" s="125" t="s">
        <v>478</v>
      </c>
      <c r="H157" s="126">
        <f t="shared" si="303"/>
        <v>4</v>
      </c>
      <c r="N157" s="117"/>
      <c r="AI157" s="118"/>
    </row>
    <row r="158" spans="1:35">
      <c r="A158" s="116"/>
      <c r="F158" s="124" t="s">
        <v>257</v>
      </c>
      <c r="G158" s="125" t="s">
        <v>478</v>
      </c>
      <c r="H158" s="126">
        <f t="shared" si="303"/>
        <v>1</v>
      </c>
      <c r="N158" s="117"/>
      <c r="AI158" s="118"/>
    </row>
    <row r="159" spans="1:35">
      <c r="A159" s="116"/>
      <c r="F159" s="124" t="s">
        <v>357</v>
      </c>
      <c r="G159" s="125" t="s">
        <v>478</v>
      </c>
      <c r="H159" s="126">
        <f t="shared" si="303"/>
        <v>1</v>
      </c>
      <c r="N159" s="117"/>
      <c r="AI159" s="118"/>
    </row>
    <row r="160" spans="1:35" ht="16.5" thickBot="1">
      <c r="A160" s="127"/>
      <c r="B160" s="109"/>
      <c r="C160" s="109"/>
      <c r="D160" s="109"/>
      <c r="E160" s="109"/>
      <c r="F160" s="128" t="s">
        <v>128</v>
      </c>
      <c r="G160" s="129" t="s">
        <v>478</v>
      </c>
      <c r="H160" s="130">
        <f>SUM(H142:H159)</f>
        <v>63</v>
      </c>
      <c r="I160" s="109"/>
      <c r="J160" s="109"/>
      <c r="K160" s="109"/>
      <c r="L160" s="109"/>
      <c r="M160" s="109"/>
      <c r="N160" s="105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31"/>
    </row>
  </sheetData>
  <autoFilter ref="A9:AI137"/>
  <mergeCells count="49">
    <mergeCell ref="A6:AE6"/>
    <mergeCell ref="A1:AE1"/>
    <mergeCell ref="A2:AE2"/>
    <mergeCell ref="A3:AE3"/>
    <mergeCell ref="A4:AE4"/>
    <mergeCell ref="A5:AE5"/>
    <mergeCell ref="AH7:AI7"/>
    <mergeCell ref="A8:A9"/>
    <mergeCell ref="B8:B9"/>
    <mergeCell ref="C8:C9"/>
    <mergeCell ref="D8:D9"/>
    <mergeCell ref="F8:F9"/>
    <mergeCell ref="G8:G9"/>
    <mergeCell ref="H8:H9"/>
    <mergeCell ref="I8:I9"/>
    <mergeCell ref="J8:M8"/>
    <mergeCell ref="AB8:AB9"/>
    <mergeCell ref="AC8:AD8"/>
    <mergeCell ref="N8:N9"/>
    <mergeCell ref="O8:O9"/>
    <mergeCell ref="P8:P9"/>
    <mergeCell ref="Q8:Q9"/>
    <mergeCell ref="R8:R9"/>
    <mergeCell ref="S8:S9"/>
    <mergeCell ref="D135:F135"/>
    <mergeCell ref="T8:T9"/>
    <mergeCell ref="U8:W8"/>
    <mergeCell ref="E8:E9"/>
    <mergeCell ref="X8:Z8"/>
    <mergeCell ref="AA8:AA9"/>
    <mergeCell ref="AE8:AE9"/>
    <mergeCell ref="AF8:AF9"/>
    <mergeCell ref="AG8:AG9"/>
    <mergeCell ref="AH8:AH9"/>
    <mergeCell ref="AI8:AI9"/>
    <mergeCell ref="AE138:AI138"/>
    <mergeCell ref="A136:S136"/>
    <mergeCell ref="T136:AI136"/>
    <mergeCell ref="A137:D137"/>
    <mergeCell ref="F137:I137"/>
    <mergeCell ref="N137:S137"/>
    <mergeCell ref="T137:X137"/>
    <mergeCell ref="Y137:AD137"/>
    <mergeCell ref="AE137:AI137"/>
    <mergeCell ref="A138:D138"/>
    <mergeCell ref="F138:I138"/>
    <mergeCell ref="N138:S138"/>
    <mergeCell ref="T138:X138"/>
    <mergeCell ref="Y138:AD138"/>
  </mergeCells>
  <conditionalFormatting sqref="AI10:AI23 AI25:AI91 AI93:AI134">
    <cfRule type="containsText" dxfId="95" priority="1" operator="containsText" text="11,LT,RC">
      <formula>NOT(ISERROR(SEARCH("11,LT,RC",AI10)))</formula>
    </cfRule>
    <cfRule type="containsText" dxfId="94" priority="2" operator="containsText" text="text">
      <formula>NOT(ISERROR(SEARCH("text",AI10)))</formula>
    </cfRule>
  </conditionalFormatting>
  <printOptions horizontalCentered="1"/>
  <pageMargins left="0" right="0" top="0.39370078740157483" bottom="1.9685039370078741" header="0" footer="0"/>
  <pageSetup paperSize="9" scale="44" orientation="landscape" r:id="rId1"/>
  <headerFooter>
    <oddHeader xml:space="preserve">&amp;R
Page &amp;P of &amp;N        </oddHeader>
  </headerFooter>
  <rowBreaks count="1" manualBreakCount="1">
    <brk id="126" max="3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H120"/>
  <sheetViews>
    <sheetView view="pageBreakPreview" zoomScale="85" zoomScaleNormal="85" zoomScaleSheetLayoutView="85" workbookViewId="0">
      <pane xSplit="3" ySplit="9" topLeftCell="T10" activePane="bottomRight" state="frozen"/>
      <selection pane="topRight" activeCell="D1" sqref="D1"/>
      <selection pane="bottomLeft" activeCell="A9" sqref="A9"/>
      <selection pane="bottomRight" activeCell="AH13" sqref="AH13"/>
    </sheetView>
  </sheetViews>
  <sheetFormatPr defaultRowHeight="15"/>
  <cols>
    <col min="1" max="1" width="9.140625" style="117"/>
    <col min="3" max="3" width="9.42578125" customWidth="1"/>
    <col min="4" max="4" width="18.28515625" bestFit="1" customWidth="1"/>
    <col min="5" max="5" width="10.140625" customWidth="1"/>
    <col min="6" max="6" width="11.42578125" customWidth="1"/>
    <col min="7" max="7" width="16.85546875" customWidth="1"/>
    <col min="8" max="8" width="12" customWidth="1"/>
    <col min="9" max="11" width="10.140625" hidden="1" customWidth="1"/>
    <col min="12" max="12" width="1.7109375" hidden="1" customWidth="1"/>
    <col min="13" max="13" width="11.5703125" style="117" customWidth="1"/>
    <col min="14" max="15" width="10.140625" hidden="1" customWidth="1"/>
    <col min="16" max="16" width="10.140625" customWidth="1"/>
    <col min="17" max="17" width="14.28515625" customWidth="1"/>
    <col min="18" max="18" width="12" customWidth="1"/>
    <col min="19" max="19" width="10.140625" customWidth="1"/>
    <col min="20" max="20" width="11" customWidth="1"/>
    <col min="21" max="21" width="10.5703125" customWidth="1"/>
    <col min="22" max="22" width="11.140625" customWidth="1"/>
    <col min="23" max="25" width="10.140625" customWidth="1"/>
    <col min="26" max="26" width="16.5703125" hidden="1" customWidth="1"/>
    <col min="27" max="27" width="15.85546875" hidden="1" customWidth="1"/>
    <col min="28" max="28" width="15.5703125" customWidth="1"/>
    <col min="29" max="29" width="16.85546875" customWidth="1"/>
    <col min="30" max="30" width="40.5703125" customWidth="1"/>
    <col min="31" max="31" width="24.42578125" customWidth="1"/>
    <col min="32" max="33" width="10.140625" hidden="1" customWidth="1"/>
    <col min="34" max="34" width="32" customWidth="1"/>
  </cols>
  <sheetData>
    <row r="1" spans="1:34" ht="20.25">
      <c r="A1" s="1786" t="s">
        <v>865</v>
      </c>
      <c r="B1" s="1787"/>
      <c r="C1" s="1787"/>
      <c r="D1" s="1787"/>
      <c r="E1" s="1787"/>
      <c r="F1" s="1787"/>
      <c r="G1" s="1787"/>
      <c r="H1" s="1787"/>
      <c r="I1" s="1787"/>
      <c r="J1" s="1787"/>
      <c r="K1" s="1787"/>
      <c r="L1" s="1787"/>
      <c r="M1" s="1787"/>
      <c r="N1" s="1787"/>
      <c r="O1" s="1787"/>
      <c r="P1" s="1787"/>
      <c r="Q1" s="1787"/>
      <c r="R1" s="1787"/>
      <c r="S1" s="1787"/>
      <c r="T1" s="1787"/>
      <c r="U1" s="1787"/>
      <c r="V1" s="1787"/>
      <c r="W1" s="1787"/>
      <c r="X1" s="1787"/>
      <c r="Y1" s="1787"/>
      <c r="Z1" s="1787"/>
      <c r="AA1" s="1787"/>
      <c r="AB1" s="1787"/>
      <c r="AC1" s="1787"/>
      <c r="AD1" s="1787"/>
      <c r="AE1" s="39"/>
      <c r="AF1" s="39"/>
      <c r="AG1" s="39"/>
      <c r="AH1" s="41"/>
    </row>
    <row r="2" spans="1:34" ht="20.25">
      <c r="A2" s="1788" t="s">
        <v>88</v>
      </c>
      <c r="B2" s="1789"/>
      <c r="C2" s="1789"/>
      <c r="D2" s="1789"/>
      <c r="E2" s="1789"/>
      <c r="F2" s="1789"/>
      <c r="G2" s="1789"/>
      <c r="H2" s="1789"/>
      <c r="I2" s="1789"/>
      <c r="J2" s="1789"/>
      <c r="K2" s="1789"/>
      <c r="L2" s="1789"/>
      <c r="M2" s="1789"/>
      <c r="N2" s="1789"/>
      <c r="O2" s="1789"/>
      <c r="P2" s="1789"/>
      <c r="Q2" s="1789"/>
      <c r="R2" s="1789"/>
      <c r="S2" s="1789"/>
      <c r="T2" s="1789"/>
      <c r="U2" s="1789"/>
      <c r="V2" s="1789"/>
      <c r="W2" s="1789"/>
      <c r="X2" s="1789"/>
      <c r="Y2" s="1789"/>
      <c r="Z2" s="1789"/>
      <c r="AA2" s="1789"/>
      <c r="AB2" s="1789"/>
      <c r="AC2" s="1789"/>
      <c r="AD2" s="1789"/>
      <c r="AE2" s="42"/>
      <c r="AF2" s="42"/>
      <c r="AG2" s="42"/>
      <c r="AH2" s="45"/>
    </row>
    <row r="3" spans="1:34" ht="23.25" customHeight="1">
      <c r="A3" s="1788" t="s">
        <v>89</v>
      </c>
      <c r="B3" s="1789"/>
      <c r="C3" s="1789"/>
      <c r="D3" s="1789"/>
      <c r="E3" s="1789"/>
      <c r="F3" s="1789"/>
      <c r="G3" s="1789"/>
      <c r="H3" s="1789"/>
      <c r="I3" s="1789"/>
      <c r="J3" s="1789"/>
      <c r="K3" s="1789"/>
      <c r="L3" s="1789"/>
      <c r="M3" s="1789"/>
      <c r="N3" s="1789"/>
      <c r="O3" s="1789"/>
      <c r="P3" s="1789"/>
      <c r="Q3" s="1789"/>
      <c r="R3" s="1789"/>
      <c r="S3" s="1789"/>
      <c r="T3" s="1789"/>
      <c r="U3" s="1789"/>
      <c r="V3" s="1789"/>
      <c r="W3" s="1789"/>
      <c r="X3" s="1789"/>
      <c r="Y3" s="1789"/>
      <c r="Z3" s="1789"/>
      <c r="AA3" s="1789"/>
      <c r="AB3" s="1789"/>
      <c r="AC3" s="1789"/>
      <c r="AD3" s="1789"/>
      <c r="AE3" s="140"/>
      <c r="AF3" s="140"/>
      <c r="AG3" s="140"/>
      <c r="AH3" s="141"/>
    </row>
    <row r="4" spans="1:34" ht="20.25">
      <c r="A4" s="1788" t="s">
        <v>91</v>
      </c>
      <c r="B4" s="1789"/>
      <c r="C4" s="1789"/>
      <c r="D4" s="1789"/>
      <c r="E4" s="1789"/>
      <c r="F4" s="1789"/>
      <c r="G4" s="1789"/>
      <c r="H4" s="1789"/>
      <c r="I4" s="1789"/>
      <c r="J4" s="1789"/>
      <c r="K4" s="1789"/>
      <c r="L4" s="1789"/>
      <c r="M4" s="1789"/>
      <c r="N4" s="1789"/>
      <c r="O4" s="1789"/>
      <c r="P4" s="1789"/>
      <c r="Q4" s="1789"/>
      <c r="R4" s="1789"/>
      <c r="S4" s="1789"/>
      <c r="T4" s="1789"/>
      <c r="U4" s="1789"/>
      <c r="V4" s="1789"/>
      <c r="W4" s="1789"/>
      <c r="X4" s="1789"/>
      <c r="Y4" s="1789"/>
      <c r="Z4" s="1789"/>
      <c r="AA4" s="1789"/>
      <c r="AB4" s="1789"/>
      <c r="AC4" s="1789"/>
      <c r="AD4" s="1789"/>
      <c r="AE4" s="289"/>
      <c r="AF4" s="289"/>
      <c r="AG4" s="1891" t="s">
        <v>90</v>
      </c>
      <c r="AH4" s="1828"/>
    </row>
    <row r="5" spans="1:34" ht="20.25">
      <c r="A5" s="1788" t="s">
        <v>93</v>
      </c>
      <c r="B5" s="1789"/>
      <c r="C5" s="1789"/>
      <c r="D5" s="1789"/>
      <c r="E5" s="1789"/>
      <c r="F5" s="1789"/>
      <c r="G5" s="1789"/>
      <c r="H5" s="1789"/>
      <c r="I5" s="1789"/>
      <c r="J5" s="1789"/>
      <c r="K5" s="1789"/>
      <c r="L5" s="1789"/>
      <c r="M5" s="1789"/>
      <c r="N5" s="1789"/>
      <c r="O5" s="1789"/>
      <c r="P5" s="1789"/>
      <c r="Q5" s="1789"/>
      <c r="R5" s="1789"/>
      <c r="S5" s="1789"/>
      <c r="T5" s="1789"/>
      <c r="U5" s="1789"/>
      <c r="V5" s="1789"/>
      <c r="W5" s="1789"/>
      <c r="X5" s="1789"/>
      <c r="Y5" s="1789"/>
      <c r="Z5" s="1789"/>
      <c r="AA5" s="1789"/>
      <c r="AB5" s="1789"/>
      <c r="AC5" s="1789"/>
      <c r="AD5" s="1789"/>
      <c r="AE5" s="289"/>
      <c r="AF5" s="289"/>
      <c r="AG5" s="1891" t="s">
        <v>864</v>
      </c>
      <c r="AH5" s="1828" t="s">
        <v>92</v>
      </c>
    </row>
    <row r="6" spans="1:34" ht="18">
      <c r="A6" s="1825" t="s">
        <v>863</v>
      </c>
      <c r="B6" s="1826"/>
      <c r="C6" s="1826"/>
      <c r="D6" s="1826"/>
      <c r="E6" s="1826"/>
      <c r="F6" s="1826"/>
      <c r="G6" s="1826"/>
      <c r="H6" s="1826"/>
      <c r="I6" s="1826"/>
      <c r="J6" s="1826"/>
      <c r="K6" s="1826"/>
      <c r="L6" s="1826"/>
      <c r="M6" s="1826"/>
      <c r="N6" s="1826"/>
      <c r="O6" s="1826"/>
      <c r="P6" s="1826"/>
      <c r="Q6" s="1826"/>
      <c r="R6" s="1826"/>
      <c r="S6" s="1826"/>
      <c r="T6" s="1826"/>
      <c r="U6" s="1826"/>
      <c r="V6" s="1826"/>
      <c r="W6" s="1826"/>
      <c r="X6" s="1826"/>
      <c r="Y6" s="1826"/>
      <c r="Z6" s="1826"/>
      <c r="AA6" s="1826"/>
      <c r="AB6" s="1826"/>
      <c r="AC6" s="1826"/>
      <c r="AD6" s="1826"/>
      <c r="AE6" s="289"/>
      <c r="AF6" s="289"/>
      <c r="AG6" s="1891" t="s">
        <v>94</v>
      </c>
      <c r="AH6" s="1828" t="s">
        <v>96</v>
      </c>
    </row>
    <row r="7" spans="1:34" ht="18.75" thickBot="1">
      <c r="A7" s="288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53"/>
      <c r="AF7" s="53"/>
      <c r="AG7" s="286"/>
      <c r="AH7" s="54"/>
    </row>
    <row r="8" spans="1:34" ht="28.9" customHeight="1" thickBot="1">
      <c r="A8" s="1838" t="s">
        <v>97</v>
      </c>
      <c r="B8" s="1838" t="s">
        <v>98</v>
      </c>
      <c r="C8" s="1838" t="s">
        <v>99</v>
      </c>
      <c r="D8" s="1838" t="s">
        <v>100</v>
      </c>
      <c r="E8" s="1838" t="s">
        <v>101</v>
      </c>
      <c r="F8" s="1838" t="s">
        <v>102</v>
      </c>
      <c r="G8" s="1838" t="s">
        <v>104</v>
      </c>
      <c r="H8" s="1838" t="s">
        <v>103</v>
      </c>
      <c r="I8" s="1869" t="s">
        <v>105</v>
      </c>
      <c r="J8" s="1871"/>
      <c r="K8" s="1871"/>
      <c r="L8" s="1856"/>
      <c r="M8" s="1838" t="s">
        <v>106</v>
      </c>
      <c r="N8" s="1869" t="s">
        <v>107</v>
      </c>
      <c r="O8" s="1856" t="s">
        <v>108</v>
      </c>
      <c r="P8" s="1838" t="s">
        <v>109</v>
      </c>
      <c r="Q8" s="1838" t="s">
        <v>110</v>
      </c>
      <c r="R8" s="1838" t="s">
        <v>111</v>
      </c>
      <c r="S8" s="1838" t="s">
        <v>112</v>
      </c>
      <c r="T8" s="1866" t="s">
        <v>113</v>
      </c>
      <c r="U8" s="1867"/>
      <c r="V8" s="1868"/>
      <c r="W8" s="1866" t="s">
        <v>114</v>
      </c>
      <c r="X8" s="1867"/>
      <c r="Y8" s="1868"/>
      <c r="Z8" s="1831" t="s">
        <v>115</v>
      </c>
      <c r="AA8" s="1833" t="s">
        <v>116</v>
      </c>
      <c r="AB8" s="1835" t="s">
        <v>117</v>
      </c>
      <c r="AC8" s="1836"/>
      <c r="AD8" s="1887" t="s">
        <v>118</v>
      </c>
      <c r="AE8" s="1883" t="s">
        <v>119</v>
      </c>
      <c r="AF8" s="1885" t="s">
        <v>120</v>
      </c>
      <c r="AG8" s="1892" t="s">
        <v>121</v>
      </c>
      <c r="AH8" s="1887" t="s">
        <v>122</v>
      </c>
    </row>
    <row r="9" spans="1:34" ht="26.25" customHeight="1" thickBot="1">
      <c r="A9" s="1873"/>
      <c r="B9" s="1873"/>
      <c r="C9" s="1873"/>
      <c r="D9" s="1873"/>
      <c r="E9" s="1873"/>
      <c r="F9" s="1873"/>
      <c r="G9" s="1873"/>
      <c r="H9" s="1873"/>
      <c r="I9" s="55" t="s">
        <v>123</v>
      </c>
      <c r="J9" s="56" t="s">
        <v>124</v>
      </c>
      <c r="K9" s="56" t="s">
        <v>125</v>
      </c>
      <c r="L9" s="57"/>
      <c r="M9" s="1873"/>
      <c r="N9" s="1870"/>
      <c r="O9" s="1857"/>
      <c r="P9" s="1873"/>
      <c r="Q9" s="1873"/>
      <c r="R9" s="1873"/>
      <c r="S9" s="1873"/>
      <c r="T9" s="285" t="s">
        <v>126</v>
      </c>
      <c r="U9" s="285" t="s">
        <v>127</v>
      </c>
      <c r="V9" s="285" t="s">
        <v>128</v>
      </c>
      <c r="W9" s="285" t="s">
        <v>126</v>
      </c>
      <c r="X9" s="285" t="s">
        <v>127</v>
      </c>
      <c r="Y9" s="285" t="s">
        <v>128</v>
      </c>
      <c r="Z9" s="1889"/>
      <c r="AA9" s="1890"/>
      <c r="AB9" s="59" t="s">
        <v>129</v>
      </c>
      <c r="AC9" s="59" t="s">
        <v>130</v>
      </c>
      <c r="AD9" s="1888"/>
      <c r="AE9" s="1884"/>
      <c r="AF9" s="1886"/>
      <c r="AG9" s="1893"/>
      <c r="AH9" s="1888"/>
    </row>
    <row r="10" spans="1:34" ht="21">
      <c r="A10" s="60">
        <v>1</v>
      </c>
      <c r="B10" s="61" t="s">
        <v>207</v>
      </c>
      <c r="C10" s="61" t="s">
        <v>65</v>
      </c>
      <c r="D10" s="61" t="s">
        <v>133</v>
      </c>
      <c r="E10" s="61">
        <v>47.74</v>
      </c>
      <c r="F10" s="64"/>
      <c r="G10" s="64">
        <v>0</v>
      </c>
      <c r="H10" s="61">
        <v>0</v>
      </c>
      <c r="I10" s="62"/>
      <c r="J10" s="62"/>
      <c r="K10" s="62"/>
      <c r="L10" s="62"/>
      <c r="M10" s="268" t="s">
        <v>134</v>
      </c>
      <c r="N10" s="62"/>
      <c r="O10" s="62"/>
      <c r="P10" s="64">
        <v>53.045999999999999</v>
      </c>
      <c r="Q10" s="61" t="s">
        <v>862</v>
      </c>
      <c r="R10" s="64">
        <v>346.90199999999999</v>
      </c>
      <c r="S10" s="65">
        <f>(F11)/2</f>
        <v>90.611500000000007</v>
      </c>
      <c r="T10" s="60">
        <v>76</v>
      </c>
      <c r="U10" s="61">
        <v>94</v>
      </c>
      <c r="V10" s="66">
        <f>T10+U10</f>
        <v>170</v>
      </c>
      <c r="W10" s="60">
        <v>81</v>
      </c>
      <c r="X10" s="61">
        <v>93</v>
      </c>
      <c r="Y10" s="66">
        <f>W10+X10</f>
        <v>174</v>
      </c>
      <c r="Z10" s="67" t="s">
        <v>861</v>
      </c>
      <c r="AA10" s="68" t="s">
        <v>860</v>
      </c>
      <c r="AB10" s="69">
        <v>292012.81400000001</v>
      </c>
      <c r="AC10" s="70">
        <v>2865602.5320000001</v>
      </c>
      <c r="AD10" s="267"/>
      <c r="AE10" s="266" t="s">
        <v>854</v>
      </c>
      <c r="AF10" s="265"/>
      <c r="AG10" s="62"/>
      <c r="AH10" s="72" t="s">
        <v>673</v>
      </c>
    </row>
    <row r="11" spans="1:34" ht="30">
      <c r="A11" s="73" t="s">
        <v>14</v>
      </c>
      <c r="B11" s="74" t="s">
        <v>134</v>
      </c>
      <c r="C11" s="74"/>
      <c r="D11" s="74"/>
      <c r="E11" s="74"/>
      <c r="F11" s="75">
        <v>181.22300000000001</v>
      </c>
      <c r="G11" s="74"/>
      <c r="H11" s="74"/>
      <c r="I11" s="76"/>
      <c r="J11" s="76"/>
      <c r="K11" s="76"/>
      <c r="L11" s="76"/>
      <c r="M11" s="264"/>
      <c r="N11" s="76"/>
      <c r="O11" s="76"/>
      <c r="P11" s="75"/>
      <c r="Q11" s="74"/>
      <c r="R11" s="75"/>
      <c r="S11" s="78"/>
      <c r="T11" s="73"/>
      <c r="U11" s="74"/>
      <c r="V11" s="79"/>
      <c r="W11" s="73"/>
      <c r="X11" s="74"/>
      <c r="Y11" s="79"/>
      <c r="Z11" s="80"/>
      <c r="AA11" s="81"/>
      <c r="AB11" s="82"/>
      <c r="AC11" s="83"/>
      <c r="AD11" s="263" t="s">
        <v>859</v>
      </c>
      <c r="AE11" s="262"/>
      <c r="AF11" s="261"/>
      <c r="AG11" s="76"/>
      <c r="AH11" s="85" t="s">
        <v>858</v>
      </c>
    </row>
    <row r="12" spans="1:34" ht="21">
      <c r="A12" s="73">
        <v>2</v>
      </c>
      <c r="B12" s="74" t="s">
        <v>212</v>
      </c>
      <c r="C12" s="74" t="s">
        <v>213</v>
      </c>
      <c r="D12" s="74" t="s">
        <v>193</v>
      </c>
      <c r="E12" s="74">
        <v>47.74</v>
      </c>
      <c r="F12" s="75"/>
      <c r="G12" s="75">
        <f>G10+F11</f>
        <v>181.22300000000001</v>
      </c>
      <c r="H12" s="75">
        <f>SUM(F11:F12)</f>
        <v>181.22300000000001</v>
      </c>
      <c r="I12" s="76"/>
      <c r="J12" s="76"/>
      <c r="K12" s="76"/>
      <c r="L12" s="76"/>
      <c r="M12" s="264" t="s">
        <v>134</v>
      </c>
      <c r="N12" s="76"/>
      <c r="O12" s="76"/>
      <c r="P12" s="75">
        <v>52.927999999999997</v>
      </c>
      <c r="Q12" s="74" t="s">
        <v>857</v>
      </c>
      <c r="R12" s="75">
        <f>F11+F13</f>
        <v>387.17500000000001</v>
      </c>
      <c r="S12" s="78">
        <f>(F11+F13)/2</f>
        <v>193.58750000000001</v>
      </c>
      <c r="T12" s="73">
        <v>91</v>
      </c>
      <c r="U12" s="74">
        <v>103</v>
      </c>
      <c r="V12" s="79">
        <f>T12+U12</f>
        <v>194</v>
      </c>
      <c r="W12" s="73">
        <v>92</v>
      </c>
      <c r="X12" s="74">
        <v>102</v>
      </c>
      <c r="Y12" s="79">
        <f>W12+X12</f>
        <v>194</v>
      </c>
      <c r="Z12" s="80" t="s">
        <v>856</v>
      </c>
      <c r="AA12" s="81" t="s">
        <v>855</v>
      </c>
      <c r="AB12" s="82">
        <v>292136.71000000002</v>
      </c>
      <c r="AC12" s="83">
        <v>2865734.787</v>
      </c>
      <c r="AD12" s="263"/>
      <c r="AE12" s="262" t="s">
        <v>854</v>
      </c>
      <c r="AF12" s="261"/>
      <c r="AG12" s="76"/>
      <c r="AH12" s="85"/>
    </row>
    <row r="13" spans="1:34" ht="30">
      <c r="A13" s="73"/>
      <c r="B13" s="74" t="s">
        <v>134</v>
      </c>
      <c r="C13" s="74"/>
      <c r="D13" s="74"/>
      <c r="E13" s="74"/>
      <c r="F13" s="75">
        <v>205.952</v>
      </c>
      <c r="G13" s="74"/>
      <c r="H13" s="74"/>
      <c r="I13" s="76"/>
      <c r="J13" s="76"/>
      <c r="K13" s="76"/>
      <c r="L13" s="76"/>
      <c r="M13" s="264"/>
      <c r="N13" s="76"/>
      <c r="O13" s="76"/>
      <c r="P13" s="75"/>
      <c r="Q13" s="74"/>
      <c r="R13" s="75"/>
      <c r="S13" s="78"/>
      <c r="T13" s="73"/>
      <c r="U13" s="74"/>
      <c r="V13" s="79"/>
      <c r="W13" s="73"/>
      <c r="X13" s="74"/>
      <c r="Y13" s="79"/>
      <c r="Z13" s="80"/>
      <c r="AA13" s="81"/>
      <c r="AB13" s="82"/>
      <c r="AC13" s="83"/>
      <c r="AD13" s="263" t="s">
        <v>853</v>
      </c>
      <c r="AE13" s="262"/>
      <c r="AF13" s="261"/>
      <c r="AG13" s="76"/>
      <c r="AH13" s="85"/>
    </row>
    <row r="14" spans="1:34" ht="30.75" customHeight="1">
      <c r="A14" s="73">
        <v>3</v>
      </c>
      <c r="B14" s="74" t="s">
        <v>218</v>
      </c>
      <c r="C14" s="74" t="s">
        <v>66</v>
      </c>
      <c r="D14" s="74" t="s">
        <v>133</v>
      </c>
      <c r="E14" s="74">
        <v>47.74</v>
      </c>
      <c r="F14" s="75"/>
      <c r="G14" s="75">
        <f>G12+F13</f>
        <v>387.17500000000001</v>
      </c>
      <c r="H14" s="75">
        <f>SUM(F13:F14)</f>
        <v>205.952</v>
      </c>
      <c r="I14" s="76"/>
      <c r="J14" s="76"/>
      <c r="K14" s="76"/>
      <c r="L14" s="76"/>
      <c r="M14" s="264" t="s">
        <v>134</v>
      </c>
      <c r="N14" s="76"/>
      <c r="O14" s="76"/>
      <c r="P14" s="75">
        <v>52.774999999999999</v>
      </c>
      <c r="Q14" s="74" t="s">
        <v>852</v>
      </c>
      <c r="R14" s="75">
        <f>F13+F15</f>
        <v>517.47500000000002</v>
      </c>
      <c r="S14" s="78">
        <f>(F13+F15)/2</f>
        <v>258.73750000000001</v>
      </c>
      <c r="T14" s="73">
        <v>100</v>
      </c>
      <c r="U14" s="74">
        <v>154</v>
      </c>
      <c r="V14" s="79">
        <f>T14+U14</f>
        <v>254</v>
      </c>
      <c r="W14" s="73">
        <v>101</v>
      </c>
      <c r="X14" s="74">
        <v>153</v>
      </c>
      <c r="Y14" s="79">
        <f>W14+X14</f>
        <v>254</v>
      </c>
      <c r="Z14" s="80" t="s">
        <v>851</v>
      </c>
      <c r="AA14" s="81" t="s">
        <v>850</v>
      </c>
      <c r="AB14" s="82">
        <v>292255.52399999998</v>
      </c>
      <c r="AC14" s="83">
        <v>2865903.0120000001</v>
      </c>
      <c r="AD14" s="284"/>
      <c r="AE14" s="262" t="s">
        <v>844</v>
      </c>
      <c r="AF14" s="261"/>
      <c r="AG14" s="76"/>
      <c r="AH14" s="90"/>
    </row>
    <row r="15" spans="1:34" ht="33.6" customHeight="1">
      <c r="A15" s="73"/>
      <c r="B15" s="74" t="s">
        <v>134</v>
      </c>
      <c r="C15" s="74"/>
      <c r="D15" s="74"/>
      <c r="E15" s="74"/>
      <c r="F15" s="75">
        <v>311.52300000000002</v>
      </c>
      <c r="G15" s="74"/>
      <c r="H15" s="74"/>
      <c r="I15" s="76"/>
      <c r="J15" s="76"/>
      <c r="K15" s="76"/>
      <c r="L15" s="76"/>
      <c r="M15" s="264"/>
      <c r="N15" s="76"/>
      <c r="O15" s="76"/>
      <c r="P15" s="75"/>
      <c r="Q15" s="74"/>
      <c r="R15" s="75"/>
      <c r="S15" s="78"/>
      <c r="T15" s="73"/>
      <c r="U15" s="74"/>
      <c r="V15" s="79"/>
      <c r="W15" s="73"/>
      <c r="X15" s="74"/>
      <c r="Y15" s="79"/>
      <c r="Z15" s="80"/>
      <c r="AA15" s="81"/>
      <c r="AB15" s="82"/>
      <c r="AC15" s="83"/>
      <c r="AD15" s="263" t="s">
        <v>849</v>
      </c>
      <c r="AE15" s="262"/>
      <c r="AF15" s="261"/>
      <c r="AG15" s="76"/>
      <c r="AH15" s="85" t="s">
        <v>848</v>
      </c>
    </row>
    <row r="16" spans="1:34" ht="21">
      <c r="A16" s="73">
        <v>4</v>
      </c>
      <c r="B16" s="74" t="s">
        <v>223</v>
      </c>
      <c r="C16" s="74" t="s">
        <v>224</v>
      </c>
      <c r="D16" s="74" t="s">
        <v>133</v>
      </c>
      <c r="E16" s="74">
        <v>47.74</v>
      </c>
      <c r="F16" s="75"/>
      <c r="G16" s="75">
        <f>G14+F15</f>
        <v>698.69800000000009</v>
      </c>
      <c r="H16" s="75">
        <f>SUM(F15:F16)</f>
        <v>311.52300000000002</v>
      </c>
      <c r="I16" s="76"/>
      <c r="J16" s="76"/>
      <c r="K16" s="76"/>
      <c r="L16" s="76"/>
      <c r="M16" s="264" t="s">
        <v>134</v>
      </c>
      <c r="N16" s="76"/>
      <c r="O16" s="76"/>
      <c r="P16" s="75">
        <v>52.65</v>
      </c>
      <c r="Q16" s="74" t="s">
        <v>847</v>
      </c>
      <c r="R16" s="75">
        <f>F15+F17</f>
        <v>552.55600000000004</v>
      </c>
      <c r="S16" s="78">
        <f>(F15+F17)/2</f>
        <v>276.27800000000002</v>
      </c>
      <c r="T16" s="73">
        <v>152</v>
      </c>
      <c r="U16" s="74">
        <v>122</v>
      </c>
      <c r="V16" s="79">
        <f>T16+U16</f>
        <v>274</v>
      </c>
      <c r="W16" s="73">
        <v>152</v>
      </c>
      <c r="X16" s="74">
        <v>121</v>
      </c>
      <c r="Y16" s="79">
        <f>W16+X16</f>
        <v>273</v>
      </c>
      <c r="Z16" s="80" t="s">
        <v>846</v>
      </c>
      <c r="AA16" s="81" t="s">
        <v>845</v>
      </c>
      <c r="AB16" s="82">
        <v>292567.00699999998</v>
      </c>
      <c r="AC16" s="83">
        <v>2865907.99</v>
      </c>
      <c r="AD16" s="263"/>
      <c r="AE16" s="262" t="s">
        <v>844</v>
      </c>
      <c r="AF16" s="261"/>
      <c r="AG16" s="76"/>
      <c r="AH16" s="85" t="s">
        <v>14</v>
      </c>
    </row>
    <row r="17" spans="1:34" ht="21">
      <c r="A17" s="73"/>
      <c r="B17" s="74" t="s">
        <v>134</v>
      </c>
      <c r="C17" s="74"/>
      <c r="D17" s="74"/>
      <c r="E17" s="74"/>
      <c r="F17" s="75">
        <v>241.03299999999999</v>
      </c>
      <c r="G17" s="74"/>
      <c r="H17" s="74"/>
      <c r="I17" s="76"/>
      <c r="J17" s="76"/>
      <c r="K17" s="76"/>
      <c r="L17" s="76"/>
      <c r="M17" s="264"/>
      <c r="N17" s="76"/>
      <c r="O17" s="76"/>
      <c r="P17" s="75"/>
      <c r="Q17" s="74"/>
      <c r="R17" s="75"/>
      <c r="S17" s="78"/>
      <c r="T17" s="73"/>
      <c r="U17" s="74"/>
      <c r="V17" s="79"/>
      <c r="W17" s="73"/>
      <c r="X17" s="74"/>
      <c r="Y17" s="79"/>
      <c r="Z17" s="80"/>
      <c r="AA17" s="81"/>
      <c r="AB17" s="82"/>
      <c r="AC17" s="83"/>
      <c r="AD17" s="263" t="s">
        <v>843</v>
      </c>
      <c r="AE17" s="262"/>
      <c r="AF17" s="261"/>
      <c r="AG17" s="76"/>
      <c r="AH17" s="85"/>
    </row>
    <row r="18" spans="1:34" ht="21">
      <c r="A18" s="73">
        <v>5</v>
      </c>
      <c r="B18" s="74" t="s">
        <v>244</v>
      </c>
      <c r="C18" s="74" t="s">
        <v>67</v>
      </c>
      <c r="D18" s="74" t="s">
        <v>193</v>
      </c>
      <c r="E18" s="74">
        <v>47.74</v>
      </c>
      <c r="F18" s="75"/>
      <c r="G18" s="75">
        <f>G16+F17</f>
        <v>939.73100000000011</v>
      </c>
      <c r="H18" s="75">
        <f>SUM(F17:F18)</f>
        <v>241.03299999999999</v>
      </c>
      <c r="I18" s="76"/>
      <c r="J18" s="76"/>
      <c r="K18" s="76"/>
      <c r="L18" s="76"/>
      <c r="M18" s="264" t="s">
        <v>134</v>
      </c>
      <c r="N18" s="76"/>
      <c r="O18" s="76"/>
      <c r="P18" s="75">
        <v>52.357999999999997</v>
      </c>
      <c r="Q18" s="74" t="s">
        <v>842</v>
      </c>
      <c r="R18" s="75">
        <f>F17+F19</f>
        <v>371.73199999999997</v>
      </c>
      <c r="S18" s="78">
        <f>(F17+F19)/2</f>
        <v>185.86599999999999</v>
      </c>
      <c r="T18" s="73">
        <v>116</v>
      </c>
      <c r="U18" s="74">
        <v>59</v>
      </c>
      <c r="V18" s="79">
        <f>T18+U18</f>
        <v>175</v>
      </c>
      <c r="W18" s="73">
        <v>118</v>
      </c>
      <c r="X18" s="74">
        <v>64</v>
      </c>
      <c r="Y18" s="79">
        <f>W18+X18</f>
        <v>182</v>
      </c>
      <c r="Z18" s="80" t="s">
        <v>841</v>
      </c>
      <c r="AA18" s="81" t="s">
        <v>840</v>
      </c>
      <c r="AB18" s="82">
        <v>292740.87</v>
      </c>
      <c r="AC18" s="83">
        <v>2865741.051</v>
      </c>
      <c r="AD18" s="263"/>
      <c r="AE18" s="262" t="s">
        <v>834</v>
      </c>
      <c r="AF18" s="261"/>
      <c r="AG18" s="76"/>
      <c r="AH18" s="85"/>
    </row>
    <row r="19" spans="1:34" ht="31.9" customHeight="1">
      <c r="A19" s="73"/>
      <c r="B19" s="74" t="s">
        <v>134</v>
      </c>
      <c r="C19" s="74"/>
      <c r="D19" s="74"/>
      <c r="E19" s="74"/>
      <c r="F19" s="75">
        <v>130.69900000000001</v>
      </c>
      <c r="G19" s="74"/>
      <c r="H19" s="74"/>
      <c r="I19" s="76"/>
      <c r="J19" s="76"/>
      <c r="K19" s="76"/>
      <c r="L19" s="76"/>
      <c r="M19" s="264"/>
      <c r="N19" s="76"/>
      <c r="O19" s="76"/>
      <c r="P19" s="75"/>
      <c r="Q19" s="74"/>
      <c r="R19" s="75"/>
      <c r="S19" s="78"/>
      <c r="T19" s="73"/>
      <c r="U19" s="74"/>
      <c r="V19" s="79"/>
      <c r="W19" s="73"/>
      <c r="X19" s="74"/>
      <c r="Y19" s="79"/>
      <c r="Z19" s="80"/>
      <c r="AA19" s="81"/>
      <c r="AB19" s="82"/>
      <c r="AC19" s="83"/>
      <c r="AD19" s="263" t="s">
        <v>839</v>
      </c>
      <c r="AE19" s="262"/>
      <c r="AF19" s="261"/>
      <c r="AG19" s="76"/>
      <c r="AH19" s="85" t="s">
        <v>838</v>
      </c>
    </row>
    <row r="20" spans="1:34" ht="21">
      <c r="A20" s="73">
        <v>6</v>
      </c>
      <c r="B20" s="74" t="s">
        <v>256</v>
      </c>
      <c r="C20" s="74" t="s">
        <v>68</v>
      </c>
      <c r="D20" s="74" t="s">
        <v>133</v>
      </c>
      <c r="E20" s="74">
        <v>47.74</v>
      </c>
      <c r="F20" s="75"/>
      <c r="G20" s="75">
        <f>G18+F19</f>
        <v>1070.43</v>
      </c>
      <c r="H20" s="75">
        <f>SUM(F19:F20)</f>
        <v>130.69900000000001</v>
      </c>
      <c r="I20" s="76"/>
      <c r="J20" s="76"/>
      <c r="K20" s="76"/>
      <c r="L20" s="76"/>
      <c r="M20" s="264" t="s">
        <v>134</v>
      </c>
      <c r="N20" s="76"/>
      <c r="O20" s="76"/>
      <c r="P20" s="75">
        <v>52.759</v>
      </c>
      <c r="Q20" s="74" t="s">
        <v>837</v>
      </c>
      <c r="R20" s="75">
        <f>F19+F21</f>
        <v>449.524</v>
      </c>
      <c r="S20" s="78">
        <f>(F19+F21)/2</f>
        <v>224.762</v>
      </c>
      <c r="T20" s="73">
        <v>75</v>
      </c>
      <c r="U20" s="74">
        <v>161</v>
      </c>
      <c r="V20" s="79">
        <f>T20+U20</f>
        <v>236</v>
      </c>
      <c r="W20" s="73">
        <v>70</v>
      </c>
      <c r="X20" s="74">
        <v>161</v>
      </c>
      <c r="Y20" s="79">
        <f>W20+X20</f>
        <v>231</v>
      </c>
      <c r="Z20" s="80" t="s">
        <v>836</v>
      </c>
      <c r="AA20" s="81" t="s">
        <v>835</v>
      </c>
      <c r="AB20" s="82">
        <v>292844.47700000001</v>
      </c>
      <c r="AC20" s="83">
        <v>2865661.378</v>
      </c>
      <c r="AD20" s="263"/>
      <c r="AE20" s="262" t="s">
        <v>834</v>
      </c>
      <c r="AF20" s="261"/>
      <c r="AG20" s="76"/>
      <c r="AH20" s="85"/>
    </row>
    <row r="21" spans="1:34" ht="36" customHeight="1">
      <c r="A21" s="73"/>
      <c r="B21" s="74" t="s">
        <v>134</v>
      </c>
      <c r="C21" s="74"/>
      <c r="D21" s="74"/>
      <c r="E21" s="74"/>
      <c r="F21" s="75">
        <v>318.82499999999999</v>
      </c>
      <c r="G21" s="74"/>
      <c r="H21" s="74"/>
      <c r="I21" s="76"/>
      <c r="J21" s="76"/>
      <c r="K21" s="76"/>
      <c r="L21" s="76"/>
      <c r="M21" s="264"/>
      <c r="N21" s="76"/>
      <c r="O21" s="76"/>
      <c r="P21" s="75"/>
      <c r="Q21" s="74"/>
      <c r="R21" s="75"/>
      <c r="S21" s="78"/>
      <c r="T21" s="73"/>
      <c r="U21" s="74"/>
      <c r="V21" s="79"/>
      <c r="W21" s="73"/>
      <c r="X21" s="74"/>
      <c r="Y21" s="79"/>
      <c r="Z21" s="80"/>
      <c r="AA21" s="81"/>
      <c r="AB21" s="82"/>
      <c r="AC21" s="83"/>
      <c r="AD21" s="263" t="s">
        <v>833</v>
      </c>
      <c r="AE21" s="262"/>
      <c r="AF21" s="261"/>
      <c r="AG21" s="76"/>
      <c r="AH21" s="85" t="s">
        <v>832</v>
      </c>
    </row>
    <row r="22" spans="1:34" ht="17.25" customHeight="1">
      <c r="A22" s="73">
        <v>7</v>
      </c>
      <c r="B22" s="74" t="s">
        <v>263</v>
      </c>
      <c r="C22" s="74" t="s">
        <v>56</v>
      </c>
      <c r="D22" s="74" t="s">
        <v>167</v>
      </c>
      <c r="E22" s="74">
        <v>47.74</v>
      </c>
      <c r="F22" s="75"/>
      <c r="G22" s="75">
        <f>G20+F21</f>
        <v>1389.2550000000001</v>
      </c>
      <c r="H22" s="75">
        <f>SUM(F21:F22)</f>
        <v>318.82499999999999</v>
      </c>
      <c r="I22" s="76"/>
      <c r="J22" s="76"/>
      <c r="K22" s="76"/>
      <c r="L22" s="76"/>
      <c r="M22" s="264" t="s">
        <v>134</v>
      </c>
      <c r="N22" s="76"/>
      <c r="O22" s="76"/>
      <c r="P22" s="75">
        <v>52.634999999999998</v>
      </c>
      <c r="Q22" s="74" t="s">
        <v>831</v>
      </c>
      <c r="R22" s="75">
        <f>F21+F23</f>
        <v>523.84299999999996</v>
      </c>
      <c r="S22" s="78">
        <f>(F21+F23)/2</f>
        <v>261.92149999999998</v>
      </c>
      <c r="T22" s="73">
        <v>159</v>
      </c>
      <c r="U22" s="74">
        <v>104</v>
      </c>
      <c r="V22" s="79">
        <f>T22+U22</f>
        <v>263</v>
      </c>
      <c r="W22" s="73">
        <v>160</v>
      </c>
      <c r="X22" s="74">
        <v>104</v>
      </c>
      <c r="Y22" s="79">
        <f>W22+X22</f>
        <v>264</v>
      </c>
      <c r="Z22" s="80" t="s">
        <v>830</v>
      </c>
      <c r="AA22" s="81" t="s">
        <v>829</v>
      </c>
      <c r="AB22" s="82">
        <v>293161.489</v>
      </c>
      <c r="AC22" s="83">
        <v>2865695.3280000002</v>
      </c>
      <c r="AD22" s="263"/>
      <c r="AE22" s="262" t="s">
        <v>138</v>
      </c>
      <c r="AF22" s="261"/>
      <c r="AG22" s="76"/>
      <c r="AH22" s="90"/>
    </row>
    <row r="23" spans="1:34" ht="21">
      <c r="A23" s="73"/>
      <c r="B23" s="74" t="s">
        <v>134</v>
      </c>
      <c r="C23" s="74"/>
      <c r="D23" s="74"/>
      <c r="E23" s="74"/>
      <c r="F23" s="75">
        <v>205.018</v>
      </c>
      <c r="G23" s="74"/>
      <c r="H23" s="74"/>
      <c r="I23" s="76"/>
      <c r="J23" s="76"/>
      <c r="K23" s="76"/>
      <c r="L23" s="76"/>
      <c r="M23" s="264"/>
      <c r="N23" s="76"/>
      <c r="O23" s="76"/>
      <c r="P23" s="75"/>
      <c r="Q23" s="74"/>
      <c r="R23" s="75"/>
      <c r="S23" s="78"/>
      <c r="T23" s="73"/>
      <c r="U23" s="74"/>
      <c r="V23" s="79"/>
      <c r="W23" s="73"/>
      <c r="X23" s="74"/>
      <c r="Y23" s="79"/>
      <c r="Z23" s="80"/>
      <c r="AA23" s="81"/>
      <c r="AB23" s="82"/>
      <c r="AC23" s="83"/>
      <c r="AD23" s="263" t="s">
        <v>719</v>
      </c>
      <c r="AE23" s="262"/>
      <c r="AF23" s="261"/>
      <c r="AG23" s="76"/>
      <c r="AH23" s="85"/>
    </row>
    <row r="24" spans="1:34" ht="16.5" customHeight="1">
      <c r="A24" s="73">
        <v>8</v>
      </c>
      <c r="B24" s="74" t="s">
        <v>270</v>
      </c>
      <c r="C24" s="74" t="s">
        <v>60</v>
      </c>
      <c r="D24" s="74" t="s">
        <v>133</v>
      </c>
      <c r="E24" s="74">
        <v>47.74</v>
      </c>
      <c r="F24" s="75"/>
      <c r="G24" s="75">
        <f>G22+F23</f>
        <v>1594.2730000000001</v>
      </c>
      <c r="H24" s="75">
        <f>SUM(F23:F24)</f>
        <v>205.018</v>
      </c>
      <c r="I24" s="76"/>
      <c r="J24" s="76"/>
      <c r="K24" s="76"/>
      <c r="L24" s="76"/>
      <c r="M24" s="264" t="s">
        <v>134</v>
      </c>
      <c r="N24" s="76"/>
      <c r="O24" s="76"/>
      <c r="P24" s="75">
        <v>52.591999999999999</v>
      </c>
      <c r="Q24" s="74" t="s">
        <v>828</v>
      </c>
      <c r="R24" s="75">
        <f>F23+F25</f>
        <v>341.596</v>
      </c>
      <c r="S24" s="78">
        <f>(F23+F25)/2</f>
        <v>170.798</v>
      </c>
      <c r="T24" s="73">
        <v>103</v>
      </c>
      <c r="U24" s="74">
        <v>-47</v>
      </c>
      <c r="V24" s="79">
        <f>T24+U24</f>
        <v>56</v>
      </c>
      <c r="W24" s="73">
        <v>103</v>
      </c>
      <c r="X24" s="74">
        <v>29</v>
      </c>
      <c r="Y24" s="79">
        <f>W24+X24</f>
        <v>132</v>
      </c>
      <c r="Z24" s="80" t="s">
        <v>827</v>
      </c>
      <c r="AA24" s="81" t="s">
        <v>826</v>
      </c>
      <c r="AB24" s="82">
        <v>293356.24699999997</v>
      </c>
      <c r="AC24" s="83">
        <v>2865631.2820000001</v>
      </c>
      <c r="AD24" s="284"/>
      <c r="AE24" s="262" t="s">
        <v>138</v>
      </c>
      <c r="AF24" s="261"/>
      <c r="AG24" s="76"/>
      <c r="AH24" s="90"/>
    </row>
    <row r="25" spans="1:34" ht="21">
      <c r="A25" s="73"/>
      <c r="B25" s="74" t="s">
        <v>134</v>
      </c>
      <c r="C25" s="74"/>
      <c r="D25" s="74"/>
      <c r="E25" s="74"/>
      <c r="F25" s="75">
        <v>136.578</v>
      </c>
      <c r="G25" s="74"/>
      <c r="H25" s="74"/>
      <c r="I25" s="76"/>
      <c r="J25" s="76"/>
      <c r="K25" s="76"/>
      <c r="L25" s="76"/>
      <c r="M25" s="264"/>
      <c r="N25" s="76"/>
      <c r="O25" s="76"/>
      <c r="P25" s="75"/>
      <c r="Q25" s="74"/>
      <c r="R25" s="75"/>
      <c r="S25" s="78"/>
      <c r="T25" s="73"/>
      <c r="U25" s="74"/>
      <c r="V25" s="79"/>
      <c r="W25" s="73"/>
      <c r="X25" s="74"/>
      <c r="Y25" s="79"/>
      <c r="Z25" s="80"/>
      <c r="AA25" s="81"/>
      <c r="AB25" s="82"/>
      <c r="AC25" s="83"/>
      <c r="AD25" s="263" t="s">
        <v>825</v>
      </c>
      <c r="AE25" s="262"/>
      <c r="AF25" s="261"/>
      <c r="AG25" s="76"/>
      <c r="AH25" s="85"/>
    </row>
    <row r="26" spans="1:34" ht="21.75" thickBot="1">
      <c r="A26" s="91">
        <v>9</v>
      </c>
      <c r="B26" s="92" t="s">
        <v>280</v>
      </c>
      <c r="C26" s="92" t="s">
        <v>55</v>
      </c>
      <c r="D26" s="92" t="s">
        <v>264</v>
      </c>
      <c r="E26" s="92">
        <v>53.74</v>
      </c>
      <c r="F26" s="93"/>
      <c r="G26" s="93">
        <f>G24+F25</f>
        <v>1730.8510000000001</v>
      </c>
      <c r="H26" s="93">
        <f>SUM(F25:F26)</f>
        <v>136.578</v>
      </c>
      <c r="I26" s="94"/>
      <c r="J26" s="94"/>
      <c r="K26" s="94"/>
      <c r="L26" s="94"/>
      <c r="M26" s="260" t="s">
        <v>134</v>
      </c>
      <c r="N26" s="94"/>
      <c r="O26" s="94"/>
      <c r="P26" s="93">
        <v>52.317</v>
      </c>
      <c r="Q26" s="92" t="s">
        <v>824</v>
      </c>
      <c r="R26" s="93">
        <v>271.267</v>
      </c>
      <c r="S26" s="96">
        <f>(F25)/2</f>
        <v>68.289000000000001</v>
      </c>
      <c r="T26" s="91">
        <v>185</v>
      </c>
      <c r="U26" s="92">
        <v>-176</v>
      </c>
      <c r="V26" s="97">
        <f>T26+U26</f>
        <v>9</v>
      </c>
      <c r="W26" s="91">
        <v>109</v>
      </c>
      <c r="X26" s="92">
        <v>-14</v>
      </c>
      <c r="Y26" s="97">
        <f>W26+X26</f>
        <v>95</v>
      </c>
      <c r="Z26" s="98" t="s">
        <v>823</v>
      </c>
      <c r="AA26" s="99" t="s">
        <v>822</v>
      </c>
      <c r="AB26" s="100">
        <v>293476.38400000002</v>
      </c>
      <c r="AC26" s="101">
        <v>2865696.2480000001</v>
      </c>
      <c r="AD26" s="259" t="s">
        <v>14</v>
      </c>
      <c r="AE26" s="258" t="s">
        <v>821</v>
      </c>
      <c r="AF26" s="257"/>
      <c r="AG26" s="94"/>
      <c r="AH26" s="103" t="s">
        <v>673</v>
      </c>
    </row>
    <row r="27" spans="1:34" ht="21.75" hidden="1" thickBot="1">
      <c r="A27" s="73"/>
      <c r="B27" s="74"/>
      <c r="C27" s="74"/>
      <c r="D27" s="74"/>
      <c r="E27" s="74"/>
      <c r="F27" s="75"/>
      <c r="G27" s="74"/>
      <c r="H27" s="74"/>
      <c r="I27" s="76"/>
      <c r="J27" s="76"/>
      <c r="K27" s="76"/>
      <c r="L27" s="76"/>
      <c r="M27" s="264"/>
      <c r="N27" s="76"/>
      <c r="O27" s="76"/>
      <c r="P27" s="75"/>
      <c r="Q27" s="74"/>
      <c r="R27" s="75"/>
      <c r="S27" s="78"/>
      <c r="T27" s="73"/>
      <c r="U27" s="74"/>
      <c r="V27" s="79"/>
      <c r="W27" s="73"/>
      <c r="X27" s="74"/>
      <c r="Y27" s="79"/>
      <c r="Z27" s="80"/>
      <c r="AA27" s="81"/>
      <c r="AB27" s="82"/>
      <c r="AC27" s="83"/>
      <c r="AD27" s="263"/>
      <c r="AE27" s="262"/>
      <c r="AF27" s="261"/>
      <c r="AG27" s="76"/>
      <c r="AH27" s="85"/>
    </row>
    <row r="28" spans="1:34" ht="21.75" hidden="1" thickBot="1">
      <c r="A28" s="60">
        <v>10</v>
      </c>
      <c r="B28" s="61" t="s">
        <v>343</v>
      </c>
      <c r="C28" s="61" t="s">
        <v>69</v>
      </c>
      <c r="D28" s="61" t="s">
        <v>337</v>
      </c>
      <c r="E28" s="61">
        <v>53.74</v>
      </c>
      <c r="F28" s="64"/>
      <c r="G28" s="64">
        <v>0</v>
      </c>
      <c r="H28" s="61">
        <v>0</v>
      </c>
      <c r="I28" s="62"/>
      <c r="J28" s="62"/>
      <c r="K28" s="62"/>
      <c r="L28" s="62"/>
      <c r="M28" s="268" t="s">
        <v>134</v>
      </c>
      <c r="N28" s="62"/>
      <c r="O28" s="62"/>
      <c r="P28" s="64">
        <v>52.901000000000003</v>
      </c>
      <c r="Q28" s="61" t="s">
        <v>820</v>
      </c>
      <c r="R28" s="64">
        <v>614.39</v>
      </c>
      <c r="S28" s="65">
        <f>(F29)/2</f>
        <v>126.706</v>
      </c>
      <c r="T28" s="60">
        <v>159</v>
      </c>
      <c r="U28" s="61">
        <v>184</v>
      </c>
      <c r="V28" s="66">
        <f>T28+U28</f>
        <v>343</v>
      </c>
      <c r="W28" s="60">
        <v>166</v>
      </c>
      <c r="X28" s="61">
        <v>158</v>
      </c>
      <c r="Y28" s="66">
        <f>W28+X28</f>
        <v>324</v>
      </c>
      <c r="Z28" s="67" t="s">
        <v>819</v>
      </c>
      <c r="AA28" s="68" t="s">
        <v>818</v>
      </c>
      <c r="AB28" s="69">
        <v>294869.23100000003</v>
      </c>
      <c r="AC28" s="70">
        <v>2865832.8130000001</v>
      </c>
      <c r="AD28" s="267"/>
      <c r="AE28" s="266" t="s">
        <v>814</v>
      </c>
      <c r="AF28" s="265"/>
      <c r="AG28" s="62"/>
      <c r="AH28" s="72" t="s">
        <v>673</v>
      </c>
    </row>
    <row r="29" spans="1:34" ht="21.75" hidden="1" thickBot="1">
      <c r="A29" s="73"/>
      <c r="B29" s="74" t="s">
        <v>134</v>
      </c>
      <c r="C29" s="74"/>
      <c r="D29" s="74"/>
      <c r="E29" s="74"/>
      <c r="F29" s="75">
        <v>253.41200000000001</v>
      </c>
      <c r="G29" s="74"/>
      <c r="H29" s="74"/>
      <c r="I29" s="76"/>
      <c r="J29" s="76"/>
      <c r="K29" s="76"/>
      <c r="L29" s="76"/>
      <c r="M29" s="264"/>
      <c r="N29" s="76"/>
      <c r="O29" s="76"/>
      <c r="P29" s="75"/>
      <c r="Q29" s="74"/>
      <c r="R29" s="75"/>
      <c r="S29" s="78"/>
      <c r="T29" s="73"/>
      <c r="U29" s="74"/>
      <c r="V29" s="79"/>
      <c r="W29" s="73"/>
      <c r="X29" s="74"/>
      <c r="Y29" s="79"/>
      <c r="Z29" s="80"/>
      <c r="AA29" s="81"/>
      <c r="AB29" s="82"/>
      <c r="AC29" s="83"/>
      <c r="AD29" s="263" t="s">
        <v>14</v>
      </c>
      <c r="AE29" s="262"/>
      <c r="AF29" s="261"/>
      <c r="AG29" s="76"/>
      <c r="AH29" s="85"/>
    </row>
    <row r="30" spans="1:34" ht="21.75" hidden="1" thickBot="1">
      <c r="A30" s="73">
        <v>11</v>
      </c>
      <c r="B30" s="74" t="s">
        <v>355</v>
      </c>
      <c r="C30" s="74" t="s">
        <v>356</v>
      </c>
      <c r="D30" s="74" t="s">
        <v>193</v>
      </c>
      <c r="E30" s="74">
        <v>47.74</v>
      </c>
      <c r="F30" s="75"/>
      <c r="G30" s="75">
        <f>G28+F29</f>
        <v>253.41200000000001</v>
      </c>
      <c r="H30" s="75">
        <f>SUM(F29:F30)</f>
        <v>253.41200000000001</v>
      </c>
      <c r="I30" s="76"/>
      <c r="J30" s="76"/>
      <c r="K30" s="76"/>
      <c r="L30" s="76"/>
      <c r="M30" s="264" t="s">
        <v>134</v>
      </c>
      <c r="N30" s="76"/>
      <c r="O30" s="76"/>
      <c r="P30" s="75">
        <v>52.768999999999998</v>
      </c>
      <c r="Q30" s="74" t="s">
        <v>817</v>
      </c>
      <c r="R30" s="75">
        <f>F29+F31</f>
        <v>568.41200000000003</v>
      </c>
      <c r="S30" s="78">
        <f>(F29+F31)/2</f>
        <v>284.20600000000002</v>
      </c>
      <c r="T30" s="73">
        <v>69</v>
      </c>
      <c r="U30" s="74">
        <v>164</v>
      </c>
      <c r="V30" s="79">
        <f>T30+U30</f>
        <v>233</v>
      </c>
      <c r="W30" s="73">
        <v>95</v>
      </c>
      <c r="X30" s="74">
        <v>162</v>
      </c>
      <c r="Y30" s="79">
        <f>W30+X30</f>
        <v>257</v>
      </c>
      <c r="Z30" s="80" t="s">
        <v>816</v>
      </c>
      <c r="AA30" s="81" t="s">
        <v>815</v>
      </c>
      <c r="AB30" s="82">
        <v>295122.02399999998</v>
      </c>
      <c r="AC30" s="83">
        <v>2865815.1150000002</v>
      </c>
      <c r="AD30" s="263"/>
      <c r="AE30" s="262" t="s">
        <v>814</v>
      </c>
      <c r="AF30" s="261"/>
      <c r="AG30" s="76"/>
      <c r="AH30" s="85"/>
    </row>
    <row r="31" spans="1:34" ht="34.9" hidden="1" customHeight="1">
      <c r="A31" s="73"/>
      <c r="B31" s="74" t="s">
        <v>134</v>
      </c>
      <c r="C31" s="74"/>
      <c r="D31" s="74"/>
      <c r="E31" s="74"/>
      <c r="F31" s="75">
        <v>315</v>
      </c>
      <c r="G31" s="74"/>
      <c r="H31" s="74"/>
      <c r="I31" s="76"/>
      <c r="J31" s="76"/>
      <c r="K31" s="76"/>
      <c r="L31" s="76"/>
      <c r="M31" s="264"/>
      <c r="N31" s="76"/>
      <c r="O31" s="76"/>
      <c r="P31" s="75"/>
      <c r="Q31" s="74"/>
      <c r="R31" s="75"/>
      <c r="S31" s="78"/>
      <c r="T31" s="73"/>
      <c r="U31" s="74"/>
      <c r="V31" s="79"/>
      <c r="W31" s="73"/>
      <c r="X31" s="74"/>
      <c r="Y31" s="79"/>
      <c r="Z31" s="80"/>
      <c r="AA31" s="81"/>
      <c r="AB31" s="82"/>
      <c r="AC31" s="83"/>
      <c r="AD31" s="263" t="s">
        <v>813</v>
      </c>
      <c r="AE31" s="262"/>
      <c r="AF31" s="261"/>
      <c r="AG31" s="76"/>
      <c r="AH31" s="85" t="s">
        <v>812</v>
      </c>
    </row>
    <row r="32" spans="1:34" ht="21.75" hidden="1" thickBot="1">
      <c r="A32" s="73">
        <v>12</v>
      </c>
      <c r="B32" s="74" t="s">
        <v>134</v>
      </c>
      <c r="C32" s="74" t="s">
        <v>811</v>
      </c>
      <c r="D32" s="74" t="s">
        <v>153</v>
      </c>
      <c r="E32" s="74">
        <v>48.16</v>
      </c>
      <c r="F32" s="75"/>
      <c r="G32" s="75">
        <f>G30+F31</f>
        <v>568.41200000000003</v>
      </c>
      <c r="H32" s="74" t="s">
        <v>134</v>
      </c>
      <c r="I32" s="76"/>
      <c r="J32" s="76"/>
      <c r="K32" s="76"/>
      <c r="L32" s="76"/>
      <c r="M32" s="264" t="s">
        <v>134</v>
      </c>
      <c r="N32" s="76"/>
      <c r="O32" s="76"/>
      <c r="P32" s="75">
        <v>51.823</v>
      </c>
      <c r="Q32" s="74" t="s">
        <v>134</v>
      </c>
      <c r="R32" s="75">
        <f>F31+F33</f>
        <v>612.88099999999997</v>
      </c>
      <c r="S32" s="78">
        <f>(F31+F33)/2</f>
        <v>306.44049999999999</v>
      </c>
      <c r="T32" s="73">
        <v>151</v>
      </c>
      <c r="U32" s="74">
        <v>145</v>
      </c>
      <c r="V32" s="79">
        <f>T32+U32</f>
        <v>296</v>
      </c>
      <c r="W32" s="73">
        <v>153</v>
      </c>
      <c r="X32" s="74">
        <v>147</v>
      </c>
      <c r="Y32" s="79">
        <f>W32+X32</f>
        <v>300</v>
      </c>
      <c r="Z32" s="80" t="s">
        <v>810</v>
      </c>
      <c r="AA32" s="81" t="s">
        <v>809</v>
      </c>
      <c r="AB32" s="82">
        <v>295427.51899999997</v>
      </c>
      <c r="AC32" s="83">
        <v>2865738.3190000001</v>
      </c>
      <c r="AD32" s="263"/>
      <c r="AE32" s="262" t="s">
        <v>278</v>
      </c>
      <c r="AF32" s="261"/>
      <c r="AG32" s="76"/>
      <c r="AH32" s="85" t="s">
        <v>14</v>
      </c>
    </row>
    <row r="33" spans="1:34" ht="31.9" hidden="1" customHeight="1">
      <c r="A33" s="73"/>
      <c r="B33" s="74" t="s">
        <v>134</v>
      </c>
      <c r="C33" s="74"/>
      <c r="D33" s="74"/>
      <c r="E33" s="74"/>
      <c r="F33" s="75">
        <v>297.88099999999997</v>
      </c>
      <c r="G33" s="74"/>
      <c r="H33" s="74"/>
      <c r="I33" s="76"/>
      <c r="J33" s="76"/>
      <c r="K33" s="76"/>
      <c r="L33" s="76"/>
      <c r="M33" s="264"/>
      <c r="N33" s="76"/>
      <c r="O33" s="76"/>
      <c r="P33" s="75"/>
      <c r="Q33" s="74"/>
      <c r="R33" s="75"/>
      <c r="S33" s="78"/>
      <c r="T33" s="73"/>
      <c r="U33" s="74"/>
      <c r="V33" s="79"/>
      <c r="W33" s="73"/>
      <c r="X33" s="74"/>
      <c r="Y33" s="79"/>
      <c r="Z33" s="80"/>
      <c r="AA33" s="81"/>
      <c r="AB33" s="82"/>
      <c r="AC33" s="83"/>
      <c r="AD33" s="263" t="s">
        <v>808</v>
      </c>
      <c r="AE33" s="262"/>
      <c r="AF33" s="261"/>
      <c r="AG33" s="76"/>
      <c r="AH33" s="85" t="s">
        <v>807</v>
      </c>
    </row>
    <row r="34" spans="1:34" ht="16.5" hidden="1" customHeight="1">
      <c r="A34" s="73">
        <v>13</v>
      </c>
      <c r="B34" s="74" t="s">
        <v>363</v>
      </c>
      <c r="C34" s="74" t="s">
        <v>364</v>
      </c>
      <c r="D34" s="74" t="s">
        <v>133</v>
      </c>
      <c r="E34" s="74">
        <v>47.74</v>
      </c>
      <c r="F34" s="75"/>
      <c r="G34" s="75">
        <f>G32+F33</f>
        <v>866.29300000000001</v>
      </c>
      <c r="H34" s="75">
        <f>SUM(F31:F34)</f>
        <v>612.88099999999997</v>
      </c>
      <c r="I34" s="76"/>
      <c r="J34" s="76"/>
      <c r="K34" s="76"/>
      <c r="L34" s="76"/>
      <c r="M34" s="264" t="s">
        <v>134</v>
      </c>
      <c r="N34" s="76"/>
      <c r="O34" s="76"/>
      <c r="P34" s="75">
        <v>52.536999999999999</v>
      </c>
      <c r="Q34" s="74" t="s">
        <v>806</v>
      </c>
      <c r="R34" s="75">
        <f>F33+F35</f>
        <v>717.88099999999997</v>
      </c>
      <c r="S34" s="78">
        <f>(F33+F35)/2</f>
        <v>358.94049999999999</v>
      </c>
      <c r="T34" s="73">
        <v>155</v>
      </c>
      <c r="U34" s="74">
        <v>184</v>
      </c>
      <c r="V34" s="79">
        <f>T34+U34</f>
        <v>339</v>
      </c>
      <c r="W34" s="73">
        <v>154</v>
      </c>
      <c r="X34" s="74">
        <v>193</v>
      </c>
      <c r="Y34" s="79">
        <f>W34+X34</f>
        <v>347</v>
      </c>
      <c r="Z34" s="80" t="s">
        <v>805</v>
      </c>
      <c r="AA34" s="81" t="s">
        <v>804</v>
      </c>
      <c r="AB34" s="82">
        <v>295716.413</v>
      </c>
      <c r="AC34" s="83">
        <v>2865665.6970000002</v>
      </c>
      <c r="AD34" s="263"/>
      <c r="AE34" s="262" t="s">
        <v>278</v>
      </c>
      <c r="AF34" s="261"/>
      <c r="AG34" s="76"/>
      <c r="AH34" s="85"/>
    </row>
    <row r="35" spans="1:34" ht="21.75" hidden="1" thickBot="1">
      <c r="A35" s="73"/>
      <c r="B35" s="74" t="s">
        <v>134</v>
      </c>
      <c r="C35" s="74"/>
      <c r="D35" s="74"/>
      <c r="E35" s="74"/>
      <c r="F35" s="75">
        <v>420</v>
      </c>
      <c r="G35" s="74"/>
      <c r="H35" s="74"/>
      <c r="I35" s="76"/>
      <c r="J35" s="76"/>
      <c r="K35" s="76"/>
      <c r="L35" s="76"/>
      <c r="M35" s="264"/>
      <c r="N35" s="76"/>
      <c r="O35" s="76"/>
      <c r="P35" s="75"/>
      <c r="Q35" s="74"/>
      <c r="R35" s="75"/>
      <c r="S35" s="78"/>
      <c r="T35" s="73"/>
      <c r="U35" s="74"/>
      <c r="V35" s="79"/>
      <c r="W35" s="73"/>
      <c r="X35" s="74"/>
      <c r="Y35" s="79"/>
      <c r="Z35" s="80"/>
      <c r="AA35" s="81"/>
      <c r="AB35" s="82"/>
      <c r="AC35" s="83"/>
      <c r="AD35" s="263" t="s">
        <v>719</v>
      </c>
      <c r="AE35" s="262"/>
      <c r="AF35" s="261"/>
      <c r="AG35" s="76"/>
      <c r="AH35" s="85"/>
    </row>
    <row r="36" spans="1:34" ht="21.75" hidden="1" thickBot="1">
      <c r="A36" s="73">
        <v>14</v>
      </c>
      <c r="B36" s="74" t="s">
        <v>134</v>
      </c>
      <c r="C36" s="74" t="s">
        <v>803</v>
      </c>
      <c r="D36" s="74" t="s">
        <v>301</v>
      </c>
      <c r="E36" s="74">
        <v>54.16</v>
      </c>
      <c r="F36" s="75"/>
      <c r="G36" s="75">
        <f>G34+F35</f>
        <v>1286.2930000000001</v>
      </c>
      <c r="H36" s="74" t="s">
        <v>134</v>
      </c>
      <c r="I36" s="76"/>
      <c r="J36" s="76"/>
      <c r="K36" s="76"/>
      <c r="L36" s="76"/>
      <c r="M36" s="264" t="s">
        <v>134</v>
      </c>
      <c r="N36" s="76"/>
      <c r="O36" s="76"/>
      <c r="P36" s="75">
        <v>51.901000000000003</v>
      </c>
      <c r="Q36" s="74" t="s">
        <v>134</v>
      </c>
      <c r="R36" s="75">
        <f>F35+F37</f>
        <v>776</v>
      </c>
      <c r="S36" s="78">
        <f>(F35+F37)/2</f>
        <v>388</v>
      </c>
      <c r="T36" s="73">
        <v>238</v>
      </c>
      <c r="U36" s="74">
        <v>213</v>
      </c>
      <c r="V36" s="79">
        <f>T36+U36</f>
        <v>451</v>
      </c>
      <c r="W36" s="73">
        <v>231</v>
      </c>
      <c r="X36" s="74">
        <v>203</v>
      </c>
      <c r="Y36" s="79">
        <f>W36+X36</f>
        <v>434</v>
      </c>
      <c r="Z36" s="80" t="s">
        <v>802</v>
      </c>
      <c r="AA36" s="81" t="s">
        <v>801</v>
      </c>
      <c r="AB36" s="82">
        <v>296114.65700000001</v>
      </c>
      <c r="AC36" s="83">
        <v>2865799.12</v>
      </c>
      <c r="AD36" s="263"/>
      <c r="AE36" s="262" t="s">
        <v>278</v>
      </c>
      <c r="AF36" s="261"/>
      <c r="AG36" s="76"/>
      <c r="AH36" s="85"/>
    </row>
    <row r="37" spans="1:34" ht="21.75" hidden="1" thickBot="1">
      <c r="A37" s="73"/>
      <c r="B37" s="74" t="s">
        <v>134</v>
      </c>
      <c r="C37" s="74"/>
      <c r="D37" s="74"/>
      <c r="E37" s="74"/>
      <c r="F37" s="75">
        <v>356</v>
      </c>
      <c r="G37" s="74"/>
      <c r="H37" s="74"/>
      <c r="I37" s="76"/>
      <c r="J37" s="76"/>
      <c r="K37" s="76"/>
      <c r="L37" s="76"/>
      <c r="M37" s="264"/>
      <c r="N37" s="76"/>
      <c r="O37" s="76"/>
      <c r="P37" s="75"/>
      <c r="Q37" s="74"/>
      <c r="R37" s="75"/>
      <c r="S37" s="78"/>
      <c r="T37" s="73"/>
      <c r="U37" s="74"/>
      <c r="V37" s="79"/>
      <c r="W37" s="73"/>
      <c r="X37" s="74"/>
      <c r="Y37" s="79"/>
      <c r="Z37" s="80"/>
      <c r="AA37" s="81"/>
      <c r="AB37" s="82"/>
      <c r="AC37" s="83"/>
      <c r="AD37" s="263" t="s">
        <v>800</v>
      </c>
      <c r="AE37" s="262"/>
      <c r="AF37" s="261"/>
      <c r="AG37" s="76"/>
      <c r="AH37" s="85"/>
    </row>
    <row r="38" spans="1:34" ht="21.75" hidden="1" thickBot="1">
      <c r="A38" s="73">
        <v>15</v>
      </c>
      <c r="B38" s="74" t="s">
        <v>134</v>
      </c>
      <c r="C38" s="74" t="s">
        <v>799</v>
      </c>
      <c r="D38" s="74" t="s">
        <v>153</v>
      </c>
      <c r="E38" s="74">
        <v>48.16</v>
      </c>
      <c r="F38" s="75"/>
      <c r="G38" s="75">
        <f>G36+F37</f>
        <v>1642.2930000000001</v>
      </c>
      <c r="H38" s="74" t="s">
        <v>134</v>
      </c>
      <c r="I38" s="76"/>
      <c r="J38" s="76"/>
      <c r="K38" s="76"/>
      <c r="L38" s="76"/>
      <c r="M38" s="264" t="s">
        <v>134</v>
      </c>
      <c r="N38" s="76"/>
      <c r="O38" s="76"/>
      <c r="P38" s="75">
        <v>52.106999999999999</v>
      </c>
      <c r="Q38" s="74" t="s">
        <v>134</v>
      </c>
      <c r="R38" s="75">
        <f>F37+F39</f>
        <v>714</v>
      </c>
      <c r="S38" s="78">
        <f>(F37+F39)/2</f>
        <v>357</v>
      </c>
      <c r="T38" s="73">
        <v>144</v>
      </c>
      <c r="U38" s="74">
        <v>176</v>
      </c>
      <c r="V38" s="79">
        <f>T38+U38</f>
        <v>320</v>
      </c>
      <c r="W38" s="73">
        <v>154</v>
      </c>
      <c r="X38" s="74">
        <v>177</v>
      </c>
      <c r="Y38" s="79">
        <f>W38+X38</f>
        <v>331</v>
      </c>
      <c r="Z38" s="80" t="s">
        <v>798</v>
      </c>
      <c r="AA38" s="81" t="s">
        <v>797</v>
      </c>
      <c r="AB38" s="82">
        <v>296452.21600000001</v>
      </c>
      <c r="AC38" s="83">
        <v>2865912.2110000001</v>
      </c>
      <c r="AD38" s="263"/>
      <c r="AE38" s="262" t="s">
        <v>268</v>
      </c>
      <c r="AF38" s="261"/>
      <c r="AG38" s="76"/>
      <c r="AH38" s="85"/>
    </row>
    <row r="39" spans="1:34" ht="21.75" hidden="1" thickBot="1">
      <c r="A39" s="73"/>
      <c r="B39" s="74" t="s">
        <v>134</v>
      </c>
      <c r="C39" s="74"/>
      <c r="D39" s="74"/>
      <c r="E39" s="74"/>
      <c r="F39" s="75">
        <v>358</v>
      </c>
      <c r="G39" s="74"/>
      <c r="H39" s="74"/>
      <c r="I39" s="76"/>
      <c r="J39" s="76"/>
      <c r="K39" s="76"/>
      <c r="L39" s="76"/>
      <c r="M39" s="264"/>
      <c r="N39" s="76"/>
      <c r="O39" s="76"/>
      <c r="P39" s="75"/>
      <c r="Q39" s="74"/>
      <c r="R39" s="75"/>
      <c r="S39" s="78"/>
      <c r="T39" s="73"/>
      <c r="U39" s="74"/>
      <c r="V39" s="79"/>
      <c r="W39" s="73"/>
      <c r="X39" s="74"/>
      <c r="Y39" s="79"/>
      <c r="Z39" s="80"/>
      <c r="AA39" s="81"/>
      <c r="AB39" s="82"/>
      <c r="AC39" s="83"/>
      <c r="AD39" s="263" t="s">
        <v>796</v>
      </c>
      <c r="AE39" s="262"/>
      <c r="AF39" s="261"/>
      <c r="AG39" s="76"/>
      <c r="AH39" s="85"/>
    </row>
    <row r="40" spans="1:34" ht="21.75" hidden="1" thickBot="1">
      <c r="A40" s="73">
        <v>16</v>
      </c>
      <c r="B40" s="74" t="s">
        <v>134</v>
      </c>
      <c r="C40" s="74" t="s">
        <v>795</v>
      </c>
      <c r="D40" s="74" t="s">
        <v>153</v>
      </c>
      <c r="E40" s="74">
        <v>48.16</v>
      </c>
      <c r="F40" s="75"/>
      <c r="G40" s="75">
        <f>G38+F39</f>
        <v>2000.2930000000001</v>
      </c>
      <c r="H40" s="74" t="s">
        <v>134</v>
      </c>
      <c r="I40" s="76"/>
      <c r="J40" s="76"/>
      <c r="K40" s="76"/>
      <c r="L40" s="76"/>
      <c r="M40" s="264" t="s">
        <v>134</v>
      </c>
      <c r="N40" s="76"/>
      <c r="O40" s="76"/>
      <c r="P40" s="75">
        <v>52.613</v>
      </c>
      <c r="Q40" s="74" t="s">
        <v>134</v>
      </c>
      <c r="R40" s="75">
        <f>F39+F41</f>
        <v>675.51800000000003</v>
      </c>
      <c r="S40" s="78">
        <f>(F39+F41)/2</f>
        <v>337.75900000000001</v>
      </c>
      <c r="T40" s="73">
        <v>182</v>
      </c>
      <c r="U40" s="74">
        <v>157</v>
      </c>
      <c r="V40" s="79">
        <f>T40+U40</f>
        <v>339</v>
      </c>
      <c r="W40" s="73">
        <v>182</v>
      </c>
      <c r="X40" s="74">
        <v>158</v>
      </c>
      <c r="Y40" s="79">
        <f>W40+X40</f>
        <v>340</v>
      </c>
      <c r="Z40" s="80" t="s">
        <v>794</v>
      </c>
      <c r="AA40" s="81" t="s">
        <v>793</v>
      </c>
      <c r="AB40" s="82">
        <v>296791.67200000002</v>
      </c>
      <c r="AC40" s="83">
        <v>2866025.9369999999</v>
      </c>
      <c r="AD40" s="263"/>
      <c r="AE40" s="262" t="s">
        <v>268</v>
      </c>
      <c r="AF40" s="261"/>
      <c r="AG40" s="76"/>
      <c r="AH40" s="85"/>
    </row>
    <row r="41" spans="1:34" ht="21.75" hidden="1" thickBot="1">
      <c r="A41" s="73"/>
      <c r="B41" s="74" t="s">
        <v>134</v>
      </c>
      <c r="C41" s="74"/>
      <c r="D41" s="74"/>
      <c r="E41" s="74"/>
      <c r="F41" s="75">
        <v>317.51799999999997</v>
      </c>
      <c r="G41" s="74"/>
      <c r="H41" s="74"/>
      <c r="I41" s="76"/>
      <c r="J41" s="76"/>
      <c r="K41" s="76"/>
      <c r="L41" s="76"/>
      <c r="M41" s="264"/>
      <c r="N41" s="76"/>
      <c r="O41" s="76"/>
      <c r="P41" s="75"/>
      <c r="Q41" s="74"/>
      <c r="R41" s="75"/>
      <c r="S41" s="78"/>
      <c r="T41" s="73"/>
      <c r="U41" s="74"/>
      <c r="V41" s="79"/>
      <c r="W41" s="73"/>
      <c r="X41" s="74"/>
      <c r="Y41" s="79"/>
      <c r="Z41" s="80"/>
      <c r="AA41" s="81"/>
      <c r="AB41" s="82"/>
      <c r="AC41" s="83"/>
      <c r="AD41" s="263" t="s">
        <v>700</v>
      </c>
      <c r="AE41" s="262"/>
      <c r="AF41" s="261"/>
      <c r="AG41" s="76"/>
      <c r="AH41" s="85"/>
    </row>
    <row r="42" spans="1:34" ht="21.75" hidden="1" thickBot="1">
      <c r="A42" s="73">
        <v>17</v>
      </c>
      <c r="B42" s="74" t="s">
        <v>370</v>
      </c>
      <c r="C42" s="74" t="s">
        <v>371</v>
      </c>
      <c r="D42" s="74" t="s">
        <v>133</v>
      </c>
      <c r="E42" s="74">
        <v>47.74</v>
      </c>
      <c r="F42" s="75"/>
      <c r="G42" s="75">
        <f>G40+F41</f>
        <v>2317.8110000000001</v>
      </c>
      <c r="H42" s="75">
        <f>SUM(F35:F42)</f>
        <v>1451.518</v>
      </c>
      <c r="I42" s="76"/>
      <c r="J42" s="76"/>
      <c r="K42" s="76"/>
      <c r="L42" s="76"/>
      <c r="M42" s="264" t="s">
        <v>134</v>
      </c>
      <c r="N42" s="76"/>
      <c r="O42" s="76"/>
      <c r="P42" s="75">
        <v>52.682000000000002</v>
      </c>
      <c r="Q42" s="74" t="s">
        <v>792</v>
      </c>
      <c r="R42" s="75">
        <f>F41+F43</f>
        <v>586.51800000000003</v>
      </c>
      <c r="S42" s="78">
        <f>(F41+F43)/2</f>
        <v>293.25900000000001</v>
      </c>
      <c r="T42" s="73">
        <v>158</v>
      </c>
      <c r="U42" s="74">
        <v>133</v>
      </c>
      <c r="V42" s="79">
        <f>T42+U42</f>
        <v>291</v>
      </c>
      <c r="W42" s="73">
        <v>158</v>
      </c>
      <c r="X42" s="74">
        <v>133</v>
      </c>
      <c r="Y42" s="79">
        <f>W42+X42</f>
        <v>291</v>
      </c>
      <c r="Z42" s="80" t="s">
        <v>791</v>
      </c>
      <c r="AA42" s="81" t="s">
        <v>790</v>
      </c>
      <c r="AB42" s="82">
        <v>297092.74300000002</v>
      </c>
      <c r="AC42" s="83">
        <v>2866126.804</v>
      </c>
      <c r="AD42" s="263"/>
      <c r="AE42" s="262" t="s">
        <v>268</v>
      </c>
      <c r="AF42" s="261"/>
      <c r="AG42" s="76"/>
      <c r="AH42" s="85"/>
    </row>
    <row r="43" spans="1:34" ht="31.9" hidden="1" customHeight="1">
      <c r="A43" s="73"/>
      <c r="B43" s="74" t="s">
        <v>134</v>
      </c>
      <c r="C43" s="74"/>
      <c r="D43" s="74"/>
      <c r="E43" s="74"/>
      <c r="F43" s="75">
        <v>269</v>
      </c>
      <c r="G43" s="74"/>
      <c r="H43" s="74"/>
      <c r="I43" s="76"/>
      <c r="J43" s="76"/>
      <c r="K43" s="76"/>
      <c r="L43" s="76"/>
      <c r="M43" s="264"/>
      <c r="N43" s="76"/>
      <c r="O43" s="76"/>
      <c r="P43" s="75"/>
      <c r="Q43" s="74"/>
      <c r="R43" s="75"/>
      <c r="S43" s="78"/>
      <c r="T43" s="73"/>
      <c r="U43" s="74"/>
      <c r="V43" s="79"/>
      <c r="W43" s="73"/>
      <c r="X43" s="74"/>
      <c r="Y43" s="79"/>
      <c r="Z43" s="80"/>
      <c r="AA43" s="81"/>
      <c r="AB43" s="82"/>
      <c r="AC43" s="83"/>
      <c r="AD43" s="263" t="s">
        <v>789</v>
      </c>
      <c r="AE43" s="262"/>
      <c r="AF43" s="261"/>
      <c r="AG43" s="76"/>
      <c r="AH43" s="85"/>
    </row>
    <row r="44" spans="1:34" ht="21.75" hidden="1" thickBot="1">
      <c r="A44" s="73">
        <v>18</v>
      </c>
      <c r="B44" s="74" t="s">
        <v>134</v>
      </c>
      <c r="C44" s="74" t="s">
        <v>376</v>
      </c>
      <c r="D44" s="74" t="s">
        <v>153</v>
      </c>
      <c r="E44" s="74">
        <v>48.16</v>
      </c>
      <c r="F44" s="75"/>
      <c r="G44" s="75">
        <f>G42+F43</f>
        <v>2586.8110000000001</v>
      </c>
      <c r="H44" s="74" t="s">
        <v>134</v>
      </c>
      <c r="I44" s="76"/>
      <c r="J44" s="76"/>
      <c r="K44" s="76"/>
      <c r="L44" s="76"/>
      <c r="M44" s="264" t="s">
        <v>134</v>
      </c>
      <c r="N44" s="76"/>
      <c r="O44" s="76"/>
      <c r="P44" s="75">
        <v>52.67</v>
      </c>
      <c r="Q44" s="74" t="s">
        <v>134</v>
      </c>
      <c r="R44" s="75">
        <f>F43+F45</f>
        <v>509.12900000000002</v>
      </c>
      <c r="S44" s="78">
        <f>(F43+F45)/2</f>
        <v>254.56450000000001</v>
      </c>
      <c r="T44" s="73">
        <v>133</v>
      </c>
      <c r="U44" s="74">
        <v>124</v>
      </c>
      <c r="V44" s="79">
        <f>T44+U44</f>
        <v>257</v>
      </c>
      <c r="W44" s="73">
        <v>133</v>
      </c>
      <c r="X44" s="74">
        <v>123</v>
      </c>
      <c r="Y44" s="79">
        <f>W44+X44</f>
        <v>256</v>
      </c>
      <c r="Z44" s="80" t="s">
        <v>788</v>
      </c>
      <c r="AA44" s="81" t="s">
        <v>787</v>
      </c>
      <c r="AB44" s="82">
        <v>297345.89500000002</v>
      </c>
      <c r="AC44" s="83">
        <v>2866035.8360000001</v>
      </c>
      <c r="AD44" s="263"/>
      <c r="AE44" s="262" t="s">
        <v>268</v>
      </c>
      <c r="AF44" s="261"/>
      <c r="AG44" s="76"/>
      <c r="AH44" s="85" t="s">
        <v>14</v>
      </c>
    </row>
    <row r="45" spans="1:34" ht="33" hidden="1" customHeight="1">
      <c r="A45" s="73"/>
      <c r="B45" s="74" t="s">
        <v>134</v>
      </c>
      <c r="C45" s="74"/>
      <c r="D45" s="74"/>
      <c r="E45" s="74"/>
      <c r="F45" s="75">
        <v>240.12899999999999</v>
      </c>
      <c r="G45" s="74"/>
      <c r="H45" s="74"/>
      <c r="I45" s="76"/>
      <c r="J45" s="76"/>
      <c r="K45" s="76"/>
      <c r="L45" s="76"/>
      <c r="M45" s="264"/>
      <c r="N45" s="76"/>
      <c r="O45" s="76"/>
      <c r="P45" s="75"/>
      <c r="Q45" s="74"/>
      <c r="R45" s="75"/>
      <c r="S45" s="78"/>
      <c r="T45" s="73"/>
      <c r="U45" s="74"/>
      <c r="V45" s="79"/>
      <c r="W45" s="73"/>
      <c r="X45" s="74"/>
      <c r="Y45" s="79"/>
      <c r="Z45" s="80"/>
      <c r="AA45" s="81"/>
      <c r="AB45" s="82"/>
      <c r="AC45" s="83"/>
      <c r="AD45" s="263" t="s">
        <v>786</v>
      </c>
      <c r="AE45" s="262"/>
      <c r="AF45" s="261"/>
      <c r="AG45" s="76"/>
      <c r="AH45" s="85" t="s">
        <v>785</v>
      </c>
    </row>
    <row r="46" spans="1:34" ht="21.75" hidden="1" thickBot="1">
      <c r="A46" s="73">
        <v>19</v>
      </c>
      <c r="B46" s="74" t="s">
        <v>379</v>
      </c>
      <c r="C46" s="74" t="s">
        <v>70</v>
      </c>
      <c r="D46" s="74" t="s">
        <v>167</v>
      </c>
      <c r="E46" s="74">
        <v>47.74</v>
      </c>
      <c r="F46" s="75"/>
      <c r="G46" s="75">
        <f>G44+F45</f>
        <v>2826.94</v>
      </c>
      <c r="H46" s="75">
        <f>SUM(F43:F46)</f>
        <v>509.12900000000002</v>
      </c>
      <c r="I46" s="76"/>
      <c r="J46" s="76"/>
      <c r="K46" s="76"/>
      <c r="L46" s="76"/>
      <c r="M46" s="264" t="s">
        <v>134</v>
      </c>
      <c r="N46" s="76"/>
      <c r="O46" s="76"/>
      <c r="P46" s="75">
        <v>52.387</v>
      </c>
      <c r="Q46" s="74" t="s">
        <v>784</v>
      </c>
      <c r="R46" s="75">
        <f>F45+F47</f>
        <v>591.12900000000002</v>
      </c>
      <c r="S46" s="78">
        <f>(F45+F47)/2</f>
        <v>295.56450000000001</v>
      </c>
      <c r="T46" s="73">
        <v>118</v>
      </c>
      <c r="U46" s="74">
        <v>174</v>
      </c>
      <c r="V46" s="79">
        <f>T46+U46</f>
        <v>292</v>
      </c>
      <c r="W46" s="73">
        <v>119</v>
      </c>
      <c r="X46" s="74">
        <v>175</v>
      </c>
      <c r="Y46" s="79">
        <f>W46+X46</f>
        <v>294</v>
      </c>
      <c r="Z46" s="80" t="s">
        <v>783</v>
      </c>
      <c r="AA46" s="81" t="s">
        <v>782</v>
      </c>
      <c r="AB46" s="82">
        <v>297571.87699999998</v>
      </c>
      <c r="AC46" s="83">
        <v>2865954.6310000001</v>
      </c>
      <c r="AD46" s="263"/>
      <c r="AE46" s="262" t="s">
        <v>317</v>
      </c>
      <c r="AF46" s="261"/>
      <c r="AG46" s="76"/>
      <c r="AH46" s="85" t="s">
        <v>14</v>
      </c>
    </row>
    <row r="47" spans="1:34" ht="33" hidden="1" customHeight="1">
      <c r="A47" s="73"/>
      <c r="B47" s="74" t="s">
        <v>134</v>
      </c>
      <c r="C47" s="74"/>
      <c r="D47" s="74"/>
      <c r="E47" s="74"/>
      <c r="F47" s="75">
        <v>351</v>
      </c>
      <c r="G47" s="74"/>
      <c r="H47" s="74"/>
      <c r="I47" s="76"/>
      <c r="J47" s="76"/>
      <c r="K47" s="76"/>
      <c r="L47" s="76"/>
      <c r="M47" s="264"/>
      <c r="N47" s="76"/>
      <c r="O47" s="76"/>
      <c r="P47" s="75"/>
      <c r="Q47" s="74"/>
      <c r="R47" s="75"/>
      <c r="S47" s="78"/>
      <c r="T47" s="73"/>
      <c r="U47" s="74"/>
      <c r="V47" s="79"/>
      <c r="W47" s="73"/>
      <c r="X47" s="74"/>
      <c r="Y47" s="79"/>
      <c r="Z47" s="80"/>
      <c r="AA47" s="81"/>
      <c r="AB47" s="82"/>
      <c r="AC47" s="83"/>
      <c r="AD47" s="263" t="s">
        <v>700</v>
      </c>
      <c r="AE47" s="262"/>
      <c r="AF47" s="261"/>
      <c r="AG47" s="76"/>
      <c r="AH47" s="85" t="s">
        <v>781</v>
      </c>
    </row>
    <row r="48" spans="1:34" ht="21.75" hidden="1" thickBot="1">
      <c r="A48" s="73">
        <v>20</v>
      </c>
      <c r="B48" s="74" t="s">
        <v>134</v>
      </c>
      <c r="C48" s="74" t="s">
        <v>384</v>
      </c>
      <c r="D48" s="74" t="s">
        <v>153</v>
      </c>
      <c r="E48" s="74">
        <v>48.16</v>
      </c>
      <c r="F48" s="75"/>
      <c r="G48" s="75">
        <f>G46+F47</f>
        <v>3177.94</v>
      </c>
      <c r="H48" s="74" t="s">
        <v>134</v>
      </c>
      <c r="I48" s="76"/>
      <c r="J48" s="76"/>
      <c r="K48" s="76"/>
      <c r="L48" s="76"/>
      <c r="M48" s="264" t="s">
        <v>134</v>
      </c>
      <c r="N48" s="76"/>
      <c r="O48" s="76"/>
      <c r="P48" s="75">
        <v>52.823</v>
      </c>
      <c r="Q48" s="74" t="s">
        <v>134</v>
      </c>
      <c r="R48" s="75">
        <f>F47+F49</f>
        <v>708.00900000000001</v>
      </c>
      <c r="S48" s="78">
        <f>(F47+F49)/2</f>
        <v>354.00450000000001</v>
      </c>
      <c r="T48" s="73">
        <v>179</v>
      </c>
      <c r="U48" s="74">
        <v>160</v>
      </c>
      <c r="V48" s="79">
        <f>T48+U48</f>
        <v>339</v>
      </c>
      <c r="W48" s="73">
        <v>179</v>
      </c>
      <c r="X48" s="74">
        <v>166</v>
      </c>
      <c r="Y48" s="79">
        <f>W48+X48</f>
        <v>345</v>
      </c>
      <c r="Z48" s="80" t="s">
        <v>780</v>
      </c>
      <c r="AA48" s="81" t="s">
        <v>779</v>
      </c>
      <c r="AB48" s="82">
        <v>297920.83399999997</v>
      </c>
      <c r="AC48" s="83">
        <v>2865992.4389999998</v>
      </c>
      <c r="AD48" s="263"/>
      <c r="AE48" s="262" t="s">
        <v>317</v>
      </c>
      <c r="AF48" s="261"/>
      <c r="AG48" s="76"/>
      <c r="AH48" s="85"/>
    </row>
    <row r="49" spans="1:34" ht="21.75" hidden="1" thickBot="1">
      <c r="A49" s="73"/>
      <c r="B49" s="74" t="s">
        <v>134</v>
      </c>
      <c r="C49" s="74"/>
      <c r="D49" s="74"/>
      <c r="E49" s="74"/>
      <c r="F49" s="75">
        <v>357.00900000000001</v>
      </c>
      <c r="G49" s="74"/>
      <c r="H49" s="74"/>
      <c r="I49" s="76"/>
      <c r="J49" s="76"/>
      <c r="K49" s="76"/>
      <c r="L49" s="76"/>
      <c r="M49" s="264"/>
      <c r="N49" s="76"/>
      <c r="O49" s="76"/>
      <c r="P49" s="75"/>
      <c r="Q49" s="74"/>
      <c r="R49" s="75"/>
      <c r="S49" s="78"/>
      <c r="T49" s="73"/>
      <c r="U49" s="74"/>
      <c r="V49" s="79"/>
      <c r="W49" s="73"/>
      <c r="X49" s="74"/>
      <c r="Y49" s="79"/>
      <c r="Z49" s="80"/>
      <c r="AA49" s="81"/>
      <c r="AB49" s="82"/>
      <c r="AC49" s="83"/>
      <c r="AD49" s="263" t="s">
        <v>778</v>
      </c>
      <c r="AE49" s="262"/>
      <c r="AF49" s="261"/>
      <c r="AG49" s="76"/>
      <c r="AH49" s="85"/>
    </row>
    <row r="50" spans="1:34" ht="21.75" hidden="1" thickBot="1">
      <c r="A50" s="73">
        <v>21</v>
      </c>
      <c r="B50" s="74" t="s">
        <v>392</v>
      </c>
      <c r="C50" s="74" t="s">
        <v>393</v>
      </c>
      <c r="D50" s="74" t="s">
        <v>245</v>
      </c>
      <c r="E50" s="74">
        <v>50.74</v>
      </c>
      <c r="F50" s="75"/>
      <c r="G50" s="75">
        <f>G48+F49</f>
        <v>3534.9490000000001</v>
      </c>
      <c r="H50" s="75">
        <f>SUM(F47:F50)</f>
        <v>708.00900000000001</v>
      </c>
      <c r="I50" s="76"/>
      <c r="J50" s="76"/>
      <c r="K50" s="76"/>
      <c r="L50" s="76"/>
      <c r="M50" s="264" t="s">
        <v>134</v>
      </c>
      <c r="N50" s="76"/>
      <c r="O50" s="76"/>
      <c r="P50" s="75">
        <v>52.838999999999999</v>
      </c>
      <c r="Q50" s="74" t="s">
        <v>777</v>
      </c>
      <c r="R50" s="75">
        <f>F49+F51</f>
        <v>754.81400000000008</v>
      </c>
      <c r="S50" s="78">
        <f>(F49+F51)/2</f>
        <v>377.40700000000004</v>
      </c>
      <c r="T50" s="73">
        <v>196</v>
      </c>
      <c r="U50" s="74">
        <v>218</v>
      </c>
      <c r="V50" s="79">
        <f>T50+U50</f>
        <v>414</v>
      </c>
      <c r="W50" s="73">
        <v>191</v>
      </c>
      <c r="X50" s="74">
        <v>213</v>
      </c>
      <c r="Y50" s="79">
        <f>W50+X50</f>
        <v>404</v>
      </c>
      <c r="Z50" s="80" t="s">
        <v>776</v>
      </c>
      <c r="AA50" s="81" t="s">
        <v>775</v>
      </c>
      <c r="AB50" s="82">
        <v>298275.766</v>
      </c>
      <c r="AC50" s="83">
        <v>2866030.895</v>
      </c>
      <c r="AD50" s="263"/>
      <c r="AE50" s="262" t="s">
        <v>317</v>
      </c>
      <c r="AF50" s="261"/>
      <c r="AG50" s="76"/>
      <c r="AH50" s="85"/>
    </row>
    <row r="51" spans="1:34" ht="34.15" hidden="1" customHeight="1">
      <c r="A51" s="73"/>
      <c r="B51" s="74" t="s">
        <v>134</v>
      </c>
      <c r="C51" s="74"/>
      <c r="D51" s="74"/>
      <c r="E51" s="74"/>
      <c r="F51" s="75">
        <v>397.80500000000001</v>
      </c>
      <c r="G51" s="74"/>
      <c r="H51" s="74"/>
      <c r="I51" s="76"/>
      <c r="J51" s="76"/>
      <c r="K51" s="76"/>
      <c r="L51" s="76"/>
      <c r="M51" s="264"/>
      <c r="N51" s="76"/>
      <c r="O51" s="76"/>
      <c r="P51" s="75"/>
      <c r="Q51" s="74"/>
      <c r="R51" s="75"/>
      <c r="S51" s="78"/>
      <c r="T51" s="73"/>
      <c r="U51" s="74"/>
      <c r="V51" s="79"/>
      <c r="W51" s="73"/>
      <c r="X51" s="74"/>
      <c r="Y51" s="79"/>
      <c r="Z51" s="80"/>
      <c r="AA51" s="81"/>
      <c r="AB51" s="82"/>
      <c r="AC51" s="83"/>
      <c r="AD51" s="263" t="s">
        <v>774</v>
      </c>
      <c r="AE51" s="262"/>
      <c r="AF51" s="261"/>
      <c r="AG51" s="76"/>
      <c r="AH51" s="85" t="s">
        <v>773</v>
      </c>
    </row>
    <row r="52" spans="1:34" ht="21.75" hidden="1" thickBot="1">
      <c r="A52" s="73">
        <v>22</v>
      </c>
      <c r="B52" s="74" t="s">
        <v>415</v>
      </c>
      <c r="C52" s="74" t="s">
        <v>416</v>
      </c>
      <c r="D52" s="74" t="s">
        <v>133</v>
      </c>
      <c r="E52" s="74">
        <v>47.74</v>
      </c>
      <c r="F52" s="75"/>
      <c r="G52" s="75">
        <f>G50+F51</f>
        <v>3932.7539999999999</v>
      </c>
      <c r="H52" s="75">
        <f>SUM(F51:F52)</f>
        <v>397.80500000000001</v>
      </c>
      <c r="I52" s="76"/>
      <c r="J52" s="76"/>
      <c r="K52" s="76"/>
      <c r="L52" s="76"/>
      <c r="M52" s="264" t="s">
        <v>134</v>
      </c>
      <c r="N52" s="76"/>
      <c r="O52" s="76"/>
      <c r="P52" s="75">
        <v>52.570999999999998</v>
      </c>
      <c r="Q52" s="74" t="s">
        <v>772</v>
      </c>
      <c r="R52" s="75">
        <f>F51+F53</f>
        <v>696.80500000000006</v>
      </c>
      <c r="S52" s="78">
        <f>(F51+F53)/2</f>
        <v>348.40250000000003</v>
      </c>
      <c r="T52" s="73">
        <v>184</v>
      </c>
      <c r="U52" s="74">
        <v>106</v>
      </c>
      <c r="V52" s="79">
        <f>T52+U52</f>
        <v>290</v>
      </c>
      <c r="W52" s="73">
        <v>189</v>
      </c>
      <c r="X52" s="74">
        <v>121</v>
      </c>
      <c r="Y52" s="79">
        <f>W52+X52</f>
        <v>310</v>
      </c>
      <c r="Z52" s="80" t="s">
        <v>771</v>
      </c>
      <c r="AA52" s="81" t="s">
        <v>770</v>
      </c>
      <c r="AB52" s="82">
        <v>298669.59100000001</v>
      </c>
      <c r="AC52" s="83">
        <v>2865974.7650000001</v>
      </c>
      <c r="AD52" s="263"/>
      <c r="AE52" s="262" t="s">
        <v>330</v>
      </c>
      <c r="AF52" s="261"/>
      <c r="AG52" s="76"/>
      <c r="AH52" s="85"/>
    </row>
    <row r="53" spans="1:34" ht="21.75" hidden="1" thickBot="1">
      <c r="A53" s="73"/>
      <c r="B53" s="74" t="s">
        <v>134</v>
      </c>
      <c r="C53" s="74"/>
      <c r="D53" s="74"/>
      <c r="E53" s="74"/>
      <c r="F53" s="75">
        <v>299</v>
      </c>
      <c r="G53" s="74"/>
      <c r="H53" s="74"/>
      <c r="I53" s="76"/>
      <c r="J53" s="76"/>
      <c r="K53" s="76"/>
      <c r="L53" s="76"/>
      <c r="M53" s="264"/>
      <c r="N53" s="76"/>
      <c r="O53" s="76"/>
      <c r="P53" s="75"/>
      <c r="Q53" s="74"/>
      <c r="R53" s="75"/>
      <c r="S53" s="78"/>
      <c r="T53" s="73"/>
      <c r="U53" s="74"/>
      <c r="V53" s="79"/>
      <c r="W53" s="73"/>
      <c r="X53" s="74"/>
      <c r="Y53" s="79"/>
      <c r="Z53" s="80"/>
      <c r="AA53" s="81"/>
      <c r="AB53" s="82"/>
      <c r="AC53" s="83"/>
      <c r="AD53" s="263" t="s">
        <v>769</v>
      </c>
      <c r="AE53" s="262"/>
      <c r="AF53" s="261"/>
      <c r="AG53" s="76"/>
      <c r="AH53" s="85"/>
    </row>
    <row r="54" spans="1:34" ht="21.75" hidden="1" thickBot="1">
      <c r="A54" s="73">
        <v>23</v>
      </c>
      <c r="B54" s="74" t="s">
        <v>134</v>
      </c>
      <c r="C54" s="74" t="s">
        <v>421</v>
      </c>
      <c r="D54" s="74" t="s">
        <v>301</v>
      </c>
      <c r="E54" s="74">
        <v>54.16</v>
      </c>
      <c r="F54" s="75"/>
      <c r="G54" s="75">
        <f>G52+F53</f>
        <v>4231.7539999999999</v>
      </c>
      <c r="H54" s="74" t="s">
        <v>134</v>
      </c>
      <c r="I54" s="76"/>
      <c r="J54" s="76"/>
      <c r="K54" s="76"/>
      <c r="L54" s="76"/>
      <c r="M54" s="264" t="s">
        <v>134</v>
      </c>
      <c r="N54" s="76"/>
      <c r="O54" s="76"/>
      <c r="P54" s="75">
        <v>52.997999999999998</v>
      </c>
      <c r="Q54" s="74" t="s">
        <v>134</v>
      </c>
      <c r="R54" s="75">
        <f>F53+F55</f>
        <v>681.29700000000003</v>
      </c>
      <c r="S54" s="78">
        <f>(F53+F55)/2</f>
        <v>340.64850000000001</v>
      </c>
      <c r="T54" s="73">
        <v>197</v>
      </c>
      <c r="U54" s="74">
        <v>207</v>
      </c>
      <c r="V54" s="79">
        <f>T54+U54</f>
        <v>404</v>
      </c>
      <c r="W54" s="73">
        <v>183</v>
      </c>
      <c r="X54" s="74">
        <v>202</v>
      </c>
      <c r="Y54" s="79">
        <f>W54+X54</f>
        <v>385</v>
      </c>
      <c r="Z54" s="80" t="s">
        <v>768</v>
      </c>
      <c r="AA54" s="81" t="s">
        <v>767</v>
      </c>
      <c r="AB54" s="82">
        <v>298864.99300000002</v>
      </c>
      <c r="AC54" s="83">
        <v>2866201.0819999999</v>
      </c>
      <c r="AD54" s="263"/>
      <c r="AE54" s="262" t="s">
        <v>330</v>
      </c>
      <c r="AF54" s="261"/>
      <c r="AG54" s="76"/>
      <c r="AH54" s="85"/>
    </row>
    <row r="55" spans="1:34" ht="21.75" hidden="1" thickBot="1">
      <c r="A55" s="73"/>
      <c r="B55" s="74" t="s">
        <v>134</v>
      </c>
      <c r="C55" s="74"/>
      <c r="D55" s="74"/>
      <c r="E55" s="74"/>
      <c r="F55" s="75">
        <v>382.29700000000003</v>
      </c>
      <c r="G55" s="74"/>
      <c r="H55" s="74"/>
      <c r="I55" s="76"/>
      <c r="J55" s="76"/>
      <c r="K55" s="76"/>
      <c r="L55" s="76"/>
      <c r="M55" s="264"/>
      <c r="N55" s="76"/>
      <c r="O55" s="76"/>
      <c r="P55" s="75"/>
      <c r="Q55" s="74"/>
      <c r="R55" s="75"/>
      <c r="S55" s="78"/>
      <c r="T55" s="73"/>
      <c r="U55" s="74"/>
      <c r="V55" s="79"/>
      <c r="W55" s="73"/>
      <c r="X55" s="74"/>
      <c r="Y55" s="79"/>
      <c r="Z55" s="80"/>
      <c r="AA55" s="81"/>
      <c r="AB55" s="82"/>
      <c r="AC55" s="83"/>
      <c r="AD55" s="263" t="s">
        <v>766</v>
      </c>
      <c r="AE55" s="262"/>
      <c r="AF55" s="261"/>
      <c r="AG55" s="76"/>
      <c r="AH55" s="85"/>
    </row>
    <row r="56" spans="1:34" ht="21.75" hidden="1" thickBot="1">
      <c r="A56" s="73">
        <v>24</v>
      </c>
      <c r="B56" s="74" t="s">
        <v>425</v>
      </c>
      <c r="C56" s="74" t="s">
        <v>71</v>
      </c>
      <c r="D56" s="74" t="s">
        <v>344</v>
      </c>
      <c r="E56" s="74">
        <v>50.74</v>
      </c>
      <c r="F56" s="75"/>
      <c r="G56" s="75">
        <f>G54+F55</f>
        <v>4614.0509999999995</v>
      </c>
      <c r="H56" s="75">
        <f>SUM(F53:F56)</f>
        <v>681.29700000000003</v>
      </c>
      <c r="I56" s="76"/>
      <c r="J56" s="76"/>
      <c r="K56" s="76"/>
      <c r="L56" s="76"/>
      <c r="M56" s="264" t="s">
        <v>134</v>
      </c>
      <c r="N56" s="76"/>
      <c r="O56" s="76"/>
      <c r="P56" s="75">
        <v>53.143000000000001</v>
      </c>
      <c r="Q56" s="74" t="s">
        <v>765</v>
      </c>
      <c r="R56" s="75">
        <f>F55+F57</f>
        <v>730.33899999999994</v>
      </c>
      <c r="S56" s="78">
        <f>(F55+F57)/2</f>
        <v>365.16949999999997</v>
      </c>
      <c r="T56" s="73">
        <v>174</v>
      </c>
      <c r="U56" s="74">
        <v>190</v>
      </c>
      <c r="V56" s="79">
        <f>T56+U56</f>
        <v>364</v>
      </c>
      <c r="W56" s="73">
        <v>180</v>
      </c>
      <c r="X56" s="74">
        <v>185</v>
      </c>
      <c r="Y56" s="79">
        <f>W56+X56</f>
        <v>365</v>
      </c>
      <c r="Z56" s="80" t="s">
        <v>764</v>
      </c>
      <c r="AA56" s="81" t="s">
        <v>763</v>
      </c>
      <c r="AB56" s="82">
        <v>299114.83100000001</v>
      </c>
      <c r="AC56" s="83">
        <v>2866490.4470000002</v>
      </c>
      <c r="AD56" s="263"/>
      <c r="AE56" s="262" t="s">
        <v>330</v>
      </c>
      <c r="AF56" s="261"/>
      <c r="AG56" s="76"/>
      <c r="AH56" s="85"/>
    </row>
    <row r="57" spans="1:34" ht="21.75" hidden="1" thickBot="1">
      <c r="A57" s="73"/>
      <c r="B57" s="74" t="s">
        <v>134</v>
      </c>
      <c r="C57" s="74"/>
      <c r="D57" s="74"/>
      <c r="E57" s="74"/>
      <c r="F57" s="75">
        <v>348.04199999999997</v>
      </c>
      <c r="G57" s="74"/>
      <c r="H57" s="74"/>
      <c r="I57" s="76"/>
      <c r="J57" s="76"/>
      <c r="K57" s="76"/>
      <c r="L57" s="76"/>
      <c r="M57" s="264"/>
      <c r="N57" s="76"/>
      <c r="O57" s="76"/>
      <c r="P57" s="75"/>
      <c r="Q57" s="74"/>
      <c r="R57" s="75"/>
      <c r="S57" s="78"/>
      <c r="T57" s="73"/>
      <c r="U57" s="74"/>
      <c r="V57" s="79"/>
      <c r="W57" s="73"/>
      <c r="X57" s="74"/>
      <c r="Y57" s="79"/>
      <c r="Z57" s="80"/>
      <c r="AA57" s="81"/>
      <c r="AB57" s="82"/>
      <c r="AC57" s="83"/>
      <c r="AD57" s="263"/>
      <c r="AE57" s="262"/>
      <c r="AF57" s="261"/>
      <c r="AG57" s="76"/>
      <c r="AH57" s="85"/>
    </row>
    <row r="58" spans="1:34" ht="21.75" hidden="1" thickBot="1">
      <c r="A58" s="73">
        <v>25</v>
      </c>
      <c r="B58" s="74" t="s">
        <v>435</v>
      </c>
      <c r="C58" s="74" t="s">
        <v>436</v>
      </c>
      <c r="D58" s="74" t="s">
        <v>133</v>
      </c>
      <c r="E58" s="74">
        <v>47.74</v>
      </c>
      <c r="F58" s="75"/>
      <c r="G58" s="75">
        <f>G56+F57</f>
        <v>4962.0929999999998</v>
      </c>
      <c r="H58" s="75">
        <f>SUM(F57:F58)</f>
        <v>348.04199999999997</v>
      </c>
      <c r="I58" s="76"/>
      <c r="J58" s="76"/>
      <c r="K58" s="76"/>
      <c r="L58" s="76"/>
      <c r="M58" s="264" t="s">
        <v>134</v>
      </c>
      <c r="N58" s="76"/>
      <c r="O58" s="76"/>
      <c r="P58" s="75">
        <v>53.66</v>
      </c>
      <c r="Q58" s="74" t="s">
        <v>762</v>
      </c>
      <c r="R58" s="75">
        <f>F57+F59</f>
        <v>626.58699999999999</v>
      </c>
      <c r="S58" s="78">
        <f>(F57+F59)/2</f>
        <v>313.29349999999999</v>
      </c>
      <c r="T58" s="73">
        <v>159</v>
      </c>
      <c r="U58" s="74">
        <v>137</v>
      </c>
      <c r="V58" s="79">
        <f>T58+U58</f>
        <v>296</v>
      </c>
      <c r="W58" s="73">
        <v>164</v>
      </c>
      <c r="X58" s="74">
        <v>138</v>
      </c>
      <c r="Y58" s="79">
        <f>W58+X58</f>
        <v>302</v>
      </c>
      <c r="Z58" s="80" t="s">
        <v>761</v>
      </c>
      <c r="AA58" s="81" t="s">
        <v>760</v>
      </c>
      <c r="AB58" s="82">
        <v>299447.52399999998</v>
      </c>
      <c r="AC58" s="83">
        <v>2866592.6669999999</v>
      </c>
      <c r="AD58" s="263"/>
      <c r="AE58" s="262" t="s">
        <v>352</v>
      </c>
      <c r="AF58" s="261"/>
      <c r="AG58" s="76"/>
      <c r="AH58" s="85"/>
    </row>
    <row r="59" spans="1:34" ht="31.15" hidden="1" customHeight="1">
      <c r="A59" s="73"/>
      <c r="B59" s="74" t="s">
        <v>134</v>
      </c>
      <c r="C59" s="74"/>
      <c r="D59" s="74"/>
      <c r="E59" s="74"/>
      <c r="F59" s="75">
        <v>278.54500000000002</v>
      </c>
      <c r="G59" s="74"/>
      <c r="H59" s="74"/>
      <c r="I59" s="76"/>
      <c r="J59" s="76"/>
      <c r="K59" s="76"/>
      <c r="L59" s="76"/>
      <c r="M59" s="264"/>
      <c r="N59" s="76"/>
      <c r="O59" s="76"/>
      <c r="P59" s="75"/>
      <c r="Q59" s="74"/>
      <c r="R59" s="75"/>
      <c r="S59" s="78"/>
      <c r="T59" s="73"/>
      <c r="U59" s="74"/>
      <c r="V59" s="79"/>
      <c r="W59" s="73"/>
      <c r="X59" s="74"/>
      <c r="Y59" s="79"/>
      <c r="Z59" s="80"/>
      <c r="AA59" s="81"/>
      <c r="AB59" s="82"/>
      <c r="AC59" s="83"/>
      <c r="AD59" s="263" t="s">
        <v>759</v>
      </c>
      <c r="AE59" s="262"/>
      <c r="AF59" s="261"/>
      <c r="AG59" s="76"/>
      <c r="AH59" s="85"/>
    </row>
    <row r="60" spans="1:34" ht="21.75" hidden="1" thickBot="1">
      <c r="A60" s="73">
        <v>26</v>
      </c>
      <c r="B60" s="74" t="s">
        <v>442</v>
      </c>
      <c r="C60" s="74" t="s">
        <v>443</v>
      </c>
      <c r="D60" s="74" t="s">
        <v>133</v>
      </c>
      <c r="E60" s="74">
        <v>47.74</v>
      </c>
      <c r="F60" s="75"/>
      <c r="G60" s="75">
        <f>G58+F59</f>
        <v>5240.6379999999999</v>
      </c>
      <c r="H60" s="75">
        <f>SUM(F59:F60)</f>
        <v>278.54500000000002</v>
      </c>
      <c r="I60" s="76"/>
      <c r="J60" s="76"/>
      <c r="K60" s="76"/>
      <c r="L60" s="76"/>
      <c r="M60" s="264" t="s">
        <v>134</v>
      </c>
      <c r="N60" s="76"/>
      <c r="O60" s="76"/>
      <c r="P60" s="75">
        <v>53.92</v>
      </c>
      <c r="Q60" s="74" t="s">
        <v>758</v>
      </c>
      <c r="R60" s="75">
        <f>F59+F61</f>
        <v>492.50200000000001</v>
      </c>
      <c r="S60" s="78">
        <f>(F59+F61)/2</f>
        <v>246.251</v>
      </c>
      <c r="T60" s="73">
        <v>141</v>
      </c>
      <c r="U60" s="74">
        <v>101</v>
      </c>
      <c r="V60" s="79">
        <f>T60+U60</f>
        <v>242</v>
      </c>
      <c r="W60" s="73">
        <v>140</v>
      </c>
      <c r="X60" s="74">
        <v>104</v>
      </c>
      <c r="Y60" s="79">
        <f>W60+X60</f>
        <v>244</v>
      </c>
      <c r="Z60" s="80" t="s">
        <v>757</v>
      </c>
      <c r="AA60" s="81" t="s">
        <v>756</v>
      </c>
      <c r="AB60" s="82">
        <v>299591.37800000003</v>
      </c>
      <c r="AC60" s="83">
        <v>2866831.19</v>
      </c>
      <c r="AD60" s="263"/>
      <c r="AE60" s="262" t="s">
        <v>361</v>
      </c>
      <c r="AF60" s="261"/>
      <c r="AG60" s="76"/>
      <c r="AH60" s="85" t="s">
        <v>14</v>
      </c>
    </row>
    <row r="61" spans="1:34" ht="21.75" hidden="1" thickBot="1">
      <c r="A61" s="73"/>
      <c r="B61" s="74" t="s">
        <v>134</v>
      </c>
      <c r="C61" s="74"/>
      <c r="D61" s="74"/>
      <c r="E61" s="74"/>
      <c r="F61" s="75">
        <v>213.95699999999999</v>
      </c>
      <c r="G61" s="74"/>
      <c r="H61" s="74"/>
      <c r="I61" s="76"/>
      <c r="J61" s="76"/>
      <c r="K61" s="76"/>
      <c r="L61" s="76"/>
      <c r="M61" s="264"/>
      <c r="N61" s="76"/>
      <c r="O61" s="76"/>
      <c r="P61" s="75"/>
      <c r="Q61" s="74"/>
      <c r="R61" s="75"/>
      <c r="S61" s="78"/>
      <c r="T61" s="73"/>
      <c r="U61" s="74"/>
      <c r="V61" s="79"/>
      <c r="W61" s="73"/>
      <c r="X61" s="74"/>
      <c r="Y61" s="79"/>
      <c r="Z61" s="80"/>
      <c r="AA61" s="81"/>
      <c r="AB61" s="82"/>
      <c r="AC61" s="83"/>
      <c r="AD61" s="263" t="s">
        <v>755</v>
      </c>
      <c r="AE61" s="262"/>
      <c r="AF61" s="261"/>
      <c r="AG61" s="76"/>
      <c r="AH61" s="85" t="s">
        <v>754</v>
      </c>
    </row>
    <row r="62" spans="1:34" ht="21.75" hidden="1" thickBot="1">
      <c r="A62" s="73">
        <v>27</v>
      </c>
      <c r="B62" s="74" t="s">
        <v>448</v>
      </c>
      <c r="C62" s="74" t="s">
        <v>72</v>
      </c>
      <c r="D62" s="74" t="s">
        <v>133</v>
      </c>
      <c r="E62" s="74">
        <v>47.74</v>
      </c>
      <c r="F62" s="75"/>
      <c r="G62" s="75">
        <f>G60+F61</f>
        <v>5454.5950000000003</v>
      </c>
      <c r="H62" s="75">
        <f>SUM(F61:F62)</f>
        <v>213.95699999999999</v>
      </c>
      <c r="I62" s="76"/>
      <c r="J62" s="76"/>
      <c r="K62" s="76"/>
      <c r="L62" s="76"/>
      <c r="M62" s="264">
        <v>1</v>
      </c>
      <c r="N62" s="76"/>
      <c r="O62" s="76"/>
      <c r="P62" s="75">
        <v>53.378999999999998</v>
      </c>
      <c r="Q62" s="74" t="s">
        <v>753</v>
      </c>
      <c r="R62" s="75">
        <f>F61+F63</f>
        <v>457.68</v>
      </c>
      <c r="S62" s="78">
        <f>(F61+F63)/2</f>
        <v>228.84</v>
      </c>
      <c r="T62" s="73">
        <v>112</v>
      </c>
      <c r="U62" s="74">
        <v>131</v>
      </c>
      <c r="V62" s="79">
        <f>T62+U62</f>
        <v>243</v>
      </c>
      <c r="W62" s="73">
        <v>109</v>
      </c>
      <c r="X62" s="74">
        <v>127</v>
      </c>
      <c r="Y62" s="79">
        <f>W62+X62</f>
        <v>236</v>
      </c>
      <c r="Z62" s="80" t="s">
        <v>752</v>
      </c>
      <c r="AA62" s="81" t="s">
        <v>751</v>
      </c>
      <c r="AB62" s="82">
        <v>299805.179</v>
      </c>
      <c r="AC62" s="83">
        <v>2866839.3560000001</v>
      </c>
      <c r="AD62" s="263"/>
      <c r="AE62" s="262" t="s">
        <v>361</v>
      </c>
      <c r="AF62" s="261"/>
      <c r="AG62" s="76"/>
      <c r="AH62" s="85" t="s">
        <v>750</v>
      </c>
    </row>
    <row r="63" spans="1:34" ht="21.75" hidden="1" thickBot="1">
      <c r="A63" s="73"/>
      <c r="B63" s="74" t="s">
        <v>134</v>
      </c>
      <c r="C63" s="74"/>
      <c r="D63" s="74"/>
      <c r="E63" s="74"/>
      <c r="F63" s="75">
        <v>243.72300000000001</v>
      </c>
      <c r="G63" s="74"/>
      <c r="H63" s="74"/>
      <c r="I63" s="76"/>
      <c r="J63" s="76"/>
      <c r="K63" s="76"/>
      <c r="L63" s="76"/>
      <c r="M63" s="264"/>
      <c r="N63" s="76"/>
      <c r="O63" s="76"/>
      <c r="P63" s="75"/>
      <c r="Q63" s="74"/>
      <c r="R63" s="75"/>
      <c r="S63" s="78"/>
      <c r="T63" s="73"/>
      <c r="U63" s="74"/>
      <c r="V63" s="79"/>
      <c r="W63" s="73"/>
      <c r="X63" s="74"/>
      <c r="Y63" s="79"/>
      <c r="Z63" s="80"/>
      <c r="AA63" s="81"/>
      <c r="AB63" s="82"/>
      <c r="AC63" s="83"/>
      <c r="AD63" s="263" t="s">
        <v>749</v>
      </c>
      <c r="AE63" s="262"/>
      <c r="AF63" s="261"/>
      <c r="AG63" s="76"/>
      <c r="AH63" s="85" t="s">
        <v>748</v>
      </c>
    </row>
    <row r="64" spans="1:34" ht="21.75" hidden="1" thickBot="1">
      <c r="A64" s="91">
        <v>28</v>
      </c>
      <c r="B64" s="92" t="s">
        <v>456</v>
      </c>
      <c r="C64" s="92" t="s">
        <v>457</v>
      </c>
      <c r="D64" s="92" t="s">
        <v>133</v>
      </c>
      <c r="E64" s="92">
        <v>47.74</v>
      </c>
      <c r="F64" s="93"/>
      <c r="G64" s="93">
        <f>G62+F63</f>
        <v>5698.3180000000002</v>
      </c>
      <c r="H64" s="93">
        <f>SUM(F63:F64)</f>
        <v>243.72300000000001</v>
      </c>
      <c r="I64" s="94"/>
      <c r="J64" s="94"/>
      <c r="K64" s="94"/>
      <c r="L64" s="94"/>
      <c r="M64" s="260" t="s">
        <v>134</v>
      </c>
      <c r="N64" s="94"/>
      <c r="O64" s="94"/>
      <c r="P64" s="93">
        <v>53.442</v>
      </c>
      <c r="Q64" s="92" t="s">
        <v>747</v>
      </c>
      <c r="R64" s="93">
        <v>573.72299999999996</v>
      </c>
      <c r="S64" s="96">
        <f>(F63)/2</f>
        <v>121.86150000000001</v>
      </c>
      <c r="T64" s="91">
        <v>113</v>
      </c>
      <c r="U64" s="92">
        <v>161</v>
      </c>
      <c r="V64" s="97">
        <f>T64+U64</f>
        <v>274</v>
      </c>
      <c r="W64" s="91">
        <v>117</v>
      </c>
      <c r="X64" s="92">
        <v>163</v>
      </c>
      <c r="Y64" s="97">
        <f>W64+X64</f>
        <v>280</v>
      </c>
      <c r="Z64" s="98" t="s">
        <v>746</v>
      </c>
      <c r="AA64" s="99" t="s">
        <v>745</v>
      </c>
      <c r="AB64" s="100">
        <v>299978.81199999998</v>
      </c>
      <c r="AC64" s="101">
        <v>2867010.39</v>
      </c>
      <c r="AD64" s="259" t="s">
        <v>14</v>
      </c>
      <c r="AE64" s="258" t="s">
        <v>744</v>
      </c>
      <c r="AF64" s="257"/>
      <c r="AG64" s="94"/>
      <c r="AH64" s="103" t="s">
        <v>673</v>
      </c>
    </row>
    <row r="65" spans="1:34" ht="21.75" thickBot="1">
      <c r="A65" s="280"/>
      <c r="B65" s="279"/>
      <c r="C65" s="279"/>
      <c r="D65" s="279"/>
      <c r="E65" s="279"/>
      <c r="F65" s="282"/>
      <c r="G65" s="282"/>
      <c r="H65" s="282"/>
      <c r="I65" s="270"/>
      <c r="J65" s="270"/>
      <c r="K65" s="270"/>
      <c r="L65" s="270"/>
      <c r="M65" s="283"/>
      <c r="N65" s="270"/>
      <c r="O65" s="270"/>
      <c r="P65" s="282"/>
      <c r="Q65" s="279"/>
      <c r="R65" s="282"/>
      <c r="S65" s="281"/>
      <c r="T65" s="280"/>
      <c r="U65" s="279"/>
      <c r="V65" s="278"/>
      <c r="W65" s="280"/>
      <c r="X65" s="279"/>
      <c r="Y65" s="278"/>
      <c r="Z65" s="277"/>
      <c r="AA65" s="276"/>
      <c r="AB65" s="275"/>
      <c r="AC65" s="274"/>
      <c r="AD65" s="273"/>
      <c r="AE65" s="272"/>
      <c r="AF65" s="271"/>
      <c r="AG65" s="270"/>
      <c r="AH65" s="269"/>
    </row>
    <row r="66" spans="1:34" ht="21">
      <c r="A66" s="60">
        <v>29</v>
      </c>
      <c r="B66" s="61" t="s">
        <v>560</v>
      </c>
      <c r="C66" s="61" t="s">
        <v>44</v>
      </c>
      <c r="D66" s="61" t="s">
        <v>357</v>
      </c>
      <c r="E66" s="61">
        <v>56.74</v>
      </c>
      <c r="F66" s="64"/>
      <c r="G66" s="64">
        <v>0</v>
      </c>
      <c r="H66" s="61">
        <v>0</v>
      </c>
      <c r="I66" s="62"/>
      <c r="J66" s="62"/>
      <c r="K66" s="62"/>
      <c r="L66" s="62"/>
      <c r="M66" s="268" t="s">
        <v>134</v>
      </c>
      <c r="N66" s="62"/>
      <c r="O66" s="62"/>
      <c r="P66" s="64">
        <v>52.972999999999999</v>
      </c>
      <c r="Q66" s="61" t="s">
        <v>743</v>
      </c>
      <c r="R66" s="64">
        <v>786.096</v>
      </c>
      <c r="S66" s="65">
        <f>(F67)/2</f>
        <v>192.59950000000001</v>
      </c>
      <c r="T66" s="60">
        <v>230</v>
      </c>
      <c r="U66" s="61">
        <v>210</v>
      </c>
      <c r="V66" s="66">
        <f>T66+U66</f>
        <v>440</v>
      </c>
      <c r="W66" s="60">
        <v>222</v>
      </c>
      <c r="X66" s="61">
        <v>207</v>
      </c>
      <c r="Y66" s="66">
        <f>W66+X66</f>
        <v>429</v>
      </c>
      <c r="Z66" s="67" t="s">
        <v>742</v>
      </c>
      <c r="AA66" s="68" t="s">
        <v>741</v>
      </c>
      <c r="AB66" s="69">
        <v>301909.49300000002</v>
      </c>
      <c r="AC66" s="70">
        <v>2867121.5490000001</v>
      </c>
      <c r="AD66" s="267"/>
      <c r="AE66" s="266" t="s">
        <v>368</v>
      </c>
      <c r="AF66" s="265"/>
      <c r="AG66" s="62"/>
      <c r="AH66" s="72" t="s">
        <v>673</v>
      </c>
    </row>
    <row r="67" spans="1:34" ht="30">
      <c r="A67" s="73"/>
      <c r="B67" s="74" t="s">
        <v>134</v>
      </c>
      <c r="C67" s="74"/>
      <c r="D67" s="74"/>
      <c r="E67" s="74"/>
      <c r="F67" s="75">
        <v>385.19900000000001</v>
      </c>
      <c r="G67" s="75"/>
      <c r="H67" s="74"/>
      <c r="I67" s="76"/>
      <c r="J67" s="76"/>
      <c r="K67" s="76"/>
      <c r="L67" s="76"/>
      <c r="M67" s="264"/>
      <c r="N67" s="76"/>
      <c r="O67" s="76"/>
      <c r="P67" s="75"/>
      <c r="Q67" s="74"/>
      <c r="R67" s="75"/>
      <c r="S67" s="78"/>
      <c r="T67" s="73"/>
      <c r="U67" s="74"/>
      <c r="V67" s="79"/>
      <c r="W67" s="73"/>
      <c r="X67" s="74"/>
      <c r="Y67" s="79"/>
      <c r="Z67" s="80"/>
      <c r="AA67" s="81"/>
      <c r="AB67" s="82"/>
      <c r="AC67" s="83"/>
      <c r="AD67" s="263" t="s">
        <v>740</v>
      </c>
      <c r="AE67" s="262"/>
      <c r="AF67" s="261"/>
      <c r="AG67" s="76"/>
      <c r="AH67" s="85"/>
    </row>
    <row r="68" spans="1:34" ht="21">
      <c r="A68" s="73">
        <v>30</v>
      </c>
      <c r="B68" s="74" t="s">
        <v>739</v>
      </c>
      <c r="C68" s="74" t="s">
        <v>40</v>
      </c>
      <c r="D68" s="74" t="s">
        <v>257</v>
      </c>
      <c r="E68" s="74">
        <v>53.74</v>
      </c>
      <c r="F68" s="75"/>
      <c r="G68" s="75">
        <f>G66+F67</f>
        <v>385.19900000000001</v>
      </c>
      <c r="H68" s="75">
        <f>SUM(F67:F68)</f>
        <v>385.19900000000001</v>
      </c>
      <c r="I68" s="76"/>
      <c r="J68" s="76"/>
      <c r="K68" s="76"/>
      <c r="L68" s="76"/>
      <c r="M68" s="264" t="s">
        <v>134</v>
      </c>
      <c r="N68" s="76"/>
      <c r="O68" s="76"/>
      <c r="P68" s="75">
        <v>53.234999999999999</v>
      </c>
      <c r="Q68" s="74" t="s">
        <v>738</v>
      </c>
      <c r="R68" s="75">
        <f>F67+F69</f>
        <v>763.6690000000001</v>
      </c>
      <c r="S68" s="78">
        <f>(F67+F69)/2</f>
        <v>381.83450000000005</v>
      </c>
      <c r="T68" s="73">
        <v>181</v>
      </c>
      <c r="U68" s="74">
        <v>224</v>
      </c>
      <c r="V68" s="79">
        <f>T68+U68</f>
        <v>405</v>
      </c>
      <c r="W68" s="73">
        <v>186</v>
      </c>
      <c r="X68" s="74">
        <v>215</v>
      </c>
      <c r="Y68" s="79">
        <f>W68+X68</f>
        <v>401</v>
      </c>
      <c r="Z68" s="80" t="s">
        <v>737</v>
      </c>
      <c r="AA68" s="81" t="s">
        <v>736</v>
      </c>
      <c r="AB68" s="82">
        <v>302289.60800000001</v>
      </c>
      <c r="AC68" s="83">
        <v>2867183.9240000001</v>
      </c>
      <c r="AD68" s="263"/>
      <c r="AE68" s="262" t="s">
        <v>397</v>
      </c>
      <c r="AF68" s="261"/>
      <c r="AG68" s="76"/>
      <c r="AH68" s="85"/>
    </row>
    <row r="69" spans="1:34" ht="21">
      <c r="A69" s="73"/>
      <c r="B69" s="74" t="s">
        <v>134</v>
      </c>
      <c r="C69" s="74"/>
      <c r="D69" s="74"/>
      <c r="E69" s="74"/>
      <c r="F69" s="75">
        <v>378.47</v>
      </c>
      <c r="G69" s="75"/>
      <c r="H69" s="74"/>
      <c r="I69" s="76"/>
      <c r="J69" s="76"/>
      <c r="K69" s="76"/>
      <c r="L69" s="76"/>
      <c r="M69" s="264"/>
      <c r="N69" s="76"/>
      <c r="O69" s="76"/>
      <c r="P69" s="75"/>
      <c r="Q69" s="74"/>
      <c r="R69" s="75"/>
      <c r="S69" s="78"/>
      <c r="T69" s="73"/>
      <c r="U69" s="74"/>
      <c r="V69" s="79"/>
      <c r="W69" s="73"/>
      <c r="X69" s="74"/>
      <c r="Y69" s="79"/>
      <c r="Z69" s="80"/>
      <c r="AA69" s="81"/>
      <c r="AB69" s="82"/>
      <c r="AC69" s="83"/>
      <c r="AD69" s="263" t="s">
        <v>735</v>
      </c>
      <c r="AE69" s="262"/>
      <c r="AF69" s="261"/>
      <c r="AG69" s="76"/>
      <c r="AH69" s="85"/>
    </row>
    <row r="70" spans="1:34" ht="21">
      <c r="A70" s="73">
        <v>31</v>
      </c>
      <c r="B70" s="74" t="s">
        <v>734</v>
      </c>
      <c r="C70" s="74" t="s">
        <v>74</v>
      </c>
      <c r="D70" s="74" t="s">
        <v>193</v>
      </c>
      <c r="E70" s="74">
        <v>47.74</v>
      </c>
      <c r="F70" s="75"/>
      <c r="G70" s="75">
        <f>G68+F69</f>
        <v>763.6690000000001</v>
      </c>
      <c r="H70" s="75">
        <f>SUM(F69:F70)</f>
        <v>378.47</v>
      </c>
      <c r="I70" s="76"/>
      <c r="J70" s="76"/>
      <c r="K70" s="76"/>
      <c r="L70" s="76"/>
      <c r="M70" s="264" t="s">
        <v>134</v>
      </c>
      <c r="N70" s="76"/>
      <c r="O70" s="76"/>
      <c r="P70" s="75">
        <v>53.277000000000001</v>
      </c>
      <c r="Q70" s="74" t="s">
        <v>733</v>
      </c>
      <c r="R70" s="75">
        <f>F69+F71</f>
        <v>791.47</v>
      </c>
      <c r="S70" s="78">
        <f>(F69+F71)/2</f>
        <v>395.73500000000001</v>
      </c>
      <c r="T70" s="73">
        <v>158</v>
      </c>
      <c r="U70" s="74">
        <v>180</v>
      </c>
      <c r="V70" s="79">
        <f>T70+U70</f>
        <v>338</v>
      </c>
      <c r="W70" s="73">
        <v>168</v>
      </c>
      <c r="X70" s="74">
        <v>188</v>
      </c>
      <c r="Y70" s="79">
        <f>W70+X70</f>
        <v>356</v>
      </c>
      <c r="Z70" s="80" t="s">
        <v>732</v>
      </c>
      <c r="AA70" s="81" t="s">
        <v>731</v>
      </c>
      <c r="AB70" s="82">
        <v>302568.42200000002</v>
      </c>
      <c r="AC70" s="83">
        <v>2867439.858</v>
      </c>
      <c r="AD70" s="263"/>
      <c r="AE70" s="262" t="s">
        <v>397</v>
      </c>
      <c r="AF70" s="261"/>
      <c r="AG70" s="76"/>
      <c r="AH70" s="85"/>
    </row>
    <row r="71" spans="1:34" ht="21">
      <c r="A71" s="73"/>
      <c r="B71" s="74" t="s">
        <v>134</v>
      </c>
      <c r="C71" s="74"/>
      <c r="D71" s="74"/>
      <c r="E71" s="74"/>
      <c r="F71" s="75">
        <v>413</v>
      </c>
      <c r="G71" s="75"/>
      <c r="H71" s="74"/>
      <c r="I71" s="76"/>
      <c r="J71" s="76"/>
      <c r="K71" s="76"/>
      <c r="L71" s="76"/>
      <c r="M71" s="264"/>
      <c r="N71" s="76"/>
      <c r="O71" s="76"/>
      <c r="P71" s="75"/>
      <c r="Q71" s="74"/>
      <c r="R71" s="75"/>
      <c r="S71" s="78"/>
      <c r="T71" s="73"/>
      <c r="U71" s="74"/>
      <c r="V71" s="79"/>
      <c r="W71" s="73"/>
      <c r="X71" s="74"/>
      <c r="Y71" s="79"/>
      <c r="Z71" s="80"/>
      <c r="AA71" s="81"/>
      <c r="AB71" s="82"/>
      <c r="AC71" s="83"/>
      <c r="AD71" s="263" t="s">
        <v>730</v>
      </c>
      <c r="AE71" s="262"/>
      <c r="AF71" s="261"/>
      <c r="AG71" s="76"/>
      <c r="AH71" s="85"/>
    </row>
    <row r="72" spans="1:34" ht="21">
      <c r="A72" s="73">
        <v>32</v>
      </c>
      <c r="B72" s="74" t="s">
        <v>134</v>
      </c>
      <c r="C72" s="74" t="s">
        <v>729</v>
      </c>
      <c r="D72" s="74" t="s">
        <v>301</v>
      </c>
      <c r="E72" s="74">
        <v>54.16</v>
      </c>
      <c r="F72" s="75"/>
      <c r="G72" s="75">
        <f>G70+F71</f>
        <v>1176.6690000000001</v>
      </c>
      <c r="H72" s="74" t="s">
        <v>134</v>
      </c>
      <c r="I72" s="76"/>
      <c r="J72" s="76"/>
      <c r="K72" s="76"/>
      <c r="L72" s="76"/>
      <c r="M72" s="264" t="s">
        <v>134</v>
      </c>
      <c r="N72" s="76"/>
      <c r="O72" s="76"/>
      <c r="P72" s="75">
        <v>52.686999999999998</v>
      </c>
      <c r="Q72" s="74" t="s">
        <v>134</v>
      </c>
      <c r="R72" s="75">
        <f>F71+F73</f>
        <v>799</v>
      </c>
      <c r="S72" s="78">
        <f>(F71+F73)/2</f>
        <v>399.5</v>
      </c>
      <c r="T72" s="73">
        <v>234</v>
      </c>
      <c r="U72" s="74">
        <v>212</v>
      </c>
      <c r="V72" s="79">
        <f>T72+U72</f>
        <v>446</v>
      </c>
      <c r="W72" s="73">
        <v>227</v>
      </c>
      <c r="X72" s="74">
        <v>207</v>
      </c>
      <c r="Y72" s="79">
        <f>W72+X72</f>
        <v>434</v>
      </c>
      <c r="Z72" s="80" t="s">
        <v>728</v>
      </c>
      <c r="AA72" s="81" t="s">
        <v>727</v>
      </c>
      <c r="AB72" s="82">
        <v>302813.54300000001</v>
      </c>
      <c r="AC72" s="83">
        <v>2867772.2510000002</v>
      </c>
      <c r="AD72" s="263"/>
      <c r="AE72" s="262" t="s">
        <v>397</v>
      </c>
      <c r="AF72" s="261"/>
      <c r="AG72" s="76"/>
      <c r="AH72" s="85"/>
    </row>
    <row r="73" spans="1:34" ht="21">
      <c r="A73" s="73"/>
      <c r="B73" s="74" t="s">
        <v>134</v>
      </c>
      <c r="C73" s="74"/>
      <c r="D73" s="74"/>
      <c r="E73" s="74"/>
      <c r="F73" s="75">
        <v>386</v>
      </c>
      <c r="G73" s="75"/>
      <c r="H73" s="74"/>
      <c r="I73" s="76"/>
      <c r="J73" s="76"/>
      <c r="K73" s="76"/>
      <c r="L73" s="76"/>
      <c r="M73" s="264"/>
      <c r="N73" s="76"/>
      <c r="O73" s="76"/>
      <c r="P73" s="75"/>
      <c r="Q73" s="74"/>
      <c r="R73" s="75"/>
      <c r="S73" s="78"/>
      <c r="T73" s="73"/>
      <c r="U73" s="74"/>
      <c r="V73" s="79"/>
      <c r="W73" s="73"/>
      <c r="X73" s="74"/>
      <c r="Y73" s="79"/>
      <c r="Z73" s="80"/>
      <c r="AA73" s="81"/>
      <c r="AB73" s="82"/>
      <c r="AC73" s="83"/>
      <c r="AD73" s="263" t="s">
        <v>723</v>
      </c>
      <c r="AE73" s="262"/>
      <c r="AF73" s="261"/>
      <c r="AG73" s="76"/>
      <c r="AH73" s="85"/>
    </row>
    <row r="74" spans="1:34" ht="21">
      <c r="A74" s="73">
        <v>33</v>
      </c>
      <c r="B74" s="74" t="s">
        <v>134</v>
      </c>
      <c r="C74" s="74" t="s">
        <v>726</v>
      </c>
      <c r="D74" s="74" t="s">
        <v>187</v>
      </c>
      <c r="E74" s="74">
        <v>51.16</v>
      </c>
      <c r="F74" s="75"/>
      <c r="G74" s="75">
        <f>G72+F73</f>
        <v>1562.6690000000001</v>
      </c>
      <c r="H74" s="74" t="s">
        <v>134</v>
      </c>
      <c r="I74" s="76"/>
      <c r="J74" s="76"/>
      <c r="K74" s="76"/>
      <c r="L74" s="76"/>
      <c r="M74" s="264" t="s">
        <v>134</v>
      </c>
      <c r="N74" s="76"/>
      <c r="O74" s="76"/>
      <c r="P74" s="75">
        <v>52.137999999999998</v>
      </c>
      <c r="Q74" s="74" t="s">
        <v>134</v>
      </c>
      <c r="R74" s="75">
        <f>F73+F75</f>
        <v>784</v>
      </c>
      <c r="S74" s="78">
        <f>(F73+F75)/2</f>
        <v>392</v>
      </c>
      <c r="T74" s="73">
        <v>174</v>
      </c>
      <c r="U74" s="74">
        <v>217</v>
      </c>
      <c r="V74" s="79">
        <f>T74+U74</f>
        <v>391</v>
      </c>
      <c r="W74" s="73">
        <v>180</v>
      </c>
      <c r="X74" s="74">
        <v>213</v>
      </c>
      <c r="Y74" s="79">
        <f>W74+X74</f>
        <v>393</v>
      </c>
      <c r="Z74" s="80" t="s">
        <v>725</v>
      </c>
      <c r="AA74" s="81" t="s">
        <v>724</v>
      </c>
      <c r="AB74" s="82">
        <v>303042.63799999998</v>
      </c>
      <c r="AC74" s="83">
        <v>2868082.9139999999</v>
      </c>
      <c r="AD74" s="263"/>
      <c r="AE74" s="262" t="s">
        <v>406</v>
      </c>
      <c r="AF74" s="261"/>
      <c r="AG74" s="76"/>
      <c r="AH74" s="85"/>
    </row>
    <row r="75" spans="1:34" ht="21">
      <c r="A75" s="73"/>
      <c r="B75" s="74" t="s">
        <v>134</v>
      </c>
      <c r="C75" s="74"/>
      <c r="D75" s="74"/>
      <c r="E75" s="74"/>
      <c r="F75" s="75">
        <v>398</v>
      </c>
      <c r="G75" s="75"/>
      <c r="H75" s="74"/>
      <c r="I75" s="76"/>
      <c r="J75" s="76"/>
      <c r="K75" s="76"/>
      <c r="L75" s="76"/>
      <c r="M75" s="264"/>
      <c r="N75" s="76"/>
      <c r="O75" s="76"/>
      <c r="P75" s="75"/>
      <c r="Q75" s="74"/>
      <c r="R75" s="75"/>
      <c r="S75" s="78"/>
      <c r="T75" s="73"/>
      <c r="U75" s="74"/>
      <c r="V75" s="79"/>
      <c r="W75" s="73"/>
      <c r="X75" s="74"/>
      <c r="Y75" s="79"/>
      <c r="Z75" s="80"/>
      <c r="AA75" s="81"/>
      <c r="AB75" s="82"/>
      <c r="AC75" s="83"/>
      <c r="AD75" s="263" t="s">
        <v>723</v>
      </c>
      <c r="AE75" s="262"/>
      <c r="AF75" s="261"/>
      <c r="AG75" s="76"/>
      <c r="AH75" s="85"/>
    </row>
    <row r="76" spans="1:34" ht="21">
      <c r="A76" s="73">
        <v>34</v>
      </c>
      <c r="B76" s="74" t="s">
        <v>134</v>
      </c>
      <c r="C76" s="74" t="s">
        <v>722</v>
      </c>
      <c r="D76" s="74" t="s">
        <v>153</v>
      </c>
      <c r="E76" s="74">
        <v>48.16</v>
      </c>
      <c r="F76" s="75"/>
      <c r="G76" s="75">
        <f>G74+F75</f>
        <v>1960.6690000000001</v>
      </c>
      <c r="H76" s="74" t="s">
        <v>134</v>
      </c>
      <c r="I76" s="76"/>
      <c r="J76" s="76"/>
      <c r="K76" s="76"/>
      <c r="L76" s="76"/>
      <c r="M76" s="264" t="s">
        <v>134</v>
      </c>
      <c r="N76" s="76"/>
      <c r="O76" s="76"/>
      <c r="P76" s="75">
        <v>51.658999999999999</v>
      </c>
      <c r="Q76" s="74" t="s">
        <v>134</v>
      </c>
      <c r="R76" s="75">
        <f>F75+F77</f>
        <v>799</v>
      </c>
      <c r="S76" s="78">
        <f>(F75+F77)/2</f>
        <v>399.5</v>
      </c>
      <c r="T76" s="73">
        <v>181</v>
      </c>
      <c r="U76" s="74">
        <v>181</v>
      </c>
      <c r="V76" s="79">
        <f>T76+U76</f>
        <v>362</v>
      </c>
      <c r="W76" s="73">
        <v>186</v>
      </c>
      <c r="X76" s="74">
        <v>187</v>
      </c>
      <c r="Y76" s="79">
        <f>W76+X76</f>
        <v>373</v>
      </c>
      <c r="Z76" s="80" t="s">
        <v>721</v>
      </c>
      <c r="AA76" s="81" t="s">
        <v>720</v>
      </c>
      <c r="AB76" s="82">
        <v>303278.85600000003</v>
      </c>
      <c r="AC76" s="83">
        <v>2868403.2340000002</v>
      </c>
      <c r="AD76" s="263"/>
      <c r="AE76" s="262" t="s">
        <v>406</v>
      </c>
      <c r="AF76" s="261"/>
      <c r="AG76" s="76"/>
      <c r="AH76" s="85"/>
    </row>
    <row r="77" spans="1:34" ht="21">
      <c r="A77" s="73"/>
      <c r="B77" s="74" t="s">
        <v>134</v>
      </c>
      <c r="C77" s="74"/>
      <c r="D77" s="74"/>
      <c r="E77" s="74"/>
      <c r="F77" s="75">
        <v>401</v>
      </c>
      <c r="G77" s="75"/>
      <c r="H77" s="74"/>
      <c r="I77" s="76"/>
      <c r="J77" s="76"/>
      <c r="K77" s="76"/>
      <c r="L77" s="76"/>
      <c r="M77" s="264"/>
      <c r="N77" s="76"/>
      <c r="O77" s="76"/>
      <c r="P77" s="75"/>
      <c r="Q77" s="74"/>
      <c r="R77" s="75"/>
      <c r="S77" s="78"/>
      <c r="T77" s="73"/>
      <c r="U77" s="74"/>
      <c r="V77" s="79"/>
      <c r="W77" s="73"/>
      <c r="X77" s="74"/>
      <c r="Y77" s="79"/>
      <c r="Z77" s="80"/>
      <c r="AA77" s="81"/>
      <c r="AB77" s="82"/>
      <c r="AC77" s="83"/>
      <c r="AD77" s="263" t="s">
        <v>719</v>
      </c>
      <c r="AE77" s="262"/>
      <c r="AF77" s="261"/>
      <c r="AG77" s="76"/>
      <c r="AH77" s="85"/>
    </row>
    <row r="78" spans="1:34" ht="21">
      <c r="A78" s="73">
        <v>35</v>
      </c>
      <c r="B78" s="74" t="s">
        <v>134</v>
      </c>
      <c r="C78" s="74" t="s">
        <v>718</v>
      </c>
      <c r="D78" s="74" t="s">
        <v>187</v>
      </c>
      <c r="E78" s="74">
        <v>51.16</v>
      </c>
      <c r="F78" s="75"/>
      <c r="G78" s="75">
        <f>G76+F77</f>
        <v>2361.6689999999999</v>
      </c>
      <c r="H78" s="74" t="s">
        <v>134</v>
      </c>
      <c r="I78" s="76"/>
      <c r="J78" s="76"/>
      <c r="K78" s="76"/>
      <c r="L78" s="76"/>
      <c r="M78" s="264" t="s">
        <v>134</v>
      </c>
      <c r="N78" s="76"/>
      <c r="O78" s="76"/>
      <c r="P78" s="75">
        <v>52.432000000000002</v>
      </c>
      <c r="Q78" s="74" t="s">
        <v>134</v>
      </c>
      <c r="R78" s="75">
        <f>F77+F79</f>
        <v>768</v>
      </c>
      <c r="S78" s="78">
        <f>(F77+F79)/2</f>
        <v>384</v>
      </c>
      <c r="T78" s="73">
        <v>220</v>
      </c>
      <c r="U78" s="74">
        <v>183</v>
      </c>
      <c r="V78" s="79">
        <f>T78+U78</f>
        <v>403</v>
      </c>
      <c r="W78" s="73">
        <v>215</v>
      </c>
      <c r="X78" s="74">
        <v>183</v>
      </c>
      <c r="Y78" s="79">
        <f>W78+X78</f>
        <v>398</v>
      </c>
      <c r="Z78" s="80" t="s">
        <v>717</v>
      </c>
      <c r="AA78" s="81" t="s">
        <v>716</v>
      </c>
      <c r="AB78" s="82">
        <v>303516.85399999999</v>
      </c>
      <c r="AC78" s="83">
        <v>2868725.969</v>
      </c>
      <c r="AD78" s="263"/>
      <c r="AE78" s="262" t="s">
        <v>715</v>
      </c>
      <c r="AF78" s="261"/>
      <c r="AG78" s="76"/>
      <c r="AH78" s="85"/>
    </row>
    <row r="79" spans="1:34" ht="31.15" customHeight="1">
      <c r="A79" s="73"/>
      <c r="B79" s="74" t="s">
        <v>134</v>
      </c>
      <c r="C79" s="74"/>
      <c r="D79" s="74"/>
      <c r="E79" s="74"/>
      <c r="F79" s="75">
        <v>367</v>
      </c>
      <c r="G79" s="75"/>
      <c r="H79" s="74"/>
      <c r="I79" s="76"/>
      <c r="J79" s="76"/>
      <c r="K79" s="76"/>
      <c r="L79" s="76"/>
      <c r="M79" s="264"/>
      <c r="N79" s="76"/>
      <c r="O79" s="76"/>
      <c r="P79" s="75"/>
      <c r="Q79" s="74"/>
      <c r="R79" s="75"/>
      <c r="S79" s="78"/>
      <c r="T79" s="73"/>
      <c r="U79" s="74"/>
      <c r="V79" s="79"/>
      <c r="W79" s="73"/>
      <c r="X79" s="74"/>
      <c r="Y79" s="79"/>
      <c r="Z79" s="80"/>
      <c r="AA79" s="81"/>
      <c r="AB79" s="82"/>
      <c r="AC79" s="83"/>
      <c r="AD79" s="263" t="s">
        <v>714</v>
      </c>
      <c r="AE79" s="262"/>
      <c r="AF79" s="261"/>
      <c r="AG79" s="76"/>
      <c r="AH79" s="85"/>
    </row>
    <row r="80" spans="1:34" ht="21">
      <c r="A80" s="73">
        <v>36</v>
      </c>
      <c r="B80" s="74" t="s">
        <v>134</v>
      </c>
      <c r="C80" s="74" t="s">
        <v>713</v>
      </c>
      <c r="D80" s="74" t="s">
        <v>187</v>
      </c>
      <c r="E80" s="74">
        <v>51.16</v>
      </c>
      <c r="F80" s="75"/>
      <c r="G80" s="75">
        <f>G78+F79</f>
        <v>2728.6689999999999</v>
      </c>
      <c r="H80" s="74" t="s">
        <v>134</v>
      </c>
      <c r="I80" s="76"/>
      <c r="J80" s="76"/>
      <c r="K80" s="76"/>
      <c r="L80" s="76"/>
      <c r="M80" s="264" t="s">
        <v>134</v>
      </c>
      <c r="N80" s="76"/>
      <c r="O80" s="76"/>
      <c r="P80" s="75">
        <v>52.557000000000002</v>
      </c>
      <c r="Q80" s="74" t="s">
        <v>134</v>
      </c>
      <c r="R80" s="75">
        <f>F79+F81</f>
        <v>799.74299999999994</v>
      </c>
      <c r="S80" s="78">
        <f>(F79+F81)/2</f>
        <v>399.87149999999997</v>
      </c>
      <c r="T80" s="73">
        <v>184</v>
      </c>
      <c r="U80" s="74">
        <v>199</v>
      </c>
      <c r="V80" s="79">
        <f>T80+U80</f>
        <v>383</v>
      </c>
      <c r="W80" s="73">
        <v>184</v>
      </c>
      <c r="X80" s="74">
        <v>204</v>
      </c>
      <c r="Y80" s="79">
        <f>W80+X80</f>
        <v>388</v>
      </c>
      <c r="Z80" s="80" t="s">
        <v>712</v>
      </c>
      <c r="AA80" s="81" t="s">
        <v>711</v>
      </c>
      <c r="AB80" s="82">
        <v>303734.67300000001</v>
      </c>
      <c r="AC80" s="83">
        <v>2869021.34</v>
      </c>
      <c r="AD80" s="263"/>
      <c r="AE80" s="262" t="s">
        <v>692</v>
      </c>
      <c r="AF80" s="261"/>
      <c r="AG80" s="76"/>
      <c r="AH80" s="85"/>
    </row>
    <row r="81" spans="1:34" ht="21">
      <c r="A81" s="73"/>
      <c r="B81" s="74" t="s">
        <v>134</v>
      </c>
      <c r="C81" s="74"/>
      <c r="D81" s="74"/>
      <c r="E81" s="74"/>
      <c r="F81" s="75">
        <v>432.74299999999999</v>
      </c>
      <c r="G81" s="75"/>
      <c r="H81" s="74"/>
      <c r="I81" s="76"/>
      <c r="J81" s="76"/>
      <c r="K81" s="76"/>
      <c r="L81" s="76"/>
      <c r="M81" s="264"/>
      <c r="N81" s="76"/>
      <c r="O81" s="76"/>
      <c r="P81" s="75"/>
      <c r="Q81" s="74"/>
      <c r="R81" s="75"/>
      <c r="S81" s="78"/>
      <c r="T81" s="73"/>
      <c r="U81" s="74"/>
      <c r="V81" s="79"/>
      <c r="W81" s="73"/>
      <c r="X81" s="74"/>
      <c r="Y81" s="79"/>
      <c r="Z81" s="80"/>
      <c r="AA81" s="81"/>
      <c r="AB81" s="82"/>
      <c r="AC81" s="83"/>
      <c r="AD81" s="263"/>
      <c r="AE81" s="262"/>
      <c r="AF81" s="261"/>
      <c r="AG81" s="76"/>
      <c r="AH81" s="85"/>
    </row>
    <row r="82" spans="1:34" ht="21">
      <c r="A82" s="73">
        <v>37</v>
      </c>
      <c r="B82" s="74" t="s">
        <v>710</v>
      </c>
      <c r="C82" s="74" t="s">
        <v>54</v>
      </c>
      <c r="D82" s="74" t="s">
        <v>337</v>
      </c>
      <c r="E82" s="74">
        <v>53.74</v>
      </c>
      <c r="F82" s="75"/>
      <c r="G82" s="75">
        <f>G80+F81</f>
        <v>3161.4119999999998</v>
      </c>
      <c r="H82" s="75">
        <f>SUM(F71:F82)</f>
        <v>2397.7429999999999</v>
      </c>
      <c r="I82" s="76"/>
      <c r="J82" s="76"/>
      <c r="K82" s="76"/>
      <c r="L82" s="76"/>
      <c r="M82" s="264" t="s">
        <v>134</v>
      </c>
      <c r="N82" s="76"/>
      <c r="O82" s="76"/>
      <c r="P82" s="75">
        <v>53.261000000000003</v>
      </c>
      <c r="Q82" s="74" t="s">
        <v>709</v>
      </c>
      <c r="R82" s="75">
        <f>F81+F83</f>
        <v>769.81999999999994</v>
      </c>
      <c r="S82" s="78">
        <f>(F81+F83)/2</f>
        <v>384.90999999999997</v>
      </c>
      <c r="T82" s="73">
        <v>235</v>
      </c>
      <c r="U82" s="74">
        <v>209</v>
      </c>
      <c r="V82" s="79">
        <f>T82+U82</f>
        <v>444</v>
      </c>
      <c r="W82" s="73">
        <v>230</v>
      </c>
      <c r="X82" s="74">
        <v>196</v>
      </c>
      <c r="Y82" s="79">
        <f>W82+X82</f>
        <v>426</v>
      </c>
      <c r="Z82" s="80" t="s">
        <v>708</v>
      </c>
      <c r="AA82" s="81" t="s">
        <v>707</v>
      </c>
      <c r="AB82" s="82">
        <v>303991.511</v>
      </c>
      <c r="AC82" s="83">
        <v>2869369.6230000001</v>
      </c>
      <c r="AD82" s="263"/>
      <c r="AE82" s="262" t="s">
        <v>692</v>
      </c>
      <c r="AF82" s="261"/>
      <c r="AG82" s="76"/>
      <c r="AH82" s="85"/>
    </row>
    <row r="83" spans="1:34" ht="21">
      <c r="A83" s="73"/>
      <c r="B83" s="74" t="s">
        <v>134</v>
      </c>
      <c r="C83" s="74"/>
      <c r="D83" s="74"/>
      <c r="E83" s="74"/>
      <c r="F83" s="75">
        <v>337.077</v>
      </c>
      <c r="G83" s="75"/>
      <c r="H83" s="74"/>
      <c r="I83" s="76"/>
      <c r="J83" s="76"/>
      <c r="K83" s="76"/>
      <c r="L83" s="76"/>
      <c r="M83" s="264"/>
      <c r="N83" s="76"/>
      <c r="O83" s="76"/>
      <c r="P83" s="75"/>
      <c r="Q83" s="74"/>
      <c r="R83" s="75"/>
      <c r="S83" s="78"/>
      <c r="T83" s="73"/>
      <c r="U83" s="74"/>
      <c r="V83" s="79"/>
      <c r="W83" s="73"/>
      <c r="X83" s="74"/>
      <c r="Y83" s="79"/>
      <c r="Z83" s="80"/>
      <c r="AA83" s="81"/>
      <c r="AB83" s="82"/>
      <c r="AC83" s="83"/>
      <c r="AD83" s="263" t="s">
        <v>706</v>
      </c>
      <c r="AE83" s="262"/>
      <c r="AF83" s="261"/>
      <c r="AG83" s="76"/>
      <c r="AH83" s="85"/>
    </row>
    <row r="84" spans="1:34" ht="21">
      <c r="A84" s="73">
        <v>38</v>
      </c>
      <c r="B84" s="74" t="s">
        <v>705</v>
      </c>
      <c r="C84" s="74" t="s">
        <v>704</v>
      </c>
      <c r="D84" s="74" t="s">
        <v>167</v>
      </c>
      <c r="E84" s="74">
        <v>47.74</v>
      </c>
      <c r="F84" s="75"/>
      <c r="G84" s="75">
        <f>G82+F83</f>
        <v>3498.4889999999996</v>
      </c>
      <c r="H84" s="75">
        <f>SUM(F83:F84)</f>
        <v>337.077</v>
      </c>
      <c r="I84" s="76"/>
      <c r="J84" s="76"/>
      <c r="K84" s="76"/>
      <c r="L84" s="76"/>
      <c r="M84" s="264" t="s">
        <v>134</v>
      </c>
      <c r="N84" s="76"/>
      <c r="O84" s="76"/>
      <c r="P84" s="75">
        <v>52.930999999999997</v>
      </c>
      <c r="Q84" s="74" t="s">
        <v>703</v>
      </c>
      <c r="R84" s="75">
        <f>F83+F85</f>
        <v>652.077</v>
      </c>
      <c r="S84" s="78">
        <f>(F83+F85)/2</f>
        <v>326.0385</v>
      </c>
      <c r="T84" s="73">
        <v>127</v>
      </c>
      <c r="U84" s="74">
        <v>162</v>
      </c>
      <c r="V84" s="79">
        <f>T84+U84</f>
        <v>289</v>
      </c>
      <c r="W84" s="73">
        <v>141</v>
      </c>
      <c r="X84" s="74">
        <v>160</v>
      </c>
      <c r="Y84" s="79">
        <f>W84+X84</f>
        <v>301</v>
      </c>
      <c r="Z84" s="80" t="s">
        <v>702</v>
      </c>
      <c r="AA84" s="81" t="s">
        <v>701</v>
      </c>
      <c r="AB84" s="82">
        <v>304150.18900000001</v>
      </c>
      <c r="AC84" s="83">
        <v>2869667.0159999998</v>
      </c>
      <c r="AD84" s="263"/>
      <c r="AE84" s="262" t="s">
        <v>692</v>
      </c>
      <c r="AF84" s="261"/>
      <c r="AG84" s="76"/>
      <c r="AH84" s="85" t="s">
        <v>14</v>
      </c>
    </row>
    <row r="85" spans="1:34" ht="21">
      <c r="A85" s="73"/>
      <c r="B85" s="74" t="s">
        <v>134</v>
      </c>
      <c r="C85" s="74"/>
      <c r="D85" s="74"/>
      <c r="E85" s="74"/>
      <c r="F85" s="75">
        <v>315</v>
      </c>
      <c r="G85" s="75"/>
      <c r="H85" s="74"/>
      <c r="I85" s="76"/>
      <c r="J85" s="76"/>
      <c r="K85" s="76"/>
      <c r="L85" s="76"/>
      <c r="M85" s="264"/>
      <c r="N85" s="76"/>
      <c r="O85" s="76"/>
      <c r="P85" s="75"/>
      <c r="Q85" s="74"/>
      <c r="R85" s="75"/>
      <c r="S85" s="78"/>
      <c r="T85" s="73"/>
      <c r="U85" s="74"/>
      <c r="V85" s="79"/>
      <c r="W85" s="73"/>
      <c r="X85" s="74"/>
      <c r="Y85" s="79"/>
      <c r="Z85" s="80"/>
      <c r="AA85" s="81"/>
      <c r="AB85" s="82"/>
      <c r="AC85" s="83"/>
      <c r="AD85" s="263" t="s">
        <v>700</v>
      </c>
      <c r="AE85" s="262"/>
      <c r="AF85" s="261"/>
      <c r="AG85" s="76"/>
      <c r="AH85" s="85"/>
    </row>
    <row r="86" spans="1:34" ht="21">
      <c r="A86" s="73">
        <v>39</v>
      </c>
      <c r="B86" s="74" t="s">
        <v>134</v>
      </c>
      <c r="C86" s="74" t="s">
        <v>699</v>
      </c>
      <c r="D86" s="74" t="s">
        <v>153</v>
      </c>
      <c r="E86" s="74">
        <v>48.16</v>
      </c>
      <c r="F86" s="75"/>
      <c r="G86" s="75">
        <f>G84+F85</f>
        <v>3813.4889999999996</v>
      </c>
      <c r="H86" s="74" t="s">
        <v>134</v>
      </c>
      <c r="I86" s="76"/>
      <c r="J86" s="76"/>
      <c r="K86" s="76"/>
      <c r="L86" s="76"/>
      <c r="M86" s="264" t="s">
        <v>134</v>
      </c>
      <c r="N86" s="76"/>
      <c r="O86" s="76"/>
      <c r="P86" s="75">
        <v>52.225999999999999</v>
      </c>
      <c r="Q86" s="74" t="s">
        <v>134</v>
      </c>
      <c r="R86" s="75">
        <f>F85+F87</f>
        <v>631.64499999999998</v>
      </c>
      <c r="S86" s="78">
        <f>(F85+F87)/2</f>
        <v>315.82249999999999</v>
      </c>
      <c r="T86" s="73">
        <v>152</v>
      </c>
      <c r="U86" s="74">
        <v>157</v>
      </c>
      <c r="V86" s="79">
        <f>T86+U86</f>
        <v>309</v>
      </c>
      <c r="W86" s="73">
        <v>154</v>
      </c>
      <c r="X86" s="74">
        <v>157</v>
      </c>
      <c r="Y86" s="79">
        <f>W86+X86</f>
        <v>311</v>
      </c>
      <c r="Z86" s="80" t="s">
        <v>698</v>
      </c>
      <c r="AA86" s="81" t="s">
        <v>697</v>
      </c>
      <c r="AB86" s="82">
        <v>304391.31300000002</v>
      </c>
      <c r="AC86" s="83">
        <v>2869869.7080000001</v>
      </c>
      <c r="AD86" s="263"/>
      <c r="AE86" s="262" t="s">
        <v>692</v>
      </c>
      <c r="AF86" s="261"/>
      <c r="AG86" s="76"/>
      <c r="AH86" s="85"/>
    </row>
    <row r="87" spans="1:34" ht="21">
      <c r="A87" s="73"/>
      <c r="B87" s="74" t="s">
        <v>134</v>
      </c>
      <c r="C87" s="74"/>
      <c r="D87" s="74"/>
      <c r="E87" s="74"/>
      <c r="F87" s="75">
        <v>316.64499999999998</v>
      </c>
      <c r="G87" s="75"/>
      <c r="H87" s="74"/>
      <c r="I87" s="76"/>
      <c r="J87" s="76"/>
      <c r="K87" s="76"/>
      <c r="L87" s="76"/>
      <c r="M87" s="264"/>
      <c r="N87" s="76"/>
      <c r="O87" s="76"/>
      <c r="P87" s="75"/>
      <c r="Q87" s="74"/>
      <c r="R87" s="75"/>
      <c r="S87" s="78"/>
      <c r="T87" s="73"/>
      <c r="U87" s="74"/>
      <c r="V87" s="79"/>
      <c r="W87" s="73"/>
      <c r="X87" s="74"/>
      <c r="Y87" s="79"/>
      <c r="Z87" s="80"/>
      <c r="AA87" s="81"/>
      <c r="AB87" s="82"/>
      <c r="AC87" s="83"/>
      <c r="AD87" s="263" t="s">
        <v>321</v>
      </c>
      <c r="AE87" s="262"/>
      <c r="AF87" s="261"/>
      <c r="AG87" s="76"/>
      <c r="AH87" s="85"/>
    </row>
    <row r="88" spans="1:34" ht="21">
      <c r="A88" s="73">
        <v>40</v>
      </c>
      <c r="B88" s="74" t="s">
        <v>696</v>
      </c>
      <c r="C88" s="74" t="s">
        <v>75</v>
      </c>
      <c r="D88" s="74" t="s">
        <v>133</v>
      </c>
      <c r="E88" s="74">
        <v>47.74</v>
      </c>
      <c r="F88" s="75"/>
      <c r="G88" s="75">
        <f>G86+F87</f>
        <v>4130.134</v>
      </c>
      <c r="H88" s="75">
        <f>SUM(F85:F88)</f>
        <v>631.64499999999998</v>
      </c>
      <c r="I88" s="76"/>
      <c r="J88" s="76"/>
      <c r="K88" s="76"/>
      <c r="L88" s="76"/>
      <c r="M88" s="264" t="s">
        <v>134</v>
      </c>
      <c r="N88" s="76"/>
      <c r="O88" s="76"/>
      <c r="P88" s="75">
        <v>52.201999999999998</v>
      </c>
      <c r="Q88" s="74" t="s">
        <v>695</v>
      </c>
      <c r="R88" s="75">
        <f>F87+F89</f>
        <v>693.69499999999994</v>
      </c>
      <c r="S88" s="78">
        <f>(F87+F89)/2</f>
        <v>346.84749999999997</v>
      </c>
      <c r="T88" s="73">
        <v>156</v>
      </c>
      <c r="U88" s="74">
        <v>164</v>
      </c>
      <c r="V88" s="79">
        <f>T88+U88</f>
        <v>320</v>
      </c>
      <c r="W88" s="73">
        <v>157</v>
      </c>
      <c r="X88" s="74">
        <v>170</v>
      </c>
      <c r="Y88" s="79">
        <f>W88+X88</f>
        <v>327</v>
      </c>
      <c r="Z88" s="80" t="s">
        <v>694</v>
      </c>
      <c r="AA88" s="81" t="s">
        <v>693</v>
      </c>
      <c r="AB88" s="82">
        <v>304633.69699999999</v>
      </c>
      <c r="AC88" s="83">
        <v>2870073.4589999998</v>
      </c>
      <c r="AD88" s="263"/>
      <c r="AE88" s="262" t="s">
        <v>692</v>
      </c>
      <c r="AF88" s="261"/>
      <c r="AG88" s="76"/>
      <c r="AH88" s="85"/>
    </row>
    <row r="89" spans="1:34" ht="21">
      <c r="A89" s="73"/>
      <c r="B89" s="74" t="s">
        <v>134</v>
      </c>
      <c r="C89" s="74"/>
      <c r="D89" s="74"/>
      <c r="E89" s="74"/>
      <c r="F89" s="75">
        <v>377.05</v>
      </c>
      <c r="G89" s="75"/>
      <c r="H89" s="74"/>
      <c r="I89" s="76"/>
      <c r="J89" s="76"/>
      <c r="K89" s="76"/>
      <c r="L89" s="76"/>
      <c r="M89" s="264"/>
      <c r="N89" s="76"/>
      <c r="O89" s="76"/>
      <c r="P89" s="75"/>
      <c r="Q89" s="74"/>
      <c r="R89" s="75"/>
      <c r="S89" s="78"/>
      <c r="T89" s="73"/>
      <c r="U89" s="74"/>
      <c r="V89" s="79"/>
      <c r="W89" s="73"/>
      <c r="X89" s="74"/>
      <c r="Y89" s="79"/>
      <c r="Z89" s="80"/>
      <c r="AA89" s="81"/>
      <c r="AB89" s="82"/>
      <c r="AC89" s="83"/>
      <c r="AD89" s="263" t="s">
        <v>691</v>
      </c>
      <c r="AE89" s="262"/>
      <c r="AF89" s="261"/>
      <c r="AG89" s="76"/>
      <c r="AH89" s="85"/>
    </row>
    <row r="90" spans="1:34" ht="21">
      <c r="A90" s="73">
        <v>41</v>
      </c>
      <c r="B90" s="74" t="s">
        <v>690</v>
      </c>
      <c r="C90" s="74" t="s">
        <v>689</v>
      </c>
      <c r="D90" s="74" t="s">
        <v>344</v>
      </c>
      <c r="E90" s="74">
        <v>50.74</v>
      </c>
      <c r="F90" s="75"/>
      <c r="G90" s="75">
        <f>G88+F89</f>
        <v>4507.1840000000002</v>
      </c>
      <c r="H90" s="75">
        <f>SUM(F89:F90)</f>
        <v>377.05</v>
      </c>
      <c r="I90" s="76"/>
      <c r="J90" s="76"/>
      <c r="K90" s="76"/>
      <c r="L90" s="76"/>
      <c r="M90" s="264" t="s">
        <v>134</v>
      </c>
      <c r="N90" s="76"/>
      <c r="O90" s="76"/>
      <c r="P90" s="75">
        <v>52.963999999999999</v>
      </c>
      <c r="Q90" s="74" t="s">
        <v>688</v>
      </c>
      <c r="R90" s="75">
        <f>F89+F91</f>
        <v>723.15300000000002</v>
      </c>
      <c r="S90" s="78">
        <f>(F89+F91)/2</f>
        <v>361.57650000000001</v>
      </c>
      <c r="T90" s="73">
        <v>207</v>
      </c>
      <c r="U90" s="74">
        <v>193</v>
      </c>
      <c r="V90" s="79">
        <f>T90+U90</f>
        <v>400</v>
      </c>
      <c r="W90" s="73">
        <v>200</v>
      </c>
      <c r="X90" s="74">
        <v>186</v>
      </c>
      <c r="Y90" s="79">
        <f>W90+X90</f>
        <v>386</v>
      </c>
      <c r="Z90" s="80" t="s">
        <v>687</v>
      </c>
      <c r="AA90" s="81" t="s">
        <v>686</v>
      </c>
      <c r="AB90" s="82">
        <v>305000.64</v>
      </c>
      <c r="AC90" s="83">
        <v>2869986.7420000001</v>
      </c>
      <c r="AD90" s="263"/>
      <c r="AE90" s="262" t="s">
        <v>685</v>
      </c>
      <c r="AF90" s="261"/>
      <c r="AG90" s="76"/>
      <c r="AH90" s="85"/>
    </row>
    <row r="91" spans="1:34" ht="21">
      <c r="A91" s="73"/>
      <c r="B91" s="74" t="s">
        <v>134</v>
      </c>
      <c r="C91" s="74"/>
      <c r="D91" s="74"/>
      <c r="E91" s="74"/>
      <c r="F91" s="75">
        <v>346.10300000000001</v>
      </c>
      <c r="G91" s="75"/>
      <c r="H91" s="74"/>
      <c r="I91" s="76"/>
      <c r="J91" s="76"/>
      <c r="K91" s="76"/>
      <c r="L91" s="76"/>
      <c r="M91" s="264"/>
      <c r="N91" s="76"/>
      <c r="O91" s="76"/>
      <c r="P91" s="75"/>
      <c r="Q91" s="74"/>
      <c r="R91" s="75"/>
      <c r="S91" s="78"/>
      <c r="T91" s="73"/>
      <c r="U91" s="74"/>
      <c r="V91" s="79"/>
      <c r="W91" s="73"/>
      <c r="X91" s="74"/>
      <c r="Y91" s="79"/>
      <c r="Z91" s="80"/>
      <c r="AA91" s="81"/>
      <c r="AB91" s="82"/>
      <c r="AC91" s="83"/>
      <c r="AD91" s="263" t="s">
        <v>684</v>
      </c>
      <c r="AE91" s="262"/>
      <c r="AF91" s="261"/>
      <c r="AG91" s="76"/>
      <c r="AH91" s="85"/>
    </row>
    <row r="92" spans="1:34" ht="21">
      <c r="A92" s="73">
        <v>42</v>
      </c>
      <c r="B92" s="74" t="s">
        <v>683</v>
      </c>
      <c r="C92" s="74" t="s">
        <v>51</v>
      </c>
      <c r="D92" s="74" t="s">
        <v>133</v>
      </c>
      <c r="E92" s="74">
        <v>47.74</v>
      </c>
      <c r="F92" s="75"/>
      <c r="G92" s="75">
        <f>G90+F91</f>
        <v>4853.2870000000003</v>
      </c>
      <c r="H92" s="75">
        <f>SUM(F91:F92)</f>
        <v>346.10300000000001</v>
      </c>
      <c r="I92" s="76"/>
      <c r="J92" s="76"/>
      <c r="K92" s="76"/>
      <c r="L92" s="76"/>
      <c r="M92" s="264" t="s">
        <v>134</v>
      </c>
      <c r="N92" s="76"/>
      <c r="O92" s="76"/>
      <c r="P92" s="75">
        <v>52.768999999999998</v>
      </c>
      <c r="Q92" s="74" t="s">
        <v>682</v>
      </c>
      <c r="R92" s="75">
        <f>F91+F93</f>
        <v>686.98299999999995</v>
      </c>
      <c r="S92" s="78">
        <f>(F91+F93)/2</f>
        <v>343.49149999999997</v>
      </c>
      <c r="T92" s="73">
        <v>153</v>
      </c>
      <c r="U92" s="74">
        <v>153</v>
      </c>
      <c r="V92" s="79">
        <f>T92+U92</f>
        <v>306</v>
      </c>
      <c r="W92" s="73">
        <v>159</v>
      </c>
      <c r="X92" s="74">
        <v>160</v>
      </c>
      <c r="Y92" s="79">
        <f>W92+X92</f>
        <v>319</v>
      </c>
      <c r="Z92" s="80" t="s">
        <v>681</v>
      </c>
      <c r="AA92" s="81" t="s">
        <v>680</v>
      </c>
      <c r="AB92" s="82">
        <v>305123.00300000003</v>
      </c>
      <c r="AC92" s="83">
        <v>2869662.9909999999</v>
      </c>
      <c r="AD92" s="263"/>
      <c r="AE92" s="262" t="s">
        <v>674</v>
      </c>
      <c r="AF92" s="261"/>
      <c r="AG92" s="76"/>
      <c r="AH92" s="85"/>
    </row>
    <row r="93" spans="1:34" ht="21">
      <c r="A93" s="73"/>
      <c r="B93" s="74" t="s">
        <v>134</v>
      </c>
      <c r="C93" s="74"/>
      <c r="D93" s="74"/>
      <c r="E93" s="74"/>
      <c r="F93" s="75">
        <v>340.88</v>
      </c>
      <c r="G93" s="75"/>
      <c r="H93" s="74"/>
      <c r="I93" s="76"/>
      <c r="J93" s="76"/>
      <c r="K93" s="76"/>
      <c r="L93" s="76"/>
      <c r="M93" s="264"/>
      <c r="N93" s="76"/>
      <c r="O93" s="76"/>
      <c r="P93" s="75"/>
      <c r="Q93" s="74"/>
      <c r="R93" s="75"/>
      <c r="S93" s="78"/>
      <c r="T93" s="73"/>
      <c r="U93" s="74"/>
      <c r="V93" s="79"/>
      <c r="W93" s="73"/>
      <c r="X93" s="74"/>
      <c r="Y93" s="79"/>
      <c r="Z93" s="80"/>
      <c r="AA93" s="81"/>
      <c r="AB93" s="82"/>
      <c r="AC93" s="83"/>
      <c r="AD93" s="263" t="s">
        <v>679</v>
      </c>
      <c r="AE93" s="262"/>
      <c r="AF93" s="261"/>
      <c r="AG93" s="76"/>
      <c r="AH93" s="85"/>
    </row>
    <row r="94" spans="1:34" ht="21.75" thickBot="1">
      <c r="A94" s="91">
        <v>43</v>
      </c>
      <c r="B94" s="92" t="s">
        <v>678</v>
      </c>
      <c r="C94" s="92" t="s">
        <v>76</v>
      </c>
      <c r="D94" s="92" t="s">
        <v>344</v>
      </c>
      <c r="E94" s="92">
        <v>50.74</v>
      </c>
      <c r="F94" s="93"/>
      <c r="G94" s="93">
        <f>G92+F93</f>
        <v>5194.1670000000004</v>
      </c>
      <c r="H94" s="93">
        <f>SUM(F93:F94)</f>
        <v>340.88</v>
      </c>
      <c r="I94" s="94"/>
      <c r="J94" s="94"/>
      <c r="K94" s="94"/>
      <c r="L94" s="94"/>
      <c r="M94" s="260" t="s">
        <v>134</v>
      </c>
      <c r="N94" s="94"/>
      <c r="O94" s="94"/>
      <c r="P94" s="93">
        <v>53.027000000000001</v>
      </c>
      <c r="Q94" s="92" t="s">
        <v>677</v>
      </c>
      <c r="R94" s="93">
        <v>679.80600000000004</v>
      </c>
      <c r="S94" s="96">
        <f>(F93)/2</f>
        <v>170.44</v>
      </c>
      <c r="T94" s="91">
        <v>194</v>
      </c>
      <c r="U94" s="92">
        <v>173</v>
      </c>
      <c r="V94" s="97">
        <f>T94+U94</f>
        <v>367</v>
      </c>
      <c r="W94" s="91">
        <v>188</v>
      </c>
      <c r="X94" s="92">
        <v>174</v>
      </c>
      <c r="Y94" s="97">
        <f>W94+X94</f>
        <v>362</v>
      </c>
      <c r="Z94" s="98" t="s">
        <v>676</v>
      </c>
      <c r="AA94" s="99" t="s">
        <v>675</v>
      </c>
      <c r="AB94" s="100">
        <v>305406.61099999998</v>
      </c>
      <c r="AC94" s="101">
        <v>2869473.872</v>
      </c>
      <c r="AD94" s="259" t="s">
        <v>14</v>
      </c>
      <c r="AE94" s="258" t="s">
        <v>674</v>
      </c>
      <c r="AF94" s="257"/>
      <c r="AG94" s="94"/>
      <c r="AH94" s="103" t="s">
        <v>673</v>
      </c>
    </row>
    <row r="95" spans="1:34" ht="24" customHeight="1" thickBot="1">
      <c r="A95" s="256"/>
      <c r="B95" s="117"/>
      <c r="C95" s="117"/>
      <c r="D95" s="1878" t="s">
        <v>468</v>
      </c>
      <c r="E95" s="1879"/>
      <c r="F95" s="255">
        <f>SUM(F10:F94)/1000</f>
        <v>12.623335999999998</v>
      </c>
      <c r="G95" s="254" t="s">
        <v>469</v>
      </c>
      <c r="H95" s="253"/>
      <c r="P95" s="117"/>
      <c r="Q95" s="117"/>
      <c r="R95" s="252"/>
      <c r="S95" s="117"/>
      <c r="T95" s="117"/>
      <c r="U95" s="117"/>
      <c r="V95" s="117"/>
      <c r="W95" s="117"/>
      <c r="X95" s="117"/>
      <c r="Y95" s="117"/>
      <c r="Z95" s="117"/>
      <c r="AA95" s="117"/>
      <c r="AB95" s="251"/>
      <c r="AC95" s="251"/>
      <c r="AD95" s="250"/>
      <c r="AH95" s="249"/>
    </row>
    <row r="96" spans="1:34" ht="42" customHeight="1" thickBot="1">
      <c r="A96" s="1816" t="s">
        <v>470</v>
      </c>
      <c r="B96" s="1817"/>
      <c r="C96" s="1817"/>
      <c r="D96" s="1817"/>
      <c r="E96" s="1817"/>
      <c r="F96" s="1817"/>
      <c r="G96" s="1817"/>
      <c r="H96" s="1817"/>
      <c r="I96" s="1817"/>
      <c r="J96" s="1817"/>
      <c r="K96" s="1817"/>
      <c r="L96" s="1817"/>
      <c r="M96" s="1817"/>
      <c r="N96" s="1817"/>
      <c r="O96" s="1817"/>
      <c r="P96" s="1817"/>
      <c r="Q96" s="1817"/>
      <c r="R96" s="1818"/>
      <c r="S96" s="1819" t="s">
        <v>471</v>
      </c>
      <c r="T96" s="1820"/>
      <c r="U96" s="1820"/>
      <c r="V96" s="1820"/>
      <c r="W96" s="1820"/>
      <c r="X96" s="1820"/>
      <c r="Y96" s="1820"/>
      <c r="Z96" s="1820"/>
      <c r="AA96" s="1820"/>
      <c r="AB96" s="1820"/>
      <c r="AC96" s="1820"/>
      <c r="AD96" s="1820"/>
      <c r="AE96" s="1820"/>
      <c r="AF96" s="1820"/>
      <c r="AG96" s="1820"/>
      <c r="AH96" s="1821"/>
    </row>
    <row r="97" spans="1:34" ht="24" customHeight="1" thickBot="1">
      <c r="A97" s="1880" t="s">
        <v>472</v>
      </c>
      <c r="B97" s="1881"/>
      <c r="C97" s="1881"/>
      <c r="D97" s="1882"/>
      <c r="E97" s="1816" t="s">
        <v>473</v>
      </c>
      <c r="F97" s="1817"/>
      <c r="G97" s="1817"/>
      <c r="H97" s="1818"/>
      <c r="I97" s="114" t="s">
        <v>474</v>
      </c>
      <c r="J97" s="114" t="s">
        <v>474</v>
      </c>
      <c r="K97" s="114" t="s">
        <v>474</v>
      </c>
      <c r="L97" s="114" t="s">
        <v>474</v>
      </c>
      <c r="M97" s="1816" t="s">
        <v>474</v>
      </c>
      <c r="N97" s="1817"/>
      <c r="O97" s="1817"/>
      <c r="P97" s="1817"/>
      <c r="Q97" s="1817"/>
      <c r="R97" s="1818"/>
      <c r="S97" s="1816" t="s">
        <v>473</v>
      </c>
      <c r="T97" s="1817"/>
      <c r="U97" s="1817"/>
      <c r="V97" s="1817"/>
      <c r="W97" s="1818"/>
      <c r="X97" s="1822" t="s">
        <v>475</v>
      </c>
      <c r="Y97" s="1823"/>
      <c r="Z97" s="1823"/>
      <c r="AA97" s="1823"/>
      <c r="AB97" s="1823"/>
      <c r="AC97" s="1824"/>
      <c r="AD97" s="1822" t="s">
        <v>476</v>
      </c>
      <c r="AE97" s="1823"/>
      <c r="AF97" s="1823"/>
      <c r="AG97" s="1823"/>
      <c r="AH97" s="1824"/>
    </row>
    <row r="98" spans="1:34" ht="144.6" customHeight="1" thickBot="1">
      <c r="A98" s="1852"/>
      <c r="B98" s="1853"/>
      <c r="C98" s="1853"/>
      <c r="D98" s="1855"/>
      <c r="E98" s="1813"/>
      <c r="F98" s="1814"/>
      <c r="G98" s="1814"/>
      <c r="H98" s="1815"/>
      <c r="I98" s="115"/>
      <c r="J98" s="115"/>
      <c r="K98" s="115"/>
      <c r="L98" s="115"/>
      <c r="M98" s="1813"/>
      <c r="N98" s="1814"/>
      <c r="O98" s="1814"/>
      <c r="P98" s="1814"/>
      <c r="Q98" s="1814"/>
      <c r="R98" s="1815"/>
      <c r="S98" s="1813"/>
      <c r="T98" s="1814"/>
      <c r="U98" s="1814"/>
      <c r="V98" s="1814"/>
      <c r="W98" s="1815"/>
      <c r="X98" s="1813"/>
      <c r="Y98" s="1814"/>
      <c r="Z98" s="1814"/>
      <c r="AA98" s="1814"/>
      <c r="AB98" s="1814"/>
      <c r="AC98" s="1815"/>
      <c r="AD98" s="1849"/>
      <c r="AE98" s="1850"/>
      <c r="AF98" s="1850"/>
      <c r="AG98" s="1850"/>
      <c r="AH98" s="1851"/>
    </row>
    <row r="99" spans="1:34">
      <c r="A99" s="116"/>
      <c r="AH99" s="118"/>
    </row>
    <row r="100" spans="1:34" ht="15.75">
      <c r="A100" s="116"/>
      <c r="E100" s="248" t="s">
        <v>477</v>
      </c>
      <c r="F100" s="120"/>
      <c r="G100" s="120"/>
      <c r="AH100" s="118"/>
    </row>
    <row r="101" spans="1:34">
      <c r="A101" s="116"/>
      <c r="E101" s="117"/>
      <c r="F101" s="117"/>
      <c r="AH101" s="118"/>
    </row>
    <row r="102" spans="1:34">
      <c r="A102" s="116"/>
      <c r="E102" s="1" t="s">
        <v>153</v>
      </c>
      <c r="F102" s="247" t="s">
        <v>478</v>
      </c>
      <c r="G102" s="34">
        <f t="shared" ref="G102:G119" si="0">COUNTIF($D$10:$D$1281,E102)</f>
        <v>7</v>
      </c>
      <c r="AH102" s="118"/>
    </row>
    <row r="103" spans="1:34">
      <c r="A103" s="116"/>
      <c r="E103" s="1" t="s">
        <v>187</v>
      </c>
      <c r="F103" s="247" t="s">
        <v>478</v>
      </c>
      <c r="G103" s="34">
        <f t="shared" si="0"/>
        <v>3</v>
      </c>
      <c r="AH103" s="118"/>
    </row>
    <row r="104" spans="1:34">
      <c r="A104" s="116"/>
      <c r="E104" s="1" t="s">
        <v>301</v>
      </c>
      <c r="F104" s="247" t="s">
        <v>478</v>
      </c>
      <c r="G104" s="34">
        <f t="shared" si="0"/>
        <v>3</v>
      </c>
      <c r="AH104" s="118"/>
    </row>
    <row r="105" spans="1:34">
      <c r="A105" s="116"/>
      <c r="E105" s="1" t="s">
        <v>251</v>
      </c>
      <c r="F105" s="247" t="s">
        <v>478</v>
      </c>
      <c r="G105" s="34">
        <f t="shared" si="0"/>
        <v>0</v>
      </c>
      <c r="AH105" s="118"/>
    </row>
    <row r="106" spans="1:34">
      <c r="A106" s="116"/>
      <c r="E106" s="1" t="s">
        <v>193</v>
      </c>
      <c r="F106" s="247" t="s">
        <v>478</v>
      </c>
      <c r="G106" s="34">
        <f t="shared" si="0"/>
        <v>4</v>
      </c>
      <c r="AH106" s="118"/>
    </row>
    <row r="107" spans="1:34">
      <c r="A107" s="116"/>
      <c r="E107" s="1" t="s">
        <v>245</v>
      </c>
      <c r="F107" s="247" t="s">
        <v>478</v>
      </c>
      <c r="G107" s="34">
        <f t="shared" si="0"/>
        <v>1</v>
      </c>
      <c r="AH107" s="118"/>
    </row>
    <row r="108" spans="1:34">
      <c r="A108" s="116"/>
      <c r="E108" s="1" t="s">
        <v>337</v>
      </c>
      <c r="F108" s="247" t="s">
        <v>478</v>
      </c>
      <c r="G108" s="34">
        <f t="shared" si="0"/>
        <v>2</v>
      </c>
      <c r="AH108" s="118"/>
    </row>
    <row r="109" spans="1:34">
      <c r="A109" s="116"/>
      <c r="E109" s="1" t="s">
        <v>479</v>
      </c>
      <c r="F109" s="247" t="s">
        <v>478</v>
      </c>
      <c r="G109" s="34">
        <f t="shared" si="0"/>
        <v>0</v>
      </c>
      <c r="AH109" s="118"/>
    </row>
    <row r="110" spans="1:34">
      <c r="A110" s="116"/>
      <c r="E110" s="1" t="s">
        <v>167</v>
      </c>
      <c r="F110" s="247" t="s">
        <v>478</v>
      </c>
      <c r="G110" s="34">
        <f t="shared" si="0"/>
        <v>3</v>
      </c>
      <c r="AH110" s="118"/>
    </row>
    <row r="111" spans="1:34">
      <c r="A111" s="116"/>
      <c r="E111" s="1" t="s">
        <v>437</v>
      </c>
      <c r="F111" s="247" t="s">
        <v>478</v>
      </c>
      <c r="G111" s="34">
        <f t="shared" si="0"/>
        <v>0</v>
      </c>
      <c r="AH111" s="118"/>
    </row>
    <row r="112" spans="1:34">
      <c r="A112" s="116"/>
      <c r="E112" s="1" t="s">
        <v>264</v>
      </c>
      <c r="F112" s="247" t="s">
        <v>478</v>
      </c>
      <c r="G112" s="34">
        <f t="shared" si="0"/>
        <v>1</v>
      </c>
      <c r="AH112" s="118"/>
    </row>
    <row r="113" spans="1:34">
      <c r="A113" s="116"/>
      <c r="E113" s="1" t="s">
        <v>480</v>
      </c>
      <c r="F113" s="247" t="s">
        <v>478</v>
      </c>
      <c r="G113" s="34">
        <f t="shared" si="0"/>
        <v>0</v>
      </c>
      <c r="AH113" s="118"/>
    </row>
    <row r="114" spans="1:34">
      <c r="A114" s="116"/>
      <c r="E114" s="1" t="s">
        <v>133</v>
      </c>
      <c r="F114" s="247" t="s">
        <v>478</v>
      </c>
      <c r="G114" s="34">
        <f t="shared" si="0"/>
        <v>14</v>
      </c>
      <c r="AH114" s="118"/>
    </row>
    <row r="115" spans="1:34">
      <c r="A115" s="116"/>
      <c r="E115" s="1" t="s">
        <v>281</v>
      </c>
      <c r="F115" s="247" t="s">
        <v>478</v>
      </c>
      <c r="G115" s="34">
        <f t="shared" si="0"/>
        <v>0</v>
      </c>
      <c r="AH115" s="118"/>
    </row>
    <row r="116" spans="1:34">
      <c r="A116" s="116"/>
      <c r="E116" s="1" t="s">
        <v>287</v>
      </c>
      <c r="F116" s="247" t="s">
        <v>478</v>
      </c>
      <c r="G116" s="34">
        <f t="shared" si="0"/>
        <v>0</v>
      </c>
      <c r="AH116" s="118"/>
    </row>
    <row r="117" spans="1:34">
      <c r="A117" s="116"/>
      <c r="E117" s="1" t="s">
        <v>344</v>
      </c>
      <c r="F117" s="247" t="s">
        <v>478</v>
      </c>
      <c r="G117" s="34">
        <f t="shared" si="0"/>
        <v>3</v>
      </c>
      <c r="AH117" s="118"/>
    </row>
    <row r="118" spans="1:34">
      <c r="A118" s="116"/>
      <c r="E118" s="1" t="s">
        <v>257</v>
      </c>
      <c r="F118" s="247" t="s">
        <v>478</v>
      </c>
      <c r="G118" s="34">
        <f t="shared" si="0"/>
        <v>1</v>
      </c>
      <c r="AH118" s="118"/>
    </row>
    <row r="119" spans="1:34">
      <c r="A119" s="116"/>
      <c r="E119" s="1" t="s">
        <v>357</v>
      </c>
      <c r="F119" s="247" t="s">
        <v>478</v>
      </c>
      <c r="G119" s="34">
        <f t="shared" si="0"/>
        <v>1</v>
      </c>
      <c r="AH119" s="118"/>
    </row>
    <row r="120" spans="1:34" ht="16.5" thickBot="1">
      <c r="A120" s="127"/>
      <c r="B120" s="109"/>
      <c r="C120" s="109"/>
      <c r="D120" s="109"/>
      <c r="E120" s="246" t="s">
        <v>128</v>
      </c>
      <c r="F120" s="129" t="s">
        <v>478</v>
      </c>
      <c r="G120" s="246">
        <f>SUM(G102:G119)</f>
        <v>43</v>
      </c>
      <c r="H120" s="109"/>
      <c r="I120" s="109"/>
      <c r="J120" s="109"/>
      <c r="K120" s="109"/>
      <c r="L120" s="109"/>
      <c r="M120" s="105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31"/>
    </row>
  </sheetData>
  <autoFilter ref="A9:AH26"/>
  <mergeCells count="50">
    <mergeCell ref="A1:AD1"/>
    <mergeCell ref="A2:AD2"/>
    <mergeCell ref="A3:AD3"/>
    <mergeCell ref="A4:AD4"/>
    <mergeCell ref="AG4:AH4"/>
    <mergeCell ref="A5:AD5"/>
    <mergeCell ref="AG5:AH5"/>
    <mergeCell ref="G8:G9"/>
    <mergeCell ref="H8:H9"/>
    <mergeCell ref="I8:L8"/>
    <mergeCell ref="M8:M9"/>
    <mergeCell ref="N8:N9"/>
    <mergeCell ref="O8:O9"/>
    <mergeCell ref="AG8:AG9"/>
    <mergeCell ref="Q8:Q9"/>
    <mergeCell ref="S8:S9"/>
    <mergeCell ref="T8:V8"/>
    <mergeCell ref="W8:Y8"/>
    <mergeCell ref="A6:AD6"/>
    <mergeCell ref="AG6:AH6"/>
    <mergeCell ref="A8:A9"/>
    <mergeCell ref="P8:P9"/>
    <mergeCell ref="B8:B9"/>
    <mergeCell ref="C8:C9"/>
    <mergeCell ref="D8:D9"/>
    <mergeCell ref="E8:E9"/>
    <mergeCell ref="F8:F9"/>
    <mergeCell ref="AE8:AE9"/>
    <mergeCell ref="AF8:AF9"/>
    <mergeCell ref="AH8:AH9"/>
    <mergeCell ref="R8:R9"/>
    <mergeCell ref="AD98:AH98"/>
    <mergeCell ref="Z8:Z9"/>
    <mergeCell ref="AA8:AA9"/>
    <mergeCell ref="AB8:AC8"/>
    <mergeCell ref="AD8:AD9"/>
    <mergeCell ref="D95:E95"/>
    <mergeCell ref="A96:R96"/>
    <mergeCell ref="S96:AH96"/>
    <mergeCell ref="A97:D97"/>
    <mergeCell ref="E97:H97"/>
    <mergeCell ref="M97:R97"/>
    <mergeCell ref="S97:W97"/>
    <mergeCell ref="X97:AC97"/>
    <mergeCell ref="AD97:AH97"/>
    <mergeCell ref="A98:D98"/>
    <mergeCell ref="E98:H98"/>
    <mergeCell ref="M98:R98"/>
    <mergeCell ref="S98:W98"/>
    <mergeCell ref="X98:AC98"/>
  </mergeCells>
  <conditionalFormatting sqref="AH10:AH94">
    <cfRule type="containsText" dxfId="93" priority="1" operator="containsText" text="11,LT,RC">
      <formula>NOT(ISERROR(SEARCH("11,LT,RC",AH10)))</formula>
    </cfRule>
    <cfRule type="containsText" dxfId="92" priority="2" operator="containsText" text="text">
      <formula>NOT(ISERROR(SEARCH("text",AH10)))</formula>
    </cfRule>
  </conditionalFormatting>
  <printOptions horizontalCentered="1"/>
  <pageMargins left="0" right="0" top="0.39370078740157483" bottom="0" header="0" footer="0"/>
  <pageSetup paperSize="5" scale="55" orientation="landscape" r:id="rId1"/>
  <headerFooter>
    <oddHeader>&amp;C &amp;RPage &amp;P of &amp;N</oddHeader>
  </headerFooter>
  <rowBreaks count="1" manualBreakCount="1">
    <brk id="23" max="16383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66"/>
  <sheetViews>
    <sheetView topLeftCell="A52" workbookViewId="0">
      <selection activeCell="J61" sqref="J61"/>
    </sheetView>
  </sheetViews>
  <sheetFormatPr defaultRowHeight="15"/>
  <cols>
    <col min="1" max="1" width="3" bestFit="1" customWidth="1"/>
    <col min="2" max="2" width="29.85546875" customWidth="1"/>
    <col min="3" max="3" width="16.42578125" bestFit="1" customWidth="1"/>
    <col min="4" max="4" width="11.140625" bestFit="1" customWidth="1"/>
    <col min="5" max="5" width="8.140625" bestFit="1" customWidth="1"/>
    <col min="6" max="6" width="12.140625" customWidth="1"/>
    <col min="7" max="7" width="33" bestFit="1" customWidth="1"/>
  </cols>
  <sheetData>
    <row r="1" spans="1:7">
      <c r="A1" s="1911" t="s">
        <v>866</v>
      </c>
      <c r="B1" s="1911"/>
      <c r="C1" s="1911"/>
      <c r="D1" s="1911"/>
      <c r="E1" s="1911"/>
      <c r="F1" s="1911"/>
      <c r="G1" s="1911"/>
    </row>
    <row r="2" spans="1:7">
      <c r="A2" s="290"/>
      <c r="B2" s="290"/>
      <c r="C2" s="290"/>
      <c r="D2" s="290"/>
      <c r="E2" s="290"/>
      <c r="F2" s="290"/>
      <c r="G2" s="290"/>
    </row>
    <row r="3" spans="1:7">
      <c r="A3" s="1912" t="s">
        <v>867</v>
      </c>
      <c r="B3" s="1912" t="s">
        <v>868</v>
      </c>
      <c r="C3" s="1912" t="s">
        <v>0</v>
      </c>
      <c r="D3" s="1912"/>
      <c r="E3" s="291" t="s">
        <v>869</v>
      </c>
      <c r="F3" s="291" t="s">
        <v>870</v>
      </c>
      <c r="G3" s="1913" t="s">
        <v>871</v>
      </c>
    </row>
    <row r="4" spans="1:7">
      <c r="A4" s="1912"/>
      <c r="B4" s="1912"/>
      <c r="C4" s="1912"/>
      <c r="D4" s="1912"/>
      <c r="E4" s="291" t="s">
        <v>872</v>
      </c>
      <c r="F4" s="291" t="s">
        <v>873</v>
      </c>
      <c r="G4" s="1913"/>
    </row>
    <row r="5" spans="1:7">
      <c r="A5" s="1909">
        <v>1</v>
      </c>
      <c r="B5" s="1910" t="s">
        <v>874</v>
      </c>
      <c r="C5" s="292" t="s">
        <v>875</v>
      </c>
      <c r="D5" s="293" t="s">
        <v>876</v>
      </c>
      <c r="E5" s="293">
        <v>40</v>
      </c>
      <c r="F5" s="293">
        <v>122</v>
      </c>
      <c r="G5" s="293"/>
    </row>
    <row r="6" spans="1:7">
      <c r="A6" s="1909"/>
      <c r="B6" s="1910"/>
      <c r="C6" s="1910" t="s">
        <v>877</v>
      </c>
      <c r="D6" s="293" t="s">
        <v>878</v>
      </c>
      <c r="E6" s="293">
        <v>41.27</v>
      </c>
      <c r="F6" s="293">
        <v>127</v>
      </c>
      <c r="G6" s="293"/>
    </row>
    <row r="7" spans="1:7">
      <c r="A7" s="1909"/>
      <c r="B7" s="1910"/>
      <c r="C7" s="1910"/>
      <c r="D7" s="293" t="s">
        <v>879</v>
      </c>
      <c r="E7" s="293">
        <v>41.27</v>
      </c>
      <c r="F7" s="293">
        <v>127</v>
      </c>
      <c r="G7" s="293"/>
    </row>
    <row r="8" spans="1:7">
      <c r="A8" s="1909"/>
      <c r="B8" s="1910"/>
      <c r="C8" s="1910" t="s">
        <v>880</v>
      </c>
      <c r="D8" s="293" t="s">
        <v>29</v>
      </c>
      <c r="E8" s="293">
        <v>41.27</v>
      </c>
      <c r="F8" s="293">
        <v>127</v>
      </c>
      <c r="G8" s="293"/>
    </row>
    <row r="9" spans="1:7" ht="60">
      <c r="A9" s="1909"/>
      <c r="B9" s="1910"/>
      <c r="C9" s="1910"/>
      <c r="D9" s="293" t="s">
        <v>878</v>
      </c>
      <c r="E9" s="293">
        <f>20.778+12.623</f>
        <v>33.400999999999996</v>
      </c>
      <c r="F9" s="293">
        <v>63</v>
      </c>
      <c r="G9" s="294" t="s">
        <v>881</v>
      </c>
    </row>
    <row r="10" spans="1:7">
      <c r="A10" s="1909"/>
      <c r="B10" s="1910"/>
      <c r="C10" s="1910"/>
      <c r="D10" s="293" t="s">
        <v>879</v>
      </c>
      <c r="E10" s="293">
        <v>18.7</v>
      </c>
      <c r="F10" s="293">
        <v>53</v>
      </c>
      <c r="G10" s="293"/>
    </row>
    <row r="11" spans="1:7">
      <c r="A11" s="1909"/>
      <c r="B11" s="1910"/>
      <c r="C11" s="1910" t="s">
        <v>882</v>
      </c>
      <c r="D11" s="293" t="s">
        <v>29</v>
      </c>
      <c r="E11" s="293">
        <v>13.583</v>
      </c>
      <c r="F11" s="293">
        <v>44</v>
      </c>
      <c r="G11" s="295" t="s">
        <v>883</v>
      </c>
    </row>
    <row r="12" spans="1:7">
      <c r="A12" s="1909"/>
      <c r="B12" s="1910"/>
      <c r="C12" s="1910"/>
      <c r="D12" s="293" t="s">
        <v>878</v>
      </c>
      <c r="E12" s="293">
        <v>0</v>
      </c>
      <c r="F12" s="293">
        <v>0</v>
      </c>
      <c r="G12" s="293"/>
    </row>
    <row r="13" spans="1:7">
      <c r="A13" s="1909"/>
      <c r="B13" s="1910"/>
      <c r="C13" s="1910"/>
      <c r="D13" s="293" t="s">
        <v>879</v>
      </c>
      <c r="E13" s="293">
        <v>0</v>
      </c>
      <c r="F13" s="293">
        <v>0</v>
      </c>
      <c r="G13" s="293"/>
    </row>
    <row r="14" spans="1:7">
      <c r="A14" s="293"/>
      <c r="B14" s="293"/>
      <c r="C14" s="293"/>
      <c r="D14" s="293"/>
      <c r="E14" s="293"/>
      <c r="F14" s="293"/>
      <c r="G14" s="293"/>
    </row>
    <row r="15" spans="1:7">
      <c r="A15" s="1909">
        <v>2</v>
      </c>
      <c r="B15" s="1910" t="s">
        <v>884</v>
      </c>
      <c r="C15" s="292" t="s">
        <v>885</v>
      </c>
      <c r="D15" s="293" t="s">
        <v>876</v>
      </c>
      <c r="E15" s="293">
        <v>100</v>
      </c>
      <c r="F15" s="293">
        <v>360</v>
      </c>
      <c r="G15" s="293"/>
    </row>
    <row r="16" spans="1:7">
      <c r="A16" s="1909"/>
      <c r="B16" s="1910"/>
      <c r="C16" s="1910" t="s">
        <v>877</v>
      </c>
      <c r="D16" s="293" t="s">
        <v>878</v>
      </c>
      <c r="E16" s="293">
        <v>102.96</v>
      </c>
      <c r="F16" s="293">
        <v>343</v>
      </c>
      <c r="G16" s="293"/>
    </row>
    <row r="17" spans="1:7">
      <c r="A17" s="1909"/>
      <c r="B17" s="1910"/>
      <c r="C17" s="1910"/>
      <c r="D17" s="293" t="s">
        <v>879</v>
      </c>
      <c r="E17" s="293">
        <v>102.96</v>
      </c>
      <c r="F17" s="293">
        <v>343</v>
      </c>
      <c r="G17" s="293"/>
    </row>
    <row r="18" spans="1:7">
      <c r="A18" s="1909"/>
      <c r="B18" s="1910"/>
      <c r="C18" s="1910" t="s">
        <v>880</v>
      </c>
      <c r="D18" s="293" t="s">
        <v>29</v>
      </c>
      <c r="E18" s="293">
        <v>102.96</v>
      </c>
      <c r="F18" s="293">
        <v>343</v>
      </c>
      <c r="G18" s="296"/>
    </row>
    <row r="19" spans="1:7" ht="45">
      <c r="A19" s="1909"/>
      <c r="B19" s="1910"/>
      <c r="C19" s="1910"/>
      <c r="D19" s="293" t="s">
        <v>878</v>
      </c>
      <c r="E19" s="293">
        <v>20.11</v>
      </c>
      <c r="F19" s="293">
        <v>67</v>
      </c>
      <c r="G19" s="294" t="s">
        <v>886</v>
      </c>
    </row>
    <row r="20" spans="1:7">
      <c r="A20" s="1909"/>
      <c r="B20" s="1910"/>
      <c r="C20" s="1910"/>
      <c r="D20" s="293" t="s">
        <v>879</v>
      </c>
      <c r="E20" s="293">
        <v>20.11</v>
      </c>
      <c r="F20" s="293">
        <v>67</v>
      </c>
      <c r="G20" s="293"/>
    </row>
    <row r="21" spans="1:7">
      <c r="A21" s="1909"/>
      <c r="B21" s="1910"/>
      <c r="C21" s="1910" t="s">
        <v>882</v>
      </c>
      <c r="D21" s="293" t="s">
        <v>29</v>
      </c>
      <c r="E21" s="293">
        <v>20.11</v>
      </c>
      <c r="F21" s="293">
        <v>67</v>
      </c>
      <c r="G21" s="293"/>
    </row>
    <row r="22" spans="1:7">
      <c r="A22" s="1909"/>
      <c r="B22" s="1910"/>
      <c r="C22" s="1910"/>
      <c r="D22" s="293" t="s">
        <v>878</v>
      </c>
      <c r="E22" s="293">
        <v>20.11</v>
      </c>
      <c r="F22" s="293">
        <v>67</v>
      </c>
      <c r="G22" s="293"/>
    </row>
    <row r="23" spans="1:7">
      <c r="A23" s="1909"/>
      <c r="B23" s="1910"/>
      <c r="C23" s="1910"/>
      <c r="D23" s="293" t="s">
        <v>879</v>
      </c>
      <c r="E23" s="293">
        <v>20.11</v>
      </c>
      <c r="F23" s="293">
        <v>67</v>
      </c>
      <c r="G23" s="293"/>
    </row>
    <row r="24" spans="1:7">
      <c r="A24" s="293"/>
      <c r="B24" s="293"/>
      <c r="C24" s="293"/>
      <c r="D24" s="293"/>
      <c r="E24" s="293"/>
      <c r="F24" s="293"/>
      <c r="G24" s="293"/>
    </row>
    <row r="25" spans="1:7">
      <c r="A25" s="1909">
        <v>3</v>
      </c>
      <c r="B25" s="1910" t="s">
        <v>887</v>
      </c>
      <c r="C25" s="292" t="s">
        <v>885</v>
      </c>
      <c r="D25" s="293" t="s">
        <v>876</v>
      </c>
      <c r="E25" s="293">
        <v>25</v>
      </c>
      <c r="F25" s="293">
        <v>82</v>
      </c>
      <c r="G25" s="293"/>
    </row>
    <row r="26" spans="1:7">
      <c r="A26" s="1909"/>
      <c r="B26" s="1910"/>
      <c r="C26" s="1910" t="s">
        <v>877</v>
      </c>
      <c r="D26" s="293" t="s">
        <v>878</v>
      </c>
      <c r="E26" s="293">
        <v>6.6</v>
      </c>
      <c r="F26" s="293">
        <v>28</v>
      </c>
      <c r="G26" s="293"/>
    </row>
    <row r="27" spans="1:7" ht="60">
      <c r="A27" s="1909"/>
      <c r="B27" s="1910"/>
      <c r="C27" s="1910"/>
      <c r="D27" s="293" t="s">
        <v>879</v>
      </c>
      <c r="E27" s="293">
        <v>6.4</v>
      </c>
      <c r="F27" s="293">
        <v>28</v>
      </c>
      <c r="G27" s="294" t="s">
        <v>888</v>
      </c>
    </row>
    <row r="28" spans="1:7">
      <c r="A28" s="1909"/>
      <c r="B28" s="1910"/>
      <c r="C28" s="1910" t="s">
        <v>880</v>
      </c>
      <c r="D28" s="293" t="s">
        <v>29</v>
      </c>
      <c r="E28" s="293">
        <v>6.6</v>
      </c>
      <c r="F28" s="293">
        <v>29</v>
      </c>
      <c r="G28" s="293"/>
    </row>
    <row r="29" spans="1:7">
      <c r="A29" s="1909"/>
      <c r="B29" s="1910"/>
      <c r="C29" s="1910"/>
      <c r="D29" s="293" t="s">
        <v>878</v>
      </c>
      <c r="E29" s="293">
        <v>6.6</v>
      </c>
      <c r="F29" s="293">
        <v>29</v>
      </c>
      <c r="G29" s="293"/>
    </row>
    <row r="30" spans="1:7">
      <c r="A30" s="1909"/>
      <c r="B30" s="1910"/>
      <c r="C30" s="1910"/>
      <c r="D30" s="293" t="s">
        <v>879</v>
      </c>
      <c r="E30" s="293">
        <v>6.4</v>
      </c>
      <c r="F30" s="293">
        <v>29</v>
      </c>
      <c r="G30" s="293"/>
    </row>
    <row r="31" spans="1:7">
      <c r="A31" s="1909"/>
      <c r="B31" s="1910"/>
      <c r="C31" s="1910" t="s">
        <v>882</v>
      </c>
      <c r="D31" s="293" t="s">
        <v>29</v>
      </c>
      <c r="E31" s="293">
        <v>5.5</v>
      </c>
      <c r="F31" s="293">
        <v>22</v>
      </c>
      <c r="G31" s="293"/>
    </row>
    <row r="32" spans="1:7">
      <c r="A32" s="1909"/>
      <c r="B32" s="1910"/>
      <c r="C32" s="1910"/>
      <c r="D32" s="293" t="s">
        <v>878</v>
      </c>
      <c r="E32" s="293">
        <v>5.5</v>
      </c>
      <c r="F32" s="293">
        <v>22</v>
      </c>
      <c r="G32" s="293"/>
    </row>
    <row r="33" spans="1:7">
      <c r="A33" s="1909"/>
      <c r="B33" s="1910"/>
      <c r="C33" s="1910"/>
      <c r="D33" s="293" t="s">
        <v>879</v>
      </c>
      <c r="E33" s="293">
        <v>5.5</v>
      </c>
      <c r="F33" s="293">
        <v>22</v>
      </c>
      <c r="G33" s="293"/>
    </row>
    <row r="34" spans="1:7" ht="15.75" thickBot="1">
      <c r="A34" s="297"/>
    </row>
    <row r="35" spans="1:7" ht="16.5" thickBot="1">
      <c r="A35" s="1906" t="s">
        <v>866</v>
      </c>
      <c r="B35" s="1907"/>
      <c r="C35" s="1907"/>
      <c r="D35" s="1907"/>
      <c r="E35" s="1907"/>
      <c r="F35" s="1907"/>
      <c r="G35" s="1908"/>
    </row>
    <row r="36" spans="1:7" ht="32.25" thickBot="1">
      <c r="A36" s="1900" t="s">
        <v>867</v>
      </c>
      <c r="B36" s="1900" t="s">
        <v>868</v>
      </c>
      <c r="C36" s="1902" t="s">
        <v>0</v>
      </c>
      <c r="D36" s="1903"/>
      <c r="E36" s="534" t="s">
        <v>869</v>
      </c>
      <c r="F36" s="534" t="s">
        <v>870</v>
      </c>
      <c r="G36" s="1900" t="s">
        <v>871</v>
      </c>
    </row>
    <row r="37" spans="1:7" ht="16.5" thickBot="1">
      <c r="A37" s="1901"/>
      <c r="B37" s="1901"/>
      <c r="C37" s="1904"/>
      <c r="D37" s="1905"/>
      <c r="E37" s="534" t="s">
        <v>872</v>
      </c>
      <c r="F37" s="534" t="s">
        <v>873</v>
      </c>
      <c r="G37" s="1901"/>
    </row>
    <row r="38" spans="1:7" ht="16.5" thickBot="1">
      <c r="A38" s="1897">
        <v>1</v>
      </c>
      <c r="B38" s="1897" t="s">
        <v>874</v>
      </c>
      <c r="C38" s="535" t="s">
        <v>875</v>
      </c>
      <c r="D38" s="535" t="s">
        <v>876</v>
      </c>
      <c r="E38" s="535">
        <v>40</v>
      </c>
      <c r="F38" s="535">
        <v>122</v>
      </c>
      <c r="G38" s="535"/>
    </row>
    <row r="39" spans="1:7" ht="16.5" thickBot="1">
      <c r="A39" s="1898"/>
      <c r="B39" s="1898"/>
      <c r="C39" s="1897" t="s">
        <v>877</v>
      </c>
      <c r="D39" s="535" t="s">
        <v>878</v>
      </c>
      <c r="E39" s="535">
        <v>41.27</v>
      </c>
      <c r="F39" s="535">
        <v>127</v>
      </c>
      <c r="G39" s="535"/>
    </row>
    <row r="40" spans="1:7" ht="32.25" thickBot="1">
      <c r="A40" s="1898"/>
      <c r="B40" s="1898"/>
      <c r="C40" s="1899"/>
      <c r="D40" s="535" t="s">
        <v>879</v>
      </c>
      <c r="E40" s="535">
        <v>39.698</v>
      </c>
      <c r="F40" s="535">
        <v>122</v>
      </c>
      <c r="G40" s="535" t="s">
        <v>1084</v>
      </c>
    </row>
    <row r="41" spans="1:7" ht="32.25" thickBot="1">
      <c r="A41" s="1898"/>
      <c r="B41" s="1898"/>
      <c r="C41" s="1897" t="s">
        <v>880</v>
      </c>
      <c r="D41" s="535" t="s">
        <v>29</v>
      </c>
      <c r="E41" s="6">
        <v>33.401000000000003</v>
      </c>
      <c r="F41" s="535">
        <v>106</v>
      </c>
      <c r="G41" s="535" t="s">
        <v>1079</v>
      </c>
    </row>
    <row r="42" spans="1:7" ht="36.75" customHeight="1" thickBot="1">
      <c r="A42" s="1898"/>
      <c r="B42" s="1898"/>
      <c r="C42" s="1898"/>
      <c r="D42" s="535" t="s">
        <v>878</v>
      </c>
      <c r="E42" s="535">
        <v>33.401000000000003</v>
      </c>
      <c r="F42" s="535">
        <v>106</v>
      </c>
      <c r="G42" s="535" t="s">
        <v>1082</v>
      </c>
    </row>
    <row r="43" spans="1:7" ht="16.5" thickBot="1">
      <c r="A43" s="1898"/>
      <c r="B43" s="1898"/>
      <c r="C43" s="1899"/>
      <c r="D43" s="535" t="s">
        <v>879</v>
      </c>
      <c r="E43" s="535">
        <v>20.777999999999999</v>
      </c>
      <c r="F43" s="535">
        <v>63</v>
      </c>
      <c r="G43" s="535"/>
    </row>
    <row r="44" spans="1:7" ht="16.5" thickBot="1">
      <c r="A44" s="1898"/>
      <c r="B44" s="1898"/>
      <c r="C44" s="1897" t="s">
        <v>882</v>
      </c>
      <c r="D44" s="535" t="s">
        <v>29</v>
      </c>
      <c r="E44" s="535">
        <v>17.238</v>
      </c>
      <c r="F44" s="535">
        <v>52</v>
      </c>
      <c r="G44" s="535" t="s">
        <v>1080</v>
      </c>
    </row>
    <row r="45" spans="1:7" ht="16.5" thickBot="1">
      <c r="A45" s="1898"/>
      <c r="B45" s="1898"/>
      <c r="C45" s="1898"/>
      <c r="D45" s="535" t="s">
        <v>878</v>
      </c>
      <c r="E45" s="535">
        <v>0</v>
      </c>
      <c r="F45" s="535">
        <v>0</v>
      </c>
      <c r="G45" s="535"/>
    </row>
    <row r="46" spans="1:7" ht="16.5" thickBot="1">
      <c r="A46" s="1899"/>
      <c r="B46" s="1899"/>
      <c r="C46" s="1899"/>
      <c r="D46" s="535" t="s">
        <v>879</v>
      </c>
      <c r="E46" s="535">
        <v>0</v>
      </c>
      <c r="F46" s="535">
        <v>0</v>
      </c>
      <c r="G46" s="535"/>
    </row>
    <row r="47" spans="1:7" ht="16.5" thickBot="1">
      <c r="A47" s="1894"/>
      <c r="B47" s="1895"/>
      <c r="C47" s="1895"/>
      <c r="D47" s="1895"/>
      <c r="E47" s="1895"/>
      <c r="F47" s="1895"/>
      <c r="G47" s="1896"/>
    </row>
    <row r="48" spans="1:7" ht="16.5" thickBot="1">
      <c r="A48" s="1897">
        <v>2</v>
      </c>
      <c r="B48" s="1897" t="s">
        <v>884</v>
      </c>
      <c r="C48" s="535" t="s">
        <v>875</v>
      </c>
      <c r="D48" s="535" t="s">
        <v>876</v>
      </c>
      <c r="E48" s="535">
        <v>100</v>
      </c>
      <c r="F48" s="535">
        <v>360</v>
      </c>
      <c r="G48" s="535"/>
    </row>
    <row r="49" spans="1:7" ht="16.5" thickBot="1">
      <c r="A49" s="1898"/>
      <c r="B49" s="1898"/>
      <c r="C49" s="1897" t="s">
        <v>877</v>
      </c>
      <c r="D49" s="535" t="s">
        <v>878</v>
      </c>
      <c r="E49" s="535">
        <v>102.96</v>
      </c>
      <c r="F49" s="535">
        <v>343</v>
      </c>
      <c r="G49" s="535"/>
    </row>
    <row r="50" spans="1:7" ht="16.5" thickBot="1">
      <c r="A50" s="1898"/>
      <c r="B50" s="1898"/>
      <c r="C50" s="1899"/>
      <c r="D50" s="535" t="s">
        <v>879</v>
      </c>
      <c r="E50" s="535">
        <v>102.96</v>
      </c>
      <c r="F50" s="535">
        <v>343</v>
      </c>
      <c r="G50" s="535"/>
    </row>
    <row r="51" spans="1:7" ht="16.5" thickBot="1">
      <c r="A51" s="1898"/>
      <c r="B51" s="1898"/>
      <c r="C51" s="1897" t="s">
        <v>880</v>
      </c>
      <c r="D51" s="535" t="s">
        <v>29</v>
      </c>
      <c r="E51" s="535">
        <v>101.44199999999999</v>
      </c>
      <c r="F51" s="535">
        <v>343</v>
      </c>
      <c r="G51" s="535" t="s">
        <v>1074</v>
      </c>
    </row>
    <row r="52" spans="1:7" ht="48" thickBot="1">
      <c r="A52" s="1898"/>
      <c r="B52" s="1898"/>
      <c r="C52" s="1898"/>
      <c r="D52" s="535" t="s">
        <v>878</v>
      </c>
      <c r="E52" s="535">
        <f>20.11+72.752</f>
        <v>92.861999999999995</v>
      </c>
      <c r="F52" s="535">
        <f>67+133+86+20+9</f>
        <v>315</v>
      </c>
      <c r="G52" s="536" t="s">
        <v>1081</v>
      </c>
    </row>
    <row r="53" spans="1:7" ht="15" customHeight="1" thickBot="1">
      <c r="A53" s="1898"/>
      <c r="B53" s="1898"/>
      <c r="C53" s="1898"/>
      <c r="D53" s="533" t="s">
        <v>879</v>
      </c>
      <c r="E53" s="533">
        <v>20.11</v>
      </c>
      <c r="F53" s="533">
        <v>67</v>
      </c>
      <c r="G53" s="533"/>
    </row>
    <row r="54" spans="1:7" ht="16.5" thickBot="1">
      <c r="A54" s="1898"/>
      <c r="B54" s="1898"/>
      <c r="C54" s="1897" t="s">
        <v>882</v>
      </c>
      <c r="D54" s="535" t="s">
        <v>29</v>
      </c>
      <c r="E54" s="535">
        <v>30.045999999999999</v>
      </c>
      <c r="F54" s="535">
        <v>87</v>
      </c>
      <c r="G54" s="535"/>
    </row>
    <row r="55" spans="1:7" ht="16.5" thickBot="1">
      <c r="A55" s="1898"/>
      <c r="B55" s="1898"/>
      <c r="C55" s="1898"/>
      <c r="D55" s="535" t="s">
        <v>878</v>
      </c>
      <c r="E55" s="535">
        <v>18.54</v>
      </c>
      <c r="F55" s="535">
        <v>63</v>
      </c>
      <c r="G55" s="535" t="s">
        <v>1080</v>
      </c>
    </row>
    <row r="56" spans="1:7" ht="16.5" thickBot="1">
      <c r="A56" s="1899"/>
      <c r="B56" s="1899"/>
      <c r="C56" s="1899"/>
      <c r="D56" s="535" t="s">
        <v>879</v>
      </c>
      <c r="E56" s="535">
        <v>18.54</v>
      </c>
      <c r="F56" s="535">
        <v>63</v>
      </c>
      <c r="G56" s="535"/>
    </row>
    <row r="57" spans="1:7" ht="16.5" thickBot="1">
      <c r="A57" s="1894"/>
      <c r="B57" s="1895"/>
      <c r="C57" s="1895"/>
      <c r="D57" s="1895"/>
      <c r="E57" s="1895"/>
      <c r="F57" s="1895"/>
      <c r="G57" s="1896"/>
    </row>
    <row r="58" spans="1:7" ht="16.5" thickBot="1">
      <c r="A58" s="1897">
        <v>3</v>
      </c>
      <c r="B58" s="1897" t="s">
        <v>887</v>
      </c>
      <c r="C58" s="535" t="s">
        <v>875</v>
      </c>
      <c r="D58" s="535" t="s">
        <v>876</v>
      </c>
      <c r="E58" s="535">
        <v>25</v>
      </c>
      <c r="F58" s="535">
        <v>82</v>
      </c>
      <c r="G58" s="535"/>
    </row>
    <row r="59" spans="1:7" ht="16.5" thickBot="1">
      <c r="A59" s="1898"/>
      <c r="B59" s="1898"/>
      <c r="C59" s="1897" t="s">
        <v>877</v>
      </c>
      <c r="D59" s="535" t="s">
        <v>878</v>
      </c>
      <c r="E59" s="535">
        <v>6.6</v>
      </c>
      <c r="F59" s="535">
        <v>29</v>
      </c>
      <c r="G59" s="535"/>
    </row>
    <row r="60" spans="1:7" ht="15" customHeight="1" thickBot="1">
      <c r="A60" s="1898"/>
      <c r="B60" s="1898"/>
      <c r="C60" s="1898"/>
      <c r="D60" s="533" t="s">
        <v>879</v>
      </c>
      <c r="E60" s="533">
        <v>6.6</v>
      </c>
      <c r="F60" s="533">
        <v>29</v>
      </c>
      <c r="G60" s="537"/>
    </row>
    <row r="61" spans="1:7" ht="15" customHeight="1" thickBot="1">
      <c r="A61" s="1898"/>
      <c r="B61" s="1898"/>
      <c r="C61" s="1897" t="s">
        <v>880</v>
      </c>
      <c r="D61" s="533" t="s">
        <v>29</v>
      </c>
      <c r="E61" s="533">
        <v>6.6</v>
      </c>
      <c r="F61" s="533">
        <v>29</v>
      </c>
      <c r="G61" s="533"/>
    </row>
    <row r="62" spans="1:7" ht="16.5" thickBot="1">
      <c r="A62" s="1898"/>
      <c r="B62" s="1898"/>
      <c r="C62" s="1898"/>
      <c r="D62" s="535" t="s">
        <v>878</v>
      </c>
      <c r="E62" s="535">
        <v>6.4749999999999996</v>
      </c>
      <c r="F62" s="535">
        <v>27</v>
      </c>
      <c r="G62" s="1897" t="s">
        <v>1083</v>
      </c>
    </row>
    <row r="63" spans="1:7" ht="16.5" thickBot="1">
      <c r="A63" s="1898"/>
      <c r="B63" s="1898"/>
      <c r="C63" s="1899"/>
      <c r="D63" s="535" t="s">
        <v>879</v>
      </c>
      <c r="E63" s="535">
        <v>6.4749999999999996</v>
      </c>
      <c r="F63" s="535">
        <v>27</v>
      </c>
      <c r="G63" s="1898"/>
    </row>
    <row r="64" spans="1:7" ht="16.5" thickBot="1">
      <c r="A64" s="1898"/>
      <c r="B64" s="1898"/>
      <c r="C64" s="1897" t="s">
        <v>882</v>
      </c>
      <c r="D64" s="535" t="s">
        <v>29</v>
      </c>
      <c r="E64" s="535">
        <v>5.5</v>
      </c>
      <c r="F64" s="535">
        <v>22</v>
      </c>
      <c r="G64" s="1899"/>
    </row>
    <row r="65" spans="1:7" ht="16.5" thickBot="1">
      <c r="A65" s="1898"/>
      <c r="B65" s="1898"/>
      <c r="C65" s="1898"/>
      <c r="D65" s="535" t="s">
        <v>878</v>
      </c>
      <c r="E65" s="535">
        <v>5.5</v>
      </c>
      <c r="F65" s="535">
        <v>22</v>
      </c>
      <c r="G65" s="535"/>
    </row>
    <row r="66" spans="1:7" ht="16.5" thickBot="1">
      <c r="A66" s="1899"/>
      <c r="B66" s="1899"/>
      <c r="C66" s="1899"/>
      <c r="D66" s="535" t="s">
        <v>879</v>
      </c>
      <c r="E66" s="535">
        <v>5.5</v>
      </c>
      <c r="F66" s="535">
        <v>22</v>
      </c>
      <c r="G66" s="535"/>
    </row>
  </sheetData>
  <mergeCells count="43">
    <mergeCell ref="A1:G1"/>
    <mergeCell ref="A3:A4"/>
    <mergeCell ref="B3:B4"/>
    <mergeCell ref="C3:D4"/>
    <mergeCell ref="G3:G4"/>
    <mergeCell ref="A35:G35"/>
    <mergeCell ref="A5:A13"/>
    <mergeCell ref="B5:B13"/>
    <mergeCell ref="C6:C7"/>
    <mergeCell ref="C8:C10"/>
    <mergeCell ref="C11:C13"/>
    <mergeCell ref="A25:A33"/>
    <mergeCell ref="B25:B33"/>
    <mergeCell ref="C26:C27"/>
    <mergeCell ref="C28:C30"/>
    <mergeCell ref="C31:C33"/>
    <mergeCell ref="A15:A23"/>
    <mergeCell ref="B15:B23"/>
    <mergeCell ref="C16:C17"/>
    <mergeCell ref="C18:C20"/>
    <mergeCell ref="C21:C23"/>
    <mergeCell ref="A36:A37"/>
    <mergeCell ref="B36:B37"/>
    <mergeCell ref="C36:D37"/>
    <mergeCell ref="G36:G37"/>
    <mergeCell ref="A38:A46"/>
    <mergeCell ref="B38:B46"/>
    <mergeCell ref="C39:C40"/>
    <mergeCell ref="C41:C43"/>
    <mergeCell ref="C44:C46"/>
    <mergeCell ref="A47:G47"/>
    <mergeCell ref="A48:A56"/>
    <mergeCell ref="B48:B56"/>
    <mergeCell ref="C49:C50"/>
    <mergeCell ref="C51:C53"/>
    <mergeCell ref="C54:C56"/>
    <mergeCell ref="A57:G57"/>
    <mergeCell ref="A58:A66"/>
    <mergeCell ref="B58:B66"/>
    <mergeCell ref="C59:C60"/>
    <mergeCell ref="C61:C63"/>
    <mergeCell ref="C64:C66"/>
    <mergeCell ref="G62:G64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160"/>
  <sheetViews>
    <sheetView showGridLines="0" topLeftCell="A146" zoomScaleNormal="100" workbookViewId="0">
      <selection activeCell="C165" sqref="C165"/>
    </sheetView>
  </sheetViews>
  <sheetFormatPr defaultColWidth="14.42578125" defaultRowHeight="15" customHeight="1"/>
  <cols>
    <col min="1" max="1" width="6.5703125" style="688" customWidth="1"/>
    <col min="2" max="2" width="12.28515625" style="688" customWidth="1"/>
    <col min="3" max="3" width="15.140625" style="688" customWidth="1"/>
    <col min="4" max="4" width="17.28515625" style="688" bestFit="1" customWidth="1"/>
    <col min="5" max="5" width="17.42578125" style="688" bestFit="1" customWidth="1"/>
    <col min="6" max="7" width="11.7109375" style="688" bestFit="1" customWidth="1"/>
    <col min="8" max="9" width="11.5703125" style="688" bestFit="1" customWidth="1"/>
    <col min="10" max="10" width="15.5703125" style="688" customWidth="1"/>
    <col min="11" max="11" width="13.140625" style="688" bestFit="1" customWidth="1"/>
    <col min="12" max="16384" width="14.42578125" style="688"/>
  </cols>
  <sheetData>
    <row r="1" spans="1:11" ht="18.75">
      <c r="A1" s="1914" t="s">
        <v>85</v>
      </c>
      <c r="B1" s="1915"/>
      <c r="C1" s="1915"/>
      <c r="D1" s="1915"/>
      <c r="E1" s="1915"/>
      <c r="F1" s="1915"/>
      <c r="G1" s="1915"/>
      <c r="H1" s="1915"/>
      <c r="I1" s="1915"/>
      <c r="J1" s="1915"/>
      <c r="K1" s="1915"/>
    </row>
    <row r="2" spans="1:11" ht="26.45" customHeight="1">
      <c r="A2" s="966" t="s">
        <v>25</v>
      </c>
      <c r="B2" s="967" t="s">
        <v>551</v>
      </c>
      <c r="C2" s="966" t="s">
        <v>38</v>
      </c>
      <c r="D2" s="967" t="s">
        <v>37</v>
      </c>
      <c r="E2" s="966" t="s">
        <v>36</v>
      </c>
      <c r="F2" s="966" t="s">
        <v>1658</v>
      </c>
      <c r="G2" s="966" t="s">
        <v>1659</v>
      </c>
      <c r="H2" s="966" t="s">
        <v>1594</v>
      </c>
      <c r="I2" s="966" t="s">
        <v>1660</v>
      </c>
      <c r="J2" s="966" t="s">
        <v>35</v>
      </c>
      <c r="K2" s="966" t="s">
        <v>2</v>
      </c>
    </row>
    <row r="3" spans="1:11" ht="18" customHeight="1">
      <c r="A3" s="968"/>
      <c r="B3" s="968"/>
      <c r="C3" s="968"/>
      <c r="D3" s="968"/>
      <c r="E3" s="968"/>
      <c r="F3" s="968"/>
      <c r="G3" s="968"/>
      <c r="H3" s="968"/>
      <c r="I3" s="968"/>
      <c r="J3" s="968">
        <f>COUNTIF(J4:J184,"Completed")</f>
        <v>163</v>
      </c>
      <c r="K3" s="968"/>
    </row>
    <row r="4" spans="1:11" ht="16.5" customHeight="1">
      <c r="A4" s="963">
        <v>1</v>
      </c>
      <c r="B4" s="963" t="s">
        <v>561</v>
      </c>
      <c r="C4" s="963" t="s">
        <v>34</v>
      </c>
      <c r="D4" s="963" t="s">
        <v>61</v>
      </c>
      <c r="E4" s="963" t="s">
        <v>41</v>
      </c>
      <c r="F4" s="962">
        <v>45463</v>
      </c>
      <c r="G4" s="962">
        <v>45466</v>
      </c>
      <c r="H4" s="962" t="s">
        <v>1589</v>
      </c>
      <c r="I4" s="963">
        <v>1</v>
      </c>
      <c r="J4" s="690" t="s">
        <v>29</v>
      </c>
      <c r="K4" s="968"/>
    </row>
    <row r="5" spans="1:11" ht="18" customHeight="1">
      <c r="A5" s="963">
        <v>2</v>
      </c>
      <c r="B5" s="963" t="s">
        <v>60</v>
      </c>
      <c r="C5" s="963" t="s">
        <v>45</v>
      </c>
      <c r="D5" s="963" t="s">
        <v>61</v>
      </c>
      <c r="E5" s="963" t="s">
        <v>41</v>
      </c>
      <c r="F5" s="962">
        <v>45474</v>
      </c>
      <c r="G5" s="962">
        <v>45478</v>
      </c>
      <c r="H5" s="962" t="s">
        <v>1590</v>
      </c>
      <c r="I5" s="963">
        <v>1</v>
      </c>
      <c r="J5" s="690" t="s">
        <v>29</v>
      </c>
      <c r="K5" s="968"/>
    </row>
    <row r="6" spans="1:11" ht="18" customHeight="1">
      <c r="A6" s="963">
        <v>3</v>
      </c>
      <c r="B6" s="963" t="s">
        <v>59</v>
      </c>
      <c r="C6" s="963" t="s">
        <v>50</v>
      </c>
      <c r="D6" s="963" t="s">
        <v>31</v>
      </c>
      <c r="E6" s="963" t="s">
        <v>41</v>
      </c>
      <c r="F6" s="962">
        <v>45501</v>
      </c>
      <c r="G6" s="962">
        <v>45507</v>
      </c>
      <c r="H6" s="1923" t="s">
        <v>1591</v>
      </c>
      <c r="I6" s="1924">
        <v>4</v>
      </c>
      <c r="J6" s="690" t="s">
        <v>29</v>
      </c>
      <c r="K6" s="968"/>
    </row>
    <row r="7" spans="1:11">
      <c r="A7" s="963">
        <v>4</v>
      </c>
      <c r="B7" s="963" t="s">
        <v>58</v>
      </c>
      <c r="C7" s="963" t="s">
        <v>57</v>
      </c>
      <c r="D7" s="963" t="s">
        <v>31</v>
      </c>
      <c r="E7" s="963" t="s">
        <v>41</v>
      </c>
      <c r="F7" s="962">
        <v>45506</v>
      </c>
      <c r="G7" s="962">
        <v>45512</v>
      </c>
      <c r="H7" s="1923"/>
      <c r="I7" s="1924"/>
      <c r="J7" s="690" t="s">
        <v>29</v>
      </c>
      <c r="K7" s="690"/>
    </row>
    <row r="8" spans="1:11" ht="18" customHeight="1">
      <c r="A8" s="963">
        <v>5</v>
      </c>
      <c r="B8" s="963" t="s">
        <v>565</v>
      </c>
      <c r="C8" s="963" t="s">
        <v>48</v>
      </c>
      <c r="D8" s="963" t="s">
        <v>31</v>
      </c>
      <c r="E8" s="963" t="s">
        <v>41</v>
      </c>
      <c r="F8" s="962">
        <v>45512</v>
      </c>
      <c r="G8" s="962">
        <v>45517</v>
      </c>
      <c r="H8" s="1923"/>
      <c r="I8" s="1924"/>
      <c r="J8" s="690" t="s">
        <v>29</v>
      </c>
      <c r="K8" s="690"/>
    </row>
    <row r="9" spans="1:11" ht="18" customHeight="1">
      <c r="A9" s="963">
        <v>6</v>
      </c>
      <c r="B9" s="963" t="s">
        <v>55</v>
      </c>
      <c r="C9" s="963" t="s">
        <v>45</v>
      </c>
      <c r="D9" s="963" t="s">
        <v>31</v>
      </c>
      <c r="E9" s="963" t="s">
        <v>41</v>
      </c>
      <c r="F9" s="962">
        <v>45521</v>
      </c>
      <c r="G9" s="962">
        <v>45528</v>
      </c>
      <c r="H9" s="1923"/>
      <c r="I9" s="1924"/>
      <c r="J9" s="690" t="s">
        <v>29</v>
      </c>
      <c r="K9" s="690"/>
    </row>
    <row r="10" spans="1:11" ht="18" customHeight="1">
      <c r="A10" s="963">
        <v>7</v>
      </c>
      <c r="B10" s="963" t="s">
        <v>54</v>
      </c>
      <c r="C10" s="963" t="s">
        <v>53</v>
      </c>
      <c r="D10" s="963" t="s">
        <v>31</v>
      </c>
      <c r="E10" s="963" t="s">
        <v>41</v>
      </c>
      <c r="F10" s="962">
        <v>45534</v>
      </c>
      <c r="G10" s="962">
        <v>45539</v>
      </c>
      <c r="H10" s="1923" t="s">
        <v>1592</v>
      </c>
      <c r="I10" s="1924">
        <v>4</v>
      </c>
      <c r="J10" s="690" t="s">
        <v>29</v>
      </c>
      <c r="K10" s="690"/>
    </row>
    <row r="11" spans="1:11" ht="18" customHeight="1">
      <c r="A11" s="963">
        <v>8</v>
      </c>
      <c r="B11" s="963" t="s">
        <v>51</v>
      </c>
      <c r="C11" s="963" t="s">
        <v>50</v>
      </c>
      <c r="D11" s="963" t="s">
        <v>31</v>
      </c>
      <c r="E11" s="963" t="s">
        <v>41</v>
      </c>
      <c r="F11" s="962">
        <v>45551</v>
      </c>
      <c r="G11" s="962">
        <v>45555</v>
      </c>
      <c r="H11" s="1923"/>
      <c r="I11" s="1924"/>
      <c r="J11" s="690" t="s">
        <v>29</v>
      </c>
      <c r="K11" s="690"/>
    </row>
    <row r="12" spans="1:11" ht="18" customHeight="1">
      <c r="A12" s="963">
        <v>9</v>
      </c>
      <c r="B12" s="963" t="s">
        <v>56</v>
      </c>
      <c r="C12" s="963" t="s">
        <v>43</v>
      </c>
      <c r="D12" s="963" t="s">
        <v>31</v>
      </c>
      <c r="E12" s="963" t="s">
        <v>30</v>
      </c>
      <c r="F12" s="962">
        <v>45553</v>
      </c>
      <c r="G12" s="962">
        <v>45557</v>
      </c>
      <c r="H12" s="1923"/>
      <c r="I12" s="1924"/>
      <c r="J12" s="690" t="s">
        <v>29</v>
      </c>
      <c r="K12" s="690"/>
    </row>
    <row r="13" spans="1:11" ht="18" customHeight="1">
      <c r="A13" s="963">
        <v>10</v>
      </c>
      <c r="B13" s="963" t="s">
        <v>564</v>
      </c>
      <c r="C13" s="963" t="s">
        <v>48</v>
      </c>
      <c r="D13" s="963" t="s">
        <v>31</v>
      </c>
      <c r="E13" s="963" t="s">
        <v>30</v>
      </c>
      <c r="F13" s="962">
        <v>45556</v>
      </c>
      <c r="G13" s="962">
        <v>45561</v>
      </c>
      <c r="H13" s="1923"/>
      <c r="I13" s="1924"/>
      <c r="J13" s="690" t="s">
        <v>29</v>
      </c>
      <c r="K13" s="690"/>
    </row>
    <row r="14" spans="1:11" ht="18" customHeight="1">
      <c r="A14" s="963">
        <v>11</v>
      </c>
      <c r="B14" s="963" t="s">
        <v>40</v>
      </c>
      <c r="C14" s="963" t="s">
        <v>39</v>
      </c>
      <c r="D14" s="963" t="s">
        <v>42</v>
      </c>
      <c r="E14" s="963" t="s">
        <v>30</v>
      </c>
      <c r="F14" s="962">
        <v>45567</v>
      </c>
      <c r="G14" s="962">
        <v>45571</v>
      </c>
      <c r="H14" s="1923" t="s">
        <v>1593</v>
      </c>
      <c r="I14" s="1924">
        <v>6</v>
      </c>
      <c r="J14" s="690" t="s">
        <v>29</v>
      </c>
      <c r="K14" s="690"/>
    </row>
    <row r="15" spans="1:11" ht="18" customHeight="1">
      <c r="A15" s="963">
        <v>12</v>
      </c>
      <c r="B15" s="963" t="s">
        <v>563</v>
      </c>
      <c r="C15" s="963" t="s">
        <v>49</v>
      </c>
      <c r="D15" s="963" t="s">
        <v>42</v>
      </c>
      <c r="E15" s="963" t="s">
        <v>30</v>
      </c>
      <c r="F15" s="962">
        <v>45572</v>
      </c>
      <c r="G15" s="962">
        <v>45576</v>
      </c>
      <c r="H15" s="1923"/>
      <c r="I15" s="1924"/>
      <c r="J15" s="690" t="s">
        <v>29</v>
      </c>
      <c r="K15" s="690"/>
    </row>
    <row r="16" spans="1:11" ht="18" customHeight="1">
      <c r="A16" s="963">
        <v>13</v>
      </c>
      <c r="B16" s="963" t="s">
        <v>46</v>
      </c>
      <c r="C16" s="963" t="s">
        <v>45</v>
      </c>
      <c r="D16" s="963" t="s">
        <v>42</v>
      </c>
      <c r="E16" s="963" t="s">
        <v>30</v>
      </c>
      <c r="F16" s="962">
        <v>45578</v>
      </c>
      <c r="G16" s="962">
        <v>45583</v>
      </c>
      <c r="H16" s="1923"/>
      <c r="I16" s="1924"/>
      <c r="J16" s="690" t="s">
        <v>29</v>
      </c>
      <c r="K16" s="690"/>
    </row>
    <row r="17" spans="1:11" ht="18" customHeight="1">
      <c r="A17" s="963">
        <v>14</v>
      </c>
      <c r="B17" s="963" t="s">
        <v>296</v>
      </c>
      <c r="C17" s="963" t="s">
        <v>48</v>
      </c>
      <c r="D17" s="963" t="s">
        <v>42</v>
      </c>
      <c r="E17" s="963" t="s">
        <v>30</v>
      </c>
      <c r="F17" s="962">
        <v>45584</v>
      </c>
      <c r="G17" s="962">
        <v>45588</v>
      </c>
      <c r="H17" s="1923"/>
      <c r="I17" s="1924"/>
      <c r="J17" s="690" t="s">
        <v>29</v>
      </c>
      <c r="K17" s="690"/>
    </row>
    <row r="18" spans="1:11" ht="18" customHeight="1">
      <c r="A18" s="963">
        <v>15</v>
      </c>
      <c r="B18" s="963" t="s">
        <v>44</v>
      </c>
      <c r="C18" s="963" t="s">
        <v>43</v>
      </c>
      <c r="D18" s="963" t="s">
        <v>42</v>
      </c>
      <c r="E18" s="963" t="s">
        <v>41</v>
      </c>
      <c r="F18" s="962">
        <v>45586</v>
      </c>
      <c r="G18" s="962">
        <v>45591</v>
      </c>
      <c r="H18" s="1923"/>
      <c r="I18" s="1924"/>
      <c r="J18" s="690" t="s">
        <v>29</v>
      </c>
      <c r="K18" s="690"/>
    </row>
    <row r="19" spans="1:11" ht="18" customHeight="1">
      <c r="A19" s="963">
        <v>16</v>
      </c>
      <c r="B19" s="963" t="s">
        <v>47</v>
      </c>
      <c r="C19" s="963" t="s">
        <v>43</v>
      </c>
      <c r="D19" s="991" t="s">
        <v>42</v>
      </c>
      <c r="E19" s="963" t="s">
        <v>1639</v>
      </c>
      <c r="F19" s="962">
        <v>45593</v>
      </c>
      <c r="G19" s="962">
        <v>45595</v>
      </c>
      <c r="H19" s="1923"/>
      <c r="I19" s="1924"/>
      <c r="J19" s="690" t="s">
        <v>29</v>
      </c>
      <c r="K19" s="690"/>
    </row>
    <row r="20" spans="1:11" ht="18" customHeight="1">
      <c r="A20" s="963">
        <v>17</v>
      </c>
      <c r="B20" s="963" t="s">
        <v>1166</v>
      </c>
      <c r="C20" s="963" t="s">
        <v>32</v>
      </c>
      <c r="D20" s="963" t="s">
        <v>42</v>
      </c>
      <c r="E20" s="963" t="s">
        <v>1165</v>
      </c>
      <c r="F20" s="962">
        <v>45992</v>
      </c>
      <c r="G20" s="962">
        <v>45993</v>
      </c>
      <c r="H20" s="1921" t="s">
        <v>1595</v>
      </c>
      <c r="I20" s="1922">
        <v>18</v>
      </c>
      <c r="J20" s="690" t="s">
        <v>29</v>
      </c>
      <c r="K20" s="689"/>
    </row>
    <row r="21" spans="1:11" ht="18" customHeight="1">
      <c r="A21" s="963">
        <v>18</v>
      </c>
      <c r="B21" s="963" t="s">
        <v>1169</v>
      </c>
      <c r="C21" s="963" t="s">
        <v>43</v>
      </c>
      <c r="D21" s="963" t="s">
        <v>42</v>
      </c>
      <c r="E21" s="963" t="s">
        <v>1165</v>
      </c>
      <c r="F21" s="962">
        <v>45992</v>
      </c>
      <c r="G21" s="962">
        <v>45995</v>
      </c>
      <c r="H21" s="1921"/>
      <c r="I21" s="1922"/>
      <c r="J21" s="690" t="s">
        <v>29</v>
      </c>
      <c r="K21" s="689"/>
    </row>
    <row r="22" spans="1:11" ht="18" customHeight="1">
      <c r="A22" s="963">
        <v>19</v>
      </c>
      <c r="B22" s="963" t="s">
        <v>1178</v>
      </c>
      <c r="C22" s="963" t="s">
        <v>34</v>
      </c>
      <c r="D22" s="963" t="s">
        <v>42</v>
      </c>
      <c r="E22" s="963" t="s">
        <v>1165</v>
      </c>
      <c r="F22" s="962">
        <f>G21</f>
        <v>45995</v>
      </c>
      <c r="G22" s="962">
        <f>G21+3</f>
        <v>45998</v>
      </c>
      <c r="H22" s="1921"/>
      <c r="I22" s="1922"/>
      <c r="J22" s="690" t="s">
        <v>29</v>
      </c>
      <c r="K22" s="689"/>
    </row>
    <row r="23" spans="1:11" ht="18" customHeight="1">
      <c r="A23" s="963">
        <v>20</v>
      </c>
      <c r="B23" s="963" t="s">
        <v>1168</v>
      </c>
      <c r="C23" s="963" t="s">
        <v>1181</v>
      </c>
      <c r="D23" s="963" t="s">
        <v>61</v>
      </c>
      <c r="E23" s="963" t="s">
        <v>41</v>
      </c>
      <c r="F23" s="962">
        <v>45992</v>
      </c>
      <c r="G23" s="962">
        <v>45999</v>
      </c>
      <c r="H23" s="1921"/>
      <c r="I23" s="1922"/>
      <c r="J23" s="690" t="s">
        <v>29</v>
      </c>
      <c r="K23" s="689"/>
    </row>
    <row r="24" spans="1:11" ht="18" customHeight="1">
      <c r="A24" s="963">
        <v>21</v>
      </c>
      <c r="B24" s="963" t="s">
        <v>1179</v>
      </c>
      <c r="C24" s="963" t="s">
        <v>32</v>
      </c>
      <c r="D24" s="963" t="s">
        <v>42</v>
      </c>
      <c r="E24" s="963" t="s">
        <v>1165</v>
      </c>
      <c r="F24" s="962">
        <f>G22</f>
        <v>45998</v>
      </c>
      <c r="G24" s="962">
        <v>46000</v>
      </c>
      <c r="H24" s="1921"/>
      <c r="I24" s="1922"/>
      <c r="J24" s="690" t="s">
        <v>29</v>
      </c>
      <c r="K24" s="689"/>
    </row>
    <row r="25" spans="1:11" ht="18" customHeight="1">
      <c r="A25" s="963">
        <v>22</v>
      </c>
      <c r="B25" s="963" t="s">
        <v>1210</v>
      </c>
      <c r="C25" s="963" t="s">
        <v>43</v>
      </c>
      <c r="D25" s="963" t="s">
        <v>42</v>
      </c>
      <c r="E25" s="963" t="s">
        <v>1165</v>
      </c>
      <c r="F25" s="962">
        <f>G23</f>
        <v>45999</v>
      </c>
      <c r="G25" s="962">
        <f>F25+3</f>
        <v>46002</v>
      </c>
      <c r="H25" s="1921"/>
      <c r="I25" s="1922"/>
      <c r="J25" s="690" t="s">
        <v>29</v>
      </c>
      <c r="K25" s="689"/>
    </row>
    <row r="26" spans="1:11" ht="18" customHeight="1">
      <c r="A26" s="963">
        <v>23</v>
      </c>
      <c r="B26" s="963" t="s">
        <v>1182</v>
      </c>
      <c r="C26" s="963" t="s">
        <v>34</v>
      </c>
      <c r="D26" s="963" t="s">
        <v>31</v>
      </c>
      <c r="E26" s="963" t="s">
        <v>41</v>
      </c>
      <c r="F26" s="962">
        <f>G24</f>
        <v>46000</v>
      </c>
      <c r="G26" s="962">
        <f>F26+2</f>
        <v>46002</v>
      </c>
      <c r="H26" s="1921"/>
      <c r="I26" s="1922"/>
      <c r="J26" s="690" t="s">
        <v>29</v>
      </c>
      <c r="K26" s="689"/>
    </row>
    <row r="27" spans="1:11" ht="18" customHeight="1">
      <c r="A27" s="963">
        <v>24</v>
      </c>
      <c r="B27" s="963" t="s">
        <v>1301</v>
      </c>
      <c r="C27" s="963" t="s">
        <v>48</v>
      </c>
      <c r="D27" s="963" t="s">
        <v>42</v>
      </c>
      <c r="E27" s="963" t="s">
        <v>1165</v>
      </c>
      <c r="F27" s="962">
        <f>G26</f>
        <v>46002</v>
      </c>
      <c r="G27" s="962">
        <f>F27+3</f>
        <v>46005</v>
      </c>
      <c r="H27" s="1921"/>
      <c r="I27" s="1922"/>
      <c r="J27" s="690" t="s">
        <v>29</v>
      </c>
      <c r="K27" s="689"/>
    </row>
    <row r="28" spans="1:11" ht="18" customHeight="1">
      <c r="A28" s="963">
        <v>25</v>
      </c>
      <c r="B28" s="963" t="s">
        <v>1190</v>
      </c>
      <c r="C28" s="963" t="s">
        <v>48</v>
      </c>
      <c r="D28" s="963" t="s">
        <v>42</v>
      </c>
      <c r="E28" s="963" t="s">
        <v>1165</v>
      </c>
      <c r="F28" s="962">
        <f>G27</f>
        <v>46005</v>
      </c>
      <c r="G28" s="962">
        <f>F28+2</f>
        <v>46007</v>
      </c>
      <c r="H28" s="1921"/>
      <c r="I28" s="1922"/>
      <c r="J28" s="690" t="s">
        <v>29</v>
      </c>
      <c r="K28" s="689"/>
    </row>
    <row r="29" spans="1:11" ht="18" customHeight="1">
      <c r="A29" s="963">
        <v>26</v>
      </c>
      <c r="B29" s="963" t="s">
        <v>1196</v>
      </c>
      <c r="C29" s="963" t="s">
        <v>32</v>
      </c>
      <c r="D29" s="963" t="s">
        <v>42</v>
      </c>
      <c r="E29" s="963" t="s">
        <v>1165</v>
      </c>
      <c r="F29" s="962">
        <f>F28</f>
        <v>46005</v>
      </c>
      <c r="G29" s="962">
        <v>46009</v>
      </c>
      <c r="H29" s="1921"/>
      <c r="I29" s="1922"/>
      <c r="J29" s="690" t="s">
        <v>29</v>
      </c>
      <c r="K29" s="689"/>
    </row>
    <row r="30" spans="1:11" ht="18" customHeight="1">
      <c r="A30" s="963">
        <v>27</v>
      </c>
      <c r="B30" s="963" t="s">
        <v>1206</v>
      </c>
      <c r="C30" s="963" t="s">
        <v>50</v>
      </c>
      <c r="D30" s="963" t="s">
        <v>61</v>
      </c>
      <c r="E30" s="963" t="s">
        <v>41</v>
      </c>
      <c r="F30" s="962">
        <f>G26</f>
        <v>46002</v>
      </c>
      <c r="G30" s="962">
        <v>46010</v>
      </c>
      <c r="H30" s="1921"/>
      <c r="I30" s="1922"/>
      <c r="J30" s="690" t="s">
        <v>29</v>
      </c>
      <c r="K30" s="689"/>
    </row>
    <row r="31" spans="1:11" ht="18" customHeight="1">
      <c r="A31" s="963">
        <v>28</v>
      </c>
      <c r="B31" s="963" t="s">
        <v>1197</v>
      </c>
      <c r="C31" s="963" t="s">
        <v>32</v>
      </c>
      <c r="D31" s="963" t="s">
        <v>61</v>
      </c>
      <c r="E31" s="963" t="s">
        <v>1165</v>
      </c>
      <c r="F31" s="962">
        <v>46008</v>
      </c>
      <c r="G31" s="962">
        <v>46011</v>
      </c>
      <c r="H31" s="1921"/>
      <c r="I31" s="1922"/>
      <c r="J31" s="690" t="s">
        <v>29</v>
      </c>
      <c r="K31" s="689"/>
    </row>
    <row r="32" spans="1:11" ht="18.75" customHeight="1">
      <c r="A32" s="963">
        <v>29</v>
      </c>
      <c r="B32" s="963" t="s">
        <v>1191</v>
      </c>
      <c r="C32" s="963" t="s">
        <v>32</v>
      </c>
      <c r="D32" s="963" t="s">
        <v>42</v>
      </c>
      <c r="E32" s="963" t="s">
        <v>1165</v>
      </c>
      <c r="F32" s="962">
        <v>46010</v>
      </c>
      <c r="G32" s="962">
        <v>46013</v>
      </c>
      <c r="H32" s="1921"/>
      <c r="I32" s="1922"/>
      <c r="J32" s="690" t="s">
        <v>29</v>
      </c>
      <c r="K32" s="689"/>
    </row>
    <row r="33" spans="1:11" ht="18.75" customHeight="1">
      <c r="A33" s="963">
        <v>30</v>
      </c>
      <c r="B33" s="963" t="s">
        <v>1199</v>
      </c>
      <c r="C33" s="963" t="s">
        <v>34</v>
      </c>
      <c r="D33" s="963" t="s">
        <v>42</v>
      </c>
      <c r="E33" s="963" t="s">
        <v>1165</v>
      </c>
      <c r="F33" s="962">
        <v>46013</v>
      </c>
      <c r="G33" s="962">
        <v>46016</v>
      </c>
      <c r="H33" s="1921"/>
      <c r="I33" s="1922"/>
      <c r="J33" s="690" t="s">
        <v>29</v>
      </c>
      <c r="K33" s="689"/>
    </row>
    <row r="34" spans="1:11" ht="18.75" customHeight="1">
      <c r="A34" s="963">
        <v>31</v>
      </c>
      <c r="B34" s="963" t="s">
        <v>1238</v>
      </c>
      <c r="C34" s="963" t="s">
        <v>50</v>
      </c>
      <c r="D34" s="963" t="s">
        <v>61</v>
      </c>
      <c r="E34" s="963" t="s">
        <v>41</v>
      </c>
      <c r="F34" s="962">
        <v>46012</v>
      </c>
      <c r="G34" s="962">
        <v>46018</v>
      </c>
      <c r="H34" s="1921"/>
      <c r="I34" s="1922"/>
      <c r="J34" s="690" t="s">
        <v>29</v>
      </c>
      <c r="K34" s="689"/>
    </row>
    <row r="35" spans="1:11" ht="18.75" customHeight="1">
      <c r="A35" s="963">
        <v>32</v>
      </c>
      <c r="B35" s="969" t="s">
        <v>1241</v>
      </c>
      <c r="C35" s="969" t="s">
        <v>32</v>
      </c>
      <c r="D35" s="965" t="s">
        <v>42</v>
      </c>
      <c r="E35" s="963" t="s">
        <v>41</v>
      </c>
      <c r="F35" s="962">
        <v>46018</v>
      </c>
      <c r="G35" s="962">
        <v>46021</v>
      </c>
      <c r="H35" s="1921"/>
      <c r="I35" s="1922"/>
      <c r="J35" s="690" t="s">
        <v>29</v>
      </c>
      <c r="K35" s="689"/>
    </row>
    <row r="36" spans="1:11" ht="18.75" customHeight="1">
      <c r="A36" s="963">
        <v>33</v>
      </c>
      <c r="B36" s="963" t="s">
        <v>1173</v>
      </c>
      <c r="C36" s="963" t="s">
        <v>48</v>
      </c>
      <c r="D36" s="963" t="s">
        <v>1607</v>
      </c>
      <c r="E36" s="963" t="s">
        <v>1165</v>
      </c>
      <c r="F36" s="962">
        <v>46019</v>
      </c>
      <c r="G36" s="962">
        <v>46022</v>
      </c>
      <c r="H36" s="1921"/>
      <c r="I36" s="1922"/>
      <c r="J36" s="690" t="s">
        <v>29</v>
      </c>
      <c r="K36" s="689"/>
    </row>
    <row r="37" spans="1:11" ht="18.75" customHeight="1">
      <c r="A37" s="963">
        <v>34</v>
      </c>
      <c r="B37" s="963" t="s">
        <v>1172</v>
      </c>
      <c r="C37" s="963" t="s">
        <v>48</v>
      </c>
      <c r="D37" s="963" t="s">
        <v>1607</v>
      </c>
      <c r="E37" s="963" t="s">
        <v>1165</v>
      </c>
      <c r="F37" s="962">
        <v>46017</v>
      </c>
      <c r="G37" s="962">
        <v>46020</v>
      </c>
      <c r="H37" s="1921"/>
      <c r="I37" s="1922"/>
      <c r="J37" s="690" t="s">
        <v>29</v>
      </c>
      <c r="K37" s="689"/>
    </row>
    <row r="38" spans="1:11" ht="18.75" customHeight="1">
      <c r="A38" s="963">
        <v>35</v>
      </c>
      <c r="B38" s="963" t="s">
        <v>1240</v>
      </c>
      <c r="C38" s="963" t="s">
        <v>32</v>
      </c>
      <c r="D38" s="963" t="s">
        <v>42</v>
      </c>
      <c r="E38" s="963" t="s">
        <v>41</v>
      </c>
      <c r="F38" s="962">
        <v>46021</v>
      </c>
      <c r="G38" s="962">
        <v>46027</v>
      </c>
      <c r="H38" s="1921" t="s">
        <v>1634</v>
      </c>
      <c r="I38" s="1922">
        <v>8</v>
      </c>
      <c r="J38" s="690" t="s">
        <v>29</v>
      </c>
      <c r="K38" s="689"/>
    </row>
    <row r="39" spans="1:11" ht="18.75" customHeight="1">
      <c r="A39" s="963">
        <v>36</v>
      </c>
      <c r="B39" s="963" t="s">
        <v>1239</v>
      </c>
      <c r="C39" s="963" t="s">
        <v>50</v>
      </c>
      <c r="D39" s="963" t="s">
        <v>61</v>
      </c>
      <c r="E39" s="963" t="s">
        <v>41</v>
      </c>
      <c r="F39" s="962">
        <v>46026</v>
      </c>
      <c r="G39" s="962">
        <v>46031</v>
      </c>
      <c r="H39" s="1921"/>
      <c r="I39" s="1922"/>
      <c r="J39" s="690" t="s">
        <v>29</v>
      </c>
      <c r="K39" s="689"/>
    </row>
    <row r="40" spans="1:11" ht="18.75" customHeight="1">
      <c r="A40" s="963">
        <v>37</v>
      </c>
      <c r="B40" s="963" t="s">
        <v>1278</v>
      </c>
      <c r="C40" s="963" t="s">
        <v>1423</v>
      </c>
      <c r="D40" s="963" t="s">
        <v>61</v>
      </c>
      <c r="E40" s="963" t="s">
        <v>41</v>
      </c>
      <c r="F40" s="962">
        <v>46032</v>
      </c>
      <c r="G40" s="962">
        <v>46037</v>
      </c>
      <c r="H40" s="1921"/>
      <c r="I40" s="1922"/>
      <c r="J40" s="690" t="s">
        <v>29</v>
      </c>
      <c r="K40" s="689"/>
    </row>
    <row r="41" spans="1:11" ht="18.75" customHeight="1">
      <c r="A41" s="963">
        <v>38</v>
      </c>
      <c r="B41" s="963" t="s">
        <v>1195</v>
      </c>
      <c r="C41" s="963" t="s">
        <v>32</v>
      </c>
      <c r="D41" s="963" t="s">
        <v>42</v>
      </c>
      <c r="E41" s="963" t="s">
        <v>41</v>
      </c>
      <c r="F41" s="962">
        <v>46038</v>
      </c>
      <c r="G41" s="962">
        <v>46040</v>
      </c>
      <c r="H41" s="1921"/>
      <c r="I41" s="1922"/>
      <c r="J41" s="690" t="s">
        <v>29</v>
      </c>
      <c r="K41" s="689"/>
    </row>
    <row r="42" spans="1:11" ht="18.75" customHeight="1">
      <c r="A42" s="963">
        <v>39</v>
      </c>
      <c r="B42" s="963" t="s">
        <v>1344</v>
      </c>
      <c r="C42" s="963" t="s">
        <v>49</v>
      </c>
      <c r="D42" s="963" t="s">
        <v>61</v>
      </c>
      <c r="E42" s="963" t="s">
        <v>1891</v>
      </c>
      <c r="F42" s="962">
        <v>46044</v>
      </c>
      <c r="G42" s="962">
        <v>46049</v>
      </c>
      <c r="H42" s="1921"/>
      <c r="I42" s="1922"/>
      <c r="J42" s="690" t="s">
        <v>29</v>
      </c>
      <c r="K42" s="689"/>
    </row>
    <row r="43" spans="1:11" ht="18.75" customHeight="1">
      <c r="A43" s="963">
        <v>40</v>
      </c>
      <c r="B43" s="963" t="s">
        <v>1343</v>
      </c>
      <c r="C43" s="963" t="s">
        <v>32</v>
      </c>
      <c r="D43" s="963" t="s">
        <v>42</v>
      </c>
      <c r="E43" s="963" t="s">
        <v>1891</v>
      </c>
      <c r="F43" s="962">
        <v>46049</v>
      </c>
      <c r="G43" s="962">
        <v>46052</v>
      </c>
      <c r="H43" s="1921"/>
      <c r="I43" s="1922"/>
      <c r="J43" s="690" t="s">
        <v>29</v>
      </c>
      <c r="K43" s="689"/>
    </row>
    <row r="44" spans="1:11" ht="18.75" customHeight="1">
      <c r="A44" s="963">
        <v>41</v>
      </c>
      <c r="B44" s="963" t="s">
        <v>1279</v>
      </c>
      <c r="C44" s="963" t="s">
        <v>50</v>
      </c>
      <c r="D44" s="963" t="s">
        <v>61</v>
      </c>
      <c r="E44" s="963" t="s">
        <v>41</v>
      </c>
      <c r="F44" s="962">
        <v>46042</v>
      </c>
      <c r="G44" s="962">
        <v>46053</v>
      </c>
      <c r="H44" s="1921"/>
      <c r="I44" s="1922"/>
      <c r="J44" s="690" t="s">
        <v>29</v>
      </c>
      <c r="K44" s="689"/>
    </row>
    <row r="45" spans="1:11" ht="18.75" customHeight="1">
      <c r="A45" s="963">
        <v>42</v>
      </c>
      <c r="B45" s="963" t="s">
        <v>1694</v>
      </c>
      <c r="C45" s="963" t="s">
        <v>1181</v>
      </c>
      <c r="D45" s="963" t="s">
        <v>42</v>
      </c>
      <c r="E45" s="1234" t="s">
        <v>1636</v>
      </c>
      <c r="F45" s="962">
        <v>46049</v>
      </c>
      <c r="G45" s="962">
        <v>46053</v>
      </c>
      <c r="H45" s="1921"/>
      <c r="I45" s="1922"/>
      <c r="J45" s="690" t="s">
        <v>29</v>
      </c>
      <c r="K45" s="689"/>
    </row>
    <row r="46" spans="1:11" ht="18.75" customHeight="1">
      <c r="A46" s="963">
        <v>43</v>
      </c>
      <c r="B46" s="963" t="s">
        <v>1346</v>
      </c>
      <c r="C46" s="963" t="s">
        <v>49</v>
      </c>
      <c r="D46" s="963" t="s">
        <v>42</v>
      </c>
      <c r="E46" s="963" t="s">
        <v>1891</v>
      </c>
      <c r="F46" s="962">
        <v>46049</v>
      </c>
      <c r="G46" s="962">
        <v>46056</v>
      </c>
      <c r="H46" s="1921" t="s">
        <v>1829</v>
      </c>
      <c r="I46" s="1929">
        <v>30</v>
      </c>
      <c r="J46" s="690" t="s">
        <v>29</v>
      </c>
      <c r="K46" s="689"/>
    </row>
    <row r="47" spans="1:11" ht="18.75" customHeight="1">
      <c r="A47" s="963">
        <v>44</v>
      </c>
      <c r="B47" s="502" t="s">
        <v>1351</v>
      </c>
      <c r="C47" s="833" t="s">
        <v>50</v>
      </c>
      <c r="D47" s="833" t="s">
        <v>61</v>
      </c>
      <c r="E47" s="963" t="s">
        <v>1891</v>
      </c>
      <c r="F47" s="962">
        <v>46053</v>
      </c>
      <c r="G47" s="962">
        <v>46058</v>
      </c>
      <c r="H47" s="1921"/>
      <c r="I47" s="1929"/>
      <c r="J47" s="690" t="s">
        <v>29</v>
      </c>
      <c r="K47" s="689"/>
    </row>
    <row r="48" spans="1:11" ht="18.75" customHeight="1">
      <c r="A48" s="963">
        <v>45</v>
      </c>
      <c r="B48" s="963" t="s">
        <v>1350</v>
      </c>
      <c r="C48" s="963" t="s">
        <v>49</v>
      </c>
      <c r="D48" s="833" t="s">
        <v>42</v>
      </c>
      <c r="E48" s="963" t="s">
        <v>1891</v>
      </c>
      <c r="F48" s="962">
        <v>46055</v>
      </c>
      <c r="G48" s="962">
        <v>46058</v>
      </c>
      <c r="H48" s="1921"/>
      <c r="I48" s="1929"/>
      <c r="J48" s="690" t="s">
        <v>29</v>
      </c>
      <c r="K48" s="689"/>
    </row>
    <row r="49" spans="1:11" ht="18.75" customHeight="1">
      <c r="A49" s="963">
        <v>46</v>
      </c>
      <c r="B49" s="963" t="s">
        <v>1342</v>
      </c>
      <c r="C49" s="963" t="s">
        <v>32</v>
      </c>
      <c r="D49" s="833" t="s">
        <v>42</v>
      </c>
      <c r="E49" s="963" t="s">
        <v>1891</v>
      </c>
      <c r="F49" s="962">
        <v>46055</v>
      </c>
      <c r="G49" s="962">
        <v>46060</v>
      </c>
      <c r="H49" s="1921"/>
      <c r="I49" s="1929"/>
      <c r="J49" s="690" t="s">
        <v>29</v>
      </c>
      <c r="K49" s="689"/>
    </row>
    <row r="50" spans="1:11" ht="18.75" customHeight="1">
      <c r="A50" s="963">
        <v>47</v>
      </c>
      <c r="B50" s="963" t="s">
        <v>1280</v>
      </c>
      <c r="C50" s="963" t="s">
        <v>34</v>
      </c>
      <c r="D50" s="833" t="s">
        <v>61</v>
      </c>
      <c r="E50" s="963" t="s">
        <v>41</v>
      </c>
      <c r="F50" s="962">
        <v>46055</v>
      </c>
      <c r="G50" s="962">
        <v>46060</v>
      </c>
      <c r="H50" s="1921"/>
      <c r="I50" s="1929"/>
      <c r="J50" s="690" t="s">
        <v>29</v>
      </c>
      <c r="K50" s="689"/>
    </row>
    <row r="51" spans="1:11" ht="18.75" customHeight="1">
      <c r="A51" s="963">
        <v>48</v>
      </c>
      <c r="B51" s="963" t="s">
        <v>1338</v>
      </c>
      <c r="C51" s="963" t="s">
        <v>50</v>
      </c>
      <c r="D51" s="833" t="s">
        <v>42</v>
      </c>
      <c r="E51" s="963" t="s">
        <v>1734</v>
      </c>
      <c r="F51" s="962">
        <v>46049</v>
      </c>
      <c r="G51" s="962">
        <v>46060</v>
      </c>
      <c r="H51" s="1921"/>
      <c r="I51" s="1929"/>
      <c r="J51" s="690" t="s">
        <v>29</v>
      </c>
      <c r="K51" s="689"/>
    </row>
    <row r="52" spans="1:11" ht="18.75" customHeight="1">
      <c r="A52" s="963">
        <v>49</v>
      </c>
      <c r="B52" s="963" t="s">
        <v>1640</v>
      </c>
      <c r="C52" s="963" t="s">
        <v>32</v>
      </c>
      <c r="D52" s="833" t="s">
        <v>42</v>
      </c>
      <c r="E52" s="1234" t="s">
        <v>1636</v>
      </c>
      <c r="F52" s="962">
        <v>46055</v>
      </c>
      <c r="G52" s="962">
        <v>46061</v>
      </c>
      <c r="H52" s="1921"/>
      <c r="I52" s="1929"/>
      <c r="J52" s="690" t="s">
        <v>29</v>
      </c>
      <c r="K52" s="689"/>
    </row>
    <row r="53" spans="1:11" ht="18.75" customHeight="1">
      <c r="A53" s="963">
        <v>50</v>
      </c>
      <c r="B53" s="963" t="s">
        <v>1340</v>
      </c>
      <c r="C53" s="963" t="s">
        <v>50</v>
      </c>
      <c r="D53" s="833" t="s">
        <v>42</v>
      </c>
      <c r="E53" s="963" t="s">
        <v>1891</v>
      </c>
      <c r="F53" s="962">
        <v>46060</v>
      </c>
      <c r="G53" s="962">
        <v>46062</v>
      </c>
      <c r="H53" s="1921"/>
      <c r="I53" s="1929"/>
      <c r="J53" s="690" t="s">
        <v>29</v>
      </c>
      <c r="K53" s="689"/>
    </row>
    <row r="54" spans="1:11" ht="18.75" customHeight="1">
      <c r="A54" s="963">
        <v>51</v>
      </c>
      <c r="B54" s="963" t="s">
        <v>1321</v>
      </c>
      <c r="C54" s="963" t="s">
        <v>1181</v>
      </c>
      <c r="D54" s="833" t="s">
        <v>61</v>
      </c>
      <c r="E54" s="963" t="s">
        <v>1856</v>
      </c>
      <c r="F54" s="962">
        <v>46049</v>
      </c>
      <c r="G54" s="962">
        <v>46063</v>
      </c>
      <c r="H54" s="1921"/>
      <c r="I54" s="1929"/>
      <c r="J54" s="690" t="s">
        <v>29</v>
      </c>
      <c r="K54" s="689"/>
    </row>
    <row r="55" spans="1:11" ht="18.75" customHeight="1">
      <c r="A55" s="963">
        <v>52</v>
      </c>
      <c r="B55" s="963" t="s">
        <v>1281</v>
      </c>
      <c r="C55" s="963" t="s">
        <v>1181</v>
      </c>
      <c r="D55" s="833" t="s">
        <v>61</v>
      </c>
      <c r="E55" s="963" t="s">
        <v>41</v>
      </c>
      <c r="F55" s="962">
        <v>46058</v>
      </c>
      <c r="G55" s="962">
        <v>46064</v>
      </c>
      <c r="H55" s="1921"/>
      <c r="I55" s="1929"/>
      <c r="J55" s="690" t="s">
        <v>29</v>
      </c>
      <c r="K55" s="689"/>
    </row>
    <row r="56" spans="1:11" ht="18.75" customHeight="1">
      <c r="A56" s="963">
        <v>53</v>
      </c>
      <c r="B56" s="969" t="s">
        <v>1337</v>
      </c>
      <c r="C56" s="969" t="s">
        <v>32</v>
      </c>
      <c r="D56" s="965" t="s">
        <v>42</v>
      </c>
      <c r="E56" s="963" t="s">
        <v>1734</v>
      </c>
      <c r="F56" s="962">
        <v>46058</v>
      </c>
      <c r="G56" s="962">
        <v>46065</v>
      </c>
      <c r="H56" s="1921"/>
      <c r="I56" s="1929"/>
      <c r="J56" s="690" t="s">
        <v>29</v>
      </c>
      <c r="K56" s="689"/>
    </row>
    <row r="57" spans="1:11" ht="18.75" customHeight="1">
      <c r="A57" s="963">
        <v>54</v>
      </c>
      <c r="B57" s="963" t="s">
        <v>1322</v>
      </c>
      <c r="C57" s="963" t="s">
        <v>32</v>
      </c>
      <c r="D57" s="833" t="s">
        <v>61</v>
      </c>
      <c r="E57" s="963" t="s">
        <v>1856</v>
      </c>
      <c r="F57" s="962">
        <f>G54</f>
        <v>46063</v>
      </c>
      <c r="G57" s="962">
        <v>46068</v>
      </c>
      <c r="H57" s="1921"/>
      <c r="I57" s="1929"/>
      <c r="J57" s="690" t="s">
        <v>29</v>
      </c>
      <c r="K57" s="689"/>
    </row>
    <row r="58" spans="1:11" ht="18.75" customHeight="1">
      <c r="A58" s="963">
        <v>55</v>
      </c>
      <c r="B58" s="963" t="s">
        <v>1687</v>
      </c>
      <c r="C58" s="963" t="s">
        <v>1181</v>
      </c>
      <c r="D58" s="833" t="s">
        <v>42</v>
      </c>
      <c r="E58" s="1234" t="s">
        <v>1636</v>
      </c>
      <c r="F58" s="962">
        <v>46058</v>
      </c>
      <c r="G58" s="962">
        <v>46068</v>
      </c>
      <c r="H58" s="1921"/>
      <c r="I58" s="1929"/>
      <c r="J58" s="690" t="s">
        <v>29</v>
      </c>
      <c r="K58" s="689"/>
    </row>
    <row r="59" spans="1:11" ht="18.75" customHeight="1">
      <c r="A59" s="963">
        <v>56</v>
      </c>
      <c r="B59" s="963" t="s">
        <v>1282</v>
      </c>
      <c r="C59" s="963" t="s">
        <v>1423</v>
      </c>
      <c r="D59" s="833" t="s">
        <v>61</v>
      </c>
      <c r="E59" s="963" t="s">
        <v>41</v>
      </c>
      <c r="F59" s="962">
        <v>46065</v>
      </c>
      <c r="G59" s="962">
        <v>46069</v>
      </c>
      <c r="H59" s="1921"/>
      <c r="I59" s="1929"/>
      <c r="J59" s="690" t="s">
        <v>29</v>
      </c>
      <c r="K59" s="689"/>
    </row>
    <row r="60" spans="1:11" ht="18.75" customHeight="1">
      <c r="A60" s="963">
        <v>57</v>
      </c>
      <c r="B60" s="969" t="s">
        <v>1339</v>
      </c>
      <c r="C60" s="969" t="s">
        <v>48</v>
      </c>
      <c r="D60" s="965" t="s">
        <v>42</v>
      </c>
      <c r="E60" s="963" t="s">
        <v>1734</v>
      </c>
      <c r="F60" s="962">
        <v>46058</v>
      </c>
      <c r="G60" s="962">
        <v>46071</v>
      </c>
      <c r="H60" s="1921"/>
      <c r="I60" s="1929"/>
      <c r="J60" s="690" t="s">
        <v>29</v>
      </c>
      <c r="K60" s="689"/>
    </row>
    <row r="61" spans="1:11" ht="18.75" customHeight="1">
      <c r="A61" s="963">
        <v>58</v>
      </c>
      <c r="B61" s="963" t="s">
        <v>1369</v>
      </c>
      <c r="C61" s="963" t="s">
        <v>1175</v>
      </c>
      <c r="D61" s="833" t="s">
        <v>42</v>
      </c>
      <c r="E61" s="963" t="s">
        <v>1855</v>
      </c>
      <c r="F61" s="962">
        <v>46061</v>
      </c>
      <c r="G61" s="962">
        <v>46071</v>
      </c>
      <c r="H61" s="1921"/>
      <c r="I61" s="1929"/>
      <c r="J61" s="690" t="s">
        <v>29</v>
      </c>
      <c r="K61" s="689"/>
    </row>
    <row r="62" spans="1:11" ht="18.75" customHeight="1">
      <c r="A62" s="963">
        <v>59</v>
      </c>
      <c r="B62" s="963" t="s">
        <v>1379</v>
      </c>
      <c r="C62" s="963" t="s">
        <v>45</v>
      </c>
      <c r="D62" s="833" t="s">
        <v>61</v>
      </c>
      <c r="E62" s="963" t="s">
        <v>1891</v>
      </c>
      <c r="F62" s="962">
        <v>46065</v>
      </c>
      <c r="G62" s="962">
        <v>46071</v>
      </c>
      <c r="H62" s="1921"/>
      <c r="I62" s="1929"/>
      <c r="J62" s="690" t="s">
        <v>29</v>
      </c>
      <c r="K62" s="689"/>
    </row>
    <row r="63" spans="1:11" ht="18.75" customHeight="1">
      <c r="A63" s="963">
        <v>60</v>
      </c>
      <c r="B63" s="963" t="s">
        <v>1686</v>
      </c>
      <c r="C63" s="963" t="s">
        <v>34</v>
      </c>
      <c r="D63" s="833" t="s">
        <v>42</v>
      </c>
      <c r="E63" s="1234" t="s">
        <v>1636</v>
      </c>
      <c r="F63" s="962">
        <v>46068</v>
      </c>
      <c r="G63" s="962">
        <v>46072</v>
      </c>
      <c r="H63" s="1921"/>
      <c r="I63" s="1929"/>
      <c r="J63" s="690" t="s">
        <v>29</v>
      </c>
      <c r="K63" s="689"/>
    </row>
    <row r="64" spans="1:11" ht="18.75" customHeight="1">
      <c r="A64" s="963">
        <v>61</v>
      </c>
      <c r="B64" s="963" t="s">
        <v>1352</v>
      </c>
      <c r="C64" s="963" t="s">
        <v>1181</v>
      </c>
      <c r="D64" s="833" t="s">
        <v>42</v>
      </c>
      <c r="E64" s="963" t="s">
        <v>1891</v>
      </c>
      <c r="F64" s="962">
        <f>G53</f>
        <v>46062</v>
      </c>
      <c r="G64" s="962">
        <v>46073</v>
      </c>
      <c r="H64" s="1921"/>
      <c r="I64" s="1929"/>
      <c r="J64" s="690" t="s">
        <v>29</v>
      </c>
      <c r="K64" s="689"/>
    </row>
    <row r="65" spans="1:11" ht="18.75" customHeight="1">
      <c r="A65" s="963">
        <v>62</v>
      </c>
      <c r="B65" s="963" t="s">
        <v>1323</v>
      </c>
      <c r="C65" s="963" t="s">
        <v>50</v>
      </c>
      <c r="D65" s="833" t="s">
        <v>42</v>
      </c>
      <c r="E65" s="963" t="s">
        <v>1856</v>
      </c>
      <c r="F65" s="962">
        <v>46068</v>
      </c>
      <c r="G65" s="962">
        <v>46074</v>
      </c>
      <c r="H65" s="1921"/>
      <c r="I65" s="1929"/>
      <c r="J65" s="690" t="s">
        <v>29</v>
      </c>
      <c r="K65" s="689"/>
    </row>
    <row r="66" spans="1:11" ht="18.75" customHeight="1">
      <c r="A66" s="963">
        <v>63</v>
      </c>
      <c r="B66" s="963" t="s">
        <v>1194</v>
      </c>
      <c r="C66" s="963" t="s">
        <v>1181</v>
      </c>
      <c r="D66" s="833" t="s">
        <v>61</v>
      </c>
      <c r="E66" s="963" t="s">
        <v>41</v>
      </c>
      <c r="F66" s="962">
        <f>G52</f>
        <v>46061</v>
      </c>
      <c r="G66" s="962">
        <v>46074</v>
      </c>
      <c r="H66" s="1921"/>
      <c r="I66" s="1929"/>
      <c r="J66" s="690" t="s">
        <v>29</v>
      </c>
      <c r="K66" s="689"/>
    </row>
    <row r="67" spans="1:11" ht="18.75" customHeight="1">
      <c r="A67" s="963">
        <v>64</v>
      </c>
      <c r="B67" s="963" t="s">
        <v>1345</v>
      </c>
      <c r="C67" s="963" t="s">
        <v>53</v>
      </c>
      <c r="D67" s="833" t="s">
        <v>42</v>
      </c>
      <c r="E67" s="963" t="s">
        <v>1891</v>
      </c>
      <c r="F67" s="962">
        <v>46073</v>
      </c>
      <c r="G67" s="962">
        <v>46076</v>
      </c>
      <c r="H67" s="1921"/>
      <c r="I67" s="1929"/>
      <c r="J67" s="690" t="s">
        <v>29</v>
      </c>
      <c r="K67" s="689"/>
    </row>
    <row r="68" spans="1:11" ht="18.75" customHeight="1">
      <c r="A68" s="963">
        <v>65</v>
      </c>
      <c r="B68" s="963" t="s">
        <v>1688</v>
      </c>
      <c r="C68" s="963" t="s">
        <v>53</v>
      </c>
      <c r="D68" s="833" t="s">
        <v>42</v>
      </c>
      <c r="E68" s="1234" t="s">
        <v>1636</v>
      </c>
      <c r="F68" s="962">
        <v>46072</v>
      </c>
      <c r="G68" s="962">
        <v>46076</v>
      </c>
      <c r="H68" s="1921"/>
      <c r="I68" s="1929"/>
      <c r="J68" s="690" t="s">
        <v>29</v>
      </c>
      <c r="K68" s="689"/>
    </row>
    <row r="69" spans="1:11" ht="18.75" customHeight="1">
      <c r="A69" s="963">
        <v>66</v>
      </c>
      <c r="B69" s="963" t="s">
        <v>1370</v>
      </c>
      <c r="C69" s="963" t="s">
        <v>48</v>
      </c>
      <c r="D69" s="833" t="s">
        <v>42</v>
      </c>
      <c r="E69" s="963" t="s">
        <v>1855</v>
      </c>
      <c r="F69" s="962">
        <v>46073</v>
      </c>
      <c r="G69" s="962">
        <v>46076</v>
      </c>
      <c r="H69" s="1921"/>
      <c r="I69" s="1929"/>
      <c r="J69" s="690" t="s">
        <v>29</v>
      </c>
      <c r="K69" s="689"/>
    </row>
    <row r="70" spans="1:11" ht="18.75" customHeight="1">
      <c r="A70" s="963">
        <v>67</v>
      </c>
      <c r="B70" s="963" t="s">
        <v>1287</v>
      </c>
      <c r="C70" s="963" t="s">
        <v>48</v>
      </c>
      <c r="D70" s="833" t="s">
        <v>42</v>
      </c>
      <c r="E70" s="963" t="s">
        <v>41</v>
      </c>
      <c r="F70" s="962">
        <v>46074</v>
      </c>
      <c r="G70" s="962">
        <v>46078</v>
      </c>
      <c r="H70" s="1921"/>
      <c r="I70" s="1929"/>
      <c r="J70" s="690" t="s">
        <v>29</v>
      </c>
      <c r="K70" s="689"/>
    </row>
    <row r="71" spans="1:11" ht="15" customHeight="1">
      <c r="A71" s="963">
        <v>68</v>
      </c>
      <c r="B71" s="963" t="s">
        <v>1347</v>
      </c>
      <c r="C71" s="963" t="s">
        <v>43</v>
      </c>
      <c r="D71" s="833" t="s">
        <v>42</v>
      </c>
      <c r="E71" s="963" t="s">
        <v>1891</v>
      </c>
      <c r="F71" s="962">
        <v>46076</v>
      </c>
      <c r="G71" s="962">
        <v>46078</v>
      </c>
      <c r="H71" s="1921"/>
      <c r="I71" s="1929"/>
      <c r="J71" s="690" t="s">
        <v>29</v>
      </c>
      <c r="K71" s="689"/>
    </row>
    <row r="72" spans="1:11" ht="18.75" customHeight="1">
      <c r="A72" s="963">
        <v>69</v>
      </c>
      <c r="B72" s="969" t="s">
        <v>1180</v>
      </c>
      <c r="C72" s="969" t="s">
        <v>53</v>
      </c>
      <c r="D72" s="965" t="s">
        <v>42</v>
      </c>
      <c r="E72" s="963" t="s">
        <v>1856</v>
      </c>
      <c r="F72" s="962">
        <v>46073</v>
      </c>
      <c r="G72" s="962">
        <v>46079</v>
      </c>
      <c r="H72" s="1921"/>
      <c r="I72" s="1929"/>
      <c r="J72" s="690" t="s">
        <v>29</v>
      </c>
      <c r="K72" s="689"/>
    </row>
    <row r="73" spans="1:11" ht="15" customHeight="1">
      <c r="A73" s="963">
        <v>70</v>
      </c>
      <c r="B73" s="963" t="s">
        <v>1371</v>
      </c>
      <c r="C73" s="963" t="s">
        <v>32</v>
      </c>
      <c r="D73" s="833" t="s">
        <v>42</v>
      </c>
      <c r="E73" s="963" t="s">
        <v>1855</v>
      </c>
      <c r="F73" s="962">
        <f>G69</f>
        <v>46076</v>
      </c>
      <c r="G73" s="962">
        <v>46080</v>
      </c>
      <c r="H73" s="1921"/>
      <c r="I73" s="1929"/>
      <c r="J73" s="690" t="s">
        <v>29</v>
      </c>
      <c r="K73" s="689"/>
    </row>
    <row r="74" spans="1:11" ht="15" customHeight="1">
      <c r="A74" s="963">
        <v>71</v>
      </c>
      <c r="B74" s="963" t="s">
        <v>1288</v>
      </c>
      <c r="C74" s="963" t="s">
        <v>1424</v>
      </c>
      <c r="D74" s="833" t="s">
        <v>42</v>
      </c>
      <c r="E74" s="963" t="s">
        <v>41</v>
      </c>
      <c r="F74" s="962">
        <v>46078</v>
      </c>
      <c r="G74" s="962">
        <v>46081</v>
      </c>
      <c r="H74" s="1921"/>
      <c r="I74" s="1929"/>
      <c r="J74" s="690" t="s">
        <v>29</v>
      </c>
      <c r="K74" s="689"/>
    </row>
    <row r="75" spans="1:11" s="400" customFormat="1" ht="15" customHeight="1">
      <c r="A75" s="993">
        <v>72</v>
      </c>
      <c r="B75" s="993" t="s">
        <v>1692</v>
      </c>
      <c r="C75" s="993" t="s">
        <v>53</v>
      </c>
      <c r="D75" s="998" t="s">
        <v>61</v>
      </c>
      <c r="E75" s="1234" t="s">
        <v>1636</v>
      </c>
      <c r="F75" s="994">
        <v>46076</v>
      </c>
      <c r="G75" s="994">
        <v>46081</v>
      </c>
      <c r="H75" s="1921"/>
      <c r="I75" s="1929"/>
      <c r="J75" s="995" t="s">
        <v>29</v>
      </c>
      <c r="K75" s="997"/>
    </row>
    <row r="76" spans="1:11" ht="15" customHeight="1">
      <c r="A76" s="963">
        <v>73</v>
      </c>
      <c r="B76" s="963" t="s">
        <v>1198</v>
      </c>
      <c r="C76" s="963" t="s">
        <v>53</v>
      </c>
      <c r="D76" s="833" t="s">
        <v>42</v>
      </c>
      <c r="E76" s="963" t="s">
        <v>1856</v>
      </c>
      <c r="F76" s="962">
        <v>46080</v>
      </c>
      <c r="G76" s="962">
        <v>46084</v>
      </c>
      <c r="H76" s="1921" t="s">
        <v>1889</v>
      </c>
      <c r="I76" s="1929">
        <v>24</v>
      </c>
      <c r="J76" s="690" t="s">
        <v>29</v>
      </c>
      <c r="K76" s="689"/>
    </row>
    <row r="77" spans="1:11" ht="15" customHeight="1">
      <c r="A77" s="963">
        <v>74</v>
      </c>
      <c r="B77" s="963" t="s">
        <v>1386</v>
      </c>
      <c r="C77" s="963" t="s">
        <v>48</v>
      </c>
      <c r="D77" s="833" t="s">
        <v>42</v>
      </c>
      <c r="E77" s="963" t="s">
        <v>1855</v>
      </c>
      <c r="F77" s="962">
        <v>46080</v>
      </c>
      <c r="G77" s="962">
        <v>46084</v>
      </c>
      <c r="H77" s="1921"/>
      <c r="I77" s="1929"/>
      <c r="J77" s="690" t="s">
        <v>29</v>
      </c>
      <c r="K77" s="689"/>
    </row>
    <row r="78" spans="1:11" ht="15" customHeight="1">
      <c r="A78" s="963">
        <v>75</v>
      </c>
      <c r="B78" s="963" t="s">
        <v>1286</v>
      </c>
      <c r="C78" s="963" t="s">
        <v>43</v>
      </c>
      <c r="D78" s="833" t="s">
        <v>61</v>
      </c>
      <c r="E78" s="963" t="s">
        <v>41</v>
      </c>
      <c r="F78" s="962">
        <v>46080</v>
      </c>
      <c r="G78" s="962">
        <v>46084</v>
      </c>
      <c r="H78" s="1921"/>
      <c r="I78" s="1929"/>
      <c r="J78" s="690" t="s">
        <v>29</v>
      </c>
      <c r="K78" s="689"/>
    </row>
    <row r="79" spans="1:11" ht="15" customHeight="1">
      <c r="A79" s="963">
        <v>76</v>
      </c>
      <c r="B79" s="963" t="s">
        <v>1285</v>
      </c>
      <c r="C79" s="963" t="s">
        <v>48</v>
      </c>
      <c r="D79" s="833" t="s">
        <v>61</v>
      </c>
      <c r="E79" s="963" t="s">
        <v>41</v>
      </c>
      <c r="F79" s="962">
        <v>46089</v>
      </c>
      <c r="G79" s="962">
        <v>46093</v>
      </c>
      <c r="H79" s="1921"/>
      <c r="I79" s="1929"/>
      <c r="J79" s="690" t="s">
        <v>29</v>
      </c>
      <c r="K79" s="689"/>
    </row>
    <row r="80" spans="1:11" ht="15" customHeight="1">
      <c r="A80" s="963">
        <v>77</v>
      </c>
      <c r="B80" s="963" t="s">
        <v>1685</v>
      </c>
      <c r="C80" s="963" t="s">
        <v>48</v>
      </c>
      <c r="D80" s="833" t="s">
        <v>42</v>
      </c>
      <c r="E80" s="1234" t="s">
        <v>1636</v>
      </c>
      <c r="F80" s="962">
        <v>46089</v>
      </c>
      <c r="G80" s="962">
        <v>46093</v>
      </c>
      <c r="H80" s="1921"/>
      <c r="I80" s="1929"/>
      <c r="J80" s="690" t="s">
        <v>29</v>
      </c>
      <c r="K80" s="689"/>
    </row>
    <row r="81" spans="1:11" ht="15" customHeight="1">
      <c r="A81" s="963">
        <v>78</v>
      </c>
      <c r="B81" s="963" t="s">
        <v>1284</v>
      </c>
      <c r="C81" s="963" t="s">
        <v>32</v>
      </c>
      <c r="D81" s="833" t="s">
        <v>42</v>
      </c>
      <c r="E81" s="963" t="s">
        <v>41</v>
      </c>
      <c r="F81" s="962">
        <v>46093</v>
      </c>
      <c r="G81" s="962">
        <v>46096</v>
      </c>
      <c r="H81" s="1921"/>
      <c r="I81" s="1929"/>
      <c r="J81" s="690" t="s">
        <v>29</v>
      </c>
      <c r="K81" s="689"/>
    </row>
    <row r="82" spans="1:11" s="400" customFormat="1" ht="15" customHeight="1">
      <c r="A82" s="993">
        <v>79</v>
      </c>
      <c r="B82" s="993" t="s">
        <v>1696</v>
      </c>
      <c r="C82" s="993" t="s">
        <v>32</v>
      </c>
      <c r="D82" s="998" t="s">
        <v>61</v>
      </c>
      <c r="E82" s="1234" t="s">
        <v>1636</v>
      </c>
      <c r="F82" s="994">
        <v>46094</v>
      </c>
      <c r="G82" s="994">
        <v>46097</v>
      </c>
      <c r="H82" s="1921"/>
      <c r="I82" s="1929"/>
      <c r="J82" s="995" t="s">
        <v>29</v>
      </c>
      <c r="K82" s="997"/>
    </row>
    <row r="83" spans="1:11" ht="15" customHeight="1">
      <c r="A83" s="963">
        <v>80</v>
      </c>
      <c r="B83" s="963" t="s">
        <v>1349</v>
      </c>
      <c r="C83" s="963" t="s">
        <v>49</v>
      </c>
      <c r="D83" s="833" t="s">
        <v>42</v>
      </c>
      <c r="E83" s="963" t="s">
        <v>1891</v>
      </c>
      <c r="F83" s="962">
        <v>46094</v>
      </c>
      <c r="G83" s="962">
        <v>46097</v>
      </c>
      <c r="H83" s="1921"/>
      <c r="I83" s="1929"/>
      <c r="J83" s="690" t="s">
        <v>29</v>
      </c>
      <c r="K83" s="689"/>
    </row>
    <row r="84" spans="1:11" ht="15" customHeight="1">
      <c r="A84" s="963">
        <v>81</v>
      </c>
      <c r="B84" s="963" t="s">
        <v>1200</v>
      </c>
      <c r="C84" s="963" t="s">
        <v>34</v>
      </c>
      <c r="D84" s="833" t="s">
        <v>61</v>
      </c>
      <c r="E84" s="963" t="s">
        <v>1856</v>
      </c>
      <c r="F84" s="962">
        <v>46091</v>
      </c>
      <c r="G84" s="962">
        <v>46100</v>
      </c>
      <c r="H84" s="1921"/>
      <c r="I84" s="1929"/>
      <c r="J84" s="690" t="s">
        <v>29</v>
      </c>
      <c r="K84" s="689"/>
    </row>
    <row r="85" spans="1:11" ht="15" customHeight="1">
      <c r="A85" s="963">
        <v>82</v>
      </c>
      <c r="B85" s="963" t="s">
        <v>1697</v>
      </c>
      <c r="C85" s="963" t="s">
        <v>48</v>
      </c>
      <c r="D85" s="833" t="s">
        <v>61</v>
      </c>
      <c r="E85" s="1234" t="s">
        <v>1636</v>
      </c>
      <c r="F85" s="962">
        <v>46094</v>
      </c>
      <c r="G85" s="962">
        <v>46100</v>
      </c>
      <c r="H85" s="1921"/>
      <c r="I85" s="1929"/>
      <c r="J85" s="690" t="s">
        <v>29</v>
      </c>
      <c r="K85" s="689"/>
    </row>
    <row r="86" spans="1:11" ht="15" customHeight="1">
      <c r="A86" s="978">
        <v>83</v>
      </c>
      <c r="B86" s="978" t="s">
        <v>1372</v>
      </c>
      <c r="C86" s="978" t="s">
        <v>43</v>
      </c>
      <c r="D86" s="833" t="s">
        <v>61</v>
      </c>
      <c r="E86" s="977" t="s">
        <v>1855</v>
      </c>
      <c r="F86" s="979">
        <v>46091</v>
      </c>
      <c r="G86" s="979">
        <v>46101</v>
      </c>
      <c r="H86" s="1921"/>
      <c r="I86" s="1929"/>
      <c r="J86" s="690" t="s">
        <v>29</v>
      </c>
      <c r="K86" s="689"/>
    </row>
    <row r="87" spans="1:11" ht="15" customHeight="1">
      <c r="A87" s="978">
        <v>84</v>
      </c>
      <c r="B87" s="978" t="s">
        <v>1193</v>
      </c>
      <c r="C87" s="978" t="s">
        <v>50</v>
      </c>
      <c r="D87" s="833" t="s">
        <v>61</v>
      </c>
      <c r="E87" s="979" t="s">
        <v>41</v>
      </c>
      <c r="F87" s="979">
        <v>46096</v>
      </c>
      <c r="G87" s="979">
        <v>46103</v>
      </c>
      <c r="H87" s="1921"/>
      <c r="I87" s="1929"/>
      <c r="J87" s="690" t="s">
        <v>29</v>
      </c>
      <c r="K87" s="689"/>
    </row>
    <row r="88" spans="1:11" ht="15" customHeight="1">
      <c r="A88" s="978">
        <v>85</v>
      </c>
      <c r="B88" s="978" t="s">
        <v>1336</v>
      </c>
      <c r="C88" s="978" t="s">
        <v>1900</v>
      </c>
      <c r="D88" s="833" t="s">
        <v>61</v>
      </c>
      <c r="E88" s="978" t="s">
        <v>1891</v>
      </c>
      <c r="F88" s="979">
        <v>46099</v>
      </c>
      <c r="G88" s="979">
        <v>46103</v>
      </c>
      <c r="H88" s="1921"/>
      <c r="I88" s="1929"/>
      <c r="J88" s="690" t="s">
        <v>29</v>
      </c>
      <c r="K88" s="689"/>
    </row>
    <row r="89" spans="1:11" ht="15" customHeight="1">
      <c r="A89" s="978">
        <v>86</v>
      </c>
      <c r="B89" s="978" t="s">
        <v>1695</v>
      </c>
      <c r="C89" s="978" t="s">
        <v>32</v>
      </c>
      <c r="D89" s="833" t="s">
        <v>61</v>
      </c>
      <c r="E89" s="1234" t="s">
        <v>1636</v>
      </c>
      <c r="F89" s="979">
        <v>46100</v>
      </c>
      <c r="G89" s="979">
        <v>46103</v>
      </c>
      <c r="H89" s="1921"/>
      <c r="I89" s="1929"/>
      <c r="J89" s="690" t="s">
        <v>29</v>
      </c>
      <c r="K89" s="689"/>
    </row>
    <row r="90" spans="1:11" ht="15" customHeight="1">
      <c r="A90" s="963">
        <v>87</v>
      </c>
      <c r="B90" s="963" t="s">
        <v>1408</v>
      </c>
      <c r="C90" s="963" t="s">
        <v>32</v>
      </c>
      <c r="D90" s="833" t="s">
        <v>42</v>
      </c>
      <c r="E90" s="963" t="s">
        <v>1888</v>
      </c>
      <c r="F90" s="962">
        <v>46096</v>
      </c>
      <c r="G90" s="962">
        <v>46104</v>
      </c>
      <c r="H90" s="1921"/>
      <c r="I90" s="1929"/>
      <c r="J90" s="690" t="s">
        <v>29</v>
      </c>
      <c r="K90" s="689"/>
    </row>
    <row r="91" spans="1:11" ht="15" customHeight="1">
      <c r="A91" s="963">
        <v>88</v>
      </c>
      <c r="B91" s="963" t="s">
        <v>1335</v>
      </c>
      <c r="C91" s="963" t="s">
        <v>1953</v>
      </c>
      <c r="D91" s="833" t="s">
        <v>42</v>
      </c>
      <c r="E91" s="963" t="s">
        <v>1891</v>
      </c>
      <c r="F91" s="962">
        <v>46112</v>
      </c>
      <c r="G91" s="962">
        <v>46105</v>
      </c>
      <c r="H91" s="1921"/>
      <c r="I91" s="1929"/>
      <c r="J91" s="690" t="s">
        <v>29</v>
      </c>
      <c r="K91" s="689"/>
    </row>
    <row r="92" spans="1:11" ht="15" customHeight="1">
      <c r="A92" s="978">
        <v>89</v>
      </c>
      <c r="B92" s="978" t="s">
        <v>1303</v>
      </c>
      <c r="C92" s="978" t="s">
        <v>32</v>
      </c>
      <c r="D92" s="833" t="s">
        <v>61</v>
      </c>
      <c r="E92" s="978" t="s">
        <v>1856</v>
      </c>
      <c r="F92" s="979">
        <v>46100</v>
      </c>
      <c r="G92" s="979">
        <v>46106</v>
      </c>
      <c r="H92" s="1921"/>
      <c r="I92" s="1929"/>
      <c r="J92" s="690" t="s">
        <v>29</v>
      </c>
      <c r="K92" s="689"/>
    </row>
    <row r="93" spans="1:11" ht="15" customHeight="1">
      <c r="A93" s="963">
        <v>90</v>
      </c>
      <c r="B93" s="963" t="s">
        <v>1700</v>
      </c>
      <c r="C93" s="963" t="s">
        <v>1175</v>
      </c>
      <c r="D93" s="833" t="s">
        <v>61</v>
      </c>
      <c r="E93" s="1234" t="s">
        <v>1636</v>
      </c>
      <c r="F93" s="962">
        <v>46103</v>
      </c>
      <c r="G93" s="962">
        <v>46107</v>
      </c>
      <c r="H93" s="1921"/>
      <c r="I93" s="1929"/>
      <c r="J93" s="690" t="s">
        <v>29</v>
      </c>
      <c r="K93" s="689"/>
    </row>
    <row r="94" spans="1:11" ht="15" customHeight="1">
      <c r="A94" s="978">
        <v>91</v>
      </c>
      <c r="B94" s="978" t="s">
        <v>1334</v>
      </c>
      <c r="C94" s="978" t="s">
        <v>1906</v>
      </c>
      <c r="D94" s="833" t="s">
        <v>42</v>
      </c>
      <c r="E94" s="978" t="s">
        <v>1891</v>
      </c>
      <c r="F94" s="979">
        <v>46105</v>
      </c>
      <c r="G94" s="979">
        <v>46108</v>
      </c>
      <c r="H94" s="1921"/>
      <c r="I94" s="1929"/>
      <c r="J94" s="690" t="s">
        <v>29</v>
      </c>
      <c r="K94" s="689"/>
    </row>
    <row r="95" spans="1:11" ht="15" customHeight="1">
      <c r="A95" s="978">
        <v>92</v>
      </c>
      <c r="B95" s="978" t="s">
        <v>1407</v>
      </c>
      <c r="C95" s="978" t="s">
        <v>1181</v>
      </c>
      <c r="D95" s="833" t="s">
        <v>42</v>
      </c>
      <c r="E95" s="977" t="s">
        <v>1888</v>
      </c>
      <c r="F95" s="979">
        <v>46103</v>
      </c>
      <c r="G95" s="979">
        <v>46110</v>
      </c>
      <c r="H95" s="1921"/>
      <c r="I95" s="1929"/>
      <c r="J95" s="690" t="s">
        <v>29</v>
      </c>
      <c r="K95" s="689"/>
    </row>
    <row r="96" spans="1:11" ht="15" customHeight="1">
      <c r="A96" s="963">
        <v>93</v>
      </c>
      <c r="B96" s="963" t="s">
        <v>1332</v>
      </c>
      <c r="C96" s="963" t="s">
        <v>1907</v>
      </c>
      <c r="D96" s="833" t="s">
        <v>61</v>
      </c>
      <c r="E96" s="963" t="s">
        <v>1891</v>
      </c>
      <c r="F96" s="962">
        <v>46105</v>
      </c>
      <c r="G96" s="962">
        <v>46111</v>
      </c>
      <c r="H96" s="1921"/>
      <c r="I96" s="1929"/>
      <c r="J96" s="690" t="s">
        <v>29</v>
      </c>
      <c r="K96" s="689"/>
    </row>
    <row r="97" spans="1:11" ht="15" customHeight="1">
      <c r="A97" s="978">
        <v>94</v>
      </c>
      <c r="B97" s="978" t="s">
        <v>1698</v>
      </c>
      <c r="C97" s="978" t="s">
        <v>1906</v>
      </c>
      <c r="D97" s="833" t="s">
        <v>61</v>
      </c>
      <c r="E97" s="1234" t="s">
        <v>1636</v>
      </c>
      <c r="F97" s="979">
        <v>46107</v>
      </c>
      <c r="G97" s="979">
        <v>46112</v>
      </c>
      <c r="H97" s="1921"/>
      <c r="I97" s="1929"/>
      <c r="J97" s="690" t="s">
        <v>29</v>
      </c>
      <c r="K97" s="689"/>
    </row>
    <row r="98" spans="1:11" ht="15" customHeight="1">
      <c r="A98" s="963">
        <v>95</v>
      </c>
      <c r="B98" s="963" t="s">
        <v>1387</v>
      </c>
      <c r="C98" s="963" t="s">
        <v>1181</v>
      </c>
      <c r="D98" s="833" t="s">
        <v>61</v>
      </c>
      <c r="E98" s="964" t="s">
        <v>1855</v>
      </c>
      <c r="F98" s="962">
        <v>46104</v>
      </c>
      <c r="G98" s="962">
        <v>46112</v>
      </c>
      <c r="H98" s="1921"/>
      <c r="I98" s="1929"/>
      <c r="J98" s="690" t="s">
        <v>29</v>
      </c>
      <c r="K98" s="689"/>
    </row>
    <row r="99" spans="1:11" ht="15" customHeight="1">
      <c r="A99" s="963">
        <v>96</v>
      </c>
      <c r="B99" s="963" t="s">
        <v>1328</v>
      </c>
      <c r="C99" s="963" t="s">
        <v>32</v>
      </c>
      <c r="D99" s="833" t="s">
        <v>61</v>
      </c>
      <c r="E99" s="963" t="s">
        <v>1891</v>
      </c>
      <c r="F99" s="962">
        <v>46105</v>
      </c>
      <c r="G99" s="962">
        <v>46112</v>
      </c>
      <c r="H99" s="1921"/>
      <c r="I99" s="1929"/>
      <c r="J99" s="690" t="s">
        <v>29</v>
      </c>
      <c r="K99" s="689"/>
    </row>
    <row r="100" spans="1:11" ht="15" customHeight="1">
      <c r="A100" s="1008">
        <v>97</v>
      </c>
      <c r="B100" s="1008" t="s">
        <v>1414</v>
      </c>
      <c r="C100" s="1008" t="s">
        <v>48</v>
      </c>
      <c r="D100" s="833" t="s">
        <v>42</v>
      </c>
      <c r="E100" s="1007" t="s">
        <v>1888</v>
      </c>
      <c r="F100" s="1010">
        <v>46112</v>
      </c>
      <c r="G100" s="1010">
        <v>46115</v>
      </c>
      <c r="H100" s="1925" t="s">
        <v>1909</v>
      </c>
      <c r="I100" s="1927">
        <v>33</v>
      </c>
      <c r="J100" s="690" t="s">
        <v>29</v>
      </c>
      <c r="K100" s="689"/>
    </row>
    <row r="101" spans="1:11" ht="15" customHeight="1">
      <c r="A101" s="1008">
        <v>98</v>
      </c>
      <c r="B101" s="1008" t="s">
        <v>1699</v>
      </c>
      <c r="C101" s="1008" t="s">
        <v>1911</v>
      </c>
      <c r="D101" s="833" t="s">
        <v>61</v>
      </c>
      <c r="E101" s="1234" t="s">
        <v>1636</v>
      </c>
      <c r="F101" s="1010">
        <v>46111</v>
      </c>
      <c r="G101" s="1010">
        <v>46115</v>
      </c>
      <c r="H101" s="1926"/>
      <c r="I101" s="1928"/>
      <c r="J101" s="690" t="s">
        <v>29</v>
      </c>
      <c r="K101" s="689"/>
    </row>
    <row r="102" spans="1:11" ht="15" customHeight="1">
      <c r="A102" s="1008">
        <v>99</v>
      </c>
      <c r="B102" s="1008" t="s">
        <v>1302</v>
      </c>
      <c r="C102" s="1008" t="s">
        <v>1911</v>
      </c>
      <c r="D102" s="833" t="s">
        <v>61</v>
      </c>
      <c r="E102" s="1008" t="s">
        <v>1856</v>
      </c>
      <c r="F102" s="1010">
        <v>46113</v>
      </c>
      <c r="G102" s="1010">
        <v>46117</v>
      </c>
      <c r="H102" s="1926"/>
      <c r="I102" s="1928"/>
      <c r="J102" s="690" t="s">
        <v>29</v>
      </c>
      <c r="K102" s="689"/>
    </row>
    <row r="103" spans="1:11" ht="15" customHeight="1">
      <c r="A103" s="1008">
        <v>100</v>
      </c>
      <c r="B103" s="1008" t="s">
        <v>1382</v>
      </c>
      <c r="C103" s="1008" t="s">
        <v>1425</v>
      </c>
      <c r="D103" s="833" t="s">
        <v>42</v>
      </c>
      <c r="E103" s="1007" t="s">
        <v>1855</v>
      </c>
      <c r="F103" s="1010">
        <v>46103</v>
      </c>
      <c r="G103" s="1010">
        <v>46117</v>
      </c>
      <c r="H103" s="1926"/>
      <c r="I103" s="1928"/>
      <c r="J103" s="690" t="s">
        <v>29</v>
      </c>
      <c r="K103" s="689"/>
    </row>
    <row r="104" spans="1:11" ht="15" customHeight="1">
      <c r="A104" s="1008">
        <v>101</v>
      </c>
      <c r="B104" s="1008" t="s">
        <v>1693</v>
      </c>
      <c r="C104" s="1008" t="s">
        <v>1929</v>
      </c>
      <c r="D104" s="833" t="s">
        <v>61</v>
      </c>
      <c r="E104" s="1234" t="s">
        <v>1636</v>
      </c>
      <c r="F104" s="1010">
        <v>46115</v>
      </c>
      <c r="G104" s="1010">
        <v>46120</v>
      </c>
      <c r="H104" s="1926"/>
      <c r="I104" s="1928"/>
      <c r="J104" s="690" t="s">
        <v>29</v>
      </c>
      <c r="K104" s="689"/>
    </row>
    <row r="105" spans="1:11" ht="15" customHeight="1">
      <c r="A105" s="1008">
        <v>102</v>
      </c>
      <c r="B105" s="1008" t="s">
        <v>1333</v>
      </c>
      <c r="C105" s="1008" t="s">
        <v>1932</v>
      </c>
      <c r="D105" s="833" t="s">
        <v>42</v>
      </c>
      <c r="E105" s="1008" t="s">
        <v>1891</v>
      </c>
      <c r="F105" s="1010">
        <v>46118</v>
      </c>
      <c r="G105" s="1010">
        <v>46120</v>
      </c>
      <c r="H105" s="1926"/>
      <c r="I105" s="1928"/>
      <c r="J105" s="690" t="s">
        <v>29</v>
      </c>
      <c r="K105" s="689"/>
    </row>
    <row r="106" spans="1:11" ht="15" customHeight="1">
      <c r="A106" s="1008">
        <v>103</v>
      </c>
      <c r="B106" s="1008" t="s">
        <v>1416</v>
      </c>
      <c r="C106" s="1008" t="s">
        <v>1426</v>
      </c>
      <c r="D106" s="833" t="s">
        <v>42</v>
      </c>
      <c r="E106" s="1007" t="s">
        <v>1888</v>
      </c>
      <c r="F106" s="1010">
        <v>46115</v>
      </c>
      <c r="G106" s="1010">
        <v>46121</v>
      </c>
      <c r="H106" s="1926"/>
      <c r="I106" s="1928"/>
      <c r="J106" s="690" t="s">
        <v>29</v>
      </c>
      <c r="K106" s="689"/>
    </row>
    <row r="107" spans="1:11" ht="15" customHeight="1">
      <c r="A107" s="1008">
        <v>104</v>
      </c>
      <c r="B107" s="1008" t="s">
        <v>1329</v>
      </c>
      <c r="C107" s="1008" t="s">
        <v>1916</v>
      </c>
      <c r="D107" s="833" t="s">
        <v>61</v>
      </c>
      <c r="E107" s="1008" t="s">
        <v>1891</v>
      </c>
      <c r="F107" s="1010">
        <v>46119</v>
      </c>
      <c r="G107" s="1010">
        <v>46124</v>
      </c>
      <c r="H107" s="1926"/>
      <c r="I107" s="1928"/>
      <c r="J107" s="690" t="s">
        <v>29</v>
      </c>
      <c r="K107" s="689"/>
    </row>
    <row r="108" spans="1:11" ht="15" customHeight="1">
      <c r="A108" s="1008">
        <v>105</v>
      </c>
      <c r="B108" s="1008" t="s">
        <v>1242</v>
      </c>
      <c r="C108" s="1008" t="s">
        <v>1931</v>
      </c>
      <c r="D108" s="833" t="s">
        <v>61</v>
      </c>
      <c r="E108" s="1008" t="s">
        <v>1636</v>
      </c>
      <c r="F108" s="1010">
        <v>46120</v>
      </c>
      <c r="G108" s="1010">
        <v>46124</v>
      </c>
      <c r="H108" s="1926"/>
      <c r="I108" s="1928"/>
      <c r="J108" s="690" t="s">
        <v>29</v>
      </c>
      <c r="K108" s="689"/>
    </row>
    <row r="109" spans="1:11" ht="15" customHeight="1">
      <c r="A109" s="1008">
        <v>106</v>
      </c>
      <c r="B109" s="1008" t="s">
        <v>1381</v>
      </c>
      <c r="C109" s="1008" t="s">
        <v>1941</v>
      </c>
      <c r="D109" s="833" t="s">
        <v>42</v>
      </c>
      <c r="E109" s="1008" t="s">
        <v>1855</v>
      </c>
      <c r="F109" s="1010">
        <v>46122</v>
      </c>
      <c r="G109" s="1010">
        <v>46124</v>
      </c>
      <c r="H109" s="1926"/>
      <c r="I109" s="1928"/>
      <c r="J109" s="690" t="s">
        <v>29</v>
      </c>
      <c r="K109" s="689"/>
    </row>
    <row r="110" spans="1:11" ht="15" customHeight="1">
      <c r="A110" s="1008">
        <v>107</v>
      </c>
      <c r="B110" s="1008" t="s">
        <v>1277</v>
      </c>
      <c r="C110" s="1008" t="s">
        <v>1929</v>
      </c>
      <c r="D110" s="833" t="s">
        <v>61</v>
      </c>
      <c r="E110" s="1008" t="s">
        <v>1930</v>
      </c>
      <c r="F110" s="1010">
        <v>46115</v>
      </c>
      <c r="G110" s="1010">
        <v>46125</v>
      </c>
      <c r="H110" s="1926"/>
      <c r="I110" s="1928"/>
      <c r="J110" s="690" t="s">
        <v>29</v>
      </c>
      <c r="K110" s="689"/>
    </row>
    <row r="111" spans="1:11" ht="15" customHeight="1">
      <c r="A111" s="1008">
        <v>108</v>
      </c>
      <c r="B111" s="1008" t="s">
        <v>1202</v>
      </c>
      <c r="C111" s="1008" t="s">
        <v>1929</v>
      </c>
      <c r="D111" s="833" t="s">
        <v>61</v>
      </c>
      <c r="E111" s="1008" t="s">
        <v>1856</v>
      </c>
      <c r="F111" s="1010">
        <v>46118</v>
      </c>
      <c r="G111" s="1010">
        <v>46125</v>
      </c>
      <c r="H111" s="1926"/>
      <c r="I111" s="1928"/>
      <c r="J111" s="690" t="s">
        <v>29</v>
      </c>
      <c r="K111" s="689"/>
    </row>
    <row r="112" spans="1:11" ht="15" customHeight="1">
      <c r="A112" s="1008">
        <v>109</v>
      </c>
      <c r="B112" s="1008" t="s">
        <v>1353</v>
      </c>
      <c r="C112" s="1008" t="s">
        <v>48</v>
      </c>
      <c r="D112" s="833" t="s">
        <v>61</v>
      </c>
      <c r="E112" s="1008" t="s">
        <v>1891</v>
      </c>
      <c r="F112" s="1010">
        <v>46124</v>
      </c>
      <c r="G112" s="1010">
        <v>46126</v>
      </c>
      <c r="H112" s="1926"/>
      <c r="I112" s="1928"/>
      <c r="J112" s="690" t="s">
        <v>29</v>
      </c>
      <c r="K112" s="689"/>
    </row>
    <row r="113" spans="1:11" ht="15" customHeight="1">
      <c r="A113" s="1008">
        <v>110</v>
      </c>
      <c r="B113" s="1008" t="s">
        <v>1380</v>
      </c>
      <c r="C113" s="1008" t="s">
        <v>32</v>
      </c>
      <c r="D113" s="833" t="s">
        <v>61</v>
      </c>
      <c r="E113" s="1008" t="s">
        <v>1855</v>
      </c>
      <c r="F113" s="1010">
        <v>46124</v>
      </c>
      <c r="G113" s="1010">
        <v>46127</v>
      </c>
      <c r="H113" s="1926"/>
      <c r="I113" s="1928"/>
      <c r="J113" s="690" t="s">
        <v>29</v>
      </c>
      <c r="K113" s="689"/>
    </row>
    <row r="114" spans="1:11" ht="15" customHeight="1">
      <c r="A114" s="1008">
        <v>111</v>
      </c>
      <c r="B114" s="1008" t="s">
        <v>1683</v>
      </c>
      <c r="C114" s="1008" t="s">
        <v>1938</v>
      </c>
      <c r="D114" s="833" t="s">
        <v>61</v>
      </c>
      <c r="E114" s="1008" t="s">
        <v>1636</v>
      </c>
      <c r="F114" s="1010">
        <v>46123</v>
      </c>
      <c r="G114" s="1010">
        <v>46128</v>
      </c>
      <c r="H114" s="1926"/>
      <c r="I114" s="1928"/>
      <c r="J114" s="690" t="s">
        <v>29</v>
      </c>
      <c r="K114" s="689"/>
    </row>
    <row r="115" spans="1:11" ht="15" customHeight="1">
      <c r="A115" s="1008">
        <v>112</v>
      </c>
      <c r="B115" s="1008" t="s">
        <v>1276</v>
      </c>
      <c r="C115" s="1008" t="s">
        <v>1933</v>
      </c>
      <c r="D115" s="833" t="s">
        <v>61</v>
      </c>
      <c r="E115" s="1008" t="s">
        <v>1930</v>
      </c>
      <c r="F115" s="1010">
        <v>46125</v>
      </c>
      <c r="G115" s="1010">
        <v>46128</v>
      </c>
      <c r="H115" s="1926"/>
      <c r="I115" s="1928"/>
      <c r="J115" s="690" t="s">
        <v>29</v>
      </c>
      <c r="K115" s="689"/>
    </row>
    <row r="116" spans="1:11" ht="15" customHeight="1">
      <c r="A116" s="1008">
        <v>113</v>
      </c>
      <c r="B116" s="1008" t="s">
        <v>1417</v>
      </c>
      <c r="C116" s="1008" t="s">
        <v>1426</v>
      </c>
      <c r="D116" s="833" t="s">
        <v>61</v>
      </c>
      <c r="E116" s="1008" t="s">
        <v>1888</v>
      </c>
      <c r="F116" s="1010">
        <v>46121</v>
      </c>
      <c r="G116" s="1010">
        <v>46129</v>
      </c>
      <c r="H116" s="1926"/>
      <c r="I116" s="1928"/>
      <c r="J116" s="690" t="s">
        <v>29</v>
      </c>
      <c r="K116" s="689"/>
    </row>
    <row r="117" spans="1:11" ht="15" customHeight="1">
      <c r="A117" s="1008">
        <v>114</v>
      </c>
      <c r="B117" s="1008" t="s">
        <v>1356</v>
      </c>
      <c r="C117" s="1008" t="s">
        <v>1425</v>
      </c>
      <c r="D117" s="833" t="s">
        <v>61</v>
      </c>
      <c r="E117" s="1008" t="s">
        <v>1891</v>
      </c>
      <c r="F117" s="1010">
        <v>46125</v>
      </c>
      <c r="G117" s="1010">
        <v>46131</v>
      </c>
      <c r="H117" s="1926"/>
      <c r="I117" s="1928"/>
      <c r="J117" s="690" t="s">
        <v>29</v>
      </c>
      <c r="K117" s="689"/>
    </row>
    <row r="118" spans="1:11" ht="15" customHeight="1">
      <c r="A118" s="1008">
        <v>115</v>
      </c>
      <c r="B118" s="1008" t="s">
        <v>1306</v>
      </c>
      <c r="C118" s="1008" t="s">
        <v>1932</v>
      </c>
      <c r="D118" s="833" t="s">
        <v>42</v>
      </c>
      <c r="E118" s="1008" t="s">
        <v>1856</v>
      </c>
      <c r="F118" s="1010">
        <v>46124</v>
      </c>
      <c r="G118" s="1010">
        <v>46131</v>
      </c>
      <c r="H118" s="1926"/>
      <c r="I118" s="1928"/>
      <c r="J118" s="690" t="s">
        <v>29</v>
      </c>
      <c r="K118" s="689"/>
    </row>
    <row r="119" spans="1:11" ht="15" customHeight="1">
      <c r="A119" s="1008">
        <v>116</v>
      </c>
      <c r="B119" s="1008" t="s">
        <v>1385</v>
      </c>
      <c r="C119" s="1008" t="s">
        <v>32</v>
      </c>
      <c r="D119" s="833" t="s">
        <v>61</v>
      </c>
      <c r="E119" s="1008" t="s">
        <v>1855</v>
      </c>
      <c r="F119" s="1010">
        <v>46127</v>
      </c>
      <c r="G119" s="1010">
        <v>46132</v>
      </c>
      <c r="H119" s="1926"/>
      <c r="I119" s="1928"/>
      <c r="J119" s="690" t="s">
        <v>29</v>
      </c>
      <c r="K119" s="689"/>
    </row>
    <row r="120" spans="1:11" ht="15" customHeight="1">
      <c r="A120" s="1008">
        <v>117</v>
      </c>
      <c r="B120" s="1008" t="s">
        <v>1357</v>
      </c>
      <c r="C120" s="1008" t="s">
        <v>48</v>
      </c>
      <c r="D120" s="833" t="s">
        <v>61</v>
      </c>
      <c r="E120" s="1008" t="s">
        <v>1891</v>
      </c>
      <c r="F120" s="1010">
        <v>46130</v>
      </c>
      <c r="G120" s="1010">
        <v>46132</v>
      </c>
      <c r="H120" s="1926"/>
      <c r="I120" s="1928"/>
      <c r="J120" s="690" t="s">
        <v>29</v>
      </c>
      <c r="K120" s="689"/>
    </row>
    <row r="121" spans="1:11" ht="15" customHeight="1">
      <c r="A121" s="1008">
        <v>118</v>
      </c>
      <c r="B121" s="1008" t="s">
        <v>1415</v>
      </c>
      <c r="C121" s="1008" t="s">
        <v>48</v>
      </c>
      <c r="D121" s="833" t="s">
        <v>42</v>
      </c>
      <c r="E121" s="1008" t="s">
        <v>1888</v>
      </c>
      <c r="F121" s="1010">
        <v>46129</v>
      </c>
      <c r="G121" s="1010">
        <v>46135</v>
      </c>
      <c r="H121" s="1926"/>
      <c r="I121" s="1928"/>
      <c r="J121" s="690" t="s">
        <v>29</v>
      </c>
      <c r="K121" s="689"/>
    </row>
    <row r="122" spans="1:11" ht="15" customHeight="1">
      <c r="A122" s="1008">
        <v>119</v>
      </c>
      <c r="B122" s="1008" t="s">
        <v>1684</v>
      </c>
      <c r="C122" s="1008" t="s">
        <v>1945</v>
      </c>
      <c r="D122" s="833" t="s">
        <v>61</v>
      </c>
      <c r="E122" s="1008" t="s">
        <v>1636</v>
      </c>
      <c r="F122" s="1010">
        <v>46130</v>
      </c>
      <c r="G122" s="1010">
        <v>46137</v>
      </c>
      <c r="H122" s="1926"/>
      <c r="I122" s="1928"/>
      <c r="J122" s="690" t="s">
        <v>29</v>
      </c>
      <c r="K122" s="689"/>
    </row>
    <row r="123" spans="1:11" ht="15" customHeight="1">
      <c r="A123" s="1008">
        <v>120</v>
      </c>
      <c r="B123" s="1008" t="s">
        <v>1358</v>
      </c>
      <c r="C123" s="855" t="s">
        <v>1947</v>
      </c>
      <c r="D123" s="855" t="s">
        <v>61</v>
      </c>
      <c r="E123" s="1008" t="s">
        <v>1891</v>
      </c>
      <c r="F123" s="1010">
        <v>46132</v>
      </c>
      <c r="G123" s="1010">
        <v>46137</v>
      </c>
      <c r="H123" s="1926"/>
      <c r="I123" s="1928"/>
      <c r="J123" s="690" t="s">
        <v>29</v>
      </c>
      <c r="K123" s="689"/>
    </row>
    <row r="124" spans="1:11" ht="15" customHeight="1">
      <c r="A124" s="1008">
        <v>121</v>
      </c>
      <c r="B124" s="982" t="s">
        <v>1305</v>
      </c>
      <c r="C124" s="982" t="s">
        <v>1929</v>
      </c>
      <c r="D124" s="982" t="s">
        <v>61</v>
      </c>
      <c r="E124" s="1008" t="s">
        <v>1856</v>
      </c>
      <c r="F124" s="1010">
        <v>46124</v>
      </c>
      <c r="G124" s="1010">
        <v>46138</v>
      </c>
      <c r="H124" s="1926"/>
      <c r="I124" s="1928"/>
      <c r="J124" s="690" t="s">
        <v>29</v>
      </c>
      <c r="K124" s="689"/>
    </row>
    <row r="125" spans="1:11" ht="15" customHeight="1">
      <c r="A125" s="1008">
        <v>122</v>
      </c>
      <c r="B125" s="982" t="s">
        <v>1383</v>
      </c>
      <c r="C125" s="982" t="s">
        <v>1423</v>
      </c>
      <c r="D125" s="982" t="s">
        <v>42</v>
      </c>
      <c r="E125" s="1008" t="s">
        <v>1855</v>
      </c>
      <c r="F125" s="1010">
        <v>46132</v>
      </c>
      <c r="G125" s="1010">
        <v>46138</v>
      </c>
      <c r="H125" s="1926"/>
      <c r="I125" s="1928"/>
      <c r="J125" s="690" t="s">
        <v>29</v>
      </c>
      <c r="K125" s="689"/>
    </row>
    <row r="126" spans="1:11" ht="15" customHeight="1">
      <c r="A126" s="1009">
        <v>123</v>
      </c>
      <c r="B126" s="999" t="s">
        <v>1355</v>
      </c>
      <c r="C126" s="999" t="s">
        <v>1427</v>
      </c>
      <c r="D126" s="1002" t="s">
        <v>61</v>
      </c>
      <c r="E126" s="1008" t="s">
        <v>1891</v>
      </c>
      <c r="F126" s="1011">
        <v>46135</v>
      </c>
      <c r="G126" s="1011">
        <v>46138</v>
      </c>
      <c r="H126" s="1926"/>
      <c r="I126" s="1928"/>
      <c r="J126" s="1000" t="s">
        <v>29</v>
      </c>
      <c r="K126" s="1001"/>
    </row>
    <row r="127" spans="1:11" ht="15" customHeight="1">
      <c r="A127" s="1009">
        <v>124</v>
      </c>
      <c r="B127" s="999" t="s">
        <v>1418</v>
      </c>
      <c r="C127" s="999" t="s">
        <v>48</v>
      </c>
      <c r="D127" s="999" t="s">
        <v>42</v>
      </c>
      <c r="E127" s="1009" t="s">
        <v>1888</v>
      </c>
      <c r="F127" s="1011">
        <v>46135</v>
      </c>
      <c r="G127" s="1011">
        <v>46140</v>
      </c>
      <c r="H127" s="1926"/>
      <c r="I127" s="1928"/>
      <c r="J127" s="1000" t="s">
        <v>29</v>
      </c>
      <c r="K127" s="1001"/>
    </row>
    <row r="128" spans="1:11" ht="15" customHeight="1">
      <c r="A128" s="1008">
        <v>125</v>
      </c>
      <c r="B128" s="982" t="s">
        <v>1354</v>
      </c>
      <c r="C128" s="982" t="s">
        <v>1426</v>
      </c>
      <c r="D128" s="982" t="s">
        <v>61</v>
      </c>
      <c r="E128" s="1008" t="s">
        <v>1891</v>
      </c>
      <c r="F128" s="504">
        <v>46135</v>
      </c>
      <c r="G128" s="1010">
        <v>46141</v>
      </c>
      <c r="H128" s="1926"/>
      <c r="I128" s="1928"/>
      <c r="J128" s="1000" t="s">
        <v>29</v>
      </c>
      <c r="K128" s="689"/>
    </row>
    <row r="129" spans="1:11" ht="15" customHeight="1">
      <c r="A129" s="1008">
        <v>126</v>
      </c>
      <c r="B129" s="982" t="s">
        <v>1235</v>
      </c>
      <c r="C129" s="982" t="s">
        <v>50</v>
      </c>
      <c r="D129" s="982" t="s">
        <v>61</v>
      </c>
      <c r="E129" s="1008" t="s">
        <v>1636</v>
      </c>
      <c r="F129" s="504">
        <v>46137</v>
      </c>
      <c r="G129" s="1010">
        <v>46141</v>
      </c>
      <c r="H129" s="1926"/>
      <c r="I129" s="1928"/>
      <c r="J129" s="1000" t="s">
        <v>29</v>
      </c>
      <c r="K129" s="689"/>
    </row>
    <row r="130" spans="1:11" ht="15" customHeight="1">
      <c r="A130" s="1008">
        <v>127</v>
      </c>
      <c r="B130" s="982" t="s">
        <v>1378</v>
      </c>
      <c r="C130" s="982" t="s">
        <v>32</v>
      </c>
      <c r="D130" s="982" t="s">
        <v>61</v>
      </c>
      <c r="E130" s="1008" t="s">
        <v>1855</v>
      </c>
      <c r="F130" s="504">
        <v>46138</v>
      </c>
      <c r="G130" s="1010">
        <v>46141</v>
      </c>
      <c r="H130" s="1926"/>
      <c r="I130" s="1928"/>
      <c r="J130" s="1000" t="s">
        <v>29</v>
      </c>
      <c r="K130" s="689"/>
    </row>
    <row r="131" spans="1:11" ht="15" customHeight="1">
      <c r="A131" s="1008">
        <v>128</v>
      </c>
      <c r="B131" s="982" t="s">
        <v>1314</v>
      </c>
      <c r="C131" s="982" t="s">
        <v>1946</v>
      </c>
      <c r="D131" s="982" t="s">
        <v>61</v>
      </c>
      <c r="E131" s="879" t="s">
        <v>1957</v>
      </c>
      <c r="F131" s="504">
        <v>46130</v>
      </c>
      <c r="G131" s="1010">
        <v>46142</v>
      </c>
      <c r="H131" s="1926"/>
      <c r="I131" s="1928"/>
      <c r="J131" s="1000" t="s">
        <v>29</v>
      </c>
      <c r="K131" s="689"/>
    </row>
    <row r="132" spans="1:11" ht="15" customHeight="1">
      <c r="A132" s="1106">
        <v>129</v>
      </c>
      <c r="B132" s="999" t="s">
        <v>1203</v>
      </c>
      <c r="C132" s="999" t="s">
        <v>1932</v>
      </c>
      <c r="D132" s="999" t="s">
        <v>61</v>
      </c>
      <c r="E132" s="1016" t="s">
        <v>1856</v>
      </c>
      <c r="F132" s="925">
        <v>46138</v>
      </c>
      <c r="G132" s="1111">
        <v>46142</v>
      </c>
      <c r="H132" s="1926"/>
      <c r="I132" s="1928"/>
      <c r="J132" s="1000" t="s">
        <v>29</v>
      </c>
      <c r="K132" s="1001"/>
    </row>
    <row r="133" spans="1:11" ht="15" customHeight="1">
      <c r="A133" s="982">
        <v>130</v>
      </c>
      <c r="B133" s="993" t="s">
        <v>1377</v>
      </c>
      <c r="C133" s="999" t="s">
        <v>1941</v>
      </c>
      <c r="D133" s="999" t="s">
        <v>61</v>
      </c>
      <c r="E133" s="1199" t="s">
        <v>1855</v>
      </c>
      <c r="F133" s="1201">
        <v>46140</v>
      </c>
      <c r="G133" s="1201">
        <v>46144</v>
      </c>
      <c r="H133" s="1944" t="s">
        <v>2024</v>
      </c>
      <c r="I133" s="1947">
        <v>34</v>
      </c>
      <c r="J133" s="1210" t="s">
        <v>29</v>
      </c>
      <c r="K133" s="1211"/>
    </row>
    <row r="134" spans="1:11" ht="15" customHeight="1">
      <c r="A134" s="982">
        <v>131</v>
      </c>
      <c r="B134" s="993" t="s">
        <v>1236</v>
      </c>
      <c r="C134" s="999" t="s">
        <v>1959</v>
      </c>
      <c r="D134" s="999" t="s">
        <v>61</v>
      </c>
      <c r="E134" s="1234" t="s">
        <v>1636</v>
      </c>
      <c r="F134" s="1201">
        <v>46140</v>
      </c>
      <c r="G134" s="1201">
        <v>46145</v>
      </c>
      <c r="H134" s="1945"/>
      <c r="I134" s="1948"/>
      <c r="J134" s="1210" t="s">
        <v>29</v>
      </c>
      <c r="K134" s="1211"/>
    </row>
    <row r="135" spans="1:11" ht="15" customHeight="1">
      <c r="A135" s="982">
        <v>132</v>
      </c>
      <c r="B135" s="993" t="s">
        <v>1330</v>
      </c>
      <c r="C135" s="999" t="s">
        <v>1960</v>
      </c>
      <c r="D135" s="999" t="s">
        <v>61</v>
      </c>
      <c r="E135" s="1234" t="s">
        <v>1891</v>
      </c>
      <c r="F135" s="1201">
        <v>46142</v>
      </c>
      <c r="G135" s="1201">
        <v>46147</v>
      </c>
      <c r="H135" s="1945"/>
      <c r="I135" s="1948"/>
      <c r="J135" s="1210" t="s">
        <v>29</v>
      </c>
      <c r="K135" s="1211"/>
    </row>
    <row r="136" spans="1:11" ht="15" customHeight="1">
      <c r="A136" s="982">
        <v>133</v>
      </c>
      <c r="B136" s="993" t="s">
        <v>1275</v>
      </c>
      <c r="C136" s="999" t="s">
        <v>1945</v>
      </c>
      <c r="D136" s="999" t="s">
        <v>61</v>
      </c>
      <c r="E136" s="509" t="s">
        <v>1930</v>
      </c>
      <c r="F136" s="1201">
        <v>46130</v>
      </c>
      <c r="G136" s="1201">
        <v>46150</v>
      </c>
      <c r="H136" s="1945"/>
      <c r="I136" s="1948"/>
      <c r="J136" s="1210" t="s">
        <v>29</v>
      </c>
      <c r="K136" s="1211"/>
    </row>
    <row r="137" spans="1:11" ht="15" customHeight="1">
      <c r="A137" s="982">
        <v>134</v>
      </c>
      <c r="B137" s="993" t="s">
        <v>1419</v>
      </c>
      <c r="C137" s="999" t="s">
        <v>32</v>
      </c>
      <c r="D137" s="999" t="s">
        <v>42</v>
      </c>
      <c r="E137" s="509" t="s">
        <v>1888</v>
      </c>
      <c r="F137" s="1201">
        <v>46135</v>
      </c>
      <c r="G137" s="1201">
        <v>46152</v>
      </c>
      <c r="H137" s="1945"/>
      <c r="I137" s="1948"/>
      <c r="J137" s="1210" t="s">
        <v>29</v>
      </c>
      <c r="K137" s="1211"/>
    </row>
    <row r="138" spans="1:11" ht="15" customHeight="1">
      <c r="A138" s="982">
        <v>135</v>
      </c>
      <c r="B138" s="993" t="s">
        <v>1331</v>
      </c>
      <c r="C138" s="999" t="s">
        <v>1960</v>
      </c>
      <c r="D138" s="999" t="s">
        <v>61</v>
      </c>
      <c r="E138" s="1234" t="s">
        <v>1891</v>
      </c>
      <c r="F138" s="1201">
        <v>46147</v>
      </c>
      <c r="G138" s="1201">
        <v>46154</v>
      </c>
      <c r="H138" s="1945"/>
      <c r="I138" s="1948"/>
      <c r="J138" s="1210" t="s">
        <v>29</v>
      </c>
      <c r="K138" s="1211"/>
    </row>
    <row r="139" spans="1:11" ht="15" customHeight="1">
      <c r="A139" s="982">
        <v>136</v>
      </c>
      <c r="B139" s="993" t="s">
        <v>1315</v>
      </c>
      <c r="C139" s="999" t="s">
        <v>32</v>
      </c>
      <c r="D139" s="999" t="s">
        <v>61</v>
      </c>
      <c r="E139" s="509" t="s">
        <v>1958</v>
      </c>
      <c r="F139" s="1201">
        <v>46142</v>
      </c>
      <c r="G139" s="1201">
        <v>46154</v>
      </c>
      <c r="H139" s="1945"/>
      <c r="I139" s="1948"/>
      <c r="J139" s="1210" t="s">
        <v>29</v>
      </c>
      <c r="K139" s="1211"/>
    </row>
    <row r="140" spans="1:11" ht="15" customHeight="1">
      <c r="A140" s="982">
        <v>137</v>
      </c>
      <c r="B140" s="993" t="s">
        <v>1237</v>
      </c>
      <c r="C140" s="999" t="s">
        <v>1959</v>
      </c>
      <c r="D140" s="999" t="s">
        <v>61</v>
      </c>
      <c r="E140" s="1234" t="s">
        <v>1636</v>
      </c>
      <c r="F140" s="1201">
        <v>46140</v>
      </c>
      <c r="G140" s="1201">
        <v>46154</v>
      </c>
      <c r="H140" s="1945"/>
      <c r="I140" s="1948"/>
      <c r="J140" s="1210" t="s">
        <v>29</v>
      </c>
      <c r="K140" s="1211"/>
    </row>
    <row r="141" spans="1:11" ht="15" customHeight="1">
      <c r="A141" s="982">
        <v>138</v>
      </c>
      <c r="B141" s="993" t="s">
        <v>1341</v>
      </c>
      <c r="C141" s="999" t="s">
        <v>32</v>
      </c>
      <c r="D141" s="999" t="s">
        <v>42</v>
      </c>
      <c r="E141" s="1234" t="s">
        <v>1891</v>
      </c>
      <c r="F141" s="1201">
        <v>46147</v>
      </c>
      <c r="G141" s="1201">
        <v>46155</v>
      </c>
      <c r="H141" s="1945"/>
      <c r="I141" s="1948"/>
      <c r="J141" s="1210" t="s">
        <v>29</v>
      </c>
      <c r="K141" s="1211"/>
    </row>
    <row r="142" spans="1:11" ht="15" customHeight="1">
      <c r="A142" s="982">
        <v>139</v>
      </c>
      <c r="B142" s="993" t="s">
        <v>1420</v>
      </c>
      <c r="C142" s="999" t="s">
        <v>34</v>
      </c>
      <c r="D142" s="999" t="s">
        <v>61</v>
      </c>
      <c r="E142" s="509" t="s">
        <v>1888</v>
      </c>
      <c r="F142" s="1201">
        <v>46153</v>
      </c>
      <c r="G142" s="1201">
        <v>46156</v>
      </c>
      <c r="H142" s="1945"/>
      <c r="I142" s="1948"/>
      <c r="J142" s="1210" t="s">
        <v>29</v>
      </c>
      <c r="K142" s="1211"/>
    </row>
    <row r="143" spans="1:11" ht="15" customHeight="1">
      <c r="A143" s="982">
        <v>140</v>
      </c>
      <c r="B143" s="993" t="s">
        <v>1308</v>
      </c>
      <c r="C143" s="999" t="s">
        <v>1181</v>
      </c>
      <c r="D143" s="999" t="s">
        <v>42</v>
      </c>
      <c r="E143" s="509" t="s">
        <v>1881</v>
      </c>
      <c r="F143" s="1201">
        <v>46142</v>
      </c>
      <c r="G143" s="1201">
        <v>46156</v>
      </c>
      <c r="H143" s="1945"/>
      <c r="I143" s="1948"/>
      <c r="J143" s="1210" t="s">
        <v>29</v>
      </c>
      <c r="K143" s="1211"/>
    </row>
    <row r="144" spans="1:11" ht="15" customHeight="1">
      <c r="A144" s="982">
        <v>141</v>
      </c>
      <c r="B144" s="993" t="s">
        <v>1376</v>
      </c>
      <c r="C144" s="999" t="s">
        <v>49</v>
      </c>
      <c r="D144" s="999" t="s">
        <v>61</v>
      </c>
      <c r="E144" s="1198" t="s">
        <v>1855</v>
      </c>
      <c r="F144" s="1201">
        <v>46140</v>
      </c>
      <c r="G144" s="1201">
        <v>46157</v>
      </c>
      <c r="H144" s="1945"/>
      <c r="I144" s="1948"/>
      <c r="J144" s="1210" t="s">
        <v>29</v>
      </c>
      <c r="K144" s="1211"/>
    </row>
    <row r="145" spans="1:11" ht="15" customHeight="1">
      <c r="A145" s="982">
        <v>142</v>
      </c>
      <c r="B145" s="993" t="s">
        <v>1234</v>
      </c>
      <c r="C145" s="999" t="s">
        <v>32</v>
      </c>
      <c r="D145" s="999" t="s">
        <v>61</v>
      </c>
      <c r="E145" s="1234" t="s">
        <v>1636</v>
      </c>
      <c r="F145" s="1201">
        <v>46157</v>
      </c>
      <c r="G145" s="1201">
        <v>46160</v>
      </c>
      <c r="H145" s="1945"/>
      <c r="I145" s="1948"/>
      <c r="J145" s="1210" t="s">
        <v>29</v>
      </c>
      <c r="K145" s="1211"/>
    </row>
    <row r="146" spans="1:11" ht="15" customHeight="1">
      <c r="A146" s="982">
        <v>143</v>
      </c>
      <c r="B146" s="993" t="s">
        <v>1375</v>
      </c>
      <c r="C146" s="999" t="s">
        <v>48</v>
      </c>
      <c r="D146" s="999" t="s">
        <v>61</v>
      </c>
      <c r="E146" s="1198" t="s">
        <v>1855</v>
      </c>
      <c r="F146" s="1201">
        <v>46140</v>
      </c>
      <c r="G146" s="1201">
        <v>46160</v>
      </c>
      <c r="H146" s="1945"/>
      <c r="I146" s="1948"/>
      <c r="J146" s="1210" t="s">
        <v>29</v>
      </c>
      <c r="K146" s="1211"/>
    </row>
    <row r="147" spans="1:11" ht="15" customHeight="1">
      <c r="A147" s="982">
        <v>144</v>
      </c>
      <c r="B147" s="993" t="s">
        <v>1413</v>
      </c>
      <c r="C147" s="999" t="s">
        <v>32</v>
      </c>
      <c r="D147" s="999" t="s">
        <v>42</v>
      </c>
      <c r="E147" s="509" t="s">
        <v>1888</v>
      </c>
      <c r="F147" s="1201">
        <v>46158</v>
      </c>
      <c r="G147" s="1201">
        <v>46160</v>
      </c>
      <c r="H147" s="1945"/>
      <c r="I147" s="1948"/>
      <c r="J147" s="1210" t="s">
        <v>29</v>
      </c>
      <c r="K147" s="1211"/>
    </row>
    <row r="148" spans="1:11" ht="15" customHeight="1">
      <c r="A148" s="982">
        <v>145</v>
      </c>
      <c r="B148" s="993" t="s">
        <v>1318</v>
      </c>
      <c r="C148" s="999" t="s">
        <v>34</v>
      </c>
      <c r="D148" s="999" t="s">
        <v>42</v>
      </c>
      <c r="E148" s="509" t="s">
        <v>1948</v>
      </c>
      <c r="F148" s="1201">
        <v>46155</v>
      </c>
      <c r="G148" s="1201">
        <v>46162</v>
      </c>
      <c r="H148" s="1945"/>
      <c r="I148" s="1948"/>
      <c r="J148" s="1210" t="s">
        <v>29</v>
      </c>
      <c r="K148" s="1211"/>
    </row>
    <row r="149" spans="1:11" ht="15" customHeight="1">
      <c r="A149" s="982">
        <v>146</v>
      </c>
      <c r="B149" s="993" t="s">
        <v>1233</v>
      </c>
      <c r="C149" s="999" t="s">
        <v>32</v>
      </c>
      <c r="D149" s="999" t="s">
        <v>61</v>
      </c>
      <c r="E149" s="1234" t="s">
        <v>1636</v>
      </c>
      <c r="F149" s="1201">
        <v>46160</v>
      </c>
      <c r="G149" s="1201">
        <v>46163</v>
      </c>
      <c r="H149" s="1945"/>
      <c r="I149" s="1948"/>
      <c r="J149" s="1210" t="s">
        <v>29</v>
      </c>
      <c r="K149" s="1211"/>
    </row>
    <row r="150" spans="1:11" ht="15" customHeight="1">
      <c r="A150" s="982">
        <v>147</v>
      </c>
      <c r="B150" s="993" t="s">
        <v>1307</v>
      </c>
      <c r="C150" s="999" t="s">
        <v>2074</v>
      </c>
      <c r="D150" s="999" t="s">
        <v>42</v>
      </c>
      <c r="E150" s="509" t="s">
        <v>1881</v>
      </c>
      <c r="F150" s="1201">
        <v>46142</v>
      </c>
      <c r="G150" s="1201">
        <v>46163</v>
      </c>
      <c r="H150" s="1945"/>
      <c r="I150" s="1948"/>
      <c r="J150" s="1210" t="s">
        <v>29</v>
      </c>
      <c r="K150" s="1211"/>
    </row>
    <row r="151" spans="1:11" ht="15" customHeight="1">
      <c r="A151" s="982">
        <v>148</v>
      </c>
      <c r="B151" s="993" t="s">
        <v>1389</v>
      </c>
      <c r="C151" s="999" t="s">
        <v>1427</v>
      </c>
      <c r="D151" s="999" t="s">
        <v>61</v>
      </c>
      <c r="E151" s="1234" t="s">
        <v>1891</v>
      </c>
      <c r="F151" s="1201">
        <v>46157</v>
      </c>
      <c r="G151" s="1201">
        <v>46164</v>
      </c>
      <c r="H151" s="1945"/>
      <c r="I151" s="1948"/>
      <c r="J151" s="1210" t="s">
        <v>29</v>
      </c>
      <c r="K151" s="1211"/>
    </row>
    <row r="152" spans="1:11" ht="15" customHeight="1">
      <c r="A152" s="982">
        <v>149</v>
      </c>
      <c r="B152" s="993" t="s">
        <v>1373</v>
      </c>
      <c r="C152" s="999" t="s">
        <v>1941</v>
      </c>
      <c r="D152" s="999" t="s">
        <v>61</v>
      </c>
      <c r="E152" s="1198" t="s">
        <v>1855</v>
      </c>
      <c r="F152" s="1201">
        <v>46162</v>
      </c>
      <c r="G152" s="1201">
        <v>46165</v>
      </c>
      <c r="H152" s="1945"/>
      <c r="I152" s="1948"/>
      <c r="J152" s="1210" t="s">
        <v>29</v>
      </c>
      <c r="K152" s="1211"/>
    </row>
    <row r="153" spans="1:11" ht="15" customHeight="1">
      <c r="A153" s="982">
        <v>150</v>
      </c>
      <c r="B153" s="993" t="s">
        <v>1312</v>
      </c>
      <c r="C153" s="999" t="s">
        <v>1911</v>
      </c>
      <c r="D153" s="999" t="s">
        <v>61</v>
      </c>
      <c r="E153" s="509" t="s">
        <v>1958</v>
      </c>
      <c r="F153" s="1201">
        <v>46155</v>
      </c>
      <c r="G153" s="1201">
        <v>46166</v>
      </c>
      <c r="H153" s="1945"/>
      <c r="I153" s="1948"/>
      <c r="J153" s="1210" t="s">
        <v>29</v>
      </c>
      <c r="K153" s="1211"/>
    </row>
    <row r="154" spans="1:11" ht="15" customHeight="1">
      <c r="A154" s="982">
        <v>151</v>
      </c>
      <c r="B154" s="993" t="s">
        <v>1320</v>
      </c>
      <c r="C154" s="999" t="s">
        <v>1911</v>
      </c>
      <c r="D154" s="999" t="s">
        <v>61</v>
      </c>
      <c r="E154" s="509" t="s">
        <v>1948</v>
      </c>
      <c r="F154" s="1201">
        <v>46136</v>
      </c>
      <c r="G154" s="1201">
        <v>46166</v>
      </c>
      <c r="H154" s="1945"/>
      <c r="I154" s="1948"/>
      <c r="J154" s="1210" t="s">
        <v>29</v>
      </c>
      <c r="K154" s="1211"/>
    </row>
    <row r="155" spans="1:11" ht="15" customHeight="1">
      <c r="A155" s="982">
        <v>152</v>
      </c>
      <c r="B155" s="993" t="s">
        <v>1232</v>
      </c>
      <c r="C155" s="999" t="s">
        <v>1181</v>
      </c>
      <c r="D155" s="999" t="s">
        <v>61</v>
      </c>
      <c r="E155" s="1234" t="s">
        <v>1636</v>
      </c>
      <c r="F155" s="1201">
        <v>46160</v>
      </c>
      <c r="G155" s="1201">
        <v>46166</v>
      </c>
      <c r="H155" s="1945"/>
      <c r="I155" s="1948"/>
      <c r="J155" s="1210" t="s">
        <v>29</v>
      </c>
      <c r="K155" s="1211"/>
    </row>
    <row r="156" spans="1:11" ht="15" customHeight="1">
      <c r="A156" s="982">
        <v>153</v>
      </c>
      <c r="B156" s="993" t="s">
        <v>1412</v>
      </c>
      <c r="C156" s="999" t="s">
        <v>43</v>
      </c>
      <c r="D156" s="999" t="s">
        <v>42</v>
      </c>
      <c r="E156" s="509" t="s">
        <v>1888</v>
      </c>
      <c r="F156" s="1201">
        <v>46164</v>
      </c>
      <c r="G156" s="1201">
        <v>46168</v>
      </c>
      <c r="H156" s="1945"/>
      <c r="I156" s="1948"/>
      <c r="J156" s="1210" t="s">
        <v>29</v>
      </c>
      <c r="K156" s="1211"/>
    </row>
    <row r="157" spans="1:11" ht="15" customHeight="1">
      <c r="A157" s="982">
        <v>154</v>
      </c>
      <c r="B157" s="993" t="s">
        <v>1433</v>
      </c>
      <c r="C157" s="999" t="s">
        <v>1427</v>
      </c>
      <c r="D157" s="999" t="s">
        <v>61</v>
      </c>
      <c r="E157" s="1234" t="s">
        <v>1891</v>
      </c>
      <c r="F157" s="1201">
        <v>46167</v>
      </c>
      <c r="G157" s="1201">
        <v>46169</v>
      </c>
      <c r="H157" s="1945"/>
      <c r="I157" s="1948"/>
      <c r="J157" s="1210" t="s">
        <v>29</v>
      </c>
      <c r="K157" s="1211"/>
    </row>
    <row r="158" spans="1:11" ht="15" customHeight="1">
      <c r="A158" s="982">
        <v>155</v>
      </c>
      <c r="B158" s="993" t="s">
        <v>1366</v>
      </c>
      <c r="C158" s="999" t="s">
        <v>1425</v>
      </c>
      <c r="D158" s="999" t="s">
        <v>61</v>
      </c>
      <c r="E158" s="1198" t="s">
        <v>1855</v>
      </c>
      <c r="F158" s="1201">
        <v>46162</v>
      </c>
      <c r="G158" s="1201">
        <v>46169</v>
      </c>
      <c r="H158" s="1945"/>
      <c r="I158" s="1948"/>
      <c r="J158" s="1210" t="s">
        <v>29</v>
      </c>
      <c r="K158" s="1211"/>
    </row>
    <row r="159" spans="1:11" ht="15" customHeight="1">
      <c r="A159" s="982">
        <v>156</v>
      </c>
      <c r="B159" s="993" t="s">
        <v>1319</v>
      </c>
      <c r="C159" s="999" t="s">
        <v>2073</v>
      </c>
      <c r="D159" s="999" t="s">
        <v>61</v>
      </c>
      <c r="E159" s="509" t="s">
        <v>1948</v>
      </c>
      <c r="F159" s="1201">
        <v>46136</v>
      </c>
      <c r="G159" s="1201">
        <v>46172</v>
      </c>
      <c r="H159" s="1945"/>
      <c r="I159" s="1948"/>
      <c r="J159" s="1210" t="s">
        <v>29</v>
      </c>
      <c r="K159" s="1211"/>
    </row>
    <row r="160" spans="1:11" ht="15" customHeight="1">
      <c r="A160" s="982">
        <v>157</v>
      </c>
      <c r="B160" s="993" t="s">
        <v>1712</v>
      </c>
      <c r="C160" s="999" t="s">
        <v>48</v>
      </c>
      <c r="D160" s="999" t="s">
        <v>61</v>
      </c>
      <c r="E160" s="1234" t="s">
        <v>1636</v>
      </c>
      <c r="F160" s="1201">
        <v>46168</v>
      </c>
      <c r="G160" s="1201">
        <v>46172</v>
      </c>
      <c r="H160" s="1945"/>
      <c r="I160" s="1948"/>
      <c r="J160" s="1210" t="s">
        <v>29</v>
      </c>
      <c r="K160" s="1211"/>
    </row>
    <row r="161" spans="1:11" ht="15" customHeight="1">
      <c r="A161" s="982">
        <v>158</v>
      </c>
      <c r="B161" s="993" t="s">
        <v>1273</v>
      </c>
      <c r="C161" s="999" t="s">
        <v>2073</v>
      </c>
      <c r="D161" s="999" t="s">
        <v>61</v>
      </c>
      <c r="E161" s="509" t="s">
        <v>2071</v>
      </c>
      <c r="F161" s="1201">
        <v>46158</v>
      </c>
      <c r="G161" s="1201">
        <v>46173</v>
      </c>
      <c r="H161" s="1945"/>
      <c r="I161" s="1948"/>
      <c r="J161" s="1210" t="s">
        <v>29</v>
      </c>
      <c r="K161" s="1211"/>
    </row>
    <row r="162" spans="1:11" ht="15" customHeight="1">
      <c r="A162" s="982">
        <v>159</v>
      </c>
      <c r="B162" s="993" t="s">
        <v>1392</v>
      </c>
      <c r="C162" s="999" t="s">
        <v>1175</v>
      </c>
      <c r="D162" s="999" t="s">
        <v>61</v>
      </c>
      <c r="E162" s="1234" t="s">
        <v>1891</v>
      </c>
      <c r="F162" s="1201">
        <v>46168</v>
      </c>
      <c r="G162" s="1201">
        <v>46173</v>
      </c>
      <c r="H162" s="1945"/>
      <c r="I162" s="1948"/>
      <c r="J162" s="1210" t="s">
        <v>29</v>
      </c>
      <c r="K162" s="1211"/>
    </row>
    <row r="163" spans="1:11" ht="15" customHeight="1">
      <c r="A163" s="982">
        <v>160</v>
      </c>
      <c r="B163" s="993" t="s">
        <v>1711</v>
      </c>
      <c r="C163" s="999" t="s">
        <v>1175</v>
      </c>
      <c r="D163" s="999" t="s">
        <v>61</v>
      </c>
      <c r="E163" s="1234" t="s">
        <v>1636</v>
      </c>
      <c r="F163" s="1201">
        <v>46168</v>
      </c>
      <c r="G163" s="1201">
        <v>46173</v>
      </c>
      <c r="H163" s="1945"/>
      <c r="I163" s="1948"/>
      <c r="J163" s="1210" t="s">
        <v>29</v>
      </c>
      <c r="K163" s="1211"/>
    </row>
    <row r="164" spans="1:11" ht="15" customHeight="1">
      <c r="A164" s="982">
        <v>161</v>
      </c>
      <c r="B164" s="993" t="s">
        <v>1313</v>
      </c>
      <c r="C164" s="999" t="s">
        <v>32</v>
      </c>
      <c r="D164" s="999" t="s">
        <v>61</v>
      </c>
      <c r="E164" s="509" t="s">
        <v>1958</v>
      </c>
      <c r="F164" s="1201">
        <v>46165</v>
      </c>
      <c r="G164" s="1201">
        <v>46173</v>
      </c>
      <c r="H164" s="1945"/>
      <c r="I164" s="1948"/>
      <c r="J164" s="1210" t="s">
        <v>29</v>
      </c>
      <c r="K164" s="1211"/>
    </row>
    <row r="165" spans="1:11" ht="15" customHeight="1">
      <c r="A165" s="982">
        <v>162</v>
      </c>
      <c r="B165" s="993" t="s">
        <v>1304</v>
      </c>
      <c r="C165" s="999" t="s">
        <v>2075</v>
      </c>
      <c r="D165" s="999" t="s">
        <v>61</v>
      </c>
      <c r="E165" s="509" t="s">
        <v>1948</v>
      </c>
      <c r="F165" s="1201">
        <v>46170</v>
      </c>
      <c r="G165" s="1201">
        <v>46173</v>
      </c>
      <c r="H165" s="1945"/>
      <c r="I165" s="1948"/>
      <c r="J165" s="1210" t="s">
        <v>29</v>
      </c>
      <c r="K165" s="1211"/>
    </row>
    <row r="166" spans="1:11" ht="15" customHeight="1">
      <c r="A166" s="982">
        <v>163</v>
      </c>
      <c r="B166" s="993" t="s">
        <v>1396</v>
      </c>
      <c r="C166" s="999" t="s">
        <v>34</v>
      </c>
      <c r="D166" s="999" t="s">
        <v>42</v>
      </c>
      <c r="E166" s="1234" t="s">
        <v>1891</v>
      </c>
      <c r="F166" s="1201">
        <v>46170</v>
      </c>
      <c r="G166" s="1201">
        <v>46173</v>
      </c>
      <c r="H166" s="1946"/>
      <c r="I166" s="1949"/>
      <c r="J166" s="1210" t="s">
        <v>29</v>
      </c>
      <c r="K166" s="1211"/>
    </row>
    <row r="167" spans="1:11" ht="15" customHeight="1">
      <c r="A167" s="1165"/>
      <c r="B167" s="993"/>
      <c r="C167" s="993"/>
      <c r="D167" s="993"/>
      <c r="E167" s="1017"/>
      <c r="F167" s="504"/>
      <c r="G167" s="1168"/>
      <c r="H167" s="1166"/>
      <c r="I167" s="1167"/>
      <c r="J167" s="690"/>
      <c r="K167" s="689"/>
    </row>
    <row r="168" spans="1:11" ht="15" customHeight="1">
      <c r="A168" s="1165"/>
      <c r="B168" s="993"/>
      <c r="C168" s="993"/>
      <c r="D168" s="993"/>
      <c r="E168" s="1017"/>
      <c r="F168" s="504"/>
      <c r="G168" s="1168"/>
      <c r="H168" s="1166"/>
      <c r="I168" s="1167"/>
      <c r="J168" s="690"/>
      <c r="K168" s="689"/>
    </row>
    <row r="169" spans="1:11" ht="15" customHeight="1">
      <c r="A169" s="1165"/>
      <c r="B169" s="993"/>
      <c r="C169" s="993"/>
      <c r="D169" s="993"/>
      <c r="E169" s="1017"/>
      <c r="F169" s="504"/>
      <c r="G169" s="1168"/>
      <c r="H169" s="1166"/>
      <c r="I169" s="1167"/>
      <c r="J169" s="690"/>
      <c r="K169" s="689"/>
    </row>
    <row r="170" spans="1:11" ht="15" customHeight="1">
      <c r="A170" s="1165"/>
      <c r="B170" s="993"/>
      <c r="C170" s="993"/>
      <c r="D170" s="993"/>
      <c r="E170" s="1017"/>
      <c r="F170" s="504"/>
      <c r="G170" s="1168"/>
      <c r="H170" s="1166"/>
      <c r="I170" s="1167"/>
      <c r="J170" s="690"/>
      <c r="K170" s="689"/>
    </row>
    <row r="171" spans="1:11" ht="15" customHeight="1">
      <c r="A171" s="1165"/>
      <c r="B171" s="993"/>
      <c r="C171" s="993"/>
      <c r="D171" s="993"/>
      <c r="E171" s="1017"/>
      <c r="F171" s="504"/>
      <c r="G171" s="1168"/>
      <c r="H171" s="1166"/>
      <c r="I171" s="1167"/>
      <c r="J171" s="690"/>
      <c r="K171" s="689"/>
    </row>
    <row r="172" spans="1:11" ht="15" customHeight="1">
      <c r="A172" s="1165"/>
      <c r="B172" s="993"/>
      <c r="C172" s="993"/>
      <c r="D172" s="993"/>
      <c r="E172" s="1017"/>
      <c r="F172" s="504"/>
      <c r="G172" s="1168"/>
      <c r="H172" s="1166"/>
      <c r="I172" s="1167"/>
      <c r="J172" s="690"/>
      <c r="K172" s="689"/>
    </row>
    <row r="173" spans="1:11" ht="15" customHeight="1">
      <c r="A173" s="1165"/>
      <c r="B173" s="993"/>
      <c r="C173" s="993"/>
      <c r="D173" s="993"/>
      <c r="E173" s="1017"/>
      <c r="F173" s="504"/>
      <c r="G173" s="1168"/>
      <c r="H173" s="1166"/>
      <c r="I173" s="1167"/>
      <c r="J173" s="690"/>
      <c r="K173" s="689"/>
    </row>
    <row r="174" spans="1:11" ht="15" customHeight="1">
      <c r="A174" s="1165"/>
      <c r="B174" s="993"/>
      <c r="C174" s="993"/>
      <c r="D174" s="993"/>
      <c r="E174" s="1017"/>
      <c r="F174" s="504"/>
      <c r="G174" s="1168"/>
      <c r="H174" s="1166"/>
      <c r="I174" s="1167"/>
      <c r="J174" s="690"/>
      <c r="K174" s="689"/>
    </row>
    <row r="175" spans="1:11" ht="15" customHeight="1">
      <c r="A175" s="1165"/>
      <c r="B175" s="993"/>
      <c r="C175" s="993"/>
      <c r="D175" s="993"/>
      <c r="E175" s="1017"/>
      <c r="F175" s="504"/>
      <c r="G175" s="1168"/>
      <c r="H175" s="1166"/>
      <c r="I175" s="1167"/>
      <c r="J175" s="690"/>
      <c r="K175" s="689"/>
    </row>
    <row r="176" spans="1:11" ht="15" customHeight="1">
      <c r="A176" s="1165"/>
      <c r="B176" s="993"/>
      <c r="C176" s="993"/>
      <c r="D176" s="993"/>
      <c r="E176" s="1017"/>
      <c r="F176" s="504"/>
      <c r="G176" s="1168"/>
      <c r="H176" s="1166"/>
      <c r="I176" s="1167"/>
      <c r="J176" s="690"/>
      <c r="K176" s="689"/>
    </row>
    <row r="177" spans="1:11" ht="15" customHeight="1">
      <c r="A177" s="1165"/>
      <c r="B177" s="993"/>
      <c r="C177" s="993"/>
      <c r="D177" s="993"/>
      <c r="E177" s="1017"/>
      <c r="F177" s="504"/>
      <c r="G177" s="1168"/>
      <c r="H177" s="1166"/>
      <c r="I177" s="1167"/>
      <c r="J177" s="690"/>
      <c r="K177" s="689"/>
    </row>
    <row r="178" spans="1:11" ht="15" customHeight="1">
      <c r="A178" s="1165"/>
      <c r="B178" s="993"/>
      <c r="C178" s="993"/>
      <c r="D178" s="993"/>
      <c r="E178" s="1017"/>
      <c r="F178" s="504"/>
      <c r="G178" s="1168"/>
      <c r="H178" s="1166"/>
      <c r="I178" s="1167"/>
      <c r="J178" s="690"/>
      <c r="K178" s="689"/>
    </row>
    <row r="179" spans="1:11" ht="15" customHeight="1">
      <c r="A179" s="1165"/>
      <c r="B179" s="993"/>
      <c r="C179" s="993"/>
      <c r="D179" s="993"/>
      <c r="E179" s="1017"/>
      <c r="F179" s="504"/>
      <c r="G179" s="1168"/>
      <c r="H179" s="1166"/>
      <c r="I179" s="1167"/>
      <c r="J179" s="690"/>
      <c r="K179" s="689"/>
    </row>
    <row r="180" spans="1:11" ht="15" customHeight="1">
      <c r="A180" s="1105"/>
      <c r="B180" s="993"/>
      <c r="C180" s="993"/>
      <c r="D180" s="993"/>
      <c r="E180" s="1017"/>
      <c r="F180" s="504"/>
      <c r="G180" s="1110"/>
      <c r="H180" s="1108"/>
      <c r="I180" s="1109"/>
      <c r="J180" s="690"/>
      <c r="K180" s="689"/>
    </row>
    <row r="181" spans="1:11" ht="15" customHeight="1">
      <c r="A181" s="1105"/>
      <c r="B181" s="1105"/>
      <c r="C181" s="1105"/>
      <c r="D181" s="1105"/>
      <c r="E181" s="1105"/>
      <c r="F181" s="1105"/>
      <c r="G181" s="1105"/>
      <c r="H181" s="1105"/>
      <c r="I181" s="1105"/>
      <c r="J181" s="1105"/>
      <c r="K181" s="1105"/>
    </row>
    <row r="182" spans="1:11" ht="15" customHeight="1">
      <c r="A182" s="1105"/>
      <c r="B182" s="1105"/>
      <c r="C182" s="1105"/>
      <c r="D182" s="1105"/>
      <c r="E182" s="1105"/>
      <c r="F182" s="1105"/>
      <c r="G182" s="1105"/>
      <c r="H182" s="1105"/>
      <c r="I182" s="1105"/>
      <c r="J182" s="1105"/>
      <c r="K182" s="1105"/>
    </row>
    <row r="183" spans="1:11" ht="22.5" customHeight="1">
      <c r="A183" s="1916" t="s">
        <v>86</v>
      </c>
      <c r="B183" s="1917"/>
      <c r="C183" s="1917"/>
      <c r="D183" s="1917"/>
      <c r="E183" s="1917"/>
      <c r="F183" s="1917"/>
      <c r="G183" s="1917"/>
      <c r="H183" s="1917"/>
      <c r="I183" s="1917"/>
      <c r="J183" s="1917"/>
      <c r="K183" s="1918"/>
    </row>
    <row r="184" spans="1:11" ht="26.45" customHeight="1">
      <c r="A184" s="755" t="s">
        <v>25</v>
      </c>
      <c r="B184" s="756" t="s">
        <v>551</v>
      </c>
      <c r="C184" s="755" t="s">
        <v>38</v>
      </c>
      <c r="D184" s="756" t="s">
        <v>37</v>
      </c>
      <c r="E184" s="755" t="s">
        <v>36</v>
      </c>
      <c r="F184" s="755" t="s">
        <v>1658</v>
      </c>
      <c r="G184" s="755" t="s">
        <v>1659</v>
      </c>
      <c r="H184" s="755" t="s">
        <v>1594</v>
      </c>
      <c r="I184" s="755" t="s">
        <v>1660</v>
      </c>
      <c r="J184" s="755" t="s">
        <v>35</v>
      </c>
      <c r="K184" s="755" t="s">
        <v>2</v>
      </c>
    </row>
    <row r="185" spans="1:11" ht="18" customHeight="1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>
        <f>COUNTIF(J186:J206,"Completed")</f>
        <v>21</v>
      </c>
      <c r="K185" s="695"/>
    </row>
    <row r="186" spans="1:11" ht="15.75" customHeight="1">
      <c r="A186" s="687">
        <v>1</v>
      </c>
      <c r="B186" s="687" t="s">
        <v>198</v>
      </c>
      <c r="C186" s="687" t="s">
        <v>34</v>
      </c>
      <c r="D186" s="687" t="s">
        <v>31</v>
      </c>
      <c r="E186" s="692" t="s">
        <v>30</v>
      </c>
      <c r="F186" s="692">
        <v>45909</v>
      </c>
      <c r="G186" s="692">
        <v>45918</v>
      </c>
      <c r="H186" s="1919" t="s">
        <v>1596</v>
      </c>
      <c r="I186" s="1919">
        <v>2</v>
      </c>
      <c r="J186" s="694" t="s">
        <v>33</v>
      </c>
      <c r="K186" s="692"/>
    </row>
    <row r="187" spans="1:11" ht="15.75" customHeight="1">
      <c r="A187" s="687">
        <v>2</v>
      </c>
      <c r="B187" s="687" t="s">
        <v>186</v>
      </c>
      <c r="C187" s="687" t="s">
        <v>32</v>
      </c>
      <c r="D187" s="687" t="s">
        <v>31</v>
      </c>
      <c r="E187" s="692" t="s">
        <v>30</v>
      </c>
      <c r="F187" s="692">
        <v>45918</v>
      </c>
      <c r="G187" s="692">
        <v>45923</v>
      </c>
      <c r="H187" s="1920"/>
      <c r="I187" s="1920"/>
      <c r="J187" s="694" t="s">
        <v>29</v>
      </c>
      <c r="K187" s="692"/>
    </row>
    <row r="188" spans="1:11" ht="18" customHeight="1">
      <c r="A188" s="687">
        <v>3</v>
      </c>
      <c r="B188" s="687" t="s">
        <v>602</v>
      </c>
      <c r="C188" s="687" t="s">
        <v>603</v>
      </c>
      <c r="D188" s="687" t="s">
        <v>31</v>
      </c>
      <c r="E188" s="692" t="s">
        <v>1076</v>
      </c>
      <c r="F188" s="692">
        <v>45968</v>
      </c>
      <c r="G188" s="692">
        <v>45972</v>
      </c>
      <c r="H188" s="1919" t="s">
        <v>1597</v>
      </c>
      <c r="I188" s="1919">
        <v>5</v>
      </c>
      <c r="J188" s="694" t="s">
        <v>29</v>
      </c>
      <c r="K188" s="692"/>
    </row>
    <row r="189" spans="1:11" ht="18" customHeight="1">
      <c r="A189" s="687">
        <v>4</v>
      </c>
      <c r="B189" s="687" t="s">
        <v>64</v>
      </c>
      <c r="C189" s="687" t="s">
        <v>586</v>
      </c>
      <c r="D189" s="687" t="s">
        <v>31</v>
      </c>
      <c r="E189" s="692" t="s">
        <v>1076</v>
      </c>
      <c r="F189" s="692">
        <v>45970</v>
      </c>
      <c r="G189" s="692">
        <v>45977</v>
      </c>
      <c r="H189" s="1938"/>
      <c r="I189" s="1938"/>
      <c r="J189" s="694" t="s">
        <v>29</v>
      </c>
      <c r="K189" s="692"/>
    </row>
    <row r="190" spans="1:11" ht="18" customHeight="1">
      <c r="A190" s="687">
        <v>5</v>
      </c>
      <c r="B190" s="687" t="s">
        <v>598</v>
      </c>
      <c r="C190" s="687" t="s">
        <v>582</v>
      </c>
      <c r="D190" s="687" t="s">
        <v>31</v>
      </c>
      <c r="E190" s="692" t="s">
        <v>1076</v>
      </c>
      <c r="F190" s="692">
        <v>45977</v>
      </c>
      <c r="G190" s="692">
        <v>45981</v>
      </c>
      <c r="H190" s="1938"/>
      <c r="I190" s="1938"/>
      <c r="J190" s="694" t="s">
        <v>29</v>
      </c>
      <c r="K190" s="692"/>
    </row>
    <row r="191" spans="1:11" ht="18" customHeight="1">
      <c r="A191" s="687">
        <v>6</v>
      </c>
      <c r="B191" s="687" t="s">
        <v>621</v>
      </c>
      <c r="C191" s="687" t="s">
        <v>582</v>
      </c>
      <c r="D191" s="687" t="s">
        <v>42</v>
      </c>
      <c r="E191" s="692" t="s">
        <v>1076</v>
      </c>
      <c r="F191" s="692">
        <v>45977</v>
      </c>
      <c r="G191" s="692">
        <v>45985</v>
      </c>
      <c r="H191" s="1938"/>
      <c r="I191" s="1938"/>
      <c r="J191" s="694" t="s">
        <v>29</v>
      </c>
      <c r="K191" s="692"/>
    </row>
    <row r="192" spans="1:11" ht="18" customHeight="1">
      <c r="A192" s="687">
        <v>7</v>
      </c>
      <c r="B192" s="687" t="s">
        <v>66</v>
      </c>
      <c r="C192" s="687" t="s">
        <v>586</v>
      </c>
      <c r="D192" s="687" t="s">
        <v>42</v>
      </c>
      <c r="E192" s="692" t="s">
        <v>1076</v>
      </c>
      <c r="F192" s="692">
        <v>45985</v>
      </c>
      <c r="G192" s="692">
        <v>45991</v>
      </c>
      <c r="H192" s="1938"/>
      <c r="I192" s="1938"/>
      <c r="J192" s="694" t="s">
        <v>29</v>
      </c>
      <c r="K192" s="692"/>
    </row>
    <row r="193" spans="1:11" ht="18" customHeight="1">
      <c r="A193" s="687">
        <v>8</v>
      </c>
      <c r="B193" s="687" t="s">
        <v>616</v>
      </c>
      <c r="C193" s="687" t="s">
        <v>582</v>
      </c>
      <c r="D193" s="687" t="s">
        <v>42</v>
      </c>
      <c r="E193" s="692" t="s">
        <v>1076</v>
      </c>
      <c r="F193" s="692">
        <v>45992</v>
      </c>
      <c r="G193" s="693">
        <v>45994</v>
      </c>
      <c r="H193" s="1924" t="s">
        <v>1595</v>
      </c>
      <c r="I193" s="1924">
        <v>5</v>
      </c>
      <c r="J193" s="696" t="s">
        <v>29</v>
      </c>
      <c r="K193" s="692"/>
    </row>
    <row r="194" spans="1:11" ht="18" customHeight="1">
      <c r="A194" s="687">
        <v>9</v>
      </c>
      <c r="B194" s="687" t="s">
        <v>230</v>
      </c>
      <c r="C194" s="687" t="s">
        <v>582</v>
      </c>
      <c r="D194" s="687" t="s">
        <v>42</v>
      </c>
      <c r="E194" s="692" t="s">
        <v>1076</v>
      </c>
      <c r="F194" s="692">
        <f>G193</f>
        <v>45994</v>
      </c>
      <c r="G194" s="693">
        <v>45998</v>
      </c>
      <c r="H194" s="1924"/>
      <c r="I194" s="1924"/>
      <c r="J194" s="696" t="s">
        <v>29</v>
      </c>
      <c r="K194" s="692"/>
    </row>
    <row r="195" spans="1:11" ht="18" customHeight="1">
      <c r="A195" s="687">
        <v>10</v>
      </c>
      <c r="B195" s="687" t="s">
        <v>234</v>
      </c>
      <c r="C195" s="687" t="s">
        <v>32</v>
      </c>
      <c r="D195" s="687" t="s">
        <v>42</v>
      </c>
      <c r="E195" s="692" t="s">
        <v>1076</v>
      </c>
      <c r="F195" s="692">
        <f>G194</f>
        <v>45998</v>
      </c>
      <c r="G195" s="693">
        <v>46002</v>
      </c>
      <c r="H195" s="1924"/>
      <c r="I195" s="1924"/>
      <c r="J195" s="696" t="s">
        <v>29</v>
      </c>
      <c r="K195" s="692"/>
    </row>
    <row r="196" spans="1:11" ht="18" customHeight="1">
      <c r="A196" s="687">
        <v>11</v>
      </c>
      <c r="B196" s="687" t="s">
        <v>637</v>
      </c>
      <c r="C196" s="687" t="s">
        <v>591</v>
      </c>
      <c r="D196" s="687" t="s">
        <v>42</v>
      </c>
      <c r="E196" s="692" t="s">
        <v>1076</v>
      </c>
      <c r="F196" s="692">
        <f>G195</f>
        <v>46002</v>
      </c>
      <c r="G196" s="693">
        <v>46006</v>
      </c>
      <c r="H196" s="1924"/>
      <c r="I196" s="1924"/>
      <c r="J196" s="696" t="s">
        <v>29</v>
      </c>
      <c r="K196" s="692"/>
    </row>
    <row r="197" spans="1:11" ht="18" customHeight="1">
      <c r="A197" s="1107">
        <v>12</v>
      </c>
      <c r="B197" s="1107" t="s">
        <v>239</v>
      </c>
      <c r="C197" s="1107" t="s">
        <v>591</v>
      </c>
      <c r="D197" s="1107" t="s">
        <v>42</v>
      </c>
      <c r="E197" s="691" t="s">
        <v>1076</v>
      </c>
      <c r="F197" s="691">
        <f>G196</f>
        <v>46006</v>
      </c>
      <c r="G197" s="1133">
        <v>46015</v>
      </c>
      <c r="H197" s="1937"/>
      <c r="I197" s="1937"/>
      <c r="J197" s="984" t="s">
        <v>29</v>
      </c>
      <c r="K197" s="697"/>
    </row>
    <row r="198" spans="1:11" ht="18" customHeight="1">
      <c r="A198" s="1105">
        <v>13</v>
      </c>
      <c r="B198" s="1105" t="s">
        <v>213</v>
      </c>
      <c r="C198" s="1105" t="s">
        <v>57</v>
      </c>
      <c r="D198" s="1105" t="s">
        <v>42</v>
      </c>
      <c r="E198" s="1110" t="s">
        <v>1076</v>
      </c>
      <c r="F198" s="1110">
        <v>46125</v>
      </c>
      <c r="G198" s="1110">
        <v>46137</v>
      </c>
      <c r="H198" s="1933">
        <v>46113</v>
      </c>
      <c r="I198" s="1924">
        <v>3</v>
      </c>
      <c r="J198" s="690" t="s">
        <v>29</v>
      </c>
      <c r="K198" s="697"/>
    </row>
    <row r="199" spans="1:11" ht="18" customHeight="1">
      <c r="A199" s="1105">
        <v>14</v>
      </c>
      <c r="B199" s="74" t="s">
        <v>65</v>
      </c>
      <c r="C199" s="74" t="s">
        <v>573</v>
      </c>
      <c r="D199" s="1105" t="s">
        <v>31</v>
      </c>
      <c r="E199" s="1110" t="s">
        <v>1076</v>
      </c>
      <c r="F199" s="1110">
        <f>G198</f>
        <v>46137</v>
      </c>
      <c r="G199" s="1110">
        <v>46142</v>
      </c>
      <c r="H199" s="1933"/>
      <c r="I199" s="1924"/>
      <c r="J199" s="690" t="s">
        <v>29</v>
      </c>
      <c r="K199" s="1110"/>
    </row>
    <row r="200" spans="1:11" ht="18" customHeight="1">
      <c r="A200" s="1105">
        <v>15</v>
      </c>
      <c r="B200" s="1105" t="s">
        <v>224</v>
      </c>
      <c r="C200" s="74" t="s">
        <v>573</v>
      </c>
      <c r="D200" s="1105" t="s">
        <v>42</v>
      </c>
      <c r="E200" s="1110" t="s">
        <v>2047</v>
      </c>
      <c r="F200" s="1110">
        <v>46132</v>
      </c>
      <c r="G200" s="1110">
        <v>46142</v>
      </c>
      <c r="H200" s="1933"/>
      <c r="I200" s="1924"/>
      <c r="J200" s="690" t="s">
        <v>29</v>
      </c>
      <c r="K200" s="1110"/>
    </row>
    <row r="201" spans="1:11" ht="18" customHeight="1">
      <c r="A201" s="1197">
        <v>16</v>
      </c>
      <c r="B201" s="1199" t="s">
        <v>152</v>
      </c>
      <c r="C201" s="1199" t="s">
        <v>658</v>
      </c>
      <c r="D201" s="1198" t="s">
        <v>42</v>
      </c>
      <c r="E201" s="1200" t="s">
        <v>30</v>
      </c>
      <c r="F201" s="1200">
        <v>46140</v>
      </c>
      <c r="G201" s="1200">
        <v>46148</v>
      </c>
      <c r="H201" s="1937" t="s">
        <v>2144</v>
      </c>
      <c r="I201" s="1937">
        <v>6</v>
      </c>
      <c r="J201" s="690" t="s">
        <v>29</v>
      </c>
      <c r="K201" s="1200"/>
    </row>
    <row r="202" spans="1:11" ht="18" customHeight="1">
      <c r="A202" s="1197">
        <v>17</v>
      </c>
      <c r="B202" s="1199" t="s">
        <v>68</v>
      </c>
      <c r="C202" s="1199" t="s">
        <v>1426</v>
      </c>
      <c r="D202" s="1198" t="s">
        <v>61</v>
      </c>
      <c r="E202" s="1200" t="s">
        <v>30</v>
      </c>
      <c r="F202" s="1200">
        <v>46148</v>
      </c>
      <c r="G202" s="1200">
        <v>46155</v>
      </c>
      <c r="H202" s="1942"/>
      <c r="I202" s="1942"/>
      <c r="J202" s="690" t="s">
        <v>29</v>
      </c>
      <c r="K202" s="1200"/>
    </row>
    <row r="203" spans="1:11" ht="18" customHeight="1">
      <c r="A203" s="1197">
        <v>18</v>
      </c>
      <c r="B203" s="1199" t="s">
        <v>56</v>
      </c>
      <c r="C203" s="1199" t="s">
        <v>1427</v>
      </c>
      <c r="D203" s="1198" t="s">
        <v>42</v>
      </c>
      <c r="E203" s="1200" t="s">
        <v>30</v>
      </c>
      <c r="F203" s="1200">
        <f>G201+10</f>
        <v>46158</v>
      </c>
      <c r="G203" s="1200">
        <v>46165</v>
      </c>
      <c r="H203" s="1942"/>
      <c r="I203" s="1942"/>
      <c r="J203" s="690" t="s">
        <v>29</v>
      </c>
      <c r="K203" s="1200"/>
    </row>
    <row r="204" spans="1:11" ht="18" customHeight="1">
      <c r="A204" s="1197">
        <v>19</v>
      </c>
      <c r="B204" s="1199" t="s">
        <v>147</v>
      </c>
      <c r="C204" s="1199" t="s">
        <v>1583</v>
      </c>
      <c r="D204" s="1198" t="s">
        <v>61</v>
      </c>
      <c r="E204" s="1200" t="s">
        <v>30</v>
      </c>
      <c r="F204" s="1200">
        <v>46156</v>
      </c>
      <c r="G204" s="1200">
        <v>46170</v>
      </c>
      <c r="H204" s="1942"/>
      <c r="I204" s="1942"/>
      <c r="J204" s="690" t="s">
        <v>29</v>
      </c>
      <c r="K204" s="1200"/>
    </row>
    <row r="205" spans="1:11" ht="18" customHeight="1">
      <c r="A205" s="1197">
        <v>20</v>
      </c>
      <c r="B205" s="1199" t="s">
        <v>141</v>
      </c>
      <c r="C205" s="1199" t="s">
        <v>1583</v>
      </c>
      <c r="D205" s="1198" t="s">
        <v>61</v>
      </c>
      <c r="E205" s="1200" t="s">
        <v>30</v>
      </c>
      <c r="F205" s="1200">
        <v>46167</v>
      </c>
      <c r="G205" s="1200">
        <v>46173</v>
      </c>
      <c r="H205" s="1942"/>
      <c r="I205" s="1942"/>
      <c r="J205" s="690" t="s">
        <v>29</v>
      </c>
      <c r="K205" s="1200"/>
    </row>
    <row r="206" spans="1:11" ht="18" customHeight="1">
      <c r="A206" s="1198">
        <v>21</v>
      </c>
      <c r="B206" s="1198" t="s">
        <v>181</v>
      </c>
      <c r="C206" s="1198" t="s">
        <v>53</v>
      </c>
      <c r="D206" s="1198" t="s">
        <v>42</v>
      </c>
      <c r="E206" s="1200" t="s">
        <v>30</v>
      </c>
      <c r="F206" s="1200">
        <v>46168</v>
      </c>
      <c r="G206" s="1200">
        <v>46173</v>
      </c>
      <c r="H206" s="1943"/>
      <c r="I206" s="1943"/>
      <c r="J206" s="690" t="s">
        <v>29</v>
      </c>
      <c r="K206" s="1200"/>
    </row>
    <row r="207" spans="1:11" ht="18" customHeight="1">
      <c r="A207" s="1205"/>
      <c r="B207" s="1205"/>
      <c r="C207" s="1206"/>
      <c r="D207" s="1205"/>
      <c r="E207" s="1207"/>
      <c r="F207" s="1207"/>
      <c r="G207" s="1207"/>
      <c r="H207" s="1208"/>
      <c r="I207" s="1205"/>
      <c r="J207" s="1209"/>
      <c r="K207" s="1207"/>
    </row>
    <row r="208" spans="1:11" ht="18" customHeight="1">
      <c r="A208" s="1205"/>
      <c r="B208" s="1205"/>
      <c r="C208" s="1206"/>
      <c r="D208" s="1205"/>
      <c r="E208" s="1207"/>
      <c r="F208" s="1207"/>
      <c r="G208" s="1207"/>
      <c r="H208" s="1208"/>
      <c r="I208" s="1205"/>
      <c r="J208" s="1209"/>
      <c r="K208" s="1207"/>
    </row>
    <row r="209" spans="1:11" ht="18" customHeight="1">
      <c r="A209" s="1205"/>
      <c r="B209" s="1205"/>
      <c r="C209" s="1206"/>
      <c r="D209" s="1205"/>
      <c r="E209" s="1207"/>
      <c r="F209" s="1207"/>
      <c r="G209" s="1207"/>
      <c r="H209" s="1208"/>
      <c r="I209" s="1205"/>
      <c r="J209" s="1209"/>
      <c r="K209" s="1207"/>
    </row>
    <row r="210" spans="1:11" ht="18" customHeight="1">
      <c r="A210" s="1205"/>
      <c r="B210" s="1205"/>
      <c r="C210" s="1206"/>
      <c r="D210" s="1205"/>
      <c r="E210" s="1207"/>
      <c r="F210" s="1207"/>
      <c r="G210" s="1207"/>
      <c r="H210" s="1208"/>
      <c r="I210" s="1205"/>
      <c r="J210" s="1209"/>
      <c r="K210" s="1207"/>
    </row>
    <row r="211" spans="1:11" ht="18" customHeight="1">
      <c r="A211" s="1205"/>
      <c r="B211" s="1205"/>
      <c r="C211" s="1206"/>
      <c r="D211" s="1205"/>
      <c r="E211" s="1207"/>
      <c r="F211" s="1207"/>
      <c r="G211" s="1207"/>
      <c r="H211" s="1208"/>
      <c r="I211" s="1205"/>
      <c r="J211" s="1209"/>
      <c r="K211" s="1207"/>
    </row>
    <row r="212" spans="1:11" ht="18" customHeight="1">
      <c r="A212" s="1205"/>
      <c r="B212" s="1205"/>
      <c r="C212" s="1206"/>
      <c r="D212" s="1205"/>
      <c r="E212" s="1207"/>
      <c r="F212" s="1207"/>
      <c r="G212" s="1207"/>
      <c r="H212" s="1208"/>
      <c r="I212" s="1205"/>
      <c r="J212" s="1209"/>
      <c r="K212" s="1207"/>
    </row>
    <row r="213" spans="1:11" ht="18" customHeight="1">
      <c r="A213" s="1205"/>
      <c r="B213" s="1205"/>
      <c r="C213" s="1206"/>
      <c r="D213" s="1205"/>
      <c r="E213" s="1207"/>
      <c r="F213" s="1207"/>
      <c r="G213" s="1207"/>
      <c r="H213" s="1208"/>
      <c r="I213" s="1205"/>
      <c r="J213" s="1209"/>
      <c r="K213" s="1207"/>
    </row>
    <row r="214" spans="1:11" ht="18" customHeight="1">
      <c r="A214" s="698"/>
      <c r="G214" s="579"/>
      <c r="H214" s="579"/>
      <c r="I214" s="579"/>
      <c r="J214" s="985"/>
      <c r="K214" s="1134"/>
    </row>
    <row r="215" spans="1:11" ht="18.75" customHeight="1">
      <c r="A215" s="1934" t="s">
        <v>1026</v>
      </c>
      <c r="B215" s="1935"/>
      <c r="C215" s="1935"/>
      <c r="D215" s="1935"/>
      <c r="E215" s="1935"/>
      <c r="F215" s="1935"/>
      <c r="G215" s="1935"/>
      <c r="H215" s="1935"/>
      <c r="I215" s="1935"/>
      <c r="J215" s="1935"/>
      <c r="K215" s="1936"/>
    </row>
    <row r="216" spans="1:11" ht="30">
      <c r="A216" s="23" t="s">
        <v>25</v>
      </c>
      <c r="B216" s="24" t="s">
        <v>551</v>
      </c>
      <c r="C216" s="23" t="s">
        <v>38</v>
      </c>
      <c r="D216" s="24" t="s">
        <v>37</v>
      </c>
      <c r="E216" s="23" t="s">
        <v>36</v>
      </c>
      <c r="F216" s="23" t="s">
        <v>1658</v>
      </c>
      <c r="G216" s="23" t="s">
        <v>1659</v>
      </c>
      <c r="H216" s="23" t="s">
        <v>1594</v>
      </c>
      <c r="I216" s="23" t="s">
        <v>1660</v>
      </c>
      <c r="J216" s="23" t="s">
        <v>35</v>
      </c>
      <c r="K216" s="23" t="s">
        <v>2</v>
      </c>
    </row>
    <row r="217" spans="1:11" ht="18" customHeight="1">
      <c r="A217" s="840"/>
      <c r="B217" s="834"/>
      <c r="C217" s="834"/>
      <c r="D217" s="841"/>
      <c r="E217" s="841"/>
      <c r="F217" s="842"/>
      <c r="G217" s="843"/>
      <c r="H217" s="843"/>
      <c r="I217" s="843"/>
      <c r="J217" s="844">
        <f>COUNTIF(J218:J297,"Completed")</f>
        <v>80</v>
      </c>
      <c r="K217" s="845"/>
    </row>
    <row r="218" spans="1:11" ht="18" customHeight="1">
      <c r="A218" s="978">
        <v>1</v>
      </c>
      <c r="B218" s="978" t="s">
        <v>436</v>
      </c>
      <c r="C218" s="978" t="s">
        <v>437</v>
      </c>
      <c r="D218" s="979" t="s">
        <v>42</v>
      </c>
      <c r="E218" s="979" t="s">
        <v>30</v>
      </c>
      <c r="F218" s="979">
        <v>45965</v>
      </c>
      <c r="G218" s="979">
        <v>45991</v>
      </c>
      <c r="H218" s="978" t="s">
        <v>1597</v>
      </c>
      <c r="I218" s="978">
        <v>1</v>
      </c>
      <c r="J218" s="690" t="s">
        <v>29</v>
      </c>
      <c r="K218" s="979" t="s">
        <v>554</v>
      </c>
    </row>
    <row r="219" spans="1:11" ht="18" customHeight="1">
      <c r="A219" s="978">
        <v>2</v>
      </c>
      <c r="B219" s="978" t="s">
        <v>443</v>
      </c>
      <c r="C219" s="978" t="s">
        <v>133</v>
      </c>
      <c r="D219" s="979" t="s">
        <v>42</v>
      </c>
      <c r="E219" s="979" t="s">
        <v>1070</v>
      </c>
      <c r="F219" s="979">
        <v>45992</v>
      </c>
      <c r="G219" s="979">
        <v>46003</v>
      </c>
      <c r="H219" s="1933" t="s">
        <v>1595</v>
      </c>
      <c r="I219" s="1924">
        <v>9</v>
      </c>
      <c r="J219" s="690" t="s">
        <v>29</v>
      </c>
      <c r="K219" s="979" t="s">
        <v>554</v>
      </c>
    </row>
    <row r="220" spans="1:11" ht="18" customHeight="1">
      <c r="A220" s="978">
        <v>3</v>
      </c>
      <c r="B220" s="978" t="s">
        <v>300</v>
      </c>
      <c r="C220" s="978" t="s">
        <v>301</v>
      </c>
      <c r="D220" s="979" t="s">
        <v>42</v>
      </c>
      <c r="E220" s="979" t="s">
        <v>1186</v>
      </c>
      <c r="F220" s="979">
        <v>45995</v>
      </c>
      <c r="G220" s="979">
        <v>46003</v>
      </c>
      <c r="H220" s="1933"/>
      <c r="I220" s="1924"/>
      <c r="J220" s="690" t="s">
        <v>29</v>
      </c>
      <c r="K220" s="979" t="s">
        <v>554</v>
      </c>
    </row>
    <row r="221" spans="1:11" ht="18" customHeight="1">
      <c r="A221" s="978">
        <v>4</v>
      </c>
      <c r="B221" s="846" t="s">
        <v>411</v>
      </c>
      <c r="C221" s="978" t="s">
        <v>153</v>
      </c>
      <c r="D221" s="979" t="s">
        <v>42</v>
      </c>
      <c r="E221" s="979" t="s">
        <v>1070</v>
      </c>
      <c r="F221" s="979">
        <v>46001</v>
      </c>
      <c r="G221" s="979">
        <v>46006</v>
      </c>
      <c r="H221" s="1933"/>
      <c r="I221" s="1924"/>
      <c r="J221" s="690" t="s">
        <v>29</v>
      </c>
      <c r="K221" s="979" t="s">
        <v>554</v>
      </c>
    </row>
    <row r="222" spans="1:11" ht="18" customHeight="1">
      <c r="A222" s="978">
        <v>5</v>
      </c>
      <c r="B222" s="978" t="s">
        <v>314</v>
      </c>
      <c r="C222" s="978" t="s">
        <v>153</v>
      </c>
      <c r="D222" s="979" t="s">
        <v>42</v>
      </c>
      <c r="E222" s="979" t="s">
        <v>1186</v>
      </c>
      <c r="F222" s="979">
        <f>G220</f>
        <v>46003</v>
      </c>
      <c r="G222" s="979">
        <v>46008</v>
      </c>
      <c r="H222" s="1933"/>
      <c r="I222" s="1924"/>
      <c r="J222" s="690" t="s">
        <v>29</v>
      </c>
      <c r="K222" s="979" t="s">
        <v>554</v>
      </c>
    </row>
    <row r="223" spans="1:11" ht="18" customHeight="1">
      <c r="A223" s="978">
        <v>6</v>
      </c>
      <c r="B223" s="978" t="s">
        <v>430</v>
      </c>
      <c r="C223" s="978" t="s">
        <v>301</v>
      </c>
      <c r="D223" s="979" t="s">
        <v>42</v>
      </c>
      <c r="E223" s="979" t="s">
        <v>1070</v>
      </c>
      <c r="F223" s="979">
        <f>G220</f>
        <v>46003</v>
      </c>
      <c r="G223" s="979">
        <v>46010</v>
      </c>
      <c r="H223" s="1933"/>
      <c r="I223" s="1924"/>
      <c r="J223" s="690" t="s">
        <v>29</v>
      </c>
      <c r="K223" s="979" t="s">
        <v>554</v>
      </c>
    </row>
    <row r="224" spans="1:11" ht="18" customHeight="1">
      <c r="A224" s="978">
        <v>7</v>
      </c>
      <c r="B224" s="978" t="s">
        <v>322</v>
      </c>
      <c r="C224" s="978" t="s">
        <v>153</v>
      </c>
      <c r="D224" s="979" t="s">
        <v>42</v>
      </c>
      <c r="E224" s="979" t="s">
        <v>1073</v>
      </c>
      <c r="F224" s="979">
        <v>46007</v>
      </c>
      <c r="G224" s="979">
        <v>46014</v>
      </c>
      <c r="H224" s="1933"/>
      <c r="I224" s="1924"/>
      <c r="J224" s="690" t="s">
        <v>29</v>
      </c>
      <c r="K224" s="979" t="s">
        <v>554</v>
      </c>
    </row>
    <row r="225" spans="1:11" ht="18" customHeight="1">
      <c r="A225" s="978">
        <v>8</v>
      </c>
      <c r="B225" s="847" t="s">
        <v>310</v>
      </c>
      <c r="C225" s="978" t="s">
        <v>34</v>
      </c>
      <c r="D225" s="979" t="s">
        <v>42</v>
      </c>
      <c r="E225" s="979" t="s">
        <v>30</v>
      </c>
      <c r="F225" s="979">
        <v>46014</v>
      </c>
      <c r="G225" s="979">
        <v>46019</v>
      </c>
      <c r="H225" s="1933"/>
      <c r="I225" s="1924"/>
      <c r="J225" s="690" t="s">
        <v>29</v>
      </c>
      <c r="K225" s="979" t="s">
        <v>554</v>
      </c>
    </row>
    <row r="226" spans="1:11" ht="18" customHeight="1">
      <c r="A226" s="978">
        <v>9</v>
      </c>
      <c r="B226" s="978" t="s">
        <v>416</v>
      </c>
      <c r="C226" s="978" t="s">
        <v>50</v>
      </c>
      <c r="D226" s="979" t="s">
        <v>42</v>
      </c>
      <c r="E226" s="979" t="s">
        <v>30</v>
      </c>
      <c r="F226" s="979">
        <v>46007</v>
      </c>
      <c r="G226" s="979">
        <v>45650</v>
      </c>
      <c r="H226" s="1933"/>
      <c r="I226" s="1924"/>
      <c r="J226" s="690" t="s">
        <v>29</v>
      </c>
      <c r="K226" s="979" t="s">
        <v>554</v>
      </c>
    </row>
    <row r="227" spans="1:11" ht="18" customHeight="1">
      <c r="A227" s="978">
        <v>10</v>
      </c>
      <c r="B227" s="978" t="s">
        <v>72</v>
      </c>
      <c r="C227" s="978" t="s">
        <v>39</v>
      </c>
      <c r="D227" s="979" t="s">
        <v>61</v>
      </c>
      <c r="E227" s="979" t="s">
        <v>30</v>
      </c>
      <c r="F227" s="979">
        <v>46011</v>
      </c>
      <c r="G227" s="979">
        <v>46021</v>
      </c>
      <c r="H227" s="1933"/>
      <c r="I227" s="1924"/>
      <c r="J227" s="690" t="s">
        <v>29</v>
      </c>
      <c r="K227" s="979" t="s">
        <v>554</v>
      </c>
    </row>
    <row r="228" spans="1:11" ht="18" customHeight="1">
      <c r="A228" s="700">
        <v>11</v>
      </c>
      <c r="B228" s="978" t="s">
        <v>421</v>
      </c>
      <c r="C228" s="978" t="s">
        <v>34</v>
      </c>
      <c r="D228" s="979" t="s">
        <v>42</v>
      </c>
      <c r="E228" s="979" t="s">
        <v>30</v>
      </c>
      <c r="F228" s="979">
        <v>46020</v>
      </c>
      <c r="G228" s="979">
        <v>46027</v>
      </c>
      <c r="H228" s="1924" t="s">
        <v>1634</v>
      </c>
      <c r="I228" s="1924">
        <v>15</v>
      </c>
      <c r="J228" s="690" t="s">
        <v>29</v>
      </c>
      <c r="K228" s="979" t="s">
        <v>554</v>
      </c>
    </row>
    <row r="229" spans="1:11" ht="18" customHeight="1">
      <c r="A229" s="700">
        <v>12</v>
      </c>
      <c r="B229" s="847" t="s">
        <v>46</v>
      </c>
      <c r="C229" s="978" t="s">
        <v>1175</v>
      </c>
      <c r="D229" s="979" t="s">
        <v>42</v>
      </c>
      <c r="E229" s="979" t="s">
        <v>1186</v>
      </c>
      <c r="F229" s="979">
        <v>46018</v>
      </c>
      <c r="G229" s="979">
        <v>46027</v>
      </c>
      <c r="H229" s="1924"/>
      <c r="I229" s="1924"/>
      <c r="J229" s="690" t="s">
        <v>29</v>
      </c>
      <c r="K229" s="979" t="s">
        <v>554</v>
      </c>
    </row>
    <row r="230" spans="1:11" ht="18" customHeight="1">
      <c r="A230" s="700">
        <v>13</v>
      </c>
      <c r="B230" s="978" t="s">
        <v>71</v>
      </c>
      <c r="C230" s="978" t="s">
        <v>1181</v>
      </c>
      <c r="D230" s="979" t="s">
        <v>42</v>
      </c>
      <c r="E230" s="979" t="s">
        <v>30</v>
      </c>
      <c r="F230" s="979">
        <v>46018</v>
      </c>
      <c r="G230" s="979">
        <v>46028</v>
      </c>
      <c r="H230" s="1924"/>
      <c r="I230" s="1924"/>
      <c r="J230" s="690" t="s">
        <v>29</v>
      </c>
      <c r="K230" s="979" t="s">
        <v>554</v>
      </c>
    </row>
    <row r="231" spans="1:11" ht="18" customHeight="1">
      <c r="A231" s="700">
        <v>14</v>
      </c>
      <c r="B231" s="978" t="s">
        <v>296</v>
      </c>
      <c r="C231" s="978" t="s">
        <v>32</v>
      </c>
      <c r="D231" s="979" t="s">
        <v>42</v>
      </c>
      <c r="E231" s="979" t="s">
        <v>1637</v>
      </c>
      <c r="F231" s="979">
        <v>46027</v>
      </c>
      <c r="G231" s="979">
        <v>46032</v>
      </c>
      <c r="H231" s="1924"/>
      <c r="I231" s="1924"/>
      <c r="J231" s="690" t="s">
        <v>29</v>
      </c>
      <c r="K231" s="979" t="s">
        <v>554</v>
      </c>
    </row>
    <row r="232" spans="1:11" ht="18" customHeight="1">
      <c r="A232" s="700">
        <v>15</v>
      </c>
      <c r="B232" s="847" t="s">
        <v>452</v>
      </c>
      <c r="C232" s="978" t="s">
        <v>48</v>
      </c>
      <c r="D232" s="979" t="s">
        <v>61</v>
      </c>
      <c r="E232" s="979" t="s">
        <v>30</v>
      </c>
      <c r="F232" s="979">
        <v>46028</v>
      </c>
      <c r="G232" s="979">
        <v>46034</v>
      </c>
      <c r="H232" s="1924"/>
      <c r="I232" s="1924"/>
      <c r="J232" s="690" t="s">
        <v>29</v>
      </c>
      <c r="K232" s="979" t="s">
        <v>554</v>
      </c>
    </row>
    <row r="233" spans="1:11" ht="18" customHeight="1">
      <c r="A233" s="700">
        <v>16</v>
      </c>
      <c r="B233" s="978" t="s">
        <v>234</v>
      </c>
      <c r="C233" s="978" t="s">
        <v>34</v>
      </c>
      <c r="D233" s="979" t="s">
        <v>42</v>
      </c>
      <c r="E233" s="979" t="s">
        <v>1186</v>
      </c>
      <c r="F233" s="979">
        <v>46030</v>
      </c>
      <c r="G233" s="979">
        <v>46037</v>
      </c>
      <c r="H233" s="1924"/>
      <c r="I233" s="1924"/>
      <c r="J233" s="690" t="s">
        <v>29</v>
      </c>
      <c r="K233" s="979" t="s">
        <v>554</v>
      </c>
    </row>
    <row r="234" spans="1:11" ht="18" customHeight="1">
      <c r="A234" s="700">
        <v>17</v>
      </c>
      <c r="B234" s="978" t="s">
        <v>393</v>
      </c>
      <c r="C234" s="978" t="s">
        <v>1175</v>
      </c>
      <c r="D234" s="979" t="s">
        <v>42</v>
      </c>
      <c r="E234" s="979" t="s">
        <v>30</v>
      </c>
      <c r="F234" s="979">
        <v>46031</v>
      </c>
      <c r="G234" s="979">
        <v>46037</v>
      </c>
      <c r="H234" s="1924"/>
      <c r="I234" s="1924"/>
      <c r="J234" s="690" t="s">
        <v>29</v>
      </c>
      <c r="K234" s="979" t="s">
        <v>554</v>
      </c>
    </row>
    <row r="235" spans="1:11" ht="18" customHeight="1">
      <c r="A235" s="700">
        <v>18</v>
      </c>
      <c r="B235" s="978" t="s">
        <v>421</v>
      </c>
      <c r="C235" s="978" t="s">
        <v>48</v>
      </c>
      <c r="D235" s="979" t="s">
        <v>42</v>
      </c>
      <c r="E235" s="979" t="s">
        <v>30</v>
      </c>
      <c r="F235" s="979">
        <v>46037</v>
      </c>
      <c r="G235" s="979">
        <v>46044</v>
      </c>
      <c r="H235" s="1924"/>
      <c r="I235" s="1924"/>
      <c r="J235" s="690" t="s">
        <v>29</v>
      </c>
      <c r="K235" s="979" t="s">
        <v>555</v>
      </c>
    </row>
    <row r="236" spans="1:11" ht="18" customHeight="1">
      <c r="A236" s="700">
        <v>19</v>
      </c>
      <c r="B236" s="978" t="s">
        <v>54</v>
      </c>
      <c r="C236" s="978" t="s">
        <v>39</v>
      </c>
      <c r="D236" s="979" t="s">
        <v>42</v>
      </c>
      <c r="E236" s="979" t="s">
        <v>30</v>
      </c>
      <c r="F236" s="979">
        <v>46037</v>
      </c>
      <c r="G236" s="979">
        <v>46044</v>
      </c>
      <c r="H236" s="1924"/>
      <c r="I236" s="1924"/>
      <c r="J236" s="690" t="s">
        <v>29</v>
      </c>
      <c r="K236" s="979" t="s">
        <v>555</v>
      </c>
    </row>
    <row r="237" spans="1:11" ht="18" customHeight="1">
      <c r="A237" s="700">
        <v>20</v>
      </c>
      <c r="B237" s="978" t="s">
        <v>58</v>
      </c>
      <c r="C237" s="978" t="s">
        <v>57</v>
      </c>
      <c r="D237" s="979" t="s">
        <v>42</v>
      </c>
      <c r="E237" s="979" t="s">
        <v>1637</v>
      </c>
      <c r="F237" s="979">
        <v>46036</v>
      </c>
      <c r="G237" s="979">
        <v>46045</v>
      </c>
      <c r="H237" s="1924"/>
      <c r="I237" s="1924"/>
      <c r="J237" s="690" t="s">
        <v>29</v>
      </c>
      <c r="K237" s="979" t="s">
        <v>554</v>
      </c>
    </row>
    <row r="238" spans="1:11" ht="18" customHeight="1">
      <c r="A238" s="700">
        <v>21</v>
      </c>
      <c r="B238" s="978" t="s">
        <v>371</v>
      </c>
      <c r="C238" s="978" t="s">
        <v>1181</v>
      </c>
      <c r="D238" s="979" t="s">
        <v>42</v>
      </c>
      <c r="E238" s="979" t="s">
        <v>30</v>
      </c>
      <c r="F238" s="979">
        <v>46032</v>
      </c>
      <c r="G238" s="979">
        <v>46047</v>
      </c>
      <c r="H238" s="1924"/>
      <c r="I238" s="1924"/>
      <c r="J238" s="690" t="s">
        <v>29</v>
      </c>
      <c r="K238" s="979" t="s">
        <v>554</v>
      </c>
    </row>
    <row r="239" spans="1:11" ht="18" customHeight="1">
      <c r="A239" s="700">
        <v>22</v>
      </c>
      <c r="B239" s="978" t="s">
        <v>393</v>
      </c>
      <c r="C239" s="978" t="s">
        <v>1175</v>
      </c>
      <c r="D239" s="979" t="s">
        <v>42</v>
      </c>
      <c r="E239" s="979" t="s">
        <v>30</v>
      </c>
      <c r="F239" s="979">
        <v>46044</v>
      </c>
      <c r="G239" s="979">
        <v>46050</v>
      </c>
      <c r="H239" s="1924"/>
      <c r="I239" s="1924"/>
      <c r="J239" s="690" t="s">
        <v>29</v>
      </c>
      <c r="K239" s="979" t="s">
        <v>555</v>
      </c>
    </row>
    <row r="240" spans="1:11" ht="18" customHeight="1">
      <c r="A240" s="700">
        <v>23</v>
      </c>
      <c r="B240" s="978" t="s">
        <v>803</v>
      </c>
      <c r="C240" s="978" t="s">
        <v>48</v>
      </c>
      <c r="D240" s="979" t="s">
        <v>61</v>
      </c>
      <c r="E240" s="979" t="s">
        <v>1637</v>
      </c>
      <c r="F240" s="979">
        <v>46045</v>
      </c>
      <c r="G240" s="979">
        <v>46050</v>
      </c>
      <c r="H240" s="1924"/>
      <c r="I240" s="1924"/>
      <c r="J240" s="690" t="s">
        <v>29</v>
      </c>
      <c r="K240" s="979" t="s">
        <v>555</v>
      </c>
    </row>
    <row r="241" spans="1:12" s="400" customFormat="1" ht="18" customHeight="1">
      <c r="A241" s="992">
        <v>24</v>
      </c>
      <c r="B241" s="993" t="s">
        <v>71</v>
      </c>
      <c r="C241" s="993" t="s">
        <v>50</v>
      </c>
      <c r="D241" s="994" t="s">
        <v>42</v>
      </c>
      <c r="E241" s="994" t="s">
        <v>30</v>
      </c>
      <c r="F241" s="994">
        <v>46044</v>
      </c>
      <c r="G241" s="994">
        <v>46053</v>
      </c>
      <c r="H241" s="1924"/>
      <c r="I241" s="1924"/>
      <c r="J241" s="995" t="s">
        <v>29</v>
      </c>
      <c r="K241" s="994" t="s">
        <v>555</v>
      </c>
    </row>
    <row r="242" spans="1:12" s="400" customFormat="1" ht="18" customHeight="1">
      <c r="A242" s="992">
        <v>25</v>
      </c>
      <c r="B242" s="993" t="s">
        <v>364</v>
      </c>
      <c r="C242" s="993" t="s">
        <v>344</v>
      </c>
      <c r="D242" s="994" t="s">
        <v>42</v>
      </c>
      <c r="E242" s="994" t="s">
        <v>30</v>
      </c>
      <c r="F242" s="994">
        <v>46049</v>
      </c>
      <c r="G242" s="994">
        <v>46053</v>
      </c>
      <c r="H242" s="1924"/>
      <c r="I242" s="1924"/>
      <c r="J242" s="995" t="s">
        <v>29</v>
      </c>
      <c r="K242" s="994" t="s">
        <v>554</v>
      </c>
      <c r="L242" s="400" t="s">
        <v>1954</v>
      </c>
    </row>
    <row r="243" spans="1:12" ht="18" customHeight="1">
      <c r="A243" s="700">
        <v>26</v>
      </c>
      <c r="B243" s="978" t="s">
        <v>799</v>
      </c>
      <c r="C243" s="978" t="s">
        <v>34</v>
      </c>
      <c r="D243" s="979" t="s">
        <v>61</v>
      </c>
      <c r="E243" s="979" t="s">
        <v>1637</v>
      </c>
      <c r="F243" s="979">
        <v>46050</v>
      </c>
      <c r="G243" s="979">
        <v>46056</v>
      </c>
      <c r="H243" s="1932">
        <v>46054</v>
      </c>
      <c r="I243" s="1930">
        <v>12</v>
      </c>
      <c r="J243" s="690" t="s">
        <v>29</v>
      </c>
      <c r="K243" s="979" t="s">
        <v>555</v>
      </c>
    </row>
    <row r="244" spans="1:12" ht="18" customHeight="1">
      <c r="A244" s="700">
        <v>27</v>
      </c>
      <c r="B244" s="978" t="s">
        <v>795</v>
      </c>
      <c r="C244" s="978" t="s">
        <v>34</v>
      </c>
      <c r="D244" s="979" t="s">
        <v>61</v>
      </c>
      <c r="E244" s="979" t="s">
        <v>1637</v>
      </c>
      <c r="F244" s="979">
        <v>46056</v>
      </c>
      <c r="G244" s="979">
        <v>46060</v>
      </c>
      <c r="H244" s="1932"/>
      <c r="I244" s="1930"/>
      <c r="J244" s="690" t="s">
        <v>29</v>
      </c>
      <c r="K244" s="979" t="s">
        <v>555</v>
      </c>
    </row>
    <row r="245" spans="1:12" ht="18" customHeight="1">
      <c r="A245" s="700">
        <v>28</v>
      </c>
      <c r="B245" s="978" t="s">
        <v>704</v>
      </c>
      <c r="C245" s="978" t="s">
        <v>53</v>
      </c>
      <c r="D245" s="979" t="s">
        <v>61</v>
      </c>
      <c r="E245" s="979" t="s">
        <v>30</v>
      </c>
      <c r="F245" s="979">
        <v>46045</v>
      </c>
      <c r="G245" s="979">
        <v>46062</v>
      </c>
      <c r="H245" s="1932"/>
      <c r="I245" s="1930"/>
      <c r="J245" s="690" t="s">
        <v>29</v>
      </c>
      <c r="K245" s="979" t="s">
        <v>555</v>
      </c>
    </row>
    <row r="246" spans="1:12" ht="18" customHeight="1">
      <c r="A246" s="700">
        <v>29</v>
      </c>
      <c r="B246" s="978" t="s">
        <v>1853</v>
      </c>
      <c r="C246" s="978" t="s">
        <v>49</v>
      </c>
      <c r="D246" s="979" t="s">
        <v>61</v>
      </c>
      <c r="E246" s="979" t="s">
        <v>30</v>
      </c>
      <c r="F246" s="979">
        <v>46062</v>
      </c>
      <c r="G246" s="979">
        <v>46067</v>
      </c>
      <c r="H246" s="1932"/>
      <c r="I246" s="1930"/>
      <c r="J246" s="690" t="s">
        <v>29</v>
      </c>
      <c r="K246" s="979" t="s">
        <v>555</v>
      </c>
    </row>
    <row r="247" spans="1:12" ht="18" customHeight="1">
      <c r="A247" s="700">
        <v>30</v>
      </c>
      <c r="B247" s="978" t="s">
        <v>436</v>
      </c>
      <c r="C247" s="978" t="s">
        <v>1181</v>
      </c>
      <c r="D247" s="979" t="s">
        <v>31</v>
      </c>
      <c r="E247" s="979" t="s">
        <v>30</v>
      </c>
      <c r="F247" s="979">
        <v>46053</v>
      </c>
      <c r="G247" s="979">
        <v>46069</v>
      </c>
      <c r="H247" s="1932"/>
      <c r="I247" s="1930"/>
      <c r="J247" s="690" t="s">
        <v>29</v>
      </c>
      <c r="K247" s="979" t="s">
        <v>555</v>
      </c>
    </row>
    <row r="248" spans="1:12" ht="18" customHeight="1">
      <c r="A248" s="700">
        <v>31</v>
      </c>
      <c r="B248" s="978" t="s">
        <v>722</v>
      </c>
      <c r="C248" s="978" t="s">
        <v>34</v>
      </c>
      <c r="D248" s="979" t="s">
        <v>61</v>
      </c>
      <c r="E248" s="979" t="s">
        <v>30</v>
      </c>
      <c r="F248" s="979">
        <v>46063</v>
      </c>
      <c r="G248" s="979">
        <v>46070</v>
      </c>
      <c r="H248" s="1932"/>
      <c r="I248" s="1930"/>
      <c r="J248" s="690" t="s">
        <v>29</v>
      </c>
      <c r="K248" s="979" t="s">
        <v>555</v>
      </c>
    </row>
    <row r="249" spans="1:12" ht="18" customHeight="1">
      <c r="A249" s="700">
        <v>32</v>
      </c>
      <c r="B249" s="978" t="s">
        <v>364</v>
      </c>
      <c r="C249" s="978" t="s">
        <v>1181</v>
      </c>
      <c r="D249" s="979" t="s">
        <v>61</v>
      </c>
      <c r="E249" s="979" t="s">
        <v>1637</v>
      </c>
      <c r="F249" s="979">
        <v>46061</v>
      </c>
      <c r="G249" s="979">
        <v>46073</v>
      </c>
      <c r="H249" s="1932"/>
      <c r="I249" s="1930"/>
      <c r="J249" s="690" t="s">
        <v>29</v>
      </c>
      <c r="K249" s="979" t="s">
        <v>555</v>
      </c>
    </row>
    <row r="250" spans="1:12" ht="18" customHeight="1">
      <c r="A250" s="700">
        <v>33</v>
      </c>
      <c r="B250" s="978" t="s">
        <v>376</v>
      </c>
      <c r="C250" s="978" t="s">
        <v>34</v>
      </c>
      <c r="D250" s="979" t="s">
        <v>61</v>
      </c>
      <c r="E250" s="979" t="s">
        <v>1637</v>
      </c>
      <c r="F250" s="979">
        <v>46073</v>
      </c>
      <c r="G250" s="979">
        <v>46077</v>
      </c>
      <c r="H250" s="1932"/>
      <c r="I250" s="1930"/>
      <c r="J250" s="690" t="s">
        <v>29</v>
      </c>
      <c r="K250" s="979" t="s">
        <v>555</v>
      </c>
      <c r="L250" s="688" t="s">
        <v>1954</v>
      </c>
    </row>
    <row r="251" spans="1:12" ht="18" customHeight="1">
      <c r="A251" s="700">
        <v>34</v>
      </c>
      <c r="B251" s="978" t="s">
        <v>73</v>
      </c>
      <c r="C251" s="978" t="s">
        <v>50</v>
      </c>
      <c r="D251" s="979" t="s">
        <v>42</v>
      </c>
      <c r="E251" s="979" t="s">
        <v>30</v>
      </c>
      <c r="F251" s="979">
        <v>46070</v>
      </c>
      <c r="G251" s="979">
        <v>46077</v>
      </c>
      <c r="H251" s="1932"/>
      <c r="I251" s="1930"/>
      <c r="J251" s="690" t="s">
        <v>29</v>
      </c>
      <c r="K251" s="979" t="s">
        <v>555</v>
      </c>
    </row>
    <row r="252" spans="1:12" ht="18" customHeight="1">
      <c r="A252" s="700">
        <v>35</v>
      </c>
      <c r="B252" s="978" t="s">
        <v>416</v>
      </c>
      <c r="C252" s="978" t="s">
        <v>1181</v>
      </c>
      <c r="D252" s="979" t="s">
        <v>42</v>
      </c>
      <c r="E252" s="979" t="s">
        <v>30</v>
      </c>
      <c r="F252" s="979">
        <v>46053</v>
      </c>
      <c r="G252" s="979">
        <v>46081</v>
      </c>
      <c r="H252" s="1932"/>
      <c r="I252" s="1930"/>
      <c r="J252" s="690" t="s">
        <v>29</v>
      </c>
      <c r="K252" s="979" t="s">
        <v>555</v>
      </c>
    </row>
    <row r="253" spans="1:12" ht="18" customHeight="1">
      <c r="A253" s="700">
        <v>36</v>
      </c>
      <c r="B253" s="978" t="s">
        <v>443</v>
      </c>
      <c r="C253" s="978" t="s">
        <v>1181</v>
      </c>
      <c r="D253" s="979" t="s">
        <v>42</v>
      </c>
      <c r="E253" s="979" t="s">
        <v>30</v>
      </c>
      <c r="F253" s="979">
        <v>46070</v>
      </c>
      <c r="G253" s="979">
        <v>46081</v>
      </c>
      <c r="H253" s="1932"/>
      <c r="I253" s="1930"/>
      <c r="J253" s="690" t="s">
        <v>29</v>
      </c>
      <c r="K253" s="979" t="s">
        <v>555</v>
      </c>
    </row>
    <row r="254" spans="1:12" ht="18" customHeight="1">
      <c r="A254" s="700">
        <v>37</v>
      </c>
      <c r="B254" s="978" t="s">
        <v>699</v>
      </c>
      <c r="C254" s="978" t="s">
        <v>34</v>
      </c>
      <c r="D254" s="979" t="s">
        <v>61</v>
      </c>
      <c r="E254" s="979" t="s">
        <v>30</v>
      </c>
      <c r="F254" s="979">
        <v>46071</v>
      </c>
      <c r="G254" s="979">
        <v>46081</v>
      </c>
      <c r="H254" s="1932"/>
      <c r="I254" s="1930"/>
      <c r="J254" s="690" t="s">
        <v>29</v>
      </c>
      <c r="K254" s="979" t="s">
        <v>555</v>
      </c>
    </row>
    <row r="255" spans="1:12" ht="18" customHeight="1">
      <c r="A255" s="700">
        <v>38</v>
      </c>
      <c r="B255" s="978" t="s">
        <v>213</v>
      </c>
      <c r="C255" s="978" t="s">
        <v>53</v>
      </c>
      <c r="D255" s="979" t="s">
        <v>42</v>
      </c>
      <c r="E255" s="979" t="s">
        <v>1884</v>
      </c>
      <c r="F255" s="979">
        <v>46081</v>
      </c>
      <c r="G255" s="979">
        <v>46090</v>
      </c>
      <c r="H255" s="1930" t="s">
        <v>1889</v>
      </c>
      <c r="I255" s="1930">
        <v>8</v>
      </c>
      <c r="J255" s="811" t="s">
        <v>29</v>
      </c>
      <c r="K255" s="979" t="s">
        <v>554</v>
      </c>
      <c r="L255" s="688" t="s">
        <v>1954</v>
      </c>
    </row>
    <row r="256" spans="1:12" ht="18" customHeight="1">
      <c r="A256" s="700">
        <v>39</v>
      </c>
      <c r="B256" s="978" t="s">
        <v>1206</v>
      </c>
      <c r="C256" s="978" t="s">
        <v>1181</v>
      </c>
      <c r="D256" s="979" t="s">
        <v>42</v>
      </c>
      <c r="E256" s="979" t="s">
        <v>30</v>
      </c>
      <c r="F256" s="979">
        <v>46081</v>
      </c>
      <c r="G256" s="979" t="s">
        <v>1899</v>
      </c>
      <c r="H256" s="1930"/>
      <c r="I256" s="1930"/>
      <c r="J256" s="811" t="s">
        <v>29</v>
      </c>
      <c r="K256" s="979" t="s">
        <v>555</v>
      </c>
    </row>
    <row r="257" spans="1:12" ht="18" customHeight="1">
      <c r="A257" s="700">
        <v>40</v>
      </c>
      <c r="B257" s="978" t="s">
        <v>66</v>
      </c>
      <c r="C257" s="978" t="s">
        <v>1424</v>
      </c>
      <c r="D257" s="979" t="s">
        <v>42</v>
      </c>
      <c r="E257" s="979" t="s">
        <v>1884</v>
      </c>
      <c r="F257" s="979">
        <v>46090</v>
      </c>
      <c r="G257" s="979" t="s">
        <v>1902</v>
      </c>
      <c r="H257" s="1930"/>
      <c r="I257" s="1930"/>
      <c r="J257" s="811" t="s">
        <v>29</v>
      </c>
      <c r="K257" s="979" t="s">
        <v>554</v>
      </c>
    </row>
    <row r="258" spans="1:12" ht="18" customHeight="1">
      <c r="A258" s="700">
        <v>41</v>
      </c>
      <c r="B258" s="978" t="s">
        <v>371</v>
      </c>
      <c r="C258" s="978" t="s">
        <v>1181</v>
      </c>
      <c r="D258" s="979" t="s">
        <v>61</v>
      </c>
      <c r="E258" s="979" t="s">
        <v>1637</v>
      </c>
      <c r="F258" s="979">
        <v>46089</v>
      </c>
      <c r="G258" s="979" t="s">
        <v>1903</v>
      </c>
      <c r="H258" s="1930"/>
      <c r="I258" s="1930"/>
      <c r="J258" s="811" t="s">
        <v>29</v>
      </c>
      <c r="K258" s="979" t="s">
        <v>555</v>
      </c>
    </row>
    <row r="259" spans="1:12" ht="18" customHeight="1">
      <c r="A259" s="978">
        <v>42</v>
      </c>
      <c r="B259" s="978" t="s">
        <v>1168</v>
      </c>
      <c r="C259" s="978" t="s">
        <v>50</v>
      </c>
      <c r="D259" s="979" t="s">
        <v>42</v>
      </c>
      <c r="E259" s="979" t="s">
        <v>30</v>
      </c>
      <c r="F259" s="979">
        <v>46096</v>
      </c>
      <c r="G259" s="979" t="s">
        <v>1905</v>
      </c>
      <c r="H259" s="1930"/>
      <c r="I259" s="1930"/>
      <c r="J259" s="811" t="s">
        <v>29</v>
      </c>
      <c r="K259" s="979" t="s">
        <v>555</v>
      </c>
    </row>
    <row r="260" spans="1:12">
      <c r="A260" s="700">
        <v>43</v>
      </c>
      <c r="B260" s="978" t="s">
        <v>70</v>
      </c>
      <c r="C260" s="978" t="s">
        <v>167</v>
      </c>
      <c r="D260" s="979" t="s">
        <v>61</v>
      </c>
      <c r="E260" s="979" t="s">
        <v>1637</v>
      </c>
      <c r="F260" s="979">
        <v>46103</v>
      </c>
      <c r="G260" s="979">
        <v>46110</v>
      </c>
      <c r="H260" s="1930"/>
      <c r="I260" s="1930"/>
      <c r="J260" s="811" t="s">
        <v>29</v>
      </c>
      <c r="K260" s="979" t="s">
        <v>555</v>
      </c>
    </row>
    <row r="261" spans="1:12">
      <c r="A261" s="700">
        <v>44</v>
      </c>
      <c r="B261" s="978" t="s">
        <v>224</v>
      </c>
      <c r="C261" s="978" t="s">
        <v>1181</v>
      </c>
      <c r="D261" s="979" t="s">
        <v>42</v>
      </c>
      <c r="E261" s="979" t="s">
        <v>1884</v>
      </c>
      <c r="F261" s="979">
        <v>46095</v>
      </c>
      <c r="G261" s="979">
        <v>46112</v>
      </c>
      <c r="H261" s="1930"/>
      <c r="I261" s="1930"/>
      <c r="J261" s="811" t="s">
        <v>29</v>
      </c>
      <c r="K261" s="979" t="s">
        <v>554</v>
      </c>
    </row>
    <row r="262" spans="1:12">
      <c r="A262" s="700">
        <v>45</v>
      </c>
      <c r="B262" s="978" t="s">
        <v>69</v>
      </c>
      <c r="C262" s="978" t="s">
        <v>50</v>
      </c>
      <c r="D262" s="979" t="s">
        <v>61</v>
      </c>
      <c r="E262" s="979" t="s">
        <v>30</v>
      </c>
      <c r="F262" s="979">
        <v>46100</v>
      </c>
      <c r="G262" s="979">
        <v>46112</v>
      </c>
      <c r="H262" s="1931"/>
      <c r="I262" s="1931"/>
      <c r="J262" s="811" t="s">
        <v>29</v>
      </c>
      <c r="K262" s="979" t="s">
        <v>554</v>
      </c>
    </row>
    <row r="263" spans="1:12" ht="18" customHeight="1">
      <c r="A263" s="700">
        <v>46</v>
      </c>
      <c r="B263" s="978" t="s">
        <v>384</v>
      </c>
      <c r="C263" s="978" t="s">
        <v>34</v>
      </c>
      <c r="D263" s="979" t="s">
        <v>42</v>
      </c>
      <c r="E263" s="979" t="s">
        <v>1637</v>
      </c>
      <c r="F263" s="979">
        <v>46110</v>
      </c>
      <c r="G263" s="979">
        <v>46113</v>
      </c>
      <c r="H263" s="1930" t="s">
        <v>1909</v>
      </c>
      <c r="I263" s="1930">
        <v>18</v>
      </c>
      <c r="J263" s="811" t="s">
        <v>29</v>
      </c>
      <c r="K263" s="979" t="s">
        <v>555</v>
      </c>
    </row>
    <row r="264" spans="1:12" ht="18" customHeight="1">
      <c r="A264" s="700">
        <v>47</v>
      </c>
      <c r="B264" s="978" t="s">
        <v>75</v>
      </c>
      <c r="C264" s="978" t="s">
        <v>133</v>
      </c>
      <c r="D264" s="979" t="s">
        <v>61</v>
      </c>
      <c r="E264" s="979" t="s">
        <v>41</v>
      </c>
      <c r="F264" s="979">
        <v>46093</v>
      </c>
      <c r="G264" s="979">
        <v>46115</v>
      </c>
      <c r="H264" s="1930"/>
      <c r="I264" s="1930"/>
      <c r="J264" s="811" t="s">
        <v>29</v>
      </c>
      <c r="K264" s="979" t="s">
        <v>555</v>
      </c>
      <c r="L264" s="688" t="s">
        <v>1954</v>
      </c>
    </row>
    <row r="265" spans="1:12" ht="18" customHeight="1">
      <c r="A265" s="700">
        <v>48</v>
      </c>
      <c r="B265" s="978" t="s">
        <v>689</v>
      </c>
      <c r="C265" s="978" t="s">
        <v>50</v>
      </c>
      <c r="D265" s="979" t="s">
        <v>61</v>
      </c>
      <c r="E265" s="979" t="s">
        <v>30</v>
      </c>
      <c r="F265" s="979">
        <v>46100</v>
      </c>
      <c r="G265" s="979">
        <v>46116</v>
      </c>
      <c r="H265" s="1930"/>
      <c r="I265" s="1930"/>
      <c r="J265" s="811" t="s">
        <v>29</v>
      </c>
      <c r="K265" s="979" t="s">
        <v>555</v>
      </c>
    </row>
    <row r="266" spans="1:12" ht="18" customHeight="1">
      <c r="A266" s="700">
        <v>49</v>
      </c>
      <c r="B266" s="978" t="s">
        <v>47</v>
      </c>
      <c r="C266" s="978" t="s">
        <v>39</v>
      </c>
      <c r="D266" s="979" t="s">
        <v>61</v>
      </c>
      <c r="E266" s="979" t="s">
        <v>30</v>
      </c>
      <c r="F266" s="979">
        <v>46100</v>
      </c>
      <c r="G266" s="979">
        <v>46117</v>
      </c>
      <c r="H266" s="1930"/>
      <c r="I266" s="1930"/>
      <c r="J266" s="811" t="s">
        <v>29</v>
      </c>
      <c r="K266" s="979" t="s">
        <v>554</v>
      </c>
    </row>
    <row r="267" spans="1:12" ht="18" customHeight="1">
      <c r="A267" s="700">
        <v>50</v>
      </c>
      <c r="B267" s="978" t="s">
        <v>356</v>
      </c>
      <c r="C267" s="978" t="s">
        <v>1424</v>
      </c>
      <c r="D267" s="979" t="s">
        <v>42</v>
      </c>
      <c r="E267" s="979" t="s">
        <v>1637</v>
      </c>
      <c r="F267" s="979">
        <v>46113</v>
      </c>
      <c r="G267" s="979">
        <v>46119</v>
      </c>
      <c r="H267" s="1930"/>
      <c r="I267" s="1930"/>
      <c r="J267" s="811" t="s">
        <v>29</v>
      </c>
      <c r="K267" s="979" t="s">
        <v>555</v>
      </c>
    </row>
    <row r="268" spans="1:12" ht="18" customHeight="1">
      <c r="A268" s="976">
        <v>51</v>
      </c>
      <c r="B268" s="978" t="s">
        <v>457</v>
      </c>
      <c r="C268" s="978" t="s">
        <v>133</v>
      </c>
      <c r="D268" s="979" t="s">
        <v>42</v>
      </c>
      <c r="E268" s="979" t="s">
        <v>30</v>
      </c>
      <c r="F268" s="979">
        <v>46117</v>
      </c>
      <c r="G268" s="979">
        <v>46123</v>
      </c>
      <c r="H268" s="1930"/>
      <c r="I268" s="1930"/>
      <c r="J268" s="811" t="s">
        <v>29</v>
      </c>
      <c r="K268" s="979" t="s">
        <v>555</v>
      </c>
    </row>
    <row r="269" spans="1:12" ht="18" customHeight="1">
      <c r="A269" s="976">
        <v>52</v>
      </c>
      <c r="B269" s="978" t="s">
        <v>388</v>
      </c>
      <c r="C269" s="978" t="s">
        <v>48</v>
      </c>
      <c r="D269" s="979" t="s">
        <v>42</v>
      </c>
      <c r="E269" s="979" t="s">
        <v>30</v>
      </c>
      <c r="F269" s="979">
        <v>46117</v>
      </c>
      <c r="G269" s="979">
        <v>46125</v>
      </c>
      <c r="H269" s="1930"/>
      <c r="I269" s="1930"/>
      <c r="J269" s="811" t="s">
        <v>29</v>
      </c>
      <c r="K269" s="979" t="s">
        <v>554</v>
      </c>
    </row>
    <row r="270" spans="1:12" ht="18" customHeight="1">
      <c r="A270" s="976">
        <v>53</v>
      </c>
      <c r="B270" s="978" t="s">
        <v>69</v>
      </c>
      <c r="C270" s="978" t="s">
        <v>39</v>
      </c>
      <c r="D270" s="979" t="s">
        <v>42</v>
      </c>
      <c r="E270" s="979" t="s">
        <v>1637</v>
      </c>
      <c r="F270" s="979">
        <v>46119</v>
      </c>
      <c r="G270" s="979">
        <v>46125</v>
      </c>
      <c r="H270" s="1930"/>
      <c r="I270" s="1930"/>
      <c r="J270" s="811" t="s">
        <v>29</v>
      </c>
      <c r="K270" s="979" t="s">
        <v>555</v>
      </c>
    </row>
    <row r="271" spans="1:12" ht="18" customHeight="1">
      <c r="A271" s="976">
        <v>54</v>
      </c>
      <c r="B271" s="978" t="s">
        <v>326</v>
      </c>
      <c r="C271" s="978" t="s">
        <v>133</v>
      </c>
      <c r="D271" s="979" t="s">
        <v>42</v>
      </c>
      <c r="E271" s="979" t="s">
        <v>41</v>
      </c>
      <c r="F271" s="979">
        <v>46116</v>
      </c>
      <c r="G271" s="979">
        <v>46126</v>
      </c>
      <c r="H271" s="1930"/>
      <c r="I271" s="1930"/>
      <c r="J271" s="811" t="s">
        <v>29</v>
      </c>
      <c r="K271" s="979" t="s">
        <v>555</v>
      </c>
    </row>
    <row r="272" spans="1:12" ht="18" customHeight="1">
      <c r="A272" s="976">
        <v>55</v>
      </c>
      <c r="B272" s="978" t="s">
        <v>811</v>
      </c>
      <c r="C272" s="978" t="s">
        <v>34</v>
      </c>
      <c r="D272" s="979" t="s">
        <v>42</v>
      </c>
      <c r="E272" s="979" t="s">
        <v>1637</v>
      </c>
      <c r="F272" s="979">
        <v>46125</v>
      </c>
      <c r="G272" s="979">
        <v>46129</v>
      </c>
      <c r="H272" s="1930"/>
      <c r="I272" s="1930"/>
      <c r="J272" s="811" t="s">
        <v>29</v>
      </c>
      <c r="K272" s="979" t="s">
        <v>555</v>
      </c>
      <c r="L272" s="688" t="s">
        <v>1954</v>
      </c>
    </row>
    <row r="273" spans="1:12" ht="18" customHeight="1">
      <c r="A273" s="976">
        <v>56</v>
      </c>
      <c r="B273" s="978" t="s">
        <v>51</v>
      </c>
      <c r="C273" s="978" t="s">
        <v>1181</v>
      </c>
      <c r="D273" s="979" t="s">
        <v>61</v>
      </c>
      <c r="E273" s="979" t="s">
        <v>30</v>
      </c>
      <c r="F273" s="979">
        <v>46125</v>
      </c>
      <c r="G273" s="979">
        <v>46130</v>
      </c>
      <c r="H273" s="1930"/>
      <c r="I273" s="1930"/>
      <c r="J273" s="811" t="s">
        <v>29</v>
      </c>
      <c r="K273" s="979" t="s">
        <v>555</v>
      </c>
      <c r="L273" s="688" t="s">
        <v>1954</v>
      </c>
    </row>
    <row r="274" spans="1:12" ht="18" customHeight="1">
      <c r="A274" s="976">
        <v>57</v>
      </c>
      <c r="B274" s="978" t="s">
        <v>230</v>
      </c>
      <c r="C274" s="978" t="s">
        <v>34</v>
      </c>
      <c r="D274" s="979" t="s">
        <v>42</v>
      </c>
      <c r="E274" s="979" t="s">
        <v>41</v>
      </c>
      <c r="F274" s="979">
        <v>46126</v>
      </c>
      <c r="G274" s="979">
        <v>46132</v>
      </c>
      <c r="H274" s="1930"/>
      <c r="I274" s="1930"/>
      <c r="J274" s="811" t="s">
        <v>29</v>
      </c>
      <c r="K274" s="979" t="s">
        <v>554</v>
      </c>
    </row>
    <row r="275" spans="1:12" ht="18" customHeight="1">
      <c r="A275" s="976">
        <v>58</v>
      </c>
      <c r="B275" s="978" t="s">
        <v>40</v>
      </c>
      <c r="C275" s="978" t="s">
        <v>45</v>
      </c>
      <c r="D275" s="979" t="s">
        <v>61</v>
      </c>
      <c r="E275" s="979" t="s">
        <v>30</v>
      </c>
      <c r="F275" s="979">
        <v>46125</v>
      </c>
      <c r="G275" s="979">
        <v>46137</v>
      </c>
      <c r="H275" s="1930"/>
      <c r="I275" s="1930"/>
      <c r="J275" s="811" t="s">
        <v>29</v>
      </c>
      <c r="K275" s="979" t="s">
        <v>555</v>
      </c>
    </row>
    <row r="276" spans="1:12" ht="18" customHeight="1">
      <c r="A276" s="976">
        <v>59</v>
      </c>
      <c r="B276" s="978" t="s">
        <v>239</v>
      </c>
      <c r="C276" s="978" t="s">
        <v>34</v>
      </c>
      <c r="D276" s="979" t="s">
        <v>42</v>
      </c>
      <c r="E276" s="979" t="s">
        <v>41</v>
      </c>
      <c r="F276" s="979">
        <v>46132</v>
      </c>
      <c r="G276" s="979">
        <v>46137</v>
      </c>
      <c r="H276" s="1930"/>
      <c r="I276" s="1930"/>
      <c r="J276" s="811" t="s">
        <v>29</v>
      </c>
      <c r="K276" s="979" t="s">
        <v>554</v>
      </c>
      <c r="L276" s="688" t="s">
        <v>1954</v>
      </c>
    </row>
    <row r="277" spans="1:12" ht="18" customHeight="1">
      <c r="A277" s="976">
        <v>60</v>
      </c>
      <c r="B277" s="978" t="s">
        <v>1873</v>
      </c>
      <c r="C277" s="978" t="s">
        <v>34</v>
      </c>
      <c r="D277" s="979" t="s">
        <v>42</v>
      </c>
      <c r="E277" s="979" t="s">
        <v>30</v>
      </c>
      <c r="F277" s="979">
        <f>F273</f>
        <v>46125</v>
      </c>
      <c r="G277" s="979">
        <v>46138</v>
      </c>
      <c r="H277" s="1930"/>
      <c r="I277" s="1930"/>
      <c r="J277" s="811" t="s">
        <v>29</v>
      </c>
      <c r="K277" s="979" t="s">
        <v>555</v>
      </c>
    </row>
    <row r="278" spans="1:12" ht="18" customHeight="1">
      <c r="A278" s="976">
        <v>61</v>
      </c>
      <c r="B278" s="978" t="s">
        <v>318</v>
      </c>
      <c r="C278" s="978" t="s">
        <v>34</v>
      </c>
      <c r="D278" s="979" t="s">
        <v>42</v>
      </c>
      <c r="E278" s="979" t="s">
        <v>1637</v>
      </c>
      <c r="F278" s="979">
        <f>G272</f>
        <v>46129</v>
      </c>
      <c r="G278" s="979">
        <v>46139</v>
      </c>
      <c r="H278" s="1930"/>
      <c r="I278" s="1930"/>
      <c r="J278" s="811" t="s">
        <v>29</v>
      </c>
      <c r="K278" s="979" t="s">
        <v>554</v>
      </c>
    </row>
    <row r="279" spans="1:12" ht="18" customHeight="1">
      <c r="A279" s="976">
        <v>62</v>
      </c>
      <c r="B279" s="978" t="s">
        <v>250</v>
      </c>
      <c r="C279" s="993" t="s">
        <v>49</v>
      </c>
      <c r="D279" s="979" t="s">
        <v>31</v>
      </c>
      <c r="E279" s="979" t="s">
        <v>41</v>
      </c>
      <c r="F279" s="979">
        <v>46137</v>
      </c>
      <c r="G279" s="979">
        <v>46140</v>
      </c>
      <c r="H279" s="1930"/>
      <c r="I279" s="1930"/>
      <c r="J279" s="811" t="s">
        <v>29</v>
      </c>
      <c r="K279" s="979" t="s">
        <v>554</v>
      </c>
    </row>
    <row r="280" spans="1:12" ht="18" customHeight="1">
      <c r="A280" s="976">
        <v>63</v>
      </c>
      <c r="B280" s="1198" t="s">
        <v>729</v>
      </c>
      <c r="C280" s="993" t="s">
        <v>48</v>
      </c>
      <c r="D280" s="1200" t="s">
        <v>61</v>
      </c>
      <c r="E280" s="1200" t="s">
        <v>30</v>
      </c>
      <c r="F280" s="1200">
        <v>46137</v>
      </c>
      <c r="G280" s="1200">
        <v>46140</v>
      </c>
      <c r="H280" s="1930"/>
      <c r="I280" s="1930"/>
      <c r="J280" s="811" t="s">
        <v>29</v>
      </c>
      <c r="K280" s="979" t="s">
        <v>555</v>
      </c>
    </row>
    <row r="281" spans="1:12" ht="18" customHeight="1">
      <c r="A281" s="986">
        <v>64</v>
      </c>
      <c r="B281" s="1198" t="s">
        <v>726</v>
      </c>
      <c r="C281" s="993" t="s">
        <v>32</v>
      </c>
      <c r="D281" s="1200" t="s">
        <v>61</v>
      </c>
      <c r="E281" s="1200" t="s">
        <v>30</v>
      </c>
      <c r="F281" s="1200">
        <v>46137</v>
      </c>
      <c r="G281" s="1200">
        <v>46142</v>
      </c>
      <c r="H281" s="1930"/>
      <c r="I281" s="1930"/>
      <c r="J281" s="811" t="s">
        <v>29</v>
      </c>
      <c r="K281" s="987" t="s">
        <v>555</v>
      </c>
    </row>
    <row r="282" spans="1:12" ht="18" customHeight="1">
      <c r="A282" s="986">
        <v>65</v>
      </c>
      <c r="B282" s="1198" t="s">
        <v>47</v>
      </c>
      <c r="C282" s="993" t="s">
        <v>1425</v>
      </c>
      <c r="D282" s="1200" t="s">
        <v>42</v>
      </c>
      <c r="E282" s="1200" t="s">
        <v>1637</v>
      </c>
      <c r="F282" s="1200">
        <v>46140</v>
      </c>
      <c r="G282" s="1200">
        <v>46142</v>
      </c>
      <c r="H282" s="1930"/>
      <c r="I282" s="1930"/>
      <c r="J282" s="811" t="s">
        <v>29</v>
      </c>
      <c r="K282" s="987" t="s">
        <v>555</v>
      </c>
    </row>
    <row r="283" spans="1:12" ht="18" customHeight="1">
      <c r="A283" s="1197">
        <v>66</v>
      </c>
      <c r="B283" s="1198" t="s">
        <v>718</v>
      </c>
      <c r="C283" s="993" t="s">
        <v>32</v>
      </c>
      <c r="D283" s="1200" t="s">
        <v>61</v>
      </c>
      <c r="E283" s="1200" t="s">
        <v>30</v>
      </c>
      <c r="F283" s="1200">
        <v>46140</v>
      </c>
      <c r="G283" s="1200">
        <v>46145</v>
      </c>
      <c r="H283" s="1931" t="s">
        <v>2144</v>
      </c>
      <c r="I283" s="1941" t="s">
        <v>2145</v>
      </c>
      <c r="J283" s="811" t="s">
        <v>29</v>
      </c>
      <c r="K283" s="1200" t="s">
        <v>555</v>
      </c>
    </row>
    <row r="284" spans="1:12" ht="18" customHeight="1">
      <c r="A284" s="1197">
        <v>67</v>
      </c>
      <c r="B284" s="1198" t="s">
        <v>376</v>
      </c>
      <c r="C284" s="993" t="s">
        <v>32</v>
      </c>
      <c r="D284" s="1200" t="s">
        <v>42</v>
      </c>
      <c r="E284" s="1200" t="s">
        <v>1926</v>
      </c>
      <c r="F284" s="1200">
        <v>46140</v>
      </c>
      <c r="G284" s="1200">
        <v>46145</v>
      </c>
      <c r="H284" s="1939"/>
      <c r="I284" s="1939"/>
      <c r="J284" s="811" t="s">
        <v>29</v>
      </c>
      <c r="K284" s="1196" t="s">
        <v>554</v>
      </c>
    </row>
    <row r="285" spans="1:12" ht="18" customHeight="1">
      <c r="A285" s="1197">
        <v>68</v>
      </c>
      <c r="B285" s="1198" t="s">
        <v>713</v>
      </c>
      <c r="C285" s="993" t="s">
        <v>32</v>
      </c>
      <c r="D285" s="1200" t="s">
        <v>61</v>
      </c>
      <c r="E285" s="1200" t="s">
        <v>30</v>
      </c>
      <c r="F285" s="1200">
        <v>46140</v>
      </c>
      <c r="G285" s="1200">
        <v>46147</v>
      </c>
      <c r="H285" s="1939"/>
      <c r="I285" s="1939"/>
      <c r="J285" s="811" t="s">
        <v>29</v>
      </c>
      <c r="K285" s="1200" t="s">
        <v>555</v>
      </c>
    </row>
    <row r="286" spans="1:12" ht="18" customHeight="1">
      <c r="A286" s="1197">
        <v>69</v>
      </c>
      <c r="B286" s="1198" t="s">
        <v>384</v>
      </c>
      <c r="C286" s="993" t="s">
        <v>32</v>
      </c>
      <c r="D286" s="1200" t="s">
        <v>42</v>
      </c>
      <c r="E286" s="1200" t="s">
        <v>1926</v>
      </c>
      <c r="F286" s="1200">
        <v>46146</v>
      </c>
      <c r="G286" s="1200">
        <v>46150</v>
      </c>
      <c r="H286" s="1939"/>
      <c r="I286" s="1939"/>
      <c r="J286" s="811" t="s">
        <v>29</v>
      </c>
      <c r="K286" s="1196" t="s">
        <v>554</v>
      </c>
    </row>
    <row r="287" spans="1:12" ht="18" customHeight="1">
      <c r="A287" s="1197">
        <v>70</v>
      </c>
      <c r="B287" s="1198" t="s">
        <v>44</v>
      </c>
      <c r="C287" s="993" t="s">
        <v>1423</v>
      </c>
      <c r="D287" s="1200" t="s">
        <v>61</v>
      </c>
      <c r="E287" s="1200" t="s">
        <v>30</v>
      </c>
      <c r="F287" s="1200">
        <v>46148</v>
      </c>
      <c r="G287" s="1200">
        <v>46155</v>
      </c>
      <c r="H287" s="1939"/>
      <c r="I287" s="1939"/>
      <c r="J287" s="811" t="s">
        <v>29</v>
      </c>
      <c r="K287" s="1200" t="s">
        <v>555</v>
      </c>
    </row>
    <row r="288" spans="1:12" ht="18" customHeight="1">
      <c r="A288" s="1197">
        <v>71</v>
      </c>
      <c r="B288" s="1198" t="s">
        <v>407</v>
      </c>
      <c r="C288" s="993" t="s">
        <v>34</v>
      </c>
      <c r="D288" s="1200" t="s">
        <v>42</v>
      </c>
      <c r="E288" s="1200" t="s">
        <v>1926</v>
      </c>
      <c r="F288" s="1200">
        <v>46146</v>
      </c>
      <c r="G288" s="1200">
        <v>46155</v>
      </c>
      <c r="H288" s="1939"/>
      <c r="I288" s="1939"/>
      <c r="J288" s="811" t="s">
        <v>29</v>
      </c>
      <c r="K288" s="1196" t="s">
        <v>554</v>
      </c>
    </row>
    <row r="289" spans="1:11" ht="18" customHeight="1">
      <c r="A289" s="1197">
        <v>72</v>
      </c>
      <c r="B289" s="1198" t="s">
        <v>76</v>
      </c>
      <c r="C289" s="993" t="s">
        <v>50</v>
      </c>
      <c r="D289" s="1200" t="s">
        <v>61</v>
      </c>
      <c r="E289" s="1200" t="s">
        <v>30</v>
      </c>
      <c r="F289" s="1200">
        <v>46148</v>
      </c>
      <c r="G289" s="1200">
        <v>46161</v>
      </c>
      <c r="H289" s="1939"/>
      <c r="I289" s="1939"/>
      <c r="J289" s="811" t="s">
        <v>29</v>
      </c>
      <c r="K289" s="1200" t="s">
        <v>555</v>
      </c>
    </row>
    <row r="290" spans="1:11" ht="18" customHeight="1">
      <c r="A290" s="1197">
        <v>73</v>
      </c>
      <c r="B290" s="1198" t="s">
        <v>332</v>
      </c>
      <c r="C290" s="993" t="s">
        <v>48</v>
      </c>
      <c r="D290" s="1200" t="s">
        <v>61</v>
      </c>
      <c r="E290" s="1200" t="s">
        <v>30</v>
      </c>
      <c r="F290" s="1200">
        <v>46160</v>
      </c>
      <c r="G290" s="1200">
        <v>46163</v>
      </c>
      <c r="H290" s="1939"/>
      <c r="I290" s="1939"/>
      <c r="J290" s="811" t="s">
        <v>29</v>
      </c>
      <c r="K290" s="1196" t="s">
        <v>554</v>
      </c>
    </row>
    <row r="291" spans="1:11" ht="18" customHeight="1">
      <c r="A291" s="1197">
        <v>74</v>
      </c>
      <c r="B291" s="1198" t="s">
        <v>166</v>
      </c>
      <c r="C291" s="993" t="s">
        <v>1175</v>
      </c>
      <c r="D291" s="1200" t="s">
        <v>42</v>
      </c>
      <c r="E291" s="1200" t="s">
        <v>1926</v>
      </c>
      <c r="F291" s="1200">
        <v>46155</v>
      </c>
      <c r="G291" s="1200">
        <v>46164</v>
      </c>
      <c r="H291" s="1939"/>
      <c r="I291" s="1939"/>
      <c r="J291" s="811" t="s">
        <v>29</v>
      </c>
      <c r="K291" s="1200" t="s">
        <v>555</v>
      </c>
    </row>
    <row r="292" spans="1:11" ht="18" customHeight="1">
      <c r="A292" s="1197">
        <v>75</v>
      </c>
      <c r="B292" s="1198" t="s">
        <v>46</v>
      </c>
      <c r="C292" s="993" t="s">
        <v>53</v>
      </c>
      <c r="D292" s="1200" t="s">
        <v>42</v>
      </c>
      <c r="E292" s="1200" t="s">
        <v>1186</v>
      </c>
      <c r="F292" s="1200">
        <v>46153</v>
      </c>
      <c r="G292" s="1200">
        <v>46165</v>
      </c>
      <c r="H292" s="1939"/>
      <c r="I292" s="1939"/>
      <c r="J292" s="811" t="s">
        <v>29</v>
      </c>
      <c r="K292" s="1200" t="s">
        <v>555</v>
      </c>
    </row>
    <row r="293" spans="1:11" ht="18" customHeight="1">
      <c r="A293" s="1197">
        <v>76</v>
      </c>
      <c r="B293" s="1198" t="s">
        <v>65</v>
      </c>
      <c r="C293" s="993" t="s">
        <v>1424</v>
      </c>
      <c r="D293" s="1200" t="s">
        <v>42</v>
      </c>
      <c r="E293" s="1200" t="s">
        <v>2047</v>
      </c>
      <c r="F293" s="1200">
        <v>46158</v>
      </c>
      <c r="G293" s="1200">
        <v>46167</v>
      </c>
      <c r="H293" s="1939"/>
      <c r="I293" s="1939"/>
      <c r="J293" s="811" t="s">
        <v>29</v>
      </c>
      <c r="K293" s="1196" t="s">
        <v>554</v>
      </c>
    </row>
    <row r="294" spans="1:11" ht="18" customHeight="1">
      <c r="A294" s="1198">
        <v>77</v>
      </c>
      <c r="B294" s="1198" t="s">
        <v>403</v>
      </c>
      <c r="C294" s="993" t="s">
        <v>34</v>
      </c>
      <c r="D294" s="1200" t="s">
        <v>42</v>
      </c>
      <c r="E294" s="1200" t="s">
        <v>30</v>
      </c>
      <c r="F294" s="1200">
        <v>46165</v>
      </c>
      <c r="G294" s="1200">
        <v>46173</v>
      </c>
      <c r="H294" s="1939"/>
      <c r="I294" s="1939"/>
      <c r="J294" s="811" t="s">
        <v>29</v>
      </c>
      <c r="K294" s="1196" t="s">
        <v>554</v>
      </c>
    </row>
    <row r="295" spans="1:11" ht="18" customHeight="1">
      <c r="A295" s="1198">
        <v>78</v>
      </c>
      <c r="B295" s="1198" t="s">
        <v>198</v>
      </c>
      <c r="C295" s="993" t="s">
        <v>34</v>
      </c>
      <c r="D295" s="1200" t="s">
        <v>42</v>
      </c>
      <c r="E295" s="1200" t="s">
        <v>1926</v>
      </c>
      <c r="F295" s="1200">
        <v>46165</v>
      </c>
      <c r="G295" s="1200">
        <v>46173</v>
      </c>
      <c r="H295" s="1939"/>
      <c r="I295" s="1939"/>
      <c r="J295" s="811" t="s">
        <v>29</v>
      </c>
      <c r="K295" s="1196" t="s">
        <v>554</v>
      </c>
    </row>
    <row r="296" spans="1:11" ht="18" customHeight="1">
      <c r="A296" s="1198">
        <v>79</v>
      </c>
      <c r="B296" s="1198" t="s">
        <v>2072</v>
      </c>
      <c r="C296" s="993" t="s">
        <v>50</v>
      </c>
      <c r="D296" s="1200" t="s">
        <v>42</v>
      </c>
      <c r="E296" s="1200" t="s">
        <v>1186</v>
      </c>
      <c r="F296" s="1200">
        <v>46167</v>
      </c>
      <c r="G296" s="1200">
        <v>46173</v>
      </c>
      <c r="H296" s="1939"/>
      <c r="I296" s="1939"/>
      <c r="J296" s="811" t="s">
        <v>29</v>
      </c>
      <c r="K296" s="1200" t="s">
        <v>555</v>
      </c>
    </row>
    <row r="297" spans="1:11" ht="18" customHeight="1">
      <c r="A297" s="1198">
        <v>80</v>
      </c>
      <c r="B297" s="1198" t="s">
        <v>203</v>
      </c>
      <c r="C297" s="993" t="s">
        <v>34</v>
      </c>
      <c r="D297" s="1200" t="s">
        <v>42</v>
      </c>
      <c r="E297" s="1200" t="s">
        <v>2047</v>
      </c>
      <c r="F297" s="1200">
        <v>46167</v>
      </c>
      <c r="G297" s="1200">
        <v>46173</v>
      </c>
      <c r="H297" s="1940"/>
      <c r="I297" s="1940"/>
      <c r="J297" s="811" t="s">
        <v>29</v>
      </c>
      <c r="K297" s="1196" t="s">
        <v>554</v>
      </c>
    </row>
    <row r="298" spans="1:11" ht="18" customHeight="1">
      <c r="A298" s="698"/>
      <c r="B298" s="698"/>
      <c r="C298" s="698"/>
      <c r="D298" s="698"/>
      <c r="E298" s="698"/>
      <c r="F298" s="698"/>
      <c r="G298" s="698"/>
      <c r="H298" s="698"/>
      <c r="I298" s="698"/>
      <c r="J298" s="698"/>
      <c r="K298" s="698"/>
    </row>
    <row r="299" spans="1:11" ht="18" customHeight="1">
      <c r="A299" s="698"/>
      <c r="B299" s="698"/>
      <c r="C299" s="698"/>
      <c r="D299" s="698"/>
      <c r="E299" s="698"/>
      <c r="F299" s="698"/>
      <c r="G299" s="698"/>
      <c r="H299" s="698"/>
      <c r="I299" s="698"/>
      <c r="J299" s="698"/>
      <c r="K299" s="698"/>
    </row>
    <row r="300" spans="1:11" ht="18" customHeight="1">
      <c r="A300" s="698"/>
      <c r="B300" s="698"/>
      <c r="C300" s="698"/>
      <c r="D300" s="698"/>
      <c r="E300" s="698"/>
      <c r="F300" s="698"/>
      <c r="G300" s="698"/>
      <c r="H300" s="698"/>
      <c r="I300" s="698"/>
      <c r="J300" s="698"/>
      <c r="K300" s="698"/>
    </row>
    <row r="301" spans="1:11" ht="18" customHeight="1">
      <c r="A301" s="698"/>
      <c r="B301" s="698"/>
      <c r="C301" s="698"/>
      <c r="D301" s="698"/>
      <c r="E301" s="698"/>
      <c r="F301" s="698"/>
      <c r="G301" s="698"/>
      <c r="H301" s="698"/>
      <c r="I301" s="698"/>
      <c r="J301" s="698"/>
      <c r="K301" s="698"/>
    </row>
    <row r="302" spans="1:11" ht="18" customHeight="1">
      <c r="A302" s="698"/>
      <c r="B302" s="698"/>
      <c r="C302" s="698"/>
      <c r="D302" s="698"/>
      <c r="E302" s="698"/>
      <c r="F302" s="698"/>
      <c r="G302" s="698"/>
      <c r="H302" s="698"/>
      <c r="I302" s="698"/>
      <c r="J302" s="698"/>
      <c r="K302" s="698"/>
    </row>
    <row r="303" spans="1:11" ht="18" customHeight="1">
      <c r="A303" s="698"/>
      <c r="B303" s="698"/>
      <c r="C303" s="698"/>
      <c r="D303" s="698"/>
      <c r="E303" s="698"/>
      <c r="F303" s="698"/>
      <c r="G303" s="698"/>
      <c r="H303" s="698"/>
      <c r="I303" s="698"/>
      <c r="J303" s="698"/>
      <c r="K303" s="698"/>
    </row>
    <row r="304" spans="1:11" ht="18" customHeight="1">
      <c r="A304" s="698"/>
      <c r="B304" s="698"/>
      <c r="C304" s="698"/>
      <c r="D304" s="698"/>
      <c r="E304" s="698"/>
      <c r="F304" s="698"/>
      <c r="G304" s="698"/>
      <c r="H304" s="698"/>
      <c r="I304" s="698"/>
      <c r="J304" s="698"/>
      <c r="K304" s="698"/>
    </row>
    <row r="305" spans="1:11" ht="18" customHeight="1">
      <c r="A305" s="698"/>
      <c r="B305" s="698"/>
      <c r="C305" s="698"/>
      <c r="D305" s="698"/>
      <c r="E305" s="698"/>
      <c r="F305" s="698"/>
      <c r="G305" s="698"/>
      <c r="H305" s="698"/>
      <c r="I305" s="698"/>
      <c r="J305" s="698"/>
      <c r="K305" s="698"/>
    </row>
    <row r="306" spans="1:11" ht="18" customHeight="1">
      <c r="A306" s="698"/>
      <c r="B306" s="698"/>
      <c r="C306" s="698"/>
      <c r="D306" s="698"/>
      <c r="E306" s="698"/>
      <c r="F306" s="698"/>
      <c r="G306" s="698"/>
      <c r="H306" s="698"/>
      <c r="I306" s="698"/>
      <c r="J306" s="698"/>
      <c r="K306" s="698"/>
    </row>
    <row r="307" spans="1:11" ht="18" customHeight="1">
      <c r="A307" s="698"/>
      <c r="B307" s="698"/>
      <c r="C307" s="698"/>
      <c r="D307" s="698"/>
      <c r="E307" s="698"/>
      <c r="F307" s="698"/>
      <c r="G307" s="698"/>
      <c r="H307" s="698"/>
      <c r="I307" s="698"/>
      <c r="J307" s="698"/>
      <c r="K307" s="698"/>
    </row>
    <row r="308" spans="1:11" ht="18" customHeight="1">
      <c r="A308" s="698"/>
      <c r="B308" s="698"/>
      <c r="C308" s="698"/>
      <c r="D308" s="698"/>
      <c r="E308" s="698"/>
      <c r="F308" s="698"/>
      <c r="G308" s="698"/>
      <c r="H308" s="698"/>
      <c r="I308" s="698"/>
      <c r="J308" s="698"/>
      <c r="K308" s="698"/>
    </row>
    <row r="309" spans="1:11" ht="18" customHeight="1">
      <c r="A309" s="698"/>
      <c r="B309" s="698"/>
      <c r="C309" s="698"/>
      <c r="D309" s="698"/>
      <c r="E309" s="698"/>
      <c r="F309" s="698"/>
      <c r="G309" s="698"/>
      <c r="H309" s="698"/>
      <c r="I309" s="698"/>
      <c r="J309" s="698"/>
      <c r="K309" s="698"/>
    </row>
    <row r="310" spans="1:11" ht="18" customHeight="1">
      <c r="A310" s="698"/>
      <c r="B310" s="698"/>
      <c r="C310" s="698"/>
      <c r="D310" s="698"/>
      <c r="E310" s="698"/>
      <c r="F310" s="698"/>
      <c r="G310" s="698"/>
      <c r="H310" s="698"/>
      <c r="I310" s="698"/>
      <c r="J310" s="698"/>
      <c r="K310" s="698"/>
    </row>
    <row r="311" spans="1:11" ht="18" customHeight="1">
      <c r="A311" s="698"/>
      <c r="B311" s="698"/>
      <c r="C311" s="698"/>
      <c r="D311" s="698"/>
      <c r="E311" s="698"/>
      <c r="F311" s="698"/>
      <c r="G311" s="698"/>
      <c r="H311" s="698"/>
      <c r="I311" s="698"/>
      <c r="J311" s="698"/>
      <c r="K311" s="698"/>
    </row>
    <row r="312" spans="1:11" ht="18" customHeight="1">
      <c r="A312" s="698"/>
      <c r="B312" s="698"/>
      <c r="C312" s="698"/>
      <c r="D312" s="698"/>
      <c r="E312" s="698"/>
      <c r="F312" s="698"/>
      <c r="G312" s="698"/>
      <c r="H312" s="698"/>
      <c r="I312" s="698"/>
      <c r="J312" s="698"/>
      <c r="K312" s="698"/>
    </row>
    <row r="313" spans="1:11" ht="18" customHeight="1">
      <c r="A313" s="698"/>
      <c r="B313" s="698"/>
      <c r="C313" s="698"/>
      <c r="D313" s="698"/>
      <c r="E313" s="698"/>
      <c r="F313" s="698"/>
      <c r="G313" s="698"/>
      <c r="H313" s="698"/>
      <c r="I313" s="698"/>
      <c r="J313" s="698"/>
      <c r="K313" s="698"/>
    </row>
    <row r="314" spans="1:11" ht="18" customHeight="1">
      <c r="A314" s="698"/>
      <c r="B314" s="698"/>
      <c r="C314" s="698"/>
      <c r="D314" s="698"/>
      <c r="E314" s="698"/>
      <c r="F314" s="698"/>
      <c r="G314" s="698"/>
      <c r="H314" s="698"/>
      <c r="I314" s="698"/>
      <c r="J314" s="698"/>
      <c r="K314" s="698"/>
    </row>
    <row r="315" spans="1:11" ht="18" customHeight="1">
      <c r="A315" s="698"/>
      <c r="B315" s="698"/>
      <c r="C315" s="698"/>
      <c r="D315" s="698"/>
      <c r="E315" s="698"/>
      <c r="F315" s="698"/>
      <c r="G315" s="698"/>
      <c r="H315" s="698"/>
      <c r="I315" s="698"/>
      <c r="J315" s="698"/>
      <c r="K315" s="698"/>
    </row>
    <row r="316" spans="1:11" ht="18" customHeight="1">
      <c r="A316" s="698"/>
      <c r="B316" s="698"/>
      <c r="C316" s="698"/>
      <c r="D316" s="698"/>
      <c r="E316" s="698"/>
      <c r="F316" s="698"/>
      <c r="G316" s="698"/>
      <c r="H316" s="698"/>
      <c r="I316" s="698"/>
      <c r="J316" s="698"/>
      <c r="K316" s="698"/>
    </row>
    <row r="317" spans="1:11" ht="18" customHeight="1">
      <c r="A317" s="698"/>
      <c r="B317" s="698"/>
      <c r="C317" s="698"/>
      <c r="D317" s="698"/>
      <c r="E317" s="698"/>
      <c r="F317" s="698"/>
      <c r="G317" s="698"/>
      <c r="H317" s="698"/>
      <c r="I317" s="698"/>
      <c r="J317" s="698"/>
      <c r="K317" s="698"/>
    </row>
    <row r="318" spans="1:11" ht="18" customHeight="1">
      <c r="A318" s="698"/>
      <c r="B318" s="698"/>
      <c r="C318" s="698"/>
      <c r="D318" s="698"/>
      <c r="E318" s="698"/>
      <c r="F318" s="698"/>
      <c r="G318" s="698"/>
      <c r="H318" s="698"/>
      <c r="I318" s="698"/>
      <c r="J318" s="698"/>
      <c r="K318" s="698"/>
    </row>
    <row r="319" spans="1:11" ht="18" customHeight="1">
      <c r="A319" s="698"/>
      <c r="B319" s="698"/>
      <c r="C319" s="698"/>
      <c r="D319" s="698"/>
      <c r="E319" s="698"/>
      <c r="F319" s="698"/>
      <c r="G319" s="698"/>
      <c r="H319" s="698"/>
      <c r="I319" s="698"/>
      <c r="J319" s="698"/>
      <c r="K319" s="698"/>
    </row>
    <row r="320" spans="1:11" ht="18" customHeight="1">
      <c r="A320" s="698"/>
      <c r="B320" s="698"/>
      <c r="C320" s="698"/>
      <c r="D320" s="698"/>
      <c r="E320" s="698"/>
      <c r="F320" s="698"/>
      <c r="G320" s="698"/>
      <c r="H320" s="698"/>
      <c r="I320" s="698"/>
      <c r="J320" s="698"/>
      <c r="K320" s="698"/>
    </row>
    <row r="321" spans="1:11" ht="18" customHeight="1">
      <c r="A321" s="698"/>
      <c r="B321" s="698"/>
      <c r="C321" s="698"/>
      <c r="D321" s="698"/>
      <c r="E321" s="698"/>
      <c r="F321" s="698"/>
      <c r="G321" s="698"/>
      <c r="H321" s="698"/>
      <c r="I321" s="698"/>
      <c r="J321" s="698"/>
      <c r="K321" s="698"/>
    </row>
    <row r="322" spans="1:11" ht="18" customHeight="1">
      <c r="A322" s="698"/>
      <c r="B322" s="698"/>
      <c r="C322" s="698"/>
      <c r="D322" s="698"/>
      <c r="E322" s="698"/>
      <c r="F322" s="698"/>
      <c r="G322" s="698"/>
      <c r="H322" s="698"/>
      <c r="I322" s="698"/>
      <c r="J322" s="698"/>
      <c r="K322" s="698"/>
    </row>
    <row r="323" spans="1:11" ht="18" customHeight="1">
      <c r="A323" s="698"/>
      <c r="B323" s="698"/>
      <c r="C323" s="698"/>
      <c r="D323" s="698"/>
      <c r="E323" s="698"/>
      <c r="F323" s="698"/>
      <c r="G323" s="698"/>
      <c r="H323" s="698"/>
      <c r="I323" s="698"/>
      <c r="J323" s="698"/>
      <c r="K323" s="698"/>
    </row>
    <row r="324" spans="1:11" ht="18" customHeight="1">
      <c r="A324" s="698"/>
      <c r="B324" s="698"/>
      <c r="C324" s="698"/>
      <c r="D324" s="698"/>
      <c r="E324" s="698"/>
      <c r="F324" s="698"/>
      <c r="G324" s="698"/>
      <c r="H324" s="698"/>
      <c r="I324" s="698"/>
      <c r="J324" s="698"/>
      <c r="K324" s="698"/>
    </row>
    <row r="325" spans="1:11" ht="18" customHeight="1">
      <c r="A325" s="698"/>
      <c r="B325" s="698"/>
      <c r="C325" s="698"/>
      <c r="D325" s="698"/>
      <c r="E325" s="698"/>
      <c r="F325" s="698"/>
      <c r="G325" s="698"/>
      <c r="H325" s="698"/>
      <c r="I325" s="698"/>
      <c r="J325" s="698"/>
      <c r="K325" s="698"/>
    </row>
    <row r="326" spans="1:11" ht="18" customHeight="1">
      <c r="A326" s="698"/>
      <c r="B326" s="698"/>
      <c r="C326" s="698"/>
      <c r="D326" s="698"/>
      <c r="E326" s="698"/>
      <c r="F326" s="698"/>
      <c r="G326" s="698"/>
      <c r="H326" s="698"/>
      <c r="I326" s="698"/>
      <c r="J326" s="698"/>
      <c r="K326" s="698"/>
    </row>
    <row r="327" spans="1:11" ht="18" customHeight="1">
      <c r="A327" s="698"/>
      <c r="B327" s="698"/>
      <c r="C327" s="698"/>
      <c r="D327" s="698"/>
      <c r="E327" s="698"/>
      <c r="F327" s="698"/>
      <c r="G327" s="698"/>
      <c r="H327" s="698"/>
      <c r="I327" s="698"/>
      <c r="J327" s="698"/>
      <c r="K327" s="698"/>
    </row>
    <row r="328" spans="1:11" ht="18" customHeight="1">
      <c r="A328" s="698"/>
      <c r="B328" s="698"/>
      <c r="C328" s="698"/>
      <c r="D328" s="698"/>
      <c r="E328" s="698"/>
      <c r="F328" s="698"/>
      <c r="G328" s="698"/>
      <c r="H328" s="698"/>
      <c r="I328" s="698"/>
      <c r="J328" s="698"/>
      <c r="K328" s="698"/>
    </row>
    <row r="329" spans="1:11" ht="18" customHeight="1">
      <c r="A329" s="698"/>
      <c r="B329" s="698"/>
      <c r="C329" s="698"/>
      <c r="D329" s="698"/>
      <c r="E329" s="698"/>
      <c r="F329" s="698"/>
      <c r="G329" s="698"/>
      <c r="H329" s="698"/>
      <c r="I329" s="698"/>
      <c r="J329" s="698"/>
      <c r="K329" s="698"/>
    </row>
    <row r="330" spans="1:11" ht="18" customHeight="1">
      <c r="A330" s="698"/>
      <c r="B330" s="698"/>
      <c r="C330" s="698"/>
      <c r="D330" s="698"/>
      <c r="E330" s="698"/>
      <c r="F330" s="698"/>
      <c r="G330" s="698"/>
      <c r="H330" s="698"/>
      <c r="I330" s="698"/>
      <c r="J330" s="698"/>
      <c r="K330" s="698"/>
    </row>
    <row r="331" spans="1:11" ht="18" customHeight="1">
      <c r="A331" s="698"/>
      <c r="B331" s="698"/>
      <c r="C331" s="698"/>
      <c r="D331" s="698"/>
      <c r="E331" s="698"/>
      <c r="F331" s="698"/>
      <c r="G331" s="698"/>
      <c r="H331" s="698"/>
      <c r="I331" s="698"/>
      <c r="J331" s="698"/>
      <c r="K331" s="698"/>
    </row>
    <row r="332" spans="1:11" ht="18" customHeight="1">
      <c r="A332" s="698"/>
      <c r="B332" s="698"/>
      <c r="C332" s="698"/>
      <c r="D332" s="698"/>
      <c r="E332" s="698"/>
      <c r="F332" s="698"/>
      <c r="G332" s="698"/>
      <c r="H332" s="698"/>
      <c r="I332" s="698"/>
      <c r="J332" s="698"/>
      <c r="K332" s="698"/>
    </row>
    <row r="333" spans="1:11" ht="18" customHeight="1">
      <c r="A333" s="698"/>
      <c r="B333" s="698"/>
      <c r="C333" s="698"/>
      <c r="D333" s="698"/>
      <c r="E333" s="698"/>
      <c r="F333" s="698"/>
      <c r="G333" s="698"/>
      <c r="H333" s="698"/>
      <c r="I333" s="698"/>
      <c r="J333" s="698"/>
      <c r="K333" s="698"/>
    </row>
    <row r="334" spans="1:11" ht="18" customHeight="1">
      <c r="A334" s="698"/>
      <c r="B334" s="698"/>
      <c r="C334" s="698"/>
      <c r="D334" s="698"/>
      <c r="E334" s="698"/>
      <c r="F334" s="698"/>
      <c r="G334" s="698"/>
      <c r="H334" s="698"/>
      <c r="I334" s="698"/>
      <c r="J334" s="698"/>
      <c r="K334" s="698"/>
    </row>
    <row r="335" spans="1:11" ht="18" customHeight="1">
      <c r="A335" s="698"/>
      <c r="B335" s="698"/>
      <c r="C335" s="698"/>
      <c r="D335" s="698"/>
      <c r="E335" s="698"/>
      <c r="F335" s="698"/>
      <c r="G335" s="698"/>
      <c r="H335" s="698"/>
      <c r="I335" s="698"/>
      <c r="J335" s="698"/>
      <c r="K335" s="698"/>
    </row>
    <row r="336" spans="1:11" ht="18" customHeight="1">
      <c r="A336" s="698"/>
      <c r="B336" s="698"/>
      <c r="C336" s="698"/>
      <c r="D336" s="698"/>
      <c r="E336" s="698"/>
      <c r="F336" s="698"/>
      <c r="G336" s="698"/>
      <c r="H336" s="698"/>
      <c r="I336" s="698"/>
      <c r="J336" s="698"/>
      <c r="K336" s="698"/>
    </row>
    <row r="337" spans="1:11" ht="18" customHeight="1">
      <c r="A337" s="698"/>
      <c r="B337" s="698"/>
      <c r="C337" s="698"/>
      <c r="D337" s="698"/>
      <c r="E337" s="698"/>
      <c r="F337" s="698"/>
      <c r="G337" s="698"/>
      <c r="H337" s="698"/>
      <c r="I337" s="698"/>
      <c r="J337" s="698"/>
      <c r="K337" s="698"/>
    </row>
    <row r="338" spans="1:11" ht="18" customHeight="1">
      <c r="A338" s="698"/>
      <c r="B338" s="698"/>
      <c r="C338" s="698"/>
      <c r="D338" s="698"/>
      <c r="E338" s="698"/>
      <c r="F338" s="698"/>
      <c r="G338" s="698"/>
      <c r="H338" s="698"/>
      <c r="I338" s="698"/>
      <c r="J338" s="698"/>
      <c r="K338" s="698"/>
    </row>
    <row r="339" spans="1:11" ht="18" customHeight="1">
      <c r="A339" s="698"/>
      <c r="B339" s="698"/>
      <c r="C339" s="698"/>
      <c r="D339" s="698"/>
      <c r="E339" s="698"/>
      <c r="F339" s="698"/>
      <c r="G339" s="698"/>
      <c r="H339" s="698"/>
      <c r="I339" s="698"/>
      <c r="J339" s="698"/>
      <c r="K339" s="698"/>
    </row>
    <row r="340" spans="1:11" ht="18" customHeight="1">
      <c r="A340" s="698"/>
      <c r="B340" s="698"/>
      <c r="C340" s="698"/>
      <c r="D340" s="698"/>
      <c r="E340" s="698"/>
      <c r="F340" s="698"/>
      <c r="G340" s="698"/>
      <c r="H340" s="698"/>
      <c r="I340" s="698"/>
      <c r="J340" s="698"/>
      <c r="K340" s="698"/>
    </row>
    <row r="341" spans="1:11" ht="18" customHeight="1">
      <c r="A341" s="698"/>
      <c r="B341" s="698"/>
      <c r="C341" s="698"/>
      <c r="D341" s="698"/>
      <c r="E341" s="698"/>
      <c r="F341" s="698"/>
      <c r="G341" s="698"/>
      <c r="H341" s="698"/>
      <c r="I341" s="698"/>
      <c r="J341" s="698"/>
      <c r="K341" s="698"/>
    </row>
    <row r="342" spans="1:11" ht="18" customHeight="1">
      <c r="A342" s="698"/>
      <c r="B342" s="698"/>
      <c r="C342" s="698"/>
      <c r="D342" s="698"/>
      <c r="E342" s="698"/>
      <c r="F342" s="698"/>
      <c r="G342" s="698"/>
      <c r="H342" s="698"/>
      <c r="I342" s="698"/>
      <c r="J342" s="698"/>
      <c r="K342" s="698"/>
    </row>
    <row r="343" spans="1:11" ht="18" customHeight="1">
      <c r="A343" s="698"/>
      <c r="B343" s="698"/>
      <c r="C343" s="698"/>
      <c r="D343" s="698"/>
      <c r="E343" s="698"/>
      <c r="F343" s="698"/>
      <c r="G343" s="698"/>
      <c r="H343" s="698"/>
      <c r="I343" s="698"/>
      <c r="J343" s="698"/>
      <c r="K343" s="698"/>
    </row>
    <row r="344" spans="1:11" ht="18" customHeight="1">
      <c r="A344" s="698"/>
      <c r="B344" s="698"/>
      <c r="C344" s="698"/>
      <c r="D344" s="698"/>
      <c r="E344" s="698"/>
      <c r="F344" s="698"/>
      <c r="G344" s="698"/>
      <c r="H344" s="698"/>
      <c r="I344" s="698"/>
      <c r="J344" s="698"/>
      <c r="K344" s="698"/>
    </row>
    <row r="345" spans="1:11" ht="18" customHeight="1">
      <c r="A345" s="698"/>
      <c r="B345" s="698"/>
      <c r="C345" s="698"/>
      <c r="D345" s="698"/>
      <c r="E345" s="698"/>
      <c r="F345" s="698"/>
      <c r="G345" s="698"/>
      <c r="H345" s="698"/>
      <c r="I345" s="698"/>
      <c r="J345" s="698"/>
      <c r="K345" s="698"/>
    </row>
    <row r="346" spans="1:11" ht="18" customHeight="1">
      <c r="A346" s="698"/>
      <c r="B346" s="698"/>
      <c r="C346" s="698"/>
      <c r="D346" s="698"/>
      <c r="E346" s="698"/>
      <c r="F346" s="698"/>
      <c r="G346" s="698"/>
      <c r="H346" s="698"/>
      <c r="I346" s="698"/>
      <c r="J346" s="698"/>
      <c r="K346" s="698"/>
    </row>
    <row r="347" spans="1:11" ht="18" customHeight="1">
      <c r="A347" s="698"/>
      <c r="B347" s="698"/>
      <c r="C347" s="698"/>
      <c r="D347" s="698"/>
      <c r="E347" s="698"/>
      <c r="F347" s="698"/>
      <c r="G347" s="698"/>
      <c r="H347" s="698"/>
      <c r="I347" s="698"/>
      <c r="J347" s="698"/>
      <c r="K347" s="698"/>
    </row>
    <row r="348" spans="1:11" ht="18" customHeight="1">
      <c r="A348" s="698"/>
      <c r="B348" s="698"/>
      <c r="C348" s="698"/>
      <c r="D348" s="698"/>
      <c r="E348" s="698"/>
      <c r="F348" s="698"/>
      <c r="G348" s="698"/>
      <c r="H348" s="698"/>
      <c r="I348" s="698"/>
      <c r="J348" s="698"/>
      <c r="K348" s="698"/>
    </row>
    <row r="349" spans="1:11" ht="18" customHeight="1">
      <c r="A349" s="698"/>
      <c r="B349" s="698"/>
      <c r="C349" s="698"/>
      <c r="D349" s="698"/>
      <c r="E349" s="698"/>
      <c r="F349" s="698"/>
      <c r="G349" s="698"/>
      <c r="H349" s="698"/>
      <c r="I349" s="698"/>
      <c r="J349" s="698"/>
      <c r="K349" s="698"/>
    </row>
    <row r="350" spans="1:11" ht="18" customHeight="1">
      <c r="A350" s="698"/>
      <c r="B350" s="698"/>
      <c r="C350" s="698"/>
      <c r="D350" s="698"/>
      <c r="E350" s="698"/>
      <c r="F350" s="698"/>
      <c r="G350" s="698"/>
      <c r="H350" s="698"/>
      <c r="I350" s="698"/>
      <c r="J350" s="698"/>
      <c r="K350" s="698"/>
    </row>
    <row r="351" spans="1:11" ht="18" customHeight="1">
      <c r="A351" s="698"/>
      <c r="B351" s="698"/>
      <c r="C351" s="698"/>
      <c r="D351" s="698"/>
      <c r="E351" s="698"/>
      <c r="F351" s="698"/>
      <c r="G351" s="698"/>
      <c r="H351" s="698"/>
      <c r="I351" s="698"/>
      <c r="J351" s="698"/>
      <c r="K351" s="698"/>
    </row>
    <row r="352" spans="1:11" ht="18" customHeight="1">
      <c r="A352" s="698"/>
      <c r="B352" s="698"/>
      <c r="C352" s="698"/>
      <c r="D352" s="698"/>
      <c r="E352" s="698"/>
      <c r="F352" s="698"/>
      <c r="G352" s="698"/>
      <c r="H352" s="698"/>
      <c r="I352" s="698"/>
      <c r="J352" s="698"/>
      <c r="K352" s="698"/>
    </row>
    <row r="353" spans="1:11" ht="18" customHeight="1">
      <c r="A353" s="698"/>
      <c r="B353" s="698"/>
      <c r="C353" s="698"/>
      <c r="D353" s="698"/>
      <c r="E353" s="698"/>
      <c r="F353" s="698"/>
      <c r="G353" s="698"/>
      <c r="H353" s="698"/>
      <c r="I353" s="698"/>
      <c r="J353" s="698"/>
      <c r="K353" s="698"/>
    </row>
    <row r="354" spans="1:11" ht="18" customHeight="1">
      <c r="A354" s="698"/>
      <c r="B354" s="698"/>
      <c r="C354" s="698"/>
      <c r="D354" s="698"/>
      <c r="E354" s="698"/>
      <c r="F354" s="698"/>
      <c r="G354" s="698"/>
      <c r="H354" s="698"/>
      <c r="I354" s="698"/>
      <c r="J354" s="698"/>
      <c r="K354" s="698"/>
    </row>
    <row r="355" spans="1:11" ht="18" customHeight="1">
      <c r="A355" s="698"/>
      <c r="B355" s="698"/>
      <c r="C355" s="698"/>
      <c r="D355" s="698"/>
      <c r="E355" s="698"/>
      <c r="F355" s="698"/>
      <c r="G355" s="698"/>
      <c r="H355" s="698"/>
      <c r="I355" s="698"/>
      <c r="J355" s="698"/>
      <c r="K355" s="698"/>
    </row>
    <row r="356" spans="1:11" ht="18" customHeight="1">
      <c r="A356" s="698"/>
      <c r="B356" s="698"/>
      <c r="C356" s="698"/>
      <c r="D356" s="698"/>
      <c r="E356" s="698"/>
      <c r="F356" s="698"/>
      <c r="G356" s="698"/>
      <c r="H356" s="698"/>
      <c r="I356" s="698"/>
      <c r="J356" s="698"/>
      <c r="K356" s="698"/>
    </row>
    <row r="357" spans="1:11" ht="18" customHeight="1">
      <c r="A357" s="698"/>
      <c r="B357" s="698"/>
      <c r="C357" s="698"/>
      <c r="D357" s="698"/>
      <c r="E357" s="698"/>
      <c r="F357" s="698"/>
      <c r="G357" s="698"/>
      <c r="H357" s="698"/>
      <c r="I357" s="698"/>
      <c r="J357" s="698"/>
      <c r="K357" s="698"/>
    </row>
    <row r="358" spans="1:11" ht="18" customHeight="1">
      <c r="A358" s="698"/>
      <c r="B358" s="698"/>
      <c r="C358" s="698"/>
      <c r="D358" s="698"/>
      <c r="E358" s="698"/>
      <c r="F358" s="698"/>
      <c r="G358" s="698"/>
      <c r="H358" s="698"/>
      <c r="I358" s="698"/>
      <c r="J358" s="698"/>
      <c r="K358" s="698"/>
    </row>
    <row r="359" spans="1:11" ht="18" customHeight="1">
      <c r="A359" s="698"/>
      <c r="B359" s="698"/>
      <c r="C359" s="698"/>
      <c r="D359" s="698"/>
      <c r="E359" s="698"/>
      <c r="F359" s="698"/>
      <c r="G359" s="698"/>
      <c r="H359" s="698"/>
      <c r="I359" s="698"/>
      <c r="J359" s="698"/>
      <c r="K359" s="698"/>
    </row>
    <row r="360" spans="1:11" ht="18" customHeight="1">
      <c r="A360" s="698"/>
      <c r="B360" s="698"/>
      <c r="C360" s="698"/>
      <c r="D360" s="698"/>
      <c r="E360" s="698"/>
      <c r="F360" s="698"/>
      <c r="G360" s="698"/>
      <c r="H360" s="698"/>
      <c r="I360" s="698"/>
      <c r="J360" s="698"/>
      <c r="K360" s="698"/>
    </row>
    <row r="361" spans="1:11" ht="18" customHeight="1">
      <c r="A361" s="698"/>
      <c r="B361" s="698"/>
      <c r="C361" s="698"/>
      <c r="D361" s="698"/>
      <c r="E361" s="698"/>
      <c r="F361" s="698"/>
      <c r="G361" s="698"/>
      <c r="H361" s="698"/>
      <c r="I361" s="698"/>
      <c r="J361" s="698"/>
      <c r="K361" s="698"/>
    </row>
    <row r="362" spans="1:11" ht="18" customHeight="1">
      <c r="A362" s="698"/>
      <c r="B362" s="698"/>
      <c r="C362" s="698"/>
      <c r="D362" s="698"/>
      <c r="E362" s="698"/>
      <c r="F362" s="698"/>
      <c r="G362" s="698"/>
      <c r="H362" s="698"/>
      <c r="I362" s="698"/>
      <c r="J362" s="698"/>
      <c r="K362" s="698"/>
    </row>
    <row r="363" spans="1:11" ht="18" customHeight="1">
      <c r="A363" s="698"/>
      <c r="B363" s="698"/>
      <c r="C363" s="698"/>
      <c r="D363" s="698"/>
      <c r="E363" s="698"/>
      <c r="F363" s="698"/>
      <c r="G363" s="698"/>
      <c r="H363" s="698"/>
      <c r="I363" s="698"/>
      <c r="J363" s="698"/>
      <c r="K363" s="698"/>
    </row>
    <row r="364" spans="1:11" ht="18" customHeight="1">
      <c r="A364" s="698"/>
      <c r="B364" s="698"/>
      <c r="C364" s="698"/>
      <c r="D364" s="698"/>
      <c r="E364" s="698"/>
      <c r="F364" s="698"/>
      <c r="G364" s="698"/>
      <c r="H364" s="698"/>
      <c r="I364" s="698"/>
      <c r="J364" s="698"/>
      <c r="K364" s="698"/>
    </row>
    <row r="365" spans="1:11" ht="18" customHeight="1">
      <c r="A365" s="698"/>
      <c r="B365" s="698"/>
      <c r="C365" s="698"/>
      <c r="D365" s="698"/>
      <c r="E365" s="698"/>
      <c r="F365" s="698"/>
      <c r="G365" s="698"/>
      <c r="H365" s="698"/>
      <c r="I365" s="698"/>
      <c r="J365" s="698"/>
      <c r="K365" s="698"/>
    </row>
    <row r="366" spans="1:11" ht="18" customHeight="1">
      <c r="A366" s="698"/>
      <c r="B366" s="698"/>
      <c r="C366" s="698"/>
      <c r="D366" s="698"/>
      <c r="E366" s="698"/>
      <c r="F366" s="698"/>
      <c r="G366" s="698"/>
      <c r="H366" s="698"/>
      <c r="I366" s="698"/>
      <c r="J366" s="698"/>
      <c r="K366" s="698"/>
    </row>
    <row r="367" spans="1:11" ht="18" customHeight="1">
      <c r="A367" s="698"/>
      <c r="B367" s="698"/>
      <c r="C367" s="698"/>
      <c r="D367" s="698"/>
      <c r="E367" s="698"/>
      <c r="F367" s="698"/>
      <c r="G367" s="698"/>
      <c r="H367" s="698"/>
      <c r="I367" s="698"/>
      <c r="J367" s="698"/>
      <c r="K367" s="698"/>
    </row>
    <row r="368" spans="1:11" ht="18" customHeight="1">
      <c r="A368" s="698"/>
      <c r="B368" s="698"/>
      <c r="C368" s="698"/>
      <c r="D368" s="698"/>
      <c r="E368" s="698"/>
      <c r="F368" s="698"/>
      <c r="G368" s="698"/>
      <c r="H368" s="698"/>
      <c r="I368" s="698"/>
      <c r="J368" s="698"/>
      <c r="K368" s="698"/>
    </row>
    <row r="369" spans="1:11" ht="18" customHeight="1">
      <c r="A369" s="698"/>
      <c r="B369" s="698"/>
      <c r="C369" s="698"/>
      <c r="D369" s="698"/>
      <c r="E369" s="698"/>
      <c r="F369" s="698"/>
      <c r="G369" s="698"/>
      <c r="H369" s="698"/>
      <c r="I369" s="698"/>
      <c r="J369" s="698"/>
      <c r="K369" s="698"/>
    </row>
    <row r="370" spans="1:11" ht="18" customHeight="1">
      <c r="A370" s="698"/>
      <c r="B370" s="698"/>
      <c r="C370" s="698"/>
      <c r="D370" s="698"/>
      <c r="E370" s="698"/>
      <c r="F370" s="698"/>
      <c r="G370" s="698"/>
      <c r="H370" s="698"/>
      <c r="I370" s="698"/>
      <c r="J370" s="698"/>
      <c r="K370" s="698"/>
    </row>
    <row r="371" spans="1:11" ht="18" customHeight="1">
      <c r="A371" s="698"/>
      <c r="B371" s="698"/>
      <c r="C371" s="698"/>
      <c r="D371" s="698"/>
      <c r="E371" s="698"/>
      <c r="F371" s="698"/>
      <c r="G371" s="698"/>
      <c r="H371" s="698"/>
      <c r="I371" s="698"/>
      <c r="J371" s="698"/>
      <c r="K371" s="698"/>
    </row>
    <row r="372" spans="1:11" ht="18" customHeight="1">
      <c r="A372" s="698"/>
      <c r="B372" s="698"/>
      <c r="C372" s="698"/>
      <c r="D372" s="698"/>
      <c r="E372" s="698"/>
      <c r="F372" s="698"/>
      <c r="G372" s="698"/>
      <c r="H372" s="698"/>
      <c r="I372" s="698"/>
      <c r="J372" s="698"/>
      <c r="K372" s="698"/>
    </row>
    <row r="373" spans="1:11" ht="18" customHeight="1">
      <c r="A373" s="698"/>
      <c r="B373" s="698"/>
      <c r="C373" s="698"/>
      <c r="D373" s="698"/>
      <c r="E373" s="698"/>
      <c r="F373" s="698"/>
      <c r="G373" s="698"/>
      <c r="H373" s="698"/>
      <c r="I373" s="698"/>
      <c r="J373" s="698"/>
      <c r="K373" s="698"/>
    </row>
    <row r="374" spans="1:11" ht="18" customHeight="1">
      <c r="A374" s="698"/>
      <c r="B374" s="698"/>
      <c r="C374" s="698"/>
      <c r="D374" s="698"/>
      <c r="E374" s="698"/>
      <c r="F374" s="698"/>
      <c r="G374" s="698"/>
      <c r="H374" s="698"/>
      <c r="I374" s="698"/>
      <c r="J374" s="698"/>
      <c r="K374" s="698"/>
    </row>
    <row r="375" spans="1:11" ht="18" customHeight="1">
      <c r="A375" s="698"/>
      <c r="B375" s="698"/>
      <c r="C375" s="698"/>
      <c r="D375" s="698"/>
      <c r="E375" s="698"/>
      <c r="F375" s="698"/>
      <c r="G375" s="698"/>
      <c r="H375" s="698"/>
      <c r="I375" s="698"/>
      <c r="J375" s="698"/>
      <c r="K375" s="698"/>
    </row>
    <row r="376" spans="1:11" ht="18" customHeight="1">
      <c r="A376" s="698"/>
      <c r="B376" s="698"/>
      <c r="C376" s="698"/>
      <c r="D376" s="698"/>
      <c r="E376" s="698"/>
      <c r="F376" s="698"/>
      <c r="G376" s="698"/>
      <c r="H376" s="698"/>
      <c r="I376" s="698"/>
      <c r="J376" s="698"/>
      <c r="K376" s="698"/>
    </row>
    <row r="377" spans="1:11" ht="18" customHeight="1">
      <c r="A377" s="698"/>
      <c r="B377" s="698"/>
      <c r="C377" s="698"/>
      <c r="D377" s="698"/>
      <c r="E377" s="698"/>
      <c r="F377" s="698"/>
      <c r="G377" s="698"/>
      <c r="H377" s="698"/>
      <c r="I377" s="698"/>
      <c r="J377" s="698"/>
      <c r="K377" s="698"/>
    </row>
    <row r="378" spans="1:11" ht="18" customHeight="1">
      <c r="A378" s="698"/>
      <c r="B378" s="698"/>
      <c r="C378" s="698"/>
      <c r="D378" s="698"/>
      <c r="E378" s="698"/>
      <c r="F378" s="698"/>
      <c r="G378" s="698"/>
      <c r="H378" s="698"/>
      <c r="I378" s="698"/>
      <c r="J378" s="698"/>
      <c r="K378" s="698"/>
    </row>
    <row r="379" spans="1:11" ht="18" customHeight="1">
      <c r="A379" s="698"/>
      <c r="B379" s="698"/>
      <c r="C379" s="698"/>
      <c r="D379" s="698"/>
      <c r="E379" s="698"/>
      <c r="F379" s="698"/>
      <c r="G379" s="698"/>
      <c r="H379" s="698"/>
      <c r="I379" s="698"/>
      <c r="J379" s="698"/>
      <c r="K379" s="698"/>
    </row>
    <row r="380" spans="1:11" ht="18" customHeight="1">
      <c r="A380" s="698"/>
      <c r="B380" s="698"/>
      <c r="C380" s="698"/>
      <c r="D380" s="698"/>
      <c r="E380" s="698"/>
      <c r="F380" s="698"/>
      <c r="G380" s="698"/>
      <c r="H380" s="698"/>
      <c r="I380" s="698"/>
      <c r="J380" s="698"/>
      <c r="K380" s="698"/>
    </row>
    <row r="381" spans="1:11" ht="18" customHeight="1">
      <c r="A381" s="698"/>
      <c r="B381" s="698"/>
      <c r="C381" s="698"/>
      <c r="D381" s="698"/>
      <c r="E381" s="698"/>
      <c r="F381" s="698"/>
      <c r="G381" s="698"/>
      <c r="H381" s="698"/>
      <c r="I381" s="698"/>
      <c r="J381" s="698"/>
      <c r="K381" s="698"/>
    </row>
    <row r="382" spans="1:11" ht="18" customHeight="1">
      <c r="A382" s="698"/>
      <c r="B382" s="698"/>
      <c r="C382" s="698"/>
      <c r="D382" s="698"/>
      <c r="E382" s="698"/>
      <c r="F382" s="698"/>
      <c r="G382" s="698"/>
      <c r="H382" s="698"/>
      <c r="I382" s="698"/>
      <c r="J382" s="698"/>
      <c r="K382" s="698"/>
    </row>
    <row r="383" spans="1:11" ht="18" customHeight="1">
      <c r="A383" s="698"/>
      <c r="B383" s="698"/>
      <c r="C383" s="698"/>
      <c r="D383" s="698"/>
      <c r="E383" s="698"/>
      <c r="F383" s="698"/>
      <c r="G383" s="698"/>
      <c r="H383" s="698"/>
      <c r="I383" s="698"/>
      <c r="J383" s="698"/>
      <c r="K383" s="698"/>
    </row>
    <row r="384" spans="1:11" ht="18" customHeight="1">
      <c r="A384" s="698"/>
      <c r="B384" s="698"/>
      <c r="C384" s="698"/>
      <c r="D384" s="698"/>
      <c r="E384" s="698"/>
      <c r="F384" s="698"/>
      <c r="G384" s="698"/>
      <c r="H384" s="698"/>
      <c r="I384" s="698"/>
      <c r="J384" s="698"/>
      <c r="K384" s="698"/>
    </row>
    <row r="385" spans="1:11" ht="18" customHeight="1">
      <c r="A385" s="698"/>
      <c r="B385" s="698"/>
      <c r="C385" s="698"/>
      <c r="D385" s="698"/>
      <c r="E385" s="698"/>
      <c r="F385" s="698"/>
      <c r="G385" s="698"/>
      <c r="H385" s="698"/>
      <c r="I385" s="698"/>
      <c r="J385" s="698"/>
      <c r="K385" s="698"/>
    </row>
    <row r="386" spans="1:11" ht="18" customHeight="1">
      <c r="A386" s="698"/>
      <c r="B386" s="698"/>
      <c r="C386" s="698"/>
      <c r="D386" s="698"/>
      <c r="E386" s="698"/>
      <c r="F386" s="698"/>
      <c r="G386" s="698"/>
      <c r="H386" s="698"/>
      <c r="I386" s="698"/>
      <c r="J386" s="698"/>
      <c r="K386" s="698"/>
    </row>
    <row r="387" spans="1:11" ht="18" customHeight="1">
      <c r="A387" s="698"/>
      <c r="B387" s="698"/>
      <c r="C387" s="698"/>
      <c r="D387" s="698"/>
      <c r="E387" s="698"/>
      <c r="F387" s="698"/>
      <c r="G387" s="698"/>
      <c r="H387" s="698"/>
      <c r="I387" s="698"/>
      <c r="J387" s="698"/>
      <c r="K387" s="698"/>
    </row>
    <row r="388" spans="1:11" ht="18" customHeight="1">
      <c r="A388" s="698"/>
      <c r="B388" s="698"/>
      <c r="C388" s="698"/>
      <c r="D388" s="698"/>
      <c r="E388" s="698"/>
      <c r="F388" s="698"/>
      <c r="G388" s="698"/>
      <c r="H388" s="698"/>
      <c r="I388" s="698"/>
      <c r="J388" s="698"/>
      <c r="K388" s="698"/>
    </row>
    <row r="389" spans="1:11" ht="15.75" customHeight="1">
      <c r="A389" s="701"/>
      <c r="B389" s="701"/>
      <c r="C389" s="701"/>
      <c r="D389" s="701"/>
      <c r="E389" s="701"/>
      <c r="F389" s="701"/>
      <c r="G389" s="701"/>
      <c r="H389" s="701"/>
      <c r="I389" s="701"/>
      <c r="J389" s="701"/>
      <c r="K389" s="701"/>
    </row>
    <row r="390" spans="1:11" ht="15.75" customHeight="1">
      <c r="A390" s="701"/>
      <c r="B390" s="701"/>
      <c r="C390" s="701"/>
      <c r="D390" s="701"/>
      <c r="E390" s="701"/>
      <c r="F390" s="701"/>
      <c r="G390" s="701"/>
      <c r="H390" s="701"/>
      <c r="I390" s="701"/>
      <c r="J390" s="701"/>
      <c r="K390" s="701"/>
    </row>
    <row r="391" spans="1:11" ht="15.75" customHeight="1">
      <c r="A391" s="701"/>
      <c r="B391" s="701"/>
      <c r="C391" s="701"/>
      <c r="D391" s="701"/>
      <c r="E391" s="701"/>
      <c r="F391" s="701"/>
      <c r="G391" s="701"/>
      <c r="H391" s="701"/>
      <c r="I391" s="701"/>
      <c r="J391" s="701"/>
      <c r="K391" s="701"/>
    </row>
    <row r="392" spans="1:11" ht="15.75" customHeight="1">
      <c r="A392" s="701"/>
      <c r="B392" s="701"/>
      <c r="C392" s="701"/>
      <c r="D392" s="701"/>
      <c r="E392" s="701"/>
      <c r="F392" s="701"/>
      <c r="G392" s="701"/>
      <c r="H392" s="701"/>
      <c r="I392" s="701"/>
      <c r="J392" s="701"/>
      <c r="K392" s="701"/>
    </row>
    <row r="393" spans="1:11" ht="15.75" customHeight="1">
      <c r="A393" s="701"/>
      <c r="B393" s="701"/>
      <c r="C393" s="701"/>
      <c r="D393" s="701"/>
      <c r="E393" s="701"/>
      <c r="F393" s="701"/>
      <c r="G393" s="701"/>
      <c r="H393" s="701"/>
      <c r="I393" s="701"/>
      <c r="J393" s="701"/>
      <c r="K393" s="701"/>
    </row>
    <row r="394" spans="1:11" ht="15.75" customHeight="1">
      <c r="A394" s="701"/>
      <c r="B394" s="701"/>
      <c r="C394" s="701"/>
      <c r="D394" s="701"/>
      <c r="E394" s="701"/>
      <c r="F394" s="701"/>
      <c r="G394" s="701"/>
      <c r="H394" s="701"/>
      <c r="I394" s="701"/>
      <c r="J394" s="701"/>
      <c r="K394" s="701"/>
    </row>
    <row r="395" spans="1:11" ht="15.75" customHeight="1">
      <c r="A395" s="701"/>
      <c r="B395" s="701"/>
      <c r="C395" s="701"/>
      <c r="D395" s="701"/>
      <c r="E395" s="701"/>
      <c r="F395" s="701"/>
      <c r="G395" s="701"/>
      <c r="H395" s="701"/>
      <c r="I395" s="701"/>
      <c r="J395" s="701"/>
      <c r="K395" s="701"/>
    </row>
    <row r="396" spans="1:11" ht="15.75" customHeight="1">
      <c r="A396" s="701"/>
      <c r="B396" s="701"/>
      <c r="C396" s="701"/>
      <c r="D396" s="701"/>
      <c r="E396" s="701"/>
      <c r="F396" s="701"/>
      <c r="G396" s="701"/>
      <c r="H396" s="701"/>
      <c r="I396" s="701"/>
      <c r="J396" s="701"/>
      <c r="K396" s="701"/>
    </row>
    <row r="397" spans="1:11" ht="15.75" customHeight="1">
      <c r="A397" s="701"/>
      <c r="B397" s="701"/>
      <c r="C397" s="701"/>
      <c r="D397" s="701"/>
      <c r="E397" s="701"/>
      <c r="F397" s="701"/>
      <c r="G397" s="701"/>
      <c r="H397" s="701"/>
      <c r="I397" s="701"/>
      <c r="J397" s="701"/>
      <c r="K397" s="701"/>
    </row>
    <row r="398" spans="1:11" ht="15.75" customHeight="1">
      <c r="A398" s="701"/>
      <c r="B398" s="701"/>
      <c r="C398" s="701"/>
      <c r="D398" s="701"/>
      <c r="E398" s="701"/>
      <c r="F398" s="701"/>
      <c r="G398" s="701"/>
      <c r="H398" s="701"/>
      <c r="I398" s="701"/>
      <c r="J398" s="701"/>
      <c r="K398" s="701"/>
    </row>
    <row r="399" spans="1:11" ht="15.75" customHeight="1">
      <c r="A399" s="701"/>
      <c r="B399" s="701"/>
      <c r="C399" s="701"/>
      <c r="D399" s="701"/>
      <c r="E399" s="701"/>
      <c r="F399" s="701"/>
      <c r="G399" s="701"/>
      <c r="H399" s="701"/>
      <c r="I399" s="701"/>
      <c r="J399" s="701"/>
      <c r="K399" s="701"/>
    </row>
    <row r="400" spans="1:11" ht="15.75" customHeight="1">
      <c r="A400" s="701"/>
      <c r="B400" s="701"/>
      <c r="C400" s="701"/>
      <c r="D400" s="701"/>
      <c r="E400" s="701"/>
      <c r="F400" s="701"/>
      <c r="G400" s="701"/>
      <c r="H400" s="701"/>
      <c r="I400" s="701"/>
      <c r="J400" s="701"/>
      <c r="K400" s="701"/>
    </row>
    <row r="401" spans="1:11" ht="15.75" customHeight="1">
      <c r="A401" s="701"/>
      <c r="B401" s="701"/>
      <c r="C401" s="701"/>
      <c r="D401" s="701"/>
      <c r="E401" s="701"/>
      <c r="F401" s="701"/>
      <c r="G401" s="701"/>
      <c r="H401" s="701"/>
      <c r="I401" s="701"/>
      <c r="J401" s="701"/>
      <c r="K401" s="701"/>
    </row>
    <row r="402" spans="1:11" ht="15.75" customHeight="1">
      <c r="A402" s="701"/>
      <c r="B402" s="701"/>
      <c r="C402" s="701"/>
      <c r="D402" s="701"/>
      <c r="E402" s="701"/>
      <c r="F402" s="701"/>
      <c r="G402" s="701"/>
      <c r="H402" s="701"/>
      <c r="I402" s="701"/>
      <c r="J402" s="701"/>
      <c r="K402" s="701"/>
    </row>
    <row r="403" spans="1:11" ht="15.75" customHeight="1">
      <c r="A403" s="701"/>
      <c r="B403" s="701"/>
      <c r="C403" s="701"/>
      <c r="D403" s="701"/>
      <c r="E403" s="701"/>
      <c r="F403" s="701"/>
      <c r="G403" s="701"/>
      <c r="H403" s="701"/>
      <c r="I403" s="701"/>
      <c r="J403" s="701"/>
      <c r="K403" s="701"/>
    </row>
    <row r="404" spans="1:11" ht="15.75" customHeight="1">
      <c r="A404" s="701"/>
      <c r="B404" s="701"/>
      <c r="C404" s="701"/>
      <c r="D404" s="701"/>
      <c r="E404" s="701"/>
      <c r="F404" s="701"/>
      <c r="G404" s="701"/>
      <c r="H404" s="701"/>
      <c r="I404" s="701"/>
      <c r="J404" s="701"/>
      <c r="K404" s="701"/>
    </row>
    <row r="405" spans="1:11" ht="15.75" customHeight="1">
      <c r="A405" s="701"/>
      <c r="B405" s="701"/>
      <c r="C405" s="701"/>
      <c r="D405" s="701"/>
      <c r="E405" s="701"/>
      <c r="F405" s="701"/>
      <c r="G405" s="701"/>
      <c r="H405" s="701"/>
      <c r="I405" s="701"/>
      <c r="J405" s="701"/>
      <c r="K405" s="701"/>
    </row>
    <row r="406" spans="1:11" ht="15.75" customHeight="1">
      <c r="A406" s="701"/>
      <c r="B406" s="701"/>
      <c r="C406" s="701"/>
      <c r="D406" s="701"/>
      <c r="E406" s="701"/>
      <c r="F406" s="701"/>
      <c r="G406" s="701"/>
      <c r="H406" s="701"/>
      <c r="I406" s="701"/>
      <c r="J406" s="701"/>
      <c r="K406" s="701"/>
    </row>
    <row r="407" spans="1:11" ht="15.75" customHeight="1">
      <c r="A407" s="701"/>
      <c r="B407" s="701"/>
      <c r="C407" s="701"/>
      <c r="D407" s="701"/>
      <c r="E407" s="701"/>
      <c r="F407" s="701"/>
      <c r="G407" s="701"/>
      <c r="H407" s="701"/>
      <c r="I407" s="701"/>
      <c r="J407" s="701"/>
      <c r="K407" s="701"/>
    </row>
    <row r="408" spans="1:11" ht="15.75" customHeight="1">
      <c r="A408" s="701"/>
      <c r="B408" s="701"/>
      <c r="C408" s="701"/>
      <c r="D408" s="701"/>
      <c r="E408" s="701"/>
      <c r="F408" s="701"/>
      <c r="G408" s="701"/>
      <c r="H408" s="701"/>
      <c r="I408" s="701"/>
      <c r="J408" s="701"/>
      <c r="K408" s="701"/>
    </row>
    <row r="409" spans="1:11" ht="15.75" customHeight="1">
      <c r="A409" s="701"/>
      <c r="B409" s="701"/>
      <c r="C409" s="701"/>
      <c r="D409" s="701"/>
      <c r="E409" s="701"/>
      <c r="F409" s="701"/>
      <c r="G409" s="701"/>
      <c r="H409" s="701"/>
      <c r="I409" s="701"/>
      <c r="J409" s="701"/>
      <c r="K409" s="701"/>
    </row>
    <row r="410" spans="1:11" ht="15.75" customHeight="1">
      <c r="A410" s="701"/>
      <c r="B410" s="701"/>
      <c r="C410" s="701"/>
      <c r="D410" s="701"/>
      <c r="E410" s="701"/>
      <c r="F410" s="701"/>
      <c r="G410" s="701"/>
      <c r="H410" s="701"/>
      <c r="I410" s="701"/>
      <c r="J410" s="701"/>
      <c r="K410" s="701"/>
    </row>
    <row r="411" spans="1:11" ht="15.75" customHeight="1">
      <c r="A411" s="701"/>
      <c r="B411" s="701"/>
      <c r="C411" s="701"/>
      <c r="D411" s="701"/>
      <c r="E411" s="701"/>
      <c r="F411" s="701"/>
      <c r="G411" s="701"/>
      <c r="H411" s="701"/>
      <c r="I411" s="701"/>
      <c r="J411" s="701"/>
      <c r="K411" s="701"/>
    </row>
    <row r="412" spans="1:11" ht="15.75" customHeight="1">
      <c r="A412" s="701"/>
      <c r="B412" s="701"/>
      <c r="C412" s="701"/>
      <c r="D412" s="701"/>
      <c r="E412" s="701"/>
      <c r="F412" s="701"/>
      <c r="G412" s="701"/>
      <c r="H412" s="701"/>
      <c r="I412" s="701"/>
      <c r="J412" s="701"/>
      <c r="K412" s="701"/>
    </row>
    <row r="413" spans="1:11" ht="15.75" customHeight="1">
      <c r="A413" s="701"/>
      <c r="B413" s="701"/>
      <c r="C413" s="701"/>
      <c r="D413" s="701"/>
      <c r="E413" s="701"/>
      <c r="F413" s="701"/>
      <c r="G413" s="701"/>
      <c r="H413" s="701"/>
      <c r="I413" s="701"/>
      <c r="J413" s="701"/>
      <c r="K413" s="701"/>
    </row>
    <row r="414" spans="1:11" ht="15.75" customHeight="1">
      <c r="A414" s="701"/>
      <c r="B414" s="701"/>
      <c r="C414" s="701"/>
      <c r="D414" s="701"/>
      <c r="E414" s="701"/>
      <c r="F414" s="701"/>
      <c r="G414" s="701"/>
      <c r="H414" s="701"/>
      <c r="I414" s="701"/>
      <c r="J414" s="701"/>
      <c r="K414" s="701"/>
    </row>
    <row r="415" spans="1:11" ht="15.75" customHeight="1">
      <c r="A415" s="701"/>
      <c r="B415" s="701"/>
      <c r="C415" s="701"/>
      <c r="D415" s="701"/>
      <c r="E415" s="701"/>
      <c r="F415" s="701"/>
      <c r="G415" s="701"/>
      <c r="H415" s="701"/>
      <c r="I415" s="701"/>
      <c r="J415" s="701"/>
      <c r="K415" s="701"/>
    </row>
    <row r="416" spans="1:11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</sheetData>
  <autoFilter ref="A2:L166"/>
  <mergeCells count="43">
    <mergeCell ref="H283:H297"/>
    <mergeCell ref="I283:I297"/>
    <mergeCell ref="H201:H206"/>
    <mergeCell ref="I201:I206"/>
    <mergeCell ref="H133:H166"/>
    <mergeCell ref="I133:I166"/>
    <mergeCell ref="I188:I192"/>
    <mergeCell ref="H263:H282"/>
    <mergeCell ref="I263:I282"/>
    <mergeCell ref="H198:H200"/>
    <mergeCell ref="I198:I200"/>
    <mergeCell ref="H38:H45"/>
    <mergeCell ref="I38:I45"/>
    <mergeCell ref="H76:H99"/>
    <mergeCell ref="I76:I99"/>
    <mergeCell ref="H255:H262"/>
    <mergeCell ref="I255:I262"/>
    <mergeCell ref="I243:I254"/>
    <mergeCell ref="H243:H254"/>
    <mergeCell ref="H219:H227"/>
    <mergeCell ref="I219:I227"/>
    <mergeCell ref="H228:H242"/>
    <mergeCell ref="I228:I242"/>
    <mergeCell ref="A215:K215"/>
    <mergeCell ref="I193:I197"/>
    <mergeCell ref="H193:H197"/>
    <mergeCell ref="H188:H192"/>
    <mergeCell ref="A1:K1"/>
    <mergeCell ref="A183:K183"/>
    <mergeCell ref="H186:H187"/>
    <mergeCell ref="I186:I187"/>
    <mergeCell ref="H20:H37"/>
    <mergeCell ref="I20:I37"/>
    <mergeCell ref="H6:H9"/>
    <mergeCell ref="I6:I9"/>
    <mergeCell ref="H10:H13"/>
    <mergeCell ref="I10:I13"/>
    <mergeCell ref="H14:H19"/>
    <mergeCell ref="I14:I19"/>
    <mergeCell ref="H100:H132"/>
    <mergeCell ref="I100:I132"/>
    <mergeCell ref="H46:H75"/>
    <mergeCell ref="I46:I75"/>
  </mergeCells>
  <phoneticPr fontId="65" type="noConversion"/>
  <conditionalFormatting sqref="B2">
    <cfRule type="duplicateValues" dxfId="91" priority="85"/>
  </conditionalFormatting>
  <conditionalFormatting sqref="B184">
    <cfRule type="duplicateValues" dxfId="90" priority="84"/>
  </conditionalFormatting>
  <conditionalFormatting sqref="B216">
    <cfRule type="duplicateValues" dxfId="89" priority="83"/>
  </conditionalFormatting>
  <conditionalFormatting sqref="J4:J59 J72:J79">
    <cfRule type="containsText" dxfId="88" priority="70" operator="containsText" text="Completed">
      <formula>NOT(ISERROR(SEARCH("Completed",J4)))</formula>
    </cfRule>
  </conditionalFormatting>
  <conditionalFormatting sqref="J186:J213">
    <cfRule type="containsText" dxfId="87" priority="92" operator="containsText" text="Completed">
      <formula>NOT(ISERROR(SEARCH("Completed",J186)))</formula>
    </cfRule>
  </conditionalFormatting>
  <conditionalFormatting sqref="J218:J251">
    <cfRule type="containsText" dxfId="86" priority="79" operator="containsText" text="Completed">
      <formula>NOT(ISERROR(SEARCH("Completed",J218)))</formula>
    </cfRule>
  </conditionalFormatting>
  <conditionalFormatting sqref="K7:K19">
    <cfRule type="containsText" dxfId="85" priority="115" operator="containsText" text="WIP">
      <formula>NOT(ISERROR(SEARCH(("WIP"),(K7))))</formula>
    </cfRule>
    <cfRule type="containsText" dxfId="84" priority="116" operator="containsText" text="ROW">
      <formula>NOT(ISERROR(SEARCH(("ROW"),(K7))))</formula>
    </cfRule>
    <cfRule type="containsText" dxfId="83" priority="117" operator="containsText" text="cOMPLETED">
      <formula>NOT(ISERROR(SEARCH(("cOMPLETED"),(K7))))</formula>
    </cfRule>
  </conditionalFormatting>
  <conditionalFormatting sqref="J60:J64">
    <cfRule type="containsText" dxfId="82" priority="69" operator="containsText" text="Completed">
      <formula>NOT(ISERROR(SEARCH("Completed",J60)))</formula>
    </cfRule>
  </conditionalFormatting>
  <conditionalFormatting sqref="J65:J66">
    <cfRule type="containsText" dxfId="81" priority="68" operator="containsText" text="Completed">
      <formula>NOT(ISERROR(SEARCH("Completed",J65)))</formula>
    </cfRule>
  </conditionalFormatting>
  <conditionalFormatting sqref="J67">
    <cfRule type="containsText" dxfId="80" priority="67" operator="containsText" text="Completed">
      <formula>NOT(ISERROR(SEARCH("Completed",J67)))</formula>
    </cfRule>
  </conditionalFormatting>
  <conditionalFormatting sqref="J68:J71">
    <cfRule type="containsText" dxfId="79" priority="66" operator="containsText" text="Completed">
      <formula>NOT(ISERROR(SEARCH("Completed",J68)))</formula>
    </cfRule>
  </conditionalFormatting>
  <conditionalFormatting sqref="J252">
    <cfRule type="containsText" dxfId="78" priority="64" operator="containsText" text="Completed">
      <formula>NOT(ISERROR(SEARCH("Completed",J252)))</formula>
    </cfRule>
  </conditionalFormatting>
  <conditionalFormatting sqref="J253">
    <cfRule type="containsText" dxfId="77" priority="63" operator="containsText" text="Completed">
      <formula>NOT(ISERROR(SEARCH("Completed",J253)))</formula>
    </cfRule>
  </conditionalFormatting>
  <conditionalFormatting sqref="J254">
    <cfRule type="containsText" dxfId="76" priority="62" operator="containsText" text="Completed">
      <formula>NOT(ISERROR(SEARCH("Completed",J254)))</formula>
    </cfRule>
  </conditionalFormatting>
  <conditionalFormatting sqref="J255">
    <cfRule type="containsText" dxfId="75" priority="61" operator="containsText" text="Completed">
      <formula>NOT(ISERROR(SEARCH("Completed",J255)))</formula>
    </cfRule>
  </conditionalFormatting>
  <conditionalFormatting sqref="J80 J82">
    <cfRule type="containsText" dxfId="74" priority="60" operator="containsText" text="Completed">
      <formula>NOT(ISERROR(SEARCH("Completed",J80)))</formula>
    </cfRule>
  </conditionalFormatting>
  <conditionalFormatting sqref="J81">
    <cfRule type="containsText" dxfId="73" priority="59" operator="containsText" text="Completed">
      <formula>NOT(ISERROR(SEARCH("Completed",J81)))</formula>
    </cfRule>
  </conditionalFormatting>
  <conditionalFormatting sqref="J83:J95">
    <cfRule type="containsText" dxfId="72" priority="58" operator="containsText" text="Completed">
      <formula>NOT(ISERROR(SEARCH("Completed",J83)))</formula>
    </cfRule>
  </conditionalFormatting>
  <conditionalFormatting sqref="J256:J269">
    <cfRule type="containsText" dxfId="71" priority="57" operator="containsText" text="Completed">
      <formula>NOT(ISERROR(SEARCH("Completed",J256)))</formula>
    </cfRule>
  </conditionalFormatting>
  <conditionalFormatting sqref="J96:J98">
    <cfRule type="containsText" dxfId="70" priority="39" operator="containsText" text="Completed">
      <formula>NOT(ISERROR(SEARCH("Completed",J96)))</formula>
    </cfRule>
  </conditionalFormatting>
  <conditionalFormatting sqref="J99:J126">
    <cfRule type="containsText" dxfId="69" priority="35" operator="containsText" text="Completed">
      <formula>NOT(ISERROR(SEARCH("Completed",J99)))</formula>
    </cfRule>
  </conditionalFormatting>
  <conditionalFormatting sqref="J270:J273">
    <cfRule type="containsText" dxfId="68" priority="17" operator="containsText" text="Completed">
      <formula>NOT(ISERROR(SEARCH("Completed",J270)))</formula>
    </cfRule>
  </conditionalFormatting>
  <conditionalFormatting sqref="J274:J297">
    <cfRule type="containsText" dxfId="67" priority="6" operator="containsText" text="Completed">
      <formula>NOT(ISERROR(SEARCH("Completed",J274)))</formula>
    </cfRule>
  </conditionalFormatting>
  <conditionalFormatting sqref="J127:J132 J167:J180">
    <cfRule type="containsText" dxfId="66" priority="2" operator="containsText" text="Completed">
      <formula>NOT(ISERROR(SEARCH("Completed",J127)))</formula>
    </cfRule>
  </conditionalFormatting>
  <conditionalFormatting sqref="J133:J166">
    <cfRule type="containsText" dxfId="65" priority="1" operator="containsText" text="Completed">
      <formula>NOT(ISERROR(SEARCH("Completed",J133)))</formula>
    </cfRule>
  </conditionalFormatting>
  <printOptions horizontalCentered="1"/>
  <pageMargins left="0.11811023622047245" right="0.11811023622047245" top="0.74803149606299213" bottom="0.15748031496062992" header="0" footer="0"/>
  <pageSetup paperSize="9" scale="90" fitToWidth="0" fitToHeight="0" orientation="landscape" r:id="rId1"/>
  <rowBreaks count="1" manualBreakCount="1">
    <brk id="182" max="16383" man="1"/>
  </rowBreaks>
  <ignoredErrors>
    <ignoredError sqref="G26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2" operator="containsText" id="{AEE087B2-F534-4316-8E5F-D6D84C10A612}">
            <xm:f>NOT(ISERROR(SEARCH(#REF!,J214)))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H17" sqref="H17"/>
    </sheetView>
  </sheetViews>
  <sheetFormatPr defaultRowHeight="15"/>
  <cols>
    <col min="1" max="1" width="10.140625" bestFit="1" customWidth="1"/>
    <col min="3" max="3" width="17.7109375" customWidth="1"/>
    <col min="4" max="4" width="14.140625" customWidth="1"/>
    <col min="5" max="5" width="24.7109375" customWidth="1"/>
    <col min="6" max="6" width="17.5703125" customWidth="1"/>
  </cols>
  <sheetData>
    <row r="1" spans="1:6">
      <c r="A1" s="1951" t="s">
        <v>2059</v>
      </c>
      <c r="B1" s="1951"/>
      <c r="C1" s="1951"/>
      <c r="D1" s="1951"/>
      <c r="E1" s="1951"/>
      <c r="F1" s="1951"/>
    </row>
    <row r="2" spans="1:6" ht="30">
      <c r="A2" s="967" t="s">
        <v>2055</v>
      </c>
      <c r="B2" s="967" t="s">
        <v>551</v>
      </c>
      <c r="C2" s="967" t="s">
        <v>989</v>
      </c>
      <c r="D2" s="967" t="s">
        <v>2054</v>
      </c>
      <c r="E2" s="967" t="s">
        <v>2053</v>
      </c>
      <c r="F2" s="967" t="s">
        <v>2056</v>
      </c>
    </row>
    <row r="3" spans="1:6">
      <c r="A3" s="74">
        <v>1</v>
      </c>
      <c r="B3" s="1142" t="s">
        <v>1323</v>
      </c>
      <c r="C3" s="1142" t="s">
        <v>50</v>
      </c>
      <c r="D3" s="833" t="s">
        <v>42</v>
      </c>
      <c r="E3" s="1142" t="s">
        <v>1856</v>
      </c>
      <c r="F3" s="1145">
        <v>46074</v>
      </c>
    </row>
    <row r="4" spans="1:6">
      <c r="A4" s="74">
        <v>2</v>
      </c>
      <c r="B4" s="969" t="s">
        <v>1180</v>
      </c>
      <c r="C4" s="969" t="s">
        <v>53</v>
      </c>
      <c r="D4" s="965" t="s">
        <v>42</v>
      </c>
      <c r="E4" s="1142" t="s">
        <v>1856</v>
      </c>
      <c r="F4" s="1145">
        <v>46079</v>
      </c>
    </row>
    <row r="5" spans="1:6">
      <c r="A5" s="74">
        <v>3</v>
      </c>
      <c r="B5" s="1142" t="s">
        <v>1193</v>
      </c>
      <c r="C5" s="1142" t="s">
        <v>50</v>
      </c>
      <c r="D5" s="833" t="s">
        <v>61</v>
      </c>
      <c r="E5" s="1145" t="s">
        <v>41</v>
      </c>
      <c r="F5" s="1145">
        <v>46103</v>
      </c>
    </row>
    <row r="6" spans="1:6">
      <c r="A6" s="74">
        <v>4</v>
      </c>
      <c r="B6" s="1142" t="s">
        <v>1332</v>
      </c>
      <c r="C6" s="1142" t="s">
        <v>1907</v>
      </c>
      <c r="D6" s="833" t="s">
        <v>61</v>
      </c>
      <c r="E6" s="1142" t="s">
        <v>1891</v>
      </c>
      <c r="F6" s="1145">
        <v>46111</v>
      </c>
    </row>
    <row r="7" spans="1:6">
      <c r="A7" s="74">
        <v>5</v>
      </c>
      <c r="B7" s="1142" t="s">
        <v>1328</v>
      </c>
      <c r="C7" s="1142" t="s">
        <v>32</v>
      </c>
      <c r="D7" s="833" t="s">
        <v>61</v>
      </c>
      <c r="E7" s="1142" t="s">
        <v>1891</v>
      </c>
      <c r="F7" s="1145">
        <v>46112</v>
      </c>
    </row>
    <row r="8" spans="1:6">
      <c r="A8" s="74">
        <v>6</v>
      </c>
      <c r="B8" s="1142" t="s">
        <v>1333</v>
      </c>
      <c r="C8" s="1142" t="s">
        <v>1932</v>
      </c>
      <c r="D8" s="833" t="s">
        <v>42</v>
      </c>
      <c r="E8" s="1142" t="s">
        <v>1891</v>
      </c>
      <c r="F8" s="1145">
        <v>46120</v>
      </c>
    </row>
    <row r="9" spans="1:6">
      <c r="A9" s="74">
        <v>7</v>
      </c>
      <c r="B9" s="1142" t="s">
        <v>1416</v>
      </c>
      <c r="C9" s="1142" t="s">
        <v>1426</v>
      </c>
      <c r="D9" s="833" t="s">
        <v>42</v>
      </c>
      <c r="E9" s="1143" t="s">
        <v>1888</v>
      </c>
      <c r="F9" s="1145">
        <v>46121</v>
      </c>
    </row>
    <row r="10" spans="1:6">
      <c r="A10" s="74">
        <v>8</v>
      </c>
      <c r="B10" s="1142" t="s">
        <v>1381</v>
      </c>
      <c r="C10" s="1142" t="s">
        <v>1941</v>
      </c>
      <c r="D10" s="833" t="s">
        <v>42</v>
      </c>
      <c r="E10" s="1142" t="s">
        <v>1855</v>
      </c>
      <c r="F10" s="1145">
        <v>46124</v>
      </c>
    </row>
    <row r="11" spans="1:6">
      <c r="A11" s="74">
        <v>9</v>
      </c>
      <c r="B11" s="1142" t="s">
        <v>1202</v>
      </c>
      <c r="C11" s="1142" t="s">
        <v>1929</v>
      </c>
      <c r="D11" s="833" t="s">
        <v>61</v>
      </c>
      <c r="E11" s="1142" t="s">
        <v>1856</v>
      </c>
      <c r="F11" s="1145">
        <v>46125</v>
      </c>
    </row>
    <row r="12" spans="1:6">
      <c r="A12" s="74">
        <v>10</v>
      </c>
      <c r="B12" s="1142" t="s">
        <v>1353</v>
      </c>
      <c r="C12" s="1142" t="s">
        <v>48</v>
      </c>
      <c r="D12" s="833" t="s">
        <v>61</v>
      </c>
      <c r="E12" s="1142" t="s">
        <v>1891</v>
      </c>
      <c r="F12" s="1145">
        <v>46126</v>
      </c>
    </row>
    <row r="13" spans="1:6">
      <c r="A13" s="74">
        <v>11</v>
      </c>
      <c r="B13" s="1142" t="s">
        <v>1380</v>
      </c>
      <c r="C13" s="1142" t="s">
        <v>32</v>
      </c>
      <c r="D13" s="833" t="s">
        <v>61</v>
      </c>
      <c r="E13" s="1142" t="s">
        <v>1855</v>
      </c>
      <c r="F13" s="1145">
        <v>46127</v>
      </c>
    </row>
    <row r="14" spans="1:6">
      <c r="A14" s="74">
        <v>12</v>
      </c>
      <c r="B14" s="1142" t="s">
        <v>1683</v>
      </c>
      <c r="C14" s="1142" t="s">
        <v>1938</v>
      </c>
      <c r="D14" s="833" t="s">
        <v>61</v>
      </c>
      <c r="E14" s="1142" t="s">
        <v>1636</v>
      </c>
      <c r="F14" s="1145">
        <v>46128</v>
      </c>
    </row>
    <row r="15" spans="1:6">
      <c r="A15" s="74">
        <v>13</v>
      </c>
      <c r="B15" s="1142" t="s">
        <v>1417</v>
      </c>
      <c r="C15" s="1142" t="s">
        <v>1426</v>
      </c>
      <c r="D15" s="833" t="s">
        <v>61</v>
      </c>
      <c r="E15" s="1142" t="s">
        <v>1888</v>
      </c>
      <c r="F15" s="1145">
        <v>46129</v>
      </c>
    </row>
    <row r="16" spans="1:6">
      <c r="A16" s="74">
        <v>14</v>
      </c>
      <c r="B16" s="1142" t="s">
        <v>1306</v>
      </c>
      <c r="C16" s="1142" t="s">
        <v>1932</v>
      </c>
      <c r="D16" s="833" t="s">
        <v>42</v>
      </c>
      <c r="E16" s="1142" t="s">
        <v>1856</v>
      </c>
      <c r="F16" s="1145">
        <v>46131</v>
      </c>
    </row>
    <row r="17" spans="1:6">
      <c r="A17" s="74">
        <v>15</v>
      </c>
      <c r="B17" s="1142" t="s">
        <v>1385</v>
      </c>
      <c r="C17" s="1142" t="s">
        <v>32</v>
      </c>
      <c r="D17" s="833" t="s">
        <v>61</v>
      </c>
      <c r="E17" s="1142" t="s">
        <v>1855</v>
      </c>
      <c r="F17" s="1145">
        <v>46132</v>
      </c>
    </row>
    <row r="18" spans="1:6">
      <c r="A18" s="74">
        <v>16</v>
      </c>
      <c r="B18" s="1142" t="s">
        <v>1415</v>
      </c>
      <c r="C18" s="1142" t="s">
        <v>48</v>
      </c>
      <c r="D18" s="833" t="s">
        <v>42</v>
      </c>
      <c r="E18" s="1142" t="s">
        <v>1888</v>
      </c>
      <c r="F18" s="1145">
        <v>46135</v>
      </c>
    </row>
    <row r="19" spans="1:6">
      <c r="A19" s="74">
        <v>17</v>
      </c>
      <c r="B19" s="1142" t="s">
        <v>1684</v>
      </c>
      <c r="C19" s="1142" t="s">
        <v>1945</v>
      </c>
      <c r="D19" s="833" t="s">
        <v>61</v>
      </c>
      <c r="E19" s="1142" t="s">
        <v>1636</v>
      </c>
      <c r="F19" s="1145">
        <v>46137</v>
      </c>
    </row>
    <row r="20" spans="1:6">
      <c r="A20" s="74">
        <v>18</v>
      </c>
      <c r="B20" s="993" t="s">
        <v>1305</v>
      </c>
      <c r="C20" s="993" t="s">
        <v>1929</v>
      </c>
      <c r="D20" s="993" t="s">
        <v>61</v>
      </c>
      <c r="E20" s="1142" t="s">
        <v>1856</v>
      </c>
      <c r="F20" s="1145">
        <v>46138</v>
      </c>
    </row>
    <row r="21" spans="1:6">
      <c r="A21" s="74">
        <v>19</v>
      </c>
      <c r="B21" s="993" t="s">
        <v>1383</v>
      </c>
      <c r="C21" s="993" t="s">
        <v>1423</v>
      </c>
      <c r="D21" s="993" t="s">
        <v>42</v>
      </c>
      <c r="E21" s="1142" t="s">
        <v>1855</v>
      </c>
      <c r="F21" s="1145">
        <v>46138</v>
      </c>
    </row>
    <row r="22" spans="1:6">
      <c r="A22" s="74">
        <v>20</v>
      </c>
      <c r="B22" s="993" t="s">
        <v>1418</v>
      </c>
      <c r="C22" s="993" t="s">
        <v>48</v>
      </c>
      <c r="D22" s="993" t="s">
        <v>42</v>
      </c>
      <c r="E22" s="1142" t="s">
        <v>1888</v>
      </c>
      <c r="F22" s="1145">
        <v>46140</v>
      </c>
    </row>
    <row r="23" spans="1:6">
      <c r="A23" s="74">
        <v>21</v>
      </c>
      <c r="B23" s="993" t="s">
        <v>1235</v>
      </c>
      <c r="C23" s="993" t="s">
        <v>50</v>
      </c>
      <c r="D23" s="993" t="s">
        <v>61</v>
      </c>
      <c r="E23" s="1142" t="s">
        <v>1636</v>
      </c>
      <c r="F23" s="1145">
        <v>46141</v>
      </c>
    </row>
    <row r="24" spans="1:6">
      <c r="A24" s="74">
        <v>22</v>
      </c>
      <c r="B24" s="993" t="s">
        <v>1378</v>
      </c>
      <c r="C24" s="993" t="s">
        <v>32</v>
      </c>
      <c r="D24" s="993" t="s">
        <v>61</v>
      </c>
      <c r="E24" s="1142" t="s">
        <v>1855</v>
      </c>
      <c r="F24" s="1145">
        <v>46141</v>
      </c>
    </row>
    <row r="25" spans="1:6">
      <c r="A25" s="74">
        <v>23</v>
      </c>
      <c r="B25" s="993" t="s">
        <v>1314</v>
      </c>
      <c r="C25" s="993" t="s">
        <v>1946</v>
      </c>
      <c r="D25" s="993" t="s">
        <v>61</v>
      </c>
      <c r="E25" s="1017" t="s">
        <v>1957</v>
      </c>
      <c r="F25" s="1145">
        <v>46142</v>
      </c>
    </row>
    <row r="26" spans="1:6">
      <c r="A26" s="74">
        <v>24</v>
      </c>
      <c r="B26" s="993" t="s">
        <v>1203</v>
      </c>
      <c r="C26" s="993" t="s">
        <v>1932</v>
      </c>
      <c r="D26" s="993" t="s">
        <v>61</v>
      </c>
      <c r="E26" s="1017" t="s">
        <v>1856</v>
      </c>
      <c r="F26" s="1145">
        <v>46142</v>
      </c>
    </row>
    <row r="27" spans="1:6">
      <c r="A27" s="74">
        <v>25</v>
      </c>
      <c r="B27" s="993" t="s">
        <v>1377</v>
      </c>
      <c r="C27" s="993" t="s">
        <v>1941</v>
      </c>
      <c r="D27" s="993" t="s">
        <v>61</v>
      </c>
      <c r="E27" s="509" t="s">
        <v>1855</v>
      </c>
      <c r="F27" s="1145">
        <v>46144</v>
      </c>
    </row>
    <row r="28" spans="1:6">
      <c r="A28" s="74">
        <v>26</v>
      </c>
      <c r="B28" s="993" t="s">
        <v>1330</v>
      </c>
      <c r="C28" s="993" t="s">
        <v>1960</v>
      </c>
      <c r="D28" s="993" t="s">
        <v>61</v>
      </c>
      <c r="E28" s="509" t="s">
        <v>1928</v>
      </c>
      <c r="F28" s="1145">
        <v>46147</v>
      </c>
    </row>
    <row r="29" spans="1:6">
      <c r="A29" s="74">
        <v>27</v>
      </c>
      <c r="B29" s="993" t="s">
        <v>1275</v>
      </c>
      <c r="C29" s="993" t="s">
        <v>1945</v>
      </c>
      <c r="D29" s="993" t="s">
        <v>61</v>
      </c>
      <c r="E29" s="509" t="s">
        <v>1930</v>
      </c>
      <c r="F29" s="1145">
        <v>46150</v>
      </c>
    </row>
    <row r="30" spans="1:6">
      <c r="A30" s="74">
        <v>28</v>
      </c>
      <c r="B30" s="993" t="s">
        <v>1419</v>
      </c>
      <c r="C30" s="993" t="s">
        <v>48</v>
      </c>
      <c r="D30" s="993" t="s">
        <v>42</v>
      </c>
      <c r="E30" s="509" t="s">
        <v>1888</v>
      </c>
      <c r="F30" s="1145">
        <v>46152</v>
      </c>
    </row>
    <row r="31" spans="1:6">
      <c r="A31" s="74">
        <v>29</v>
      </c>
      <c r="B31" s="993" t="s">
        <v>1331</v>
      </c>
      <c r="C31" s="993" t="s">
        <v>1960</v>
      </c>
      <c r="D31" s="993" t="s">
        <v>61</v>
      </c>
      <c r="E31" s="509" t="s">
        <v>1928</v>
      </c>
      <c r="F31" s="1145">
        <v>46153</v>
      </c>
    </row>
    <row r="32" spans="1:6">
      <c r="A32" s="1950" t="s">
        <v>2057</v>
      </c>
      <c r="B32" s="1950"/>
      <c r="C32" s="1950"/>
      <c r="D32" s="1950"/>
      <c r="E32" s="1950"/>
      <c r="F32" s="1950"/>
    </row>
    <row r="33" spans="1:6">
      <c r="A33" s="1141">
        <v>1</v>
      </c>
      <c r="B33" s="1144" t="s">
        <v>598</v>
      </c>
      <c r="C33" s="1144" t="s">
        <v>582</v>
      </c>
      <c r="D33" s="1144" t="s">
        <v>31</v>
      </c>
      <c r="E33" s="1154" t="s">
        <v>1076</v>
      </c>
      <c r="F33" s="1154">
        <v>45981</v>
      </c>
    </row>
    <row r="34" spans="1:6">
      <c r="A34" s="74">
        <v>2</v>
      </c>
      <c r="B34" s="1145" t="s">
        <v>65</v>
      </c>
      <c r="C34" s="1145" t="s">
        <v>573</v>
      </c>
      <c r="D34" s="1145" t="s">
        <v>31</v>
      </c>
      <c r="E34" s="1145" t="s">
        <v>1076</v>
      </c>
      <c r="F34" s="1145">
        <v>46142</v>
      </c>
    </row>
    <row r="35" spans="1:6">
      <c r="A35" s="74">
        <v>3</v>
      </c>
      <c r="B35" s="1145" t="s">
        <v>224</v>
      </c>
      <c r="C35" s="1145" t="s">
        <v>573</v>
      </c>
      <c r="D35" s="1145" t="s">
        <v>42</v>
      </c>
      <c r="E35" s="1145" t="s">
        <v>2047</v>
      </c>
      <c r="F35" s="1145">
        <v>46142</v>
      </c>
    </row>
    <row r="36" spans="1:6">
      <c r="A36" s="74">
        <v>4</v>
      </c>
      <c r="B36" s="1145" t="s">
        <v>152</v>
      </c>
      <c r="C36" s="1145" t="s">
        <v>658</v>
      </c>
      <c r="D36" s="1145" t="s">
        <v>42</v>
      </c>
      <c r="E36" s="1145" t="s">
        <v>1076</v>
      </c>
      <c r="F36" s="1145">
        <v>46148</v>
      </c>
    </row>
    <row r="37" spans="1:6">
      <c r="A37" s="1950" t="s">
        <v>2058</v>
      </c>
      <c r="B37" s="1950"/>
      <c r="C37" s="1950"/>
      <c r="D37" s="1950"/>
      <c r="E37" s="1950"/>
      <c r="F37" s="1950"/>
    </row>
    <row r="38" spans="1:6">
      <c r="A38" s="1142">
        <v>1</v>
      </c>
      <c r="B38" s="1142" t="s">
        <v>2060</v>
      </c>
      <c r="C38" s="1142" t="s">
        <v>153</v>
      </c>
      <c r="D38" s="1145" t="s">
        <v>42</v>
      </c>
      <c r="E38" s="1145" t="s">
        <v>1073</v>
      </c>
      <c r="F38" s="1145">
        <v>46014</v>
      </c>
    </row>
    <row r="39" spans="1:6">
      <c r="A39" s="700">
        <v>2</v>
      </c>
      <c r="B39" s="1142" t="s">
        <v>2061</v>
      </c>
      <c r="C39" s="1142" t="s">
        <v>34</v>
      </c>
      <c r="D39" s="1145" t="s">
        <v>42</v>
      </c>
      <c r="E39" s="1145" t="s">
        <v>1186</v>
      </c>
      <c r="F39" s="1145">
        <v>46037</v>
      </c>
    </row>
    <row r="40" spans="1:6">
      <c r="A40" s="1142">
        <v>3</v>
      </c>
      <c r="B40" s="1142" t="s">
        <v>2062</v>
      </c>
      <c r="C40" s="1142" t="s">
        <v>48</v>
      </c>
      <c r="D40" s="1145" t="s">
        <v>42</v>
      </c>
      <c r="E40" s="1145" t="s">
        <v>30</v>
      </c>
      <c r="F40" s="1145">
        <v>46044</v>
      </c>
    </row>
    <row r="41" spans="1:6">
      <c r="A41" s="700">
        <v>4</v>
      </c>
      <c r="B41" s="1142" t="s">
        <v>2063</v>
      </c>
      <c r="C41" s="1142" t="s">
        <v>34</v>
      </c>
      <c r="D41" s="1145" t="s">
        <v>61</v>
      </c>
      <c r="E41" s="1145" t="s">
        <v>30</v>
      </c>
      <c r="F41" s="1145">
        <v>46070</v>
      </c>
    </row>
    <row r="42" spans="1:6">
      <c r="A42" s="1142">
        <v>5</v>
      </c>
      <c r="B42" s="1142" t="s">
        <v>2064</v>
      </c>
      <c r="C42" s="1142" t="s">
        <v>1424</v>
      </c>
      <c r="D42" s="1145" t="s">
        <v>42</v>
      </c>
      <c r="E42" s="1145" t="s">
        <v>1637</v>
      </c>
      <c r="F42" s="1145">
        <v>46119</v>
      </c>
    </row>
    <row r="43" spans="1:6">
      <c r="A43" s="700">
        <v>6</v>
      </c>
      <c r="B43" s="1142" t="s">
        <v>2065</v>
      </c>
      <c r="C43" s="1142" t="s">
        <v>39</v>
      </c>
      <c r="D43" s="1145" t="s">
        <v>42</v>
      </c>
      <c r="E43" s="1145" t="s">
        <v>1637</v>
      </c>
      <c r="F43" s="1145">
        <v>46125</v>
      </c>
    </row>
    <row r="44" spans="1:6">
      <c r="A44" s="1142">
        <v>7</v>
      </c>
      <c r="B44" s="1142" t="s">
        <v>2066</v>
      </c>
      <c r="C44" s="1142" t="s">
        <v>133</v>
      </c>
      <c r="D44" s="1145" t="s">
        <v>42</v>
      </c>
      <c r="E44" s="1145" t="s">
        <v>41</v>
      </c>
      <c r="F44" s="1145">
        <v>46126</v>
      </c>
    </row>
    <row r="45" spans="1:6">
      <c r="A45" s="700">
        <v>8</v>
      </c>
      <c r="B45" s="1142" t="s">
        <v>2067</v>
      </c>
      <c r="C45" s="1142" t="s">
        <v>34</v>
      </c>
      <c r="D45" s="1145" t="s">
        <v>42</v>
      </c>
      <c r="E45" s="1145" t="s">
        <v>1637</v>
      </c>
      <c r="F45" s="1145">
        <v>46129</v>
      </c>
    </row>
    <row r="46" spans="1:6">
      <c r="A46" s="1142">
        <v>9</v>
      </c>
      <c r="B46" s="1142" t="s">
        <v>1924</v>
      </c>
      <c r="C46" s="1142" t="s">
        <v>34</v>
      </c>
      <c r="D46" s="1145" t="s">
        <v>42</v>
      </c>
      <c r="E46" s="1145" t="s">
        <v>41</v>
      </c>
      <c r="F46" s="1145">
        <v>46137</v>
      </c>
    </row>
    <row r="47" spans="1:6">
      <c r="A47" s="700">
        <v>10</v>
      </c>
      <c r="B47" s="1142" t="s">
        <v>1944</v>
      </c>
      <c r="C47" s="1142" t="s">
        <v>34</v>
      </c>
      <c r="D47" s="1145" t="s">
        <v>42</v>
      </c>
      <c r="E47" s="1145" t="s">
        <v>1637</v>
      </c>
      <c r="F47" s="1145">
        <v>46139</v>
      </c>
    </row>
    <row r="48" spans="1:6">
      <c r="A48" s="1142">
        <v>11</v>
      </c>
      <c r="B48" s="1142" t="s">
        <v>2068</v>
      </c>
      <c r="C48" s="993" t="s">
        <v>49</v>
      </c>
      <c r="D48" s="1145" t="s">
        <v>31</v>
      </c>
      <c r="E48" s="1145" t="s">
        <v>41</v>
      </c>
      <c r="F48" s="1145">
        <v>46140</v>
      </c>
    </row>
    <row r="49" spans="1:6">
      <c r="A49" s="700">
        <v>12</v>
      </c>
      <c r="B49" s="1142" t="s">
        <v>1951</v>
      </c>
      <c r="C49" s="1142" t="s">
        <v>48</v>
      </c>
      <c r="D49" s="1145" t="s">
        <v>61</v>
      </c>
      <c r="E49" s="1145" t="s">
        <v>30</v>
      </c>
      <c r="F49" s="1145">
        <v>46140</v>
      </c>
    </row>
    <row r="50" spans="1:6">
      <c r="A50" s="1142">
        <v>13</v>
      </c>
      <c r="B50" s="1142" t="s">
        <v>2069</v>
      </c>
      <c r="C50" s="1142" t="s">
        <v>32</v>
      </c>
      <c r="D50" s="1145" t="s">
        <v>61</v>
      </c>
      <c r="E50" s="1145" t="s">
        <v>30</v>
      </c>
      <c r="F50" s="1145">
        <v>46142</v>
      </c>
    </row>
    <row r="51" spans="1:6">
      <c r="A51" s="700">
        <v>14</v>
      </c>
      <c r="B51" s="1142" t="s">
        <v>2070</v>
      </c>
      <c r="C51" s="993" t="s">
        <v>1425</v>
      </c>
      <c r="D51" s="1145" t="s">
        <v>42</v>
      </c>
      <c r="E51" s="1145" t="s">
        <v>1637</v>
      </c>
      <c r="F51" s="1145">
        <v>46142</v>
      </c>
    </row>
    <row r="52" spans="1:6">
      <c r="A52" s="1234">
        <v>15</v>
      </c>
      <c r="B52" s="1142" t="s">
        <v>1978</v>
      </c>
      <c r="C52" s="1142" t="s">
        <v>32</v>
      </c>
      <c r="D52" s="1145" t="s">
        <v>61</v>
      </c>
      <c r="E52" s="1145" t="s">
        <v>30</v>
      </c>
      <c r="F52" s="1145">
        <v>46145</v>
      </c>
    </row>
    <row r="53" spans="1:6">
      <c r="A53" s="700">
        <v>16</v>
      </c>
      <c r="B53" s="1142" t="s">
        <v>1992</v>
      </c>
      <c r="C53" s="1142" t="s">
        <v>32</v>
      </c>
      <c r="D53" s="1145" t="s">
        <v>42</v>
      </c>
      <c r="E53" s="1145" t="s">
        <v>41</v>
      </c>
      <c r="F53" s="1145">
        <v>46145</v>
      </c>
    </row>
    <row r="54" spans="1:6">
      <c r="A54" s="1234">
        <v>17</v>
      </c>
      <c r="B54" s="1142" t="s">
        <v>1981</v>
      </c>
      <c r="C54" s="993" t="s">
        <v>32</v>
      </c>
      <c r="D54" s="1145" t="s">
        <v>61</v>
      </c>
      <c r="E54" s="1145" t="s">
        <v>30</v>
      </c>
      <c r="F54" s="1145">
        <v>46147</v>
      </c>
    </row>
    <row r="55" spans="1:6">
      <c r="A55" s="700">
        <v>18</v>
      </c>
      <c r="B55" s="1142" t="s">
        <v>1993</v>
      </c>
      <c r="C55" s="1142" t="s">
        <v>32</v>
      </c>
      <c r="D55" s="1145" t="s">
        <v>42</v>
      </c>
      <c r="E55" s="1145" t="s">
        <v>41</v>
      </c>
      <c r="F55" s="1145">
        <v>46150</v>
      </c>
    </row>
  </sheetData>
  <mergeCells count="3">
    <mergeCell ref="A32:F32"/>
    <mergeCell ref="A37:F37"/>
    <mergeCell ref="A1:F1"/>
  </mergeCells>
  <conditionalFormatting sqref="B3:B26">
    <cfRule type="duplicateValues" dxfId="63" priority="23"/>
  </conditionalFormatting>
  <conditionalFormatting sqref="B2:D2">
    <cfRule type="duplicateValues" dxfId="62" priority="19"/>
  </conditionalFormatting>
  <conditionalFormatting sqref="B2:D2">
    <cfRule type="duplicateValues" dxfId="61" priority="20"/>
  </conditionalFormatting>
  <conditionalFormatting sqref="B2:D2">
    <cfRule type="duplicateValues" dxfId="60" priority="21"/>
  </conditionalFormatting>
  <conditionalFormatting sqref="B2:D2">
    <cfRule type="duplicateValues" dxfId="59" priority="18"/>
  </conditionalFormatting>
  <conditionalFormatting sqref="E2">
    <cfRule type="duplicateValues" dxfId="58" priority="15"/>
  </conditionalFormatting>
  <conditionalFormatting sqref="E2">
    <cfRule type="duplicateValues" dxfId="57" priority="16"/>
  </conditionalFormatting>
  <conditionalFormatting sqref="E2">
    <cfRule type="duplicateValues" dxfId="56" priority="17"/>
  </conditionalFormatting>
  <conditionalFormatting sqref="E2">
    <cfRule type="duplicateValues" dxfId="55" priority="14"/>
  </conditionalFormatting>
  <conditionalFormatting sqref="F2">
    <cfRule type="duplicateValues" dxfId="54" priority="11"/>
  </conditionalFormatting>
  <conditionalFormatting sqref="F2">
    <cfRule type="duplicateValues" dxfId="53" priority="12"/>
  </conditionalFormatting>
  <conditionalFormatting sqref="F2">
    <cfRule type="duplicateValues" dxfId="52" priority="13"/>
  </conditionalFormatting>
  <conditionalFormatting sqref="F2">
    <cfRule type="duplicateValues" dxfId="51" priority="10"/>
  </conditionalFormatting>
  <conditionalFormatting sqref="A2">
    <cfRule type="duplicateValues" dxfId="50" priority="7"/>
  </conditionalFormatting>
  <conditionalFormatting sqref="A2">
    <cfRule type="duplicateValues" dxfId="49" priority="8"/>
  </conditionalFormatting>
  <conditionalFormatting sqref="A2">
    <cfRule type="duplicateValues" dxfId="48" priority="9"/>
  </conditionalFormatting>
  <conditionalFormatting sqref="A2">
    <cfRule type="duplicateValues" dxfId="47" priority="6"/>
  </conditionalFormatting>
  <conditionalFormatting sqref="B3:B31">
    <cfRule type="duplicateValues" dxfId="46" priority="1374"/>
  </conditionalFormatting>
  <conditionalFormatting sqref="B1:B1048576 H1:H1048576">
    <cfRule type="duplicateValues" dxfId="45" priority="1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workbookViewId="0">
      <selection activeCell="J16" sqref="J16"/>
    </sheetView>
  </sheetViews>
  <sheetFormatPr defaultRowHeight="15"/>
  <cols>
    <col min="1" max="1" width="3" bestFit="1" customWidth="1"/>
    <col min="2" max="2" width="12" bestFit="1" customWidth="1"/>
    <col min="3" max="3" width="11.28515625" bestFit="1" customWidth="1"/>
    <col min="4" max="4" width="18.5703125" bestFit="1" customWidth="1"/>
    <col min="5" max="5" width="19.140625" customWidth="1"/>
    <col min="6" max="6" width="15.140625" customWidth="1"/>
    <col min="7" max="7" width="17.85546875" customWidth="1"/>
    <col min="8" max="8" width="13.85546875" style="688" customWidth="1"/>
    <col min="9" max="9" width="11.28515625" style="688" bestFit="1" customWidth="1"/>
    <col min="10" max="10" width="15.5703125" customWidth="1"/>
    <col min="11" max="11" width="12.85546875" customWidth="1"/>
  </cols>
  <sheetData>
    <row r="1" spans="1:11" ht="17.25">
      <c r="A1" s="1964" t="s">
        <v>1834</v>
      </c>
      <c r="B1" s="1965"/>
      <c r="C1" s="1965"/>
      <c r="D1" s="1965"/>
      <c r="E1" s="1965"/>
      <c r="F1" s="1965"/>
      <c r="G1" s="1965"/>
      <c r="H1" s="1965"/>
      <c r="I1" s="1965"/>
      <c r="J1" s="1965"/>
      <c r="K1" s="674"/>
    </row>
    <row r="2" spans="1:11" ht="18.75">
      <c r="A2" s="1958" t="s">
        <v>86</v>
      </c>
      <c r="B2" s="1959"/>
      <c r="C2" s="1959"/>
      <c r="D2" s="1959"/>
      <c r="E2" s="1959"/>
      <c r="F2" s="1959"/>
      <c r="G2" s="1959"/>
      <c r="H2" s="1959"/>
      <c r="I2" s="1959"/>
      <c r="J2" s="1959"/>
      <c r="K2" s="1960"/>
    </row>
    <row r="3" spans="1:11" ht="26.45" customHeight="1">
      <c r="A3" s="23" t="s">
        <v>25</v>
      </c>
      <c r="B3" s="24" t="s">
        <v>551</v>
      </c>
      <c r="C3" s="23" t="s">
        <v>38</v>
      </c>
      <c r="D3" s="24" t="s">
        <v>1831</v>
      </c>
      <c r="E3" s="23" t="s">
        <v>1832</v>
      </c>
      <c r="F3" s="23" t="s">
        <v>1833</v>
      </c>
      <c r="G3" s="23" t="s">
        <v>36</v>
      </c>
      <c r="H3" s="23" t="s">
        <v>1594</v>
      </c>
      <c r="I3" s="23" t="s">
        <v>1660</v>
      </c>
      <c r="J3" s="23" t="s">
        <v>35</v>
      </c>
      <c r="K3" s="23" t="s">
        <v>2</v>
      </c>
    </row>
    <row r="4" spans="1:11">
      <c r="A4" s="716"/>
      <c r="B4" s="716"/>
      <c r="C4" s="716"/>
      <c r="D4" s="716"/>
      <c r="E4" s="716"/>
      <c r="F4" s="716"/>
      <c r="G4" s="716"/>
      <c r="H4" s="692"/>
      <c r="I4" s="687"/>
      <c r="J4" s="716">
        <f>COUNTIF(J5:J12,"Completed")</f>
        <v>8</v>
      </c>
      <c r="K4" s="716"/>
    </row>
    <row r="5" spans="1:11">
      <c r="A5" s="673">
        <v>1</v>
      </c>
      <c r="B5" s="673" t="s">
        <v>616</v>
      </c>
      <c r="C5" s="673" t="s">
        <v>32</v>
      </c>
      <c r="D5" s="673">
        <v>8.3339999999999996</v>
      </c>
      <c r="E5" s="614">
        <v>46049</v>
      </c>
      <c r="F5" s="614">
        <v>46053</v>
      </c>
      <c r="G5" s="614" t="s">
        <v>1836</v>
      </c>
      <c r="H5" s="691" t="s">
        <v>1936</v>
      </c>
      <c r="I5" s="888">
        <v>1</v>
      </c>
      <c r="J5" s="615" t="s">
        <v>29</v>
      </c>
      <c r="K5" s="616"/>
    </row>
    <row r="6" spans="1:11">
      <c r="A6" s="673">
        <v>2</v>
      </c>
      <c r="B6" s="673" t="s">
        <v>621</v>
      </c>
      <c r="C6" s="673" t="s">
        <v>32</v>
      </c>
      <c r="D6" s="673">
        <v>8.3339999999999996</v>
      </c>
      <c r="E6" s="614">
        <v>46056</v>
      </c>
      <c r="F6" s="614">
        <v>46059</v>
      </c>
      <c r="G6" s="614" t="s">
        <v>1836</v>
      </c>
      <c r="H6" s="1972" t="s">
        <v>1937</v>
      </c>
      <c r="I6" s="1937">
        <v>5</v>
      </c>
      <c r="J6" s="615" t="s">
        <v>29</v>
      </c>
      <c r="K6" s="616"/>
    </row>
    <row r="7" spans="1:11">
      <c r="A7" s="673">
        <v>3</v>
      </c>
      <c r="B7" s="673" t="s">
        <v>66</v>
      </c>
      <c r="C7" s="673" t="s">
        <v>1181</v>
      </c>
      <c r="D7" s="673">
        <v>13.664</v>
      </c>
      <c r="E7" s="614">
        <v>46060</v>
      </c>
      <c r="F7" s="614">
        <v>46067</v>
      </c>
      <c r="G7" s="614" t="s">
        <v>1836</v>
      </c>
      <c r="H7" s="1973"/>
      <c r="I7" s="1942"/>
      <c r="J7" s="615" t="s">
        <v>29</v>
      </c>
      <c r="K7" s="616"/>
    </row>
    <row r="8" spans="1:11">
      <c r="A8" s="673">
        <v>4</v>
      </c>
      <c r="B8" s="673" t="s">
        <v>230</v>
      </c>
      <c r="C8" s="673" t="s">
        <v>32</v>
      </c>
      <c r="D8" s="673">
        <v>8.3339999999999996</v>
      </c>
      <c r="E8" s="614">
        <f>F7</f>
        <v>46067</v>
      </c>
      <c r="F8" s="614">
        <v>46069</v>
      </c>
      <c r="G8" s="614" t="s">
        <v>1836</v>
      </c>
      <c r="H8" s="1973"/>
      <c r="I8" s="1942"/>
      <c r="J8" s="615" t="s">
        <v>29</v>
      </c>
      <c r="K8" s="616"/>
    </row>
    <row r="9" spans="1:11">
      <c r="A9" s="673">
        <v>5</v>
      </c>
      <c r="B9" s="823" t="s">
        <v>239</v>
      </c>
      <c r="C9" s="673" t="s">
        <v>34</v>
      </c>
      <c r="D9" s="673">
        <v>6.8079999999999998</v>
      </c>
      <c r="E9" s="614">
        <f>F8</f>
        <v>46069</v>
      </c>
      <c r="F9" s="614">
        <v>46071</v>
      </c>
      <c r="G9" s="614" t="s">
        <v>1836</v>
      </c>
      <c r="H9" s="1973"/>
      <c r="I9" s="1942"/>
      <c r="J9" s="615" t="s">
        <v>29</v>
      </c>
      <c r="K9" s="616"/>
    </row>
    <row r="10" spans="1:11">
      <c r="A10" s="673">
        <v>6</v>
      </c>
      <c r="B10" s="823" t="s">
        <v>234</v>
      </c>
      <c r="C10" s="673" t="s">
        <v>32</v>
      </c>
      <c r="D10" s="673">
        <v>8.3339999999999996</v>
      </c>
      <c r="E10" s="614">
        <f>F9</f>
        <v>46071</v>
      </c>
      <c r="F10" s="614">
        <v>46071</v>
      </c>
      <c r="G10" s="1012" t="s">
        <v>1836</v>
      </c>
      <c r="H10" s="1974"/>
      <c r="I10" s="1943"/>
      <c r="J10" s="615" t="s">
        <v>29</v>
      </c>
      <c r="K10" s="616"/>
    </row>
    <row r="11" spans="1:11">
      <c r="A11" s="673">
        <v>7</v>
      </c>
      <c r="B11" s="823" t="s">
        <v>598</v>
      </c>
      <c r="C11" s="673" t="s">
        <v>32</v>
      </c>
      <c r="D11" s="673">
        <v>8.3339999999999996</v>
      </c>
      <c r="E11" s="1012">
        <v>46161</v>
      </c>
      <c r="F11" s="1012">
        <v>46163</v>
      </c>
      <c r="G11" s="1012" t="s">
        <v>2146</v>
      </c>
      <c r="H11" s="1952" t="s">
        <v>2024</v>
      </c>
      <c r="I11" s="1975" t="s">
        <v>2147</v>
      </c>
      <c r="J11" s="615" t="s">
        <v>29</v>
      </c>
      <c r="K11" s="616"/>
    </row>
    <row r="12" spans="1:11">
      <c r="A12" s="673">
        <v>8</v>
      </c>
      <c r="B12" s="823" t="s">
        <v>198</v>
      </c>
      <c r="C12" s="673" t="s">
        <v>34</v>
      </c>
      <c r="D12" s="673">
        <v>6.8090000000000002</v>
      </c>
      <c r="E12" s="1012">
        <v>46168</v>
      </c>
      <c r="F12" s="1012">
        <v>46170</v>
      </c>
      <c r="G12" s="1012" t="s">
        <v>2146</v>
      </c>
      <c r="H12" s="1954"/>
      <c r="I12" s="1954"/>
      <c r="J12" s="615" t="s">
        <v>29</v>
      </c>
      <c r="K12" s="616"/>
    </row>
    <row r="13" spans="1:11">
      <c r="A13" s="835"/>
      <c r="B13" s="836"/>
      <c r="C13" s="835"/>
      <c r="D13" s="945">
        <f>SUM(D5:D12)</f>
        <v>68.950999999999993</v>
      </c>
      <c r="E13" s="837"/>
      <c r="F13" s="837"/>
      <c r="G13" s="837"/>
      <c r="H13" s="1207"/>
      <c r="I13" s="1205"/>
      <c r="J13" s="838"/>
      <c r="K13" s="839"/>
    </row>
    <row r="14" spans="1:11">
      <c r="A14" s="835"/>
      <c r="B14" s="836"/>
      <c r="C14" s="835"/>
      <c r="D14" s="835"/>
      <c r="E14" s="837"/>
      <c r="F14" s="837"/>
      <c r="G14" s="837"/>
      <c r="H14" s="1207"/>
      <c r="I14" s="1205"/>
      <c r="J14" s="838"/>
      <c r="K14" s="839"/>
    </row>
    <row r="15" spans="1:11">
      <c r="A15" s="835"/>
      <c r="B15" s="836"/>
      <c r="C15" s="835"/>
      <c r="D15" s="835"/>
      <c r="E15" s="837"/>
      <c r="F15" s="837"/>
      <c r="G15" s="837"/>
      <c r="H15" s="1207"/>
      <c r="I15" s="1205"/>
      <c r="J15" s="838"/>
      <c r="K15" s="839"/>
    </row>
    <row r="16" spans="1:11">
      <c r="A16" s="835"/>
      <c r="B16" s="836"/>
      <c r="C16" s="835"/>
      <c r="D16" s="835"/>
      <c r="E16" s="837"/>
      <c r="F16" s="837"/>
      <c r="G16" s="837"/>
      <c r="H16" s="1207"/>
      <c r="I16" s="1205"/>
      <c r="J16" s="838"/>
      <c r="K16" s="839"/>
    </row>
    <row r="17" spans="1:11">
      <c r="A17" s="835"/>
      <c r="B17" s="836"/>
      <c r="C17" s="835"/>
      <c r="D17" s="945"/>
      <c r="E17" s="837"/>
      <c r="F17" s="837"/>
      <c r="G17" s="837"/>
      <c r="H17" s="837"/>
      <c r="I17" s="837"/>
      <c r="J17" s="838"/>
      <c r="K17" s="839"/>
    </row>
    <row r="18" spans="1:11" ht="15" customHeight="1">
      <c r="A18" s="1966" t="s">
        <v>1026</v>
      </c>
      <c r="B18" s="1967"/>
      <c r="C18" s="1967"/>
      <c r="D18" s="1967"/>
      <c r="E18" s="1967"/>
      <c r="F18" s="1967"/>
      <c r="G18" s="1967"/>
      <c r="H18" s="1967"/>
      <c r="I18" s="1967"/>
      <c r="J18" s="1967"/>
      <c r="K18" s="1968"/>
    </row>
    <row r="19" spans="1:11" ht="30">
      <c r="A19" s="23" t="s">
        <v>25</v>
      </c>
      <c r="B19" s="24" t="s">
        <v>551</v>
      </c>
      <c r="C19" s="23" t="s">
        <v>38</v>
      </c>
      <c r="D19" s="24" t="s">
        <v>1831</v>
      </c>
      <c r="E19" s="23" t="s">
        <v>1832</v>
      </c>
      <c r="F19" s="23" t="s">
        <v>1833</v>
      </c>
      <c r="G19" s="23" t="s">
        <v>36</v>
      </c>
      <c r="H19" s="922"/>
      <c r="I19" s="922"/>
      <c r="J19" s="23" t="s">
        <v>35</v>
      </c>
      <c r="K19" s="23" t="s">
        <v>2</v>
      </c>
    </row>
    <row r="20" spans="1:11">
      <c r="A20" s="716"/>
      <c r="B20" s="716"/>
      <c r="C20" s="716"/>
      <c r="D20" s="716"/>
      <c r="E20" s="716"/>
      <c r="F20" s="716"/>
      <c r="G20" s="931"/>
      <c r="H20" s="929"/>
      <c r="I20" s="930"/>
      <c r="J20" s="932">
        <f>COUNTIF(J21:J53,"Completed")</f>
        <v>31</v>
      </c>
      <c r="K20" s="716"/>
    </row>
    <row r="21" spans="1:11">
      <c r="A21" s="673">
        <v>1</v>
      </c>
      <c r="B21" s="673" t="s">
        <v>452</v>
      </c>
      <c r="C21" s="673" t="s">
        <v>48</v>
      </c>
      <c r="D21" s="673">
        <v>20.631</v>
      </c>
      <c r="E21" s="614">
        <v>46060</v>
      </c>
      <c r="F21" s="614">
        <v>46067</v>
      </c>
      <c r="G21" s="614" t="s">
        <v>1837</v>
      </c>
      <c r="H21" s="1923" t="s">
        <v>1937</v>
      </c>
      <c r="I21" s="1924">
        <v>3</v>
      </c>
      <c r="J21" s="615" t="s">
        <v>29</v>
      </c>
      <c r="K21" s="616" t="s">
        <v>554</v>
      </c>
    </row>
    <row r="22" spans="1:11">
      <c r="A22" s="673">
        <v>2</v>
      </c>
      <c r="B22" s="673" t="s">
        <v>411</v>
      </c>
      <c r="C22" s="673" t="s">
        <v>34</v>
      </c>
      <c r="D22" s="673">
        <v>16.922000000000001</v>
      </c>
      <c r="E22" s="614">
        <v>46067</v>
      </c>
      <c r="F22" s="614">
        <v>46070</v>
      </c>
      <c r="G22" s="614" t="s">
        <v>1837</v>
      </c>
      <c r="H22" s="1923"/>
      <c r="I22" s="1924"/>
      <c r="J22" s="615" t="s">
        <v>29</v>
      </c>
      <c r="K22" s="616" t="s">
        <v>554</v>
      </c>
    </row>
    <row r="23" spans="1:11">
      <c r="A23" s="673">
        <v>3</v>
      </c>
      <c r="B23" s="673" t="s">
        <v>71</v>
      </c>
      <c r="C23" s="673" t="s">
        <v>1181</v>
      </c>
      <c r="D23" s="673">
        <v>37.869999999999997</v>
      </c>
      <c r="E23" s="614">
        <v>46070</v>
      </c>
      <c r="F23" s="614">
        <v>46078</v>
      </c>
      <c r="G23" s="614" t="s">
        <v>1837</v>
      </c>
      <c r="H23" s="1923"/>
      <c r="I23" s="1924"/>
      <c r="J23" s="615" t="s">
        <v>29</v>
      </c>
      <c r="K23" s="616" t="s">
        <v>554</v>
      </c>
    </row>
    <row r="24" spans="1:11">
      <c r="A24" s="673">
        <v>4</v>
      </c>
      <c r="B24" s="673" t="s">
        <v>416</v>
      </c>
      <c r="C24" s="673" t="s">
        <v>50</v>
      </c>
      <c r="D24" s="673">
        <v>40.17</v>
      </c>
      <c r="E24" s="614">
        <v>46070</v>
      </c>
      <c r="F24" s="614">
        <v>46091</v>
      </c>
      <c r="G24" s="614" t="s">
        <v>1837</v>
      </c>
      <c r="H24" s="1923" t="s">
        <v>1889</v>
      </c>
      <c r="I24" s="1924">
        <v>7</v>
      </c>
      <c r="J24" s="615" t="s">
        <v>29</v>
      </c>
      <c r="K24" s="616" t="s">
        <v>554</v>
      </c>
    </row>
    <row r="25" spans="1:11">
      <c r="A25" s="673">
        <v>5</v>
      </c>
      <c r="B25" s="673" t="s">
        <v>46</v>
      </c>
      <c r="C25" s="673" t="s">
        <v>1175</v>
      </c>
      <c r="D25" s="673">
        <v>28.062999999999999</v>
      </c>
      <c r="E25" s="614">
        <v>46089</v>
      </c>
      <c r="F25" s="614">
        <v>46096</v>
      </c>
      <c r="G25" s="614" t="s">
        <v>1890</v>
      </c>
      <c r="H25" s="1923"/>
      <c r="I25" s="1924"/>
      <c r="J25" s="615" t="s">
        <v>29</v>
      </c>
      <c r="K25" s="616" t="s">
        <v>554</v>
      </c>
    </row>
    <row r="26" spans="1:11">
      <c r="A26" s="673">
        <v>6</v>
      </c>
      <c r="B26" s="673" t="s">
        <v>803</v>
      </c>
      <c r="C26" s="673" t="s">
        <v>48</v>
      </c>
      <c r="D26" s="673">
        <v>20.631</v>
      </c>
      <c r="E26" s="614">
        <f>F24</f>
        <v>46091</v>
      </c>
      <c r="F26" s="614">
        <v>46101</v>
      </c>
      <c r="G26" s="614" t="s">
        <v>1890</v>
      </c>
      <c r="H26" s="1923"/>
      <c r="I26" s="1924"/>
      <c r="J26" s="615" t="s">
        <v>29</v>
      </c>
      <c r="K26" s="616" t="s">
        <v>555</v>
      </c>
    </row>
    <row r="27" spans="1:11">
      <c r="A27" s="673">
        <v>7</v>
      </c>
      <c r="B27" s="673" t="s">
        <v>73</v>
      </c>
      <c r="C27" s="673" t="s">
        <v>50</v>
      </c>
      <c r="D27" s="673">
        <v>40.17</v>
      </c>
      <c r="E27" s="614">
        <v>46094</v>
      </c>
      <c r="F27" s="614">
        <v>46103</v>
      </c>
      <c r="G27" s="614" t="s">
        <v>1837</v>
      </c>
      <c r="H27" s="1923"/>
      <c r="I27" s="1924"/>
      <c r="J27" s="615" t="s">
        <v>29</v>
      </c>
      <c r="K27" s="616" t="s">
        <v>555</v>
      </c>
    </row>
    <row r="28" spans="1:11">
      <c r="A28" s="673">
        <v>8</v>
      </c>
      <c r="B28" s="673" t="s">
        <v>799</v>
      </c>
      <c r="C28" s="673" t="s">
        <v>34</v>
      </c>
      <c r="D28" s="673">
        <v>16.922000000000001</v>
      </c>
      <c r="E28" s="614">
        <v>46096</v>
      </c>
      <c r="F28" s="614">
        <v>46105</v>
      </c>
      <c r="G28" s="614" t="s">
        <v>1890</v>
      </c>
      <c r="H28" s="1923"/>
      <c r="I28" s="1924"/>
      <c r="J28" s="615" t="s">
        <v>29</v>
      </c>
      <c r="K28" s="616" t="s">
        <v>555</v>
      </c>
    </row>
    <row r="29" spans="1:11">
      <c r="A29" s="673">
        <v>9</v>
      </c>
      <c r="B29" s="673" t="s">
        <v>364</v>
      </c>
      <c r="C29" s="673" t="s">
        <v>50</v>
      </c>
      <c r="D29" s="673">
        <v>40.17</v>
      </c>
      <c r="E29" s="614">
        <v>46102</v>
      </c>
      <c r="F29" s="614">
        <v>46111</v>
      </c>
      <c r="G29" s="614" t="s">
        <v>1837</v>
      </c>
      <c r="H29" s="1923"/>
      <c r="I29" s="1924"/>
      <c r="J29" s="615" t="s">
        <v>29</v>
      </c>
      <c r="K29" s="616" t="s">
        <v>554</v>
      </c>
    </row>
    <row r="30" spans="1:11">
      <c r="A30" s="673">
        <v>10</v>
      </c>
      <c r="B30" s="673" t="s">
        <v>58</v>
      </c>
      <c r="C30" s="673" t="s">
        <v>57</v>
      </c>
      <c r="D30" s="673">
        <v>38.079000000000001</v>
      </c>
      <c r="E30" s="614">
        <v>46106</v>
      </c>
      <c r="F30" s="614">
        <v>46112</v>
      </c>
      <c r="G30" s="614" t="s">
        <v>1890</v>
      </c>
      <c r="H30" s="1923"/>
      <c r="I30" s="1924"/>
      <c r="J30" s="615" t="s">
        <v>29</v>
      </c>
      <c r="K30" s="616" t="s">
        <v>554</v>
      </c>
    </row>
    <row r="31" spans="1:11">
      <c r="A31" s="673">
        <v>11</v>
      </c>
      <c r="B31" s="673" t="s">
        <v>1853</v>
      </c>
      <c r="C31" s="673" t="s">
        <v>49</v>
      </c>
      <c r="D31" s="673">
        <v>21.756</v>
      </c>
      <c r="E31" s="614">
        <v>46112</v>
      </c>
      <c r="F31" s="614">
        <v>46115</v>
      </c>
      <c r="G31" s="983" t="s">
        <v>1837</v>
      </c>
      <c r="H31" s="1952" t="s">
        <v>1909</v>
      </c>
      <c r="I31" s="1955">
        <v>10</v>
      </c>
      <c r="J31" s="972" t="s">
        <v>29</v>
      </c>
      <c r="K31" s="616" t="s">
        <v>555</v>
      </c>
    </row>
    <row r="32" spans="1:11">
      <c r="A32" s="673">
        <v>12</v>
      </c>
      <c r="B32" s="673" t="s">
        <v>310</v>
      </c>
      <c r="C32" s="673" t="s">
        <v>34</v>
      </c>
      <c r="D32" s="673">
        <v>16.922000000000001</v>
      </c>
      <c r="E32" s="614">
        <v>46115</v>
      </c>
      <c r="F32" s="614">
        <v>46121</v>
      </c>
      <c r="G32" s="983" t="s">
        <v>1890</v>
      </c>
      <c r="H32" s="1953"/>
      <c r="I32" s="1956"/>
      <c r="J32" s="972" t="s">
        <v>29</v>
      </c>
      <c r="K32" s="616" t="s">
        <v>554</v>
      </c>
    </row>
    <row r="33" spans="1:11">
      <c r="A33" s="673">
        <v>13</v>
      </c>
      <c r="B33" s="673" t="s">
        <v>371</v>
      </c>
      <c r="C33" s="673" t="s">
        <v>1181</v>
      </c>
      <c r="D33" s="673">
        <v>37.869999999999997</v>
      </c>
      <c r="E33" s="614">
        <v>46115</v>
      </c>
      <c r="F33" s="614">
        <v>46121</v>
      </c>
      <c r="G33" s="983" t="s">
        <v>1837</v>
      </c>
      <c r="H33" s="1953"/>
      <c r="I33" s="1956"/>
      <c r="J33" s="972" t="s">
        <v>29</v>
      </c>
      <c r="K33" s="616" t="s">
        <v>554</v>
      </c>
    </row>
    <row r="34" spans="1:11">
      <c r="A34" s="673">
        <v>14</v>
      </c>
      <c r="B34" s="673" t="s">
        <v>300</v>
      </c>
      <c r="C34" s="673" t="s">
        <v>48</v>
      </c>
      <c r="D34" s="673">
        <v>20.631</v>
      </c>
      <c r="E34" s="938">
        <v>46119</v>
      </c>
      <c r="F34" s="938">
        <v>46125</v>
      </c>
      <c r="G34" s="983" t="s">
        <v>1890</v>
      </c>
      <c r="H34" s="1953"/>
      <c r="I34" s="1956"/>
      <c r="J34" s="972" t="s">
        <v>29</v>
      </c>
      <c r="K34" s="616" t="s">
        <v>554</v>
      </c>
    </row>
    <row r="35" spans="1:11">
      <c r="A35" s="673">
        <v>15</v>
      </c>
      <c r="B35" s="673" t="s">
        <v>71</v>
      </c>
      <c r="C35" s="673" t="s">
        <v>50</v>
      </c>
      <c r="D35" s="673">
        <v>40.17</v>
      </c>
      <c r="E35" s="938">
        <v>46121</v>
      </c>
      <c r="F35" s="938">
        <v>46128</v>
      </c>
      <c r="G35" s="983" t="s">
        <v>1837</v>
      </c>
      <c r="H35" s="1953"/>
      <c r="I35" s="1956"/>
      <c r="J35" s="972" t="s">
        <v>29</v>
      </c>
      <c r="K35" s="616" t="s">
        <v>555</v>
      </c>
    </row>
    <row r="36" spans="1:11">
      <c r="A36" s="673">
        <v>16</v>
      </c>
      <c r="B36" s="673" t="s">
        <v>296</v>
      </c>
      <c r="C36" s="673" t="s">
        <v>32</v>
      </c>
      <c r="D36" s="673">
        <v>18.405000000000001</v>
      </c>
      <c r="E36" s="938">
        <v>46125</v>
      </c>
      <c r="F36" s="938">
        <v>46130</v>
      </c>
      <c r="G36" s="983" t="s">
        <v>1890</v>
      </c>
      <c r="H36" s="1953"/>
      <c r="I36" s="1956"/>
      <c r="J36" s="972" t="s">
        <v>29</v>
      </c>
      <c r="K36" s="616" t="s">
        <v>554</v>
      </c>
    </row>
    <row r="37" spans="1:11">
      <c r="A37" s="673">
        <v>17</v>
      </c>
      <c r="B37" s="673" t="s">
        <v>795</v>
      </c>
      <c r="C37" s="673" t="s">
        <v>34</v>
      </c>
      <c r="D37" s="673">
        <v>16.922000000000001</v>
      </c>
      <c r="E37" s="938">
        <v>46130</v>
      </c>
      <c r="F37" s="938">
        <v>46134</v>
      </c>
      <c r="G37" s="983" t="s">
        <v>1890</v>
      </c>
      <c r="H37" s="1953"/>
      <c r="I37" s="1956"/>
      <c r="J37" s="972" t="s">
        <v>29</v>
      </c>
      <c r="K37" s="616" t="s">
        <v>555</v>
      </c>
    </row>
    <row r="38" spans="1:11">
      <c r="A38" s="673">
        <v>18</v>
      </c>
      <c r="B38" s="673" t="s">
        <v>421</v>
      </c>
      <c r="C38" s="673" t="s">
        <v>48</v>
      </c>
      <c r="D38" s="673">
        <v>20.631</v>
      </c>
      <c r="E38" s="938">
        <v>46128</v>
      </c>
      <c r="F38" s="938">
        <v>46134</v>
      </c>
      <c r="G38" s="983" t="s">
        <v>1837</v>
      </c>
      <c r="H38" s="1953"/>
      <c r="I38" s="1956"/>
      <c r="J38" s="972" t="s">
        <v>29</v>
      </c>
      <c r="K38" s="616" t="s">
        <v>555</v>
      </c>
    </row>
    <row r="39" spans="1:11">
      <c r="A39" s="673">
        <v>19</v>
      </c>
      <c r="B39" s="759" t="s">
        <v>322</v>
      </c>
      <c r="C39" s="74" t="s">
        <v>34</v>
      </c>
      <c r="D39" s="673">
        <v>16.922000000000001</v>
      </c>
      <c r="E39" s="727">
        <v>46135</v>
      </c>
      <c r="F39" s="727">
        <v>46138</v>
      </c>
      <c r="G39" s="983" t="s">
        <v>1890</v>
      </c>
      <c r="H39" s="1953"/>
      <c r="I39" s="1956"/>
      <c r="J39" s="972" t="s">
        <v>29</v>
      </c>
      <c r="K39" s="616" t="s">
        <v>554</v>
      </c>
    </row>
    <row r="40" spans="1:11">
      <c r="A40" s="673">
        <v>20</v>
      </c>
      <c r="B40" s="759" t="s">
        <v>436</v>
      </c>
      <c r="C40" s="74" t="s">
        <v>1181</v>
      </c>
      <c r="D40" s="673">
        <v>37.869999999999997</v>
      </c>
      <c r="E40" s="727">
        <v>46135</v>
      </c>
      <c r="F40" s="727">
        <v>46140</v>
      </c>
      <c r="G40" s="983" t="s">
        <v>1837</v>
      </c>
      <c r="H40" s="1954"/>
      <c r="I40" s="1957"/>
      <c r="J40" s="972" t="s">
        <v>29</v>
      </c>
      <c r="K40" s="616" t="s">
        <v>555</v>
      </c>
    </row>
    <row r="41" spans="1:11">
      <c r="A41" s="673">
        <v>21</v>
      </c>
      <c r="B41" s="759" t="s">
        <v>384</v>
      </c>
      <c r="C41" s="74" t="s">
        <v>34</v>
      </c>
      <c r="D41" s="673">
        <v>16.922000000000001</v>
      </c>
      <c r="E41" s="1012">
        <v>46112</v>
      </c>
      <c r="F41" s="727">
        <v>46143</v>
      </c>
      <c r="G41" s="726" t="s">
        <v>1890</v>
      </c>
      <c r="H41" s="1962" t="s">
        <v>2144</v>
      </c>
      <c r="I41" s="1961" t="s">
        <v>2148</v>
      </c>
      <c r="J41" s="972" t="s">
        <v>29</v>
      </c>
      <c r="K41" s="616" t="s">
        <v>555</v>
      </c>
    </row>
    <row r="42" spans="1:11">
      <c r="A42" s="673">
        <v>22</v>
      </c>
      <c r="B42" s="759" t="s">
        <v>371</v>
      </c>
      <c r="C42" s="74" t="s">
        <v>1181</v>
      </c>
      <c r="D42" s="673">
        <v>37.869999999999997</v>
      </c>
      <c r="E42" s="1012">
        <v>46115</v>
      </c>
      <c r="F42" s="727">
        <v>46145</v>
      </c>
      <c r="G42" s="726" t="s">
        <v>1837</v>
      </c>
      <c r="H42" s="1962"/>
      <c r="I42" s="1962"/>
      <c r="J42" s="972" t="s">
        <v>29</v>
      </c>
      <c r="K42" s="616" t="s">
        <v>555</v>
      </c>
    </row>
    <row r="43" spans="1:11">
      <c r="A43" s="673">
        <v>23</v>
      </c>
      <c r="B43" s="759" t="s">
        <v>70</v>
      </c>
      <c r="C43" s="74" t="s">
        <v>53</v>
      </c>
      <c r="D43" s="673">
        <v>31.21</v>
      </c>
      <c r="E43" s="1012">
        <v>46115</v>
      </c>
      <c r="F43" s="727">
        <v>46150</v>
      </c>
      <c r="G43" s="726" t="s">
        <v>1890</v>
      </c>
      <c r="H43" s="1962"/>
      <c r="I43" s="1962"/>
      <c r="J43" s="972" t="s">
        <v>29</v>
      </c>
      <c r="K43" s="616" t="s">
        <v>555</v>
      </c>
    </row>
    <row r="44" spans="1:11">
      <c r="A44" s="673">
        <v>24</v>
      </c>
      <c r="B44" s="759" t="s">
        <v>1168</v>
      </c>
      <c r="C44" s="74" t="s">
        <v>50</v>
      </c>
      <c r="D44" s="673">
        <v>40.17</v>
      </c>
      <c r="E44" s="1012">
        <v>46119</v>
      </c>
      <c r="F44" s="727">
        <v>46151</v>
      </c>
      <c r="G44" s="726" t="s">
        <v>1837</v>
      </c>
      <c r="H44" s="1962"/>
      <c r="I44" s="1962"/>
      <c r="J44" s="972" t="s">
        <v>29</v>
      </c>
      <c r="K44" s="616" t="s">
        <v>555</v>
      </c>
    </row>
    <row r="45" spans="1:11">
      <c r="A45" s="673">
        <v>25</v>
      </c>
      <c r="B45" s="759" t="s">
        <v>318</v>
      </c>
      <c r="C45" s="74" t="s">
        <v>34</v>
      </c>
      <c r="D45" s="673">
        <v>16.922000000000001</v>
      </c>
      <c r="E45" s="1012">
        <v>46121</v>
      </c>
      <c r="F45" s="727">
        <v>46153</v>
      </c>
      <c r="G45" s="726" t="s">
        <v>1890</v>
      </c>
      <c r="H45" s="1962"/>
      <c r="I45" s="1962"/>
      <c r="J45" s="972" t="s">
        <v>29</v>
      </c>
      <c r="K45" s="616" t="s">
        <v>554</v>
      </c>
    </row>
    <row r="46" spans="1:11">
      <c r="A46" s="673">
        <v>26</v>
      </c>
      <c r="B46" s="759" t="s">
        <v>457</v>
      </c>
      <c r="C46" s="74" t="s">
        <v>1181</v>
      </c>
      <c r="D46" s="673">
        <v>37.869999999999997</v>
      </c>
      <c r="E46" s="1012">
        <v>46125</v>
      </c>
      <c r="F46" s="727">
        <v>46157</v>
      </c>
      <c r="G46" s="726" t="s">
        <v>1837</v>
      </c>
      <c r="H46" s="1962"/>
      <c r="I46" s="1962"/>
      <c r="J46" s="972" t="s">
        <v>29</v>
      </c>
      <c r="K46" s="616" t="s">
        <v>555</v>
      </c>
    </row>
    <row r="47" spans="1:11">
      <c r="A47" s="673">
        <v>27</v>
      </c>
      <c r="B47" s="759" t="s">
        <v>1873</v>
      </c>
      <c r="C47" s="74" t="s">
        <v>34</v>
      </c>
      <c r="D47" s="673">
        <v>16.922000000000001</v>
      </c>
      <c r="E47" s="1012">
        <v>46130</v>
      </c>
      <c r="F47" s="727">
        <v>46162</v>
      </c>
      <c r="G47" s="726" t="s">
        <v>1837</v>
      </c>
      <c r="H47" s="1962"/>
      <c r="I47" s="1962"/>
      <c r="J47" s="972" t="s">
        <v>29</v>
      </c>
      <c r="K47" s="616" t="s">
        <v>555</v>
      </c>
    </row>
    <row r="48" spans="1:11">
      <c r="A48" s="673">
        <v>28</v>
      </c>
      <c r="B48" s="759" t="s">
        <v>416</v>
      </c>
      <c r="C48" s="74" t="s">
        <v>1181</v>
      </c>
      <c r="D48" s="673">
        <v>37.869999999999997</v>
      </c>
      <c r="E48" s="1012">
        <v>46128</v>
      </c>
      <c r="F48" s="727">
        <v>46163</v>
      </c>
      <c r="G48" s="726" t="s">
        <v>1890</v>
      </c>
      <c r="H48" s="1962"/>
      <c r="I48" s="1962"/>
      <c r="J48" s="972" t="s">
        <v>29</v>
      </c>
      <c r="K48" s="616" t="s">
        <v>555</v>
      </c>
    </row>
    <row r="49" spans="1:11">
      <c r="A49" s="673">
        <v>29</v>
      </c>
      <c r="B49" s="759" t="s">
        <v>314</v>
      </c>
      <c r="C49" s="74" t="s">
        <v>34</v>
      </c>
      <c r="D49" s="673">
        <v>16.922000000000001</v>
      </c>
      <c r="E49" s="1012">
        <v>46135</v>
      </c>
      <c r="F49" s="727">
        <v>46166</v>
      </c>
      <c r="G49" s="726" t="s">
        <v>1890</v>
      </c>
      <c r="H49" s="1962"/>
      <c r="I49" s="1962"/>
      <c r="J49" s="972" t="s">
        <v>29</v>
      </c>
      <c r="K49" s="616" t="s">
        <v>554</v>
      </c>
    </row>
    <row r="50" spans="1:11">
      <c r="A50" s="673">
        <v>30</v>
      </c>
      <c r="B50" s="1212" t="s">
        <v>1206</v>
      </c>
      <c r="C50" s="509" t="s">
        <v>1181</v>
      </c>
      <c r="D50" s="1198">
        <v>37.869999999999997</v>
      </c>
      <c r="E50" s="1213">
        <v>46173</v>
      </c>
      <c r="F50" s="727">
        <v>46173</v>
      </c>
      <c r="G50" s="726" t="s">
        <v>1837</v>
      </c>
      <c r="H50" s="1962"/>
      <c r="I50" s="1962"/>
      <c r="J50" s="972" t="s">
        <v>29</v>
      </c>
      <c r="K50" s="616" t="s">
        <v>555</v>
      </c>
    </row>
    <row r="51" spans="1:11">
      <c r="A51" s="673">
        <v>31</v>
      </c>
      <c r="B51" s="1212" t="s">
        <v>388</v>
      </c>
      <c r="C51" s="509" t="s">
        <v>48</v>
      </c>
      <c r="D51" s="1198">
        <v>20.631</v>
      </c>
      <c r="E51" s="1213">
        <v>46173</v>
      </c>
      <c r="F51" s="727">
        <v>46173</v>
      </c>
      <c r="G51" s="726" t="s">
        <v>1837</v>
      </c>
      <c r="H51" s="1962"/>
      <c r="I51" s="1962"/>
      <c r="J51" s="972" t="s">
        <v>29</v>
      </c>
      <c r="K51" s="616" t="s">
        <v>554</v>
      </c>
    </row>
    <row r="52" spans="1:11">
      <c r="A52" s="835"/>
      <c r="B52" s="835"/>
      <c r="C52" s="835"/>
      <c r="D52" s="947">
        <f>SUM(D21:D51)</f>
        <v>858.90600000000018</v>
      </c>
      <c r="E52" s="837"/>
      <c r="F52" s="837"/>
      <c r="G52" s="837"/>
      <c r="H52" s="837"/>
      <c r="I52" s="935"/>
      <c r="J52" s="838"/>
      <c r="K52" s="839"/>
    </row>
    <row r="53" spans="1:11">
      <c r="A53" s="835"/>
      <c r="B53" s="835"/>
      <c r="C53" s="835"/>
      <c r="D53" s="835"/>
      <c r="E53" s="837"/>
      <c r="F53" s="837"/>
      <c r="G53" s="837"/>
      <c r="H53" s="837"/>
      <c r="I53" s="935"/>
      <c r="J53" s="838"/>
      <c r="K53" s="839"/>
    </row>
    <row r="54" spans="1:11">
      <c r="A54" s="835"/>
      <c r="B54" s="835"/>
      <c r="C54" s="835"/>
      <c r="E54" s="837"/>
      <c r="F54" s="837"/>
      <c r="G54" s="837"/>
      <c r="H54" s="837"/>
      <c r="I54" s="935"/>
      <c r="J54" s="838"/>
      <c r="K54" s="839"/>
    </row>
    <row r="55" spans="1:11">
      <c r="A55" s="1969" t="s">
        <v>1897</v>
      </c>
      <c r="B55" s="1970"/>
      <c r="C55" s="1970"/>
      <c r="D55" s="1970"/>
      <c r="E55" s="1970"/>
      <c r="F55" s="1970"/>
      <c r="G55" s="1970"/>
      <c r="H55" s="1970"/>
      <c r="I55" s="1970"/>
      <c r="J55" s="1970"/>
      <c r="K55" s="1971"/>
    </row>
    <row r="56" spans="1:11" ht="30">
      <c r="A56" s="922" t="s">
        <v>25</v>
      </c>
      <c r="B56" s="923" t="s">
        <v>551</v>
      </c>
      <c r="C56" s="922" t="s">
        <v>38</v>
      </c>
      <c r="D56" s="923" t="s">
        <v>1831</v>
      </c>
      <c r="E56" s="922" t="s">
        <v>1832</v>
      </c>
      <c r="F56" s="922" t="s">
        <v>1833</v>
      </c>
      <c r="G56" s="922" t="s">
        <v>36</v>
      </c>
      <c r="H56" s="922"/>
      <c r="I56" s="922"/>
      <c r="J56" s="922" t="s">
        <v>35</v>
      </c>
      <c r="K56" s="922" t="s">
        <v>2</v>
      </c>
    </row>
    <row r="57" spans="1:11">
      <c r="A57" s="924"/>
      <c r="B57" s="924"/>
      <c r="C57" s="924"/>
      <c r="D57" s="924"/>
      <c r="E57" s="924"/>
      <c r="F57" s="924"/>
      <c r="G57" s="924"/>
      <c r="H57" s="924"/>
      <c r="I57" s="924"/>
      <c r="J57" s="924">
        <f>COUNTIF(J58:J110,"Completed")</f>
        <v>48</v>
      </c>
      <c r="K57" s="924"/>
    </row>
    <row r="58" spans="1:11">
      <c r="A58" s="673">
        <v>1</v>
      </c>
      <c r="B58" s="673" t="s">
        <v>1172</v>
      </c>
      <c r="C58" s="673" t="s">
        <v>48</v>
      </c>
      <c r="D58" s="673">
        <v>5.7130000000000001</v>
      </c>
      <c r="E58" s="614">
        <v>46097</v>
      </c>
      <c r="F58" s="614">
        <v>46099</v>
      </c>
      <c r="G58" s="614" t="s">
        <v>1898</v>
      </c>
      <c r="H58" s="1952" t="s">
        <v>1889</v>
      </c>
      <c r="I58" s="1955">
        <v>7</v>
      </c>
      <c r="J58" s="615" t="s">
        <v>29</v>
      </c>
      <c r="K58" s="616"/>
    </row>
    <row r="59" spans="1:11">
      <c r="A59" s="673">
        <v>2</v>
      </c>
      <c r="B59" s="673" t="s">
        <v>1173</v>
      </c>
      <c r="C59" s="673" t="s">
        <v>48</v>
      </c>
      <c r="D59" s="673">
        <v>5.7130000000000001</v>
      </c>
      <c r="E59" s="614">
        <f>F58</f>
        <v>46099</v>
      </c>
      <c r="F59" s="614">
        <v>46101</v>
      </c>
      <c r="G59" s="614" t="s">
        <v>1898</v>
      </c>
      <c r="H59" s="1953"/>
      <c r="I59" s="1956"/>
      <c r="J59" s="615" t="s">
        <v>29</v>
      </c>
      <c r="K59" s="616"/>
    </row>
    <row r="60" spans="1:11">
      <c r="A60" s="673">
        <v>3</v>
      </c>
      <c r="B60" s="673" t="s">
        <v>1210</v>
      </c>
      <c r="C60" s="673" t="s">
        <v>43</v>
      </c>
      <c r="D60" s="673">
        <v>8.0860000000000003</v>
      </c>
      <c r="E60" s="614">
        <f>F59</f>
        <v>46101</v>
      </c>
      <c r="F60" s="614">
        <v>46106</v>
      </c>
      <c r="G60" s="614" t="s">
        <v>1898</v>
      </c>
      <c r="H60" s="1953"/>
      <c r="I60" s="1956"/>
      <c r="J60" s="615" t="s">
        <v>29</v>
      </c>
      <c r="K60" s="616"/>
    </row>
    <row r="61" spans="1:11">
      <c r="A61" s="673">
        <v>4</v>
      </c>
      <c r="B61" s="673" t="s">
        <v>1169</v>
      </c>
      <c r="C61" s="673" t="s">
        <v>43</v>
      </c>
      <c r="D61" s="673">
        <v>8.0860000000000003</v>
      </c>
      <c r="E61" s="614">
        <v>46106</v>
      </c>
      <c r="F61" s="614">
        <v>46108</v>
      </c>
      <c r="G61" s="614" t="s">
        <v>1898</v>
      </c>
      <c r="H61" s="1953"/>
      <c r="I61" s="1956"/>
      <c r="J61" s="615" t="s">
        <v>29</v>
      </c>
      <c r="K61" s="616"/>
    </row>
    <row r="62" spans="1:11">
      <c r="A62" s="673">
        <v>5</v>
      </c>
      <c r="B62" s="673" t="s">
        <v>1301</v>
      </c>
      <c r="C62" s="673" t="s">
        <v>48</v>
      </c>
      <c r="D62" s="673">
        <v>5.7130000000000001</v>
      </c>
      <c r="E62" s="614">
        <v>46108</v>
      </c>
      <c r="F62" s="614">
        <v>46110</v>
      </c>
      <c r="G62" s="614" t="s">
        <v>1898</v>
      </c>
      <c r="H62" s="1953"/>
      <c r="I62" s="1956"/>
      <c r="J62" s="615" t="s">
        <v>29</v>
      </c>
      <c r="K62" s="616"/>
    </row>
    <row r="63" spans="1:11">
      <c r="A63" s="673">
        <v>6</v>
      </c>
      <c r="B63" s="673" t="s">
        <v>1179</v>
      </c>
      <c r="C63" s="673" t="s">
        <v>48</v>
      </c>
      <c r="D63" s="673">
        <v>5.7130000000000001</v>
      </c>
      <c r="E63" s="614">
        <v>46110</v>
      </c>
      <c r="F63" s="614">
        <v>46111</v>
      </c>
      <c r="G63" s="614" t="s">
        <v>1898</v>
      </c>
      <c r="H63" s="1953"/>
      <c r="I63" s="1956"/>
      <c r="J63" s="615" t="s">
        <v>29</v>
      </c>
      <c r="K63" s="616"/>
    </row>
    <row r="64" spans="1:11">
      <c r="A64" s="673">
        <v>7</v>
      </c>
      <c r="B64" s="673" t="s">
        <v>1178</v>
      </c>
      <c r="C64" s="673" t="s">
        <v>34</v>
      </c>
      <c r="D64" s="673">
        <v>4.3780000000000001</v>
      </c>
      <c r="E64" s="614">
        <f>F63</f>
        <v>46111</v>
      </c>
      <c r="F64" s="614">
        <v>46112</v>
      </c>
      <c r="G64" s="614" t="s">
        <v>1898</v>
      </c>
      <c r="H64" s="1954"/>
      <c r="I64" s="1957"/>
      <c r="J64" s="615" t="s">
        <v>29</v>
      </c>
      <c r="K64" s="616"/>
    </row>
    <row r="65" spans="1:11">
      <c r="A65" s="673">
        <v>8</v>
      </c>
      <c r="B65" s="673" t="s">
        <v>1180</v>
      </c>
      <c r="C65" s="673" t="s">
        <v>53</v>
      </c>
      <c r="D65" s="673">
        <v>6.5629999999999997</v>
      </c>
      <c r="E65" s="614">
        <v>46112</v>
      </c>
      <c r="F65" s="614">
        <v>46114</v>
      </c>
      <c r="G65" s="983" t="s">
        <v>1898</v>
      </c>
      <c r="H65" s="1921" t="s">
        <v>1909</v>
      </c>
      <c r="I65" s="1922">
        <v>21</v>
      </c>
      <c r="J65" s="972" t="s">
        <v>29</v>
      </c>
      <c r="K65" s="616"/>
    </row>
    <row r="66" spans="1:11">
      <c r="A66" s="673">
        <v>9</v>
      </c>
      <c r="B66" s="673" t="s">
        <v>1190</v>
      </c>
      <c r="C66" s="673" t="s">
        <v>48</v>
      </c>
      <c r="D66" s="673">
        <v>5.7130000000000001</v>
      </c>
      <c r="E66" s="614">
        <f>F65</f>
        <v>46114</v>
      </c>
      <c r="F66" s="614">
        <v>46116</v>
      </c>
      <c r="G66" s="983" t="s">
        <v>1898</v>
      </c>
      <c r="H66" s="1921"/>
      <c r="I66" s="1922"/>
      <c r="J66" s="972" t="s">
        <v>29</v>
      </c>
      <c r="K66" s="616"/>
    </row>
    <row r="67" spans="1:11">
      <c r="A67" s="673">
        <v>10</v>
      </c>
      <c r="B67" s="673" t="s">
        <v>1197</v>
      </c>
      <c r="C67" s="673" t="s">
        <v>32</v>
      </c>
      <c r="D67" s="673">
        <v>5.1669999999999998</v>
      </c>
      <c r="E67" s="614">
        <f>F66</f>
        <v>46116</v>
      </c>
      <c r="F67" s="614">
        <v>46118</v>
      </c>
      <c r="G67" s="983" t="s">
        <v>1898</v>
      </c>
      <c r="H67" s="1921"/>
      <c r="I67" s="1922"/>
      <c r="J67" s="972" t="s">
        <v>29</v>
      </c>
      <c r="K67" s="616"/>
    </row>
    <row r="68" spans="1:11">
      <c r="A68" s="673">
        <v>11</v>
      </c>
      <c r="B68" s="673" t="s">
        <v>1347</v>
      </c>
      <c r="C68" s="673" t="s">
        <v>43</v>
      </c>
      <c r="D68" s="673">
        <v>8.0860000000000003</v>
      </c>
      <c r="E68" s="614">
        <v>46114</v>
      </c>
      <c r="F68" s="614">
        <v>46119</v>
      </c>
      <c r="G68" s="983" t="s">
        <v>1921</v>
      </c>
      <c r="H68" s="1921"/>
      <c r="I68" s="1922"/>
      <c r="J68" s="972" t="s">
        <v>29</v>
      </c>
      <c r="K68" s="616"/>
    </row>
    <row r="69" spans="1:11">
      <c r="A69" s="673">
        <v>12</v>
      </c>
      <c r="B69" s="673" t="s">
        <v>1196</v>
      </c>
      <c r="C69" s="673" t="s">
        <v>32</v>
      </c>
      <c r="D69" s="673">
        <v>5.1669999999999998</v>
      </c>
      <c r="E69" s="614">
        <v>46118</v>
      </c>
      <c r="F69" s="614">
        <v>46120</v>
      </c>
      <c r="G69" s="983" t="s">
        <v>1898</v>
      </c>
      <c r="H69" s="1921"/>
      <c r="I69" s="1922"/>
      <c r="J69" s="972" t="s">
        <v>29</v>
      </c>
      <c r="K69" s="616"/>
    </row>
    <row r="70" spans="1:11">
      <c r="A70" s="673">
        <v>13</v>
      </c>
      <c r="B70" s="673" t="s">
        <v>1191</v>
      </c>
      <c r="C70" s="673" t="s">
        <v>32</v>
      </c>
      <c r="D70" s="673">
        <v>5.1669999999999998</v>
      </c>
      <c r="E70" s="614">
        <v>46120</v>
      </c>
      <c r="F70" s="614">
        <v>46122</v>
      </c>
      <c r="G70" s="983" t="s">
        <v>1898</v>
      </c>
      <c r="H70" s="1921"/>
      <c r="I70" s="1922"/>
      <c r="J70" s="972" t="s">
        <v>29</v>
      </c>
      <c r="K70" s="616"/>
    </row>
    <row r="71" spans="1:11">
      <c r="A71" s="673">
        <v>14</v>
      </c>
      <c r="B71" s="673" t="s">
        <v>1238</v>
      </c>
      <c r="C71" s="673" t="s">
        <v>50</v>
      </c>
      <c r="D71" s="673">
        <v>9.7910000000000004</v>
      </c>
      <c r="E71" s="936">
        <v>46114</v>
      </c>
      <c r="F71" s="936">
        <v>46124</v>
      </c>
      <c r="G71" s="983" t="s">
        <v>1942</v>
      </c>
      <c r="H71" s="1921"/>
      <c r="I71" s="1922"/>
      <c r="J71" s="972" t="s">
        <v>29</v>
      </c>
      <c r="K71" s="616"/>
    </row>
    <row r="72" spans="1:11">
      <c r="A72" s="673">
        <v>15</v>
      </c>
      <c r="B72" s="673" t="s">
        <v>1198</v>
      </c>
      <c r="C72" s="673" t="s">
        <v>53</v>
      </c>
      <c r="D72" s="673">
        <v>6.5629999999999997</v>
      </c>
      <c r="E72" s="936">
        <v>46122</v>
      </c>
      <c r="F72" s="936">
        <v>46124</v>
      </c>
      <c r="G72" s="983" t="s">
        <v>1898</v>
      </c>
      <c r="H72" s="1921"/>
      <c r="I72" s="1922"/>
      <c r="J72" s="972" t="s">
        <v>29</v>
      </c>
      <c r="K72" s="616"/>
    </row>
    <row r="73" spans="1:11">
      <c r="A73" s="673">
        <v>16</v>
      </c>
      <c r="B73" s="673" t="s">
        <v>1199</v>
      </c>
      <c r="C73" s="673" t="s">
        <v>34</v>
      </c>
      <c r="D73" s="673">
        <v>4.3780000000000001</v>
      </c>
      <c r="E73" s="938">
        <v>46124</v>
      </c>
      <c r="F73" s="938">
        <v>46126</v>
      </c>
      <c r="G73" s="983" t="s">
        <v>1898</v>
      </c>
      <c r="H73" s="1921"/>
      <c r="I73" s="1922"/>
      <c r="J73" s="972" t="s">
        <v>29</v>
      </c>
      <c r="K73" s="616"/>
    </row>
    <row r="74" spans="1:11">
      <c r="A74" s="673">
        <v>17</v>
      </c>
      <c r="B74" s="673" t="s">
        <v>1344</v>
      </c>
      <c r="C74" s="673" t="s">
        <v>49</v>
      </c>
      <c r="D74" s="673">
        <v>6.3250000000000002</v>
      </c>
      <c r="E74" s="938">
        <v>46119</v>
      </c>
      <c r="F74" s="938">
        <v>46127</v>
      </c>
      <c r="G74" s="983" t="s">
        <v>1921</v>
      </c>
      <c r="H74" s="1921"/>
      <c r="I74" s="1922"/>
      <c r="J74" s="972" t="s">
        <v>29</v>
      </c>
      <c r="K74" s="616"/>
    </row>
    <row r="75" spans="1:11">
      <c r="A75" s="673">
        <v>18</v>
      </c>
      <c r="B75" s="673" t="s">
        <v>1166</v>
      </c>
      <c r="C75" s="673" t="s">
        <v>32</v>
      </c>
      <c r="D75" s="673">
        <v>5.1669999999999998</v>
      </c>
      <c r="E75" s="938">
        <v>46126</v>
      </c>
      <c r="F75" s="938">
        <v>46127</v>
      </c>
      <c r="G75" s="983" t="s">
        <v>1898</v>
      </c>
      <c r="H75" s="1921"/>
      <c r="I75" s="1922"/>
      <c r="J75" s="972" t="s">
        <v>29</v>
      </c>
      <c r="K75" s="616"/>
    </row>
    <row r="76" spans="1:11">
      <c r="A76" s="673">
        <v>19</v>
      </c>
      <c r="B76" s="673" t="s">
        <v>1321</v>
      </c>
      <c r="C76" s="673" t="s">
        <v>1181</v>
      </c>
      <c r="D76" s="673">
        <v>8.0860000000000003</v>
      </c>
      <c r="E76" s="938">
        <v>46127</v>
      </c>
      <c r="F76" s="938">
        <v>46131</v>
      </c>
      <c r="G76" s="983" t="s">
        <v>1898</v>
      </c>
      <c r="H76" s="1921"/>
      <c r="I76" s="1922"/>
      <c r="J76" s="972" t="s">
        <v>29</v>
      </c>
      <c r="K76" s="1"/>
    </row>
    <row r="77" spans="1:11">
      <c r="A77" s="673">
        <v>20</v>
      </c>
      <c r="B77" s="673" t="s">
        <v>1239</v>
      </c>
      <c r="C77" s="673" t="s">
        <v>50</v>
      </c>
      <c r="D77" s="673">
        <v>9.7910000000000004</v>
      </c>
      <c r="E77" s="938">
        <v>46124</v>
      </c>
      <c r="F77" s="938">
        <v>46132</v>
      </c>
      <c r="G77" s="983" t="s">
        <v>1942</v>
      </c>
      <c r="H77" s="1921"/>
      <c r="I77" s="1922"/>
      <c r="J77" s="972" t="s">
        <v>29</v>
      </c>
      <c r="K77" s="1"/>
    </row>
    <row r="78" spans="1:11">
      <c r="A78" s="673">
        <v>21</v>
      </c>
      <c r="B78" s="673" t="s">
        <v>1323</v>
      </c>
      <c r="C78" s="673" t="s">
        <v>50</v>
      </c>
      <c r="D78" s="673">
        <v>9.7910000000000004</v>
      </c>
      <c r="E78" s="938">
        <v>46130</v>
      </c>
      <c r="F78" s="938">
        <v>46133</v>
      </c>
      <c r="G78" s="983" t="s">
        <v>1898</v>
      </c>
      <c r="H78" s="1921"/>
      <c r="I78" s="1922"/>
      <c r="J78" s="972" t="s">
        <v>29</v>
      </c>
      <c r="K78" s="1"/>
    </row>
    <row r="79" spans="1:11">
      <c r="A79" s="673">
        <v>22</v>
      </c>
      <c r="B79" s="673" t="s">
        <v>1322</v>
      </c>
      <c r="C79" s="673" t="s">
        <v>32</v>
      </c>
      <c r="D79" s="673">
        <v>5.1669999999999998</v>
      </c>
      <c r="E79" s="938">
        <v>46133</v>
      </c>
      <c r="F79" s="938">
        <v>46134</v>
      </c>
      <c r="G79" s="983" t="s">
        <v>1893</v>
      </c>
      <c r="H79" s="1921"/>
      <c r="I79" s="1922"/>
      <c r="J79" s="972" t="s">
        <v>29</v>
      </c>
      <c r="K79" s="1"/>
    </row>
    <row r="80" spans="1:11">
      <c r="A80" s="673">
        <v>23</v>
      </c>
      <c r="B80" s="673" t="s">
        <v>1340</v>
      </c>
      <c r="C80" s="673" t="s">
        <v>50</v>
      </c>
      <c r="D80" s="673">
        <v>9.7910000000000004</v>
      </c>
      <c r="E80" s="973">
        <v>46135</v>
      </c>
      <c r="F80" s="973">
        <v>46137</v>
      </c>
      <c r="G80" s="983" t="s">
        <v>1893</v>
      </c>
      <c r="H80" s="1921"/>
      <c r="I80" s="1922"/>
      <c r="J80" s="972" t="s">
        <v>29</v>
      </c>
      <c r="K80" s="1"/>
    </row>
    <row r="81" spans="1:11">
      <c r="A81" s="673">
        <v>24</v>
      </c>
      <c r="B81" s="673" t="s">
        <v>1339</v>
      </c>
      <c r="C81" s="74" t="s">
        <v>48</v>
      </c>
      <c r="D81" s="673">
        <v>5.7130000000000001</v>
      </c>
      <c r="E81" s="727">
        <v>46135</v>
      </c>
      <c r="F81" s="727">
        <v>46140</v>
      </c>
      <c r="G81" s="983" t="s">
        <v>1893</v>
      </c>
      <c r="H81" s="1921"/>
      <c r="I81" s="1922"/>
      <c r="J81" s="972" t="s">
        <v>29</v>
      </c>
      <c r="K81" s="1"/>
    </row>
    <row r="82" spans="1:11">
      <c r="A82" s="673">
        <v>25</v>
      </c>
      <c r="B82" s="673" t="s">
        <v>1688</v>
      </c>
      <c r="C82" s="673" t="s">
        <v>53</v>
      </c>
      <c r="D82" s="673">
        <v>6.5629999999999997</v>
      </c>
      <c r="E82" s="989">
        <v>46124</v>
      </c>
      <c r="F82" s="989">
        <v>46140</v>
      </c>
      <c r="G82" s="989" t="s">
        <v>1942</v>
      </c>
      <c r="H82" s="1921"/>
      <c r="I82" s="1922"/>
      <c r="J82" s="972" t="s">
        <v>29</v>
      </c>
      <c r="K82" s="1"/>
    </row>
    <row r="83" spans="1:11">
      <c r="A83" s="673">
        <v>26</v>
      </c>
      <c r="B83" s="673" t="s">
        <v>1279</v>
      </c>
      <c r="C83" s="673" t="s">
        <v>50</v>
      </c>
      <c r="D83" s="673">
        <v>9.7910000000000004</v>
      </c>
      <c r="E83" s="989">
        <v>46118</v>
      </c>
      <c r="F83" s="989">
        <v>46140</v>
      </c>
      <c r="G83" s="989" t="s">
        <v>1930</v>
      </c>
      <c r="H83" s="1921"/>
      <c r="I83" s="1922"/>
      <c r="J83" s="972" t="s">
        <v>29</v>
      </c>
      <c r="K83" s="1"/>
    </row>
    <row r="84" spans="1:11">
      <c r="A84" s="673">
        <v>27</v>
      </c>
      <c r="B84" s="673" t="s">
        <v>1346</v>
      </c>
      <c r="C84" s="673" t="s">
        <v>49</v>
      </c>
      <c r="D84" s="673">
        <v>6.3250000000000002</v>
      </c>
      <c r="E84" s="989">
        <v>46127</v>
      </c>
      <c r="F84" s="989">
        <v>46141</v>
      </c>
      <c r="G84" s="983" t="s">
        <v>1893</v>
      </c>
      <c r="H84" s="1921"/>
      <c r="I84" s="1922"/>
      <c r="J84" s="972" t="s">
        <v>29</v>
      </c>
      <c r="K84" s="1"/>
    </row>
    <row r="85" spans="1:11">
      <c r="A85" s="673">
        <v>28</v>
      </c>
      <c r="B85" s="673" t="s">
        <v>1338</v>
      </c>
      <c r="C85" s="673" t="s">
        <v>50</v>
      </c>
      <c r="D85" s="673">
        <v>9.7910000000000004</v>
      </c>
      <c r="E85" s="989">
        <v>46142</v>
      </c>
      <c r="F85" s="989">
        <v>46142</v>
      </c>
      <c r="G85" s="983" t="s">
        <v>1893</v>
      </c>
      <c r="H85" s="1921"/>
      <c r="I85" s="1922"/>
      <c r="J85" s="972" t="s">
        <v>29</v>
      </c>
      <c r="K85" s="1"/>
    </row>
    <row r="86" spans="1:11">
      <c r="A86" s="673">
        <v>29</v>
      </c>
      <c r="B86" s="759" t="s">
        <v>1337</v>
      </c>
      <c r="C86" s="74" t="s">
        <v>32</v>
      </c>
      <c r="D86" s="673">
        <v>5.1669999999999998</v>
      </c>
      <c r="E86" s="1012">
        <v>46141</v>
      </c>
      <c r="F86" s="1012">
        <v>46144</v>
      </c>
      <c r="G86" s="726" t="s">
        <v>1893</v>
      </c>
      <c r="H86" s="1921" t="s">
        <v>2144</v>
      </c>
      <c r="I86" s="1963" t="s">
        <v>2149</v>
      </c>
      <c r="J86" s="972" t="s">
        <v>29</v>
      </c>
      <c r="K86" s="1"/>
    </row>
    <row r="87" spans="1:11">
      <c r="A87" s="673">
        <v>30</v>
      </c>
      <c r="B87" s="759" t="s">
        <v>1640</v>
      </c>
      <c r="C87" s="74" t="s">
        <v>32</v>
      </c>
      <c r="D87" s="673">
        <v>5.1669999999999998</v>
      </c>
      <c r="E87" s="1012">
        <v>46142</v>
      </c>
      <c r="F87" s="1012">
        <v>46145</v>
      </c>
      <c r="G87" s="726" t="s">
        <v>1910</v>
      </c>
      <c r="H87" s="1921"/>
      <c r="I87" s="1921"/>
      <c r="J87" s="972" t="s">
        <v>29</v>
      </c>
      <c r="K87" s="1"/>
    </row>
    <row r="88" spans="1:11">
      <c r="A88" s="673">
        <v>31</v>
      </c>
      <c r="B88" s="759" t="s">
        <v>1342</v>
      </c>
      <c r="C88" s="74" t="s">
        <v>32</v>
      </c>
      <c r="D88" s="673">
        <v>5.1669999999999998</v>
      </c>
      <c r="E88" s="1012">
        <v>46145</v>
      </c>
      <c r="F88" s="1012">
        <v>46148</v>
      </c>
      <c r="G88" s="726" t="s">
        <v>1893</v>
      </c>
      <c r="H88" s="1921"/>
      <c r="I88" s="1921"/>
      <c r="J88" s="972" t="s">
        <v>29</v>
      </c>
      <c r="K88" s="1"/>
    </row>
    <row r="89" spans="1:11">
      <c r="A89" s="673">
        <v>32</v>
      </c>
      <c r="B89" s="759" t="s">
        <v>1687</v>
      </c>
      <c r="C89" s="74" t="s">
        <v>50</v>
      </c>
      <c r="D89" s="673">
        <v>9.7910000000000004</v>
      </c>
      <c r="E89" s="1012">
        <v>46146</v>
      </c>
      <c r="F89" s="1012">
        <v>46149</v>
      </c>
      <c r="G89" s="726" t="s">
        <v>1910</v>
      </c>
      <c r="H89" s="1921"/>
      <c r="I89" s="1921"/>
      <c r="J89" s="972" t="s">
        <v>29</v>
      </c>
      <c r="K89" s="1"/>
    </row>
    <row r="90" spans="1:11">
      <c r="A90" s="673">
        <v>33</v>
      </c>
      <c r="B90" s="759" t="s">
        <v>1288</v>
      </c>
      <c r="C90" s="74" t="s">
        <v>1424</v>
      </c>
      <c r="D90" s="673">
        <v>5.97</v>
      </c>
      <c r="E90" s="1012">
        <v>46149</v>
      </c>
      <c r="F90" s="1012">
        <v>46152</v>
      </c>
      <c r="G90" s="726" t="s">
        <v>1893</v>
      </c>
      <c r="H90" s="1921"/>
      <c r="I90" s="1921"/>
      <c r="J90" s="972" t="s">
        <v>29</v>
      </c>
      <c r="K90" s="1"/>
    </row>
    <row r="91" spans="1:11">
      <c r="A91" s="673">
        <v>34</v>
      </c>
      <c r="B91" s="759" t="s">
        <v>1286</v>
      </c>
      <c r="C91" s="74" t="s">
        <v>43</v>
      </c>
      <c r="D91" s="673">
        <v>8.0860000000000003</v>
      </c>
      <c r="E91" s="1012">
        <v>46151</v>
      </c>
      <c r="F91" s="1012">
        <v>46154</v>
      </c>
      <c r="G91" s="726" t="s">
        <v>1893</v>
      </c>
      <c r="H91" s="1921"/>
      <c r="I91" s="1921"/>
      <c r="J91" s="972" t="s">
        <v>29</v>
      </c>
      <c r="K91" s="1"/>
    </row>
    <row r="92" spans="1:11">
      <c r="A92" s="673">
        <v>35</v>
      </c>
      <c r="B92" s="759" t="s">
        <v>1686</v>
      </c>
      <c r="C92" s="74" t="s">
        <v>34</v>
      </c>
      <c r="D92" s="673">
        <v>4.3780000000000001</v>
      </c>
      <c r="E92" s="1012">
        <v>46152</v>
      </c>
      <c r="F92" s="1012">
        <v>46155</v>
      </c>
      <c r="G92" s="726" t="s">
        <v>1910</v>
      </c>
      <c r="H92" s="1921"/>
      <c r="I92" s="1921"/>
      <c r="J92" s="972" t="s">
        <v>29</v>
      </c>
      <c r="K92" s="1"/>
    </row>
    <row r="93" spans="1:11">
      <c r="A93" s="673">
        <v>36</v>
      </c>
      <c r="B93" s="759" t="s">
        <v>1287</v>
      </c>
      <c r="C93" s="74" t="s">
        <v>48</v>
      </c>
      <c r="D93" s="673">
        <v>5.7130000000000001</v>
      </c>
      <c r="E93" s="1012">
        <v>46152</v>
      </c>
      <c r="F93" s="1012">
        <v>46155</v>
      </c>
      <c r="G93" s="726" t="s">
        <v>1893</v>
      </c>
      <c r="H93" s="1921"/>
      <c r="I93" s="1921"/>
      <c r="J93" s="972" t="s">
        <v>29</v>
      </c>
      <c r="K93" s="1"/>
    </row>
    <row r="94" spans="1:11">
      <c r="A94" s="673">
        <v>37</v>
      </c>
      <c r="B94" s="759" t="s">
        <v>1285</v>
      </c>
      <c r="C94" s="74" t="s">
        <v>48</v>
      </c>
      <c r="D94" s="673">
        <v>5.7130000000000001</v>
      </c>
      <c r="E94" s="1012">
        <v>46154</v>
      </c>
      <c r="F94" s="1012">
        <v>46157</v>
      </c>
      <c r="G94" s="726" t="s">
        <v>1893</v>
      </c>
      <c r="H94" s="1921"/>
      <c r="I94" s="1921"/>
      <c r="J94" s="972" t="s">
        <v>29</v>
      </c>
      <c r="K94" s="1"/>
    </row>
    <row r="95" spans="1:11">
      <c r="A95" s="673">
        <v>38</v>
      </c>
      <c r="B95" s="759" t="s">
        <v>1284</v>
      </c>
      <c r="C95" s="74" t="s">
        <v>32</v>
      </c>
      <c r="D95" s="673">
        <v>5.1669999999999998</v>
      </c>
      <c r="E95" s="1012">
        <v>46155</v>
      </c>
      <c r="F95" s="1012">
        <v>46158</v>
      </c>
      <c r="G95" s="726" t="s">
        <v>1893</v>
      </c>
      <c r="H95" s="1921"/>
      <c r="I95" s="1921"/>
      <c r="J95" s="972" t="s">
        <v>29</v>
      </c>
      <c r="K95" s="1"/>
    </row>
    <row r="96" spans="1:11">
      <c r="A96" s="673">
        <v>39</v>
      </c>
      <c r="B96" s="759" t="s">
        <v>1278</v>
      </c>
      <c r="C96" s="74" t="s">
        <v>1423</v>
      </c>
      <c r="D96" s="673">
        <v>11.468999999999999</v>
      </c>
      <c r="E96" s="1012">
        <v>46156</v>
      </c>
      <c r="F96" s="1012">
        <v>46159</v>
      </c>
      <c r="G96" s="726" t="s">
        <v>1930</v>
      </c>
      <c r="H96" s="1921"/>
      <c r="I96" s="1921"/>
      <c r="J96" s="972" t="s">
        <v>29</v>
      </c>
      <c r="K96" s="1"/>
    </row>
    <row r="97" spans="1:11">
      <c r="A97" s="673">
        <v>40</v>
      </c>
      <c r="B97" s="759" t="s">
        <v>1193</v>
      </c>
      <c r="C97" s="74" t="s">
        <v>50</v>
      </c>
      <c r="D97" s="673">
        <v>9.7910000000000004</v>
      </c>
      <c r="E97" s="1012">
        <v>46157</v>
      </c>
      <c r="F97" s="1012">
        <v>46160</v>
      </c>
      <c r="G97" s="726" t="s">
        <v>1893</v>
      </c>
      <c r="H97" s="1921"/>
      <c r="I97" s="1921"/>
      <c r="J97" s="972" t="s">
        <v>29</v>
      </c>
      <c r="K97" s="1"/>
    </row>
    <row r="98" spans="1:11">
      <c r="A98" s="673">
        <v>41</v>
      </c>
      <c r="B98" s="759" t="s">
        <v>1280</v>
      </c>
      <c r="C98" s="74" t="s">
        <v>34</v>
      </c>
      <c r="D98" s="673">
        <v>4.3780000000000001</v>
      </c>
      <c r="E98" s="1012">
        <v>46159</v>
      </c>
      <c r="F98" s="1012">
        <v>46162</v>
      </c>
      <c r="G98" s="726" t="s">
        <v>1893</v>
      </c>
      <c r="H98" s="1921"/>
      <c r="I98" s="1921"/>
      <c r="J98" s="972" t="s">
        <v>29</v>
      </c>
      <c r="K98" s="1"/>
    </row>
    <row r="99" spans="1:11">
      <c r="A99" s="673">
        <v>42</v>
      </c>
      <c r="B99" s="759" t="s">
        <v>1281</v>
      </c>
      <c r="C99" s="74" t="s">
        <v>1181</v>
      </c>
      <c r="D99" s="673">
        <v>8.0860000000000003</v>
      </c>
      <c r="E99" s="1012">
        <v>46160</v>
      </c>
      <c r="F99" s="1012">
        <v>46163</v>
      </c>
      <c r="G99" s="726" t="s">
        <v>1930</v>
      </c>
      <c r="H99" s="1921"/>
      <c r="I99" s="1921"/>
      <c r="J99" s="972" t="s">
        <v>29</v>
      </c>
      <c r="K99" s="1"/>
    </row>
    <row r="100" spans="1:11">
      <c r="A100" s="673">
        <v>43</v>
      </c>
      <c r="B100" s="759" t="s">
        <v>1282</v>
      </c>
      <c r="C100" s="74" t="s">
        <v>1423</v>
      </c>
      <c r="D100" s="673">
        <v>11.468999999999999</v>
      </c>
      <c r="E100" s="1012">
        <v>46162</v>
      </c>
      <c r="F100" s="1012">
        <v>46165</v>
      </c>
      <c r="G100" s="726" t="s">
        <v>1893</v>
      </c>
      <c r="H100" s="1921"/>
      <c r="I100" s="1921"/>
      <c r="J100" s="972" t="s">
        <v>29</v>
      </c>
      <c r="K100" s="1"/>
    </row>
    <row r="101" spans="1:11">
      <c r="A101" s="673">
        <v>44</v>
      </c>
      <c r="B101" s="1212" t="s">
        <v>1685</v>
      </c>
      <c r="C101" s="509" t="s">
        <v>48</v>
      </c>
      <c r="D101" s="673">
        <v>5.7130000000000001</v>
      </c>
      <c r="E101" s="1012">
        <v>46164</v>
      </c>
      <c r="F101" s="1012">
        <v>46167</v>
      </c>
      <c r="G101" s="726" t="s">
        <v>1910</v>
      </c>
      <c r="H101" s="1921"/>
      <c r="I101" s="1921"/>
      <c r="J101" s="972" t="s">
        <v>29</v>
      </c>
      <c r="K101" s="1"/>
    </row>
    <row r="102" spans="1:11">
      <c r="A102" s="673">
        <v>45</v>
      </c>
      <c r="B102" s="1212" t="s">
        <v>1194</v>
      </c>
      <c r="C102" s="509" t="s">
        <v>1181</v>
      </c>
      <c r="D102" s="673">
        <v>8.0860000000000003</v>
      </c>
      <c r="E102" s="1012">
        <v>46165</v>
      </c>
      <c r="F102" s="1012">
        <v>46168</v>
      </c>
      <c r="G102" s="726" t="s">
        <v>1893</v>
      </c>
      <c r="H102" s="1921"/>
      <c r="I102" s="1921"/>
      <c r="J102" s="972" t="s">
        <v>29</v>
      </c>
      <c r="K102" s="1"/>
    </row>
    <row r="103" spans="1:11">
      <c r="A103" s="673">
        <v>46</v>
      </c>
      <c r="B103" s="1212" t="s">
        <v>1195</v>
      </c>
      <c r="C103" s="509" t="s">
        <v>32</v>
      </c>
      <c r="D103" s="673">
        <v>5.1669999999999998</v>
      </c>
      <c r="E103" s="1012">
        <v>46165</v>
      </c>
      <c r="F103" s="1012">
        <v>46168</v>
      </c>
      <c r="G103" s="514" t="s">
        <v>1930</v>
      </c>
      <c r="H103" s="1921"/>
      <c r="I103" s="1921"/>
      <c r="J103" s="972" t="s">
        <v>29</v>
      </c>
      <c r="K103" s="1"/>
    </row>
    <row r="104" spans="1:11">
      <c r="A104" s="673">
        <v>47</v>
      </c>
      <c r="B104" s="1198" t="s">
        <v>1684</v>
      </c>
      <c r="C104" s="1198" t="s">
        <v>32</v>
      </c>
      <c r="D104" s="673">
        <v>5.1669999999999998</v>
      </c>
      <c r="E104" s="1012">
        <v>46170</v>
      </c>
      <c r="F104" s="1012">
        <v>46173</v>
      </c>
      <c r="G104" s="726" t="s">
        <v>1910</v>
      </c>
      <c r="H104" s="1921"/>
      <c r="I104" s="1921"/>
      <c r="J104" s="972" t="s">
        <v>29</v>
      </c>
      <c r="K104" s="1"/>
    </row>
    <row r="105" spans="1:11">
      <c r="A105" s="673">
        <v>48</v>
      </c>
      <c r="B105" s="1198" t="s">
        <v>1350</v>
      </c>
      <c r="C105" s="1198" t="s">
        <v>49</v>
      </c>
      <c r="D105" s="673">
        <v>6.3250000000000002</v>
      </c>
      <c r="E105" s="1012">
        <v>46170</v>
      </c>
      <c r="F105" s="1012">
        <v>46173</v>
      </c>
      <c r="G105" s="514" t="s">
        <v>1930</v>
      </c>
      <c r="H105" s="1921"/>
      <c r="I105" s="1921"/>
      <c r="J105" s="972" t="s">
        <v>29</v>
      </c>
      <c r="K105" s="1"/>
    </row>
    <row r="106" spans="1:11">
      <c r="D106" s="1202">
        <f>SUM(D58:D105)</f>
        <v>328.26799999999997</v>
      </c>
      <c r="H106" s="701"/>
      <c r="I106" s="701"/>
    </row>
    <row r="107" spans="1:11">
      <c r="H107" s="701"/>
      <c r="I107" s="701"/>
    </row>
    <row r="108" spans="1:11">
      <c r="H108" s="701"/>
      <c r="I108" s="701"/>
    </row>
    <row r="109" spans="1:11">
      <c r="H109" s="701"/>
      <c r="I109" s="701"/>
    </row>
    <row r="110" spans="1:11">
      <c r="H110" s="701"/>
      <c r="I110" s="701"/>
    </row>
    <row r="111" spans="1:11">
      <c r="H111" s="701"/>
      <c r="I111" s="701"/>
    </row>
    <row r="112" spans="1:11">
      <c r="H112" s="701"/>
      <c r="I112" s="701"/>
    </row>
    <row r="113" spans="8:9">
      <c r="H113" s="701"/>
      <c r="I113" s="701"/>
    </row>
    <row r="114" spans="8:9">
      <c r="H114" s="701"/>
      <c r="I114" s="701"/>
    </row>
    <row r="115" spans="8:9">
      <c r="H115" s="701"/>
      <c r="I115" s="701"/>
    </row>
    <row r="116" spans="8:9">
      <c r="H116" s="701"/>
      <c r="I116" s="701"/>
    </row>
    <row r="117" spans="8:9">
      <c r="H117" s="701"/>
      <c r="I117" s="701"/>
    </row>
  </sheetData>
  <autoFilter ref="A19:K52"/>
  <mergeCells count="22">
    <mergeCell ref="H86:H105"/>
    <mergeCell ref="I86:I105"/>
    <mergeCell ref="A1:J1"/>
    <mergeCell ref="A18:K18"/>
    <mergeCell ref="A55:K55"/>
    <mergeCell ref="H6:H10"/>
    <mergeCell ref="I6:I10"/>
    <mergeCell ref="H21:H23"/>
    <mergeCell ref="I21:I23"/>
    <mergeCell ref="H24:H30"/>
    <mergeCell ref="I24:I30"/>
    <mergeCell ref="H31:H40"/>
    <mergeCell ref="I31:I40"/>
    <mergeCell ref="H11:H12"/>
    <mergeCell ref="I11:I12"/>
    <mergeCell ref="H41:H51"/>
    <mergeCell ref="H58:H64"/>
    <mergeCell ref="I58:I64"/>
    <mergeCell ref="H65:H85"/>
    <mergeCell ref="I65:I85"/>
    <mergeCell ref="A2:K2"/>
    <mergeCell ref="I41:I51"/>
  </mergeCells>
  <conditionalFormatting sqref="B18:B20">
    <cfRule type="duplicateValues" dxfId="44" priority="25"/>
  </conditionalFormatting>
  <conditionalFormatting sqref="B106:B1048576 B2:B4">
    <cfRule type="duplicateValues" dxfId="43" priority="1240"/>
  </conditionalFormatting>
  <conditionalFormatting sqref="B55:B57">
    <cfRule type="duplicateValues" dxfId="42" priority="17"/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0" operator="containsText" id="{F553627E-A049-4912-B40A-F69C4668FFF7}">
            <xm:f>NOT(ISERROR(SEARCH(FDN!#REF!,FDN!J227)))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J58:J105</xm:sqref>
        </x14:conditionalFormatting>
        <x14:conditionalFormatting xmlns:xm="http://schemas.microsoft.com/office/excel/2006/main">
          <x14:cfRule type="containsText" priority="1331" operator="containsText" id="{960EED08-D117-4982-9452-2FC1DB507380}">
            <xm:f>NOT(ISERROR(SEARCH(FDN!#REF!,FDN!J218)))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J21:J51</xm:sqref>
        </x14:conditionalFormatting>
        <x14:conditionalFormatting xmlns:xm="http://schemas.microsoft.com/office/excel/2006/main">
          <x14:cfRule type="containsText" priority="1345" operator="containsText" id="{F553627E-A049-4912-B40A-F69C4668FFF7}">
            <xm:f>NOT(ISERROR(SEARCH(FDN!#REF!,FDN!J234)))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J54</xm:sqref>
        </x14:conditionalFormatting>
        <x14:conditionalFormatting xmlns:xm="http://schemas.microsoft.com/office/excel/2006/main">
          <x14:cfRule type="containsText" priority="1350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J53</xm:sqref>
        </x14:conditionalFormatting>
        <x14:conditionalFormatting xmlns:xm="http://schemas.microsoft.com/office/excel/2006/main">
          <x14:cfRule type="containsText" priority="1355" operator="containsText" id="{F553627E-A049-4912-B40A-F69C4668FFF7}">
            <xm:f>NOT(ISERROR(SEARCH(FDN!#REF!,FDN!J236)))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J52</xm:sqref>
        </x14:conditionalFormatting>
        <x14:conditionalFormatting xmlns:xm="http://schemas.microsoft.com/office/excel/2006/main">
          <x14:cfRule type="containsText" priority="1384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J17</xm:sqref>
        </x14:conditionalFormatting>
        <x14:conditionalFormatting xmlns:xm="http://schemas.microsoft.com/office/excel/2006/main">
          <x14:cfRule type="containsText" priority="1388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J16</xm:sqref>
        </x14:conditionalFormatting>
        <x14:conditionalFormatting xmlns:xm="http://schemas.microsoft.com/office/excel/2006/main">
          <x14:cfRule type="containsText" priority="1392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J15</xm:sqref>
        </x14:conditionalFormatting>
        <x14:conditionalFormatting xmlns:xm="http://schemas.microsoft.com/office/excel/2006/main">
          <x14:cfRule type="containsText" priority="1396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J14</xm:sqref>
        </x14:conditionalFormatting>
        <x14:conditionalFormatting xmlns:xm="http://schemas.microsoft.com/office/excel/2006/main">
          <x14:cfRule type="containsText" priority="1400" operator="containsText" id="{960EED08-D117-4982-9452-2FC1DB507380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J13</xm:sqref>
        </x14:conditionalFormatting>
        <x14:conditionalFormatting xmlns:xm="http://schemas.microsoft.com/office/excel/2006/main">
          <x14:cfRule type="containsText" priority="1434" operator="containsText" id="{960EED08-D117-4982-9452-2FC1DB507380}">
            <xm:f>NOT(ISERROR(SEARCH(FDN!#REF!,FDN!J193)))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J5:J12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217"/>
  <sheetViews>
    <sheetView topLeftCell="A24" zoomScale="89" workbookViewId="0">
      <selection activeCell="L35" sqref="L35"/>
    </sheetView>
  </sheetViews>
  <sheetFormatPr defaultRowHeight="15"/>
  <cols>
    <col min="1" max="1" width="6.42578125" customWidth="1"/>
    <col min="2" max="2" width="12.28515625" customWidth="1"/>
    <col min="3" max="3" width="15.140625" customWidth="1"/>
    <col min="4" max="4" width="16.85546875" customWidth="1"/>
    <col min="5" max="5" width="24.42578125" bestFit="1" customWidth="1"/>
    <col min="6" max="6" width="15.140625" customWidth="1"/>
    <col min="7" max="7" width="20.140625" customWidth="1"/>
    <col min="8" max="8" width="15.5703125" customWidth="1"/>
    <col min="9" max="9" width="12.85546875" customWidth="1"/>
  </cols>
  <sheetData>
    <row r="1" spans="1:9" ht="18.75">
      <c r="A1" s="1976" t="s">
        <v>85</v>
      </c>
      <c r="B1" s="1977"/>
      <c r="C1" s="1977"/>
      <c r="D1" s="1977"/>
      <c r="E1" s="1977"/>
      <c r="F1" s="1977"/>
      <c r="G1" s="1977"/>
      <c r="H1" s="1977"/>
      <c r="I1" s="1978"/>
    </row>
    <row r="2" spans="1:9" ht="30">
      <c r="A2" s="23" t="s">
        <v>62</v>
      </c>
      <c r="B2" s="24" t="s">
        <v>551</v>
      </c>
      <c r="C2" s="23" t="s">
        <v>38</v>
      </c>
      <c r="D2" s="24" t="s">
        <v>37</v>
      </c>
      <c r="E2" s="23" t="s">
        <v>83</v>
      </c>
      <c r="F2" s="23" t="s">
        <v>84</v>
      </c>
      <c r="G2" s="23" t="s">
        <v>36</v>
      </c>
      <c r="H2" s="23" t="s">
        <v>35</v>
      </c>
      <c r="I2" s="23" t="s">
        <v>2</v>
      </c>
    </row>
    <row r="3" spans="1:9">
      <c r="A3" s="22"/>
      <c r="B3" s="22"/>
      <c r="C3" s="22"/>
      <c r="D3" s="22"/>
      <c r="E3" s="22"/>
      <c r="F3" s="22"/>
      <c r="G3" s="22"/>
      <c r="H3" s="22">
        <f>COUNTIF(H4:H115,"Completed")</f>
        <v>112</v>
      </c>
      <c r="I3" s="22"/>
    </row>
    <row r="4" spans="1:9" ht="18" customHeight="1">
      <c r="A4" s="18">
        <v>1</v>
      </c>
      <c r="B4" s="18" t="s">
        <v>60</v>
      </c>
      <c r="C4" s="18" t="s">
        <v>45</v>
      </c>
      <c r="D4" s="133" t="s">
        <v>31</v>
      </c>
      <c r="E4" s="18" t="s">
        <v>562</v>
      </c>
      <c r="F4" s="133">
        <v>45479</v>
      </c>
      <c r="G4" s="133" t="s">
        <v>41</v>
      </c>
      <c r="H4" s="133" t="s">
        <v>29</v>
      </c>
      <c r="I4" s="21"/>
    </row>
    <row r="5" spans="1:9" ht="18" customHeight="1">
      <c r="A5" s="18">
        <v>2</v>
      </c>
      <c r="B5" s="18" t="s">
        <v>561</v>
      </c>
      <c r="C5" s="18" t="s">
        <v>34</v>
      </c>
      <c r="D5" s="133" t="s">
        <v>61</v>
      </c>
      <c r="E5" s="18" t="s">
        <v>562</v>
      </c>
      <c r="F5" s="133">
        <v>45479</v>
      </c>
      <c r="G5" s="133" t="s">
        <v>41</v>
      </c>
      <c r="H5" s="133" t="s">
        <v>29</v>
      </c>
      <c r="I5" s="21"/>
    </row>
    <row r="6" spans="1:9" ht="18" customHeight="1">
      <c r="A6" s="18">
        <v>3</v>
      </c>
      <c r="B6" s="18" t="s">
        <v>56</v>
      </c>
      <c r="C6" s="18" t="s">
        <v>43</v>
      </c>
      <c r="D6" s="133" t="s">
        <v>31</v>
      </c>
      <c r="E6" s="18" t="s">
        <v>562</v>
      </c>
      <c r="F6" s="133">
        <v>45582</v>
      </c>
      <c r="G6" s="133" t="s">
        <v>30</v>
      </c>
      <c r="H6" s="133" t="s">
        <v>29</v>
      </c>
      <c r="I6" s="21"/>
    </row>
    <row r="7" spans="1:9" ht="18" customHeight="1">
      <c r="A7" s="18">
        <v>4</v>
      </c>
      <c r="B7" s="18" t="s">
        <v>563</v>
      </c>
      <c r="C7" s="18" t="s">
        <v>49</v>
      </c>
      <c r="D7" s="133" t="s">
        <v>42</v>
      </c>
      <c r="E7" s="18" t="s">
        <v>562</v>
      </c>
      <c r="F7" s="133">
        <v>45582</v>
      </c>
      <c r="G7" s="133" t="s">
        <v>30</v>
      </c>
      <c r="H7" s="133" t="s">
        <v>29</v>
      </c>
      <c r="I7" s="21"/>
    </row>
    <row r="8" spans="1:9" ht="18" customHeight="1">
      <c r="A8" s="18">
        <v>5</v>
      </c>
      <c r="B8" s="18" t="s">
        <v>564</v>
      </c>
      <c r="C8" s="18" t="s">
        <v>48</v>
      </c>
      <c r="D8" s="133" t="s">
        <v>31</v>
      </c>
      <c r="E8" s="18" t="s">
        <v>562</v>
      </c>
      <c r="F8" s="133">
        <v>45582</v>
      </c>
      <c r="G8" s="133" t="s">
        <v>30</v>
      </c>
      <c r="H8" s="133" t="s">
        <v>29</v>
      </c>
      <c r="I8" s="21"/>
    </row>
    <row r="9" spans="1:9" ht="18" customHeight="1">
      <c r="A9" s="18">
        <v>6</v>
      </c>
      <c r="B9" s="18" t="s">
        <v>55</v>
      </c>
      <c r="C9" s="18" t="s">
        <v>45</v>
      </c>
      <c r="D9" s="133" t="s">
        <v>31</v>
      </c>
      <c r="E9" s="18" t="s">
        <v>562</v>
      </c>
      <c r="F9" s="133">
        <v>45548</v>
      </c>
      <c r="G9" s="133" t="s">
        <v>41</v>
      </c>
      <c r="H9" s="133" t="s">
        <v>29</v>
      </c>
      <c r="I9" s="21"/>
    </row>
    <row r="10" spans="1:9" ht="18" customHeight="1">
      <c r="A10" s="18">
        <v>7</v>
      </c>
      <c r="B10" s="18" t="s">
        <v>59</v>
      </c>
      <c r="C10" s="18" t="s">
        <v>50</v>
      </c>
      <c r="D10" s="133" t="s">
        <v>31</v>
      </c>
      <c r="E10" s="18" t="s">
        <v>562</v>
      </c>
      <c r="F10" s="133">
        <v>45507</v>
      </c>
      <c r="G10" s="133" t="s">
        <v>41</v>
      </c>
      <c r="H10" s="133" t="s">
        <v>29</v>
      </c>
      <c r="I10" s="21"/>
    </row>
    <row r="11" spans="1:9" ht="18" customHeight="1">
      <c r="A11" s="18">
        <v>8</v>
      </c>
      <c r="B11" s="18" t="s">
        <v>565</v>
      </c>
      <c r="C11" s="18" t="s">
        <v>48</v>
      </c>
      <c r="D11" s="133" t="s">
        <v>31</v>
      </c>
      <c r="E11" s="18" t="s">
        <v>562</v>
      </c>
      <c r="F11" s="133">
        <v>45549</v>
      </c>
      <c r="G11" s="133" t="s">
        <v>41</v>
      </c>
      <c r="H11" s="133" t="s">
        <v>29</v>
      </c>
      <c r="I11" s="21"/>
    </row>
    <row r="12" spans="1:9" ht="18" customHeight="1">
      <c r="A12" s="18">
        <v>9</v>
      </c>
      <c r="B12" s="18" t="s">
        <v>296</v>
      </c>
      <c r="C12" s="18" t="s">
        <v>48</v>
      </c>
      <c r="D12" s="133" t="s">
        <v>42</v>
      </c>
      <c r="E12" s="18" t="s">
        <v>562</v>
      </c>
      <c r="F12" s="133">
        <v>45589</v>
      </c>
      <c r="G12" s="133" t="s">
        <v>30</v>
      </c>
      <c r="H12" s="133" t="s">
        <v>29</v>
      </c>
      <c r="I12" s="21"/>
    </row>
    <row r="13" spans="1:9" ht="18" customHeight="1">
      <c r="A13" s="18">
        <v>10</v>
      </c>
      <c r="B13" s="18" t="s">
        <v>46</v>
      </c>
      <c r="C13" s="18" t="s">
        <v>45</v>
      </c>
      <c r="D13" s="133" t="s">
        <v>42</v>
      </c>
      <c r="E13" s="18" t="s">
        <v>562</v>
      </c>
      <c r="F13" s="133">
        <v>45589</v>
      </c>
      <c r="G13" s="133" t="s">
        <v>30</v>
      </c>
      <c r="H13" s="133" t="s">
        <v>29</v>
      </c>
      <c r="I13" s="21"/>
    </row>
    <row r="14" spans="1:9" ht="18" customHeight="1">
      <c r="A14" s="18">
        <v>11</v>
      </c>
      <c r="B14" s="18" t="s">
        <v>44</v>
      </c>
      <c r="C14" s="18" t="s">
        <v>43</v>
      </c>
      <c r="D14" s="133" t="s">
        <v>42</v>
      </c>
      <c r="E14" s="18" t="s">
        <v>562</v>
      </c>
      <c r="F14" s="133">
        <v>45591</v>
      </c>
      <c r="G14" s="133" t="s">
        <v>41</v>
      </c>
      <c r="H14" s="133" t="s">
        <v>29</v>
      </c>
      <c r="I14" s="21"/>
    </row>
    <row r="15" spans="1:9" ht="18" customHeight="1">
      <c r="A15" s="18">
        <v>12</v>
      </c>
      <c r="B15" s="18" t="s">
        <v>54</v>
      </c>
      <c r="C15" s="18" t="s">
        <v>53</v>
      </c>
      <c r="D15" s="133" t="s">
        <v>31</v>
      </c>
      <c r="E15" s="18" t="s">
        <v>562</v>
      </c>
      <c r="F15" s="133">
        <v>45541</v>
      </c>
      <c r="G15" s="133" t="s">
        <v>41</v>
      </c>
      <c r="H15" s="133" t="s">
        <v>29</v>
      </c>
      <c r="I15" s="21"/>
    </row>
    <row r="16" spans="1:9" ht="18" customHeight="1">
      <c r="A16" s="18">
        <v>13</v>
      </c>
      <c r="B16" s="18" t="s">
        <v>51</v>
      </c>
      <c r="C16" s="18" t="s">
        <v>50</v>
      </c>
      <c r="D16" s="133" t="s">
        <v>31</v>
      </c>
      <c r="E16" s="18" t="s">
        <v>562</v>
      </c>
      <c r="F16" s="133">
        <v>45547</v>
      </c>
      <c r="G16" s="133" t="s">
        <v>41</v>
      </c>
      <c r="H16" s="133" t="s">
        <v>29</v>
      </c>
      <c r="I16" s="21"/>
    </row>
    <row r="17" spans="1:9" ht="18" customHeight="1">
      <c r="A17" s="18">
        <v>14</v>
      </c>
      <c r="B17" s="18" t="s">
        <v>58</v>
      </c>
      <c r="C17" s="18" t="s">
        <v>57</v>
      </c>
      <c r="D17" s="133" t="s">
        <v>31</v>
      </c>
      <c r="E17" s="18" t="s">
        <v>562</v>
      </c>
      <c r="F17" s="133">
        <v>45514</v>
      </c>
      <c r="G17" s="133" t="s">
        <v>41</v>
      </c>
      <c r="H17" s="133" t="s">
        <v>29</v>
      </c>
      <c r="I17" s="21"/>
    </row>
    <row r="18" spans="1:9" ht="18" customHeight="1">
      <c r="A18" s="18">
        <v>15</v>
      </c>
      <c r="B18" s="18" t="s">
        <v>47</v>
      </c>
      <c r="C18" s="18" t="s">
        <v>43</v>
      </c>
      <c r="D18" s="133" t="s">
        <v>42</v>
      </c>
      <c r="E18" s="18" t="s">
        <v>562</v>
      </c>
      <c r="F18" s="133">
        <v>45595</v>
      </c>
      <c r="G18" s="133" t="s">
        <v>30</v>
      </c>
      <c r="H18" s="133" t="s">
        <v>29</v>
      </c>
      <c r="I18" s="21"/>
    </row>
    <row r="19" spans="1:9" ht="18" customHeight="1">
      <c r="A19" s="18">
        <v>16</v>
      </c>
      <c r="B19" s="18" t="s">
        <v>40</v>
      </c>
      <c r="C19" s="18" t="s">
        <v>39</v>
      </c>
      <c r="D19" s="133" t="s">
        <v>42</v>
      </c>
      <c r="E19" s="18" t="s">
        <v>562</v>
      </c>
      <c r="F19" s="133">
        <v>45595</v>
      </c>
      <c r="G19" s="133" t="s">
        <v>30</v>
      </c>
      <c r="H19" s="133" t="s">
        <v>29</v>
      </c>
      <c r="I19" s="21"/>
    </row>
    <row r="20" spans="1:9" ht="18" customHeight="1">
      <c r="A20" s="18">
        <v>17</v>
      </c>
      <c r="B20" s="18" t="s">
        <v>1166</v>
      </c>
      <c r="C20" s="18" t="s">
        <v>1167</v>
      </c>
      <c r="D20" s="133" t="s">
        <v>42</v>
      </c>
      <c r="E20" s="18" t="s">
        <v>562</v>
      </c>
      <c r="F20" s="133">
        <v>45993</v>
      </c>
      <c r="G20" s="133" t="s">
        <v>1165</v>
      </c>
      <c r="H20" s="133" t="s">
        <v>29</v>
      </c>
      <c r="I20" s="21"/>
    </row>
    <row r="21" spans="1:9" ht="18" customHeight="1">
      <c r="A21" s="18">
        <v>18</v>
      </c>
      <c r="B21" s="18" t="s">
        <v>1178</v>
      </c>
      <c r="C21" s="18" t="s">
        <v>1205</v>
      </c>
      <c r="D21" s="133" t="s">
        <v>42</v>
      </c>
      <c r="E21" s="18" t="s">
        <v>562</v>
      </c>
      <c r="F21" s="133">
        <v>45998</v>
      </c>
      <c r="G21" s="133" t="s">
        <v>1165</v>
      </c>
      <c r="H21" s="133" t="s">
        <v>29</v>
      </c>
      <c r="I21" s="21"/>
    </row>
    <row r="22" spans="1:9" ht="18" customHeight="1">
      <c r="A22" s="18">
        <v>19</v>
      </c>
      <c r="B22" s="18" t="s">
        <v>1169</v>
      </c>
      <c r="C22" s="18" t="s">
        <v>1170</v>
      </c>
      <c r="D22" s="133" t="s">
        <v>42</v>
      </c>
      <c r="E22" s="18" t="s">
        <v>562</v>
      </c>
      <c r="F22" s="133">
        <v>45999</v>
      </c>
      <c r="G22" s="133" t="s">
        <v>1165</v>
      </c>
      <c r="H22" s="133" t="s">
        <v>29</v>
      </c>
      <c r="I22" s="21"/>
    </row>
    <row r="23" spans="1:9" ht="18" customHeight="1">
      <c r="A23" s="18">
        <v>20</v>
      </c>
      <c r="B23" s="18" t="s">
        <v>1179</v>
      </c>
      <c r="C23" s="18" t="s">
        <v>32</v>
      </c>
      <c r="D23" s="133" t="s">
        <v>42</v>
      </c>
      <c r="E23" s="18" t="s">
        <v>562</v>
      </c>
      <c r="F23" s="133">
        <v>46001</v>
      </c>
      <c r="G23" s="133" t="s">
        <v>1165</v>
      </c>
      <c r="H23" s="133" t="s">
        <v>29</v>
      </c>
      <c r="I23" s="21"/>
    </row>
    <row r="24" spans="1:9" ht="18" customHeight="1">
      <c r="A24" s="18">
        <v>21</v>
      </c>
      <c r="B24" s="18" t="s">
        <v>1182</v>
      </c>
      <c r="C24" s="18" t="s">
        <v>34</v>
      </c>
      <c r="D24" s="133" t="s">
        <v>31</v>
      </c>
      <c r="E24" s="18" t="s">
        <v>562</v>
      </c>
      <c r="F24" s="133">
        <v>46005</v>
      </c>
      <c r="G24" s="133" t="s">
        <v>41</v>
      </c>
      <c r="H24" s="133" t="s">
        <v>29</v>
      </c>
      <c r="I24" s="21"/>
    </row>
    <row r="25" spans="1:9" ht="18" customHeight="1">
      <c r="A25" s="18">
        <v>22</v>
      </c>
      <c r="B25" s="18" t="s">
        <v>1210</v>
      </c>
      <c r="C25" s="18" t="s">
        <v>43</v>
      </c>
      <c r="D25" s="133" t="s">
        <v>42</v>
      </c>
      <c r="E25" s="18" t="s">
        <v>562</v>
      </c>
      <c r="F25" s="133">
        <v>46005</v>
      </c>
      <c r="G25" s="133" t="s">
        <v>1165</v>
      </c>
      <c r="H25" s="133" t="s">
        <v>29</v>
      </c>
      <c r="I25" s="21"/>
    </row>
    <row r="26" spans="1:9" ht="18" customHeight="1">
      <c r="A26" s="18">
        <v>23</v>
      </c>
      <c r="B26" s="18" t="s">
        <v>1190</v>
      </c>
      <c r="C26" s="18" t="s">
        <v>48</v>
      </c>
      <c r="D26" s="133" t="s">
        <v>42</v>
      </c>
      <c r="E26" s="18" t="s">
        <v>562</v>
      </c>
      <c r="F26" s="133">
        <v>46008</v>
      </c>
      <c r="G26" s="133" t="s">
        <v>1165</v>
      </c>
      <c r="H26" s="133" t="s">
        <v>29</v>
      </c>
      <c r="I26" s="21"/>
    </row>
    <row r="27" spans="1:9" ht="18" customHeight="1">
      <c r="A27" s="18">
        <v>24</v>
      </c>
      <c r="B27" s="18" t="s">
        <v>1301</v>
      </c>
      <c r="C27" s="18" t="s">
        <v>48</v>
      </c>
      <c r="D27" s="133" t="s">
        <v>42</v>
      </c>
      <c r="E27" s="18" t="s">
        <v>562</v>
      </c>
      <c r="F27" s="133">
        <v>46010</v>
      </c>
      <c r="G27" s="133" t="s">
        <v>1165</v>
      </c>
      <c r="H27" s="133" t="s">
        <v>29</v>
      </c>
      <c r="I27" s="21"/>
    </row>
    <row r="28" spans="1:9" ht="18" customHeight="1">
      <c r="A28" s="18">
        <v>25</v>
      </c>
      <c r="B28" s="18" t="s">
        <v>1206</v>
      </c>
      <c r="C28" s="18" t="s">
        <v>50</v>
      </c>
      <c r="D28" s="133" t="s">
        <v>61</v>
      </c>
      <c r="E28" s="18" t="s">
        <v>562</v>
      </c>
      <c r="F28" s="133">
        <v>46011</v>
      </c>
      <c r="G28" s="133" t="s">
        <v>41</v>
      </c>
      <c r="H28" s="133" t="s">
        <v>29</v>
      </c>
      <c r="I28" s="21"/>
    </row>
    <row r="29" spans="1:9" ht="18" customHeight="1">
      <c r="A29" s="18">
        <v>26</v>
      </c>
      <c r="B29" s="18" t="s">
        <v>1191</v>
      </c>
      <c r="C29" s="18" t="s">
        <v>32</v>
      </c>
      <c r="D29" s="133" t="s">
        <v>42</v>
      </c>
      <c r="E29" s="18" t="s">
        <v>562</v>
      </c>
      <c r="F29" s="133">
        <v>46015</v>
      </c>
      <c r="G29" s="133" t="s">
        <v>1165</v>
      </c>
      <c r="H29" s="133" t="s">
        <v>29</v>
      </c>
      <c r="I29" s="21"/>
    </row>
    <row r="30" spans="1:9" ht="18" customHeight="1">
      <c r="A30" s="18">
        <v>27</v>
      </c>
      <c r="B30" s="18" t="s">
        <v>1196</v>
      </c>
      <c r="C30" s="18" t="s">
        <v>32</v>
      </c>
      <c r="D30" s="133" t="s">
        <v>42</v>
      </c>
      <c r="E30" s="18" t="s">
        <v>562</v>
      </c>
      <c r="F30" s="133">
        <v>46016</v>
      </c>
      <c r="G30" s="133" t="s">
        <v>1165</v>
      </c>
      <c r="H30" s="133" t="s">
        <v>29</v>
      </c>
      <c r="I30" s="21"/>
    </row>
    <row r="31" spans="1:9" ht="18" customHeight="1">
      <c r="A31" s="18">
        <v>28</v>
      </c>
      <c r="B31" s="18" t="s">
        <v>1238</v>
      </c>
      <c r="C31" s="18" t="s">
        <v>50</v>
      </c>
      <c r="D31" s="133" t="s">
        <v>61</v>
      </c>
      <c r="E31" s="18" t="s">
        <v>562</v>
      </c>
      <c r="F31" s="133">
        <v>46018</v>
      </c>
      <c r="G31" s="133" t="s">
        <v>41</v>
      </c>
      <c r="H31" s="133" t="s">
        <v>29</v>
      </c>
      <c r="I31" s="21"/>
    </row>
    <row r="32" spans="1:9" ht="18" customHeight="1">
      <c r="A32" s="18">
        <v>29</v>
      </c>
      <c r="B32" s="18" t="s">
        <v>1168</v>
      </c>
      <c r="C32" s="18" t="s">
        <v>1171</v>
      </c>
      <c r="D32" s="133" t="s">
        <v>61</v>
      </c>
      <c r="E32" s="18" t="s">
        <v>562</v>
      </c>
      <c r="F32" s="133">
        <v>46021</v>
      </c>
      <c r="G32" s="133" t="s">
        <v>41</v>
      </c>
      <c r="H32" s="133" t="s">
        <v>29</v>
      </c>
      <c r="I32" s="21"/>
    </row>
    <row r="33" spans="1:9" ht="18" customHeight="1">
      <c r="A33" s="18">
        <v>30</v>
      </c>
      <c r="B33" s="18" t="s">
        <v>1197</v>
      </c>
      <c r="C33" s="18" t="s">
        <v>32</v>
      </c>
      <c r="D33" s="133" t="s">
        <v>1607</v>
      </c>
      <c r="E33" s="18" t="s">
        <v>562</v>
      </c>
      <c r="F33" s="133">
        <v>46025</v>
      </c>
      <c r="G33" s="133" t="s">
        <v>1165</v>
      </c>
      <c r="H33" s="133" t="s">
        <v>29</v>
      </c>
      <c r="I33" s="21"/>
    </row>
    <row r="34" spans="1:9" ht="18" customHeight="1">
      <c r="A34" s="18">
        <v>31</v>
      </c>
      <c r="B34" s="18" t="s">
        <v>1199</v>
      </c>
      <c r="C34" s="18" t="s">
        <v>32</v>
      </c>
      <c r="D34" s="133" t="s">
        <v>1607</v>
      </c>
      <c r="E34" s="18" t="s">
        <v>562</v>
      </c>
      <c r="F34" s="133">
        <v>46025</v>
      </c>
      <c r="G34" s="133" t="s">
        <v>1165</v>
      </c>
      <c r="H34" s="133" t="s">
        <v>29</v>
      </c>
      <c r="I34" s="21"/>
    </row>
    <row r="35" spans="1:9" ht="18" customHeight="1">
      <c r="A35" s="18">
        <v>32</v>
      </c>
      <c r="B35" s="18" t="s">
        <v>1172</v>
      </c>
      <c r="C35" s="18" t="s">
        <v>32</v>
      </c>
      <c r="D35" s="133" t="s">
        <v>1607</v>
      </c>
      <c r="E35" s="18" t="s">
        <v>562</v>
      </c>
      <c r="F35" s="133">
        <v>46025</v>
      </c>
      <c r="G35" s="133" t="s">
        <v>1165</v>
      </c>
      <c r="H35" s="133" t="s">
        <v>29</v>
      </c>
      <c r="I35" s="21"/>
    </row>
    <row r="36" spans="1:9" ht="18" customHeight="1">
      <c r="A36" s="18">
        <v>33</v>
      </c>
      <c r="B36" s="18" t="s">
        <v>1241</v>
      </c>
      <c r="C36" s="18" t="s">
        <v>32</v>
      </c>
      <c r="D36" s="133" t="s">
        <v>1607</v>
      </c>
      <c r="E36" s="18" t="s">
        <v>562</v>
      </c>
      <c r="F36" s="133">
        <v>46021</v>
      </c>
      <c r="G36" s="133" t="s">
        <v>41</v>
      </c>
      <c r="H36" s="133" t="s">
        <v>29</v>
      </c>
      <c r="I36" s="21"/>
    </row>
    <row r="37" spans="1:9" ht="18" customHeight="1">
      <c r="A37" s="18">
        <v>34</v>
      </c>
      <c r="B37" s="18" t="s">
        <v>1173</v>
      </c>
      <c r="C37" s="18" t="s">
        <v>48</v>
      </c>
      <c r="D37" s="133" t="s">
        <v>1607</v>
      </c>
      <c r="E37" s="18" t="s">
        <v>562</v>
      </c>
      <c r="F37" s="133">
        <v>46025</v>
      </c>
      <c r="G37" s="133" t="s">
        <v>1165</v>
      </c>
      <c r="H37" s="133" t="s">
        <v>29</v>
      </c>
      <c r="I37" s="21"/>
    </row>
    <row r="38" spans="1:9" ht="18" customHeight="1">
      <c r="A38" s="18">
        <v>35</v>
      </c>
      <c r="B38" s="18" t="s">
        <v>1240</v>
      </c>
      <c r="C38" s="18" t="s">
        <v>32</v>
      </c>
      <c r="D38" s="133" t="s">
        <v>61</v>
      </c>
      <c r="E38" s="18" t="s">
        <v>562</v>
      </c>
      <c r="F38" s="133">
        <v>46028</v>
      </c>
      <c r="G38" s="133" t="s">
        <v>41</v>
      </c>
      <c r="H38" s="133" t="s">
        <v>29</v>
      </c>
      <c r="I38" s="21"/>
    </row>
    <row r="39" spans="1:9" ht="18" customHeight="1">
      <c r="A39" s="18">
        <v>36</v>
      </c>
      <c r="B39" s="18" t="s">
        <v>1239</v>
      </c>
      <c r="C39" s="18" t="s">
        <v>50</v>
      </c>
      <c r="D39" s="133" t="s">
        <v>61</v>
      </c>
      <c r="E39" s="18" t="s">
        <v>562</v>
      </c>
      <c r="F39" s="133">
        <v>46033</v>
      </c>
      <c r="G39" s="133" t="s">
        <v>41</v>
      </c>
      <c r="H39" s="133" t="s">
        <v>29</v>
      </c>
      <c r="I39" s="21"/>
    </row>
    <row r="40" spans="1:9" ht="18" customHeight="1">
      <c r="A40" s="18">
        <v>37</v>
      </c>
      <c r="B40" s="18" t="s">
        <v>1278</v>
      </c>
      <c r="C40" s="18" t="s">
        <v>1423</v>
      </c>
      <c r="D40" s="133" t="s">
        <v>61</v>
      </c>
      <c r="E40" s="18" t="s">
        <v>562</v>
      </c>
      <c r="F40" s="133">
        <v>46038</v>
      </c>
      <c r="G40" s="133" t="s">
        <v>41</v>
      </c>
      <c r="H40" s="133" t="s">
        <v>29</v>
      </c>
      <c r="I40" s="21"/>
    </row>
    <row r="41" spans="1:9" ht="18" customHeight="1">
      <c r="A41" s="18">
        <v>38</v>
      </c>
      <c r="B41" s="18" t="s">
        <v>1195</v>
      </c>
      <c r="C41" s="18" t="s">
        <v>32</v>
      </c>
      <c r="D41" s="133" t="s">
        <v>42</v>
      </c>
      <c r="E41" s="18" t="s">
        <v>562</v>
      </c>
      <c r="F41" s="133">
        <v>46041</v>
      </c>
      <c r="G41" s="133" t="s">
        <v>41</v>
      </c>
      <c r="H41" s="133" t="s">
        <v>29</v>
      </c>
      <c r="I41" s="21"/>
    </row>
    <row r="42" spans="1:9" ht="18" customHeight="1">
      <c r="A42" s="18">
        <v>39</v>
      </c>
      <c r="B42" s="18" t="s">
        <v>1344</v>
      </c>
      <c r="C42" s="18" t="s">
        <v>49</v>
      </c>
      <c r="D42" s="133" t="s">
        <v>61</v>
      </c>
      <c r="E42" s="18" t="s">
        <v>562</v>
      </c>
      <c r="F42" s="133">
        <v>46052</v>
      </c>
      <c r="G42" s="133" t="s">
        <v>41</v>
      </c>
      <c r="H42" s="133" t="s">
        <v>29</v>
      </c>
      <c r="I42" s="21"/>
    </row>
    <row r="43" spans="1:9" ht="18" customHeight="1">
      <c r="A43" s="18">
        <v>40</v>
      </c>
      <c r="B43" s="18" t="s">
        <v>1351</v>
      </c>
      <c r="C43" s="18" t="s">
        <v>50</v>
      </c>
      <c r="D43" s="133" t="s">
        <v>61</v>
      </c>
      <c r="E43" s="18" t="s">
        <v>562</v>
      </c>
      <c r="F43" s="133">
        <v>46059</v>
      </c>
      <c r="G43" s="133" t="s">
        <v>1828</v>
      </c>
      <c r="H43" s="133" t="s">
        <v>29</v>
      </c>
      <c r="I43" s="21"/>
    </row>
    <row r="44" spans="1:9" ht="18" customHeight="1">
      <c r="A44" s="18">
        <v>41</v>
      </c>
      <c r="B44" s="18" t="s">
        <v>1350</v>
      </c>
      <c r="C44" s="18" t="s">
        <v>49</v>
      </c>
      <c r="D44" s="133" t="s">
        <v>42</v>
      </c>
      <c r="E44" s="18" t="s">
        <v>562</v>
      </c>
      <c r="F44" s="133">
        <v>46059</v>
      </c>
      <c r="G44" s="133" t="s">
        <v>1828</v>
      </c>
      <c r="H44" s="133" t="s">
        <v>29</v>
      </c>
      <c r="I44" s="21"/>
    </row>
    <row r="45" spans="1:9" ht="18" customHeight="1">
      <c r="A45" s="18">
        <v>42</v>
      </c>
      <c r="B45" s="18" t="s">
        <v>1694</v>
      </c>
      <c r="C45" s="18" t="s">
        <v>1181</v>
      </c>
      <c r="D45" s="133" t="s">
        <v>42</v>
      </c>
      <c r="E45" s="18" t="s">
        <v>562</v>
      </c>
      <c r="F45" s="133">
        <v>46059</v>
      </c>
      <c r="G45" s="133" t="s">
        <v>1828</v>
      </c>
      <c r="H45" s="133" t="s">
        <v>29</v>
      </c>
      <c r="I45" s="21"/>
    </row>
    <row r="46" spans="1:9" ht="18" customHeight="1">
      <c r="A46" s="18">
        <v>43</v>
      </c>
      <c r="B46" s="18" t="s">
        <v>1342</v>
      </c>
      <c r="C46" s="18" t="s">
        <v>32</v>
      </c>
      <c r="D46" s="133" t="s">
        <v>42</v>
      </c>
      <c r="E46" s="18" t="s">
        <v>562</v>
      </c>
      <c r="F46" s="133">
        <v>46060</v>
      </c>
      <c r="G46" s="133" t="s">
        <v>1828</v>
      </c>
      <c r="H46" s="133" t="s">
        <v>29</v>
      </c>
      <c r="I46" s="21"/>
    </row>
    <row r="47" spans="1:9" ht="18" customHeight="1">
      <c r="A47" s="18">
        <v>44</v>
      </c>
      <c r="B47" s="18" t="s">
        <v>1346</v>
      </c>
      <c r="C47" s="18" t="s">
        <v>49</v>
      </c>
      <c r="D47" s="133" t="s">
        <v>42</v>
      </c>
      <c r="E47" s="18" t="s">
        <v>562</v>
      </c>
      <c r="F47" s="133">
        <v>46064</v>
      </c>
      <c r="G47" s="133" t="s">
        <v>1828</v>
      </c>
      <c r="H47" s="133" t="s">
        <v>29</v>
      </c>
      <c r="I47" s="21"/>
    </row>
    <row r="48" spans="1:9" ht="18" customHeight="1">
      <c r="A48" s="18">
        <v>45</v>
      </c>
      <c r="B48" s="18" t="s">
        <v>1343</v>
      </c>
      <c r="C48" s="18" t="s">
        <v>32</v>
      </c>
      <c r="D48" s="133" t="s">
        <v>42</v>
      </c>
      <c r="E48" s="18" t="s">
        <v>562</v>
      </c>
      <c r="F48" s="133">
        <v>46064</v>
      </c>
      <c r="G48" s="133" t="s">
        <v>1828</v>
      </c>
      <c r="H48" s="133" t="s">
        <v>29</v>
      </c>
      <c r="I48" s="21"/>
    </row>
    <row r="49" spans="1:9" ht="18" customHeight="1">
      <c r="A49" s="18">
        <v>46</v>
      </c>
      <c r="B49" s="18" t="s">
        <v>1640</v>
      </c>
      <c r="C49" s="18" t="s">
        <v>32</v>
      </c>
      <c r="D49" s="133" t="s">
        <v>42</v>
      </c>
      <c r="E49" s="18" t="s">
        <v>562</v>
      </c>
      <c r="F49" s="133">
        <v>46064</v>
      </c>
      <c r="G49" s="133" t="s">
        <v>1636</v>
      </c>
      <c r="H49" s="133" t="s">
        <v>29</v>
      </c>
      <c r="I49" s="21"/>
    </row>
    <row r="50" spans="1:9" ht="18" customHeight="1">
      <c r="A50" s="18">
        <v>47</v>
      </c>
      <c r="B50" s="18" t="s">
        <v>1340</v>
      </c>
      <c r="C50" s="18" t="s">
        <v>50</v>
      </c>
      <c r="D50" s="133" t="s">
        <v>42</v>
      </c>
      <c r="E50" s="18" t="s">
        <v>562</v>
      </c>
      <c r="F50" s="133">
        <v>46065</v>
      </c>
      <c r="G50" s="133" t="s">
        <v>1828</v>
      </c>
      <c r="H50" s="133" t="s">
        <v>29</v>
      </c>
      <c r="I50" s="21"/>
    </row>
    <row r="51" spans="1:9" ht="18" customHeight="1">
      <c r="A51" s="18">
        <v>48</v>
      </c>
      <c r="B51" s="18" t="s">
        <v>1687</v>
      </c>
      <c r="C51" s="18" t="s">
        <v>1181</v>
      </c>
      <c r="D51" s="133" t="s">
        <v>42</v>
      </c>
      <c r="E51" s="18" t="s">
        <v>562</v>
      </c>
      <c r="F51" s="133">
        <v>46069</v>
      </c>
      <c r="G51" s="133" t="s">
        <v>1636</v>
      </c>
      <c r="H51" s="133" t="s">
        <v>29</v>
      </c>
      <c r="I51" s="21"/>
    </row>
    <row r="52" spans="1:9" ht="18" customHeight="1">
      <c r="A52" s="18">
        <v>49</v>
      </c>
      <c r="B52" s="18" t="s">
        <v>1321</v>
      </c>
      <c r="C52" s="18" t="s">
        <v>1181</v>
      </c>
      <c r="D52" s="133" t="s">
        <v>61</v>
      </c>
      <c r="E52" s="18" t="s">
        <v>562</v>
      </c>
      <c r="F52" s="133">
        <v>46071</v>
      </c>
      <c r="G52" s="133" t="s">
        <v>1881</v>
      </c>
      <c r="H52" s="133" t="s">
        <v>29</v>
      </c>
      <c r="I52" s="21"/>
    </row>
    <row r="53" spans="1:9" ht="18" customHeight="1">
      <c r="A53" s="18">
        <v>50</v>
      </c>
      <c r="B53" s="18" t="s">
        <v>1337</v>
      </c>
      <c r="C53" s="18" t="s">
        <v>32</v>
      </c>
      <c r="D53" s="133" t="s">
        <v>42</v>
      </c>
      <c r="E53" s="18" t="s">
        <v>562</v>
      </c>
      <c r="F53" s="133">
        <v>46072</v>
      </c>
      <c r="G53" s="133" t="s">
        <v>1734</v>
      </c>
      <c r="H53" s="133" t="s">
        <v>29</v>
      </c>
      <c r="I53" s="21"/>
    </row>
    <row r="54" spans="1:9" ht="18" customHeight="1">
      <c r="A54" s="18">
        <v>51</v>
      </c>
      <c r="B54" s="18" t="s">
        <v>1339</v>
      </c>
      <c r="C54" s="18" t="s">
        <v>48</v>
      </c>
      <c r="D54" s="133" t="s">
        <v>42</v>
      </c>
      <c r="E54" s="18" t="s">
        <v>562</v>
      </c>
      <c r="F54" s="133">
        <v>46072</v>
      </c>
      <c r="G54" s="133" t="s">
        <v>1734</v>
      </c>
      <c r="H54" s="133" t="s">
        <v>29</v>
      </c>
      <c r="I54" s="21"/>
    </row>
    <row r="55" spans="1:9" ht="18" customHeight="1">
      <c r="A55" s="18">
        <v>52</v>
      </c>
      <c r="B55" s="18" t="s">
        <v>1379</v>
      </c>
      <c r="C55" s="18" t="s">
        <v>1181</v>
      </c>
      <c r="D55" s="133" t="s">
        <v>61</v>
      </c>
      <c r="E55" s="18" t="s">
        <v>562</v>
      </c>
      <c r="F55" s="133">
        <v>46072</v>
      </c>
      <c r="G55" s="133" t="s">
        <v>1828</v>
      </c>
      <c r="H55" s="133" t="s">
        <v>29</v>
      </c>
      <c r="I55" s="21"/>
    </row>
    <row r="56" spans="1:9" ht="18" customHeight="1">
      <c r="A56" s="18">
        <v>53</v>
      </c>
      <c r="B56" s="18" t="s">
        <v>1686</v>
      </c>
      <c r="C56" s="18" t="s">
        <v>34</v>
      </c>
      <c r="D56" s="133" t="s">
        <v>42</v>
      </c>
      <c r="E56" s="18" t="s">
        <v>562</v>
      </c>
      <c r="F56" s="133">
        <v>46073</v>
      </c>
      <c r="G56" s="133" t="s">
        <v>1636</v>
      </c>
      <c r="H56" s="133" t="s">
        <v>29</v>
      </c>
      <c r="I56" s="21"/>
    </row>
    <row r="57" spans="1:9" ht="18" customHeight="1">
      <c r="A57" s="18">
        <v>54</v>
      </c>
      <c r="B57" s="18" t="s">
        <v>1282</v>
      </c>
      <c r="C57" s="18" t="s">
        <v>1423</v>
      </c>
      <c r="D57" s="133" t="s">
        <v>61</v>
      </c>
      <c r="E57" s="18" t="s">
        <v>562</v>
      </c>
      <c r="F57" s="133">
        <v>46074</v>
      </c>
      <c r="G57" s="133" t="s">
        <v>41</v>
      </c>
      <c r="H57" s="133" t="s">
        <v>29</v>
      </c>
      <c r="I57" s="21"/>
    </row>
    <row r="58" spans="1:9" ht="18" customHeight="1">
      <c r="A58" s="18">
        <v>55</v>
      </c>
      <c r="B58" s="18" t="s">
        <v>1280</v>
      </c>
      <c r="C58" s="18" t="s">
        <v>34</v>
      </c>
      <c r="D58" s="133" t="s">
        <v>61</v>
      </c>
      <c r="E58" s="18" t="s">
        <v>562</v>
      </c>
      <c r="F58" s="133">
        <v>46074</v>
      </c>
      <c r="G58" s="133" t="s">
        <v>41</v>
      </c>
      <c r="H58" s="133" t="s">
        <v>29</v>
      </c>
      <c r="I58" s="21"/>
    </row>
    <row r="59" spans="1:9" ht="18" customHeight="1">
      <c r="A59" s="18">
        <v>56</v>
      </c>
      <c r="B59" s="18" t="s">
        <v>1194</v>
      </c>
      <c r="C59" s="18" t="s">
        <v>1181</v>
      </c>
      <c r="D59" s="133" t="s">
        <v>61</v>
      </c>
      <c r="E59" s="18" t="s">
        <v>562</v>
      </c>
      <c r="F59" s="133">
        <v>46074</v>
      </c>
      <c r="G59" s="133" t="s">
        <v>41</v>
      </c>
      <c r="H59" s="133" t="s">
        <v>29</v>
      </c>
      <c r="I59" s="21"/>
    </row>
    <row r="60" spans="1:9" ht="18" customHeight="1">
      <c r="A60" s="18">
        <v>57</v>
      </c>
      <c r="B60" s="18" t="s">
        <v>1688</v>
      </c>
      <c r="C60" s="18" t="s">
        <v>53</v>
      </c>
      <c r="D60" s="133" t="s">
        <v>42</v>
      </c>
      <c r="E60" s="18" t="s">
        <v>562</v>
      </c>
      <c r="F60" s="133">
        <v>46074</v>
      </c>
      <c r="G60" s="133" t="s">
        <v>1636</v>
      </c>
      <c r="H60" s="133" t="s">
        <v>29</v>
      </c>
      <c r="I60" s="21"/>
    </row>
    <row r="61" spans="1:9" ht="18" customHeight="1">
      <c r="A61" s="18">
        <v>58</v>
      </c>
      <c r="B61" s="18" t="s">
        <v>1279</v>
      </c>
      <c r="C61" s="18" t="s">
        <v>50</v>
      </c>
      <c r="D61" s="133" t="s">
        <v>61</v>
      </c>
      <c r="E61" s="18" t="s">
        <v>562</v>
      </c>
      <c r="F61" s="133">
        <v>46074</v>
      </c>
      <c r="G61" s="133" t="s">
        <v>41</v>
      </c>
      <c r="H61" s="133" t="s">
        <v>29</v>
      </c>
      <c r="I61" s="21"/>
    </row>
    <row r="62" spans="1:9" ht="18" customHeight="1">
      <c r="A62" s="18">
        <v>59</v>
      </c>
      <c r="B62" s="18" t="s">
        <v>1338</v>
      </c>
      <c r="C62" s="18" t="s">
        <v>50</v>
      </c>
      <c r="D62" s="133" t="s">
        <v>42</v>
      </c>
      <c r="E62" s="18" t="s">
        <v>562</v>
      </c>
      <c r="F62" s="133">
        <v>46074</v>
      </c>
      <c r="G62" s="133" t="s">
        <v>1734</v>
      </c>
      <c r="H62" s="133" t="s">
        <v>29</v>
      </c>
      <c r="I62" s="21"/>
    </row>
    <row r="63" spans="1:9" ht="18" customHeight="1">
      <c r="A63" s="18">
        <v>60</v>
      </c>
      <c r="B63" s="18" t="s">
        <v>1281</v>
      </c>
      <c r="C63" s="18" t="s">
        <v>1181</v>
      </c>
      <c r="D63" s="133" t="s">
        <v>61</v>
      </c>
      <c r="E63" s="18" t="s">
        <v>562</v>
      </c>
      <c r="F63" s="133">
        <v>46074</v>
      </c>
      <c r="G63" s="133" t="s">
        <v>41</v>
      </c>
      <c r="H63" s="133" t="s">
        <v>29</v>
      </c>
      <c r="I63" s="21"/>
    </row>
    <row r="64" spans="1:9" ht="18" customHeight="1">
      <c r="A64" s="18">
        <v>61</v>
      </c>
      <c r="B64" s="18" t="s">
        <v>1322</v>
      </c>
      <c r="C64" s="18" t="s">
        <v>32</v>
      </c>
      <c r="D64" s="133" t="s">
        <v>61</v>
      </c>
      <c r="E64" s="18" t="s">
        <v>562</v>
      </c>
      <c r="F64" s="133">
        <v>46074</v>
      </c>
      <c r="G64" s="133" t="s">
        <v>1856</v>
      </c>
      <c r="H64" s="133" t="s">
        <v>29</v>
      </c>
      <c r="I64" s="21"/>
    </row>
    <row r="65" spans="1:9" ht="18" customHeight="1">
      <c r="A65" s="18">
        <v>62</v>
      </c>
      <c r="B65" s="18" t="s">
        <v>1345</v>
      </c>
      <c r="C65" s="18" t="s">
        <v>53</v>
      </c>
      <c r="D65" s="133" t="s">
        <v>42</v>
      </c>
      <c r="E65" s="18" t="s">
        <v>562</v>
      </c>
      <c r="F65" s="133">
        <v>46078</v>
      </c>
      <c r="G65" s="133" t="s">
        <v>1828</v>
      </c>
      <c r="H65" s="133" t="s">
        <v>29</v>
      </c>
      <c r="I65" s="21"/>
    </row>
    <row r="66" spans="1:9" ht="18" customHeight="1">
      <c r="A66" s="18">
        <v>63</v>
      </c>
      <c r="B66" s="18" t="s">
        <v>1287</v>
      </c>
      <c r="C66" s="18" t="s">
        <v>48</v>
      </c>
      <c r="D66" s="133" t="s">
        <v>42</v>
      </c>
      <c r="E66" s="18" t="s">
        <v>562</v>
      </c>
      <c r="F66" s="133">
        <v>46079</v>
      </c>
      <c r="G66" s="133" t="s">
        <v>41</v>
      </c>
      <c r="H66" s="133" t="s">
        <v>29</v>
      </c>
      <c r="I66" s="21"/>
    </row>
    <row r="67" spans="1:9" ht="18" customHeight="1">
      <c r="A67" s="18">
        <v>64</v>
      </c>
      <c r="B67" s="18" t="s">
        <v>1347</v>
      </c>
      <c r="C67" s="18" t="s">
        <v>43</v>
      </c>
      <c r="D67" s="133" t="s">
        <v>42</v>
      </c>
      <c r="E67" s="18" t="s">
        <v>562</v>
      </c>
      <c r="F67" s="133">
        <v>46079</v>
      </c>
      <c r="G67" s="133" t="s">
        <v>1828</v>
      </c>
      <c r="H67" s="133" t="s">
        <v>29</v>
      </c>
      <c r="I67" s="21"/>
    </row>
    <row r="68" spans="1:9" ht="18" customHeight="1">
      <c r="A68" s="18">
        <v>65</v>
      </c>
      <c r="B68" s="18" t="s">
        <v>1352</v>
      </c>
      <c r="C68" s="18" t="s">
        <v>1181</v>
      </c>
      <c r="D68" s="133" t="s">
        <v>42</v>
      </c>
      <c r="E68" s="18" t="s">
        <v>562</v>
      </c>
      <c r="F68" s="133">
        <v>46080</v>
      </c>
      <c r="G68" s="133" t="s">
        <v>1828</v>
      </c>
      <c r="H68" s="133" t="s">
        <v>29</v>
      </c>
      <c r="I68" s="21"/>
    </row>
    <row r="69" spans="1:9" ht="18" customHeight="1">
      <c r="A69" s="18">
        <v>66</v>
      </c>
      <c r="B69" s="18" t="s">
        <v>1692</v>
      </c>
      <c r="C69" s="18" t="s">
        <v>53</v>
      </c>
      <c r="D69" s="133" t="s">
        <v>42</v>
      </c>
      <c r="E69" s="18" t="s">
        <v>562</v>
      </c>
      <c r="F69" s="133">
        <v>46081</v>
      </c>
      <c r="G69" s="133" t="s">
        <v>1636</v>
      </c>
      <c r="H69" s="133" t="s">
        <v>29</v>
      </c>
      <c r="I69" s="21"/>
    </row>
    <row r="70" spans="1:9" ht="18" customHeight="1">
      <c r="A70" s="18">
        <v>67</v>
      </c>
      <c r="B70" s="852" t="s">
        <v>1369</v>
      </c>
      <c r="C70" s="852" t="s">
        <v>1175</v>
      </c>
      <c r="D70" s="853" t="s">
        <v>42</v>
      </c>
      <c r="E70" s="852" t="s">
        <v>562</v>
      </c>
      <c r="F70" s="853">
        <v>46080</v>
      </c>
      <c r="G70" s="853" t="s">
        <v>1855</v>
      </c>
      <c r="H70" s="853" t="s">
        <v>29</v>
      </c>
      <c r="I70" s="854"/>
    </row>
    <row r="71" spans="1:9" ht="18" customHeight="1">
      <c r="A71" s="18">
        <v>68</v>
      </c>
      <c r="B71" s="852" t="s">
        <v>1370</v>
      </c>
      <c r="C71" s="852" t="s">
        <v>48</v>
      </c>
      <c r="D71" s="853" t="s">
        <v>42</v>
      </c>
      <c r="E71" s="852" t="s">
        <v>562</v>
      </c>
      <c r="F71" s="853">
        <v>46080</v>
      </c>
      <c r="G71" s="853" t="s">
        <v>1855</v>
      </c>
      <c r="H71" s="853" t="s">
        <v>29</v>
      </c>
      <c r="I71" s="854"/>
    </row>
    <row r="72" spans="1:9" ht="18" customHeight="1">
      <c r="A72" s="18">
        <v>69</v>
      </c>
      <c r="B72" s="852" t="s">
        <v>1371</v>
      </c>
      <c r="C72" s="852" t="s">
        <v>32</v>
      </c>
      <c r="D72" s="853" t="s">
        <v>42</v>
      </c>
      <c r="E72" s="852" t="s">
        <v>562</v>
      </c>
      <c r="F72" s="853">
        <v>46080</v>
      </c>
      <c r="G72" s="853" t="s">
        <v>1855</v>
      </c>
      <c r="H72" s="853" t="s">
        <v>29</v>
      </c>
      <c r="I72" s="854"/>
    </row>
    <row r="73" spans="1:9" ht="18" customHeight="1">
      <c r="A73" s="18">
        <v>70</v>
      </c>
      <c r="B73" s="852" t="s">
        <v>1288</v>
      </c>
      <c r="C73" s="852" t="s">
        <v>1424</v>
      </c>
      <c r="D73" s="853" t="s">
        <v>42</v>
      </c>
      <c r="E73" s="852" t="s">
        <v>562</v>
      </c>
      <c r="F73" s="853">
        <v>46081</v>
      </c>
      <c r="G73" s="853" t="s">
        <v>41</v>
      </c>
      <c r="H73" s="853" t="s">
        <v>29</v>
      </c>
      <c r="I73" s="854"/>
    </row>
    <row r="74" spans="1:9" ht="18" customHeight="1">
      <c r="A74" s="18">
        <v>71</v>
      </c>
      <c r="B74" s="852" t="s">
        <v>1685</v>
      </c>
      <c r="C74" s="852" t="s">
        <v>48</v>
      </c>
      <c r="D74" s="853" t="s">
        <v>42</v>
      </c>
      <c r="E74" s="852" t="s">
        <v>562</v>
      </c>
      <c r="F74" s="853">
        <v>46094</v>
      </c>
      <c r="G74" s="853" t="s">
        <v>1636</v>
      </c>
      <c r="H74" s="853" t="s">
        <v>29</v>
      </c>
      <c r="I74" s="854"/>
    </row>
    <row r="75" spans="1:9" ht="18" customHeight="1">
      <c r="A75" s="18">
        <v>72</v>
      </c>
      <c r="B75" s="852" t="s">
        <v>1286</v>
      </c>
      <c r="C75" s="865" t="s">
        <v>43</v>
      </c>
      <c r="D75" s="614" t="s">
        <v>42</v>
      </c>
      <c r="E75" s="866" t="s">
        <v>562</v>
      </c>
      <c r="F75" s="853">
        <v>46094</v>
      </c>
      <c r="G75" s="853" t="s">
        <v>41</v>
      </c>
      <c r="H75" s="853" t="s">
        <v>29</v>
      </c>
      <c r="I75" s="854"/>
    </row>
    <row r="76" spans="1:9" ht="18" customHeight="1">
      <c r="A76" s="18">
        <v>73</v>
      </c>
      <c r="B76" s="852" t="s">
        <v>1285</v>
      </c>
      <c r="C76" s="865" t="s">
        <v>48</v>
      </c>
      <c r="D76" s="614" t="s">
        <v>61</v>
      </c>
      <c r="E76" s="866" t="s">
        <v>562</v>
      </c>
      <c r="F76" s="853">
        <v>46094</v>
      </c>
      <c r="G76" s="853" t="s">
        <v>41</v>
      </c>
      <c r="H76" s="853" t="s">
        <v>29</v>
      </c>
      <c r="I76" s="854"/>
    </row>
    <row r="77" spans="1:9" ht="18" customHeight="1">
      <c r="A77" s="18">
        <v>74</v>
      </c>
      <c r="B77" s="852" t="s">
        <v>1284</v>
      </c>
      <c r="C77" s="865" t="s">
        <v>32</v>
      </c>
      <c r="D77" s="614" t="s">
        <v>42</v>
      </c>
      <c r="E77" s="866" t="s">
        <v>562</v>
      </c>
      <c r="F77" s="853">
        <v>46097</v>
      </c>
      <c r="G77" s="853" t="s">
        <v>41</v>
      </c>
      <c r="H77" s="853" t="s">
        <v>29</v>
      </c>
      <c r="I77" s="854"/>
    </row>
    <row r="78" spans="1:9" ht="18" customHeight="1">
      <c r="A78" s="18">
        <v>75</v>
      </c>
      <c r="B78" s="852" t="s">
        <v>1696</v>
      </c>
      <c r="C78" s="865" t="s">
        <v>32</v>
      </c>
      <c r="D78" s="614" t="s">
        <v>42</v>
      </c>
      <c r="E78" s="866" t="s">
        <v>562</v>
      </c>
      <c r="F78" s="853">
        <v>46097</v>
      </c>
      <c r="G78" s="853" t="s">
        <v>1636</v>
      </c>
      <c r="H78" s="853" t="s">
        <v>29</v>
      </c>
      <c r="I78" s="854"/>
    </row>
    <row r="79" spans="1:9" ht="18" customHeight="1">
      <c r="A79" s="18">
        <v>76</v>
      </c>
      <c r="B79" s="852" t="s">
        <v>1349</v>
      </c>
      <c r="C79" s="865" t="s">
        <v>49</v>
      </c>
      <c r="D79" s="614" t="s">
        <v>42</v>
      </c>
      <c r="E79" s="866" t="s">
        <v>562</v>
      </c>
      <c r="F79" s="853">
        <v>46100</v>
      </c>
      <c r="G79" s="853" t="s">
        <v>1828</v>
      </c>
      <c r="H79" s="853" t="s">
        <v>29</v>
      </c>
      <c r="I79" s="854"/>
    </row>
    <row r="80" spans="1:9" ht="18" customHeight="1">
      <c r="A80" s="18">
        <v>77</v>
      </c>
      <c r="B80" s="852" t="s">
        <v>1697</v>
      </c>
      <c r="C80" s="865" t="s">
        <v>48</v>
      </c>
      <c r="D80" s="614" t="s">
        <v>61</v>
      </c>
      <c r="E80" s="866" t="s">
        <v>562</v>
      </c>
      <c r="F80" s="853">
        <v>46100</v>
      </c>
      <c r="G80" s="853" t="s">
        <v>1636</v>
      </c>
      <c r="H80" s="853" t="s">
        <v>29</v>
      </c>
      <c r="I80" s="854"/>
    </row>
    <row r="81" spans="1:9">
      <c r="A81" s="18">
        <v>78</v>
      </c>
      <c r="B81" s="852" t="s">
        <v>1336</v>
      </c>
      <c r="C81" s="865" t="s">
        <v>1900</v>
      </c>
      <c r="D81" s="614" t="s">
        <v>61</v>
      </c>
      <c r="E81" s="866" t="s">
        <v>562</v>
      </c>
      <c r="F81" s="853">
        <v>46103</v>
      </c>
      <c r="G81" s="853" t="s">
        <v>1828</v>
      </c>
      <c r="H81" s="853" t="s">
        <v>29</v>
      </c>
      <c r="I81" s="854"/>
    </row>
    <row r="82" spans="1:9">
      <c r="A82" s="18">
        <v>79</v>
      </c>
      <c r="B82" s="881" t="s">
        <v>1695</v>
      </c>
      <c r="C82" s="81" t="s">
        <v>32</v>
      </c>
      <c r="D82" s="873" t="s">
        <v>61</v>
      </c>
      <c r="E82" s="866" t="s">
        <v>562</v>
      </c>
      <c r="F82" s="853">
        <v>46104</v>
      </c>
      <c r="G82" s="687" t="s">
        <v>1636</v>
      </c>
      <c r="H82" s="853" t="s">
        <v>29</v>
      </c>
      <c r="I82" s="616"/>
    </row>
    <row r="83" spans="1:9">
      <c r="A83" s="18">
        <v>80</v>
      </c>
      <c r="B83" s="881" t="s">
        <v>1408</v>
      </c>
      <c r="C83" s="81" t="s">
        <v>32</v>
      </c>
      <c r="D83" s="873" t="s">
        <v>42</v>
      </c>
      <c r="E83" s="866" t="s">
        <v>562</v>
      </c>
      <c r="F83" s="853">
        <v>46104</v>
      </c>
      <c r="G83" s="874" t="s">
        <v>1888</v>
      </c>
      <c r="H83" s="853" t="s">
        <v>29</v>
      </c>
      <c r="I83" s="616"/>
    </row>
    <row r="84" spans="1:9">
      <c r="A84" s="18">
        <v>81</v>
      </c>
      <c r="B84" s="881" t="s">
        <v>1335</v>
      </c>
      <c r="C84" s="74" t="s">
        <v>1906</v>
      </c>
      <c r="D84" s="872" t="s">
        <v>42</v>
      </c>
      <c r="E84" s="866" t="s">
        <v>562</v>
      </c>
      <c r="F84" s="876">
        <v>46105</v>
      </c>
      <c r="G84" s="876" t="s">
        <v>1828</v>
      </c>
      <c r="H84" s="853" t="s">
        <v>29</v>
      </c>
      <c r="I84" s="616"/>
    </row>
    <row r="85" spans="1:9">
      <c r="A85" s="18">
        <v>82</v>
      </c>
      <c r="B85" s="74" t="s">
        <v>1700</v>
      </c>
      <c r="C85" s="74" t="s">
        <v>1175</v>
      </c>
      <c r="D85" s="872" t="s">
        <v>61</v>
      </c>
      <c r="E85" s="866" t="s">
        <v>562</v>
      </c>
      <c r="F85" s="876">
        <v>46106</v>
      </c>
      <c r="G85" s="853" t="s">
        <v>1636</v>
      </c>
      <c r="H85" s="853" t="s">
        <v>29</v>
      </c>
      <c r="I85" s="616"/>
    </row>
    <row r="86" spans="1:9">
      <c r="A86" s="18">
        <v>83</v>
      </c>
      <c r="B86" s="881" t="s">
        <v>1334</v>
      </c>
      <c r="C86" s="74" t="s">
        <v>1906</v>
      </c>
      <c r="D86" s="872" t="s">
        <v>42</v>
      </c>
      <c r="E86" s="866" t="s">
        <v>562</v>
      </c>
      <c r="F86" s="876">
        <v>46110</v>
      </c>
      <c r="G86" s="853" t="s">
        <v>1828</v>
      </c>
      <c r="H86" s="853" t="s">
        <v>29</v>
      </c>
      <c r="I86" s="616"/>
    </row>
    <row r="87" spans="1:9">
      <c r="A87" s="18">
        <v>84</v>
      </c>
      <c r="B87" s="881" t="s">
        <v>1698</v>
      </c>
      <c r="C87" s="881" t="s">
        <v>1906</v>
      </c>
      <c r="D87" s="871" t="s">
        <v>61</v>
      </c>
      <c r="E87" s="866" t="s">
        <v>562</v>
      </c>
      <c r="F87" s="877">
        <v>46112</v>
      </c>
      <c r="G87" s="853" t="s">
        <v>1636</v>
      </c>
      <c r="H87" s="853" t="s">
        <v>29</v>
      </c>
      <c r="I87" s="878"/>
    </row>
    <row r="88" spans="1:9">
      <c r="A88" s="18">
        <v>85</v>
      </c>
      <c r="B88" s="74" t="s">
        <v>1407</v>
      </c>
      <c r="C88" s="74" t="s">
        <v>1181</v>
      </c>
      <c r="D88" s="873" t="s">
        <v>42</v>
      </c>
      <c r="E88" s="673" t="s">
        <v>562</v>
      </c>
      <c r="F88" s="876">
        <v>46112</v>
      </c>
      <c r="G88" s="874" t="s">
        <v>1888</v>
      </c>
      <c r="H88" s="614" t="s">
        <v>29</v>
      </c>
      <c r="I88" s="616"/>
    </row>
    <row r="89" spans="1:9">
      <c r="A89" s="18">
        <v>86</v>
      </c>
      <c r="B89" s="881" t="s">
        <v>1414</v>
      </c>
      <c r="C89" s="74" t="s">
        <v>48</v>
      </c>
      <c r="D89" s="872" t="s">
        <v>42</v>
      </c>
      <c r="E89" s="673" t="s">
        <v>562</v>
      </c>
      <c r="F89" s="876">
        <v>46115</v>
      </c>
      <c r="G89" s="874" t="s">
        <v>1888</v>
      </c>
      <c r="H89" s="614" t="s">
        <v>29</v>
      </c>
      <c r="I89" s="616"/>
    </row>
    <row r="90" spans="1:9">
      <c r="A90" s="18">
        <v>87</v>
      </c>
      <c r="B90" s="881" t="s">
        <v>1699</v>
      </c>
      <c r="C90" s="881" t="s">
        <v>1911</v>
      </c>
      <c r="D90" s="871" t="s">
        <v>61</v>
      </c>
      <c r="E90" s="673" t="s">
        <v>562</v>
      </c>
      <c r="F90" s="876">
        <v>46115</v>
      </c>
      <c r="G90" s="687" t="s">
        <v>1636</v>
      </c>
      <c r="H90" s="614" t="s">
        <v>29</v>
      </c>
      <c r="I90" s="616"/>
    </row>
    <row r="91" spans="1:9">
      <c r="A91" s="18">
        <v>88</v>
      </c>
      <c r="B91" s="826" t="s">
        <v>1198</v>
      </c>
      <c r="C91" s="856" t="s">
        <v>53</v>
      </c>
      <c r="D91" s="856" t="s">
        <v>42</v>
      </c>
      <c r="E91" s="673" t="s">
        <v>562</v>
      </c>
      <c r="F91" s="876">
        <v>46117</v>
      </c>
      <c r="G91" s="133" t="s">
        <v>1856</v>
      </c>
      <c r="H91" s="614" t="s">
        <v>29</v>
      </c>
      <c r="I91" s="616"/>
    </row>
    <row r="92" spans="1:9">
      <c r="A92" s="18">
        <v>89</v>
      </c>
      <c r="B92" s="881" t="s">
        <v>1200</v>
      </c>
      <c r="C92" s="74" t="s">
        <v>34</v>
      </c>
      <c r="D92" s="872" t="s">
        <v>61</v>
      </c>
      <c r="E92" s="673" t="s">
        <v>562</v>
      </c>
      <c r="F92" s="876">
        <v>46118</v>
      </c>
      <c r="G92" s="133" t="s">
        <v>1856</v>
      </c>
      <c r="H92" s="614" t="s">
        <v>29</v>
      </c>
      <c r="I92" s="616"/>
    </row>
    <row r="93" spans="1:9">
      <c r="A93" s="18">
        <v>90</v>
      </c>
      <c r="B93" s="74" t="s">
        <v>1303</v>
      </c>
      <c r="C93" s="74" t="s">
        <v>32</v>
      </c>
      <c r="D93" s="872" t="s">
        <v>61</v>
      </c>
      <c r="E93" s="673" t="s">
        <v>562</v>
      </c>
      <c r="F93" s="876">
        <v>46118</v>
      </c>
      <c r="G93" s="853" t="s">
        <v>1856</v>
      </c>
      <c r="H93" s="614" t="s">
        <v>29</v>
      </c>
      <c r="I93" s="616"/>
    </row>
    <row r="94" spans="1:9">
      <c r="A94" s="18">
        <v>91</v>
      </c>
      <c r="B94" s="74" t="s">
        <v>1302</v>
      </c>
      <c r="C94" s="74" t="s">
        <v>1911</v>
      </c>
      <c r="D94" s="873" t="s">
        <v>61</v>
      </c>
      <c r="E94" s="673" t="s">
        <v>562</v>
      </c>
      <c r="F94" s="876">
        <v>46118</v>
      </c>
      <c r="G94" s="614" t="s">
        <v>1856</v>
      </c>
      <c r="H94" s="614" t="s">
        <v>29</v>
      </c>
      <c r="I94" s="616"/>
    </row>
    <row r="95" spans="1:9">
      <c r="A95" s="18">
        <v>92</v>
      </c>
      <c r="B95" s="826" t="s">
        <v>1386</v>
      </c>
      <c r="C95" s="856" t="s">
        <v>48</v>
      </c>
      <c r="D95" s="856" t="s">
        <v>42</v>
      </c>
      <c r="E95" s="673" t="s">
        <v>562</v>
      </c>
      <c r="F95" s="876">
        <v>46118</v>
      </c>
      <c r="G95" s="614" t="s">
        <v>1856</v>
      </c>
      <c r="H95" s="614" t="s">
        <v>29</v>
      </c>
      <c r="I95" s="616"/>
    </row>
    <row r="96" spans="1:9">
      <c r="A96" s="18">
        <v>93</v>
      </c>
      <c r="B96" s="881" t="s">
        <v>1372</v>
      </c>
      <c r="C96" s="74" t="s">
        <v>43</v>
      </c>
      <c r="D96" s="872" t="s">
        <v>61</v>
      </c>
      <c r="E96" s="673" t="s">
        <v>562</v>
      </c>
      <c r="F96" s="876">
        <v>46118</v>
      </c>
      <c r="G96" s="614" t="s">
        <v>1855</v>
      </c>
      <c r="H96" s="614" t="s">
        <v>29</v>
      </c>
      <c r="I96" s="616"/>
    </row>
    <row r="97" spans="1:9">
      <c r="A97" s="18">
        <v>94</v>
      </c>
      <c r="B97" s="74" t="s">
        <v>1387</v>
      </c>
      <c r="C97" s="74" t="s">
        <v>1181</v>
      </c>
      <c r="D97" s="872" t="s">
        <v>61</v>
      </c>
      <c r="E97" s="673" t="s">
        <v>562</v>
      </c>
      <c r="F97" s="876">
        <v>46118</v>
      </c>
      <c r="G97" s="614" t="s">
        <v>1855</v>
      </c>
      <c r="H97" s="614" t="s">
        <v>29</v>
      </c>
      <c r="I97" s="616"/>
    </row>
    <row r="98" spans="1:9">
      <c r="A98" s="18">
        <v>95</v>
      </c>
      <c r="B98" s="881" t="s">
        <v>1382</v>
      </c>
      <c r="C98" s="881" t="s">
        <v>1425</v>
      </c>
      <c r="D98" s="870" t="s">
        <v>42</v>
      </c>
      <c r="E98" s="926" t="s">
        <v>562</v>
      </c>
      <c r="F98" s="877">
        <v>46118</v>
      </c>
      <c r="G98" s="927" t="s">
        <v>1855</v>
      </c>
      <c r="H98" s="927" t="s">
        <v>29</v>
      </c>
      <c r="I98" s="878"/>
    </row>
    <row r="99" spans="1:9">
      <c r="A99" s="18">
        <v>96</v>
      </c>
      <c r="B99" s="74" t="s">
        <v>1693</v>
      </c>
      <c r="C99" s="74" t="s">
        <v>1929</v>
      </c>
      <c r="D99" s="873" t="s">
        <v>61</v>
      </c>
      <c r="E99" s="926" t="s">
        <v>562</v>
      </c>
      <c r="F99" s="933">
        <v>46124</v>
      </c>
      <c r="G99" s="875" t="s">
        <v>1636</v>
      </c>
      <c r="H99" s="934" t="s">
        <v>29</v>
      </c>
      <c r="I99" s="616"/>
    </row>
    <row r="100" spans="1:9">
      <c r="A100" s="18">
        <v>97</v>
      </c>
      <c r="B100" s="74" t="s">
        <v>1242</v>
      </c>
      <c r="C100" s="74" t="s">
        <v>1931</v>
      </c>
      <c r="D100" s="873" t="s">
        <v>61</v>
      </c>
      <c r="E100" s="926" t="s">
        <v>562</v>
      </c>
      <c r="F100" s="933">
        <v>46124</v>
      </c>
      <c r="G100" s="939" t="s">
        <v>1636</v>
      </c>
      <c r="H100" s="934" t="s">
        <v>29</v>
      </c>
      <c r="I100" s="616"/>
    </row>
    <row r="101" spans="1:9">
      <c r="A101" s="18">
        <v>98</v>
      </c>
      <c r="B101" s="74" t="s">
        <v>1329</v>
      </c>
      <c r="C101" s="74" t="s">
        <v>1916</v>
      </c>
      <c r="D101" s="873" t="s">
        <v>61</v>
      </c>
      <c r="E101" s="673" t="s">
        <v>562</v>
      </c>
      <c r="F101" s="937">
        <v>46125</v>
      </c>
      <c r="G101" s="938" t="s">
        <v>1828</v>
      </c>
      <c r="H101" s="938" t="s">
        <v>29</v>
      </c>
      <c r="I101" s="616"/>
    </row>
    <row r="102" spans="1:9">
      <c r="A102" s="18">
        <v>99</v>
      </c>
      <c r="B102" s="971" t="s">
        <v>1356</v>
      </c>
      <c r="C102" s="971" t="s">
        <v>1425</v>
      </c>
      <c r="D102" s="873" t="s">
        <v>61</v>
      </c>
      <c r="E102" s="673" t="s">
        <v>562</v>
      </c>
      <c r="F102" s="970">
        <v>46136</v>
      </c>
      <c r="G102" s="973" t="s">
        <v>1828</v>
      </c>
      <c r="H102" s="973" t="s">
        <v>29</v>
      </c>
      <c r="I102" s="928"/>
    </row>
    <row r="103" spans="1:9">
      <c r="A103" s="18">
        <v>100</v>
      </c>
      <c r="B103" s="971" t="s">
        <v>1357</v>
      </c>
      <c r="C103" s="971" t="s">
        <v>32</v>
      </c>
      <c r="D103" s="873" t="s">
        <v>61</v>
      </c>
      <c r="E103" s="673" t="s">
        <v>562</v>
      </c>
      <c r="F103" s="970">
        <v>46136</v>
      </c>
      <c r="G103" s="973" t="s">
        <v>1828</v>
      </c>
      <c r="H103" s="973" t="s">
        <v>29</v>
      </c>
      <c r="I103" s="928"/>
    </row>
    <row r="104" spans="1:9">
      <c r="A104" s="18">
        <v>101</v>
      </c>
      <c r="B104" s="978" t="s">
        <v>1358</v>
      </c>
      <c r="C104" s="855" t="s">
        <v>1947</v>
      </c>
      <c r="D104" s="855" t="s">
        <v>61</v>
      </c>
      <c r="E104" s="673" t="s">
        <v>562</v>
      </c>
      <c r="F104" s="979">
        <v>46139</v>
      </c>
      <c r="G104" s="980" t="s">
        <v>1828</v>
      </c>
      <c r="H104" s="980" t="s">
        <v>29</v>
      </c>
      <c r="I104" s="928"/>
    </row>
    <row r="105" spans="1:9">
      <c r="A105" s="18">
        <v>102</v>
      </c>
      <c r="B105" s="999" t="s">
        <v>1355</v>
      </c>
      <c r="C105" s="999" t="s">
        <v>1427</v>
      </c>
      <c r="D105" s="1002" t="s">
        <v>61</v>
      </c>
      <c r="E105" s="673" t="s">
        <v>562</v>
      </c>
      <c r="F105" s="1010">
        <v>46142</v>
      </c>
      <c r="G105" s="1012" t="s">
        <v>1828</v>
      </c>
      <c r="H105" s="1012" t="s">
        <v>29</v>
      </c>
      <c r="I105" s="616"/>
    </row>
    <row r="106" spans="1:9" s="688" customFormat="1">
      <c r="A106" s="18">
        <v>103</v>
      </c>
      <c r="B106" s="999" t="s">
        <v>1354</v>
      </c>
      <c r="C106" s="999" t="s">
        <v>1426</v>
      </c>
      <c r="D106" s="999" t="s">
        <v>61</v>
      </c>
      <c r="E106" s="1151" t="s">
        <v>562</v>
      </c>
      <c r="F106" s="1152">
        <v>46142</v>
      </c>
      <c r="G106" s="1152" t="s">
        <v>1828</v>
      </c>
      <c r="H106" s="1152" t="s">
        <v>29</v>
      </c>
      <c r="I106" s="1157"/>
    </row>
    <row r="107" spans="1:9" s="688" customFormat="1">
      <c r="A107" s="18">
        <v>104</v>
      </c>
      <c r="B107" s="993" t="s">
        <v>1236</v>
      </c>
      <c r="C107" s="855" t="s">
        <v>2048</v>
      </c>
      <c r="D107" s="855" t="s">
        <v>61</v>
      </c>
      <c r="E107" s="1150" t="s">
        <v>562</v>
      </c>
      <c r="F107" s="1149">
        <v>46145</v>
      </c>
      <c r="G107" s="1149" t="s">
        <v>1636</v>
      </c>
      <c r="H107" s="1149" t="s">
        <v>29</v>
      </c>
      <c r="I107" s="1158"/>
    </row>
    <row r="108" spans="1:9" s="688" customFormat="1">
      <c r="A108" s="18">
        <v>105</v>
      </c>
      <c r="B108" s="993" t="s">
        <v>1235</v>
      </c>
      <c r="C108" s="993" t="s">
        <v>50</v>
      </c>
      <c r="D108" s="993" t="s">
        <v>61</v>
      </c>
      <c r="E108" s="1234" t="s">
        <v>562</v>
      </c>
      <c r="F108" s="1233">
        <v>46145</v>
      </c>
      <c r="G108" s="1234" t="s">
        <v>1636</v>
      </c>
      <c r="H108" s="1233" t="s">
        <v>29</v>
      </c>
      <c r="I108" s="1158"/>
    </row>
    <row r="109" spans="1:9" s="688" customFormat="1">
      <c r="A109" s="18">
        <v>106</v>
      </c>
      <c r="B109" s="993" t="s">
        <v>1330</v>
      </c>
      <c r="C109" s="993" t="s">
        <v>1960</v>
      </c>
      <c r="D109" s="993" t="s">
        <v>61</v>
      </c>
      <c r="E109" s="1234" t="s">
        <v>562</v>
      </c>
      <c r="F109" s="1233">
        <v>46151</v>
      </c>
      <c r="G109" s="1234" t="s">
        <v>1828</v>
      </c>
      <c r="H109" s="1233" t="s">
        <v>29</v>
      </c>
      <c r="I109" s="1158"/>
    </row>
    <row r="110" spans="1:9" s="688" customFormat="1">
      <c r="A110" s="18">
        <v>107</v>
      </c>
      <c r="B110" s="1234" t="s">
        <v>1277</v>
      </c>
      <c r="C110" s="1234" t="s">
        <v>1929</v>
      </c>
      <c r="D110" s="833" t="s">
        <v>61</v>
      </c>
      <c r="E110" s="1234" t="s">
        <v>562</v>
      </c>
      <c r="F110" s="1233">
        <v>46152</v>
      </c>
      <c r="G110" s="1234" t="s">
        <v>1930</v>
      </c>
      <c r="H110" s="1233" t="s">
        <v>29</v>
      </c>
      <c r="I110" s="1158"/>
    </row>
    <row r="111" spans="1:9" s="688" customFormat="1">
      <c r="A111" s="18">
        <v>108</v>
      </c>
      <c r="B111" s="993" t="s">
        <v>1275</v>
      </c>
      <c r="C111" s="993" t="s">
        <v>1945</v>
      </c>
      <c r="D111" s="993" t="s">
        <v>61</v>
      </c>
      <c r="E111" s="1234" t="s">
        <v>562</v>
      </c>
      <c r="F111" s="1233">
        <v>46152</v>
      </c>
      <c r="G111" s="1234" t="s">
        <v>1930</v>
      </c>
      <c r="H111" s="1233" t="s">
        <v>29</v>
      </c>
      <c r="I111" s="1158"/>
    </row>
    <row r="112" spans="1:9" s="688" customFormat="1">
      <c r="A112" s="18">
        <v>109</v>
      </c>
      <c r="B112" s="1234" t="s">
        <v>1276</v>
      </c>
      <c r="C112" s="1234" t="s">
        <v>1933</v>
      </c>
      <c r="D112" s="833" t="s">
        <v>61</v>
      </c>
      <c r="E112" s="1234" t="s">
        <v>562</v>
      </c>
      <c r="F112" s="1233">
        <v>46152</v>
      </c>
      <c r="G112" s="1234" t="s">
        <v>1930</v>
      </c>
      <c r="H112" s="1233" t="s">
        <v>29</v>
      </c>
      <c r="I112" s="1158"/>
    </row>
    <row r="113" spans="1:9" s="688" customFormat="1">
      <c r="A113" s="18">
        <v>110</v>
      </c>
      <c r="B113" s="993" t="s">
        <v>1419</v>
      </c>
      <c r="C113" s="993" t="s">
        <v>32</v>
      </c>
      <c r="D113" s="993" t="s">
        <v>42</v>
      </c>
      <c r="E113" s="1234" t="s">
        <v>562</v>
      </c>
      <c r="F113" s="1233">
        <v>46153</v>
      </c>
      <c r="G113" s="509" t="s">
        <v>1888</v>
      </c>
      <c r="H113" s="1233" t="s">
        <v>29</v>
      </c>
      <c r="I113" s="1158"/>
    </row>
    <row r="114" spans="1:9" s="688" customFormat="1">
      <c r="A114" s="18">
        <v>111</v>
      </c>
      <c r="B114" s="993" t="s">
        <v>1331</v>
      </c>
      <c r="C114" s="993" t="s">
        <v>1960</v>
      </c>
      <c r="D114" s="993" t="s">
        <v>61</v>
      </c>
      <c r="E114" s="1234" t="s">
        <v>562</v>
      </c>
      <c r="F114" s="1233">
        <v>46154</v>
      </c>
      <c r="G114" s="1234" t="s">
        <v>1828</v>
      </c>
      <c r="H114" s="1233" t="s">
        <v>29</v>
      </c>
      <c r="I114" s="1158"/>
    </row>
    <row r="115" spans="1:9" s="688" customFormat="1">
      <c r="A115" s="18">
        <v>112</v>
      </c>
      <c r="B115" s="1162" t="s">
        <v>1234</v>
      </c>
      <c r="C115" s="509" t="s">
        <v>32</v>
      </c>
      <c r="D115" s="833" t="s">
        <v>61</v>
      </c>
      <c r="E115" s="1234" t="s">
        <v>562</v>
      </c>
      <c r="F115" s="1233">
        <v>46159</v>
      </c>
      <c r="G115" s="1234" t="s">
        <v>1636</v>
      </c>
      <c r="H115" s="1233" t="s">
        <v>29</v>
      </c>
      <c r="I115" s="1158"/>
    </row>
    <row r="116" spans="1:9" s="688" customFormat="1">
      <c r="A116" s="18">
        <v>113</v>
      </c>
      <c r="B116" s="993" t="s">
        <v>1341</v>
      </c>
      <c r="C116" s="993" t="s">
        <v>32</v>
      </c>
      <c r="D116" s="993" t="s">
        <v>42</v>
      </c>
      <c r="E116" s="1234" t="s">
        <v>562</v>
      </c>
      <c r="F116" s="1233">
        <v>46159</v>
      </c>
      <c r="G116" s="1234" t="s">
        <v>1828</v>
      </c>
      <c r="H116" s="1233" t="s">
        <v>29</v>
      </c>
      <c r="I116" s="1158"/>
    </row>
    <row r="117" spans="1:9" s="688" customFormat="1">
      <c r="A117" s="18">
        <v>114</v>
      </c>
      <c r="B117" s="993" t="s">
        <v>1318</v>
      </c>
      <c r="C117" s="993" t="s">
        <v>34</v>
      </c>
      <c r="D117" s="993" t="s">
        <v>42</v>
      </c>
      <c r="E117" s="1234" t="s">
        <v>562</v>
      </c>
      <c r="F117" s="1233">
        <v>46165</v>
      </c>
      <c r="G117" s="1234" t="s">
        <v>1948</v>
      </c>
      <c r="H117" s="1233" t="s">
        <v>29</v>
      </c>
      <c r="I117" s="1158"/>
    </row>
    <row r="118" spans="1:9" s="688" customFormat="1">
      <c r="A118" s="18">
        <v>115</v>
      </c>
      <c r="B118" s="993" t="s">
        <v>1377</v>
      </c>
      <c r="C118" s="993" t="s">
        <v>1941</v>
      </c>
      <c r="D118" s="993" t="s">
        <v>61</v>
      </c>
      <c r="E118" s="1234" t="s">
        <v>562</v>
      </c>
      <c r="F118" s="1233">
        <v>46166</v>
      </c>
      <c r="G118" s="1234" t="s">
        <v>1855</v>
      </c>
      <c r="H118" s="1233" t="s">
        <v>29</v>
      </c>
      <c r="I118" s="1158"/>
    </row>
    <row r="119" spans="1:9" s="688" customFormat="1">
      <c r="A119" s="18">
        <v>116</v>
      </c>
      <c r="B119" s="993" t="s">
        <v>1376</v>
      </c>
      <c r="C119" s="993" t="s">
        <v>49</v>
      </c>
      <c r="D119" s="993" t="s">
        <v>61</v>
      </c>
      <c r="E119" s="1234" t="s">
        <v>562</v>
      </c>
      <c r="F119" s="1233">
        <v>46166</v>
      </c>
      <c r="G119" s="1234" t="s">
        <v>1855</v>
      </c>
      <c r="H119" s="1233" t="s">
        <v>29</v>
      </c>
      <c r="I119" s="1158"/>
    </row>
    <row r="120" spans="1:9" s="688" customFormat="1">
      <c r="A120" s="18">
        <v>117</v>
      </c>
      <c r="B120" s="993" t="s">
        <v>1375</v>
      </c>
      <c r="C120" s="993" t="s">
        <v>48</v>
      </c>
      <c r="D120" s="993" t="s">
        <v>61</v>
      </c>
      <c r="E120" s="1234" t="s">
        <v>562</v>
      </c>
      <c r="F120" s="1233">
        <v>46166</v>
      </c>
      <c r="G120" s="1234" t="s">
        <v>1855</v>
      </c>
      <c r="H120" s="1233" t="s">
        <v>29</v>
      </c>
      <c r="I120" s="1158"/>
    </row>
    <row r="121" spans="1:9" s="688" customFormat="1">
      <c r="A121" s="18">
        <v>118</v>
      </c>
      <c r="B121" s="993" t="s">
        <v>1373</v>
      </c>
      <c r="C121" s="993" t="s">
        <v>1941</v>
      </c>
      <c r="D121" s="993" t="s">
        <v>61</v>
      </c>
      <c r="E121" s="1234" t="s">
        <v>562</v>
      </c>
      <c r="F121" s="1233">
        <v>46166</v>
      </c>
      <c r="G121" s="1234" t="s">
        <v>1855</v>
      </c>
      <c r="H121" s="1233" t="s">
        <v>29</v>
      </c>
      <c r="I121" s="1158"/>
    </row>
    <row r="122" spans="1:9" s="688" customFormat="1">
      <c r="A122" s="18">
        <v>119</v>
      </c>
      <c r="B122" s="993" t="s">
        <v>1320</v>
      </c>
      <c r="C122" s="993" t="s">
        <v>1911</v>
      </c>
      <c r="D122" s="993" t="s">
        <v>61</v>
      </c>
      <c r="E122" s="1234" t="s">
        <v>562</v>
      </c>
      <c r="F122" s="1233">
        <v>46168</v>
      </c>
      <c r="G122" s="1234" t="s">
        <v>1948</v>
      </c>
      <c r="H122" s="1233" t="s">
        <v>29</v>
      </c>
      <c r="I122" s="1158"/>
    </row>
    <row r="123" spans="1:9" s="688" customFormat="1">
      <c r="A123" s="18">
        <v>120</v>
      </c>
      <c r="B123" s="993" t="s">
        <v>1319</v>
      </c>
      <c r="C123" s="993" t="s">
        <v>2073</v>
      </c>
      <c r="D123" s="993" t="s">
        <v>61</v>
      </c>
      <c r="E123" s="1234" t="s">
        <v>562</v>
      </c>
      <c r="F123" s="1233">
        <v>46175</v>
      </c>
      <c r="G123" s="1234" t="s">
        <v>1948</v>
      </c>
      <c r="H123" s="1233" t="s">
        <v>29</v>
      </c>
      <c r="I123" s="1158"/>
    </row>
    <row r="124" spans="1:9" s="688" customFormat="1">
      <c r="A124" s="18">
        <v>121</v>
      </c>
      <c r="B124" s="993" t="s">
        <v>1366</v>
      </c>
      <c r="C124" s="993" t="s">
        <v>1425</v>
      </c>
      <c r="D124" s="993" t="s">
        <v>61</v>
      </c>
      <c r="E124" s="1234" t="s">
        <v>562</v>
      </c>
      <c r="F124" s="1233">
        <v>46175</v>
      </c>
      <c r="G124" s="1234" t="s">
        <v>1855</v>
      </c>
      <c r="H124" s="1233" t="s">
        <v>29</v>
      </c>
      <c r="I124" s="1158"/>
    </row>
    <row r="125" spans="1:9" s="688" customFormat="1">
      <c r="A125" s="18">
        <v>122</v>
      </c>
      <c r="B125" s="993" t="s">
        <v>1433</v>
      </c>
      <c r="C125" s="993" t="s">
        <v>1427</v>
      </c>
      <c r="D125" s="993" t="s">
        <v>61</v>
      </c>
      <c r="E125" s="1234" t="s">
        <v>562</v>
      </c>
      <c r="F125" s="1233">
        <v>46176</v>
      </c>
      <c r="G125" s="1234" t="s">
        <v>1828</v>
      </c>
      <c r="H125" s="1233" t="s">
        <v>29</v>
      </c>
      <c r="I125" s="1158"/>
    </row>
    <row r="126" spans="1:9" s="688" customFormat="1">
      <c r="A126" s="18">
        <v>123</v>
      </c>
      <c r="B126" s="993" t="s">
        <v>1392</v>
      </c>
      <c r="C126" s="993" t="s">
        <v>1175</v>
      </c>
      <c r="D126" s="993" t="s">
        <v>61</v>
      </c>
      <c r="E126" s="1234" t="s">
        <v>562</v>
      </c>
      <c r="F126" s="1233">
        <v>46176</v>
      </c>
      <c r="G126" s="1234" t="s">
        <v>1828</v>
      </c>
      <c r="H126" s="1233" t="s">
        <v>29</v>
      </c>
      <c r="I126" s="1158"/>
    </row>
    <row r="127" spans="1:9" s="688" customFormat="1">
      <c r="A127" s="18">
        <v>124</v>
      </c>
      <c r="B127" s="1234" t="s">
        <v>1385</v>
      </c>
      <c r="C127" s="1234" t="s">
        <v>32</v>
      </c>
      <c r="D127" s="833" t="s">
        <v>61</v>
      </c>
      <c r="E127" s="1234" t="s">
        <v>562</v>
      </c>
      <c r="F127" s="1233">
        <v>46177</v>
      </c>
      <c r="G127" s="1234" t="s">
        <v>1855</v>
      </c>
      <c r="H127" s="1233" t="s">
        <v>29</v>
      </c>
      <c r="I127" s="1158"/>
    </row>
    <row r="128" spans="1:9" s="688" customFormat="1">
      <c r="A128" s="18">
        <v>125</v>
      </c>
      <c r="B128" s="993" t="s">
        <v>1383</v>
      </c>
      <c r="C128" s="993" t="s">
        <v>1423</v>
      </c>
      <c r="D128" s="993" t="s">
        <v>42</v>
      </c>
      <c r="E128" s="1234" t="s">
        <v>562</v>
      </c>
      <c r="F128" s="1233">
        <v>46177</v>
      </c>
      <c r="G128" s="1234" t="s">
        <v>1855</v>
      </c>
      <c r="H128" s="1233" t="s">
        <v>29</v>
      </c>
      <c r="I128" s="1158"/>
    </row>
    <row r="129" spans="1:9" s="688" customFormat="1">
      <c r="A129" s="18">
        <v>126</v>
      </c>
      <c r="B129" s="993" t="s">
        <v>1396</v>
      </c>
      <c r="C129" s="993" t="s">
        <v>34</v>
      </c>
      <c r="D129" s="993" t="s">
        <v>42</v>
      </c>
      <c r="E129" s="1234" t="s">
        <v>562</v>
      </c>
      <c r="F129" s="1233">
        <v>46182</v>
      </c>
      <c r="G129" s="1234" t="s">
        <v>1828</v>
      </c>
      <c r="H129" s="1233" t="s">
        <v>29</v>
      </c>
      <c r="I129" s="1158"/>
    </row>
    <row r="130" spans="1:9" s="688" customFormat="1">
      <c r="A130" s="18">
        <v>127</v>
      </c>
      <c r="B130" s="993" t="s">
        <v>1395</v>
      </c>
      <c r="C130" s="993" t="s">
        <v>1181</v>
      </c>
      <c r="D130" s="993" t="s">
        <v>42</v>
      </c>
      <c r="E130" s="1234" t="s">
        <v>562</v>
      </c>
      <c r="F130" s="1233">
        <v>46182</v>
      </c>
      <c r="G130" s="1234" t="s">
        <v>1828</v>
      </c>
      <c r="H130" s="1233" t="s">
        <v>29</v>
      </c>
      <c r="I130" s="1158"/>
    </row>
    <row r="131" spans="1:9" s="688" customFormat="1">
      <c r="A131" s="18">
        <v>128</v>
      </c>
      <c r="B131" s="993" t="s">
        <v>1397</v>
      </c>
      <c r="C131" s="993" t="s">
        <v>32</v>
      </c>
      <c r="D131" s="993" t="s">
        <v>42</v>
      </c>
      <c r="E131" s="1234" t="s">
        <v>562</v>
      </c>
      <c r="F131" s="1233">
        <v>46185</v>
      </c>
      <c r="G131" s="1234" t="s">
        <v>1828</v>
      </c>
      <c r="H131" s="1233" t="s">
        <v>29</v>
      </c>
      <c r="I131" s="1158"/>
    </row>
    <row r="132" spans="1:9" s="688" customFormat="1">
      <c r="A132" s="18">
        <v>129</v>
      </c>
      <c r="B132" s="993" t="s">
        <v>1289</v>
      </c>
      <c r="C132" s="993" t="s">
        <v>2154</v>
      </c>
      <c r="D132" s="993" t="s">
        <v>61</v>
      </c>
      <c r="E132" s="1234" t="s">
        <v>562</v>
      </c>
      <c r="F132" s="1233">
        <v>46186</v>
      </c>
      <c r="G132" s="1234" t="s">
        <v>41</v>
      </c>
      <c r="H132" s="1233" t="s">
        <v>29</v>
      </c>
      <c r="I132" s="1158"/>
    </row>
    <row r="133" spans="1:9" s="688" customFormat="1">
      <c r="A133" s="18">
        <v>130</v>
      </c>
      <c r="B133" s="993" t="s">
        <v>1248</v>
      </c>
      <c r="C133" s="993" t="s">
        <v>50</v>
      </c>
      <c r="D133" s="993" t="s">
        <v>61</v>
      </c>
      <c r="E133" s="1234" t="s">
        <v>562</v>
      </c>
      <c r="F133" s="1233">
        <v>46186</v>
      </c>
      <c r="G133" s="1234" t="s">
        <v>1636</v>
      </c>
      <c r="H133" s="1233" t="s">
        <v>29</v>
      </c>
      <c r="I133" s="1158"/>
    </row>
    <row r="134" spans="1:9" s="688" customFormat="1">
      <c r="A134" s="1205"/>
      <c r="B134" s="1214"/>
      <c r="C134" s="1136"/>
      <c r="D134" s="1215"/>
      <c r="E134" s="1135"/>
      <c r="F134" s="1138"/>
      <c r="G134" s="1135"/>
      <c r="H134" s="1138"/>
      <c r="I134" s="1216"/>
    </row>
    <row r="135" spans="1:9" s="688" customFormat="1">
      <c r="A135" s="1205"/>
      <c r="B135" s="1214"/>
      <c r="C135" s="1136"/>
      <c r="D135" s="1215"/>
      <c r="E135" s="1135"/>
      <c r="F135" s="1138"/>
      <c r="G135" s="1135"/>
      <c r="H135" s="1138"/>
      <c r="I135" s="1216"/>
    </row>
    <row r="136" spans="1:9">
      <c r="A136" s="835"/>
      <c r="B136" s="1135"/>
      <c r="C136" s="1136"/>
      <c r="D136" s="1136"/>
      <c r="E136" s="1137"/>
      <c r="F136" s="1138"/>
      <c r="G136" s="1139"/>
      <c r="H136" s="1139"/>
      <c r="I136" s="1080"/>
    </row>
    <row r="137" spans="1:9" ht="18.75" customHeight="1">
      <c r="A137" s="1979" t="s">
        <v>1935</v>
      </c>
      <c r="B137" s="1980"/>
      <c r="C137" s="1980"/>
      <c r="D137" s="1980"/>
      <c r="E137" s="1980"/>
      <c r="F137" s="1980"/>
      <c r="G137" s="1980"/>
      <c r="H137" s="1980"/>
      <c r="I137" s="1981"/>
    </row>
    <row r="138" spans="1:9" ht="26.45" customHeight="1">
      <c r="A138" s="755" t="s">
        <v>25</v>
      </c>
      <c r="B138" s="756" t="s">
        <v>551</v>
      </c>
      <c r="C138" s="755" t="s">
        <v>38</v>
      </c>
      <c r="D138" s="756" t="s">
        <v>37</v>
      </c>
      <c r="E138" s="755" t="s">
        <v>83</v>
      </c>
      <c r="F138" s="755" t="s">
        <v>84</v>
      </c>
      <c r="G138" s="755" t="s">
        <v>36</v>
      </c>
      <c r="H138" s="755" t="s">
        <v>35</v>
      </c>
      <c r="I138" s="755" t="s">
        <v>2</v>
      </c>
    </row>
    <row r="139" spans="1:9">
      <c r="A139" s="716"/>
      <c r="B139" s="716"/>
      <c r="C139" s="716"/>
      <c r="D139" s="716"/>
      <c r="E139" s="716"/>
      <c r="F139" s="716"/>
      <c r="G139" s="716"/>
      <c r="H139" s="716">
        <f>COUNTIF(H140:H154,"Completed")</f>
        <v>15</v>
      </c>
      <c r="I139" s="716"/>
    </row>
    <row r="140" spans="1:9" ht="15.75">
      <c r="A140" s="673">
        <v>1</v>
      </c>
      <c r="B140" s="673" t="s">
        <v>198</v>
      </c>
      <c r="C140" s="673" t="s">
        <v>34</v>
      </c>
      <c r="D140" s="673" t="s">
        <v>31</v>
      </c>
      <c r="E140" s="673" t="s">
        <v>562</v>
      </c>
      <c r="F140" s="614">
        <v>45919</v>
      </c>
      <c r="G140" s="615" t="s">
        <v>30</v>
      </c>
      <c r="H140" s="615" t="s">
        <v>33</v>
      </c>
      <c r="I140" s="683"/>
    </row>
    <row r="141" spans="1:9" ht="15.75">
      <c r="A141" s="673">
        <v>2</v>
      </c>
      <c r="B141" s="673" t="s">
        <v>186</v>
      </c>
      <c r="C141" s="673" t="s">
        <v>32</v>
      </c>
      <c r="D141" s="673" t="s">
        <v>31</v>
      </c>
      <c r="E141" s="673" t="s">
        <v>562</v>
      </c>
      <c r="F141" s="614">
        <v>45924</v>
      </c>
      <c r="G141" s="615" t="s">
        <v>30</v>
      </c>
      <c r="H141" s="615" t="s">
        <v>29</v>
      </c>
      <c r="I141" s="683"/>
    </row>
    <row r="142" spans="1:9" ht="15.75">
      <c r="A142" s="673">
        <v>3</v>
      </c>
      <c r="B142" s="673" t="s">
        <v>602</v>
      </c>
      <c r="C142" s="673" t="s">
        <v>603</v>
      </c>
      <c r="D142" s="673" t="s">
        <v>31</v>
      </c>
      <c r="E142" s="673" t="s">
        <v>562</v>
      </c>
      <c r="F142" s="614">
        <v>45972</v>
      </c>
      <c r="G142" s="615" t="s">
        <v>30</v>
      </c>
      <c r="H142" s="615" t="s">
        <v>29</v>
      </c>
      <c r="I142" s="717"/>
    </row>
    <row r="143" spans="1:9">
      <c r="A143" s="673">
        <v>4</v>
      </c>
      <c r="B143" s="673" t="s">
        <v>64</v>
      </c>
      <c r="C143" s="673" t="s">
        <v>586</v>
      </c>
      <c r="D143" s="673" t="s">
        <v>31</v>
      </c>
      <c r="E143" s="673" t="s">
        <v>562</v>
      </c>
      <c r="F143" s="614">
        <v>45983</v>
      </c>
      <c r="G143" s="615" t="s">
        <v>30</v>
      </c>
      <c r="H143" s="615" t="s">
        <v>29</v>
      </c>
      <c r="I143" s="616"/>
    </row>
    <row r="144" spans="1:9">
      <c r="A144" s="673">
        <v>5</v>
      </c>
      <c r="B144" s="673" t="s">
        <v>621</v>
      </c>
      <c r="C144" s="673" t="s">
        <v>582</v>
      </c>
      <c r="D144" s="673" t="s">
        <v>42</v>
      </c>
      <c r="E144" s="673" t="s">
        <v>562</v>
      </c>
      <c r="F144" s="614">
        <v>45991</v>
      </c>
      <c r="G144" s="615" t="s">
        <v>30</v>
      </c>
      <c r="H144" s="615" t="s">
        <v>29</v>
      </c>
      <c r="I144" s="616"/>
    </row>
    <row r="145" spans="1:9">
      <c r="A145" s="673">
        <v>6</v>
      </c>
      <c r="B145" s="673" t="s">
        <v>66</v>
      </c>
      <c r="C145" s="673" t="s">
        <v>586</v>
      </c>
      <c r="D145" s="673" t="s">
        <v>42</v>
      </c>
      <c r="E145" s="673" t="s">
        <v>562</v>
      </c>
      <c r="F145" s="614">
        <v>45998</v>
      </c>
      <c r="G145" s="615" t="s">
        <v>30</v>
      </c>
      <c r="H145" s="615" t="s">
        <v>29</v>
      </c>
      <c r="I145" s="616"/>
    </row>
    <row r="146" spans="1:9">
      <c r="A146" s="673">
        <v>7</v>
      </c>
      <c r="B146" s="673" t="s">
        <v>616</v>
      </c>
      <c r="C146" s="673" t="s">
        <v>582</v>
      </c>
      <c r="D146" s="673" t="s">
        <v>42</v>
      </c>
      <c r="E146" s="673" t="s">
        <v>562</v>
      </c>
      <c r="F146" s="614">
        <v>45998</v>
      </c>
      <c r="G146" s="615" t="s">
        <v>30</v>
      </c>
      <c r="H146" s="615" t="s">
        <v>29</v>
      </c>
      <c r="I146" s="616"/>
    </row>
    <row r="147" spans="1:9">
      <c r="A147" s="673">
        <v>8</v>
      </c>
      <c r="B147" s="673" t="s">
        <v>230</v>
      </c>
      <c r="C147" s="673" t="s">
        <v>582</v>
      </c>
      <c r="D147" s="673" t="s">
        <v>42</v>
      </c>
      <c r="E147" s="673" t="s">
        <v>562</v>
      </c>
      <c r="F147" s="614">
        <v>46000</v>
      </c>
      <c r="G147" s="615" t="s">
        <v>30</v>
      </c>
      <c r="H147" s="615" t="s">
        <v>29</v>
      </c>
      <c r="I147" s="1"/>
    </row>
    <row r="148" spans="1:9">
      <c r="A148" s="673">
        <v>9</v>
      </c>
      <c r="B148" s="673" t="s">
        <v>234</v>
      </c>
      <c r="C148" s="673" t="s">
        <v>32</v>
      </c>
      <c r="D148" s="673" t="s">
        <v>42</v>
      </c>
      <c r="E148" s="673" t="s">
        <v>562</v>
      </c>
      <c r="F148" s="614">
        <v>46002</v>
      </c>
      <c r="G148" s="615" t="s">
        <v>30</v>
      </c>
      <c r="H148" s="615" t="s">
        <v>29</v>
      </c>
      <c r="I148" s="1"/>
    </row>
    <row r="149" spans="1:9">
      <c r="A149" s="673">
        <v>10</v>
      </c>
      <c r="B149" s="673" t="s">
        <v>637</v>
      </c>
      <c r="C149" s="673" t="s">
        <v>591</v>
      </c>
      <c r="D149" s="673" t="s">
        <v>42</v>
      </c>
      <c r="E149" s="673" t="s">
        <v>562</v>
      </c>
      <c r="F149" s="614">
        <v>46010</v>
      </c>
      <c r="G149" s="615" t="s">
        <v>30</v>
      </c>
      <c r="H149" s="615" t="s">
        <v>29</v>
      </c>
      <c r="I149" s="1"/>
    </row>
    <row r="150" spans="1:9">
      <c r="A150" s="673">
        <v>11</v>
      </c>
      <c r="B150" s="673" t="s">
        <v>239</v>
      </c>
      <c r="C150" s="673" t="s">
        <v>591</v>
      </c>
      <c r="D150" s="673" t="s">
        <v>42</v>
      </c>
      <c r="E150" s="673" t="s">
        <v>562</v>
      </c>
      <c r="F150" s="614">
        <v>46019</v>
      </c>
      <c r="G150" s="615" t="s">
        <v>30</v>
      </c>
      <c r="H150" s="615" t="s">
        <v>29</v>
      </c>
      <c r="I150" s="1"/>
    </row>
    <row r="151" spans="1:9">
      <c r="A151" s="673">
        <v>12</v>
      </c>
      <c r="B151" s="799" t="s">
        <v>598</v>
      </c>
      <c r="C151" s="673" t="s">
        <v>32</v>
      </c>
      <c r="D151" s="673" t="s">
        <v>31</v>
      </c>
      <c r="E151" s="673" t="s">
        <v>562</v>
      </c>
      <c r="F151" s="614">
        <v>46027</v>
      </c>
      <c r="G151" s="615" t="s">
        <v>30</v>
      </c>
      <c r="H151" s="615" t="s">
        <v>29</v>
      </c>
      <c r="I151" s="1"/>
    </row>
    <row r="152" spans="1:9">
      <c r="A152" s="673">
        <v>13</v>
      </c>
      <c r="B152" s="687" t="s">
        <v>213</v>
      </c>
      <c r="C152" s="687" t="s">
        <v>53</v>
      </c>
      <c r="D152" s="687" t="s">
        <v>42</v>
      </c>
      <c r="E152" s="673" t="s">
        <v>562</v>
      </c>
      <c r="F152" s="973">
        <v>46138</v>
      </c>
      <c r="G152" s="615" t="s">
        <v>30</v>
      </c>
      <c r="H152" s="615" t="s">
        <v>29</v>
      </c>
      <c r="I152" s="1"/>
    </row>
    <row r="153" spans="1:9">
      <c r="A153" s="673">
        <v>14</v>
      </c>
      <c r="B153" s="1234" t="s">
        <v>224</v>
      </c>
      <c r="C153" s="74" t="s">
        <v>573</v>
      </c>
      <c r="D153" s="1234" t="s">
        <v>42</v>
      </c>
      <c r="E153" s="673" t="s">
        <v>562</v>
      </c>
      <c r="F153" s="1236">
        <v>46147</v>
      </c>
      <c r="G153" s="615" t="s">
        <v>2047</v>
      </c>
      <c r="H153" s="615" t="s">
        <v>29</v>
      </c>
      <c r="I153" s="1"/>
    </row>
    <row r="154" spans="1:9">
      <c r="A154" s="673">
        <v>15</v>
      </c>
      <c r="B154" s="1234" t="s">
        <v>181</v>
      </c>
      <c r="C154" s="1234" t="s">
        <v>53</v>
      </c>
      <c r="D154" s="1234" t="s">
        <v>42</v>
      </c>
      <c r="E154" s="673" t="s">
        <v>562</v>
      </c>
      <c r="F154" s="1236">
        <v>46179</v>
      </c>
      <c r="G154" s="615" t="s">
        <v>30</v>
      </c>
      <c r="H154" s="615" t="s">
        <v>29</v>
      </c>
      <c r="I154" s="1"/>
    </row>
    <row r="155" spans="1:9">
      <c r="A155" s="673"/>
      <c r="B155" s="687"/>
      <c r="C155" s="687"/>
      <c r="D155" s="687"/>
      <c r="E155" s="673"/>
      <c r="F155" s="1236"/>
      <c r="G155" s="615"/>
      <c r="H155" s="615"/>
      <c r="I155" s="1"/>
    </row>
    <row r="156" spans="1:9">
      <c r="A156" s="673"/>
      <c r="B156" s="1234"/>
      <c r="C156" s="1234"/>
      <c r="D156" s="1234"/>
      <c r="E156" s="673"/>
      <c r="F156" s="1236"/>
      <c r="G156" s="615"/>
      <c r="H156" s="615"/>
      <c r="I156" s="1"/>
    </row>
    <row r="157" spans="1:9">
      <c r="A157" s="715"/>
      <c r="B157" s="682"/>
      <c r="C157" s="682"/>
      <c r="D157" s="682"/>
      <c r="E157" s="682"/>
      <c r="F157" s="579"/>
      <c r="G157" s="250"/>
      <c r="H157" s="250"/>
    </row>
    <row r="158" spans="1:9" ht="18.75" customHeight="1">
      <c r="A158" s="1982" t="s">
        <v>1026</v>
      </c>
      <c r="B158" s="1982"/>
      <c r="C158" s="1982"/>
      <c r="D158" s="1982"/>
      <c r="E158" s="1982"/>
      <c r="F158" s="1982"/>
      <c r="G158" s="1982"/>
      <c r="H158" s="1982"/>
      <c r="I158" s="1982"/>
    </row>
    <row r="159" spans="1:9" ht="25.5" customHeight="1">
      <c r="A159" s="755" t="s">
        <v>25</v>
      </c>
      <c r="B159" s="756" t="s">
        <v>551</v>
      </c>
      <c r="C159" s="755" t="s">
        <v>38</v>
      </c>
      <c r="D159" s="756" t="s">
        <v>37</v>
      </c>
      <c r="E159" s="755" t="s">
        <v>83</v>
      </c>
      <c r="F159" s="755" t="s">
        <v>84</v>
      </c>
      <c r="G159" s="755" t="s">
        <v>36</v>
      </c>
      <c r="H159" s="755" t="s">
        <v>35</v>
      </c>
      <c r="I159" s="755" t="s">
        <v>2</v>
      </c>
    </row>
    <row r="160" spans="1:9" ht="18" customHeight="1">
      <c r="A160" s="19"/>
      <c r="B160" s="74"/>
      <c r="C160" s="74"/>
      <c r="D160" s="20"/>
      <c r="E160" s="25"/>
      <c r="F160" s="508"/>
      <c r="G160" s="20"/>
      <c r="H160" s="22">
        <f>COUNTIF(H161:H218,"Completed")</f>
        <v>57</v>
      </c>
      <c r="I160" s="451"/>
    </row>
    <row r="161" spans="1:9" ht="18" customHeight="1">
      <c r="A161" s="18">
        <v>1</v>
      </c>
      <c r="B161" s="18" t="s">
        <v>436</v>
      </c>
      <c r="C161" s="18" t="s">
        <v>437</v>
      </c>
      <c r="D161" s="133" t="s">
        <v>42</v>
      </c>
      <c r="E161" s="18" t="s">
        <v>562</v>
      </c>
      <c r="F161" s="133">
        <v>46000</v>
      </c>
      <c r="G161" s="133" t="s">
        <v>30</v>
      </c>
      <c r="H161" s="20" t="s">
        <v>29</v>
      </c>
      <c r="I161" s="692" t="s">
        <v>554</v>
      </c>
    </row>
    <row r="162" spans="1:9" ht="18" customHeight="1">
      <c r="A162" s="18">
        <v>2</v>
      </c>
      <c r="B162" s="18" t="s">
        <v>443</v>
      </c>
      <c r="C162" s="18" t="s">
        <v>133</v>
      </c>
      <c r="D162" s="133" t="s">
        <v>42</v>
      </c>
      <c r="E162" s="18" t="s">
        <v>562</v>
      </c>
      <c r="F162" s="133">
        <v>46003</v>
      </c>
      <c r="G162" s="133" t="s">
        <v>1070</v>
      </c>
      <c r="H162" s="20" t="s">
        <v>29</v>
      </c>
      <c r="I162" s="692" t="s">
        <v>554</v>
      </c>
    </row>
    <row r="163" spans="1:9" ht="18" customHeight="1">
      <c r="A163" s="18">
        <v>3</v>
      </c>
      <c r="B163" s="18" t="s">
        <v>300</v>
      </c>
      <c r="C163" s="18" t="s">
        <v>301</v>
      </c>
      <c r="D163" s="133" t="s">
        <v>42</v>
      </c>
      <c r="E163" s="18" t="s">
        <v>562</v>
      </c>
      <c r="F163" s="133">
        <v>46006</v>
      </c>
      <c r="G163" s="133" t="s">
        <v>1186</v>
      </c>
      <c r="H163" s="20" t="s">
        <v>29</v>
      </c>
      <c r="I163" s="692" t="s">
        <v>554</v>
      </c>
    </row>
    <row r="164" spans="1:9" ht="18" customHeight="1">
      <c r="A164" s="18">
        <v>4</v>
      </c>
      <c r="B164" s="18" t="s">
        <v>411</v>
      </c>
      <c r="C164" s="18" t="s">
        <v>153</v>
      </c>
      <c r="D164" s="133" t="s">
        <v>42</v>
      </c>
      <c r="E164" s="18" t="s">
        <v>562</v>
      </c>
      <c r="F164" s="133">
        <f>F163+4</f>
        <v>46010</v>
      </c>
      <c r="G164" s="133" t="s">
        <v>1070</v>
      </c>
      <c r="H164" s="20" t="s">
        <v>29</v>
      </c>
      <c r="I164" s="692" t="s">
        <v>554</v>
      </c>
    </row>
    <row r="165" spans="1:9" ht="18" customHeight="1">
      <c r="A165" s="18">
        <v>5</v>
      </c>
      <c r="B165" s="18" t="s">
        <v>314</v>
      </c>
      <c r="C165" s="18" t="s">
        <v>153</v>
      </c>
      <c r="D165" s="133" t="s">
        <v>42</v>
      </c>
      <c r="E165" s="18" t="s">
        <v>562</v>
      </c>
      <c r="F165" s="133">
        <f>F164+2</f>
        <v>46012</v>
      </c>
      <c r="G165" s="133" t="s">
        <v>1186</v>
      </c>
      <c r="H165" s="20" t="s">
        <v>29</v>
      </c>
      <c r="I165" s="692" t="s">
        <v>554</v>
      </c>
    </row>
    <row r="166" spans="1:9" ht="18" customHeight="1">
      <c r="A166" s="18">
        <v>6</v>
      </c>
      <c r="B166" s="18" t="s">
        <v>430</v>
      </c>
      <c r="C166" s="18" t="s">
        <v>301</v>
      </c>
      <c r="D166" s="133" t="s">
        <v>42</v>
      </c>
      <c r="E166" s="18" t="s">
        <v>562</v>
      </c>
      <c r="F166" s="133">
        <v>46013</v>
      </c>
      <c r="G166" s="133" t="s">
        <v>1070</v>
      </c>
      <c r="H166" s="20" t="s">
        <v>29</v>
      </c>
      <c r="I166" s="692" t="s">
        <v>554</v>
      </c>
    </row>
    <row r="167" spans="1:9" ht="18" customHeight="1">
      <c r="A167" s="18">
        <v>7</v>
      </c>
      <c r="B167" s="18" t="s">
        <v>310</v>
      </c>
      <c r="C167" s="18" t="s">
        <v>34</v>
      </c>
      <c r="D167" s="133" t="s">
        <v>42</v>
      </c>
      <c r="E167" s="18" t="s">
        <v>562</v>
      </c>
      <c r="F167" s="133">
        <v>46014</v>
      </c>
      <c r="G167" s="133" t="s">
        <v>1073</v>
      </c>
      <c r="H167" s="20" t="s">
        <v>29</v>
      </c>
      <c r="I167" s="692" t="s">
        <v>554</v>
      </c>
    </row>
    <row r="168" spans="1:9" ht="18" customHeight="1">
      <c r="A168" s="18">
        <v>8</v>
      </c>
      <c r="B168" s="18" t="s">
        <v>416</v>
      </c>
      <c r="C168" s="18" t="s">
        <v>50</v>
      </c>
      <c r="D168" s="133" t="s">
        <v>42</v>
      </c>
      <c r="E168" s="18" t="s">
        <v>562</v>
      </c>
      <c r="F168" s="133">
        <v>46019</v>
      </c>
      <c r="G168" s="133" t="s">
        <v>30</v>
      </c>
      <c r="H168" s="20" t="s">
        <v>29</v>
      </c>
      <c r="I168" s="692" t="s">
        <v>554</v>
      </c>
    </row>
    <row r="169" spans="1:9" ht="18" customHeight="1">
      <c r="A169" s="18">
        <v>9</v>
      </c>
      <c r="B169" s="18" t="s">
        <v>46</v>
      </c>
      <c r="C169" s="18" t="s">
        <v>1175</v>
      </c>
      <c r="D169" s="133" t="s">
        <v>42</v>
      </c>
      <c r="E169" s="18" t="s">
        <v>562</v>
      </c>
      <c r="F169" s="133">
        <v>46027</v>
      </c>
      <c r="G169" s="133" t="s">
        <v>1186</v>
      </c>
      <c r="H169" s="20" t="s">
        <v>29</v>
      </c>
      <c r="I169" s="692" t="s">
        <v>554</v>
      </c>
    </row>
    <row r="170" spans="1:9" ht="18" customHeight="1">
      <c r="A170" s="18">
        <v>10</v>
      </c>
      <c r="B170" s="18" t="s">
        <v>71</v>
      </c>
      <c r="C170" s="18" t="s">
        <v>1181</v>
      </c>
      <c r="D170" s="133" t="s">
        <v>42</v>
      </c>
      <c r="E170" s="18" t="s">
        <v>562</v>
      </c>
      <c r="F170" s="133">
        <v>46028</v>
      </c>
      <c r="G170" s="133" t="s">
        <v>30</v>
      </c>
      <c r="H170" s="20" t="s">
        <v>29</v>
      </c>
      <c r="I170" s="692" t="s">
        <v>554</v>
      </c>
    </row>
    <row r="171" spans="1:9" ht="18" customHeight="1">
      <c r="A171" s="18">
        <v>11</v>
      </c>
      <c r="B171" s="18" t="s">
        <v>393</v>
      </c>
      <c r="C171" s="687" t="s">
        <v>1175</v>
      </c>
      <c r="D171" s="692" t="s">
        <v>42</v>
      </c>
      <c r="E171" s="18" t="s">
        <v>562</v>
      </c>
      <c r="F171" s="133">
        <v>46037</v>
      </c>
      <c r="G171" s="133" t="s">
        <v>1638</v>
      </c>
      <c r="H171" s="20" t="s">
        <v>29</v>
      </c>
      <c r="I171" s="692" t="s">
        <v>554</v>
      </c>
    </row>
    <row r="172" spans="1:9" ht="18" customHeight="1">
      <c r="A172" s="18">
        <v>12</v>
      </c>
      <c r="B172" s="18" t="s">
        <v>452</v>
      </c>
      <c r="C172" s="18" t="s">
        <v>48</v>
      </c>
      <c r="D172" s="133" t="s">
        <v>61</v>
      </c>
      <c r="E172" s="18" t="s">
        <v>562</v>
      </c>
      <c r="F172" s="133">
        <v>46030</v>
      </c>
      <c r="G172" s="133" t="s">
        <v>1639</v>
      </c>
      <c r="H172" s="20" t="s">
        <v>29</v>
      </c>
      <c r="I172" s="692" t="s">
        <v>554</v>
      </c>
    </row>
    <row r="173" spans="1:9" ht="18" customHeight="1">
      <c r="A173" s="18">
        <v>13</v>
      </c>
      <c r="B173" s="18" t="s">
        <v>421</v>
      </c>
      <c r="C173" s="18" t="s">
        <v>34</v>
      </c>
      <c r="D173" s="133" t="s">
        <v>42</v>
      </c>
      <c r="E173" s="18" t="s">
        <v>562</v>
      </c>
      <c r="F173" s="133">
        <v>46031</v>
      </c>
      <c r="G173" s="133" t="s">
        <v>30</v>
      </c>
      <c r="H173" s="20" t="s">
        <v>29</v>
      </c>
      <c r="I173" s="692" t="s">
        <v>554</v>
      </c>
    </row>
    <row r="174" spans="1:9" ht="18" customHeight="1">
      <c r="A174" s="18">
        <v>14</v>
      </c>
      <c r="B174" s="18" t="s">
        <v>72</v>
      </c>
      <c r="C174" s="18" t="s">
        <v>39</v>
      </c>
      <c r="D174" s="133" t="s">
        <v>61</v>
      </c>
      <c r="E174" s="18" t="s">
        <v>562</v>
      </c>
      <c r="F174" s="133">
        <v>46031</v>
      </c>
      <c r="G174" s="133" t="s">
        <v>30</v>
      </c>
      <c r="H174" s="20" t="s">
        <v>29</v>
      </c>
      <c r="I174" s="692" t="s">
        <v>554</v>
      </c>
    </row>
    <row r="175" spans="1:9" ht="18" customHeight="1">
      <c r="A175" s="18">
        <v>15</v>
      </c>
      <c r="B175" s="18" t="s">
        <v>393</v>
      </c>
      <c r="C175" s="18" t="s">
        <v>1175</v>
      </c>
      <c r="D175" s="133" t="s">
        <v>42</v>
      </c>
      <c r="E175" s="18" t="s">
        <v>562</v>
      </c>
      <c r="F175" s="133">
        <v>46045</v>
      </c>
      <c r="G175" s="133" t="s">
        <v>30</v>
      </c>
      <c r="H175" s="20" t="s">
        <v>29</v>
      </c>
      <c r="I175" s="692" t="s">
        <v>1839</v>
      </c>
    </row>
    <row r="176" spans="1:9" ht="18" customHeight="1">
      <c r="A176" s="18">
        <v>16</v>
      </c>
      <c r="B176" s="18" t="s">
        <v>54</v>
      </c>
      <c r="C176" s="18" t="s">
        <v>39</v>
      </c>
      <c r="D176" s="133" t="s">
        <v>42</v>
      </c>
      <c r="E176" s="18" t="s">
        <v>562</v>
      </c>
      <c r="F176" s="133">
        <v>46045</v>
      </c>
      <c r="G176" s="133" t="s">
        <v>30</v>
      </c>
      <c r="H176" s="20" t="s">
        <v>29</v>
      </c>
      <c r="I176" s="692" t="s">
        <v>1839</v>
      </c>
    </row>
    <row r="177" spans="1:9" ht="18" customHeight="1">
      <c r="A177" s="18">
        <v>17</v>
      </c>
      <c r="B177" s="18" t="s">
        <v>296</v>
      </c>
      <c r="C177" s="18" t="s">
        <v>32</v>
      </c>
      <c r="D177" s="133" t="s">
        <v>42</v>
      </c>
      <c r="E177" s="18" t="s">
        <v>562</v>
      </c>
      <c r="F177" s="133">
        <v>46047</v>
      </c>
      <c r="G177" s="133" t="s">
        <v>1637</v>
      </c>
      <c r="H177" s="20" t="s">
        <v>29</v>
      </c>
      <c r="I177" s="692" t="s">
        <v>554</v>
      </c>
    </row>
    <row r="178" spans="1:9" ht="18" customHeight="1">
      <c r="A178" s="18">
        <v>18</v>
      </c>
      <c r="B178" s="18" t="s">
        <v>58</v>
      </c>
      <c r="C178" s="18" t="s">
        <v>57</v>
      </c>
      <c r="D178" s="133" t="s">
        <v>42</v>
      </c>
      <c r="E178" s="18" t="s">
        <v>562</v>
      </c>
      <c r="F178" s="133">
        <v>46047</v>
      </c>
      <c r="G178" s="133" t="s">
        <v>1637</v>
      </c>
      <c r="H178" s="20" t="s">
        <v>29</v>
      </c>
      <c r="I178" s="692" t="s">
        <v>554</v>
      </c>
    </row>
    <row r="179" spans="1:9" ht="18" customHeight="1">
      <c r="A179" s="18">
        <v>19</v>
      </c>
      <c r="B179" s="18" t="s">
        <v>803</v>
      </c>
      <c r="C179" s="18" t="s">
        <v>48</v>
      </c>
      <c r="D179" s="133" t="s">
        <v>61</v>
      </c>
      <c r="E179" s="18" t="s">
        <v>562</v>
      </c>
      <c r="F179" s="133">
        <v>46051</v>
      </c>
      <c r="G179" s="133" t="s">
        <v>1637</v>
      </c>
      <c r="H179" s="20" t="s">
        <v>29</v>
      </c>
      <c r="I179" s="692" t="s">
        <v>1839</v>
      </c>
    </row>
    <row r="180" spans="1:9" ht="18" customHeight="1">
      <c r="A180" s="18">
        <v>20</v>
      </c>
      <c r="B180" s="18" t="s">
        <v>799</v>
      </c>
      <c r="C180" s="18" t="s">
        <v>34</v>
      </c>
      <c r="D180" s="133" t="s">
        <v>61</v>
      </c>
      <c r="E180" s="18" t="s">
        <v>562</v>
      </c>
      <c r="F180" s="133">
        <v>46054</v>
      </c>
      <c r="G180" s="133" t="s">
        <v>1637</v>
      </c>
      <c r="H180" s="20" t="s">
        <v>29</v>
      </c>
      <c r="I180" s="692" t="s">
        <v>1839</v>
      </c>
    </row>
    <row r="181" spans="1:9" ht="18" customHeight="1">
      <c r="A181" s="18">
        <v>21</v>
      </c>
      <c r="B181" s="18" t="s">
        <v>795</v>
      </c>
      <c r="C181" s="18" t="s">
        <v>34</v>
      </c>
      <c r="D181" s="133" t="s">
        <v>61</v>
      </c>
      <c r="E181" s="18" t="s">
        <v>562</v>
      </c>
      <c r="F181" s="133">
        <v>46058</v>
      </c>
      <c r="G181" s="133" t="s">
        <v>1637</v>
      </c>
      <c r="H181" s="20" t="s">
        <v>29</v>
      </c>
      <c r="I181" s="692" t="s">
        <v>1839</v>
      </c>
    </row>
    <row r="182" spans="1:9" ht="18" customHeight="1">
      <c r="A182" s="18">
        <v>22</v>
      </c>
      <c r="B182" s="18" t="s">
        <v>364</v>
      </c>
      <c r="C182" s="18" t="s">
        <v>1181</v>
      </c>
      <c r="D182" s="133" t="s">
        <v>61</v>
      </c>
      <c r="E182" s="18" t="s">
        <v>562</v>
      </c>
      <c r="F182" s="133">
        <v>46062</v>
      </c>
      <c r="G182" s="133" t="s">
        <v>1637</v>
      </c>
      <c r="H182" s="20" t="s">
        <v>29</v>
      </c>
      <c r="I182" s="692" t="s">
        <v>1839</v>
      </c>
    </row>
    <row r="183" spans="1:9" ht="18" customHeight="1">
      <c r="A183" s="18">
        <v>23</v>
      </c>
      <c r="B183" s="18" t="s">
        <v>364</v>
      </c>
      <c r="C183" s="18" t="s">
        <v>344</v>
      </c>
      <c r="D183" s="133" t="s">
        <v>42</v>
      </c>
      <c r="E183" s="18" t="s">
        <v>562</v>
      </c>
      <c r="F183" s="133">
        <v>46062</v>
      </c>
      <c r="G183" s="133" t="s">
        <v>30</v>
      </c>
      <c r="H183" s="20" t="s">
        <v>29</v>
      </c>
      <c r="I183" s="692" t="s">
        <v>554</v>
      </c>
    </row>
    <row r="184" spans="1:9" ht="18" customHeight="1">
      <c r="A184" s="18">
        <v>24</v>
      </c>
      <c r="B184" s="18" t="s">
        <v>371</v>
      </c>
      <c r="C184" s="18" t="s">
        <v>1181</v>
      </c>
      <c r="D184" s="133" t="s">
        <v>42</v>
      </c>
      <c r="E184" s="18" t="s">
        <v>562</v>
      </c>
      <c r="F184" s="133">
        <v>46062</v>
      </c>
      <c r="G184" s="133" t="s">
        <v>30</v>
      </c>
      <c r="H184" s="20" t="s">
        <v>29</v>
      </c>
      <c r="I184" s="692" t="s">
        <v>554</v>
      </c>
    </row>
    <row r="185" spans="1:9" ht="18" customHeight="1">
      <c r="A185" s="18">
        <v>25</v>
      </c>
      <c r="B185" s="18" t="s">
        <v>704</v>
      </c>
      <c r="C185" s="18" t="s">
        <v>53</v>
      </c>
      <c r="D185" s="133" t="s">
        <v>61</v>
      </c>
      <c r="E185" s="18" t="s">
        <v>562</v>
      </c>
      <c r="F185" s="133">
        <v>46063</v>
      </c>
      <c r="G185" s="133" t="s">
        <v>30</v>
      </c>
      <c r="H185" s="20" t="s">
        <v>29</v>
      </c>
      <c r="I185" s="692" t="s">
        <v>1839</v>
      </c>
    </row>
    <row r="186" spans="1:9" ht="18" customHeight="1">
      <c r="A186" s="18">
        <v>26</v>
      </c>
      <c r="B186" s="18" t="s">
        <v>71</v>
      </c>
      <c r="C186" s="18" t="s">
        <v>50</v>
      </c>
      <c r="D186" s="133" t="s">
        <v>42</v>
      </c>
      <c r="E186" s="18" t="s">
        <v>562</v>
      </c>
      <c r="F186" s="133">
        <v>46063</v>
      </c>
      <c r="G186" s="133" t="s">
        <v>30</v>
      </c>
      <c r="H186" s="20" t="s">
        <v>29</v>
      </c>
      <c r="I186" s="692" t="s">
        <v>1839</v>
      </c>
    </row>
    <row r="187" spans="1:9" ht="18" customHeight="1">
      <c r="A187" s="18">
        <v>27</v>
      </c>
      <c r="B187" s="18" t="s">
        <v>376</v>
      </c>
      <c r="C187" s="18" t="s">
        <v>34</v>
      </c>
      <c r="D187" s="133" t="s">
        <v>61</v>
      </c>
      <c r="E187" s="18" t="s">
        <v>562</v>
      </c>
      <c r="F187" s="133">
        <v>46077</v>
      </c>
      <c r="G187" s="133" t="s">
        <v>1637</v>
      </c>
      <c r="H187" s="20" t="s">
        <v>29</v>
      </c>
      <c r="I187" s="692" t="s">
        <v>1839</v>
      </c>
    </row>
    <row r="188" spans="1:9" ht="18" customHeight="1">
      <c r="A188" s="18">
        <v>28</v>
      </c>
      <c r="B188" s="18" t="s">
        <v>1853</v>
      </c>
      <c r="C188" s="18" t="s">
        <v>49</v>
      </c>
      <c r="D188" s="133" t="s">
        <v>61</v>
      </c>
      <c r="E188" s="18" t="s">
        <v>562</v>
      </c>
      <c r="F188" s="133">
        <v>46080</v>
      </c>
      <c r="G188" s="133" t="s">
        <v>30</v>
      </c>
      <c r="H188" s="20" t="s">
        <v>29</v>
      </c>
      <c r="I188" s="692" t="s">
        <v>1839</v>
      </c>
    </row>
    <row r="189" spans="1:9" ht="18" customHeight="1">
      <c r="A189" s="18">
        <v>29</v>
      </c>
      <c r="B189" s="18" t="s">
        <v>73</v>
      </c>
      <c r="C189" s="18" t="s">
        <v>50</v>
      </c>
      <c r="D189" s="133" t="s">
        <v>42</v>
      </c>
      <c r="E189" s="18" t="s">
        <v>562</v>
      </c>
      <c r="F189" s="133">
        <v>46080</v>
      </c>
      <c r="G189" s="133" t="s">
        <v>30</v>
      </c>
      <c r="H189" s="20" t="s">
        <v>29</v>
      </c>
      <c r="I189" s="692" t="s">
        <v>1839</v>
      </c>
    </row>
    <row r="190" spans="1:9" ht="18" customHeight="1">
      <c r="A190" s="18">
        <v>30</v>
      </c>
      <c r="B190" s="18" t="s">
        <v>699</v>
      </c>
      <c r="C190" s="18" t="s">
        <v>34</v>
      </c>
      <c r="D190" s="133" t="s">
        <v>61</v>
      </c>
      <c r="E190" s="18" t="s">
        <v>562</v>
      </c>
      <c r="F190" s="133">
        <v>46081</v>
      </c>
      <c r="G190" s="133" t="s">
        <v>30</v>
      </c>
      <c r="H190" s="20" t="s">
        <v>29</v>
      </c>
      <c r="I190" s="692" t="s">
        <v>1839</v>
      </c>
    </row>
    <row r="191" spans="1:9" ht="18" customHeight="1">
      <c r="A191" s="18">
        <v>31</v>
      </c>
      <c r="B191" s="18" t="s">
        <v>436</v>
      </c>
      <c r="C191" s="18" t="s">
        <v>1181</v>
      </c>
      <c r="D191" s="133" t="s">
        <v>31</v>
      </c>
      <c r="E191" s="18" t="s">
        <v>562</v>
      </c>
      <c r="F191" s="133">
        <v>46083</v>
      </c>
      <c r="G191" s="133" t="s">
        <v>30</v>
      </c>
      <c r="H191" s="20" t="s">
        <v>29</v>
      </c>
      <c r="I191" s="692" t="s">
        <v>1839</v>
      </c>
    </row>
    <row r="192" spans="1:9" ht="18" customHeight="1">
      <c r="A192" s="18">
        <v>32</v>
      </c>
      <c r="B192" s="18" t="s">
        <v>416</v>
      </c>
      <c r="C192" s="18" t="s">
        <v>1181</v>
      </c>
      <c r="D192" s="133" t="s">
        <v>42</v>
      </c>
      <c r="E192" s="18" t="s">
        <v>562</v>
      </c>
      <c r="F192" s="133">
        <v>46083</v>
      </c>
      <c r="G192" s="133" t="s">
        <v>30</v>
      </c>
      <c r="H192" s="20" t="s">
        <v>29</v>
      </c>
      <c r="I192" s="692" t="s">
        <v>1839</v>
      </c>
    </row>
    <row r="193" spans="1:9" ht="18" customHeight="1">
      <c r="A193" s="18">
        <v>33</v>
      </c>
      <c r="B193" s="18" t="s">
        <v>443</v>
      </c>
      <c r="C193" s="18" t="s">
        <v>1181</v>
      </c>
      <c r="D193" s="133" t="s">
        <v>42</v>
      </c>
      <c r="E193" s="18" t="s">
        <v>562</v>
      </c>
      <c r="F193" s="133">
        <v>46084</v>
      </c>
      <c r="G193" s="133" t="s">
        <v>30</v>
      </c>
      <c r="H193" s="20" t="s">
        <v>29</v>
      </c>
      <c r="I193" s="692" t="s">
        <v>1839</v>
      </c>
    </row>
    <row r="194" spans="1:9" ht="18" customHeight="1">
      <c r="A194" s="18">
        <v>34</v>
      </c>
      <c r="B194" s="18" t="s">
        <v>213</v>
      </c>
      <c r="C194" s="18" t="s">
        <v>53</v>
      </c>
      <c r="D194" s="133" t="s">
        <v>42</v>
      </c>
      <c r="E194" s="18" t="s">
        <v>562</v>
      </c>
      <c r="F194" s="133">
        <v>46094</v>
      </c>
      <c r="G194" s="133" t="s">
        <v>1884</v>
      </c>
      <c r="H194" s="20" t="s">
        <v>29</v>
      </c>
      <c r="I194" s="692" t="s">
        <v>554</v>
      </c>
    </row>
    <row r="195" spans="1:9" ht="18" customHeight="1">
      <c r="A195" s="18">
        <v>35</v>
      </c>
      <c r="B195" s="18" t="s">
        <v>66</v>
      </c>
      <c r="C195" s="18" t="s">
        <v>1424</v>
      </c>
      <c r="D195" s="133" t="s">
        <v>42</v>
      </c>
      <c r="E195" s="18" t="s">
        <v>562</v>
      </c>
      <c r="F195" s="133">
        <v>46103</v>
      </c>
      <c r="G195" s="133" t="s">
        <v>1884</v>
      </c>
      <c r="H195" s="20" t="s">
        <v>29</v>
      </c>
      <c r="I195" s="692" t="s">
        <v>554</v>
      </c>
    </row>
    <row r="196" spans="1:9" ht="18" customHeight="1">
      <c r="A196" s="18">
        <v>37</v>
      </c>
      <c r="B196" s="18" t="s">
        <v>371</v>
      </c>
      <c r="C196" s="18" t="s">
        <v>1181</v>
      </c>
      <c r="D196" s="133" t="s">
        <v>61</v>
      </c>
      <c r="E196" s="18" t="s">
        <v>562</v>
      </c>
      <c r="F196" s="133">
        <v>46108</v>
      </c>
      <c r="G196" s="133" t="s">
        <v>1637</v>
      </c>
      <c r="H196" s="20" t="s">
        <v>29</v>
      </c>
      <c r="I196" s="692" t="s">
        <v>1839</v>
      </c>
    </row>
    <row r="197" spans="1:9" ht="18" customHeight="1">
      <c r="A197" s="18">
        <v>36</v>
      </c>
      <c r="B197" s="18" t="s">
        <v>224</v>
      </c>
      <c r="C197" s="18" t="s">
        <v>1424</v>
      </c>
      <c r="D197" s="133" t="s">
        <v>61</v>
      </c>
      <c r="E197" s="18" t="s">
        <v>562</v>
      </c>
      <c r="F197" s="133">
        <v>46112</v>
      </c>
      <c r="G197" s="133" t="s">
        <v>1884</v>
      </c>
      <c r="H197" s="20" t="s">
        <v>29</v>
      </c>
      <c r="I197" s="692" t="s">
        <v>554</v>
      </c>
    </row>
    <row r="198" spans="1:9" ht="18" customHeight="1">
      <c r="A198" s="18">
        <v>38</v>
      </c>
      <c r="B198" s="18" t="s">
        <v>70</v>
      </c>
      <c r="C198" s="18" t="s">
        <v>167</v>
      </c>
      <c r="D198" s="133" t="s">
        <v>61</v>
      </c>
      <c r="E198" s="18" t="s">
        <v>562</v>
      </c>
      <c r="F198" s="133">
        <v>46113</v>
      </c>
      <c r="G198" s="133" t="s">
        <v>1637</v>
      </c>
      <c r="H198" s="20" t="s">
        <v>29</v>
      </c>
      <c r="I198" s="692" t="s">
        <v>1839</v>
      </c>
    </row>
    <row r="199" spans="1:9" ht="18" customHeight="1">
      <c r="A199" s="18">
        <v>39</v>
      </c>
      <c r="B199" s="18" t="s">
        <v>384</v>
      </c>
      <c r="C199" s="18" t="s">
        <v>34</v>
      </c>
      <c r="D199" s="133" t="s">
        <v>42</v>
      </c>
      <c r="E199" s="18" t="s">
        <v>562</v>
      </c>
      <c r="F199" s="133">
        <v>46113</v>
      </c>
      <c r="G199" s="133" t="s">
        <v>1637</v>
      </c>
      <c r="H199" s="20" t="s">
        <v>29</v>
      </c>
      <c r="I199" s="692" t="s">
        <v>1839</v>
      </c>
    </row>
    <row r="200" spans="1:9" ht="18" customHeight="1">
      <c r="A200" s="18">
        <v>40</v>
      </c>
      <c r="B200" s="18" t="s">
        <v>75</v>
      </c>
      <c r="C200" s="18" t="s">
        <v>133</v>
      </c>
      <c r="D200" s="133" t="s">
        <v>61</v>
      </c>
      <c r="E200" s="18" t="s">
        <v>562</v>
      </c>
      <c r="F200" s="133">
        <v>46115</v>
      </c>
      <c r="G200" s="133" t="s">
        <v>41</v>
      </c>
      <c r="H200" s="20" t="s">
        <v>29</v>
      </c>
      <c r="I200" s="692" t="s">
        <v>1839</v>
      </c>
    </row>
    <row r="201" spans="1:9">
      <c r="A201" s="18">
        <v>41</v>
      </c>
      <c r="B201" s="875" t="s">
        <v>1168</v>
      </c>
      <c r="C201" s="875" t="s">
        <v>50</v>
      </c>
      <c r="D201" s="876" t="s">
        <v>42</v>
      </c>
      <c r="E201" s="18" t="s">
        <v>562</v>
      </c>
      <c r="F201" s="133">
        <v>46116</v>
      </c>
      <c r="G201" s="133" t="s">
        <v>30</v>
      </c>
      <c r="H201" s="20" t="s">
        <v>29</v>
      </c>
      <c r="I201" s="692" t="s">
        <v>1839</v>
      </c>
    </row>
    <row r="202" spans="1:9">
      <c r="A202" s="18">
        <v>42</v>
      </c>
      <c r="B202" s="875" t="s">
        <v>1206</v>
      </c>
      <c r="C202" s="875" t="s">
        <v>1181</v>
      </c>
      <c r="D202" s="876" t="s">
        <v>42</v>
      </c>
      <c r="E202" s="18" t="s">
        <v>562</v>
      </c>
      <c r="F202" s="133">
        <v>46116</v>
      </c>
      <c r="G202" s="133" t="s">
        <v>30</v>
      </c>
      <c r="H202" s="20" t="s">
        <v>29</v>
      </c>
      <c r="I202" s="692" t="s">
        <v>1839</v>
      </c>
    </row>
    <row r="203" spans="1:9">
      <c r="A203" s="18">
        <v>43</v>
      </c>
      <c r="B203" s="875" t="s">
        <v>69</v>
      </c>
      <c r="C203" s="875" t="s">
        <v>50</v>
      </c>
      <c r="D203" s="876" t="s">
        <v>61</v>
      </c>
      <c r="E203" s="18" t="s">
        <v>562</v>
      </c>
      <c r="F203" s="133">
        <v>46117</v>
      </c>
      <c r="G203" s="133" t="s">
        <v>30</v>
      </c>
      <c r="H203" s="20" t="s">
        <v>29</v>
      </c>
      <c r="I203" s="876" t="s">
        <v>554</v>
      </c>
    </row>
    <row r="204" spans="1:9">
      <c r="A204" s="18">
        <v>44</v>
      </c>
      <c r="B204" s="875" t="s">
        <v>689</v>
      </c>
      <c r="C204" s="875" t="s">
        <v>50</v>
      </c>
      <c r="D204" s="876" t="s">
        <v>61</v>
      </c>
      <c r="E204" s="18" t="s">
        <v>562</v>
      </c>
      <c r="F204" s="133">
        <v>46117</v>
      </c>
      <c r="G204" s="133" t="s">
        <v>30</v>
      </c>
      <c r="H204" s="20" t="s">
        <v>29</v>
      </c>
      <c r="I204" s="692" t="s">
        <v>1839</v>
      </c>
    </row>
    <row r="205" spans="1:9">
      <c r="A205" s="18">
        <v>45</v>
      </c>
      <c r="B205" s="971" t="s">
        <v>47</v>
      </c>
      <c r="C205" s="971" t="s">
        <v>39</v>
      </c>
      <c r="D205" s="970" t="s">
        <v>61</v>
      </c>
      <c r="E205" s="18" t="s">
        <v>562</v>
      </c>
      <c r="F205" s="133">
        <v>46117</v>
      </c>
      <c r="G205" s="133" t="s">
        <v>30</v>
      </c>
      <c r="H205" s="20" t="s">
        <v>29</v>
      </c>
      <c r="I205" s="970" t="s">
        <v>554</v>
      </c>
    </row>
    <row r="206" spans="1:9">
      <c r="A206" s="18">
        <v>46</v>
      </c>
      <c r="B206" s="971" t="s">
        <v>457</v>
      </c>
      <c r="C206" s="971" t="s">
        <v>133</v>
      </c>
      <c r="D206" s="970" t="s">
        <v>42</v>
      </c>
      <c r="E206" s="18" t="s">
        <v>562</v>
      </c>
      <c r="F206" s="133">
        <v>46126</v>
      </c>
      <c r="G206" s="133" t="s">
        <v>30</v>
      </c>
      <c r="H206" s="20" t="s">
        <v>29</v>
      </c>
      <c r="I206" s="970" t="s">
        <v>1839</v>
      </c>
    </row>
    <row r="207" spans="1:9">
      <c r="A207" s="18">
        <v>47</v>
      </c>
      <c r="B207" s="971" t="s">
        <v>388</v>
      </c>
      <c r="C207" s="971" t="s">
        <v>301</v>
      </c>
      <c r="D207" s="970" t="s">
        <v>42</v>
      </c>
      <c r="E207" s="18" t="s">
        <v>562</v>
      </c>
      <c r="F207" s="133">
        <v>46127</v>
      </c>
      <c r="G207" s="133" t="s">
        <v>30</v>
      </c>
      <c r="H207" s="20" t="s">
        <v>29</v>
      </c>
      <c r="I207" s="970" t="s">
        <v>554</v>
      </c>
    </row>
    <row r="208" spans="1:9">
      <c r="A208" s="18">
        <v>48</v>
      </c>
      <c r="B208" s="971" t="s">
        <v>51</v>
      </c>
      <c r="C208" s="971" t="s">
        <v>257</v>
      </c>
      <c r="D208" s="970" t="s">
        <v>61</v>
      </c>
      <c r="E208" s="18" t="s">
        <v>562</v>
      </c>
      <c r="F208" s="133">
        <v>46132</v>
      </c>
      <c r="G208" s="133" t="s">
        <v>30</v>
      </c>
      <c r="H208" s="20" t="s">
        <v>29</v>
      </c>
      <c r="I208" s="970" t="s">
        <v>1839</v>
      </c>
    </row>
    <row r="209" spans="1:9">
      <c r="A209" s="18">
        <v>49</v>
      </c>
      <c r="B209" s="971" t="s">
        <v>1873</v>
      </c>
      <c r="C209" s="971" t="s">
        <v>153</v>
      </c>
      <c r="D209" s="970" t="s">
        <v>42</v>
      </c>
      <c r="E209" s="18" t="s">
        <v>562</v>
      </c>
      <c r="F209" s="133">
        <v>46138</v>
      </c>
      <c r="G209" s="133" t="s">
        <v>30</v>
      </c>
      <c r="H209" s="20" t="s">
        <v>29</v>
      </c>
      <c r="I209" s="970" t="s">
        <v>1839</v>
      </c>
    </row>
    <row r="210" spans="1:9">
      <c r="A210" s="18">
        <v>50</v>
      </c>
      <c r="B210" s="971" t="s">
        <v>230</v>
      </c>
      <c r="C210" s="971" t="s">
        <v>153</v>
      </c>
      <c r="D210" s="970" t="s">
        <v>42</v>
      </c>
      <c r="E210" s="18" t="s">
        <v>562</v>
      </c>
      <c r="F210" s="133">
        <v>46138</v>
      </c>
      <c r="G210" s="133" t="s">
        <v>41</v>
      </c>
      <c r="H210" s="20" t="s">
        <v>29</v>
      </c>
      <c r="I210" s="970" t="s">
        <v>554</v>
      </c>
    </row>
    <row r="211" spans="1:9">
      <c r="A211" s="18">
        <v>51</v>
      </c>
      <c r="B211" s="971" t="s">
        <v>40</v>
      </c>
      <c r="C211" s="971" t="s">
        <v>257</v>
      </c>
      <c r="D211" s="970" t="s">
        <v>61</v>
      </c>
      <c r="E211" s="18" t="s">
        <v>562</v>
      </c>
      <c r="F211" s="133">
        <v>46137</v>
      </c>
      <c r="G211" s="133" t="s">
        <v>30</v>
      </c>
      <c r="H211" s="20" t="s">
        <v>29</v>
      </c>
      <c r="I211" s="970" t="s">
        <v>1839</v>
      </c>
    </row>
    <row r="212" spans="1:9">
      <c r="A212" s="18">
        <v>52</v>
      </c>
      <c r="B212" s="1235" t="s">
        <v>166</v>
      </c>
      <c r="C212" s="993" t="s">
        <v>1175</v>
      </c>
      <c r="D212" s="1233" t="s">
        <v>42</v>
      </c>
      <c r="E212" s="18" t="s">
        <v>562</v>
      </c>
      <c r="F212" s="133">
        <v>46167</v>
      </c>
      <c r="G212" s="1233" t="s">
        <v>1926</v>
      </c>
      <c r="H212" s="20" t="s">
        <v>29</v>
      </c>
      <c r="I212" s="1233" t="s">
        <v>1839</v>
      </c>
    </row>
    <row r="213" spans="1:9">
      <c r="A213" s="18">
        <v>53</v>
      </c>
      <c r="B213" s="1234" t="s">
        <v>198</v>
      </c>
      <c r="C213" s="993" t="s">
        <v>34</v>
      </c>
      <c r="D213" s="1233" t="s">
        <v>42</v>
      </c>
      <c r="E213" s="18" t="s">
        <v>562</v>
      </c>
      <c r="F213" s="133">
        <v>46175</v>
      </c>
      <c r="G213" s="1233" t="s">
        <v>1926</v>
      </c>
      <c r="H213" s="20" t="s">
        <v>29</v>
      </c>
      <c r="I213" s="1233" t="s">
        <v>554</v>
      </c>
    </row>
    <row r="214" spans="1:9">
      <c r="A214" s="18">
        <v>54</v>
      </c>
      <c r="B214" s="1234" t="s">
        <v>403</v>
      </c>
      <c r="C214" s="993" t="s">
        <v>34</v>
      </c>
      <c r="D214" s="1233" t="s">
        <v>42</v>
      </c>
      <c r="E214" s="18" t="s">
        <v>562</v>
      </c>
      <c r="F214" s="133">
        <v>46179</v>
      </c>
      <c r="G214" s="133" t="s">
        <v>30</v>
      </c>
      <c r="H214" s="20" t="s">
        <v>29</v>
      </c>
      <c r="I214" s="1233" t="s">
        <v>554</v>
      </c>
    </row>
    <row r="215" spans="1:9">
      <c r="A215" s="18">
        <v>55</v>
      </c>
      <c r="B215" s="1237" t="s">
        <v>399</v>
      </c>
      <c r="C215" s="1234" t="s">
        <v>48</v>
      </c>
      <c r="D215" s="1233" t="s">
        <v>42</v>
      </c>
      <c r="E215" s="18" t="s">
        <v>562</v>
      </c>
      <c r="F215" s="133">
        <v>46179</v>
      </c>
      <c r="G215" s="133" t="s">
        <v>30</v>
      </c>
      <c r="H215" s="20" t="s">
        <v>29</v>
      </c>
      <c r="I215" s="1233" t="s">
        <v>554</v>
      </c>
    </row>
    <row r="216" spans="1:9">
      <c r="A216" s="18">
        <v>56</v>
      </c>
      <c r="B216" s="1234" t="s">
        <v>65</v>
      </c>
      <c r="C216" s="993" t="s">
        <v>1424</v>
      </c>
      <c r="D216" s="1233" t="s">
        <v>42</v>
      </c>
      <c r="E216" s="18" t="s">
        <v>562</v>
      </c>
      <c r="F216" s="133">
        <v>46184</v>
      </c>
      <c r="G216" s="1233" t="s">
        <v>2047</v>
      </c>
      <c r="H216" s="20" t="s">
        <v>29</v>
      </c>
      <c r="I216" s="1233" t="s">
        <v>554</v>
      </c>
    </row>
    <row r="217" spans="1:9">
      <c r="A217" s="18">
        <v>57</v>
      </c>
      <c r="B217" s="1234" t="s">
        <v>203</v>
      </c>
      <c r="C217" s="993" t="s">
        <v>34</v>
      </c>
      <c r="D217" s="1233" t="s">
        <v>42</v>
      </c>
      <c r="E217" s="18" t="s">
        <v>562</v>
      </c>
      <c r="F217" s="133">
        <v>46184</v>
      </c>
      <c r="G217" s="1233" t="s">
        <v>2047</v>
      </c>
      <c r="H217" s="20" t="s">
        <v>29</v>
      </c>
      <c r="I217" s="1233" t="s">
        <v>554</v>
      </c>
    </row>
  </sheetData>
  <autoFilter ref="A2:I101"/>
  <mergeCells count="3">
    <mergeCell ref="A1:I1"/>
    <mergeCell ref="A137:I137"/>
    <mergeCell ref="A158:I158"/>
  </mergeCells>
  <phoneticPr fontId="65" type="noConversion"/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8" operator="containsText" id="{8363F690-C9CA-41C6-92D3-0491E3134DA4}">
            <xm:f>NOT(ISERROR(SEARCH(#REF!,H161)))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H161 H211:H217</xm:sqref>
        </x14:conditionalFormatting>
        <x14:conditionalFormatting xmlns:xm="http://schemas.microsoft.com/office/excel/2006/main">
          <x14:cfRule type="containsText" priority="38" operator="containsText" id="{B0708429-A52B-4AD5-A479-181F9CF6DC02}">
            <xm:f>NOT(ISERROR(SEARCH(#REF!,H162)))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H162:H189</xm:sqref>
        </x14:conditionalFormatting>
        <x14:conditionalFormatting xmlns:xm="http://schemas.microsoft.com/office/excel/2006/main">
          <x14:cfRule type="containsText" priority="31" operator="containsText" id="{77BBBA0A-7571-4EB4-9BBF-C1128E50AB1E}">
            <xm:f>NOT(ISERROR(SEARCH(#REF!,H190)))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H190</xm:sqref>
        </x14:conditionalFormatting>
        <x14:conditionalFormatting xmlns:xm="http://schemas.microsoft.com/office/excel/2006/main">
          <x14:cfRule type="containsText" priority="20" operator="containsText" id="{D5F75410-FBEC-4C54-ABF1-81658589DC6C}">
            <xm:f>NOT(ISERROR(SEARCH(#REF!,H191)))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H191:H204</xm:sqref>
        </x14:conditionalFormatting>
        <x14:conditionalFormatting xmlns:xm="http://schemas.microsoft.com/office/excel/2006/main">
          <x14:cfRule type="containsText" priority="1343" operator="containsText" id="{7E6A28F6-AEB3-4C34-956C-3DDA5A5FE2AA}">
            <xm:f>NOT(ISERROR(SEARCH(FDN!#REF!,FDN!J215)))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H157</xm:sqref>
        </x14:conditionalFormatting>
        <x14:conditionalFormatting xmlns:xm="http://schemas.microsoft.com/office/excel/2006/main">
          <x14:cfRule type="containsText" priority="10" operator="containsText" id="{8B4F86F2-FB63-41D1-8512-12A6BB95ABB6}">
            <xm:f>NOT(ISERROR(SEARCH(#REF!,H205)))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H205</xm:sqref>
        </x14:conditionalFormatting>
        <x14:conditionalFormatting xmlns:xm="http://schemas.microsoft.com/office/excel/2006/main">
          <x14:cfRule type="containsText" priority="9" operator="containsText" id="{C8B38343-6EDE-438D-9597-3386457BFD6E}">
            <xm:f>NOT(ISERROR(SEARCH(#REF!,H210)))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H210</xm:sqref>
        </x14:conditionalFormatting>
        <x14:conditionalFormatting xmlns:xm="http://schemas.microsoft.com/office/excel/2006/main">
          <x14:cfRule type="containsText" priority="8" operator="containsText" id="{327836B5-6E2F-46DB-A84E-576AB2375670}">
            <xm:f>NOT(ISERROR(SEARCH(#REF!,H207)))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H207</xm:sqref>
        </x14:conditionalFormatting>
        <x14:conditionalFormatting xmlns:xm="http://schemas.microsoft.com/office/excel/2006/main">
          <x14:cfRule type="containsText" priority="7" operator="containsText" id="{C222810A-F6F7-4737-8080-82198A2713EB}">
            <xm:f>NOT(ISERROR(SEARCH(#REF!,H206)))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H206</xm:sqref>
        </x14:conditionalFormatting>
        <x14:conditionalFormatting xmlns:xm="http://schemas.microsoft.com/office/excel/2006/main">
          <x14:cfRule type="containsText" priority="6" operator="containsText" id="{A7B3E7AA-9BBC-462D-93FC-E8EDFB0DA926}">
            <xm:f>NOT(ISERROR(SEARCH(#REF!,H209)))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H209</xm:sqref>
        </x14:conditionalFormatting>
        <x14:conditionalFormatting xmlns:xm="http://schemas.microsoft.com/office/excel/2006/main">
          <x14:cfRule type="containsText" priority="4" operator="containsText" id="{22E455A2-D162-45D1-9E36-088B4C584DBC}">
            <xm:f>NOT(ISERROR(SEARCH(#REF!,H208)))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H208</xm:sqref>
        </x14:conditionalFormatting>
        <x14:conditionalFormatting xmlns:xm="http://schemas.microsoft.com/office/excel/2006/main">
          <x14:cfRule type="containsText" priority="1367" operator="containsText" id="{7E6A28F6-AEB3-4C34-956C-3DDA5A5FE2AA}">
            <xm:f>NOT(ISERROR(SEARCH(FDN!#REF!,FDN!J214)))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H151:H153 H155:H156</xm:sqref>
        </x14:conditionalFormatting>
        <x14:conditionalFormatting xmlns:xm="http://schemas.microsoft.com/office/excel/2006/main">
          <x14:cfRule type="containsText" priority="1373" operator="containsText" id="{7E6A28F6-AEB3-4C34-956C-3DDA5A5FE2AA}">
            <xm:f>NOT(ISERROR(SEARCH(FDN!#REF!,FDN!J186)))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H140:H143</xm:sqref>
        </x14:conditionalFormatting>
        <x14:conditionalFormatting xmlns:xm="http://schemas.microsoft.com/office/excel/2006/main">
          <x14:cfRule type="containsText" priority="1375" operator="containsText" id="{7E6A28F6-AEB3-4C34-956C-3DDA5A5FE2AA}">
            <xm:f>NOT(ISERROR(SEARCH(FDN!#REF!,FDN!J191)))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H144:H150</xm:sqref>
        </x14:conditionalFormatting>
        <x14:conditionalFormatting xmlns:xm="http://schemas.microsoft.com/office/excel/2006/main">
          <x14:cfRule type="containsText" priority="1487" operator="containsText" id="{7E6A28F6-AEB3-4C34-956C-3DDA5A5FE2AA}">
            <xm:f>NOT(ISERROR(SEARCH(FDN!#REF!,FDN!J216)))</xm:f>
            <xm:f>FDN!#REF!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H154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>
      <selection activeCell="J23" sqref="J23"/>
    </sheetView>
  </sheetViews>
  <sheetFormatPr defaultRowHeight="15"/>
  <cols>
    <col min="1" max="1" width="6.28515625" bestFit="1" customWidth="1"/>
    <col min="3" max="3" width="11.28515625" bestFit="1" customWidth="1"/>
    <col min="5" max="5" width="18.7109375" bestFit="1" customWidth="1"/>
    <col min="9" max="9" width="7.5703125" customWidth="1"/>
    <col min="13" max="13" width="18.7109375" bestFit="1" customWidth="1"/>
    <col min="14" max="14" width="8.5703125" bestFit="1" customWidth="1"/>
    <col min="21" max="21" width="15.7109375" bestFit="1" customWidth="1"/>
    <col min="22" max="22" width="10.140625" bestFit="1" customWidth="1"/>
  </cols>
  <sheetData>
    <row r="1" spans="1:6">
      <c r="A1" s="574" t="s">
        <v>85</v>
      </c>
    </row>
    <row r="2" spans="1:6" s="1231" customFormat="1" ht="30">
      <c r="A2" s="966" t="s">
        <v>62</v>
      </c>
      <c r="B2" s="967" t="s">
        <v>551</v>
      </c>
      <c r="C2" s="966" t="s">
        <v>38</v>
      </c>
      <c r="D2" s="967" t="s">
        <v>37</v>
      </c>
      <c r="E2" s="967" t="s">
        <v>2180</v>
      </c>
      <c r="F2" s="967" t="s">
        <v>2</v>
      </c>
    </row>
    <row r="3" spans="1:6">
      <c r="A3" s="34">
        <v>2</v>
      </c>
      <c r="B3" s="969" t="s">
        <v>1180</v>
      </c>
      <c r="C3" s="969" t="s">
        <v>53</v>
      </c>
      <c r="D3" s="965" t="s">
        <v>42</v>
      </c>
      <c r="E3" s="34" t="s">
        <v>1881</v>
      </c>
      <c r="F3" s="1"/>
    </row>
    <row r="4" spans="1:6">
      <c r="A4" s="34">
        <v>37</v>
      </c>
      <c r="B4" s="993" t="s">
        <v>1304</v>
      </c>
      <c r="C4" s="993" t="s">
        <v>2075</v>
      </c>
      <c r="D4" s="993" t="s">
        <v>61</v>
      </c>
      <c r="E4" s="34" t="s">
        <v>1948</v>
      </c>
      <c r="F4" s="1"/>
    </row>
    <row r="5" spans="1:6">
      <c r="A5" s="34">
        <v>9</v>
      </c>
      <c r="B5" s="1234" t="s">
        <v>1202</v>
      </c>
      <c r="C5" s="1234" t="s">
        <v>1929</v>
      </c>
      <c r="D5" s="833" t="s">
        <v>61</v>
      </c>
      <c r="E5" s="1234" t="s">
        <v>1856</v>
      </c>
      <c r="F5" s="1"/>
    </row>
    <row r="6" spans="1:6">
      <c r="A6" s="34">
        <v>21</v>
      </c>
      <c r="B6" s="993" t="s">
        <v>1203</v>
      </c>
      <c r="C6" s="993" t="s">
        <v>1932</v>
      </c>
      <c r="D6" s="993" t="s">
        <v>61</v>
      </c>
      <c r="E6" s="34" t="s">
        <v>1881</v>
      </c>
      <c r="F6" s="1"/>
    </row>
    <row r="7" spans="1:6">
      <c r="A7" s="34">
        <v>17</v>
      </c>
      <c r="B7" s="993" t="s">
        <v>1305</v>
      </c>
      <c r="C7" s="993" t="s">
        <v>1929</v>
      </c>
      <c r="D7" s="993" t="s">
        <v>61</v>
      </c>
      <c r="E7" s="34" t="s">
        <v>1881</v>
      </c>
      <c r="F7" s="1"/>
    </row>
    <row r="8" spans="1:6">
      <c r="A8" s="34">
        <v>14</v>
      </c>
      <c r="B8" s="1234" t="s">
        <v>1306</v>
      </c>
      <c r="C8" s="1234" t="s">
        <v>1932</v>
      </c>
      <c r="D8" s="833" t="s">
        <v>42</v>
      </c>
      <c r="E8" s="34" t="s">
        <v>1881</v>
      </c>
      <c r="F8" s="1"/>
    </row>
    <row r="9" spans="1:6">
      <c r="A9" s="34">
        <v>28</v>
      </c>
      <c r="B9" s="993" t="s">
        <v>1307</v>
      </c>
      <c r="C9" s="993" t="s">
        <v>2074</v>
      </c>
      <c r="D9" s="993" t="s">
        <v>42</v>
      </c>
      <c r="E9" s="34" t="s">
        <v>1881</v>
      </c>
      <c r="F9" s="1"/>
    </row>
    <row r="10" spans="1:6">
      <c r="A10" s="34">
        <v>25</v>
      </c>
      <c r="B10" s="993" t="s">
        <v>1308</v>
      </c>
      <c r="C10" s="993" t="s">
        <v>1181</v>
      </c>
      <c r="D10" s="993" t="s">
        <v>42</v>
      </c>
      <c r="E10" s="34" t="s">
        <v>1881</v>
      </c>
      <c r="F10" s="1"/>
    </row>
    <row r="11" spans="1:6">
      <c r="A11" s="34">
        <v>30</v>
      </c>
      <c r="B11" s="993" t="s">
        <v>1312</v>
      </c>
      <c r="C11" s="993" t="s">
        <v>1911</v>
      </c>
      <c r="D11" s="993" t="s">
        <v>61</v>
      </c>
      <c r="E11" s="34" t="s">
        <v>1958</v>
      </c>
      <c r="F11" s="1"/>
    </row>
    <row r="12" spans="1:6">
      <c r="A12" s="34">
        <v>36</v>
      </c>
      <c r="B12" s="993" t="s">
        <v>1313</v>
      </c>
      <c r="C12" s="993" t="s">
        <v>32</v>
      </c>
      <c r="D12" s="993" t="s">
        <v>61</v>
      </c>
      <c r="E12" s="34" t="s">
        <v>1958</v>
      </c>
      <c r="F12" s="1"/>
    </row>
    <row r="13" spans="1:6">
      <c r="A13" s="34">
        <v>20</v>
      </c>
      <c r="B13" s="993" t="s">
        <v>1314</v>
      </c>
      <c r="C13" s="993" t="s">
        <v>1946</v>
      </c>
      <c r="D13" s="993" t="s">
        <v>61</v>
      </c>
      <c r="E13" s="34" t="s">
        <v>1958</v>
      </c>
      <c r="F13" s="1"/>
    </row>
    <row r="14" spans="1:6">
      <c r="A14" s="34">
        <v>22</v>
      </c>
      <c r="B14" s="993" t="s">
        <v>1315</v>
      </c>
      <c r="C14" s="993" t="s">
        <v>32</v>
      </c>
      <c r="D14" s="993" t="s">
        <v>61</v>
      </c>
      <c r="E14" s="34" t="s">
        <v>1958</v>
      </c>
      <c r="F14" s="1"/>
    </row>
    <row r="15" spans="1:6">
      <c r="A15" s="34">
        <v>40</v>
      </c>
      <c r="B15" s="993" t="s">
        <v>1316</v>
      </c>
      <c r="C15" s="993" t="s">
        <v>48</v>
      </c>
      <c r="D15" s="993" t="s">
        <v>61</v>
      </c>
      <c r="E15" s="34" t="s">
        <v>1958</v>
      </c>
      <c r="F15" s="1"/>
    </row>
    <row r="16" spans="1:6">
      <c r="A16" s="34">
        <v>42</v>
      </c>
      <c r="B16" s="993" t="s">
        <v>1317</v>
      </c>
      <c r="C16" s="993" t="s">
        <v>1423</v>
      </c>
      <c r="D16" s="993" t="s">
        <v>42</v>
      </c>
      <c r="E16" s="34" t="s">
        <v>1948</v>
      </c>
      <c r="F16" s="1"/>
    </row>
    <row r="17" spans="1:6">
      <c r="A17" s="34">
        <v>1</v>
      </c>
      <c r="B17" s="1234" t="s">
        <v>1323</v>
      </c>
      <c r="C17" s="1234" t="s">
        <v>50</v>
      </c>
      <c r="D17" s="833" t="s">
        <v>42</v>
      </c>
      <c r="E17" s="34" t="s">
        <v>1881</v>
      </c>
      <c r="F17" s="1"/>
    </row>
    <row r="18" spans="1:6">
      <c r="A18" s="34">
        <v>5</v>
      </c>
      <c r="B18" s="1234" t="s">
        <v>1328</v>
      </c>
      <c r="C18" s="1234" t="s">
        <v>32</v>
      </c>
      <c r="D18" s="833" t="s">
        <v>61</v>
      </c>
      <c r="E18" s="34" t="s">
        <v>1928</v>
      </c>
      <c r="F18" s="1"/>
    </row>
    <row r="19" spans="1:6">
      <c r="A19" s="34">
        <v>4</v>
      </c>
      <c r="B19" s="1234" t="s">
        <v>1332</v>
      </c>
      <c r="C19" s="1234" t="s">
        <v>1907</v>
      </c>
      <c r="D19" s="833" t="s">
        <v>61</v>
      </c>
      <c r="E19" s="34" t="s">
        <v>1928</v>
      </c>
      <c r="F19" s="1"/>
    </row>
    <row r="20" spans="1:6">
      <c r="A20" s="34">
        <v>6</v>
      </c>
      <c r="B20" s="1234" t="s">
        <v>1333</v>
      </c>
      <c r="C20" s="1234" t="s">
        <v>1932</v>
      </c>
      <c r="D20" s="833" t="s">
        <v>42</v>
      </c>
      <c r="E20" s="34" t="s">
        <v>1928</v>
      </c>
      <c r="F20" s="1"/>
    </row>
    <row r="21" spans="1:6">
      <c r="A21" s="34">
        <v>10</v>
      </c>
      <c r="B21" s="1234" t="s">
        <v>1353</v>
      </c>
      <c r="C21" s="1234" t="s">
        <v>48</v>
      </c>
      <c r="D21" s="833" t="s">
        <v>61</v>
      </c>
      <c r="E21" s="1234" t="s">
        <v>1891</v>
      </c>
      <c r="F21" s="1"/>
    </row>
    <row r="22" spans="1:6">
      <c r="A22" s="34">
        <v>19</v>
      </c>
      <c r="B22" s="993" t="s">
        <v>1378</v>
      </c>
      <c r="C22" s="993" t="s">
        <v>32</v>
      </c>
      <c r="D22" s="993" t="s">
        <v>61</v>
      </c>
      <c r="E22" s="34" t="s">
        <v>1855</v>
      </c>
      <c r="F22" s="1"/>
    </row>
    <row r="23" spans="1:6">
      <c r="A23" s="34">
        <v>11</v>
      </c>
      <c r="B23" s="1234" t="s">
        <v>1380</v>
      </c>
      <c r="C23" s="1234" t="s">
        <v>32</v>
      </c>
      <c r="D23" s="833" t="s">
        <v>61</v>
      </c>
      <c r="E23" s="1234" t="s">
        <v>1855</v>
      </c>
      <c r="F23" s="1"/>
    </row>
    <row r="24" spans="1:6">
      <c r="A24" s="34">
        <v>8</v>
      </c>
      <c r="B24" s="1234" t="s">
        <v>1381</v>
      </c>
      <c r="C24" s="1234" t="s">
        <v>1941</v>
      </c>
      <c r="D24" s="833" t="s">
        <v>42</v>
      </c>
      <c r="E24" s="1234" t="s">
        <v>1855</v>
      </c>
      <c r="F24" s="1"/>
    </row>
    <row r="25" spans="1:6">
      <c r="A25" s="34">
        <v>29</v>
      </c>
      <c r="B25" s="993" t="s">
        <v>1389</v>
      </c>
      <c r="C25" s="993" t="s">
        <v>1427</v>
      </c>
      <c r="D25" s="993" t="s">
        <v>61</v>
      </c>
      <c r="E25" s="34" t="s">
        <v>1928</v>
      </c>
      <c r="F25" s="1"/>
    </row>
    <row r="26" spans="1:6">
      <c r="A26" s="34">
        <v>43</v>
      </c>
      <c r="B26" s="993" t="s">
        <v>1398</v>
      </c>
      <c r="C26" s="993" t="s">
        <v>57</v>
      </c>
      <c r="D26" s="993" t="s">
        <v>42</v>
      </c>
      <c r="E26" s="34" t="s">
        <v>2178</v>
      </c>
      <c r="F26" s="1"/>
    </row>
    <row r="27" spans="1:6">
      <c r="A27" s="34">
        <v>38</v>
      </c>
      <c r="B27" s="993" t="s">
        <v>1410</v>
      </c>
      <c r="C27" s="993" t="s">
        <v>48</v>
      </c>
      <c r="D27" s="993" t="s">
        <v>42</v>
      </c>
      <c r="E27" s="34" t="s">
        <v>1855</v>
      </c>
      <c r="F27" s="1"/>
    </row>
    <row r="28" spans="1:6">
      <c r="A28" s="34">
        <v>32</v>
      </c>
      <c r="B28" s="993" t="s">
        <v>1412</v>
      </c>
      <c r="C28" s="993" t="s">
        <v>43</v>
      </c>
      <c r="D28" s="993" t="s">
        <v>42</v>
      </c>
      <c r="E28" s="34" t="s">
        <v>1888</v>
      </c>
      <c r="F28" s="1"/>
    </row>
    <row r="29" spans="1:6">
      <c r="A29" s="34">
        <v>26</v>
      </c>
      <c r="B29" s="993" t="s">
        <v>1413</v>
      </c>
      <c r="C29" s="993" t="s">
        <v>32</v>
      </c>
      <c r="D29" s="993" t="s">
        <v>42</v>
      </c>
      <c r="E29" s="34" t="s">
        <v>1888</v>
      </c>
      <c r="F29" s="1"/>
    </row>
    <row r="30" spans="1:6">
      <c r="A30" s="34">
        <v>15</v>
      </c>
      <c r="B30" s="1234" t="s">
        <v>1415</v>
      </c>
      <c r="C30" s="1234" t="s">
        <v>48</v>
      </c>
      <c r="D30" s="833" t="s">
        <v>42</v>
      </c>
      <c r="E30" s="34" t="s">
        <v>1888</v>
      </c>
      <c r="F30" s="1"/>
    </row>
    <row r="31" spans="1:6">
      <c r="A31" s="34">
        <v>7</v>
      </c>
      <c r="B31" s="1234" t="s">
        <v>1416</v>
      </c>
      <c r="C31" s="1234" t="s">
        <v>1426</v>
      </c>
      <c r="D31" s="833" t="s">
        <v>42</v>
      </c>
      <c r="E31" s="1232" t="s">
        <v>1888</v>
      </c>
      <c r="F31" s="1"/>
    </row>
    <row r="32" spans="1:6">
      <c r="A32" s="34">
        <v>13</v>
      </c>
      <c r="B32" s="1234" t="s">
        <v>1417</v>
      </c>
      <c r="C32" s="1234" t="s">
        <v>1426</v>
      </c>
      <c r="D32" s="833" t="s">
        <v>61</v>
      </c>
      <c r="E32" s="34" t="s">
        <v>1888</v>
      </c>
      <c r="F32" s="1"/>
    </row>
    <row r="33" spans="1:6">
      <c r="A33" s="34">
        <v>18</v>
      </c>
      <c r="B33" s="993" t="s">
        <v>1418</v>
      </c>
      <c r="C33" s="993" t="s">
        <v>48</v>
      </c>
      <c r="D33" s="993" t="s">
        <v>42</v>
      </c>
      <c r="E33" s="34" t="s">
        <v>1888</v>
      </c>
      <c r="F33" s="1"/>
    </row>
    <row r="34" spans="1:6">
      <c r="A34" s="34">
        <v>24</v>
      </c>
      <c r="B34" s="993" t="s">
        <v>1420</v>
      </c>
      <c r="C34" s="993" t="s">
        <v>34</v>
      </c>
      <c r="D34" s="993" t="s">
        <v>61</v>
      </c>
      <c r="E34" s="34" t="s">
        <v>1888</v>
      </c>
      <c r="F34" s="1"/>
    </row>
    <row r="35" spans="1:6">
      <c r="A35" s="34">
        <v>12</v>
      </c>
      <c r="B35" s="1234" t="s">
        <v>1683</v>
      </c>
      <c r="C35" s="1234" t="s">
        <v>1938</v>
      </c>
      <c r="D35" s="833" t="s">
        <v>61</v>
      </c>
      <c r="E35" s="34" t="s">
        <v>1927</v>
      </c>
      <c r="F35" s="1"/>
    </row>
    <row r="36" spans="1:6">
      <c r="A36" s="34">
        <v>16</v>
      </c>
      <c r="B36" s="1234" t="s">
        <v>1684</v>
      </c>
      <c r="C36" s="1234" t="s">
        <v>1945</v>
      </c>
      <c r="D36" s="833" t="s">
        <v>61</v>
      </c>
      <c r="E36" s="34" t="s">
        <v>1927</v>
      </c>
      <c r="F36" s="1"/>
    </row>
    <row r="37" spans="1:6">
      <c r="A37" s="34">
        <v>33</v>
      </c>
      <c r="B37" s="993" t="s">
        <v>1712</v>
      </c>
      <c r="C37" s="993" t="s">
        <v>48</v>
      </c>
      <c r="D37" s="993" t="s">
        <v>61</v>
      </c>
      <c r="E37" s="34" t="s">
        <v>1927</v>
      </c>
      <c r="F37" s="1"/>
    </row>
    <row r="38" spans="1:6">
      <c r="A38" s="34">
        <v>35</v>
      </c>
      <c r="B38" s="993" t="s">
        <v>1711</v>
      </c>
      <c r="C38" s="993" t="s">
        <v>1175</v>
      </c>
      <c r="D38" s="993" t="s">
        <v>61</v>
      </c>
      <c r="E38" s="34" t="s">
        <v>1927</v>
      </c>
      <c r="F38" s="1"/>
    </row>
    <row r="39" spans="1:6">
      <c r="A39" s="34">
        <v>31</v>
      </c>
      <c r="B39" s="993" t="s">
        <v>1232</v>
      </c>
      <c r="C39" s="993" t="s">
        <v>1181</v>
      </c>
      <c r="D39" s="993" t="s">
        <v>61</v>
      </c>
      <c r="E39" s="34" t="s">
        <v>1927</v>
      </c>
      <c r="F39" s="1"/>
    </row>
    <row r="40" spans="1:6">
      <c r="A40" s="34">
        <v>27</v>
      </c>
      <c r="B40" s="993" t="s">
        <v>1233</v>
      </c>
      <c r="C40" s="993" t="s">
        <v>32</v>
      </c>
      <c r="D40" s="993" t="s">
        <v>61</v>
      </c>
      <c r="E40" s="34" t="s">
        <v>1927</v>
      </c>
      <c r="F40" s="1"/>
    </row>
    <row r="41" spans="1:6">
      <c r="A41" s="34">
        <v>23</v>
      </c>
      <c r="B41" s="993" t="s">
        <v>1237</v>
      </c>
      <c r="C41" s="993" t="s">
        <v>1959</v>
      </c>
      <c r="D41" s="993" t="s">
        <v>61</v>
      </c>
      <c r="E41" s="34" t="s">
        <v>1927</v>
      </c>
      <c r="F41" s="1"/>
    </row>
    <row r="42" spans="1:6">
      <c r="A42" s="34">
        <v>41</v>
      </c>
      <c r="B42" s="993" t="s">
        <v>1271</v>
      </c>
      <c r="C42" s="993" t="s">
        <v>57</v>
      </c>
      <c r="D42" s="993" t="s">
        <v>61</v>
      </c>
      <c r="E42" s="34" t="s">
        <v>2179</v>
      </c>
      <c r="F42" s="1"/>
    </row>
    <row r="43" spans="1:6">
      <c r="A43" s="34">
        <v>34</v>
      </c>
      <c r="B43" s="993" t="s">
        <v>1273</v>
      </c>
      <c r="C43" s="993" t="s">
        <v>2073</v>
      </c>
      <c r="D43" s="993" t="s">
        <v>61</v>
      </c>
      <c r="E43" s="34" t="s">
        <v>2177</v>
      </c>
      <c r="F43" s="1"/>
    </row>
    <row r="44" spans="1:6">
      <c r="A44" s="34">
        <v>3</v>
      </c>
      <c r="B44" s="1234" t="s">
        <v>1193</v>
      </c>
      <c r="C44" s="1234" t="s">
        <v>50</v>
      </c>
      <c r="D44" s="833" t="s">
        <v>61</v>
      </c>
      <c r="E44" s="34" t="s">
        <v>41</v>
      </c>
      <c r="F44" s="1"/>
    </row>
    <row r="45" spans="1:6">
      <c r="A45" s="34">
        <v>39</v>
      </c>
      <c r="B45" s="993" t="s">
        <v>1192</v>
      </c>
      <c r="C45" s="993" t="s">
        <v>32</v>
      </c>
      <c r="D45" s="993" t="s">
        <v>42</v>
      </c>
      <c r="E45" s="34" t="s">
        <v>41</v>
      </c>
      <c r="F45" s="1"/>
    </row>
    <row r="48" spans="1:6">
      <c r="A48" s="574" t="s">
        <v>1935</v>
      </c>
    </row>
    <row r="49" spans="1:6" ht="30">
      <c r="A49" s="966" t="s">
        <v>62</v>
      </c>
      <c r="B49" s="967" t="s">
        <v>551</v>
      </c>
      <c r="C49" s="966" t="s">
        <v>38</v>
      </c>
      <c r="D49" s="967" t="s">
        <v>37</v>
      </c>
      <c r="E49" s="967" t="s">
        <v>2180</v>
      </c>
      <c r="F49" s="967" t="s">
        <v>2</v>
      </c>
    </row>
    <row r="50" spans="1:6">
      <c r="A50" s="34">
        <v>1</v>
      </c>
      <c r="B50" s="74" t="s">
        <v>65</v>
      </c>
      <c r="C50" s="74" t="s">
        <v>573</v>
      </c>
      <c r="D50" s="1234" t="s">
        <v>31</v>
      </c>
      <c r="E50" s="34" t="s">
        <v>1952</v>
      </c>
      <c r="F50" s="1"/>
    </row>
    <row r="51" spans="1:6">
      <c r="A51" s="34">
        <v>2</v>
      </c>
      <c r="B51" s="1234" t="s">
        <v>152</v>
      </c>
      <c r="C51" s="1234" t="s">
        <v>658</v>
      </c>
      <c r="D51" s="1234" t="s">
        <v>42</v>
      </c>
      <c r="E51" s="34" t="s">
        <v>1952</v>
      </c>
      <c r="F51" s="1"/>
    </row>
    <row r="52" spans="1:6">
      <c r="A52" s="34">
        <v>3</v>
      </c>
      <c r="B52" s="1234" t="s">
        <v>68</v>
      </c>
      <c r="C52" s="1234" t="s">
        <v>1426</v>
      </c>
      <c r="D52" s="1234" t="s">
        <v>61</v>
      </c>
      <c r="E52" s="34" t="s">
        <v>1952</v>
      </c>
      <c r="F52" s="1"/>
    </row>
    <row r="53" spans="1:6">
      <c r="A53" s="34">
        <v>4</v>
      </c>
      <c r="B53" s="1234" t="s">
        <v>56</v>
      </c>
      <c r="C53" s="1234" t="s">
        <v>1427</v>
      </c>
      <c r="D53" s="1234" t="s">
        <v>42</v>
      </c>
      <c r="E53" s="34" t="s">
        <v>1952</v>
      </c>
      <c r="F53" s="1"/>
    </row>
    <row r="54" spans="1:6">
      <c r="A54" s="34">
        <v>5</v>
      </c>
      <c r="B54" s="1234" t="s">
        <v>147</v>
      </c>
      <c r="C54" s="1234" t="s">
        <v>1583</v>
      </c>
      <c r="D54" s="1234" t="s">
        <v>61</v>
      </c>
      <c r="E54" s="34" t="s">
        <v>1952</v>
      </c>
      <c r="F54" s="1"/>
    </row>
    <row r="55" spans="1:6">
      <c r="A55" s="34">
        <v>6</v>
      </c>
      <c r="B55" s="1234" t="s">
        <v>141</v>
      </c>
      <c r="C55" s="1234" t="s">
        <v>1583</v>
      </c>
      <c r="D55" s="1234" t="s">
        <v>61</v>
      </c>
      <c r="E55" s="34" t="s">
        <v>1952</v>
      </c>
      <c r="F55" s="1"/>
    </row>
    <row r="57" spans="1:6">
      <c r="A57" s="1950" t="s">
        <v>2058</v>
      </c>
      <c r="B57" s="1950"/>
      <c r="C57" s="1950"/>
      <c r="D57" s="1950"/>
      <c r="E57" s="1950"/>
      <c r="F57" s="1950"/>
    </row>
    <row r="58" spans="1:6" ht="30">
      <c r="A58" s="966" t="s">
        <v>62</v>
      </c>
      <c r="B58" s="967" t="s">
        <v>551</v>
      </c>
      <c r="C58" s="966" t="s">
        <v>38</v>
      </c>
      <c r="D58" s="967" t="s">
        <v>37</v>
      </c>
      <c r="E58" s="967" t="s">
        <v>2180</v>
      </c>
      <c r="F58" s="967" t="s">
        <v>2</v>
      </c>
    </row>
    <row r="59" spans="1:6">
      <c r="A59" s="1234">
        <v>1</v>
      </c>
      <c r="B59" s="1234" t="s">
        <v>2060</v>
      </c>
      <c r="C59" s="1234" t="s">
        <v>153</v>
      </c>
      <c r="D59" s="1233" t="s">
        <v>42</v>
      </c>
      <c r="E59" s="1233" t="s">
        <v>1073</v>
      </c>
      <c r="F59" s="1233"/>
    </row>
    <row r="60" spans="1:6">
      <c r="A60" s="700">
        <v>2</v>
      </c>
      <c r="B60" s="1234" t="s">
        <v>2061</v>
      </c>
      <c r="C60" s="1234" t="s">
        <v>34</v>
      </c>
      <c r="D60" s="1233" t="s">
        <v>42</v>
      </c>
      <c r="E60" s="1233" t="s">
        <v>1186</v>
      </c>
      <c r="F60" s="1233"/>
    </row>
    <row r="61" spans="1:6">
      <c r="A61" s="1234">
        <v>3</v>
      </c>
      <c r="B61" s="1234" t="s">
        <v>2062</v>
      </c>
      <c r="C61" s="1234" t="s">
        <v>48</v>
      </c>
      <c r="D61" s="1233" t="s">
        <v>42</v>
      </c>
      <c r="E61" s="1233" t="s">
        <v>30</v>
      </c>
      <c r="F61" s="1233"/>
    </row>
    <row r="62" spans="1:6">
      <c r="A62" s="700">
        <v>4</v>
      </c>
      <c r="B62" s="1234" t="s">
        <v>2063</v>
      </c>
      <c r="C62" s="1234" t="s">
        <v>34</v>
      </c>
      <c r="D62" s="1233" t="s">
        <v>61</v>
      </c>
      <c r="E62" s="1233" t="s">
        <v>30</v>
      </c>
      <c r="F62" s="1233"/>
    </row>
    <row r="63" spans="1:6">
      <c r="A63" s="1234">
        <v>5</v>
      </c>
      <c r="B63" s="1234" t="s">
        <v>2064</v>
      </c>
      <c r="C63" s="1234" t="s">
        <v>1424</v>
      </c>
      <c r="D63" s="1233" t="s">
        <v>42</v>
      </c>
      <c r="E63" s="1233" t="s">
        <v>1637</v>
      </c>
      <c r="F63" s="1233"/>
    </row>
    <row r="64" spans="1:6">
      <c r="A64" s="700">
        <v>6</v>
      </c>
      <c r="B64" s="1234" t="s">
        <v>2065</v>
      </c>
      <c r="C64" s="1234" t="s">
        <v>39</v>
      </c>
      <c r="D64" s="1233" t="s">
        <v>42</v>
      </c>
      <c r="E64" s="1233" t="s">
        <v>1637</v>
      </c>
      <c r="F64" s="1233"/>
    </row>
    <row r="65" spans="1:6">
      <c r="A65" s="1234">
        <v>7</v>
      </c>
      <c r="B65" s="1234" t="s">
        <v>2066</v>
      </c>
      <c r="C65" s="1234" t="s">
        <v>133</v>
      </c>
      <c r="D65" s="1233" t="s">
        <v>42</v>
      </c>
      <c r="E65" s="1233" t="s">
        <v>41</v>
      </c>
      <c r="F65" s="1233"/>
    </row>
    <row r="66" spans="1:6">
      <c r="A66" s="700">
        <v>8</v>
      </c>
      <c r="B66" s="1234" t="s">
        <v>2067</v>
      </c>
      <c r="C66" s="1234" t="s">
        <v>34</v>
      </c>
      <c r="D66" s="1233" t="s">
        <v>42</v>
      </c>
      <c r="E66" s="1233" t="s">
        <v>1637</v>
      </c>
      <c r="F66" s="1233"/>
    </row>
    <row r="67" spans="1:6">
      <c r="A67" s="1234">
        <v>9</v>
      </c>
      <c r="B67" s="1234" t="s">
        <v>1924</v>
      </c>
      <c r="C67" s="1234" t="s">
        <v>34</v>
      </c>
      <c r="D67" s="1233" t="s">
        <v>42</v>
      </c>
      <c r="E67" s="1233" t="s">
        <v>41</v>
      </c>
      <c r="F67" s="1233"/>
    </row>
    <row r="68" spans="1:6">
      <c r="A68" s="700">
        <v>10</v>
      </c>
      <c r="B68" s="1234" t="s">
        <v>1944</v>
      </c>
      <c r="C68" s="1234" t="s">
        <v>34</v>
      </c>
      <c r="D68" s="1233" t="s">
        <v>42</v>
      </c>
      <c r="E68" s="1233" t="s">
        <v>1637</v>
      </c>
      <c r="F68" s="1233"/>
    </row>
    <row r="69" spans="1:6">
      <c r="A69" s="1234">
        <v>11</v>
      </c>
      <c r="B69" s="1234" t="s">
        <v>2068</v>
      </c>
      <c r="C69" s="993" t="s">
        <v>49</v>
      </c>
      <c r="D69" s="1233" t="s">
        <v>31</v>
      </c>
      <c r="E69" s="1233" t="s">
        <v>41</v>
      </c>
      <c r="F69" s="1233"/>
    </row>
    <row r="70" spans="1:6">
      <c r="A70" s="700">
        <v>12</v>
      </c>
      <c r="B70" s="1234" t="s">
        <v>1951</v>
      </c>
      <c r="C70" s="1234" t="s">
        <v>48</v>
      </c>
      <c r="D70" s="1233" t="s">
        <v>61</v>
      </c>
      <c r="E70" s="1233" t="s">
        <v>30</v>
      </c>
      <c r="F70" s="1233"/>
    </row>
    <row r="71" spans="1:6">
      <c r="A71" s="1234">
        <v>13</v>
      </c>
      <c r="B71" s="1234" t="s">
        <v>2069</v>
      </c>
      <c r="C71" s="1234" t="s">
        <v>32</v>
      </c>
      <c r="D71" s="1233" t="s">
        <v>61</v>
      </c>
      <c r="E71" s="1233" t="s">
        <v>30</v>
      </c>
      <c r="F71" s="1233"/>
    </row>
    <row r="72" spans="1:6">
      <c r="A72" s="700">
        <v>14</v>
      </c>
      <c r="B72" s="1234" t="s">
        <v>2070</v>
      </c>
      <c r="C72" s="993" t="s">
        <v>1425</v>
      </c>
      <c r="D72" s="1233" t="s">
        <v>42</v>
      </c>
      <c r="E72" s="1233" t="s">
        <v>1637</v>
      </c>
      <c r="F72" s="1233"/>
    </row>
    <row r="73" spans="1:6">
      <c r="A73" s="1234">
        <v>15</v>
      </c>
      <c r="B73" s="1234" t="s">
        <v>1978</v>
      </c>
      <c r="C73" s="1234" t="s">
        <v>32</v>
      </c>
      <c r="D73" s="1233" t="s">
        <v>61</v>
      </c>
      <c r="E73" s="1233" t="s">
        <v>30</v>
      </c>
      <c r="F73" s="1233"/>
    </row>
    <row r="74" spans="1:6">
      <c r="A74" s="700">
        <v>16</v>
      </c>
      <c r="B74" s="1234" t="s">
        <v>1992</v>
      </c>
      <c r="C74" s="1234" t="s">
        <v>32</v>
      </c>
      <c r="D74" s="1233" t="s">
        <v>42</v>
      </c>
      <c r="E74" s="1233" t="s">
        <v>41</v>
      </c>
      <c r="F74" s="1233"/>
    </row>
    <row r="75" spans="1:6">
      <c r="A75" s="1234">
        <v>17</v>
      </c>
      <c r="B75" s="1234" t="s">
        <v>1981</v>
      </c>
      <c r="C75" s="993" t="s">
        <v>32</v>
      </c>
      <c r="D75" s="1233" t="s">
        <v>61</v>
      </c>
      <c r="E75" s="1233" t="s">
        <v>30</v>
      </c>
      <c r="F75" s="1233"/>
    </row>
    <row r="76" spans="1:6">
      <c r="A76" s="700">
        <v>18</v>
      </c>
      <c r="B76" s="1234" t="s">
        <v>1993</v>
      </c>
      <c r="C76" s="1234" t="s">
        <v>32</v>
      </c>
      <c r="D76" s="1233" t="s">
        <v>42</v>
      </c>
      <c r="E76" s="1233" t="s">
        <v>41</v>
      </c>
      <c r="F76" s="1233"/>
    </row>
    <row r="77" spans="1:6">
      <c r="A77" s="1234">
        <v>19</v>
      </c>
      <c r="B77" s="1234" t="s">
        <v>44</v>
      </c>
      <c r="C77" s="993" t="s">
        <v>1423</v>
      </c>
      <c r="D77" s="1233" t="s">
        <v>61</v>
      </c>
      <c r="E77" s="1233" t="s">
        <v>30</v>
      </c>
      <c r="F77" s="1233"/>
    </row>
    <row r="78" spans="1:6">
      <c r="A78" s="700">
        <v>20</v>
      </c>
      <c r="B78" s="1234" t="s">
        <v>407</v>
      </c>
      <c r="C78" s="993" t="s">
        <v>34</v>
      </c>
      <c r="D78" s="1233" t="s">
        <v>42</v>
      </c>
      <c r="E78" s="1233" t="s">
        <v>1926</v>
      </c>
      <c r="F78" s="1196"/>
    </row>
    <row r="79" spans="1:6">
      <c r="A79" s="1234">
        <v>21</v>
      </c>
      <c r="B79" s="1234" t="s">
        <v>76</v>
      </c>
      <c r="C79" s="993" t="s">
        <v>50</v>
      </c>
      <c r="D79" s="1233" t="s">
        <v>61</v>
      </c>
      <c r="E79" s="1233" t="s">
        <v>30</v>
      </c>
      <c r="F79" s="1233"/>
    </row>
    <row r="80" spans="1:6">
      <c r="A80" s="700">
        <v>22</v>
      </c>
      <c r="B80" s="1234" t="s">
        <v>332</v>
      </c>
      <c r="C80" s="993" t="s">
        <v>48</v>
      </c>
      <c r="D80" s="1233" t="s">
        <v>61</v>
      </c>
      <c r="E80" s="1233" t="s">
        <v>30</v>
      </c>
      <c r="F80" s="1196"/>
    </row>
    <row r="81" spans="1:6">
      <c r="A81" s="1234">
        <v>23</v>
      </c>
      <c r="B81" s="1234" t="s">
        <v>2072</v>
      </c>
      <c r="C81" s="993" t="s">
        <v>50</v>
      </c>
      <c r="D81" s="1233" t="s">
        <v>42</v>
      </c>
      <c r="E81" s="1233" t="s">
        <v>1186</v>
      </c>
      <c r="F81" s="1233"/>
    </row>
    <row r="82" spans="1:6">
      <c r="A82" s="700">
        <v>24</v>
      </c>
      <c r="B82" s="949" t="s">
        <v>2001</v>
      </c>
      <c r="C82" s="1234" t="s">
        <v>53</v>
      </c>
      <c r="D82" s="1233" t="s">
        <v>42</v>
      </c>
      <c r="E82" s="1233" t="s">
        <v>30</v>
      </c>
    </row>
    <row r="83" spans="1:6">
      <c r="A83" s="1234">
        <v>25</v>
      </c>
      <c r="B83" s="948" t="s">
        <v>2181</v>
      </c>
      <c r="C83" s="1234" t="s">
        <v>1181</v>
      </c>
      <c r="D83" s="855" t="s">
        <v>42</v>
      </c>
      <c r="E83" s="1233" t="s">
        <v>1186</v>
      </c>
    </row>
  </sheetData>
  <autoFilter ref="A2:F2">
    <sortState ref="A3:F45">
      <sortCondition ref="B2"/>
    </sortState>
  </autoFilter>
  <mergeCells count="1">
    <mergeCell ref="A57:F57"/>
  </mergeCells>
  <conditionalFormatting sqref="B92:B1048576 B46:B47 G1:G57 B56 G59:G1048576">
    <cfRule type="duplicateValues" dxfId="15" priority="45"/>
  </conditionalFormatting>
  <conditionalFormatting sqref="B92:B1048576 B46:B47 B56">
    <cfRule type="duplicateValues" dxfId="14" priority="40"/>
  </conditionalFormatting>
  <conditionalFormatting sqref="B3:B39">
    <cfRule type="duplicateValues" dxfId="13" priority="39"/>
  </conditionalFormatting>
  <conditionalFormatting sqref="B3:B41">
    <cfRule type="duplicateValues" dxfId="12" priority="38"/>
  </conditionalFormatting>
  <conditionalFormatting sqref="B41">
    <cfRule type="duplicateValues" dxfId="11" priority="37"/>
  </conditionalFormatting>
  <conditionalFormatting sqref="B42">
    <cfRule type="duplicateValues" dxfId="10" priority="34"/>
  </conditionalFormatting>
  <conditionalFormatting sqref="B44">
    <cfRule type="duplicateValues" dxfId="9" priority="33"/>
  </conditionalFormatting>
  <conditionalFormatting sqref="A84:A91 B48:B49 J9:J19 J25:J57 Q35:Q57 Q59:Q1048576 J59:J1048576">
    <cfRule type="duplicateValues" dxfId="8" priority="30"/>
  </conditionalFormatting>
  <conditionalFormatting sqref="B50">
    <cfRule type="duplicateValues" dxfId="7" priority="29"/>
  </conditionalFormatting>
  <conditionalFormatting sqref="B51:B55">
    <cfRule type="duplicateValues" dxfId="6" priority="28"/>
  </conditionalFormatting>
  <conditionalFormatting sqref="B77:B81 I9:I57 A48:A55 I59:I1048576">
    <cfRule type="duplicateValues" dxfId="5" priority="6"/>
  </conditionalFormatting>
  <conditionalFormatting sqref="B57 B59:B76">
    <cfRule type="duplicateValues" dxfId="4" priority="5"/>
  </conditionalFormatting>
  <conditionalFormatting sqref="G58">
    <cfRule type="duplicateValues" dxfId="3" priority="4"/>
  </conditionalFormatting>
  <conditionalFormatting sqref="B58 J58 Q58">
    <cfRule type="duplicateValues" dxfId="2" priority="3"/>
  </conditionalFormatting>
  <conditionalFormatting sqref="I58 A5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80" workbookViewId="0">
      <selection activeCell="E7" sqref="E7:E8"/>
    </sheetView>
  </sheetViews>
  <sheetFormatPr defaultRowHeight="15"/>
  <cols>
    <col min="1" max="1" width="7.7109375" bestFit="1" customWidth="1"/>
    <col min="2" max="2" width="18" bestFit="1" customWidth="1"/>
    <col min="3" max="3" width="57.28515625" customWidth="1"/>
    <col min="4" max="4" width="31.85546875" bestFit="1" customWidth="1"/>
    <col min="5" max="5" width="101.28515625" bestFit="1" customWidth="1"/>
    <col min="6" max="6" width="29.42578125" bestFit="1" customWidth="1"/>
    <col min="7" max="7" width="131.42578125" bestFit="1" customWidth="1"/>
  </cols>
  <sheetData>
    <row r="1" spans="1:8" ht="15.75">
      <c r="A1" s="1988" t="s">
        <v>2076</v>
      </c>
      <c r="B1" s="1989"/>
      <c r="C1" s="1989"/>
      <c r="D1" s="1989"/>
      <c r="E1" s="1989"/>
      <c r="F1" s="1989"/>
      <c r="G1" s="1990"/>
      <c r="H1" t="s">
        <v>2211</v>
      </c>
    </row>
    <row r="2" spans="1:8" ht="15.75">
      <c r="A2" s="1988" t="s">
        <v>1815</v>
      </c>
      <c r="B2" s="1989"/>
      <c r="C2" s="1989"/>
      <c r="D2" s="1989"/>
      <c r="E2" s="1989"/>
      <c r="F2" s="1989"/>
      <c r="G2" s="1990"/>
    </row>
    <row r="3" spans="1:8" ht="15.75">
      <c r="A3" s="1169" t="s">
        <v>1779</v>
      </c>
      <c r="B3" s="1170" t="s">
        <v>1785</v>
      </c>
      <c r="C3" s="1171" t="s">
        <v>1780</v>
      </c>
      <c r="D3" s="1170" t="s">
        <v>1781</v>
      </c>
      <c r="E3" s="1171" t="s">
        <v>1786</v>
      </c>
      <c r="F3" s="1171" t="s">
        <v>1820</v>
      </c>
      <c r="G3" s="1170" t="s">
        <v>2</v>
      </c>
    </row>
    <row r="4" spans="1:8" ht="15.75">
      <c r="A4" s="1172">
        <v>1</v>
      </c>
      <c r="B4" s="1986" t="s">
        <v>2077</v>
      </c>
      <c r="C4" s="1170" t="s">
        <v>1025</v>
      </c>
      <c r="D4" s="1170" t="s">
        <v>1787</v>
      </c>
      <c r="E4" s="1171" t="s">
        <v>2078</v>
      </c>
      <c r="F4" s="1983" t="s">
        <v>2079</v>
      </c>
      <c r="G4" s="1983" t="s">
        <v>2212</v>
      </c>
    </row>
    <row r="5" spans="1:8" ht="31.5" customHeight="1">
      <c r="A5" s="1172">
        <v>2</v>
      </c>
      <c r="B5" s="1987"/>
      <c r="C5" s="1176" t="s">
        <v>1025</v>
      </c>
      <c r="D5" s="1176" t="s">
        <v>1788</v>
      </c>
      <c r="E5" s="1175" t="s">
        <v>2080</v>
      </c>
      <c r="F5" s="1985"/>
      <c r="G5" s="1985"/>
    </row>
    <row r="6" spans="1:8" ht="15.75">
      <c r="A6" s="1172">
        <v>3</v>
      </c>
      <c r="B6" s="1983" t="s">
        <v>1791</v>
      </c>
      <c r="C6" s="1176" t="s">
        <v>1819</v>
      </c>
      <c r="D6" s="1176" t="s">
        <v>2081</v>
      </c>
      <c r="E6" s="1177"/>
      <c r="F6" s="1177"/>
      <c r="G6" s="1175" t="s">
        <v>1804</v>
      </c>
    </row>
    <row r="7" spans="1:8" ht="15.75">
      <c r="A7" s="1172">
        <v>4</v>
      </c>
      <c r="B7" s="1984"/>
      <c r="C7" s="1176" t="s">
        <v>2082</v>
      </c>
      <c r="D7" s="1176" t="s">
        <v>1818</v>
      </c>
      <c r="E7" s="1983" t="s">
        <v>2214</v>
      </c>
      <c r="F7" s="1983" t="s">
        <v>2215</v>
      </c>
      <c r="G7" s="1986" t="s">
        <v>2213</v>
      </c>
    </row>
    <row r="8" spans="1:8" ht="15.75">
      <c r="A8" s="1172">
        <v>5</v>
      </c>
      <c r="B8" s="1985"/>
      <c r="C8" s="1176" t="s">
        <v>1799</v>
      </c>
      <c r="D8" s="1176" t="s">
        <v>2083</v>
      </c>
      <c r="E8" s="1985"/>
      <c r="F8" s="1985"/>
      <c r="G8" s="1987"/>
    </row>
    <row r="9" spans="1:8" ht="15.75">
      <c r="A9" s="1173"/>
      <c r="B9" s="1173"/>
      <c r="C9" s="1174"/>
      <c r="D9" s="1173"/>
      <c r="E9" s="1173"/>
      <c r="F9" s="1173"/>
      <c r="G9" s="1173"/>
    </row>
    <row r="10" spans="1:8" ht="15.75" customHeight="1">
      <c r="A10" s="1991" t="s">
        <v>1782</v>
      </c>
      <c r="B10" s="1992"/>
      <c r="C10" s="1992"/>
      <c r="D10" s="1992"/>
      <c r="E10" s="1992"/>
      <c r="F10" s="1992"/>
      <c r="G10" s="1993"/>
    </row>
    <row r="11" spans="1:8" ht="15.75">
      <c r="A11" s="1169" t="s">
        <v>1779</v>
      </c>
      <c r="B11" s="1170" t="s">
        <v>1785</v>
      </c>
      <c r="C11" s="1171" t="s">
        <v>2084</v>
      </c>
      <c r="D11" s="1170" t="s">
        <v>1781</v>
      </c>
      <c r="E11" s="1171" t="s">
        <v>1786</v>
      </c>
      <c r="F11" s="1171" t="s">
        <v>1820</v>
      </c>
      <c r="G11" s="1170" t="s">
        <v>2</v>
      </c>
    </row>
    <row r="12" spans="1:8" ht="15.75">
      <c r="A12" s="1172">
        <v>1</v>
      </c>
      <c r="B12" s="1986" t="s">
        <v>2077</v>
      </c>
      <c r="C12" s="1176" t="s">
        <v>1914</v>
      </c>
      <c r="D12" s="1176" t="s">
        <v>1949</v>
      </c>
      <c r="E12" s="1983" t="s">
        <v>2085</v>
      </c>
      <c r="F12" s="1983" t="s">
        <v>1822</v>
      </c>
      <c r="G12" s="1994" t="s">
        <v>2086</v>
      </c>
    </row>
    <row r="13" spans="1:8" ht="15.75">
      <c r="A13" s="1172">
        <v>2</v>
      </c>
      <c r="B13" s="1987"/>
      <c r="C13" s="1176" t="s">
        <v>1913</v>
      </c>
      <c r="D13" s="1176" t="s">
        <v>1915</v>
      </c>
      <c r="E13" s="1985"/>
      <c r="F13" s="1985"/>
      <c r="G13" s="1995"/>
    </row>
    <row r="14" spans="1:8" ht="15.75">
      <c r="A14" s="1172">
        <v>3</v>
      </c>
      <c r="B14" s="1983" t="s">
        <v>1791</v>
      </c>
      <c r="C14" s="1176" t="s">
        <v>921</v>
      </c>
      <c r="D14" s="1176" t="s">
        <v>2193</v>
      </c>
      <c r="E14" s="1178" t="s">
        <v>2087</v>
      </c>
      <c r="F14" s="1983" t="s">
        <v>2088</v>
      </c>
      <c r="G14" s="1179"/>
    </row>
    <row r="15" spans="1:8" ht="15.75">
      <c r="A15" s="1172">
        <v>4</v>
      </c>
      <c r="B15" s="1984"/>
      <c r="C15" s="1176" t="s">
        <v>1808</v>
      </c>
      <c r="D15" s="1176" t="s">
        <v>1797</v>
      </c>
      <c r="E15" s="1983" t="s">
        <v>2050</v>
      </c>
      <c r="F15" s="1984"/>
      <c r="G15" s="1986" t="s">
        <v>2096</v>
      </c>
    </row>
    <row r="16" spans="1:8" ht="15.75">
      <c r="A16" s="1172">
        <v>5</v>
      </c>
      <c r="B16" s="1985"/>
      <c r="C16" s="1176" t="s">
        <v>1805</v>
      </c>
      <c r="D16" s="1176" t="s">
        <v>1806</v>
      </c>
      <c r="E16" s="1985"/>
      <c r="F16" s="1985"/>
      <c r="G16" s="1987"/>
    </row>
    <row r="17" spans="1:7" ht="15.75">
      <c r="A17" s="1172"/>
      <c r="B17" s="1176"/>
      <c r="C17" s="1176"/>
      <c r="D17" s="1176"/>
      <c r="E17" s="1176"/>
      <c r="F17" s="1176"/>
      <c r="G17" s="1176"/>
    </row>
    <row r="18" spans="1:7" ht="15.75">
      <c r="A18" s="1991" t="s">
        <v>1825</v>
      </c>
      <c r="B18" s="1992"/>
      <c r="C18" s="1992"/>
      <c r="D18" s="1992"/>
      <c r="E18" s="1992"/>
      <c r="F18" s="1992"/>
      <c r="G18" s="1993"/>
    </row>
    <row r="19" spans="1:7" ht="15.75">
      <c r="A19" s="1169" t="s">
        <v>1779</v>
      </c>
      <c r="B19" s="1170" t="s">
        <v>1785</v>
      </c>
      <c r="C19" s="1171" t="s">
        <v>2084</v>
      </c>
      <c r="D19" s="1170" t="s">
        <v>1781</v>
      </c>
      <c r="E19" s="1171" t="s">
        <v>1786</v>
      </c>
      <c r="F19" s="1171" t="s">
        <v>1820</v>
      </c>
      <c r="G19" s="1170" t="s">
        <v>2</v>
      </c>
    </row>
    <row r="20" spans="1:7" ht="15.75">
      <c r="A20" s="1172">
        <v>1</v>
      </c>
      <c r="B20" s="1175" t="s">
        <v>1791</v>
      </c>
      <c r="C20" s="1176" t="s">
        <v>2089</v>
      </c>
      <c r="D20" s="1176" t="s">
        <v>1826</v>
      </c>
      <c r="E20" s="1175" t="s">
        <v>2217</v>
      </c>
      <c r="F20" s="1176" t="s">
        <v>2088</v>
      </c>
      <c r="G20" s="1170"/>
    </row>
    <row r="21" spans="1:7" ht="15.75">
      <c r="A21" s="1173"/>
      <c r="B21" s="1173"/>
      <c r="C21" s="1180"/>
      <c r="D21" s="1173"/>
      <c r="E21" s="1173"/>
      <c r="F21" s="1173"/>
      <c r="G21" s="1173"/>
    </row>
    <row r="22" spans="1:7" ht="15.75">
      <c r="A22" s="1988" t="s">
        <v>2090</v>
      </c>
      <c r="B22" s="1989"/>
      <c r="C22" s="1989"/>
      <c r="D22" s="1989"/>
      <c r="E22" s="1989"/>
      <c r="F22" s="1989"/>
      <c r="G22" s="1990"/>
    </row>
    <row r="23" spans="1:7" ht="15.75">
      <c r="A23" s="1169" t="s">
        <v>1779</v>
      </c>
      <c r="B23" s="1170" t="s">
        <v>1785</v>
      </c>
      <c r="C23" s="1171" t="s">
        <v>1783</v>
      </c>
      <c r="D23" s="1171" t="s">
        <v>1784</v>
      </c>
      <c r="E23" s="1171" t="s">
        <v>1786</v>
      </c>
      <c r="F23" s="1171" t="s">
        <v>1820</v>
      </c>
      <c r="G23" s="1170" t="s">
        <v>2</v>
      </c>
    </row>
    <row r="24" spans="1:7" ht="15.75">
      <c r="A24" s="1172">
        <v>1</v>
      </c>
      <c r="B24" s="1983" t="s">
        <v>1792</v>
      </c>
      <c r="C24" s="1175" t="s">
        <v>652</v>
      </c>
      <c r="D24" s="1176" t="s">
        <v>2091</v>
      </c>
      <c r="E24" s="1983" t="s">
        <v>1840</v>
      </c>
      <c r="F24" s="1983" t="s">
        <v>1822</v>
      </c>
      <c r="G24" s="1983" t="s">
        <v>879</v>
      </c>
    </row>
    <row r="25" spans="1:7" ht="15.75">
      <c r="A25" s="1172">
        <v>2</v>
      </c>
      <c r="B25" s="1985"/>
      <c r="C25" s="1175" t="s">
        <v>657</v>
      </c>
      <c r="D25" s="1176" t="s">
        <v>2092</v>
      </c>
      <c r="E25" s="1984"/>
      <c r="F25" s="1984"/>
      <c r="G25" s="1984"/>
    </row>
    <row r="26" spans="1:7" ht="15.75">
      <c r="A26" s="1172">
        <v>3</v>
      </c>
      <c r="B26" s="1986" t="s">
        <v>2077</v>
      </c>
      <c r="C26" s="1175" t="s">
        <v>1000</v>
      </c>
      <c r="D26" s="1176" t="s">
        <v>1789</v>
      </c>
      <c r="E26" s="1984"/>
      <c r="F26" s="1984"/>
      <c r="G26" s="1984"/>
    </row>
    <row r="27" spans="1:7" ht="15.75">
      <c r="A27" s="1172">
        <v>4</v>
      </c>
      <c r="B27" s="1987"/>
      <c r="C27" s="1175" t="s">
        <v>1000</v>
      </c>
      <c r="D27" s="1176" t="s">
        <v>1790</v>
      </c>
      <c r="E27" s="1985"/>
      <c r="F27" s="1985"/>
      <c r="G27" s="1985"/>
    </row>
    <row r="28" spans="1:7" ht="15.75">
      <c r="A28" s="1172">
        <v>5</v>
      </c>
      <c r="B28" s="1983" t="s">
        <v>1791</v>
      </c>
      <c r="C28" s="1175" t="s">
        <v>1793</v>
      </c>
      <c r="D28" s="1175" t="s">
        <v>1857</v>
      </c>
      <c r="E28" s="1177"/>
      <c r="F28" s="1175" t="s">
        <v>1821</v>
      </c>
      <c r="G28" s="1177" t="s">
        <v>1943</v>
      </c>
    </row>
    <row r="29" spans="1:7" ht="16.5">
      <c r="A29" s="1172">
        <v>6</v>
      </c>
      <c r="B29" s="1984"/>
      <c r="C29" s="1175" t="s">
        <v>1814</v>
      </c>
      <c r="D29" s="1176" t="s">
        <v>1858</v>
      </c>
      <c r="E29" s="1181"/>
      <c r="F29" s="1182" t="s">
        <v>1904</v>
      </c>
      <c r="G29" s="1183"/>
    </row>
    <row r="30" spans="1:7" ht="15.75">
      <c r="A30" s="1172">
        <v>7</v>
      </c>
      <c r="B30" s="1984"/>
      <c r="C30" s="1175" t="s">
        <v>1912</v>
      </c>
      <c r="D30" s="1176" t="s">
        <v>1794</v>
      </c>
      <c r="E30" s="1184" t="s">
        <v>1840</v>
      </c>
      <c r="F30" s="1184"/>
      <c r="G30" s="1175" t="s">
        <v>879</v>
      </c>
    </row>
    <row r="31" spans="1:7" ht="15.75">
      <c r="A31" s="1172">
        <v>8</v>
      </c>
      <c r="B31" s="1984"/>
      <c r="C31" s="1175" t="s">
        <v>2093</v>
      </c>
      <c r="D31" s="1176" t="s">
        <v>1796</v>
      </c>
      <c r="E31" s="1983" t="s">
        <v>2094</v>
      </c>
      <c r="F31" s="1983" t="s">
        <v>2095</v>
      </c>
      <c r="G31" s="1983" t="s">
        <v>879</v>
      </c>
    </row>
    <row r="32" spans="1:7" ht="15.75">
      <c r="A32" s="1172">
        <v>9</v>
      </c>
      <c r="B32" s="1984"/>
      <c r="C32" s="1175" t="s">
        <v>1816</v>
      </c>
      <c r="D32" s="1176" t="s">
        <v>1795</v>
      </c>
      <c r="E32" s="1985"/>
      <c r="F32" s="1985"/>
      <c r="G32" s="1985"/>
    </row>
    <row r="33" spans="1:7" ht="31.5">
      <c r="A33" s="1172">
        <v>10</v>
      </c>
      <c r="B33" s="1984"/>
      <c r="C33" s="1175" t="s">
        <v>1817</v>
      </c>
      <c r="D33" s="1176" t="s">
        <v>1798</v>
      </c>
      <c r="E33" s="1983" t="s">
        <v>2051</v>
      </c>
      <c r="F33" s="1983" t="s">
        <v>2095</v>
      </c>
      <c r="G33" s="1983" t="s">
        <v>879</v>
      </c>
    </row>
    <row r="34" spans="1:7" ht="15.75">
      <c r="A34" s="1172">
        <v>11</v>
      </c>
      <c r="B34" s="1984"/>
      <c r="C34" s="1175" t="s">
        <v>1800</v>
      </c>
      <c r="D34" s="1176" t="s">
        <v>1801</v>
      </c>
      <c r="E34" s="1984"/>
      <c r="F34" s="1984"/>
      <c r="G34" s="1984"/>
    </row>
    <row r="35" spans="1:7" ht="15.75">
      <c r="A35" s="1172">
        <v>12</v>
      </c>
      <c r="B35" s="1984"/>
      <c r="C35" s="1175" t="s">
        <v>1802</v>
      </c>
      <c r="D35" s="1176" t="s">
        <v>1803</v>
      </c>
      <c r="E35" s="1984"/>
      <c r="F35" s="1984"/>
      <c r="G35" s="1984"/>
    </row>
    <row r="36" spans="1:7" ht="15.75">
      <c r="A36" s="1172">
        <v>13</v>
      </c>
      <c r="B36" s="1984"/>
      <c r="C36" s="1175" t="s">
        <v>1807</v>
      </c>
      <c r="D36" s="1176" t="s">
        <v>1809</v>
      </c>
      <c r="E36" s="1984"/>
      <c r="F36" s="1984"/>
      <c r="G36" s="1984"/>
    </row>
    <row r="37" spans="1:7" ht="15.75">
      <c r="A37" s="1172">
        <v>14</v>
      </c>
      <c r="B37" s="1984"/>
      <c r="C37" s="1175" t="s">
        <v>1810</v>
      </c>
      <c r="D37" s="1176" t="s">
        <v>1811</v>
      </c>
      <c r="E37" s="1984"/>
      <c r="F37" s="1984"/>
      <c r="G37" s="1984"/>
    </row>
    <row r="38" spans="1:7" ht="15.75">
      <c r="A38" s="1172">
        <v>15</v>
      </c>
      <c r="B38" s="1985"/>
      <c r="C38" s="1175" t="s">
        <v>1812</v>
      </c>
      <c r="D38" s="1176" t="s">
        <v>1813</v>
      </c>
      <c r="E38" s="1985"/>
      <c r="F38" s="1985"/>
      <c r="G38" s="1985"/>
    </row>
  </sheetData>
  <mergeCells count="32">
    <mergeCell ref="F7:F8"/>
    <mergeCell ref="G7:G8"/>
    <mergeCell ref="B28:B38"/>
    <mergeCell ref="E31:E32"/>
    <mergeCell ref="F31:F32"/>
    <mergeCell ref="G31:G32"/>
    <mergeCell ref="E33:E38"/>
    <mergeCell ref="F33:F38"/>
    <mergeCell ref="G33:G38"/>
    <mergeCell ref="A18:G18"/>
    <mergeCell ref="A22:G22"/>
    <mergeCell ref="B24:B25"/>
    <mergeCell ref="E24:E27"/>
    <mergeCell ref="F24:F27"/>
    <mergeCell ref="G24:G27"/>
    <mergeCell ref="B26:B27"/>
    <mergeCell ref="B14:B16"/>
    <mergeCell ref="F14:F16"/>
    <mergeCell ref="E15:E16"/>
    <mergeCell ref="G15:G16"/>
    <mergeCell ref="A1:G1"/>
    <mergeCell ref="A2:G2"/>
    <mergeCell ref="B4:B5"/>
    <mergeCell ref="F4:F5"/>
    <mergeCell ref="B6:B8"/>
    <mergeCell ref="E7:E8"/>
    <mergeCell ref="A10:G10"/>
    <mergeCell ref="B12:B13"/>
    <mergeCell ref="E12:E13"/>
    <mergeCell ref="F12:F13"/>
    <mergeCell ref="G12:G13"/>
    <mergeCell ref="G4:G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5" tint="0.39997558519241921"/>
  </sheetPr>
  <dimension ref="A1:Z13"/>
  <sheetViews>
    <sheetView view="pageBreakPreview" zoomScale="80" zoomScaleNormal="90" zoomScaleSheetLayoutView="80" workbookViewId="0">
      <selection activeCell="E19" sqref="E19"/>
    </sheetView>
  </sheetViews>
  <sheetFormatPr defaultColWidth="9.140625" defaultRowHeight="15"/>
  <cols>
    <col min="1" max="1" width="5.7109375" style="728" customWidth="1"/>
    <col min="2" max="3" width="9.140625" style="728"/>
    <col min="4" max="4" width="9.140625" style="573"/>
    <col min="5" max="5" width="126.7109375" style="573" customWidth="1"/>
    <col min="6" max="6" width="9" style="573" bestFit="1" customWidth="1"/>
    <col min="7" max="7" width="10.85546875" style="728" customWidth="1"/>
    <col min="8" max="8" width="24.85546875" style="728" customWidth="1"/>
    <col min="9" max="9" width="9.7109375" style="573" customWidth="1"/>
    <col min="10" max="10" width="9.5703125" style="573" customWidth="1"/>
    <col min="11" max="11" width="9.28515625" style="573" customWidth="1"/>
    <col min="12" max="12" width="9.7109375" style="728" customWidth="1"/>
    <col min="13" max="13" width="9.140625" style="728" customWidth="1"/>
    <col min="14" max="14" width="8.85546875" style="728" customWidth="1"/>
    <col min="15" max="15" width="11.85546875" style="573" customWidth="1"/>
    <col min="16" max="16" width="10.7109375" style="728" customWidth="1"/>
    <col min="17" max="18" width="9.140625" style="728"/>
    <col min="19" max="19" width="11.28515625" style="728" customWidth="1"/>
    <col min="20" max="20" width="10.5703125" style="728" customWidth="1"/>
    <col min="21" max="21" width="10.42578125" style="728" customWidth="1"/>
    <col min="22" max="24" width="9.140625" style="728"/>
    <col min="25" max="25" width="16.140625" style="728" customWidth="1"/>
    <col min="26" max="26" width="15.140625" style="728" customWidth="1"/>
    <col min="27" max="16384" width="9.140625" style="728"/>
  </cols>
  <sheetData>
    <row r="1" spans="1:26">
      <c r="A1" s="1996" t="s">
        <v>1736</v>
      </c>
      <c r="B1" s="1996"/>
      <c r="C1" s="1996"/>
      <c r="D1" s="1996"/>
      <c r="E1" s="1996"/>
      <c r="F1" s="1996"/>
      <c r="G1" s="1996"/>
      <c r="H1" s="1996"/>
      <c r="I1" s="1996"/>
      <c r="J1" s="1996"/>
      <c r="K1" s="1996"/>
      <c r="L1" s="1996"/>
      <c r="M1" s="1996"/>
      <c r="N1" s="1996"/>
      <c r="O1" s="1996"/>
      <c r="P1" s="1996"/>
      <c r="Q1" s="1996"/>
      <c r="R1" s="1996"/>
      <c r="S1" s="1996"/>
      <c r="T1" s="1996"/>
      <c r="U1" s="1996"/>
      <c r="V1" s="1996"/>
      <c r="W1" s="1996"/>
      <c r="X1" s="1996"/>
      <c r="Y1" s="1996"/>
      <c r="Z1" s="1996"/>
    </row>
    <row r="2" spans="1:26" ht="15.75" thickBot="1">
      <c r="A2" s="1996"/>
      <c r="B2" s="1996"/>
      <c r="C2" s="1996"/>
      <c r="D2" s="1996"/>
      <c r="E2" s="1996"/>
      <c r="F2" s="1996"/>
      <c r="G2" s="1996"/>
      <c r="H2" s="1996"/>
      <c r="I2" s="1996"/>
      <c r="J2" s="1996"/>
      <c r="K2" s="1996"/>
      <c r="L2" s="1996"/>
      <c r="M2" s="1996"/>
      <c r="N2" s="1996"/>
      <c r="O2" s="1996"/>
      <c r="P2" s="1996"/>
      <c r="Q2" s="1996"/>
      <c r="R2" s="1996"/>
      <c r="S2" s="1996"/>
      <c r="T2" s="1996"/>
      <c r="U2" s="1996"/>
      <c r="V2" s="1996"/>
      <c r="W2" s="1996"/>
      <c r="X2" s="1996"/>
      <c r="Y2" s="1996"/>
      <c r="Z2" s="1996"/>
    </row>
    <row r="3" spans="1:26" ht="18.75">
      <c r="A3" s="1997" t="s">
        <v>1737</v>
      </c>
      <c r="B3" s="2000" t="s">
        <v>1738</v>
      </c>
      <c r="C3" s="2000"/>
      <c r="D3" s="2000" t="s">
        <v>1739</v>
      </c>
      <c r="E3" s="2003" t="s">
        <v>1740</v>
      </c>
      <c r="F3" s="2003" t="s">
        <v>1741</v>
      </c>
      <c r="G3" s="2006" t="s">
        <v>1742</v>
      </c>
      <c r="H3" s="2006"/>
      <c r="I3" s="2006" t="s">
        <v>1441</v>
      </c>
      <c r="J3" s="2006"/>
      <c r="K3" s="2006"/>
      <c r="L3" s="2006"/>
      <c r="M3" s="2006"/>
      <c r="N3" s="2006"/>
      <c r="O3" s="2006" t="s">
        <v>1442</v>
      </c>
      <c r="P3" s="2006"/>
      <c r="Q3" s="2006"/>
      <c r="R3" s="2006"/>
      <c r="S3" s="2006"/>
      <c r="T3" s="2006" t="s">
        <v>1443</v>
      </c>
      <c r="U3" s="2006"/>
      <c r="V3" s="2006"/>
      <c r="W3" s="2006"/>
      <c r="X3" s="2006"/>
      <c r="Y3" s="2006"/>
      <c r="Z3" s="2008" t="s">
        <v>1743</v>
      </c>
    </row>
    <row r="4" spans="1:26">
      <c r="A4" s="1998"/>
      <c r="B4" s="2001"/>
      <c r="C4" s="2001"/>
      <c r="D4" s="2001"/>
      <c r="E4" s="2004"/>
      <c r="F4" s="2004"/>
      <c r="G4" s="2007"/>
      <c r="H4" s="2007"/>
      <c r="I4" s="1950" t="s">
        <v>1744</v>
      </c>
      <c r="J4" s="1950"/>
      <c r="K4" s="1950" t="s">
        <v>1745</v>
      </c>
      <c r="L4" s="1950"/>
      <c r="M4" s="1950"/>
      <c r="N4" s="1950"/>
      <c r="O4" s="1950" t="s">
        <v>1744</v>
      </c>
      <c r="P4" s="1950"/>
      <c r="Q4" s="1950" t="s">
        <v>1746</v>
      </c>
      <c r="R4" s="1950"/>
      <c r="S4" s="1950"/>
      <c r="T4" s="1950" t="s">
        <v>1744</v>
      </c>
      <c r="U4" s="1950"/>
      <c r="V4" s="1950" t="s">
        <v>1746</v>
      </c>
      <c r="W4" s="1950"/>
      <c r="X4" s="1950"/>
      <c r="Y4" s="1950"/>
      <c r="Z4" s="2009"/>
    </row>
    <row r="5" spans="1:26" ht="15.75" thickBot="1">
      <c r="A5" s="1999"/>
      <c r="B5" s="729" t="s">
        <v>1747</v>
      </c>
      <c r="C5" s="729" t="s">
        <v>1748</v>
      </c>
      <c r="D5" s="2002"/>
      <c r="E5" s="2005"/>
      <c r="F5" s="2005"/>
      <c r="G5" s="729" t="s">
        <v>1749</v>
      </c>
      <c r="H5" s="729" t="s">
        <v>1750</v>
      </c>
      <c r="I5" s="729" t="s">
        <v>1751</v>
      </c>
      <c r="J5" s="729" t="s">
        <v>1177</v>
      </c>
      <c r="K5" s="729" t="s">
        <v>1752</v>
      </c>
      <c r="L5" s="729" t="s">
        <v>1753</v>
      </c>
      <c r="M5" s="729" t="s">
        <v>1754</v>
      </c>
      <c r="N5" s="729" t="s">
        <v>1755</v>
      </c>
      <c r="O5" s="729" t="s">
        <v>1751</v>
      </c>
      <c r="P5" s="729" t="s">
        <v>1177</v>
      </c>
      <c r="Q5" s="729" t="s">
        <v>1756</v>
      </c>
      <c r="R5" s="729" t="s">
        <v>1757</v>
      </c>
      <c r="S5" s="729" t="s">
        <v>1755</v>
      </c>
      <c r="T5" s="729" t="s">
        <v>1751</v>
      </c>
      <c r="U5" s="729" t="s">
        <v>1177</v>
      </c>
      <c r="V5" s="729" t="s">
        <v>1758</v>
      </c>
      <c r="W5" s="729" t="s">
        <v>1759</v>
      </c>
      <c r="X5" s="729" t="s">
        <v>1760</v>
      </c>
      <c r="Y5" s="729" t="s">
        <v>1755</v>
      </c>
      <c r="Z5" s="2010"/>
    </row>
    <row r="6" spans="1:26" ht="15.75">
      <c r="A6" s="730">
        <v>1</v>
      </c>
      <c r="B6" s="731" t="s">
        <v>1546</v>
      </c>
      <c r="C6" s="731" t="s">
        <v>1547</v>
      </c>
      <c r="D6" s="731">
        <v>290</v>
      </c>
      <c r="E6" s="732" t="s">
        <v>1761</v>
      </c>
      <c r="F6" s="731" t="s">
        <v>1762</v>
      </c>
      <c r="G6" s="733" t="s">
        <v>878</v>
      </c>
      <c r="H6" s="734" t="s">
        <v>1763</v>
      </c>
      <c r="I6" s="735" t="s">
        <v>1764</v>
      </c>
      <c r="J6" s="735" t="s">
        <v>1764</v>
      </c>
      <c r="K6" s="735" t="s">
        <v>1764</v>
      </c>
      <c r="L6" s="735" t="s">
        <v>1764</v>
      </c>
      <c r="M6" s="735" t="s">
        <v>1764</v>
      </c>
      <c r="N6" s="735" t="s">
        <v>876</v>
      </c>
      <c r="O6" s="735" t="s">
        <v>1764</v>
      </c>
      <c r="P6" s="735" t="s">
        <v>1764</v>
      </c>
      <c r="Q6" s="735" t="s">
        <v>1764</v>
      </c>
      <c r="R6" s="735" t="s">
        <v>1764</v>
      </c>
      <c r="S6" s="733" t="s">
        <v>876</v>
      </c>
      <c r="T6" s="736" t="s">
        <v>1764</v>
      </c>
      <c r="U6" s="736" t="s">
        <v>1764</v>
      </c>
      <c r="V6" s="736" t="s">
        <v>1764</v>
      </c>
      <c r="W6" s="736" t="s">
        <v>1764</v>
      </c>
      <c r="X6" s="736" t="s">
        <v>1764</v>
      </c>
      <c r="Y6" s="731" t="s">
        <v>1765</v>
      </c>
      <c r="Z6" s="737"/>
    </row>
    <row r="7" spans="1:26" ht="15.75">
      <c r="A7" s="738">
        <v>2</v>
      </c>
      <c r="B7" s="739" t="s">
        <v>1552</v>
      </c>
      <c r="C7" s="739" t="s">
        <v>1553</v>
      </c>
      <c r="D7" s="739">
        <v>298</v>
      </c>
      <c r="E7" s="740" t="s">
        <v>1766</v>
      </c>
      <c r="F7" s="739" t="s">
        <v>1762</v>
      </c>
      <c r="G7" s="741" t="s">
        <v>878</v>
      </c>
      <c r="H7" s="742" t="s">
        <v>1763</v>
      </c>
      <c r="I7" s="743" t="s">
        <v>1764</v>
      </c>
      <c r="J7" s="743" t="s">
        <v>1764</v>
      </c>
      <c r="K7" s="743" t="s">
        <v>1764</v>
      </c>
      <c r="L7" s="743" t="s">
        <v>1764</v>
      </c>
      <c r="M7" s="743" t="s">
        <v>1764</v>
      </c>
      <c r="N7" s="743" t="s">
        <v>876</v>
      </c>
      <c r="O7" s="743" t="s">
        <v>1764</v>
      </c>
      <c r="P7" s="743" t="s">
        <v>1764</v>
      </c>
      <c r="Q7" s="743" t="s">
        <v>1764</v>
      </c>
      <c r="R7" s="743" t="s">
        <v>1764</v>
      </c>
      <c r="S7" s="741" t="s">
        <v>876</v>
      </c>
      <c r="T7" s="743" t="s">
        <v>1764</v>
      </c>
      <c r="U7" s="743" t="s">
        <v>1764</v>
      </c>
      <c r="V7" s="743" t="s">
        <v>1764</v>
      </c>
      <c r="W7" s="743" t="s">
        <v>1764</v>
      </c>
      <c r="X7" s="743" t="s">
        <v>1764</v>
      </c>
      <c r="Y7" s="744" t="s">
        <v>1767</v>
      </c>
      <c r="Z7" s="745"/>
    </row>
    <row r="8" spans="1:26" ht="15.75">
      <c r="A8" s="738">
        <v>3</v>
      </c>
      <c r="B8" s="739" t="s">
        <v>1554</v>
      </c>
      <c r="C8" s="739" t="s">
        <v>1555</v>
      </c>
      <c r="D8" s="739">
        <v>302</v>
      </c>
      <c r="E8" s="740" t="s">
        <v>1768</v>
      </c>
      <c r="F8" s="739" t="s">
        <v>1762</v>
      </c>
      <c r="G8" s="741" t="s">
        <v>878</v>
      </c>
      <c r="H8" s="742" t="s">
        <v>1763</v>
      </c>
      <c r="I8" s="743" t="s">
        <v>1764</v>
      </c>
      <c r="J8" s="743" t="s">
        <v>1764</v>
      </c>
      <c r="K8" s="743" t="s">
        <v>1764</v>
      </c>
      <c r="L8" s="743" t="s">
        <v>1764</v>
      </c>
      <c r="M8" s="743" t="s">
        <v>1764</v>
      </c>
      <c r="N8" s="743" t="s">
        <v>876</v>
      </c>
      <c r="O8" s="743" t="s">
        <v>1764</v>
      </c>
      <c r="P8" s="743" t="s">
        <v>1764</v>
      </c>
      <c r="Q8" s="743" t="s">
        <v>1764</v>
      </c>
      <c r="R8" s="743" t="s">
        <v>1764</v>
      </c>
      <c r="S8" s="741" t="s">
        <v>876</v>
      </c>
      <c r="T8" s="743" t="s">
        <v>1764</v>
      </c>
      <c r="U8" s="743" t="s">
        <v>1764</v>
      </c>
      <c r="V8" s="743" t="s">
        <v>1764</v>
      </c>
      <c r="W8" s="744" t="s">
        <v>1764</v>
      </c>
      <c r="X8" s="744" t="s">
        <v>1764</v>
      </c>
      <c r="Y8" s="739" t="s">
        <v>1769</v>
      </c>
      <c r="Z8" s="745"/>
    </row>
    <row r="9" spans="1:26" ht="15.75">
      <c r="A9" s="738">
        <v>4</v>
      </c>
      <c r="B9" s="739" t="s">
        <v>1572</v>
      </c>
      <c r="C9" s="739" t="s">
        <v>1574</v>
      </c>
      <c r="D9" s="739">
        <v>250</v>
      </c>
      <c r="E9" s="740" t="s">
        <v>1770</v>
      </c>
      <c r="F9" s="739" t="s">
        <v>1762</v>
      </c>
      <c r="G9" s="741" t="s">
        <v>878</v>
      </c>
      <c r="H9" s="742" t="s">
        <v>1763</v>
      </c>
      <c r="I9" s="743" t="s">
        <v>1764</v>
      </c>
      <c r="J9" s="743" t="s">
        <v>1764</v>
      </c>
      <c r="K9" s="743" t="s">
        <v>1764</v>
      </c>
      <c r="L9" s="743" t="s">
        <v>1764</v>
      </c>
      <c r="M9" s="743" t="s">
        <v>1764</v>
      </c>
      <c r="N9" s="741"/>
      <c r="O9" s="743" t="s">
        <v>1764</v>
      </c>
      <c r="P9" s="743" t="s">
        <v>1764</v>
      </c>
      <c r="Q9" s="743" t="s">
        <v>1764</v>
      </c>
      <c r="R9" s="743" t="s">
        <v>1764</v>
      </c>
      <c r="S9" s="741"/>
      <c r="T9" s="743" t="s">
        <v>1764</v>
      </c>
      <c r="U9" s="743" t="s">
        <v>1764</v>
      </c>
      <c r="V9" s="743" t="s">
        <v>1764</v>
      </c>
      <c r="W9" s="744" t="s">
        <v>1764</v>
      </c>
      <c r="X9" s="744" t="s">
        <v>1764</v>
      </c>
      <c r="Y9" s="743" t="s">
        <v>1765</v>
      </c>
      <c r="Z9" s="745"/>
    </row>
    <row r="10" spans="1:26" ht="15.75">
      <c r="A10" s="738">
        <v>5</v>
      </c>
      <c r="B10" s="739" t="s">
        <v>1581</v>
      </c>
      <c r="C10" s="739" t="s">
        <v>1582</v>
      </c>
      <c r="D10" s="739">
        <v>293</v>
      </c>
      <c r="E10" s="740" t="s">
        <v>1771</v>
      </c>
      <c r="F10" s="739" t="s">
        <v>1762</v>
      </c>
      <c r="G10" s="741" t="s">
        <v>878</v>
      </c>
      <c r="H10" s="742" t="s">
        <v>1763</v>
      </c>
      <c r="I10" s="743" t="s">
        <v>1764</v>
      </c>
      <c r="J10" s="743" t="s">
        <v>1764</v>
      </c>
      <c r="K10" s="743" t="s">
        <v>1764</v>
      </c>
      <c r="L10" s="743" t="s">
        <v>1764</v>
      </c>
      <c r="M10" s="743" t="s">
        <v>1764</v>
      </c>
      <c r="N10" s="743" t="s">
        <v>876</v>
      </c>
      <c r="O10" s="743" t="s">
        <v>1764</v>
      </c>
      <c r="P10" s="743" t="s">
        <v>1764</v>
      </c>
      <c r="Q10" s="743" t="s">
        <v>1764</v>
      </c>
      <c r="R10" s="743" t="s">
        <v>1764</v>
      </c>
      <c r="S10" s="741"/>
      <c r="T10" s="743" t="s">
        <v>1764</v>
      </c>
      <c r="U10" s="743" t="s">
        <v>1764</v>
      </c>
      <c r="V10" s="743" t="s">
        <v>1764</v>
      </c>
      <c r="W10" s="744" t="s">
        <v>1764</v>
      </c>
      <c r="X10" s="744" t="s">
        <v>1764</v>
      </c>
      <c r="Y10" s="743" t="s">
        <v>1765</v>
      </c>
      <c r="Z10" s="745"/>
    </row>
    <row r="11" spans="1:26" ht="15.75">
      <c r="A11" s="738">
        <v>6</v>
      </c>
      <c r="B11" s="739" t="s">
        <v>1772</v>
      </c>
      <c r="C11" s="739" t="s">
        <v>1773</v>
      </c>
      <c r="D11" s="739">
        <v>274</v>
      </c>
      <c r="E11" s="740" t="s">
        <v>1774</v>
      </c>
      <c r="F11" s="739" t="s">
        <v>1762</v>
      </c>
      <c r="G11" s="741" t="s">
        <v>878</v>
      </c>
      <c r="H11" s="742" t="s">
        <v>1763</v>
      </c>
      <c r="I11" s="743" t="s">
        <v>1764</v>
      </c>
      <c r="J11" s="743" t="s">
        <v>1764</v>
      </c>
      <c r="K11" s="743" t="s">
        <v>1764</v>
      </c>
      <c r="L11" s="743" t="s">
        <v>1764</v>
      </c>
      <c r="M11" s="743" t="s">
        <v>1764</v>
      </c>
      <c r="N11" s="743" t="s">
        <v>876</v>
      </c>
      <c r="O11" s="743" t="s">
        <v>1764</v>
      </c>
      <c r="P11" s="743" t="s">
        <v>1764</v>
      </c>
      <c r="Q11" s="743" t="s">
        <v>1764</v>
      </c>
      <c r="R11" s="743" t="s">
        <v>1764</v>
      </c>
      <c r="S11" s="741" t="s">
        <v>876</v>
      </c>
      <c r="T11" s="743" t="s">
        <v>1764</v>
      </c>
      <c r="U11" s="743" t="s">
        <v>1764</v>
      </c>
      <c r="V11" s="743" t="s">
        <v>1764</v>
      </c>
      <c r="W11" s="744" t="s">
        <v>1764</v>
      </c>
      <c r="X11" s="744" t="s">
        <v>1764</v>
      </c>
      <c r="Y11" s="743" t="s">
        <v>1765</v>
      </c>
      <c r="Z11" s="746"/>
    </row>
    <row r="12" spans="1:26" ht="15.75">
      <c r="A12" s="738">
        <v>7</v>
      </c>
      <c r="B12" s="739" t="s">
        <v>1773</v>
      </c>
      <c r="C12" s="739" t="s">
        <v>1775</v>
      </c>
      <c r="D12" s="739">
        <v>289</v>
      </c>
      <c r="E12" s="740" t="s">
        <v>1776</v>
      </c>
      <c r="F12" s="739" t="s">
        <v>1762</v>
      </c>
      <c r="G12" s="741" t="s">
        <v>878</v>
      </c>
      <c r="H12" s="742" t="s">
        <v>1763</v>
      </c>
      <c r="I12" s="743" t="s">
        <v>1764</v>
      </c>
      <c r="J12" s="743" t="s">
        <v>1764</v>
      </c>
      <c r="K12" s="743" t="s">
        <v>1764</v>
      </c>
      <c r="L12" s="743" t="s">
        <v>1764</v>
      </c>
      <c r="M12" s="743" t="s">
        <v>1764</v>
      </c>
      <c r="N12" s="743" t="s">
        <v>876</v>
      </c>
      <c r="O12" s="743" t="s">
        <v>1764</v>
      </c>
      <c r="P12" s="743" t="s">
        <v>1764</v>
      </c>
      <c r="Q12" s="743" t="s">
        <v>1764</v>
      </c>
      <c r="R12" s="743" t="s">
        <v>1764</v>
      </c>
      <c r="S12" s="741"/>
      <c r="T12" s="743" t="s">
        <v>1764</v>
      </c>
      <c r="U12" s="743" t="s">
        <v>1764</v>
      </c>
      <c r="V12" s="743" t="s">
        <v>1764</v>
      </c>
      <c r="W12" s="744" t="s">
        <v>1764</v>
      </c>
      <c r="X12" s="744" t="s">
        <v>1764</v>
      </c>
      <c r="Y12" s="743" t="s">
        <v>1765</v>
      </c>
      <c r="Z12" s="746"/>
    </row>
    <row r="13" spans="1:26" ht="16.5" thickBot="1">
      <c r="A13" s="747">
        <v>8</v>
      </c>
      <c r="B13" s="748" t="s">
        <v>1775</v>
      </c>
      <c r="C13" s="748" t="s">
        <v>1777</v>
      </c>
      <c r="D13" s="748">
        <v>248</v>
      </c>
      <c r="E13" s="749" t="s">
        <v>1778</v>
      </c>
      <c r="F13" s="748" t="s">
        <v>1762</v>
      </c>
      <c r="G13" s="750" t="s">
        <v>878</v>
      </c>
      <c r="H13" s="751" t="s">
        <v>1763</v>
      </c>
      <c r="I13" s="752" t="s">
        <v>1764</v>
      </c>
      <c r="J13" s="752" t="s">
        <v>1764</v>
      </c>
      <c r="K13" s="752" t="s">
        <v>1764</v>
      </c>
      <c r="L13" s="752" t="s">
        <v>1764</v>
      </c>
      <c r="M13" s="752" t="s">
        <v>1764</v>
      </c>
      <c r="N13" s="752" t="s">
        <v>876</v>
      </c>
      <c r="O13" s="743" t="s">
        <v>1764</v>
      </c>
      <c r="P13" s="743" t="s">
        <v>1764</v>
      </c>
      <c r="Q13" s="752" t="s">
        <v>1764</v>
      </c>
      <c r="R13" s="748" t="s">
        <v>1764</v>
      </c>
      <c r="S13" s="750"/>
      <c r="T13" s="752" t="s">
        <v>1764</v>
      </c>
      <c r="U13" s="752" t="s">
        <v>1764</v>
      </c>
      <c r="V13" s="752" t="s">
        <v>1764</v>
      </c>
      <c r="W13" s="744" t="s">
        <v>1764</v>
      </c>
      <c r="X13" s="744" t="s">
        <v>1764</v>
      </c>
      <c r="Y13" s="748" t="s">
        <v>1765</v>
      </c>
      <c r="Z13" s="753"/>
    </row>
  </sheetData>
  <mergeCells count="17"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I4:J4"/>
    <mergeCell ref="K4:N4"/>
    <mergeCell ref="O4:P4"/>
    <mergeCell ref="Q4:S4"/>
    <mergeCell ref="T4:U4"/>
    <mergeCell ref="V4:Y4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18</vt:i4>
      </vt:variant>
    </vt:vector>
  </HeadingPairs>
  <TitlesOfParts>
    <vt:vector size="46" baseType="lpstr">
      <vt:lpstr>TB-412 SUMMARY</vt:lpstr>
      <vt:lpstr>Summary-</vt:lpstr>
      <vt:lpstr>Survey Status</vt:lpstr>
      <vt:lpstr>Sheet3</vt:lpstr>
      <vt:lpstr>DPR Sheet </vt:lpstr>
      <vt:lpstr>WIP</vt:lpstr>
      <vt:lpstr>GANG Mapping MAY-26 </vt:lpstr>
      <vt:lpstr>Soil Investigation</vt:lpstr>
      <vt:lpstr>Sheet1</vt:lpstr>
      <vt:lpstr>Progress 400kV QM</vt:lpstr>
      <vt:lpstr>VC 400 KV QM</vt:lpstr>
      <vt:lpstr>Progress 220KV TM</vt:lpstr>
      <vt:lpstr>VC 220 TM</vt:lpstr>
      <vt:lpstr>VC 220 SZ</vt:lpstr>
      <vt:lpstr>ROW</vt:lpstr>
      <vt:lpstr>220 SZ Status</vt:lpstr>
      <vt:lpstr>CS-220kV TM </vt:lpstr>
      <vt:lpstr>DS-220 KV TM</vt:lpstr>
      <vt:lpstr>DS 400kV LI</vt:lpstr>
      <vt:lpstr>DS 400 kV LO</vt:lpstr>
      <vt:lpstr>Survey Report</vt:lpstr>
      <vt:lpstr>FDN</vt:lpstr>
      <vt:lpstr>Earthing Pending</vt:lpstr>
      <vt:lpstr>Erection</vt:lpstr>
      <vt:lpstr>Earthing</vt:lpstr>
      <vt:lpstr>Earthing Balance</vt:lpstr>
      <vt:lpstr>Statutary </vt:lpstr>
      <vt:lpstr>Power line Crossings </vt:lpstr>
      <vt:lpstr>'CS-220kV TM '!Print_Area</vt:lpstr>
      <vt:lpstr>'DPR Sheet '!Print_Area</vt:lpstr>
      <vt:lpstr>'DS-220 KV TM'!Print_Area</vt:lpstr>
      <vt:lpstr>FDN!Print_Area</vt:lpstr>
      <vt:lpstr>'GANG Mapping MAY-26 '!Print_Area</vt:lpstr>
      <vt:lpstr>'Power line Crossings '!Print_Area</vt:lpstr>
      <vt:lpstr>'Progress 220KV TM'!Print_Area</vt:lpstr>
      <vt:lpstr>'Soil Investigation'!Print_Area</vt:lpstr>
      <vt:lpstr>'Summary-'!Print_Area</vt:lpstr>
      <vt:lpstr>'VC 220 SZ'!Print_Area</vt:lpstr>
      <vt:lpstr>WIP!Print_Area</vt:lpstr>
      <vt:lpstr>'CS-220kV TM '!Print_Titles</vt:lpstr>
      <vt:lpstr>'DS 400 kV LO'!Print_Titles</vt:lpstr>
      <vt:lpstr>'DS 400kV LI'!Print_Titles</vt:lpstr>
      <vt:lpstr>'DS-220 KV TM'!Print_Titles</vt:lpstr>
      <vt:lpstr>'Progress 220KV TM'!Print_Titles</vt:lpstr>
      <vt:lpstr>'Summary-'!Print_Titles</vt:lpstr>
      <vt:lpstr>'VC 400 KV QM'!Print_Titles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Varma</dc:creator>
  <cp:lastModifiedBy>Uttam Rai</cp:lastModifiedBy>
  <cp:lastPrinted>2026-06-20T07:35:52Z</cp:lastPrinted>
  <dcterms:created xsi:type="dcterms:W3CDTF">2025-10-22T05:28:14Z</dcterms:created>
  <dcterms:modified xsi:type="dcterms:W3CDTF">2026-06-25T05:22:51Z</dcterms:modified>
</cp:coreProperties>
</file>