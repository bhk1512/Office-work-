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50321BD3-36FD-4D1A-9A67-77BCC94D89A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'!$A$343:$CX$463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Sheet'!$A$1:$O$57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" i="12" l="1"/>
  <c r="B196" i="2"/>
  <c r="B197" i="2"/>
  <c r="B198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M3" i="20" s="1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I77" i="20" s="1"/>
  <c r="K47" i="1"/>
  <c r="L47" i="1" s="1"/>
  <c r="L47" i="18" s="1"/>
  <c r="G47" i="1"/>
  <c r="M2" i="20" l="1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4" i="2" l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6" i="1" l="1"/>
  <c r="G46" i="1"/>
  <c r="G46" i="18" s="1"/>
  <c r="G45" i="1"/>
  <c r="K45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7" i="1" l="1"/>
  <c r="I47" i="18" s="1"/>
  <c r="G47" i="18"/>
  <c r="L45" i="1"/>
  <c r="L45" i="18" s="1"/>
  <c r="K45" i="18"/>
  <c r="L46" i="1"/>
  <c r="L46" i="18" s="1"/>
  <c r="K46" i="18"/>
  <c r="I45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5" i="2" l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C344" i="2" l="1"/>
  <c r="C344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<sst xmlns="http://schemas.openxmlformats.org/spreadsheetml/2006/main" count="7975" uniqueCount="1074">
  <si>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</si>
  <si>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</si>
  <si>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</si>
  <si>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</si>
  <si>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</si>
  <si>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</si>
  <si>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</si>
  <si>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</si>
  <si>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</si>
  <si>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</si>
  <si>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</si>
  <si>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</si>
  <si>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</si>
  <si>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</si>
  <si>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</si>
  <si>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</si>
  <si>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</si>
  <si>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</si>
  <si>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</si>
  <si>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</si>
  <si>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</si>
  <si>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</si>
  <si>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</si>
  <si>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</si>
  <si>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</si>
  <si>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</si>
  <si>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</si>
  <si>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</si>
  <si>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</si>
  <si>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</si>
  <si>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</si>
  <si>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</si>
  <si>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</si>
  <si>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</si>
  <si>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</si>
  <si>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</si>
  <si>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</si>
  <si>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</si>
  <si>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</si>
  <si>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</si>
  <si>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</si>
  <si>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</si>
  <si>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</si>
  <si>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</si>
  <si>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</si>
  <si>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</si>
  <si>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</si>
  <si>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</si>
  <si>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</si>
  <si>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</si>
  <si>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</si>
  <si>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</si>
  <si>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</si>
  <si>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</si>
  <si>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</si>
  <si>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</si>
  <si>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</si>
  <si>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</si>
  <si>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</si>
  <si>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</si>
  <si>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</si>
  <si>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</si>
  <si>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</si>
  <si>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</si>
  <si>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</si>
  <si>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</si>
  <si>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</si>
  <si>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</si>
  <si>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</si>
  <si>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</si>
  <si>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</si>
  <si>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</si>
  <si>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</si>
  <si>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</si>
  <si>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</si>
  <si>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</si>
  <si>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</si>
  <si>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</si>
  <si>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</si>
  <si>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</si>
  <si>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</si>
  <si>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</si>
  <si>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</si>
  <si>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</si>
  <si>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</si>
  <si>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</si>
  <si>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</si>
  <si>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</si>
  <si>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</si>
  <si>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</si>
  <si>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</si>
  <si>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</si>
  <si>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</si>
  <si>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</si>
  <si>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</si>
  <si>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</si>
  <si>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</si>
  <si>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</si>
  <si>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</si>
  <si>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</si>
  <si>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</si>
  <si>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</si>
  <si>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</si>
  <si>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</si>
  <si>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</si>
  <si>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</si>
  <si>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</si>
  <si>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</si>
  <si>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</si>
  <si>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</si>
  <si>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</si>
  <si>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</si>
  <si>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</si>
  <si>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</si>
  <si>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</si>
  <si>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</si>
  <si>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</si>
  <si>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</si>
  <si>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</si>
  <si>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</si>
  <si>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</si>
  <si>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</si>
  <si>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</si>
  <si>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</si>
  <si>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</si>
  <si>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</si>
  <si>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</si>
  <si>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</si>
  <si>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</si>
  <si>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</si>
  <si>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</si>
  <si>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</si>
  <si>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</si>
  <si>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</si>
  <si>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</si>
  <si>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</si>
  <si>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</si>
  <si>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</si>
  <si>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</si>
  <si>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</si>
  <si>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</si>
  <si>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</si>
  <si>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</si>
  <si>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</si>
  <si>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</si>
  <si>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</si>
  <si>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</si>
  <si>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</si>
  <si>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</si>
  <si>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</si>
  <si>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</si>
  <si>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</si>
  <si>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</si>
  <si>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</si>
  <si>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</si>
  <si>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</si>
  <si>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</si>
  <si>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</si>
  <si>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</si>
  <si>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</si>
  <si>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</si>
  <si>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</si>
  <si>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</si>
  <si>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</si>
  <si>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</si>
  <si>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</si>
  <si>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</si>
  <si>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</si>
  <si>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</si>
  <si>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</si>
  <si>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</si>
  <si>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</si>
  <si>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</si>
  <si>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</si>
  <si>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</si>
  <si>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</si>
  <si>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</si>
  <si>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</si>
  <si>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</si>
  <si>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</si>
  <si>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</si>
  <si>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</si>
  <si>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</si>
  <si>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</si>
  <si>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</si>
  <si>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</si>
  <si>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</si>
  <si>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</si>
  <si>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</si>
  <si>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</si>
  <si>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</si>
  <si>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</si>
  <si>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</si>
  <si>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</si>
  <si>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</si>
  <si>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</si>
  <si>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</si>
  <si>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</si>
  <si>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</si>
  <si>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</si>
  <si>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</si>
  <si>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</si>
  <si>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</si>
  <si>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</si>
  <si>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</si>
  <si>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</si>
  <si>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</si>
  <si>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</si>
  <si>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</si>
  <si>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</si>
  <si>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</si>
  <si>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</si>
  <si>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</si>
  <si>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</si>
  <si>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</si>
  <si>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</si>
  <si>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</si>
  <si>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</si>
  <si>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</si>
  <si>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</si>
  <si>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</si>
  <si>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</si>
  <si>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</si>
  <si>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</si>
  <si>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</si>
  <si>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</si>
  <si>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</si>
  <si>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</si>
  <si>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</si>
  <si>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</si>
  <si>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</si>
  <si>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</si>
  <si>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</si>
  <si>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</si>
  <si>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</si>
  <si>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</si>
  <si>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</si>
  <si>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</si>
  <si>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</si>
  <si>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</si>
  <si>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</si>
  <si>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</si>
  <si>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</si>
  <si>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</si>
  <si>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</si>
  <si>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</si>
  <si>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</si>
  <si>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</si>
  <si>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</si>
  <si>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</si>
  <si>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</si>
  <si>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</si>
  <si>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</si>
  <si>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</si>
  <si>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</si>
  <si>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</si>
  <si>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</si>
  <si>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</si>
  <si>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</si>
  <si>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</si>
  <si>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</si>
  <si>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</si>
  <si>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</si>
  <si>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</si>
  <si>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</si>
  <si>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</si>
  <si>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</si>
  <si>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</si>
  <si>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</si>
  <si>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</si>
  <si>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</si>
  <si>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</si>
  <si>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</si>
  <si>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</si>
  <si>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</si>
  <si>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</si>
  <si>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</si>
  <si>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</si>
  <si>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</si>
  <si>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</si>
  <si>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</si>
  <si>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</si>
  <si>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</si>
  <si>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</si>
  <si>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</si>
  <si>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</si>
  <si>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</si>
  <si>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</si>
  <si>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</si>
  <si>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</si>
  <si>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</si>
  <si>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</si>
  <si>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</si>
  <si>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</si>
  <si>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</si>
  <si>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</si>
  <si>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</si>
  <si>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</si>
  <si>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</si>
  <si>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</si>
  <si>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</si>
  <si>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</si>
  <si>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</si>
  <si>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</si>
  <si>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</si>
  <si>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</si>
  <si>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</si>
  <si>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</si>
  <si>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</si>
  <si>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</si>
  <si>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</si>
  <si>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</si>
  <si>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</si>
  <si>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</si>
  <si>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</si>
  <si>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</si>
  <si>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</si>
  <si>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</si>
  <si>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</si>
  <si>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</si>
  <si>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</si>
  <si>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</si>
  <si>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</si>
  <si>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</si>
  <si>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</si>
  <si>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</si>
  <si>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</si>
  <si>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</si>
  <si>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</si>
  <si>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</si>
  <si>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</si>
  <si>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</si>
  <si>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</si>
  <si>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</si>
  <si>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</si>
  <si>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</si>
  <si>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</si>
  <si>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</si>
  <si>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</si>
  <si>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</si>
  <si>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</si>
  <si>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</si>
  <si>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</si>
  <si>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</si>
  <si>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</si>
  <si>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</si>
  <si>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</si>
  <si>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</si>
  <si>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</si>
  <si>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</si>
  <si>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</si>
  <si>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</si>
  <si>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</si>
  <si>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</si>
  <si>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</si>
  <si>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</si>
  <si>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</si>
  <si>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</si>
  <si>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</si>
  <si>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</si>
  <si>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</si>
  <si>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</si>
  <si>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</si>
  <si>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</si>
  <si>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</si>
  <si>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</si>
  <si>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</si>
  <si>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</si>
  <si>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</si>
  <si>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</si>
  <si>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</si>
  <si>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</si>
  <si>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</si>
  <si>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</si>
  <si>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</si>
  <si>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</si>
  <si>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</si>
  <si>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</si>
  <si>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</si>
  <si>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</si>
  <si>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</si>
  <si>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</si>
  <si>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</si>
  <si>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</si>
  <si>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</si>
  <si>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</si>
  <si>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</si>
  <si>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</si>
  <si>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</si>
  <si>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</si>
  <si>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</si>
  <si>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</si>
  <si>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</si>
  <si>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</si>
  <si>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</si>
  <si>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</si>
  <si>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</si>
  <si>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</si>
  <si>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</si>
  <si>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</si>
  <si>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</si>
  <si>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</si>
  <si>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</si>
  <si>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</si>
  <si>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</si>
  <si>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</si>
  <si>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</si>
  <si>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</si>
  <si>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</si>
  <si>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</si>
  <si>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</si>
  <si>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</si>
  <si>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</si>
  <si>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</si>
  <si>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</si>
  <si>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</si>
  <si>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</si>
  <si>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</si>
  <si>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</si>
  <si>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</si>
  <si>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</si>
  <si>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</si>
  <si>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</si>
  <si>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</si>
  <si>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</si>
  <si>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</si>
  <si>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</si>
  <si>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</si>
  <si>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</si>
  <si>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</si>
  <si>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</si>
  <si>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</si>
  <si>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</si>
  <si>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</si>
  <si>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</si>
  <si>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</si>
  <si>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</si>
  <si>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</si>
  <si>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</si>
  <si>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</si>
  <si>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</si>
  <si>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</si>
  <si>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</si>
  <si>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</si>
  <si>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</si>
  <si>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</si>
  <si>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</si>
  <si>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</si>
  <si>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</si>
  <si>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</si>
  <si>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</si>
  <si>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</si>
  <si>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</si>
  <si>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</si>
  <si>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</si>
  <si>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</si>
  <si>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</si>
  <si>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</si>
  <si>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</si>
  <si>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</si>
  <si>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</si>
  <si>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</si>
  <si>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</si>
  <si>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</si>
  <si>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</si>
  <si>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</si>
  <si>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</si>
  <si>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</si>
  <si>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</si>
  <si>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</si>
  <si>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</si>
  <si>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</si>
  <si>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</si>
  <si>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</si>
  <si>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</si>
  <si>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</si>
  <si>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</si>
  <si>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</si>
  <si>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</si>
  <si>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</si>
  <si>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</si>
  <si>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</si>
  <si>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</si>
  <si>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</si>
  <si>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</si>
  <si>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</si>
  <si>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</si>
  <si>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</si>
  <si>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</si>
  <si>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</si>
  <si>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</si>
  <si>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</si>
  <si>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</si>
  <si>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</si>
  <si>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</si>
  <si>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</si>
  <si>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</si>
  <si>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</si>
  <si>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</si>
  <si>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</si>
  <si>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</si>
  <si>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</si>
  <si>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</si>
  <si>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</si>
  <si>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</si>
  <si>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</si>
  <si>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</si>
  <si>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</si>
  <si>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</si>
  <si>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</si>
  <si>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</si>
  <si>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</si>
  <si>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</si>
  <si>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</si>
  <si>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</si>
  <si>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</si>
  <si>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</si>
  <si>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</si>
  <si>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</si>
  <si>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</si>
  <si>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</si>
  <si>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</si>
  <si>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</si>
  <si>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</si>
  <si>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</si>
  <si>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</si>
  <si>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</si>
  <si>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</si>
  <si>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</si>
  <si>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</si>
  <si>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</si>
  <si>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</si>
  <si>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</si>
  <si>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</si>
  <si>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</si>
  <si>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</si>
  <si>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</si>
  <si>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</si>
  <si>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</si>
  <si>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</si>
  <si>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</si>
  <si>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</si>
  <si>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</si>
  <si>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</si>
  <si>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</si>
  <si>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</si>
  <si>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</si>
  <si>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</si>
  <si>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</si>
  <si>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</si>
  <si>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</si>
  <si>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</si>
  <si>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</si>
  <si>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</si>
  <si>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</si>
  <si>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</si>
  <si>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</si>
  <si>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</si>
  <si>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</si>
  <si>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</si>
  <si>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</si>
  <si>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</si>
  <si>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</si>
  <si>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</si>
  <si>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</si>
  <si>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</si>
  <si>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</si>
  <si>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</si>
  <si>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</si>
  <si>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</si>
  <si>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</si>
  <si>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</si>
  <si>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</si>
  <si>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</si>
  <si>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</si>
  <si>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</si>
  <si>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</si>
  <si>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</si>
  <si>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</si>
  <si>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</si>
  <si>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</si>
  <si>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</si>
  <si>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</si>
  <si>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</si>
  <si>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</si>
  <si>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</si>
  <si>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</si>
  <si>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</si>
  <si>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</si>
  <si>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</si>
  <si>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</si>
  <si>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</si>
  <si>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</si>
  <si>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</si>
  <si>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</si>
  <si>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</si>
  <si>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</si>
  <si>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</si>
  <si>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</si>
  <si>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</si>
  <si>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</si>
  <si>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</si>
  <si>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</si>
  <si>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</si>
  <si>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</si>
  <si>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</si>
  <si>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</si>
  <si>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</si>
  <si>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</si>
  <si>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</si>
  <si>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</si>
  <si>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</si>
  <si>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</si>
  <si>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</si>
  <si>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</si>
  <si>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</si>
  <si>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</si>
  <si>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</si>
  <si>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</si>
  <si>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</si>
  <si>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</si>
  <si>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</si>
  <si>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</si>
  <si>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</si>
  <si>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</si>
  <si>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</si>
  <si>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</si>
  <si>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</si>
  <si>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</si>
  <si>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</si>
  <si>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</si>
  <si>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</si>
  <si>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</si>
  <si>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</si>
  <si>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</si>
  <si>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</si>
  <si>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</si>
  <si>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</si>
  <si>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</si>
  <si>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</si>
  <si>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</si>
  <si>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</si>
  <si>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</si>
  <si>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</si>
  <si>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</si>
  <si>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</si>
  <si>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</si>
  <si>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</si>
  <si>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</si>
  <si>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</si>
  <si>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</si>
  <si>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</si>
  <si>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</si>
  <si>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</si>
  <si>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</si>
  <si>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</si>
  <si>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</si>
  <si>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</si>
  <si>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</si>
  <si>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</si>
  <si>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</si>
  <si>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</si>
  <si>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</si>
  <si>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</si>
  <si>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</si>
  <si>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</si>
  <si>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</si>
  <si>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</si>
  <si>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</si>
  <si>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</si>
  <si>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</si>
  <si>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</si>
  <si>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</si>
  <si>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</si>
  <si>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</si>
  <si>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</si>
  <si>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</si>
  <si>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</si>
  <si>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</si>
  <si>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</si>
  <si>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</si>
  <si>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</si>
  <si>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</si>
  <si>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</si>
  <si>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</si>
  <si>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</si>
  <si>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</si>
  <si>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</si>
  <si>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</si>
  <si>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</si>
  <si>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</si>
  <si>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</si>
  <si>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</si>
  <si>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</si>
  <si>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</si>
  <si>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</si>
  <si>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</si>
  <si>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</si>
  <si>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</si>
  <si>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</si>
  <si>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</si>
  <si>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</si>
  <si>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</si>
  <si>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</si>
  <si>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</si>
  <si>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</si>
  <si>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</si>
  <si>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</si>
  <si>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</si>
  <si>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</si>
  <si>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</si>
  <si>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</si>
  <si>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</si>
  <si>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</si>
  <si>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</si>
  <si>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</si>
  <si>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</si>
  <si>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</si>
  <si>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</si>
  <si>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</si>
  <si>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</si>
  <si>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</si>
  <si>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</si>
  <si>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</si>
  <si>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</si>
  <si>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</si>
  <si>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</si>
  <si>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</si>
  <si>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</si>
  <si>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</si>
  <si>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</si>
  <si>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</si>
  <si>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</si>
  <si>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</si>
  <si>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</si>
  <si>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</si>
  <si>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</si>
  <si>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</si>
  <si>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</si>
  <si>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</si>
  <si>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</si>
  <si>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</si>
  <si>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</si>
  <si>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</si>
  <si>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</si>
  <si>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</si>
  <si>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</si>
  <si>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</si>
  <si>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</si>
  <si>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</si>
  <si>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</si>
  <si>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</si>
  <si>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</si>
  <si>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</si>
  <si>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</si>
  <si>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</si>
  <si>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</si>
  <si>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</si>
  <si>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</si>
  <si>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</si>
  <si>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</si>
  <si>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</si>
  <si>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</si>
  <si>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</si>
  <si>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</si>
  <si>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</si>
  <si>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</si>
  <si>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</si>
  <si>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</si>
  <si>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</si>
  <si>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</si>
  <si>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</si>
  <si>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</si>
  <si>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</si>
  <si>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</si>
  <si>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</si>
  <si>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</si>
  <si>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</si>
  <si>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</si>
  <si>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</si>
  <si>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</si>
  <si>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</si>
  <si>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</si>
  <si>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</si>
  <si>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</si>
  <si>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</si>
  <si>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</si>
  <si>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</si>
  <si>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</si>
  <si>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</si>
  <si>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</si>
  <si>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</si>
  <si>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</si>
  <si>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</si>
  <si>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</si>
  <si>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</si>
  <si>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</si>
  <si>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</si>
  <si>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</si>
  <si>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</si>
  <si>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</si>
  <si>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</si>
  <si>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</si>
  <si>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</si>
  <si>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</si>
  <si>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</si>
  <si>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</si>
  <si>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</si>
  <si>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</si>
  <si>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</si>
  <si>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</si>
  <si>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</si>
  <si>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</si>
  <si>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</si>
  <si>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</si>
  <si>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</si>
  <si>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</si>
  <si>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</si>
  <si>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</si>
  <si>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</si>
  <si>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</si>
  <si>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</si>
  <si>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</si>
  <si>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</si>
  <si>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</si>
  <si>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</si>
  <si>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</si>
  <si>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</si>
  <si>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</si>
  <si>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</si>
  <si>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</si>
  <si>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</si>
  <si>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</si>
  <si>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</si>
  <si>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</si>
  <si>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</si>
  <si>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</si>
  <si>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</si>
  <si>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</si>
  <si>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</si>
  <si>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</si>
  <si>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</si>
  <si>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</si>
  <si>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</si>
  <si>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</si>
  <si>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</si>
  <si>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</si>
  <si>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</si>
  <si>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</si>
  <si>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</si>
  <si>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</si>
  <si>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</si>
  <si>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</si>
  <si>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</si>
  <si>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</si>
  <si>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</si>
  <si>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</si>
  <si>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</si>
  <si>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</si>
  <si>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</si>
  <si>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</si>
  <si>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</si>
  <si>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</si>
  <si>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</si>
  <si>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</si>
  <si>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</si>
  <si>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</si>
  <si>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</si>
  <si>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</si>
  <si>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</si>
  <si>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</si>
  <si>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</si>
  <si>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</si>
  <si>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</si>
  <si>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</si>
  <si>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</si>
  <si>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</si>
  <si>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</si>
  <si>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</si>
  <si>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</si>
  <si>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</si>
  <si>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</si>
  <si>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</si>
  <si>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</si>
  <si>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</si>
  <si>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</si>
  <si>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</si>
  <si>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</si>
  <si>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</si>
  <si>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</si>
  <si>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</si>
  <si>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</si>
  <si>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</si>
  <si>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</si>
  <si>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</si>
  <si>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</si>
  <si>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</si>
  <si>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</si>
  <si>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</si>
  <si>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</si>
  <si>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</si>
  <si>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</si>
  <si>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</si>
  <si>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</si>
  <si>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</si>
  <si>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</si>
  <si>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</si>
  <si>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</si>
  <si>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</si>
  <si>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</si>
  <si>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</si>
  <si>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</si>
  <si>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</si>
  <si>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</si>
  <si>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</si>
  <si>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</si>
  <si>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</si>
  <si>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</si>
  <si>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</si>
  <si>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</si>
  <si>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</si>
  <si>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</si>
  <si>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</si>
  <si>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</si>
  <si>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</si>
  <si>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</si>
  <si>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</si>
  <si>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</si>
  <si>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</si>
  <si>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</si>
  <si>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</si>
  <si>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</si>
  <si>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</si>
  <si>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</si>
  <si>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</si>
  <si>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</si>
  <si>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</si>
  <si>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Prop Set Completed</t>
  </si>
  <si>
    <t>J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</si>
  <si>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</si>
  <si>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</si>
  <si>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</si>
  <si>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</si>
  <si>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</si>
  <si>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</si>
  <si>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</si>
  <si>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</si>
  <si>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</si>
  <si>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</si>
  <si>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</si>
  <si>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</si>
  <si>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</si>
  <si>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</si>
  <si>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</si>
  <si>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</si>
  <si>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</si>
  <si>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</si>
  <si>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</si>
  <si>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</si>
  <si>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</si>
  <si>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</si>
  <si>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</si>
  <si>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</si>
  <si>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</si>
  <si>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</si>
  <si>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</si>
  <si>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</si>
  <si>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</si>
  <si>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</si>
  <si>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</si>
  <si>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</si>
  <si>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</si>
  <si>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</si>
  <si>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</si>
  <si>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</si>
  <si>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</si>
  <si>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</si>
  <si>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</si>
  <si>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</si>
  <si>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</si>
  <si>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</si>
  <si>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</si>
  <si>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</si>
  <si>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</si>
  <si>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</si>
  <si>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</si>
  <si>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</si>
  <si>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</si>
  <si>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</si>
  <si>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</si>
  <si>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</si>
  <si>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</si>
  <si>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</si>
  <si>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</si>
  <si>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</si>
  <si>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</si>
  <si>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</si>
  <si>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</si>
  <si>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</si>
  <si>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</si>
  <si>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</si>
  <si>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</si>
  <si>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</si>
  <si>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</si>
  <si>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</si>
  <si>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</si>
  <si>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</si>
  <si>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</si>
  <si>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</si>
  <si>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</si>
  <si>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</si>
  <si>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</si>
  <si>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</si>
  <si>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</si>
  <si>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</si>
  <si>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</si>
  <si>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</si>
  <si>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</si>
  <si>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</si>
  <si>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</si>
  <si>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</si>
  <si>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</si>
  <si>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</si>
  <si>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</si>
  <si>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</si>
  <si>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</si>
  <si>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</si>
  <si>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</si>
  <si>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</si>
  <si>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</si>
  <si>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</si>
  <si>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</si>
  <si>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</si>
  <si>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</si>
  <si>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</si>
  <si>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</si>
  <si>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</si>
  <si>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</si>
  <si>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</si>
  <si>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</si>
  <si>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</si>
  <si>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</si>
  <si>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</si>
  <si>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</si>
  <si>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</si>
  <si>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</si>
  <si>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</si>
  <si>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</si>
  <si>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</si>
  <si>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</si>
  <si>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</si>
  <si>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</si>
  <si>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</si>
  <si>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</si>
  <si>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</si>
  <si>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</si>
  <si>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</si>
  <si>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</si>
  <si>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</si>
  <si>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</si>
  <si>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</si>
  <si>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</si>
  <si>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Hard Rock Encounted</t>
  </si>
  <si>
    <t>Block Level Completed</t>
  </si>
  <si>
    <t>RCC Chimney WIP</t>
  </si>
  <si>
    <t>Steel Binding WIP</t>
  </si>
  <si>
    <t>Middle Section WIP</t>
  </si>
  <si>
    <t>1st Section WIP</t>
  </si>
  <si>
    <t>Material Supply WIP</t>
  </si>
  <si>
    <t>Matrial Supply WIP</t>
  </si>
  <si>
    <t>Steeel Binding WIP</t>
  </si>
  <si>
    <t>Blasting WIP</t>
  </si>
  <si>
    <t>Top Section WIP</t>
  </si>
  <si>
    <t>Top 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</si>
</sst>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0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4" fillId="6" borderId="115" xfId="0" applyFont="1" applyFill="1" applyBorder="1" applyAlignment="1">
      <alignment horizontal="center" vertical="center" wrapText="1"/>
    </xf>
    <xf numFmtId="0" fontId="4" fillId="6" borderId="115" xfId="0" applyFont="1" applyFill="1" applyBorder="1" applyAlignment="1">
      <alignment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90" fillId="0" borderId="115" xfId="0" applyFont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6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7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7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8" fillId="0" borderId="70" xfId="0" applyFont="1" applyBorder="1" applyAlignment="1">
      <alignment horizontal="center" vertical="center" wrapText="1"/>
    </xf>
    <xf numFmtId="0" fontId="128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9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9" fillId="3" borderId="38" xfId="0" applyFont="1" applyFill="1" applyBorder="1" applyAlignment="1">
      <alignment horizontal="center" wrapText="1"/>
    </xf>
    <xf numFmtId="0" fontId="129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30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1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7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4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2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3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5" fillId="16" borderId="70" xfId="4" applyFont="1" applyFill="1" applyAlignment="1">
      <alignment horizontal="center" vertical="center"/>
    </xf>
    <xf numFmtId="0" fontId="90" fillId="18" borderId="123" xfId="0" applyFont="1" applyFill="1" applyBorder="1" applyAlignment="1">
      <alignment horizontal="center" vertical="center"/>
    </xf>
    <xf numFmtId="0" fontId="136" fillId="38" borderId="115" xfId="9" applyFont="1" applyFill="1" applyBorder="1" applyAlignment="1">
      <alignment horizontal="center" vertical="center"/>
    </xf>
    <xf numFmtId="0" fontId="136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7" fillId="0" borderId="115" xfId="9" applyNumberFormat="1" applyFont="1" applyBorder="1" applyAlignment="1">
      <alignment horizontal="center" vertical="center"/>
    </xf>
    <xf numFmtId="43" fontId="137" fillId="0" borderId="115" xfId="10" applyFont="1" applyFill="1" applyBorder="1" applyAlignment="1">
      <alignment horizontal="center" vertical="center"/>
    </xf>
    <xf numFmtId="1" fontId="137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9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9" fillId="0" borderId="115" xfId="9" applyFont="1" applyBorder="1" applyAlignment="1">
      <alignment horizontal="left" vertical="center"/>
    </xf>
    <xf numFmtId="0" fontId="139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7" fillId="16" borderId="115" xfId="9" applyNumberFormat="1" applyFont="1" applyFill="1" applyBorder="1" applyAlignment="1">
      <alignment horizontal="center" vertical="center"/>
    </xf>
    <xf numFmtId="43" fontId="137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40" fillId="16" borderId="115" xfId="9" applyFont="1" applyFill="1" applyBorder="1" applyAlignment="1">
      <alignment horizontal="center" vertical="center"/>
    </xf>
    <xf numFmtId="1" fontId="137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41" fillId="3" borderId="115" xfId="0" applyFont="1" applyFill="1" applyBorder="1" applyAlignment="1">
      <alignment horizontal="center" vertical="center"/>
    </xf>
    <xf numFmtId="16" fontId="141" fillId="0" borderId="115" xfId="0" applyNumberFormat="1" applyFont="1" applyBorder="1" applyAlignment="1">
      <alignment horizontal="center" vertical="center"/>
    </xf>
    <xf numFmtId="0" fontId="141" fillId="0" borderId="115" xfId="0" applyFont="1" applyBorder="1" applyAlignment="1">
      <alignment horizontal="center" vertical="center"/>
    </xf>
    <xf numFmtId="14" fontId="141" fillId="0" borderId="115" xfId="0" applyNumberFormat="1" applyFont="1" applyBorder="1" applyAlignment="1">
      <alignment horizontal="center" vertical="center"/>
    </xf>
    <xf numFmtId="164" fontId="141" fillId="0" borderId="115" xfId="0" applyNumberFormat="1" applyFont="1" applyBorder="1" applyAlignment="1">
      <alignment horizontal="center" vertical="center"/>
    </xf>
    <xf numFmtId="0" fontId="142" fillId="18" borderId="115" xfId="0" applyFont="1" applyFill="1" applyBorder="1" applyAlignment="1">
      <alignment vertical="center" wrapText="1"/>
    </xf>
    <xf numFmtId="0" fontId="141" fillId="0" borderId="115" xfId="0" applyFont="1" applyBorder="1" applyAlignment="1">
      <alignment horizontal="left" vertical="center"/>
    </xf>
    <xf numFmtId="14" fontId="141" fillId="3" borderId="115" xfId="0" applyNumberFormat="1" applyFont="1" applyFill="1" applyBorder="1" applyAlignment="1">
      <alignment horizontal="center" vertical="center"/>
    </xf>
    <xf numFmtId="14" fontId="141" fillId="3" borderId="115" xfId="0" applyNumberFormat="1" applyFont="1" applyFill="1" applyBorder="1" applyAlignment="1">
      <alignment horizontal="center"/>
    </xf>
    <xf numFmtId="14" fontId="107" fillId="3" borderId="115" xfId="0" applyNumberFormat="1" applyFont="1" applyFill="1" applyBorder="1" applyAlignment="1">
      <alignment horizontal="center" wrapText="1"/>
    </xf>
    <xf numFmtId="0" fontId="141" fillId="0" borderId="115" xfId="0" applyFont="1" applyBorder="1" applyAlignment="1">
      <alignment horizontal="center"/>
    </xf>
    <xf numFmtId="14" fontId="141" fillId="0" borderId="115" xfId="0" applyNumberFormat="1" applyFont="1" applyBorder="1" applyAlignment="1">
      <alignment horizontal="center"/>
    </xf>
    <xf numFmtId="14" fontId="141" fillId="16" borderId="115" xfId="0" applyNumberFormat="1" applyFont="1" applyFill="1" applyBorder="1" applyAlignment="1">
      <alignment horizontal="center"/>
    </xf>
    <xf numFmtId="164" fontId="141" fillId="0" borderId="115" xfId="0" applyNumberFormat="1" applyFont="1" applyBorder="1" applyAlignment="1">
      <alignment horizontal="center"/>
    </xf>
    <xf numFmtId="0" fontId="141" fillId="0" borderId="115" xfId="0" applyFont="1" applyBorder="1" applyAlignment="1">
      <alignment horizontal="left"/>
    </xf>
    <xf numFmtId="14" fontId="73" fillId="16" borderId="115" xfId="0" applyNumberFormat="1" applyFont="1" applyFill="1" applyBorder="1" applyAlignment="1">
      <alignment horizontal="center"/>
    </xf>
    <xf numFmtId="14" fontId="141" fillId="0" borderId="115" xfId="0" applyNumberFormat="1" applyFont="1" applyBorder="1" applyAlignment="1">
      <alignment horizontal="left"/>
    </xf>
    <xf numFmtId="0" fontId="107" fillId="3" borderId="115" xfId="0" applyFont="1" applyFill="1" applyBorder="1" applyAlignment="1">
      <alignment horizontal="center" vertical="center" wrapText="1"/>
    </xf>
    <xf numFmtId="0" fontId="107" fillId="16" borderId="115" xfId="0" applyFont="1" applyFill="1" applyBorder="1" applyAlignment="1">
      <alignment horizontal="center" vertical="center" wrapText="1"/>
    </xf>
    <xf numFmtId="0" fontId="141" fillId="3" borderId="115" xfId="0" applyFont="1" applyFill="1" applyBorder="1" applyAlignment="1">
      <alignment horizontal="center"/>
    </xf>
    <xf numFmtId="0" fontId="107" fillId="0" borderId="115" xfId="0" applyFont="1" applyBorder="1" applyAlignment="1">
      <alignment horizontal="center" vertical="center" wrapText="1"/>
    </xf>
    <xf numFmtId="14" fontId="141" fillId="0" borderId="123" xfId="0" applyNumberFormat="1" applyFont="1" applyBorder="1" applyAlignment="1">
      <alignment horizontal="center"/>
    </xf>
    <xf numFmtId="0" fontId="141" fillId="0" borderId="123" xfId="0" applyFont="1" applyBorder="1" applyAlignment="1">
      <alignment horizontal="left" vertical="center"/>
    </xf>
    <xf numFmtId="0" fontId="141" fillId="0" borderId="123" xfId="0" applyFont="1" applyBorder="1" applyAlignment="1">
      <alignment horizontal="center"/>
    </xf>
    <xf numFmtId="0" fontId="107" fillId="16" borderId="115" xfId="0" applyFont="1" applyFill="1" applyBorder="1" applyAlignment="1">
      <alignment horizontal="center" vertical="center"/>
    </xf>
    <xf numFmtId="0" fontId="142" fillId="18" borderId="119" xfId="0" applyFont="1" applyFill="1" applyBorder="1" applyAlignment="1">
      <alignment vertical="center" wrapText="1"/>
    </xf>
    <xf numFmtId="0" fontId="107" fillId="3" borderId="120" xfId="0" applyFont="1" applyFill="1" applyBorder="1" applyAlignment="1">
      <alignment horizontal="center" vertical="center" wrapText="1"/>
    </xf>
    <xf numFmtId="14" fontId="107" fillId="0" borderId="115" xfId="0" applyNumberFormat="1" applyFont="1" applyBorder="1" applyAlignment="1">
      <alignment horizontal="center"/>
    </xf>
    <xf numFmtId="0" fontId="141" fillId="3" borderId="123" xfId="0" applyFont="1" applyFill="1" applyBorder="1" applyAlignment="1">
      <alignment horizontal="center" vertical="center"/>
    </xf>
    <xf numFmtId="0" fontId="107" fillId="3" borderId="123" xfId="0" applyFont="1" applyFill="1" applyBorder="1" applyAlignment="1">
      <alignment horizontal="center" vertical="center" wrapText="1"/>
    </xf>
    <xf numFmtId="14" fontId="107" fillId="0" borderId="123" xfId="0" applyNumberFormat="1" applyFont="1" applyBorder="1" applyAlignment="1">
      <alignment horizontal="center" vertical="center" wrapText="1"/>
    </xf>
    <xf numFmtId="164" fontId="141" fillId="0" borderId="123" xfId="0" applyNumberFormat="1" applyFont="1" applyBorder="1" applyAlignment="1">
      <alignment horizontal="center"/>
    </xf>
    <xf numFmtId="0" fontId="142" fillId="18" borderId="124" xfId="0" applyFont="1" applyFill="1" applyBorder="1" applyAlignment="1">
      <alignment vertical="center" wrapText="1"/>
    </xf>
    <xf numFmtId="0" fontId="141" fillId="0" borderId="123" xfId="0" applyFont="1" applyBorder="1" applyAlignment="1">
      <alignment horizontal="left"/>
    </xf>
    <xf numFmtId="0" fontId="107" fillId="18" borderId="115" xfId="0" applyFont="1" applyFill="1" applyBorder="1" applyAlignment="1">
      <alignment horizontal="center" vertical="center" wrapText="1"/>
    </xf>
    <xf numFmtId="0" fontId="107" fillId="0" borderId="115" xfId="0" applyFont="1" applyBorder="1" applyAlignment="1">
      <alignment horizontal="center" vertical="center"/>
    </xf>
    <xf numFmtId="0" fontId="141" fillId="16" borderId="115" xfId="0" applyFont="1" applyFill="1" applyBorder="1" applyAlignment="1">
      <alignment horizontal="center"/>
    </xf>
    <xf numFmtId="0" fontId="141" fillId="0" borderId="119" xfId="0" applyFont="1" applyBorder="1" applyAlignment="1">
      <alignment horizontal="left"/>
    </xf>
    <xf numFmtId="0" fontId="141" fillId="0" borderId="119" xfId="0" applyFont="1" applyBorder="1" applyAlignment="1">
      <alignment horizontal="left" vertical="center"/>
    </xf>
    <xf numFmtId="0" fontId="107" fillId="18" borderId="123" xfId="0" applyFont="1" applyFill="1" applyBorder="1" applyAlignment="1">
      <alignment horizontal="center" vertical="center" wrapText="1"/>
    </xf>
    <xf numFmtId="0" fontId="141" fillId="16" borderId="123" xfId="4" applyFont="1" applyFill="1" applyBorder="1" applyAlignment="1">
      <alignment horizontal="center" vertical="center"/>
    </xf>
    <xf numFmtId="164" fontId="141" fillId="0" borderId="123" xfId="0" applyNumberFormat="1" applyFont="1" applyBorder="1" applyAlignment="1">
      <alignment horizontal="center" vertical="center"/>
    </xf>
    <xf numFmtId="0" fontId="142" fillId="18" borderId="123" xfId="0" applyFont="1" applyFill="1" applyBorder="1" applyAlignment="1">
      <alignment vertical="center" wrapText="1"/>
    </xf>
    <xf numFmtId="0" fontId="141" fillId="0" borderId="124" xfId="0" applyFont="1" applyBorder="1" applyAlignment="1">
      <alignment horizontal="left"/>
    </xf>
    <xf numFmtId="0" fontId="141" fillId="3" borderId="119" xfId="0" applyFont="1" applyFill="1" applyBorder="1" applyAlignment="1">
      <alignment horizontal="center" vertical="center"/>
    </xf>
    <xf numFmtId="0" fontId="141" fillId="18" borderId="115" xfId="4" applyFont="1" applyFill="1" applyBorder="1" applyAlignment="1">
      <alignment horizontal="center" vertical="center"/>
    </xf>
    <xf numFmtId="0" fontId="107" fillId="24" borderId="115" xfId="0" applyFont="1" applyFill="1" applyBorder="1" applyAlignment="1">
      <alignment horizontal="center" vertical="center" wrapText="1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14" fontId="107" fillId="0" borderId="115" xfId="4" applyNumberFormat="1" applyFont="1" applyBorder="1" applyAlignment="1">
      <alignment horizontal="center"/>
    </xf>
    <xf numFmtId="0" fontId="141" fillId="16" borderId="115" xfId="4" applyFont="1" applyFill="1" applyBorder="1" applyAlignment="1">
      <alignment horizontal="center" vertical="center"/>
    </xf>
    <xf numFmtId="14" fontId="107" fillId="0" borderId="115" xfId="4" applyNumberFormat="1" applyFont="1" applyBorder="1" applyAlignment="1">
      <alignment horizontal="center" vertical="center"/>
    </xf>
    <xf numFmtId="0" fontId="141" fillId="24" borderId="115" xfId="0" applyFont="1" applyFill="1" applyBorder="1" applyAlignment="1">
      <alignment horizontal="center" vertical="center"/>
    </xf>
    <xf numFmtId="0" fontId="107" fillId="0" borderId="123" xfId="0" applyFont="1" applyBorder="1" applyAlignment="1">
      <alignment horizontal="center" vertical="center"/>
    </xf>
    <xf numFmtId="0" fontId="107" fillId="0" borderId="123" xfId="0" applyFont="1" applyBorder="1" applyAlignment="1">
      <alignment horizontal="center" vertical="center" wrapText="1"/>
    </xf>
    <xf numFmtId="14" fontId="107" fillId="0" borderId="70" xfId="4" applyNumberFormat="1" applyFont="1" applyAlignment="1">
      <alignment horizontal="center"/>
    </xf>
    <xf numFmtId="0" fontId="141" fillId="3" borderId="115" xfId="0" applyFont="1" applyFill="1" applyBorder="1" applyAlignment="1">
      <alignment horizontal="center" vertical="top"/>
    </xf>
    <xf numFmtId="0" fontId="141" fillId="24" borderId="115" xfId="0" applyFont="1" applyFill="1" applyBorder="1" applyAlignment="1">
      <alignment horizontal="center" vertical="top"/>
    </xf>
    <xf numFmtId="0" fontId="141" fillId="18" borderId="115" xfId="4" applyFont="1" applyFill="1" applyBorder="1" applyAlignment="1">
      <alignment horizontal="center" vertical="top"/>
    </xf>
    <xf numFmtId="0" fontId="107" fillId="24" borderId="115" xfId="0" applyFont="1" applyFill="1" applyBorder="1" applyAlignment="1">
      <alignment horizontal="center" vertical="top" wrapText="1"/>
    </xf>
    <xf numFmtId="14" fontId="141" fillId="0" borderId="115" xfId="0" applyNumberFormat="1" applyFont="1" applyBorder="1" applyAlignment="1">
      <alignment horizontal="center" vertical="top"/>
    </xf>
    <xf numFmtId="164" fontId="141" fillId="0" borderId="115" xfId="0" applyNumberFormat="1" applyFont="1" applyBorder="1" applyAlignment="1">
      <alignment horizontal="center" vertical="top"/>
    </xf>
    <xf numFmtId="0" fontId="142" fillId="18" borderId="115" xfId="0" applyFont="1" applyFill="1" applyBorder="1" applyAlignment="1">
      <alignment horizontal="left" vertical="top" wrapText="1"/>
    </xf>
    <xf numFmtId="14" fontId="107" fillId="0" borderId="115" xfId="4" applyNumberFormat="1" applyFont="1" applyBorder="1" applyAlignment="1">
      <alignment horizontal="center" vertical="top"/>
    </xf>
    <xf numFmtId="0" fontId="107" fillId="0" borderId="115" xfId="4" applyFont="1" applyBorder="1" applyAlignment="1">
      <alignment horizontal="left" vertical="top"/>
    </xf>
    <xf numFmtId="0" fontId="107" fillId="0" borderId="115" xfId="4" applyFont="1" applyBorder="1" applyAlignment="1">
      <alignment horizontal="center" vertical="top"/>
    </xf>
    <xf numFmtId="0" fontId="141" fillId="16" borderId="115" xfId="4" applyFont="1" applyFill="1" applyBorder="1" applyAlignment="1">
      <alignment horizontal="center" vertical="top"/>
    </xf>
    <xf numFmtId="0" fontId="107" fillId="3" borderId="115" xfId="0" applyFont="1" applyFill="1" applyBorder="1" applyAlignment="1">
      <alignment horizontal="center" vertical="top" wrapText="1"/>
    </xf>
    <xf numFmtId="0" fontId="107" fillId="0" borderId="115" xfId="0" applyFont="1" applyBorder="1" applyAlignment="1">
      <alignment horizontal="left" vertical="top"/>
    </xf>
    <xf numFmtId="0" fontId="141" fillId="0" borderId="115" xfId="0" applyFont="1" applyBorder="1" applyAlignment="1">
      <alignment horizontal="center" vertical="top"/>
    </xf>
    <xf numFmtId="0" fontId="141" fillId="0" borderId="115" xfId="0" applyFont="1" applyBorder="1" applyAlignment="1">
      <alignment horizontal="left" vertical="top"/>
    </xf>
    <xf numFmtId="164" fontId="134" fillId="18" borderId="115" xfId="0" applyNumberFormat="1" applyFont="1" applyFill="1" applyBorder="1" applyAlignment="1">
      <alignment horizontal="center" vertical="top"/>
    </xf>
    <xf numFmtId="14" fontId="107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 wrapText="1"/>
    </xf>
    <xf numFmtId="2" fontId="141" fillId="0" borderId="115" xfId="0" applyNumberFormat="1" applyFont="1" applyBorder="1" applyAlignment="1">
      <alignment horizontal="center" vertical="center"/>
    </xf>
    <xf numFmtId="0" fontId="107" fillId="0" borderId="115" xfId="4" applyFont="1" applyBorder="1" applyAlignment="1">
      <alignment horizontal="left" vertical="center"/>
    </xf>
    <xf numFmtId="0" fontId="134" fillId="3" borderId="115" xfId="0" applyFont="1" applyFill="1" applyBorder="1" applyAlignment="1">
      <alignment horizontal="center" vertical="center" wrapText="1"/>
    </xf>
    <xf numFmtId="0" fontId="107" fillId="0" borderId="115" xfId="0" applyFont="1" applyBorder="1" applyAlignment="1">
      <alignment horizontal="left" vertical="center"/>
    </xf>
    <xf numFmtId="0" fontId="107" fillId="18" borderId="115" xfId="0" applyFont="1" applyFill="1" applyBorder="1" applyAlignment="1">
      <alignment horizontal="center" vertical="center"/>
    </xf>
    <xf numFmtId="14" fontId="107" fillId="18" borderId="115" xfId="0" applyNumberFormat="1" applyFont="1" applyFill="1" applyBorder="1" applyAlignment="1">
      <alignment horizontal="center" vertical="center"/>
    </xf>
    <xf numFmtId="0" fontId="32" fillId="24" borderId="115" xfId="0" applyFont="1" applyFill="1" applyBorder="1" applyAlignment="1">
      <alignment horizontal="center" vertical="center"/>
    </xf>
    <xf numFmtId="0" fontId="32" fillId="16" borderId="115" xfId="4" applyFont="1" applyFill="1" applyBorder="1" applyAlignment="1">
      <alignment horizontal="center" vertical="center"/>
    </xf>
    <xf numFmtId="0" fontId="132" fillId="3" borderId="115" xfId="0" applyFont="1" applyFill="1" applyBorder="1" applyAlignment="1">
      <alignment horizontal="center" vertical="center" wrapText="1"/>
    </xf>
    <xf numFmtId="0" fontId="32" fillId="3" borderId="115" xfId="0" applyFont="1" applyFill="1" applyBorder="1" applyAlignment="1">
      <alignment horizontal="center" vertical="center"/>
    </xf>
    <xf numFmtId="0" fontId="32" fillId="0" borderId="115" xfId="0" applyFont="1" applyBorder="1" applyAlignment="1">
      <alignment horizontal="center"/>
    </xf>
    <xf numFmtId="0" fontId="32" fillId="18" borderId="115" xfId="0" applyFont="1" applyFill="1" applyBorder="1" applyAlignment="1">
      <alignment horizontal="left"/>
    </xf>
    <xf numFmtId="14" fontId="132" fillId="3" borderId="115" xfId="0" applyNumberFormat="1" applyFont="1" applyFill="1" applyBorder="1" applyAlignment="1">
      <alignment horizontal="center" vertical="center" wrapText="1"/>
    </xf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9" fillId="0" borderId="29" xfId="0" applyFont="1" applyBorder="1"/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9" fillId="0" borderId="27" xfId="0" applyFont="1" applyBorder="1"/>
    <xf numFmtId="0" fontId="5" fillId="3" borderId="68" xfId="0" applyFont="1" applyFill="1" applyBorder="1" applyAlignment="1">
      <alignment horizontal="center" vertical="center"/>
    </xf>
    <xf numFmtId="0" fontId="9" fillId="0" borderId="69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9" fillId="0" borderId="94" xfId="0" applyFont="1" applyBorder="1"/>
    <xf numFmtId="2" fontId="5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0" fontId="18" fillId="8" borderId="89" xfId="0" applyFont="1" applyFill="1" applyBorder="1"/>
    <xf numFmtId="0" fontId="18" fillId="8" borderId="68" xfId="0" applyFont="1" applyFill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68" xfId="0" applyFont="1" applyFill="1" applyBorder="1" applyAlignment="1">
      <alignment horizontal="right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9" fillId="3" borderId="151" xfId="0" applyFont="1" applyFill="1" applyBorder="1" applyAlignment="1">
      <alignment horizontal="center" wrapText="1"/>
    </xf>
    <xf numFmtId="0" fontId="129" fillId="3" borderId="152" xfId="0" applyFont="1" applyFill="1" applyBorder="1" applyAlignment="1">
      <alignment horizontal="center" wrapText="1"/>
    </xf>
    <xf numFmtId="0" fontId="129" fillId="3" borderId="153" xfId="0" applyFont="1" applyFill="1" applyBorder="1" applyAlignment="1">
      <alignment horizontal="center" wrapText="1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5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5" fillId="18" borderId="119" xfId="0" applyFont="1" applyFill="1" applyBorder="1" applyAlignment="1">
      <alignment horizontal="left" indent="2"/>
    </xf>
    <xf numFmtId="0" fontId="125" fillId="18" borderId="121" xfId="0" applyFont="1" applyFill="1" applyBorder="1" applyAlignment="1">
      <alignment horizontal="left" indent="2"/>
    </xf>
    <xf numFmtId="0" fontId="125" fillId="18" borderId="120" xfId="0" applyFont="1" applyFill="1" applyBorder="1" applyAlignment="1">
      <alignment horizontal="left" indent="2"/>
    </xf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14" fillId="0" borderId="119" xfId="0" applyFont="1" applyBorder="1" applyAlignment="1">
      <alignment vertical="top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9" fillId="0" borderId="57" xfId="4" applyFont="1" applyBorder="1"/>
    <xf numFmtId="0" fontId="9" fillId="0" borderId="55" xfId="4" applyFont="1" applyBorder="1"/>
    <xf numFmtId="0" fontId="5" fillId="0" borderId="20" xfId="4" applyFont="1" applyBorder="1" applyAlignment="1">
      <alignment horizontal="center" vertical="center"/>
    </xf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0" borderId="56" xfId="4" applyFont="1" applyBorder="1" applyAlignment="1">
      <alignment horizontal="center" vertical="center"/>
    </xf>
    <xf numFmtId="0" fontId="5" fillId="7" borderId="56" xfId="4" applyFont="1" applyFill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52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8" fillId="0" borderId="194" xfId="9" applyFont="1" applyBorder="1" applyAlignment="1">
      <alignment horizontal="center" vertical="center"/>
    </xf>
    <xf numFmtId="0" fontId="139" fillId="0" borderId="123" xfId="9" applyFont="1" applyBorder="1" applyAlignment="1">
      <alignment horizontal="center" vertical="center" wrapText="1"/>
    </xf>
    <xf numFmtId="0" fontId="139" fillId="0" borderId="148" xfId="9" applyFont="1" applyBorder="1" applyAlignment="1">
      <alignment horizontal="center" vertical="center" wrapText="1"/>
    </xf>
    <xf numFmtId="0" fontId="139" fillId="0" borderId="119" xfId="9" applyFont="1" applyBorder="1" applyAlignment="1">
      <alignment horizontal="center" vertical="center"/>
    </xf>
    <xf numFmtId="0" fontId="139" fillId="0" borderId="120" xfId="9" applyFont="1" applyBorder="1" applyAlignment="1">
      <alignment horizontal="center" vertical="center"/>
    </xf>
    <xf numFmtId="0" fontId="139" fillId="0" borderId="119" xfId="9" applyFont="1" applyBorder="1" applyAlignment="1">
      <alignment horizontal="center" vertical="center" wrapText="1"/>
    </xf>
    <xf numFmtId="0" fontId="139" fillId="0" borderId="121" xfId="9" applyFont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2" fontId="5" fillId="18" borderId="17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0" fontId="5" fillId="22" borderId="133" xfId="4" applyFont="1" applyFill="1" applyBorder="1"/>
    <xf numFmtId="0" fontId="5" fillId="22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5" fillId="22" borderId="133" xfId="4" applyNumberFormat="1" applyFont="1" applyFill="1" applyBorder="1" applyAlignment="1">
      <alignment horizontal="center" vertical="center"/>
    </xf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79" fillId="16" borderId="133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9" fillId="16" borderId="17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2" fontId="34" fillId="16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96" fillId="15" borderId="17" xfId="4" applyNumberFormat="1" applyFont="1" applyFill="1" applyBorder="1" applyAlignment="1">
      <alignment horizontal="center" vertical="center"/>
    </xf>
    <xf numFmtId="0" fontId="96" fillId="15" borderId="31" xfId="4" applyFont="1" applyFill="1" applyBorder="1"/>
    <xf numFmtId="0" fontId="34" fillId="16" borderId="133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0" fontId="7" fillId="22" borderId="133" xfId="4" applyFont="1" applyFill="1" applyBorder="1"/>
    <xf numFmtId="0" fontId="13" fillId="18" borderId="70" xfId="4" applyFont="1" applyFill="1" applyAlignment="1">
      <alignment horizontal="center" vertical="center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84" fillId="16" borderId="155" xfId="4" applyFont="1" applyFill="1" applyBorder="1" applyAlignment="1">
      <alignment horizont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0" fontId="13" fillId="18" borderId="137" xfId="4" applyFont="1" applyFill="1" applyBorder="1" applyAlignment="1">
      <alignment horizontal="center" vertical="center"/>
    </xf>
    <xf numFmtId="0" fontId="84" fillId="18" borderId="70" xfId="4" applyFont="1" applyFill="1" applyAlignment="1">
      <alignment horizontal="center" wrapText="1"/>
    </xf>
    <xf numFmtId="2" fontId="67" fillId="22" borderId="17" xfId="4" applyNumberFormat="1" applyFont="1" applyFill="1" applyBorder="1" applyAlignment="1">
      <alignment horizontal="center" vertical="center"/>
    </xf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93" fillId="15" borderId="17" xfId="4" applyNumberFormat="1" applyFont="1" applyFill="1" applyBorder="1" applyAlignment="1">
      <alignment horizontal="center" vertical="center"/>
    </xf>
    <xf numFmtId="0" fontId="93" fillId="15" borderId="31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35" fillId="18" borderId="70" xfId="0" applyFont="1" applyFill="1" applyBorder="1" applyAlignment="1">
      <alignment horizontal="center" vertical="center" wrapText="1"/>
    </xf>
    <xf numFmtId="2" fontId="7" fillId="15" borderId="17" xfId="4" applyNumberFormat="1" applyFont="1" applyFill="1" applyBorder="1" applyAlignment="1">
      <alignment horizontal="center" vertical="center"/>
    </xf>
    <xf numFmtId="0" fontId="7" fillId="15" borderId="31" xfId="4" applyFont="1" applyFill="1" applyBorder="1"/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17" t="s">
        <v>159</v>
      </c>
      <c r="C1" s="1218"/>
      <c r="D1" s="1218"/>
      <c r="E1" s="1218"/>
      <c r="F1" s="1218"/>
      <c r="G1" s="1218"/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18"/>
      <c r="W1" s="1218"/>
      <c r="X1" s="1218"/>
      <c r="Y1" s="1219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20" t="s">
        <v>410</v>
      </c>
      <c r="C2" s="1221"/>
      <c r="D2" s="1221"/>
      <c r="E2" s="1221"/>
      <c r="F2" s="1221"/>
      <c r="G2" s="1221"/>
      <c r="H2" s="1221"/>
      <c r="I2" s="1221"/>
      <c r="J2" s="1221"/>
      <c r="K2" s="1221"/>
      <c r="L2" s="1221"/>
      <c r="M2" s="1221"/>
      <c r="N2" s="1221"/>
      <c r="O2" s="1221"/>
      <c r="P2" s="1221"/>
      <c r="Q2" s="1221"/>
      <c r="R2" s="1221"/>
      <c r="S2" s="1221"/>
      <c r="T2" s="1221"/>
      <c r="U2" s="1221"/>
      <c r="V2" s="1221"/>
      <c r="W2" s="1221"/>
      <c r="X2" s="1221"/>
      <c r="Y2" s="1222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41" t="s">
        <v>160</v>
      </c>
      <c r="C3" s="1224"/>
      <c r="D3" s="73">
        <f>H15</f>
        <v>0</v>
      </c>
      <c r="E3" s="74" t="s">
        <v>411</v>
      </c>
      <c r="F3" s="1223" t="s">
        <v>161</v>
      </c>
      <c r="G3" s="1224"/>
      <c r="H3" s="75"/>
      <c r="I3" s="76" t="s">
        <v>411</v>
      </c>
      <c r="J3" s="1225" t="s">
        <v>162</v>
      </c>
      <c r="K3" s="1224"/>
      <c r="L3" s="75"/>
      <c r="M3" s="74" t="s">
        <v>411</v>
      </c>
      <c r="N3" s="1223" t="s">
        <v>163</v>
      </c>
      <c r="O3" s="1224"/>
      <c r="P3" s="77"/>
      <c r="Q3" s="76">
        <v>113.292</v>
      </c>
      <c r="R3" s="1223" t="s">
        <v>164</v>
      </c>
      <c r="S3" s="1224"/>
      <c r="T3" s="73"/>
      <c r="U3" s="76">
        <v>113.292</v>
      </c>
      <c r="V3" s="78" t="s">
        <v>165</v>
      </c>
      <c r="W3" s="1226">
        <f>'Master Sheet'!H2</f>
        <v>46241</v>
      </c>
      <c r="X3" s="1227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50" t="s">
        <v>166</v>
      </c>
      <c r="C4" s="1242" t="s">
        <v>412</v>
      </c>
      <c r="D4" s="1242" t="s">
        <v>167</v>
      </c>
      <c r="E4" s="1242" t="s">
        <v>168</v>
      </c>
      <c r="F4" s="1243" t="s">
        <v>169</v>
      </c>
      <c r="G4" s="1244" t="s">
        <v>170</v>
      </c>
      <c r="H4" s="1228" t="s">
        <v>171</v>
      </c>
      <c r="I4" s="1231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11"/>
      <c r="C5" s="1211"/>
      <c r="D5" s="1211"/>
      <c r="E5" s="1211"/>
      <c r="F5" s="1211"/>
      <c r="G5" s="1211"/>
      <c r="H5" s="1229"/>
      <c r="I5" s="1211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232"/>
      <c r="W5" s="1233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12"/>
      <c r="C6" s="1212"/>
      <c r="D6" s="1212"/>
      <c r="E6" s="1212"/>
      <c r="F6" s="1212"/>
      <c r="G6" s="1212"/>
      <c r="H6" s="1230"/>
      <c r="I6" s="1211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36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237"/>
      <c r="W7" s="1233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235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238" t="s">
        <v>193</v>
      </c>
      <c r="W13" s="1233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239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45" t="s">
        <v>198</v>
      </c>
      <c r="C15" s="1214"/>
      <c r="D15" s="1214"/>
      <c r="E15" s="1214"/>
      <c r="F15" s="1214"/>
      <c r="G15" s="1215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40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251"/>
      <c r="C19" s="139">
        <v>411</v>
      </c>
      <c r="D19" s="1246"/>
      <c r="E19" s="140">
        <v>432</v>
      </c>
      <c r="F19" s="1246"/>
      <c r="G19" s="141">
        <v>408</v>
      </c>
      <c r="H19" s="1246"/>
      <c r="I19" s="142">
        <v>433</v>
      </c>
      <c r="J19" s="1246"/>
      <c r="K19" s="142">
        <v>409</v>
      </c>
      <c r="L19" s="1246"/>
      <c r="M19" s="142">
        <v>432</v>
      </c>
      <c r="N19" s="1246"/>
      <c r="O19" s="143">
        <v>375</v>
      </c>
      <c r="P19" s="1234"/>
      <c r="Q19" s="139">
        <v>414</v>
      </c>
      <c r="R19" s="1234"/>
      <c r="S19" s="139">
        <v>403</v>
      </c>
      <c r="T19" s="1234"/>
      <c r="U19" s="140">
        <v>406</v>
      </c>
      <c r="V19" s="1246"/>
      <c r="W19" s="142">
        <v>319</v>
      </c>
      <c r="X19" s="1246"/>
      <c r="Y19" s="144">
        <v>384</v>
      </c>
    </row>
    <row r="20" spans="1:27" ht="15.6" x14ac:dyDescent="0.3">
      <c r="A20" s="70"/>
      <c r="B20" s="1252"/>
      <c r="C20" s="135"/>
      <c r="D20" s="1247"/>
      <c r="E20" s="135"/>
      <c r="F20" s="1247"/>
      <c r="G20" s="145"/>
      <c r="H20" s="1247"/>
      <c r="I20" s="135"/>
      <c r="J20" s="1247"/>
      <c r="K20" s="135"/>
      <c r="L20" s="1247"/>
      <c r="M20" s="135"/>
      <c r="N20" s="1247"/>
      <c r="O20" s="135"/>
      <c r="P20" s="1235"/>
      <c r="Q20" s="135"/>
      <c r="R20" s="1235"/>
      <c r="S20" s="135"/>
      <c r="T20" s="1235"/>
      <c r="U20" s="135"/>
      <c r="V20" s="1247"/>
      <c r="W20" s="135"/>
      <c r="X20" s="1247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48"/>
      <c r="C25" s="140">
        <v>385</v>
      </c>
      <c r="D25" s="1249"/>
      <c r="E25" s="142">
        <v>409</v>
      </c>
      <c r="F25" s="1249"/>
      <c r="G25" s="154">
        <v>369</v>
      </c>
      <c r="H25" s="1249"/>
      <c r="I25" s="154">
        <v>350</v>
      </c>
      <c r="J25" s="1249"/>
      <c r="K25" s="139">
        <v>395</v>
      </c>
      <c r="L25" s="1246"/>
      <c r="M25" s="155">
        <v>412</v>
      </c>
      <c r="N25" s="1248"/>
      <c r="O25" s="156">
        <v>366</v>
      </c>
      <c r="P25" s="1248"/>
      <c r="Q25" s="157">
        <v>383</v>
      </c>
      <c r="R25" s="1249"/>
      <c r="S25" s="142">
        <v>300</v>
      </c>
      <c r="T25" s="1246"/>
      <c r="U25" s="158">
        <v>393</v>
      </c>
      <c r="V25" s="1249"/>
      <c r="W25" s="158">
        <v>414</v>
      </c>
      <c r="X25" s="1246"/>
      <c r="Y25" s="159">
        <v>412</v>
      </c>
    </row>
    <row r="26" spans="1:27" ht="15.6" x14ac:dyDescent="0.3">
      <c r="A26" s="70"/>
      <c r="B26" s="1235"/>
      <c r="C26" s="135"/>
      <c r="D26" s="1247"/>
      <c r="E26" s="135"/>
      <c r="F26" s="1247"/>
      <c r="G26" s="135"/>
      <c r="H26" s="1247"/>
      <c r="I26" s="93"/>
      <c r="J26" s="1247"/>
      <c r="K26" s="135"/>
      <c r="L26" s="1247"/>
      <c r="M26" s="145"/>
      <c r="N26" s="1235"/>
      <c r="O26" s="145"/>
      <c r="P26" s="1235"/>
      <c r="Q26" s="145"/>
      <c r="R26" s="1247"/>
      <c r="S26" s="145"/>
      <c r="T26" s="1247"/>
      <c r="U26" s="145"/>
      <c r="V26" s="1247"/>
      <c r="W26" s="145"/>
      <c r="X26" s="1247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34"/>
      <c r="C32" s="157">
        <v>377</v>
      </c>
      <c r="D32" s="1249"/>
      <c r="E32" s="158">
        <v>369</v>
      </c>
      <c r="F32" s="1249"/>
      <c r="G32" s="158">
        <v>369</v>
      </c>
      <c r="H32" s="1249"/>
      <c r="I32" s="158">
        <v>403</v>
      </c>
      <c r="J32" s="1249"/>
      <c r="K32" s="158">
        <v>374</v>
      </c>
      <c r="L32" s="1249"/>
      <c r="M32" s="158">
        <v>416</v>
      </c>
      <c r="N32" s="1249"/>
      <c r="O32" s="158">
        <v>424</v>
      </c>
      <c r="P32" s="1249"/>
      <c r="Q32" s="158">
        <v>401</v>
      </c>
      <c r="R32" s="1249"/>
      <c r="S32" s="142">
        <v>437</v>
      </c>
      <c r="T32" s="1249"/>
      <c r="U32" s="158">
        <v>369</v>
      </c>
      <c r="V32" s="1234"/>
      <c r="W32" s="169">
        <v>361</v>
      </c>
      <c r="X32" s="1234"/>
      <c r="Y32" s="170">
        <v>458</v>
      </c>
    </row>
    <row r="33" spans="1:27" ht="15.6" x14ac:dyDescent="0.3">
      <c r="A33" s="70"/>
      <c r="B33" s="1235"/>
      <c r="C33" s="145"/>
      <c r="D33" s="1247"/>
      <c r="E33" s="145"/>
      <c r="F33" s="1247"/>
      <c r="G33" s="145"/>
      <c r="H33" s="1247"/>
      <c r="I33" s="145"/>
      <c r="J33" s="1247"/>
      <c r="K33" s="135"/>
      <c r="L33" s="1247"/>
      <c r="M33" s="145"/>
      <c r="N33" s="1247"/>
      <c r="O33" s="145"/>
      <c r="P33" s="1247"/>
      <c r="Q33" s="135"/>
      <c r="R33" s="1247"/>
      <c r="S33" s="135"/>
      <c r="T33" s="1247"/>
      <c r="U33" s="135"/>
      <c r="V33" s="1235"/>
      <c r="W33" s="145"/>
      <c r="X33" s="1235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34"/>
      <c r="C39" s="139">
        <v>355</v>
      </c>
      <c r="D39" s="1248"/>
      <c r="E39" s="139">
        <v>347</v>
      </c>
      <c r="F39" s="1234"/>
      <c r="G39" s="140">
        <v>430</v>
      </c>
      <c r="H39" s="1249"/>
      <c r="I39" s="158">
        <v>408</v>
      </c>
      <c r="J39" s="1249"/>
      <c r="K39" s="176">
        <v>402</v>
      </c>
      <c r="L39" s="1246"/>
      <c r="M39" s="142">
        <v>411</v>
      </c>
      <c r="N39" s="1246"/>
      <c r="O39" s="158">
        <v>397</v>
      </c>
      <c r="P39" s="1246"/>
      <c r="Q39" s="158">
        <v>404</v>
      </c>
      <c r="R39" s="1249"/>
      <c r="S39" s="169">
        <v>398</v>
      </c>
      <c r="T39" s="1249"/>
      <c r="U39" s="158">
        <v>430</v>
      </c>
      <c r="V39" s="1246"/>
      <c r="W39" s="158">
        <v>320</v>
      </c>
      <c r="X39" s="1249"/>
      <c r="Y39" s="144">
        <v>230</v>
      </c>
    </row>
    <row r="40" spans="1:27" ht="15.6" x14ac:dyDescent="0.3">
      <c r="A40" s="70"/>
      <c r="B40" s="1235"/>
      <c r="C40" s="145"/>
      <c r="D40" s="1235"/>
      <c r="E40" s="145"/>
      <c r="F40" s="1235"/>
      <c r="G40" s="145"/>
      <c r="H40" s="1247"/>
      <c r="I40" s="145"/>
      <c r="J40" s="1247"/>
      <c r="K40" s="145"/>
      <c r="L40" s="1247"/>
      <c r="M40" s="145"/>
      <c r="N40" s="1247"/>
      <c r="O40" s="145"/>
      <c r="P40" s="1247"/>
      <c r="Q40" s="135"/>
      <c r="R40" s="1247"/>
      <c r="S40" s="145"/>
      <c r="T40" s="1247"/>
      <c r="U40" s="135"/>
      <c r="V40" s="1247"/>
      <c r="W40" s="135"/>
      <c r="X40" s="1247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34"/>
      <c r="C46" s="156">
        <v>339</v>
      </c>
      <c r="D46" s="1234"/>
      <c r="E46" s="156">
        <v>365</v>
      </c>
      <c r="F46" s="1234"/>
      <c r="G46" s="157">
        <v>409</v>
      </c>
      <c r="H46" s="1249"/>
      <c r="I46" s="158">
        <v>343</v>
      </c>
      <c r="J46" s="1249"/>
      <c r="K46" s="169">
        <v>352</v>
      </c>
      <c r="L46" s="1234"/>
      <c r="M46" s="156">
        <v>419</v>
      </c>
      <c r="N46" s="1234"/>
      <c r="O46" s="180">
        <v>410</v>
      </c>
      <c r="P46" s="1253"/>
      <c r="Q46" s="156">
        <v>413</v>
      </c>
      <c r="R46" s="1234"/>
      <c r="S46" s="157">
        <v>407</v>
      </c>
      <c r="T46" s="1253"/>
      <c r="U46" s="157">
        <v>352</v>
      </c>
      <c r="V46" s="1253"/>
      <c r="W46" s="158">
        <v>405</v>
      </c>
      <c r="X46" s="1253"/>
      <c r="Y46" s="181">
        <v>393</v>
      </c>
    </row>
    <row r="47" spans="1:27" ht="15.6" x14ac:dyDescent="0.3">
      <c r="A47" s="70"/>
      <c r="B47" s="1235"/>
      <c r="C47" s="135"/>
      <c r="D47" s="1235"/>
      <c r="E47" s="135"/>
      <c r="F47" s="1235"/>
      <c r="G47" s="135"/>
      <c r="H47" s="1247"/>
      <c r="I47" s="135"/>
      <c r="J47" s="1247"/>
      <c r="K47" s="145"/>
      <c r="L47" s="1235"/>
      <c r="M47" s="135"/>
      <c r="N47" s="1235"/>
      <c r="O47" s="145"/>
      <c r="P47" s="1212"/>
      <c r="Q47" s="145"/>
      <c r="R47" s="1235"/>
      <c r="S47" s="145"/>
      <c r="T47" s="1212"/>
      <c r="U47" s="145"/>
      <c r="V47" s="1212"/>
      <c r="W47" s="145"/>
      <c r="X47" s="1212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34"/>
      <c r="C53" s="156">
        <v>439</v>
      </c>
      <c r="D53" s="1253"/>
      <c r="E53" s="157">
        <v>398</v>
      </c>
      <c r="F53" s="1234"/>
      <c r="G53" s="158">
        <v>445</v>
      </c>
      <c r="H53" s="1234"/>
      <c r="I53" s="142">
        <v>355</v>
      </c>
      <c r="J53" s="1249"/>
      <c r="K53" s="158">
        <v>447</v>
      </c>
      <c r="L53" s="1249"/>
      <c r="M53" s="184">
        <v>215</v>
      </c>
      <c r="N53" s="1249"/>
      <c r="O53" s="169">
        <v>498</v>
      </c>
      <c r="P53" s="1234"/>
      <c r="Q53" s="169">
        <v>325</v>
      </c>
      <c r="R53" s="1249"/>
      <c r="S53" s="142">
        <v>388</v>
      </c>
      <c r="T53" s="1249"/>
      <c r="U53" s="158">
        <v>381</v>
      </c>
      <c r="V53" s="1234"/>
      <c r="W53" s="154">
        <v>349</v>
      </c>
      <c r="X53" s="1234"/>
      <c r="Y53" s="170">
        <v>373</v>
      </c>
    </row>
    <row r="54" spans="1:25" ht="15.6" x14ac:dyDescent="0.3">
      <c r="A54" s="70"/>
      <c r="B54" s="1235"/>
      <c r="C54" s="145"/>
      <c r="D54" s="1212"/>
      <c r="E54" s="145"/>
      <c r="F54" s="1235"/>
      <c r="G54" s="145"/>
      <c r="H54" s="1235"/>
      <c r="I54" s="135"/>
      <c r="J54" s="1247"/>
      <c r="K54" s="185"/>
      <c r="L54" s="1247"/>
      <c r="M54" s="135"/>
      <c r="N54" s="1247"/>
      <c r="O54" s="135"/>
      <c r="P54" s="1235"/>
      <c r="Q54" s="135"/>
      <c r="R54" s="1247"/>
      <c r="S54" s="135"/>
      <c r="T54" s="1247"/>
      <c r="U54" s="135"/>
      <c r="V54" s="1235"/>
      <c r="W54" s="145"/>
      <c r="X54" s="1235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34"/>
      <c r="C60" s="189">
        <v>386</v>
      </c>
      <c r="D60" s="1234"/>
      <c r="E60" s="189">
        <v>429</v>
      </c>
      <c r="F60" s="1249"/>
      <c r="G60" s="176">
        <v>377</v>
      </c>
      <c r="H60" s="1249"/>
      <c r="I60" s="176">
        <v>405</v>
      </c>
      <c r="J60" s="1249"/>
      <c r="K60" s="176">
        <v>425</v>
      </c>
      <c r="L60" s="1249"/>
      <c r="M60" s="190">
        <v>344</v>
      </c>
      <c r="N60" s="1249"/>
      <c r="O60" s="190">
        <v>399</v>
      </c>
      <c r="P60" s="1249"/>
      <c r="Q60" s="176">
        <v>439</v>
      </c>
      <c r="R60" s="1249"/>
      <c r="S60" s="191">
        <v>403</v>
      </c>
      <c r="T60" s="1249"/>
      <c r="U60" s="176">
        <v>480</v>
      </c>
      <c r="V60" s="1249"/>
      <c r="W60" s="176">
        <v>535</v>
      </c>
      <c r="X60" s="1249"/>
      <c r="Y60" s="159">
        <v>389</v>
      </c>
    </row>
    <row r="61" spans="1:25" ht="15.6" x14ac:dyDescent="0.3">
      <c r="A61" s="70"/>
      <c r="B61" s="1235"/>
      <c r="C61" s="145"/>
      <c r="D61" s="1235"/>
      <c r="E61" s="145"/>
      <c r="F61" s="1247"/>
      <c r="G61" s="145"/>
      <c r="H61" s="1247"/>
      <c r="I61" s="145"/>
      <c r="J61" s="1247"/>
      <c r="K61" s="145"/>
      <c r="L61" s="1247"/>
      <c r="M61" s="145"/>
      <c r="N61" s="1247"/>
      <c r="O61" s="145"/>
      <c r="P61" s="1247"/>
      <c r="Q61" s="145"/>
      <c r="R61" s="1247"/>
      <c r="S61" s="145"/>
      <c r="T61" s="1247"/>
      <c r="U61" s="133"/>
      <c r="V61" s="1247"/>
      <c r="W61" s="133"/>
      <c r="X61" s="1247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34"/>
      <c r="C67" s="156">
        <v>454</v>
      </c>
      <c r="D67" s="1254"/>
      <c r="E67" s="192">
        <v>247</v>
      </c>
      <c r="F67" s="1249"/>
      <c r="G67" s="158">
        <v>373</v>
      </c>
      <c r="H67" s="1249"/>
      <c r="I67" s="158">
        <v>401</v>
      </c>
      <c r="J67" s="1255"/>
      <c r="K67" s="169">
        <v>388</v>
      </c>
      <c r="L67" s="1256"/>
      <c r="M67" s="156">
        <v>328</v>
      </c>
      <c r="N67" s="1256"/>
      <c r="O67" s="193">
        <v>330</v>
      </c>
      <c r="P67" s="1249"/>
      <c r="Q67" s="156">
        <v>331</v>
      </c>
      <c r="R67" s="1249"/>
      <c r="S67" s="158">
        <v>361</v>
      </c>
      <c r="T67" s="1249"/>
      <c r="U67" s="158">
        <v>306</v>
      </c>
      <c r="V67" s="1249"/>
      <c r="W67" s="158">
        <v>336</v>
      </c>
      <c r="X67" s="1249"/>
      <c r="Y67" s="194">
        <v>278</v>
      </c>
    </row>
    <row r="68" spans="1:25" ht="15.6" x14ac:dyDescent="0.3">
      <c r="A68" s="70"/>
      <c r="B68" s="1235"/>
      <c r="C68" s="135"/>
      <c r="D68" s="1235"/>
      <c r="E68" s="135"/>
      <c r="F68" s="1247"/>
      <c r="G68" s="135"/>
      <c r="H68" s="1247"/>
      <c r="I68" s="135"/>
      <c r="J68" s="1247"/>
      <c r="K68" s="145"/>
      <c r="L68" s="1235"/>
      <c r="M68" s="135"/>
      <c r="N68" s="1235"/>
      <c r="O68" s="145"/>
      <c r="P68" s="1247"/>
      <c r="Q68" s="145"/>
      <c r="R68" s="1247"/>
      <c r="S68" s="145"/>
      <c r="T68" s="1247"/>
      <c r="U68" s="145"/>
      <c r="V68" s="1247"/>
      <c r="W68" s="145"/>
      <c r="X68" s="1247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34"/>
      <c r="C74" s="156">
        <v>439</v>
      </c>
      <c r="D74" s="1257"/>
      <c r="E74" s="157">
        <v>401</v>
      </c>
      <c r="F74" s="1257"/>
      <c r="G74" s="158">
        <v>350</v>
      </c>
      <c r="H74" s="1249"/>
      <c r="I74" s="158">
        <v>335</v>
      </c>
      <c r="J74" s="1249"/>
      <c r="K74" s="158">
        <v>314</v>
      </c>
      <c r="L74" s="1249"/>
      <c r="M74" s="158">
        <v>421</v>
      </c>
      <c r="N74" s="1249"/>
      <c r="O74" s="158">
        <v>466</v>
      </c>
      <c r="P74" s="1249"/>
      <c r="Q74" s="158">
        <v>352</v>
      </c>
      <c r="R74" s="1249"/>
      <c r="S74" s="158">
        <v>403</v>
      </c>
      <c r="T74" s="1249"/>
      <c r="U74" s="158">
        <v>373</v>
      </c>
      <c r="V74" s="1249"/>
      <c r="W74" s="169">
        <v>362</v>
      </c>
      <c r="X74" s="1249"/>
      <c r="Y74" s="170">
        <v>351</v>
      </c>
    </row>
    <row r="75" spans="1:25" ht="15.6" x14ac:dyDescent="0.3">
      <c r="A75" s="70"/>
      <c r="B75" s="1235"/>
      <c r="C75" s="145"/>
      <c r="D75" s="1258"/>
      <c r="E75" s="145"/>
      <c r="F75" s="1258"/>
      <c r="G75" s="145"/>
      <c r="H75" s="1247"/>
      <c r="I75" s="135"/>
      <c r="J75" s="1247"/>
      <c r="K75" s="135"/>
      <c r="L75" s="1247"/>
      <c r="M75" s="135"/>
      <c r="N75" s="1247"/>
      <c r="O75" s="135"/>
      <c r="P75" s="1247"/>
      <c r="Q75" s="135"/>
      <c r="R75" s="1247"/>
      <c r="S75" s="135"/>
      <c r="T75" s="1247"/>
      <c r="U75" s="135"/>
      <c r="V75" s="1247"/>
      <c r="W75" s="145"/>
      <c r="X75" s="1247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34"/>
      <c r="C81" s="156">
        <v>361</v>
      </c>
      <c r="D81" s="1257"/>
      <c r="E81" s="156">
        <v>375</v>
      </c>
      <c r="F81" s="1257"/>
      <c r="G81" s="169">
        <v>425</v>
      </c>
      <c r="H81" s="1234"/>
      <c r="I81" s="157">
        <v>429</v>
      </c>
      <c r="J81" s="1249"/>
      <c r="K81" s="158">
        <v>350</v>
      </c>
      <c r="L81" s="1249"/>
      <c r="M81" s="158">
        <v>483</v>
      </c>
      <c r="N81" s="1249"/>
      <c r="O81" s="158">
        <v>453</v>
      </c>
      <c r="P81" s="1249"/>
      <c r="Q81" s="158">
        <v>388</v>
      </c>
      <c r="R81" s="1249"/>
      <c r="S81" s="169">
        <v>317</v>
      </c>
      <c r="T81" s="1249"/>
      <c r="U81" s="158">
        <v>324</v>
      </c>
      <c r="V81" s="1255"/>
      <c r="W81" s="158">
        <v>485</v>
      </c>
      <c r="X81" s="1249"/>
      <c r="Y81" s="159">
        <v>249</v>
      </c>
    </row>
    <row r="82" spans="1:25" ht="15.6" x14ac:dyDescent="0.3">
      <c r="A82" s="70"/>
      <c r="B82" s="1235"/>
      <c r="C82" s="145"/>
      <c r="D82" s="1258"/>
      <c r="E82" s="145"/>
      <c r="F82" s="1258"/>
      <c r="G82" s="145"/>
      <c r="H82" s="1235"/>
      <c r="I82" s="145"/>
      <c r="J82" s="1247"/>
      <c r="K82" s="145"/>
      <c r="L82" s="1247"/>
      <c r="M82" s="145"/>
      <c r="N82" s="1247"/>
      <c r="O82" s="145"/>
      <c r="P82" s="1247"/>
      <c r="Q82" s="145"/>
      <c r="R82" s="1247"/>
      <c r="S82" s="145"/>
      <c r="T82" s="1247"/>
      <c r="U82" s="135"/>
      <c r="V82" s="1247"/>
      <c r="W82" s="135"/>
      <c r="X82" s="1247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34"/>
      <c r="C88" s="156">
        <v>429</v>
      </c>
      <c r="D88" s="1255"/>
      <c r="E88" s="157">
        <v>399</v>
      </c>
      <c r="F88" s="1249"/>
      <c r="G88" s="158">
        <v>435</v>
      </c>
      <c r="H88" s="1249"/>
      <c r="I88" s="158">
        <v>404</v>
      </c>
      <c r="J88" s="1234"/>
      <c r="K88" s="201">
        <v>374</v>
      </c>
      <c r="L88" s="1234"/>
      <c r="M88" s="192">
        <v>250</v>
      </c>
      <c r="N88" s="1249"/>
      <c r="O88" s="169">
        <v>398</v>
      </c>
      <c r="P88" s="1253"/>
      <c r="Q88" s="156">
        <v>364</v>
      </c>
      <c r="R88" s="1234"/>
      <c r="S88" s="158">
        <v>380</v>
      </c>
      <c r="T88" s="1249"/>
      <c r="U88" s="184">
        <v>459</v>
      </c>
      <c r="V88" s="1249"/>
      <c r="W88" s="158">
        <v>206</v>
      </c>
      <c r="X88" s="1249"/>
      <c r="Y88" s="194">
        <v>385</v>
      </c>
    </row>
    <row r="89" spans="1:25" ht="15.6" x14ac:dyDescent="0.3">
      <c r="A89" s="70"/>
      <c r="B89" s="1235"/>
      <c r="C89" s="135"/>
      <c r="D89" s="1247"/>
      <c r="E89" s="135"/>
      <c r="F89" s="1247"/>
      <c r="G89" s="135"/>
      <c r="H89" s="1247"/>
      <c r="I89" s="135"/>
      <c r="J89" s="1235"/>
      <c r="K89" s="145"/>
      <c r="L89" s="1235"/>
      <c r="M89" s="135"/>
      <c r="N89" s="1247"/>
      <c r="O89" s="145"/>
      <c r="P89" s="1212"/>
      <c r="Q89" s="145"/>
      <c r="R89" s="1235"/>
      <c r="S89" s="145"/>
      <c r="T89" s="1247"/>
      <c r="U89" s="145"/>
      <c r="V89" s="1247"/>
      <c r="W89" s="145"/>
      <c r="X89" s="1247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63"/>
      <c r="C95" s="205">
        <v>372</v>
      </c>
      <c r="D95" s="1234"/>
      <c r="E95" s="206">
        <v>384</v>
      </c>
      <c r="F95" s="1249"/>
      <c r="G95" s="207">
        <v>400</v>
      </c>
      <c r="H95" s="1249"/>
      <c r="I95" s="208">
        <v>386</v>
      </c>
      <c r="J95" s="1249"/>
      <c r="K95" s="208">
        <v>398</v>
      </c>
      <c r="L95" s="1249"/>
      <c r="M95" s="158">
        <v>393</v>
      </c>
      <c r="N95" s="1249"/>
      <c r="O95" s="157">
        <v>387</v>
      </c>
      <c r="P95" s="1249"/>
      <c r="Q95" s="158">
        <v>378</v>
      </c>
      <c r="R95" s="1249"/>
      <c r="S95" s="158">
        <v>410</v>
      </c>
      <c r="T95" s="1249"/>
      <c r="U95" s="158">
        <v>368</v>
      </c>
      <c r="V95" s="1249"/>
      <c r="W95" s="169">
        <v>396</v>
      </c>
      <c r="X95" s="1249"/>
      <c r="Y95" s="209">
        <v>395</v>
      </c>
    </row>
    <row r="96" spans="1:25" ht="15.6" x14ac:dyDescent="0.3">
      <c r="A96" s="70"/>
      <c r="B96" s="1235"/>
      <c r="C96" s="210"/>
      <c r="D96" s="1235"/>
      <c r="E96" s="171"/>
      <c r="F96" s="1247"/>
      <c r="G96" s="210"/>
      <c r="H96" s="1247"/>
      <c r="I96" s="171"/>
      <c r="J96" s="1247"/>
      <c r="K96" s="171"/>
      <c r="L96" s="1247"/>
      <c r="M96" s="135"/>
      <c r="N96" s="1247"/>
      <c r="O96" s="135"/>
      <c r="P96" s="1247"/>
      <c r="Q96" s="135"/>
      <c r="R96" s="1247"/>
      <c r="S96" s="135"/>
      <c r="T96" s="1247"/>
      <c r="U96" s="135"/>
      <c r="V96" s="1247"/>
      <c r="W96" s="145"/>
      <c r="X96" s="1247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34"/>
      <c r="C103" s="156">
        <v>414</v>
      </c>
      <c r="D103" s="1248"/>
      <c r="E103" s="156">
        <v>350</v>
      </c>
      <c r="F103" s="1246"/>
      <c r="G103" s="158">
        <v>356</v>
      </c>
      <c r="H103" s="1246"/>
      <c r="I103" s="158">
        <v>460</v>
      </c>
      <c r="J103" s="1246"/>
      <c r="K103" s="158">
        <v>379</v>
      </c>
      <c r="L103" s="1246"/>
      <c r="M103" s="158">
        <v>383</v>
      </c>
      <c r="N103" s="1246"/>
      <c r="O103" s="184">
        <v>400</v>
      </c>
      <c r="P103" s="1246"/>
      <c r="Q103" s="158">
        <v>421</v>
      </c>
      <c r="R103" s="1249"/>
      <c r="S103" s="169">
        <v>323</v>
      </c>
      <c r="T103" s="1234"/>
      <c r="U103" s="158">
        <v>312</v>
      </c>
      <c r="V103" s="1249"/>
      <c r="W103" s="184">
        <v>360</v>
      </c>
      <c r="X103" s="1249"/>
      <c r="Y103" s="159">
        <v>301</v>
      </c>
    </row>
    <row r="104" spans="1:27" ht="15.6" x14ac:dyDescent="0.3">
      <c r="A104" s="70"/>
      <c r="B104" s="1235"/>
      <c r="C104" s="145"/>
      <c r="D104" s="1235"/>
      <c r="E104" s="145"/>
      <c r="F104" s="1247"/>
      <c r="G104" s="145"/>
      <c r="H104" s="1247"/>
      <c r="I104" s="145"/>
      <c r="J104" s="1247"/>
      <c r="K104" s="145"/>
      <c r="L104" s="1247"/>
      <c r="M104" s="145"/>
      <c r="N104" s="1247"/>
      <c r="O104" s="145"/>
      <c r="P104" s="1247"/>
      <c r="Q104" s="145"/>
      <c r="R104" s="1247"/>
      <c r="S104" s="145"/>
      <c r="T104" s="1235"/>
      <c r="U104" s="135"/>
      <c r="V104" s="1247"/>
      <c r="W104" s="135"/>
      <c r="X104" s="1247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34"/>
      <c r="C110" s="156">
        <v>379</v>
      </c>
      <c r="D110" s="1234"/>
      <c r="E110" s="157">
        <v>394</v>
      </c>
      <c r="F110" s="1249"/>
      <c r="G110" s="158">
        <v>410</v>
      </c>
      <c r="H110" s="1264"/>
      <c r="I110" s="158">
        <v>404</v>
      </c>
      <c r="J110" s="1249"/>
      <c r="K110" s="169">
        <v>436</v>
      </c>
      <c r="L110" s="1249"/>
      <c r="M110" s="156">
        <v>437</v>
      </c>
      <c r="N110" s="1265"/>
      <c r="O110" s="180">
        <v>406</v>
      </c>
      <c r="P110" s="1248"/>
      <c r="Q110" s="156">
        <v>438</v>
      </c>
      <c r="R110" s="1234"/>
      <c r="S110" s="157">
        <v>412</v>
      </c>
      <c r="T110" s="1234"/>
      <c r="U110" s="158">
        <v>413</v>
      </c>
      <c r="V110" s="1234"/>
      <c r="W110" s="158">
        <v>328</v>
      </c>
      <c r="X110" s="1234"/>
      <c r="Y110" s="217">
        <v>385</v>
      </c>
    </row>
    <row r="111" spans="1:27" ht="15.6" x14ac:dyDescent="0.3">
      <c r="A111" s="70"/>
      <c r="B111" s="1235"/>
      <c r="C111" s="135"/>
      <c r="D111" s="1235"/>
      <c r="E111" s="135"/>
      <c r="F111" s="1247"/>
      <c r="G111" s="135"/>
      <c r="H111" s="1247"/>
      <c r="I111" s="135"/>
      <c r="J111" s="1247"/>
      <c r="K111" s="145"/>
      <c r="L111" s="1247"/>
      <c r="M111" s="135"/>
      <c r="N111" s="1247"/>
      <c r="O111" s="218"/>
      <c r="P111" s="1235"/>
      <c r="Q111" s="145"/>
      <c r="R111" s="1235"/>
      <c r="S111" s="145"/>
      <c r="T111" s="1235"/>
      <c r="U111" s="145"/>
      <c r="V111" s="1235"/>
      <c r="W111" s="145"/>
      <c r="X111" s="1235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34"/>
      <c r="C117" s="156">
        <v>415</v>
      </c>
      <c r="D117" s="1248"/>
      <c r="E117" s="157">
        <v>394</v>
      </c>
      <c r="F117" s="1234"/>
      <c r="G117" s="169">
        <v>362</v>
      </c>
      <c r="H117" s="1249"/>
      <c r="I117" s="158">
        <v>386</v>
      </c>
      <c r="J117" s="1246"/>
      <c r="K117" s="158">
        <v>425</v>
      </c>
      <c r="L117" s="1249"/>
      <c r="M117" s="158">
        <v>412</v>
      </c>
      <c r="N117" s="1249"/>
      <c r="O117" s="158">
        <v>337</v>
      </c>
      <c r="P117" s="1249"/>
      <c r="Q117" s="169">
        <v>323</v>
      </c>
      <c r="R117" s="1234"/>
      <c r="S117" s="169">
        <v>329</v>
      </c>
      <c r="T117" s="1249"/>
      <c r="U117" s="158">
        <v>315</v>
      </c>
      <c r="V117" s="1249"/>
      <c r="W117" s="169">
        <v>465</v>
      </c>
      <c r="X117" s="1234"/>
      <c r="Y117" s="170">
        <v>374</v>
      </c>
    </row>
    <row r="118" spans="1:25" ht="15.6" x14ac:dyDescent="0.3">
      <c r="A118" s="70"/>
      <c r="B118" s="1235"/>
      <c r="C118" s="145"/>
      <c r="D118" s="1235"/>
      <c r="E118" s="145"/>
      <c r="F118" s="1235"/>
      <c r="G118" s="145"/>
      <c r="H118" s="1247"/>
      <c r="I118" s="135"/>
      <c r="J118" s="1247"/>
      <c r="K118" s="135"/>
      <c r="L118" s="1247"/>
      <c r="M118" s="135"/>
      <c r="N118" s="1247"/>
      <c r="O118" s="135"/>
      <c r="P118" s="1247"/>
      <c r="Q118" s="135"/>
      <c r="R118" s="1235"/>
      <c r="S118" s="135"/>
      <c r="T118" s="1247"/>
      <c r="U118" s="135"/>
      <c r="V118" s="1247"/>
      <c r="W118" s="145"/>
      <c r="X118" s="1235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34"/>
      <c r="C124" s="156">
        <v>400</v>
      </c>
      <c r="D124" s="1248"/>
      <c r="E124" s="157">
        <v>359</v>
      </c>
      <c r="F124" s="1234"/>
      <c r="G124" s="169">
        <v>468</v>
      </c>
      <c r="H124" s="1249"/>
      <c r="I124" s="158">
        <v>287</v>
      </c>
      <c r="J124" s="1246"/>
      <c r="K124" s="158">
        <v>416</v>
      </c>
      <c r="L124" s="1249"/>
      <c r="M124" s="158">
        <v>352</v>
      </c>
      <c r="N124" s="1249"/>
      <c r="O124" s="158">
        <v>361</v>
      </c>
      <c r="P124" s="1249"/>
      <c r="Q124" s="169">
        <v>426</v>
      </c>
      <c r="R124" s="1234"/>
      <c r="S124" s="169">
        <v>394</v>
      </c>
      <c r="T124" s="1249"/>
      <c r="U124" s="158">
        <v>384</v>
      </c>
      <c r="V124" s="1249"/>
      <c r="W124" s="169">
        <v>414</v>
      </c>
      <c r="X124" s="1234"/>
      <c r="Y124" s="170">
        <v>480</v>
      </c>
    </row>
    <row r="125" spans="1:25" ht="15.6" x14ac:dyDescent="0.3">
      <c r="A125" s="70"/>
      <c r="B125" s="1235"/>
      <c r="C125" s="145"/>
      <c r="D125" s="1235"/>
      <c r="E125" s="145"/>
      <c r="F125" s="1235"/>
      <c r="G125" s="145"/>
      <c r="H125" s="1247"/>
      <c r="I125" s="135"/>
      <c r="J125" s="1247"/>
      <c r="K125" s="135"/>
      <c r="L125" s="1247"/>
      <c r="M125" s="135"/>
      <c r="N125" s="1247"/>
      <c r="O125" s="135"/>
      <c r="P125" s="1247"/>
      <c r="Q125" s="135"/>
      <c r="R125" s="1235"/>
      <c r="S125" s="135"/>
      <c r="T125" s="1247"/>
      <c r="U125" s="135"/>
      <c r="V125" s="1247"/>
      <c r="W125" s="145"/>
      <c r="X125" s="1235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34"/>
      <c r="C131" s="156">
        <v>395</v>
      </c>
      <c r="D131" s="1248"/>
      <c r="E131" s="157">
        <v>329</v>
      </c>
      <c r="F131" s="1234"/>
      <c r="G131" s="169">
        <v>418</v>
      </c>
      <c r="H131" s="1249"/>
      <c r="I131" s="158">
        <v>467</v>
      </c>
      <c r="J131" s="1246"/>
      <c r="K131" s="158">
        <v>443</v>
      </c>
      <c r="L131" s="1249"/>
      <c r="M131" s="158">
        <v>311</v>
      </c>
      <c r="N131" s="1249"/>
      <c r="O131" s="158">
        <v>479</v>
      </c>
      <c r="P131" s="1249"/>
      <c r="Q131" s="169">
        <v>321</v>
      </c>
      <c r="R131" s="1234"/>
      <c r="S131" s="169">
        <v>506</v>
      </c>
      <c r="T131" s="1249"/>
      <c r="U131" s="158">
        <v>421</v>
      </c>
      <c r="V131" s="1249"/>
      <c r="W131" s="169">
        <v>421</v>
      </c>
      <c r="X131" s="1234"/>
      <c r="Y131" s="170">
        <v>406</v>
      </c>
    </row>
    <row r="132" spans="1:32" ht="15.6" x14ac:dyDescent="0.3">
      <c r="A132" s="70"/>
      <c r="B132" s="1235"/>
      <c r="C132" s="145"/>
      <c r="D132" s="1235"/>
      <c r="E132" s="145"/>
      <c r="F132" s="1235"/>
      <c r="G132" s="145"/>
      <c r="H132" s="1247"/>
      <c r="I132" s="135"/>
      <c r="J132" s="1247"/>
      <c r="K132" s="135"/>
      <c r="L132" s="1247"/>
      <c r="M132" s="135"/>
      <c r="N132" s="1247"/>
      <c r="O132" s="135"/>
      <c r="P132" s="1247"/>
      <c r="Q132" s="135"/>
      <c r="R132" s="1235"/>
      <c r="S132" s="135"/>
      <c r="T132" s="1247"/>
      <c r="U132" s="135"/>
      <c r="V132" s="1247"/>
      <c r="W132" s="145"/>
      <c r="X132" s="1235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60"/>
      <c r="C138" s="225">
        <v>435</v>
      </c>
      <c r="D138" s="1261"/>
      <c r="E138" s="226">
        <v>533</v>
      </c>
      <c r="F138" s="1260"/>
      <c r="G138" s="227">
        <v>265</v>
      </c>
      <c r="H138" s="1259"/>
      <c r="I138" s="228">
        <v>484</v>
      </c>
      <c r="J138" s="1262"/>
      <c r="K138" s="228">
        <v>611</v>
      </c>
      <c r="L138" s="1259"/>
      <c r="M138" s="228">
        <v>367</v>
      </c>
      <c r="N138" s="1259"/>
      <c r="O138" s="228">
        <v>469</v>
      </c>
      <c r="P138" s="1259"/>
      <c r="Q138" s="227">
        <v>371</v>
      </c>
      <c r="R138" s="1260"/>
      <c r="S138" s="227">
        <v>370</v>
      </c>
      <c r="T138" s="1259"/>
      <c r="U138" s="228">
        <v>327</v>
      </c>
      <c r="V138" s="1259"/>
      <c r="W138" s="227">
        <v>318</v>
      </c>
      <c r="X138" s="1260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35"/>
      <c r="C139" s="222"/>
      <c r="D139" s="1235"/>
      <c r="E139" s="222"/>
      <c r="F139" s="1235"/>
      <c r="G139" s="222"/>
      <c r="H139" s="1247"/>
      <c r="I139" s="230"/>
      <c r="J139" s="1247"/>
      <c r="K139" s="230"/>
      <c r="L139" s="1247"/>
      <c r="M139" s="230"/>
      <c r="N139" s="1247"/>
      <c r="O139" s="230"/>
      <c r="P139" s="1247"/>
      <c r="Q139" s="230"/>
      <c r="R139" s="1235"/>
      <c r="S139" s="230"/>
      <c r="T139" s="1247"/>
      <c r="U139" s="230"/>
      <c r="V139" s="1247"/>
      <c r="W139" s="222"/>
      <c r="X139" s="1235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60"/>
      <c r="C144" s="225">
        <v>396</v>
      </c>
      <c r="D144" s="1261"/>
      <c r="E144" s="226">
        <v>377</v>
      </c>
      <c r="F144" s="1260"/>
      <c r="G144" s="227">
        <v>398</v>
      </c>
      <c r="H144" s="1259"/>
      <c r="I144" s="228">
        <v>393</v>
      </c>
      <c r="J144" s="1262"/>
      <c r="K144" s="228">
        <v>374</v>
      </c>
      <c r="L144" s="1259"/>
      <c r="M144" s="228">
        <v>363</v>
      </c>
      <c r="N144" s="1259"/>
      <c r="O144" s="228">
        <v>349</v>
      </c>
      <c r="P144" s="1259"/>
      <c r="Q144" s="227">
        <v>386</v>
      </c>
      <c r="R144" s="1260"/>
      <c r="S144" s="227">
        <v>390</v>
      </c>
      <c r="T144" s="1259"/>
      <c r="U144" s="228">
        <v>417</v>
      </c>
      <c r="V144" s="1259"/>
      <c r="W144" s="227">
        <v>423</v>
      </c>
      <c r="X144" s="1260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35"/>
      <c r="C145" s="222"/>
      <c r="D145" s="1235"/>
      <c r="E145" s="222"/>
      <c r="F145" s="1235"/>
      <c r="G145" s="222"/>
      <c r="H145" s="1247"/>
      <c r="I145" s="230"/>
      <c r="J145" s="1247"/>
      <c r="K145" s="230"/>
      <c r="L145" s="1247"/>
      <c r="M145" s="230"/>
      <c r="N145" s="1247"/>
      <c r="O145" s="230"/>
      <c r="P145" s="1247"/>
      <c r="Q145" s="230"/>
      <c r="R145" s="1235"/>
      <c r="S145" s="230"/>
      <c r="T145" s="1247"/>
      <c r="U145" s="230"/>
      <c r="V145" s="1247"/>
      <c r="W145" s="222"/>
      <c r="X145" s="1235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60"/>
      <c r="C150" s="225">
        <v>365</v>
      </c>
      <c r="D150" s="1261"/>
      <c r="E150" s="226">
        <v>403</v>
      </c>
      <c r="F150" s="1260"/>
      <c r="G150" s="227">
        <v>382</v>
      </c>
      <c r="H150" s="1259"/>
      <c r="I150" s="228">
        <v>395</v>
      </c>
      <c r="J150" s="1262"/>
      <c r="K150" s="228">
        <v>385</v>
      </c>
      <c r="L150" s="1259"/>
      <c r="M150" s="228">
        <v>381</v>
      </c>
      <c r="N150" s="1259"/>
      <c r="O150" s="228">
        <v>395</v>
      </c>
      <c r="P150" s="1259"/>
      <c r="Q150" s="227">
        <v>403</v>
      </c>
      <c r="R150" s="1260"/>
      <c r="S150" s="227">
        <v>383</v>
      </c>
      <c r="T150" s="1259"/>
      <c r="U150" s="228">
        <v>386</v>
      </c>
      <c r="V150" s="1259"/>
      <c r="W150" s="227">
        <v>397</v>
      </c>
      <c r="X150" s="1260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35"/>
      <c r="C151" s="222"/>
      <c r="D151" s="1235"/>
      <c r="E151" s="222"/>
      <c r="F151" s="1235"/>
      <c r="G151" s="222"/>
      <c r="H151" s="1247"/>
      <c r="I151" s="230"/>
      <c r="J151" s="1247"/>
      <c r="K151" s="230"/>
      <c r="L151" s="1247"/>
      <c r="M151" s="230"/>
      <c r="N151" s="1247"/>
      <c r="O151" s="230"/>
      <c r="P151" s="1247"/>
      <c r="Q151" s="230"/>
      <c r="R151" s="1235"/>
      <c r="S151" s="230"/>
      <c r="T151" s="1247"/>
      <c r="U151" s="230"/>
      <c r="V151" s="1247"/>
      <c r="W151" s="222"/>
      <c r="X151" s="1235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60"/>
      <c r="C156" s="225">
        <v>422</v>
      </c>
      <c r="D156" s="1261"/>
      <c r="E156" s="226">
        <v>417</v>
      </c>
      <c r="F156" s="1260"/>
      <c r="G156" s="227">
        <v>400</v>
      </c>
      <c r="H156" s="1259"/>
      <c r="I156" s="228">
        <v>421</v>
      </c>
      <c r="J156" s="1262"/>
      <c r="K156" s="228">
        <v>419</v>
      </c>
      <c r="L156" s="1259"/>
      <c r="M156" s="228">
        <v>402</v>
      </c>
      <c r="N156" s="1259"/>
      <c r="O156" s="228">
        <v>402</v>
      </c>
      <c r="P156" s="1259"/>
      <c r="Q156" s="227">
        <v>411</v>
      </c>
      <c r="R156" s="1260"/>
      <c r="S156" s="227">
        <v>355</v>
      </c>
      <c r="T156" s="1259"/>
      <c r="U156" s="228">
        <v>390</v>
      </c>
      <c r="V156" s="1259"/>
      <c r="W156" s="227">
        <v>380</v>
      </c>
      <c r="X156" s="1260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35"/>
      <c r="C157" s="222"/>
      <c r="D157" s="1235"/>
      <c r="E157" s="222"/>
      <c r="F157" s="1235"/>
      <c r="G157" s="222"/>
      <c r="H157" s="1247"/>
      <c r="I157" s="230"/>
      <c r="J157" s="1247"/>
      <c r="K157" s="230"/>
      <c r="L157" s="1247"/>
      <c r="M157" s="230"/>
      <c r="N157" s="1247"/>
      <c r="O157" s="230"/>
      <c r="P157" s="1247"/>
      <c r="Q157" s="230"/>
      <c r="R157" s="1235"/>
      <c r="S157" s="230"/>
      <c r="T157" s="1247"/>
      <c r="U157" s="230"/>
      <c r="V157" s="1247"/>
      <c r="W157" s="222"/>
      <c r="X157" s="1235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60"/>
      <c r="C162" s="225">
        <v>422</v>
      </c>
      <c r="D162" s="1261"/>
      <c r="E162" s="226">
        <v>417</v>
      </c>
      <c r="F162" s="1260"/>
      <c r="G162" s="227">
        <v>400</v>
      </c>
      <c r="H162" s="1259"/>
      <c r="I162" s="228">
        <v>421</v>
      </c>
      <c r="J162" s="1262"/>
      <c r="K162" s="228">
        <v>419</v>
      </c>
      <c r="L162" s="1259"/>
      <c r="M162" s="228">
        <v>402</v>
      </c>
      <c r="N162" s="1259"/>
      <c r="O162" s="228">
        <v>402</v>
      </c>
      <c r="P162" s="1259"/>
      <c r="Q162" s="227">
        <v>411</v>
      </c>
      <c r="R162" s="1260"/>
      <c r="S162" s="227">
        <v>355</v>
      </c>
      <c r="T162" s="1259"/>
      <c r="U162" s="228">
        <v>390</v>
      </c>
      <c r="V162" s="1259"/>
      <c r="W162" s="227">
        <v>380</v>
      </c>
      <c r="X162" s="1260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35"/>
      <c r="C163" s="222"/>
      <c r="D163" s="1235"/>
      <c r="E163" s="222"/>
      <c r="F163" s="1235"/>
      <c r="G163" s="222"/>
      <c r="H163" s="1247"/>
      <c r="I163" s="230"/>
      <c r="J163" s="1247"/>
      <c r="K163" s="230"/>
      <c r="L163" s="1247"/>
      <c r="M163" s="230"/>
      <c r="N163" s="1247"/>
      <c r="O163" s="230"/>
      <c r="P163" s="1247"/>
      <c r="Q163" s="230"/>
      <c r="R163" s="1235"/>
      <c r="S163" s="230"/>
      <c r="T163" s="1247"/>
      <c r="U163" s="230"/>
      <c r="V163" s="1247"/>
      <c r="W163" s="222"/>
      <c r="X163" s="1235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2"/>
  <sheetViews>
    <sheetView showGridLines="0" tabSelected="1" zoomScale="67" zoomScaleNormal="61" workbookViewId="0">
      <selection activeCell="I36" sqref="I36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0"/>
      <c r="C2" s="346" t="s">
        <v>0</v>
      </c>
      <c r="D2" s="1213" t="s">
        <v>1</v>
      </c>
      <c r="E2" s="1214"/>
      <c r="F2" s="1215"/>
      <c r="G2" s="3" t="s">
        <v>2</v>
      </c>
      <c r="H2" s="306">
        <v>46241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1"/>
      <c r="C3" s="346" t="s">
        <v>5</v>
      </c>
      <c r="D3" s="1216" t="s">
        <v>6</v>
      </c>
      <c r="E3" s="1214"/>
      <c r="F3" s="1215"/>
      <c r="G3" s="3" t="s">
        <v>7</v>
      </c>
      <c r="H3" s="4" t="s">
        <v>8</v>
      </c>
      <c r="I3" s="3" t="s">
        <v>9</v>
      </c>
      <c r="J3" s="5" t="s">
        <v>761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1"/>
      <c r="C4" s="346" t="s">
        <v>10</v>
      </c>
      <c r="D4" s="1216" t="s">
        <v>11</v>
      </c>
      <c r="E4" s="1214"/>
      <c r="F4" s="121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2"/>
      <c r="C5" s="346" t="s">
        <v>16</v>
      </c>
      <c r="D5" s="1216" t="s">
        <v>17</v>
      </c>
      <c r="E5" s="1214"/>
      <c r="F5" s="1215"/>
      <c r="G5" s="3" t="s">
        <v>18</v>
      </c>
      <c r="H5" s="4" t="s">
        <v>905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876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683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067">
        <v>0</v>
      </c>
      <c r="I16" s="313">
        <v>4</v>
      </c>
      <c r="J16" s="312">
        <v>306</v>
      </c>
      <c r="K16" s="342">
        <f t="shared" ref="K16:K21" si="0">E16+I16</f>
        <v>184</v>
      </c>
      <c r="L16" s="312">
        <f>292-K16</f>
        <v>108</v>
      </c>
      <c r="M16" s="402">
        <v>12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7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067">
        <v>0</v>
      </c>
      <c r="I18" s="313">
        <v>2</v>
      </c>
      <c r="J18" s="312">
        <v>260</v>
      </c>
      <c r="K18" s="342">
        <f t="shared" si="0"/>
        <v>120</v>
      </c>
      <c r="L18" s="312">
        <f t="shared" si="1"/>
        <v>172</v>
      </c>
      <c r="M18" s="343">
        <v>8</v>
      </c>
      <c r="N18" s="343">
        <v>7</v>
      </c>
      <c r="O18" s="666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7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681</v>
      </c>
      <c r="C27" s="436" t="s">
        <v>677</v>
      </c>
      <c r="D27" s="437" t="s">
        <v>678</v>
      </c>
      <c r="E27" s="438" t="s">
        <v>679</v>
      </c>
      <c r="F27" s="436" t="s">
        <v>680</v>
      </c>
      <c r="G27" s="439" t="s">
        <v>682</v>
      </c>
      <c r="H27" s="277"/>
      <c r="I27" s="277"/>
      <c r="J27" s="274"/>
      <c r="K27" s="576" t="s">
        <v>869</v>
      </c>
      <c r="L27" s="577" t="s">
        <v>178</v>
      </c>
      <c r="M27" s="577" t="s">
        <v>99</v>
      </c>
      <c r="N27" s="578" t="s">
        <v>682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4" t="s">
        <v>216</v>
      </c>
      <c r="C28" s="510" t="s">
        <v>943</v>
      </c>
      <c r="D28" s="510" t="s">
        <v>1070</v>
      </c>
      <c r="E28" s="510" t="s">
        <v>937</v>
      </c>
      <c r="F28" s="510" t="s">
        <v>937</v>
      </c>
      <c r="G28" s="511" t="s">
        <v>873</v>
      </c>
      <c r="H28" s="277"/>
      <c r="I28" s="341"/>
      <c r="J28" s="274"/>
      <c r="K28" s="664" t="s">
        <v>422</v>
      </c>
      <c r="L28" s="1077" t="s">
        <v>936</v>
      </c>
      <c r="M28" s="664" t="s">
        <v>1066</v>
      </c>
      <c r="N28" s="664" t="s">
        <v>934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784" t="s">
        <v>218</v>
      </c>
      <c r="C29" s="784" t="s">
        <v>1071</v>
      </c>
      <c r="D29" s="784" t="s">
        <v>1071</v>
      </c>
      <c r="E29" s="784" t="s">
        <v>1071</v>
      </c>
      <c r="F29" s="784" t="s">
        <v>1071</v>
      </c>
      <c r="G29" s="511" t="s">
        <v>873</v>
      </c>
      <c r="I29" s="341"/>
      <c r="J29" s="274"/>
      <c r="K29" s="665" t="s">
        <v>415</v>
      </c>
      <c r="L29" s="665" t="s">
        <v>669</v>
      </c>
      <c r="M29" s="664" t="s">
        <v>1066</v>
      </c>
      <c r="N29" s="664" t="s">
        <v>933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4" t="s">
        <v>423</v>
      </c>
      <c r="C30" s="938" t="s">
        <v>1063</v>
      </c>
      <c r="D30" s="938" t="s">
        <v>1065</v>
      </c>
      <c r="E30" s="938" t="s">
        <v>1063</v>
      </c>
      <c r="F30" s="938" t="s">
        <v>1063</v>
      </c>
      <c r="G30" s="784" t="s">
        <v>911</v>
      </c>
      <c r="H30" s="277"/>
      <c r="I30" s="341"/>
      <c r="J30" s="274"/>
      <c r="K30" s="664" t="s">
        <v>209</v>
      </c>
      <c r="L30" s="664" t="s">
        <v>87</v>
      </c>
      <c r="M30" s="664" t="s">
        <v>1072</v>
      </c>
      <c r="N30" s="664" t="s">
        <v>932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784" t="s">
        <v>281</v>
      </c>
      <c r="C31" s="784" t="s">
        <v>930</v>
      </c>
      <c r="D31" s="784" t="s">
        <v>930</v>
      </c>
      <c r="E31" s="784" t="s">
        <v>930</v>
      </c>
      <c r="F31" s="784" t="s">
        <v>930</v>
      </c>
      <c r="G31" s="784" t="s">
        <v>737</v>
      </c>
      <c r="H31" s="277"/>
      <c r="I31" s="341"/>
      <c r="J31" s="274"/>
      <c r="K31" s="664" t="s">
        <v>402</v>
      </c>
      <c r="L31" s="664" t="s">
        <v>91</v>
      </c>
      <c r="M31" s="664" t="s">
        <v>1073</v>
      </c>
      <c r="N31" s="664" t="s">
        <v>926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8" t="s">
        <v>291</v>
      </c>
      <c r="C32" s="938" t="s">
        <v>944</v>
      </c>
      <c r="D32" s="938" t="s">
        <v>944</v>
      </c>
      <c r="E32" s="938" t="s">
        <v>944</v>
      </c>
      <c r="F32" s="938" t="s">
        <v>944</v>
      </c>
      <c r="G32" s="938" t="s">
        <v>921</v>
      </c>
      <c r="H32" s="277"/>
      <c r="I32" s="341"/>
      <c r="J32" s="274"/>
      <c r="K32" s="664" t="s">
        <v>379</v>
      </c>
      <c r="L32" s="664" t="s">
        <v>91</v>
      </c>
      <c r="M32" s="664" t="s">
        <v>1069</v>
      </c>
      <c r="N32" s="664" t="s">
        <v>692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8" t="s">
        <v>435</v>
      </c>
      <c r="C33" s="938" t="s">
        <v>928</v>
      </c>
      <c r="D33" s="938" t="s">
        <v>928</v>
      </c>
      <c r="E33" s="938" t="s">
        <v>928</v>
      </c>
      <c r="F33" s="938" t="s">
        <v>928</v>
      </c>
      <c r="G33" s="938" t="s">
        <v>921</v>
      </c>
      <c r="H33" s="277" t="s">
        <v>876</v>
      </c>
      <c r="I33" s="341"/>
      <c r="J33" s="274"/>
      <c r="K33" s="664" t="s">
        <v>428</v>
      </c>
      <c r="L33" s="664" t="s">
        <v>668</v>
      </c>
      <c r="M33" s="664" t="s">
        <v>1067</v>
      </c>
      <c r="N33" s="664" t="s">
        <v>934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938" t="s">
        <v>336</v>
      </c>
      <c r="C34" s="938" t="s">
        <v>928</v>
      </c>
      <c r="D34" s="938" t="s">
        <v>928</v>
      </c>
      <c r="E34" s="938" t="s">
        <v>940</v>
      </c>
      <c r="F34" s="938" t="s">
        <v>940</v>
      </c>
      <c r="G34" s="784" t="s">
        <v>920</v>
      </c>
      <c r="H34" s="277"/>
      <c r="I34" s="341"/>
      <c r="J34" s="274"/>
      <c r="K34" s="664" t="s">
        <v>445</v>
      </c>
      <c r="L34" s="664" t="s">
        <v>922</v>
      </c>
      <c r="M34" s="664" t="s">
        <v>1068</v>
      </c>
      <c r="N34" s="664" t="s">
        <v>913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784" t="s">
        <v>466</v>
      </c>
      <c r="C35" s="784" t="s">
        <v>943</v>
      </c>
      <c r="D35" s="784" t="s">
        <v>940</v>
      </c>
      <c r="E35" s="784" t="s">
        <v>928</v>
      </c>
      <c r="F35" s="784" t="s">
        <v>940</v>
      </c>
      <c r="G35" s="784" t="s">
        <v>920</v>
      </c>
      <c r="H35" s="277"/>
      <c r="I35" s="341" t="s">
        <v>1055</v>
      </c>
      <c r="J35" s="274"/>
      <c r="K35" s="664" t="s">
        <v>378</v>
      </c>
      <c r="L35" s="664" t="s">
        <v>87</v>
      </c>
      <c r="M35" s="664" t="s">
        <v>1067</v>
      </c>
      <c r="N35" s="664" t="s">
        <v>692</v>
      </c>
      <c r="O35" s="1"/>
      <c r="Q35" s="1"/>
      <c r="R35" s="1"/>
      <c r="S35" s="1"/>
      <c r="T35" s="1"/>
      <c r="U35" s="1"/>
      <c r="V35" s="1"/>
      <c r="W35" s="1"/>
    </row>
    <row r="36" spans="1:24" s="1119" customFormat="1" ht="31.2" x14ac:dyDescent="0.3">
      <c r="A36" s="1116"/>
      <c r="B36" s="784" t="s">
        <v>108</v>
      </c>
      <c r="C36" s="784" t="s">
        <v>928</v>
      </c>
      <c r="D36" s="784" t="s">
        <v>928</v>
      </c>
      <c r="E36" s="784" t="s">
        <v>928</v>
      </c>
      <c r="F36" s="784" t="s">
        <v>928</v>
      </c>
      <c r="G36" s="784" t="s">
        <v>920</v>
      </c>
      <c r="H36" s="1117"/>
      <c r="I36" s="1118"/>
      <c r="J36" s="1118"/>
      <c r="K36" s="785"/>
      <c r="L36" s="785"/>
      <c r="M36" s="785"/>
      <c r="N36" s="785"/>
      <c r="O36" s="487"/>
      <c r="Q36" s="487"/>
      <c r="R36" s="487"/>
      <c r="S36" s="487"/>
      <c r="T36" s="487"/>
      <c r="U36" s="487"/>
      <c r="V36" s="487"/>
      <c r="W36" s="487"/>
    </row>
    <row r="37" spans="1:24" s="1119" customFormat="1" ht="31.2" x14ac:dyDescent="0.3">
      <c r="A37" s="1116"/>
      <c r="B37" s="938" t="s">
        <v>373</v>
      </c>
      <c r="C37" s="784" t="s">
        <v>928</v>
      </c>
      <c r="D37" s="784" t="s">
        <v>928</v>
      </c>
      <c r="E37" s="784" t="s">
        <v>928</v>
      </c>
      <c r="F37" s="784" t="s">
        <v>928</v>
      </c>
      <c r="G37" s="784" t="s">
        <v>941</v>
      </c>
      <c r="H37" s="1117"/>
      <c r="I37" s="1118"/>
      <c r="J37" s="1118"/>
      <c r="K37" s="785"/>
      <c r="L37" s="785"/>
      <c r="M37" s="785"/>
      <c r="N37" s="785"/>
      <c r="O37" s="487"/>
      <c r="Q37" s="487"/>
      <c r="R37" s="487"/>
      <c r="S37" s="487"/>
      <c r="T37" s="487"/>
      <c r="U37" s="487"/>
      <c r="V37" s="487"/>
      <c r="W37" s="487"/>
    </row>
    <row r="38" spans="1:24" ht="31.2" x14ac:dyDescent="0.3">
      <c r="A38" s="278"/>
      <c r="B38" s="938" t="s">
        <v>375</v>
      </c>
      <c r="C38" s="784" t="s">
        <v>943</v>
      </c>
      <c r="D38" s="784" t="s">
        <v>928</v>
      </c>
      <c r="E38" s="784" t="s">
        <v>928</v>
      </c>
      <c r="F38" s="784" t="s">
        <v>943</v>
      </c>
      <c r="G38" s="784" t="s">
        <v>941</v>
      </c>
      <c r="H38" s="277"/>
      <c r="I38" s="341"/>
      <c r="J38" s="341"/>
      <c r="K38" s="506"/>
      <c r="L38" s="506"/>
      <c r="M38" s="785"/>
      <c r="N38" s="785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938" t="s">
        <v>376</v>
      </c>
      <c r="C39" s="784" t="s">
        <v>928</v>
      </c>
      <c r="D39" s="784" t="s">
        <v>928</v>
      </c>
      <c r="E39" s="784" t="s">
        <v>928</v>
      </c>
      <c r="F39" s="784" t="s">
        <v>928</v>
      </c>
      <c r="G39" s="784" t="s">
        <v>941</v>
      </c>
      <c r="H39" s="277"/>
      <c r="I39" s="341"/>
      <c r="J39" s="341"/>
      <c r="K39" s="506"/>
      <c r="L39" s="506"/>
      <c r="M39" s="785"/>
      <c r="N39" s="785"/>
      <c r="O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938" t="s">
        <v>619</v>
      </c>
      <c r="C40" s="938" t="s">
        <v>1064</v>
      </c>
      <c r="D40" s="938" t="s">
        <v>1064</v>
      </c>
      <c r="E40" s="938" t="s">
        <v>940</v>
      </c>
      <c r="F40" s="938" t="s">
        <v>940</v>
      </c>
      <c r="G40" s="784" t="s">
        <v>903</v>
      </c>
      <c r="H40" s="277"/>
      <c r="I40" s="341"/>
      <c r="J40" s="341"/>
      <c r="K40" s="506"/>
      <c r="L40" s="506"/>
      <c r="M40" s="785"/>
      <c r="N40" s="785"/>
      <c r="O40" s="1"/>
      <c r="Q40" s="1"/>
      <c r="R40" s="1"/>
      <c r="S40" s="1"/>
      <c r="T40" s="1"/>
      <c r="U40" s="1"/>
      <c r="V40" s="1"/>
      <c r="W40" s="1"/>
    </row>
    <row r="41" spans="1:24" ht="15.6" x14ac:dyDescent="0.3">
      <c r="A41" s="278"/>
      <c r="B41" s="1502"/>
      <c r="C41" s="1502"/>
      <c r="D41" s="1502"/>
      <c r="E41" s="1502"/>
      <c r="F41" s="1502"/>
      <c r="G41" s="1502"/>
      <c r="H41" s="277"/>
      <c r="I41" s="341"/>
      <c r="J41" s="341"/>
      <c r="K41" s="506"/>
      <c r="L41" s="506"/>
      <c r="M41" s="506"/>
      <c r="N41" s="785"/>
      <c r="O41" s="1"/>
      <c r="Q41" s="1"/>
      <c r="R41" s="1"/>
      <c r="S41" s="1"/>
      <c r="T41" s="1"/>
      <c r="U41" s="1"/>
      <c r="V41" s="1"/>
      <c r="W41" s="1"/>
    </row>
    <row r="42" spans="1:24" ht="16.2" thickBot="1" x14ac:dyDescent="0.35">
      <c r="A42" s="278"/>
      <c r="B42" s="935"/>
      <c r="C42" s="935"/>
      <c r="D42" s="935"/>
      <c r="E42" s="935"/>
      <c r="F42" s="935"/>
      <c r="G42" s="936"/>
      <c r="H42" s="277"/>
      <c r="I42" s="341"/>
      <c r="J42" s="341"/>
      <c r="K42" s="506"/>
      <c r="L42" s="506"/>
      <c r="M42" s="506"/>
      <c r="N42" s="785"/>
      <c r="O42" s="1"/>
      <c r="Q42" s="1"/>
      <c r="R42" s="1"/>
      <c r="S42" s="1"/>
      <c r="T42" s="1"/>
      <c r="U42" s="1"/>
      <c r="V42" s="1"/>
      <c r="W42" s="1"/>
    </row>
    <row r="43" spans="1:24" ht="21" x14ac:dyDescent="0.4">
      <c r="A43" s="1"/>
      <c r="B43" s="426" t="s">
        <v>55</v>
      </c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8"/>
      <c r="N43" s="6"/>
      <c r="O43" s="1"/>
      <c r="R43" s="1"/>
      <c r="S43" s="1"/>
      <c r="T43" s="1"/>
      <c r="U43" s="1"/>
      <c r="V43" s="1"/>
      <c r="W43" s="1"/>
      <c r="X43" s="1"/>
    </row>
    <row r="44" spans="1:24" ht="48.6" customHeight="1" x14ac:dyDescent="0.3">
      <c r="A44" s="1"/>
      <c r="B44" s="429" t="s">
        <v>22</v>
      </c>
      <c r="C44" s="12" t="s">
        <v>23</v>
      </c>
      <c r="D44" s="12" t="s">
        <v>24</v>
      </c>
      <c r="E44" s="12" t="s">
        <v>25</v>
      </c>
      <c r="F44" s="12" t="s">
        <v>56</v>
      </c>
      <c r="G44" s="12" t="s">
        <v>57</v>
      </c>
      <c r="H44" s="12" t="s">
        <v>58</v>
      </c>
      <c r="I44" s="12" t="s">
        <v>59</v>
      </c>
      <c r="J44" s="12" t="s">
        <v>60</v>
      </c>
      <c r="K44" s="12" t="s">
        <v>61</v>
      </c>
      <c r="L44" s="423" t="s">
        <v>544</v>
      </c>
      <c r="M44" s="430" t="s">
        <v>33</v>
      </c>
      <c r="N44" s="2"/>
      <c r="O44" s="1"/>
      <c r="R44" s="1"/>
      <c r="S44" s="1"/>
      <c r="T44" s="1"/>
      <c r="U44" s="1"/>
      <c r="V44" s="1"/>
      <c r="W44" s="1"/>
      <c r="X44" s="1"/>
    </row>
    <row r="45" spans="1:24" ht="29.4" customHeight="1" x14ac:dyDescent="0.3">
      <c r="A45" s="1"/>
      <c r="B45" s="431" t="s">
        <v>63</v>
      </c>
      <c r="C45" s="8" t="s">
        <v>64</v>
      </c>
      <c r="D45" s="8">
        <v>292</v>
      </c>
      <c r="E45" s="8">
        <v>316</v>
      </c>
      <c r="F45" s="8">
        <v>277</v>
      </c>
      <c r="G45" s="8">
        <f>D45-F45</f>
        <v>15</v>
      </c>
      <c r="H45" s="332">
        <v>0</v>
      </c>
      <c r="I45" s="332">
        <f>G45</f>
        <v>15</v>
      </c>
      <c r="J45" s="8">
        <v>0</v>
      </c>
      <c r="K45" s="421">
        <f>F45+J45</f>
        <v>277</v>
      </c>
      <c r="L45" s="424">
        <f>E45+H45-K45</f>
        <v>39</v>
      </c>
      <c r="M45" s="432"/>
      <c r="N45" s="2"/>
      <c r="O45" s="1"/>
      <c r="R45" s="1"/>
      <c r="S45" s="1"/>
      <c r="T45" s="1"/>
      <c r="U45" s="1"/>
      <c r="V45" s="1"/>
      <c r="W45" s="1"/>
      <c r="X45" s="1"/>
    </row>
    <row r="46" spans="1:24" ht="31.2" customHeight="1" x14ac:dyDescent="0.3">
      <c r="A46" s="1"/>
      <c r="B46" s="431" t="s">
        <v>65</v>
      </c>
      <c r="C46" s="333" t="s">
        <v>66</v>
      </c>
      <c r="D46" s="333">
        <v>292</v>
      </c>
      <c r="E46" s="333">
        <v>316</v>
      </c>
      <c r="F46" s="333">
        <v>284</v>
      </c>
      <c r="G46" s="333">
        <f>D46-F46</f>
        <v>8</v>
      </c>
      <c r="H46" s="332">
        <v>0</v>
      </c>
      <c r="I46" s="334">
        <v>8</v>
      </c>
      <c r="J46" s="333">
        <v>0</v>
      </c>
      <c r="K46" s="422">
        <f>F46+J46</f>
        <v>284</v>
      </c>
      <c r="L46" s="424">
        <f>E46+H46-K46</f>
        <v>32</v>
      </c>
      <c r="M46" s="432"/>
      <c r="N46" s="266"/>
      <c r="O46" s="1"/>
      <c r="Q46" s="1"/>
      <c r="R46" s="1"/>
      <c r="S46" s="1"/>
      <c r="T46" s="1"/>
      <c r="U46" s="1"/>
      <c r="V46" s="1"/>
      <c r="W46" s="1"/>
      <c r="X46" s="1"/>
    </row>
    <row r="47" spans="1:24" ht="44.4" customHeight="1" thickBot="1" x14ac:dyDescent="0.35">
      <c r="A47" s="1"/>
      <c r="B47" s="331" t="s">
        <v>671</v>
      </c>
      <c r="C47" s="335" t="s">
        <v>35</v>
      </c>
      <c r="D47" s="335">
        <v>4118</v>
      </c>
      <c r="E47" s="335">
        <v>3800</v>
      </c>
      <c r="F47" s="335">
        <v>4109.0569999999998</v>
      </c>
      <c r="G47" s="335">
        <f>D47-F47</f>
        <v>8.943000000000211</v>
      </c>
      <c r="H47" s="335">
        <v>514</v>
      </c>
      <c r="I47" s="335">
        <f>G47</f>
        <v>8.943000000000211</v>
      </c>
      <c r="J47" s="335">
        <v>0</v>
      </c>
      <c r="K47" s="336">
        <f>F47</f>
        <v>4109.0569999999998</v>
      </c>
      <c r="L47" s="335">
        <f>E47+H47-K47</f>
        <v>204.94300000000021</v>
      </c>
      <c r="M47" s="508" t="s">
        <v>1056</v>
      </c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2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419"/>
      <c r="M48" s="420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5">
      <c r="A49" s="1"/>
      <c r="B49" s="291" t="s">
        <v>665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 t="s">
        <v>924</v>
      </c>
      <c r="C50" s="292"/>
      <c r="D50" s="292"/>
      <c r="E50" s="290"/>
      <c r="F50" s="2"/>
      <c r="G50" s="2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92"/>
      <c r="D51" s="292"/>
      <c r="E51" s="290"/>
      <c r="F51" s="290"/>
      <c r="G51" s="289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/>
      <c r="C52" s="292"/>
      <c r="D52" s="292"/>
      <c r="E52" s="290"/>
      <c r="F52" s="290"/>
      <c r="G52" s="289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90"/>
      <c r="D53" s="290"/>
      <c r="E53" s="290"/>
      <c r="F53" s="290"/>
      <c r="G53" s="289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2.4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Q149" s="1"/>
      <c r="R149" s="1"/>
      <c r="S149" s="1"/>
      <c r="T149" s="1"/>
      <c r="U149" s="1"/>
      <c r="V149" s="1"/>
      <c r="W149" s="1"/>
      <c r="X149" s="1"/>
    </row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79"/>
  <sheetViews>
    <sheetView topLeftCell="B1" zoomScale="75" zoomScaleNormal="75" workbookViewId="0">
      <selection activeCell="H199" sqref="H199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302" t="s">
        <v>21</v>
      </c>
      <c r="C2" s="1303"/>
      <c r="D2" s="1303"/>
      <c r="E2" s="1303"/>
      <c r="F2" s="1303"/>
      <c r="G2" s="1303"/>
      <c r="H2" s="1303"/>
      <c r="I2" s="1303"/>
      <c r="J2" s="1303"/>
      <c r="K2" s="1303"/>
      <c r="L2" s="1303"/>
      <c r="M2" s="1303"/>
      <c r="N2" s="1304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305" t="s">
        <v>68</v>
      </c>
      <c r="C7" s="1306"/>
      <c r="D7" s="1306"/>
      <c r="E7" s="1306"/>
      <c r="F7" s="1306"/>
      <c r="G7" s="1306"/>
      <c r="H7" s="1307"/>
      <c r="Q7" s="1"/>
      <c r="R7" s="1"/>
      <c r="S7" s="1"/>
      <c r="T7" s="1"/>
    </row>
    <row r="8" spans="2:20" ht="25.5" customHeight="1" x14ac:dyDescent="0.3">
      <c r="B8" s="30" t="s">
        <v>69</v>
      </c>
      <c r="C8" s="1308" t="s">
        <v>70</v>
      </c>
      <c r="D8" s="1215"/>
      <c r="E8" s="1309" t="s">
        <v>71</v>
      </c>
      <c r="F8" s="1310"/>
      <c r="G8" s="1308" t="s">
        <v>72</v>
      </c>
      <c r="H8" s="1215"/>
      <c r="Q8" s="1"/>
      <c r="R8" s="1"/>
      <c r="S8" s="1"/>
      <c r="T8" s="1"/>
    </row>
    <row r="9" spans="2:20" ht="25.2" customHeight="1" thickBot="1" x14ac:dyDescent="0.35">
      <c r="B9" s="32"/>
      <c r="C9" s="1311"/>
      <c r="D9" s="1215"/>
      <c r="E9" s="1311"/>
      <c r="F9" s="1215"/>
      <c r="G9" s="1312"/>
      <c r="H9" s="1215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COUNTIFS($I$13:$L$199,"Foundation Completed.")</f>
        <v>184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313" t="s">
        <v>73</v>
      </c>
      <c r="C11" s="1314"/>
      <c r="D11" s="1314"/>
      <c r="E11" s="1314"/>
      <c r="F11" s="1314"/>
      <c r="G11" s="1314"/>
      <c r="H11" s="1314"/>
      <c r="I11" s="1314"/>
      <c r="J11" s="1315"/>
      <c r="K11" s="1314"/>
      <c r="L11" s="1315"/>
      <c r="M11" s="1314"/>
      <c r="N11" s="1314"/>
      <c r="O11" s="1314"/>
      <c r="P11" s="1314"/>
      <c r="Q11" s="1"/>
      <c r="R11" s="1"/>
      <c r="S11" s="1"/>
      <c r="T11" s="1"/>
    </row>
    <row r="12" spans="2:20" s="669" customFormat="1" ht="34.799999999999997" x14ac:dyDescent="0.35">
      <c r="B12" s="783" t="s">
        <v>69</v>
      </c>
      <c r="C12" s="783" t="s">
        <v>74</v>
      </c>
      <c r="D12" s="783" t="s">
        <v>75</v>
      </c>
      <c r="E12" s="783" t="s">
        <v>76</v>
      </c>
      <c r="F12" s="34" t="s">
        <v>77</v>
      </c>
      <c r="G12" s="783" t="s">
        <v>78</v>
      </c>
      <c r="H12" s="783" t="s">
        <v>79</v>
      </c>
      <c r="I12" s="1316" t="s">
        <v>80</v>
      </c>
      <c r="J12" s="1317"/>
      <c r="K12" s="1317"/>
      <c r="L12" s="1318"/>
      <c r="M12" s="783" t="s">
        <v>81</v>
      </c>
      <c r="N12" s="783" t="s">
        <v>82</v>
      </c>
      <c r="O12" s="783" t="s">
        <v>83</v>
      </c>
      <c r="P12" s="783" t="s">
        <v>84</v>
      </c>
      <c r="Q12" s="710"/>
      <c r="R12" s="710"/>
      <c r="S12" s="710"/>
      <c r="T12" s="710"/>
    </row>
    <row r="13" spans="2:20" s="669" customFormat="1" ht="17.399999999999999" x14ac:dyDescent="0.35">
      <c r="B13" s="670">
        <v>1</v>
      </c>
      <c r="C13" s="671" t="s">
        <v>90</v>
      </c>
      <c r="D13" s="670" t="s">
        <v>91</v>
      </c>
      <c r="E13" s="670" t="s">
        <v>92</v>
      </c>
      <c r="F13" s="347">
        <f>G13</f>
        <v>45854</v>
      </c>
      <c r="G13" s="699">
        <v>45854</v>
      </c>
      <c r="H13" s="700">
        <v>26.43</v>
      </c>
      <c r="I13" s="1291" t="s">
        <v>547</v>
      </c>
      <c r="J13" s="1292"/>
      <c r="K13" s="1292"/>
      <c r="L13" s="1293"/>
      <c r="M13" s="699">
        <v>45876</v>
      </c>
      <c r="N13" s="701" t="s">
        <v>89</v>
      </c>
      <c r="O13" s="702"/>
      <c r="P13" s="703">
        <v>10</v>
      </c>
      <c r="Q13" s="705"/>
      <c r="R13" s="705"/>
      <c r="S13" s="705"/>
      <c r="T13" s="705"/>
    </row>
    <row r="14" spans="2:20" s="669" customFormat="1" ht="17.399999999999999" x14ac:dyDescent="0.35">
      <c r="B14" s="670">
        <f>B13+1</f>
        <v>2</v>
      </c>
      <c r="C14" s="671" t="s">
        <v>86</v>
      </c>
      <c r="D14" s="670" t="s">
        <v>87</v>
      </c>
      <c r="E14" s="670" t="s">
        <v>88</v>
      </c>
      <c r="F14" s="347">
        <v>45848</v>
      </c>
      <c r="G14" s="699">
        <v>45849</v>
      </c>
      <c r="H14" s="706">
        <v>22.4</v>
      </c>
      <c r="I14" s="1291" t="s">
        <v>547</v>
      </c>
      <c r="J14" s="1292"/>
      <c r="K14" s="1292"/>
      <c r="L14" s="1293"/>
      <c r="M14" s="699">
        <v>45891</v>
      </c>
      <c r="N14" s="701" t="s">
        <v>89</v>
      </c>
      <c r="O14" s="702"/>
      <c r="P14" s="703">
        <v>10</v>
      </c>
      <c r="Q14" s="705"/>
      <c r="R14" s="705"/>
      <c r="S14" s="705"/>
      <c r="T14" s="705"/>
    </row>
    <row r="15" spans="2:20" s="669" customFormat="1" ht="17.399999999999999" x14ac:dyDescent="0.35">
      <c r="B15" s="670">
        <f t="shared" ref="B15:B78" si="0">B14+1</f>
        <v>3</v>
      </c>
      <c r="C15" s="672" t="s">
        <v>93</v>
      </c>
      <c r="D15" s="670" t="s">
        <v>87</v>
      </c>
      <c r="E15" s="670" t="s">
        <v>92</v>
      </c>
      <c r="F15" s="347" t="e">
        <f>#REF!</f>
        <v>#REF!</v>
      </c>
      <c r="G15" s="699">
        <v>45892</v>
      </c>
      <c r="H15" s="673">
        <v>23.27</v>
      </c>
      <c r="I15" s="1291" t="s">
        <v>547</v>
      </c>
      <c r="J15" s="1292"/>
      <c r="K15" s="1292"/>
      <c r="L15" s="1293"/>
      <c r="M15" s="707">
        <v>45913</v>
      </c>
      <c r="N15" s="701" t="s">
        <v>89</v>
      </c>
      <c r="O15" s="708"/>
      <c r="P15" s="709">
        <v>10</v>
      </c>
      <c r="Q15" s="710"/>
      <c r="R15" s="710"/>
      <c r="S15" s="710"/>
      <c r="T15" s="710"/>
    </row>
    <row r="16" spans="2:20" s="669" customFormat="1" ht="17.399999999999999" x14ac:dyDescent="0.35">
      <c r="B16" s="670">
        <f t="shared" si="0"/>
        <v>4</v>
      </c>
      <c r="C16" s="673" t="s">
        <v>96</v>
      </c>
      <c r="D16" s="670" t="s">
        <v>87</v>
      </c>
      <c r="E16" s="673" t="s">
        <v>542</v>
      </c>
      <c r="F16" s="347">
        <v>45898</v>
      </c>
      <c r="G16" s="711">
        <v>45902</v>
      </c>
      <c r="H16" s="673">
        <v>21.96</v>
      </c>
      <c r="I16" s="1291" t="s">
        <v>547</v>
      </c>
      <c r="J16" s="1292"/>
      <c r="K16" s="1292"/>
      <c r="L16" s="1293"/>
      <c r="M16" s="707">
        <v>45918</v>
      </c>
      <c r="N16" s="701" t="s">
        <v>89</v>
      </c>
      <c r="O16" s="708"/>
      <c r="P16" s="709">
        <v>10</v>
      </c>
      <c r="Q16" s="710"/>
      <c r="R16" s="710"/>
      <c r="S16" s="710"/>
      <c r="T16" s="710"/>
    </row>
    <row r="17" spans="1:102" s="669" customFormat="1" ht="17.399999999999999" x14ac:dyDescent="0.35">
      <c r="B17" s="670">
        <f t="shared" si="0"/>
        <v>5</v>
      </c>
      <c r="C17" s="672" t="s">
        <v>94</v>
      </c>
      <c r="D17" s="670" t="s">
        <v>95</v>
      </c>
      <c r="E17" s="673" t="s">
        <v>541</v>
      </c>
      <c r="F17" s="347">
        <v>45897</v>
      </c>
      <c r="G17" s="711">
        <v>45898</v>
      </c>
      <c r="H17" s="673">
        <v>36.659999999999997</v>
      </c>
      <c r="I17" s="1291" t="s">
        <v>547</v>
      </c>
      <c r="J17" s="1292"/>
      <c r="K17" s="1292"/>
      <c r="L17" s="1293"/>
      <c r="M17" s="707">
        <v>45940</v>
      </c>
      <c r="N17" s="701" t="s">
        <v>89</v>
      </c>
      <c r="O17" s="708"/>
      <c r="P17" s="709">
        <v>10</v>
      </c>
      <c r="Q17" s="710"/>
      <c r="R17" s="710"/>
      <c r="S17" s="710"/>
      <c r="T17" s="710"/>
    </row>
    <row r="18" spans="1:102" s="669" customFormat="1" ht="17.399999999999999" customHeight="1" x14ac:dyDescent="0.35">
      <c r="B18" s="670">
        <f t="shared" si="0"/>
        <v>6</v>
      </c>
      <c r="C18" s="674" t="s">
        <v>274</v>
      </c>
      <c r="D18" s="675" t="s">
        <v>87</v>
      </c>
      <c r="E18" s="674" t="s">
        <v>542</v>
      </c>
      <c r="F18" s="350">
        <v>45930</v>
      </c>
      <c r="G18" s="712">
        <v>45938</v>
      </c>
      <c r="H18" s="673">
        <v>21.96</v>
      </c>
      <c r="I18" s="1291" t="s">
        <v>547</v>
      </c>
      <c r="J18" s="1292"/>
      <c r="K18" s="1292"/>
      <c r="L18" s="1293"/>
      <c r="M18" s="713">
        <v>45949</v>
      </c>
      <c r="N18" s="714" t="s">
        <v>690</v>
      </c>
      <c r="O18" s="715"/>
      <c r="P18" s="716">
        <v>10</v>
      </c>
      <c r="Q18" s="710"/>
      <c r="R18" s="710"/>
      <c r="S18" s="710"/>
      <c r="T18" s="710"/>
    </row>
    <row r="19" spans="1:102" s="669" customFormat="1" ht="17.399999999999999" customHeight="1" x14ac:dyDescent="0.35">
      <c r="B19" s="670">
        <f t="shared" si="0"/>
        <v>7</v>
      </c>
      <c r="C19" s="674" t="s">
        <v>342</v>
      </c>
      <c r="D19" s="675" t="s">
        <v>87</v>
      </c>
      <c r="E19" s="674" t="s">
        <v>542</v>
      </c>
      <c r="F19" s="350">
        <v>45919</v>
      </c>
      <c r="G19" s="712">
        <v>45940</v>
      </c>
      <c r="H19" s="673">
        <v>21.96</v>
      </c>
      <c r="I19" s="1291" t="s">
        <v>547</v>
      </c>
      <c r="J19" s="1292"/>
      <c r="K19" s="1292"/>
      <c r="L19" s="1293"/>
      <c r="M19" s="713">
        <v>45949</v>
      </c>
      <c r="N19" s="701" t="s">
        <v>689</v>
      </c>
      <c r="O19" s="715"/>
      <c r="P19" s="716">
        <v>10</v>
      </c>
      <c r="Q19" s="710"/>
      <c r="R19" s="710"/>
      <c r="S19" s="710"/>
      <c r="T19" s="710"/>
    </row>
    <row r="20" spans="1:102" s="722" customFormat="1" ht="17.399999999999999" customHeight="1" x14ac:dyDescent="0.35">
      <c r="A20" s="669"/>
      <c r="B20" s="670">
        <f t="shared" si="0"/>
        <v>8</v>
      </c>
      <c r="C20" s="676" t="s">
        <v>273</v>
      </c>
      <c r="D20" s="677" t="s">
        <v>95</v>
      </c>
      <c r="E20" s="676" t="s">
        <v>542</v>
      </c>
      <c r="F20" s="351">
        <v>45933</v>
      </c>
      <c r="G20" s="717">
        <v>45938</v>
      </c>
      <c r="H20" s="674">
        <v>25.04</v>
      </c>
      <c r="I20" s="1291" t="s">
        <v>547</v>
      </c>
      <c r="J20" s="1292"/>
      <c r="K20" s="1292"/>
      <c r="L20" s="1293"/>
      <c r="M20" s="718">
        <v>45951</v>
      </c>
      <c r="N20" s="714" t="s">
        <v>690</v>
      </c>
      <c r="O20" s="719"/>
      <c r="P20" s="720">
        <v>20</v>
      </c>
      <c r="Q20" s="721"/>
      <c r="R20" s="721"/>
      <c r="S20" s="721"/>
      <c r="T20" s="721"/>
    </row>
    <row r="21" spans="1:102" s="724" customFormat="1" ht="17.399999999999999" customHeight="1" x14ac:dyDescent="0.35">
      <c r="A21" s="669"/>
      <c r="B21" s="670">
        <f t="shared" si="0"/>
        <v>9</v>
      </c>
      <c r="C21" s="674" t="s">
        <v>343</v>
      </c>
      <c r="D21" s="675" t="s">
        <v>87</v>
      </c>
      <c r="E21" s="676" t="s">
        <v>542</v>
      </c>
      <c r="F21" s="350">
        <v>45925</v>
      </c>
      <c r="G21" s="712">
        <v>45941</v>
      </c>
      <c r="H21" s="674">
        <v>21.96</v>
      </c>
      <c r="I21" s="1291" t="s">
        <v>547</v>
      </c>
      <c r="J21" s="1292"/>
      <c r="K21" s="1292"/>
      <c r="L21" s="1293"/>
      <c r="M21" s="723">
        <v>45954</v>
      </c>
      <c r="N21" s="701" t="s">
        <v>689</v>
      </c>
      <c r="O21" s="715"/>
      <c r="P21" s="716">
        <v>10</v>
      </c>
      <c r="Q21" s="721"/>
      <c r="R21" s="721"/>
      <c r="S21" s="721"/>
      <c r="T21" s="721"/>
      <c r="U21" s="722"/>
      <c r="V21" s="722"/>
      <c r="W21" s="722"/>
      <c r="X21" s="722"/>
      <c r="Y21" s="722"/>
      <c r="Z21" s="722"/>
      <c r="AA21" s="722"/>
      <c r="AB21" s="722"/>
      <c r="AC21" s="722"/>
      <c r="AD21" s="722"/>
      <c r="AE21" s="722"/>
      <c r="AF21" s="722"/>
      <c r="AG21" s="722"/>
      <c r="AH21" s="722"/>
      <c r="AI21" s="722"/>
      <c r="AJ21" s="722"/>
      <c r="AK21" s="722"/>
      <c r="AL21" s="722"/>
      <c r="AM21" s="722"/>
      <c r="AN21" s="722"/>
      <c r="AO21" s="722"/>
      <c r="AP21" s="722"/>
      <c r="AQ21" s="722"/>
      <c r="AR21" s="722"/>
      <c r="AS21" s="722"/>
      <c r="AT21" s="722"/>
      <c r="AU21" s="722"/>
      <c r="AV21" s="722"/>
      <c r="AW21" s="722"/>
      <c r="AX21" s="722"/>
      <c r="AY21" s="722"/>
      <c r="AZ21" s="722"/>
      <c r="BA21" s="722"/>
      <c r="BB21" s="722"/>
      <c r="BC21" s="722"/>
      <c r="BD21" s="722"/>
      <c r="BE21" s="722"/>
      <c r="BF21" s="722"/>
      <c r="BG21" s="722"/>
      <c r="BH21" s="722"/>
      <c r="BI21" s="722"/>
      <c r="BJ21" s="722"/>
      <c r="BK21" s="722"/>
      <c r="BL21" s="722"/>
      <c r="BM21" s="722"/>
      <c r="BN21" s="722"/>
      <c r="BO21" s="722"/>
      <c r="BP21" s="722"/>
      <c r="BQ21" s="722"/>
      <c r="BR21" s="722"/>
      <c r="BS21" s="722"/>
      <c r="BT21" s="722"/>
      <c r="BU21" s="722"/>
      <c r="BV21" s="722"/>
      <c r="BW21" s="722"/>
      <c r="BX21" s="722"/>
      <c r="BY21" s="722"/>
      <c r="BZ21" s="722"/>
      <c r="CA21" s="722"/>
      <c r="CB21" s="722"/>
      <c r="CC21" s="722"/>
      <c r="CD21" s="722"/>
      <c r="CE21" s="722"/>
      <c r="CF21" s="722"/>
      <c r="CG21" s="722"/>
      <c r="CH21" s="722"/>
      <c r="CI21" s="722"/>
      <c r="CJ21" s="722"/>
      <c r="CK21" s="722"/>
      <c r="CL21" s="722"/>
      <c r="CM21" s="722"/>
      <c r="CN21" s="722"/>
      <c r="CO21" s="722"/>
      <c r="CP21" s="722"/>
      <c r="CQ21" s="722"/>
      <c r="CR21" s="722"/>
      <c r="CS21" s="722"/>
      <c r="CT21" s="722"/>
      <c r="CU21" s="722"/>
      <c r="CV21" s="722"/>
      <c r="CW21" s="722"/>
      <c r="CX21" s="722"/>
    </row>
    <row r="22" spans="1:102" s="722" customFormat="1" ht="17.399999999999999" customHeight="1" x14ac:dyDescent="0.35">
      <c r="A22" s="669"/>
      <c r="B22" s="670">
        <f t="shared" si="0"/>
        <v>10</v>
      </c>
      <c r="C22" s="674" t="s">
        <v>276</v>
      </c>
      <c r="D22" s="675" t="s">
        <v>87</v>
      </c>
      <c r="E22" s="674" t="s">
        <v>92</v>
      </c>
      <c r="F22" s="350"/>
      <c r="G22" s="712">
        <v>45944</v>
      </c>
      <c r="H22" s="673">
        <v>23.27</v>
      </c>
      <c r="I22" s="1291" t="s">
        <v>547</v>
      </c>
      <c r="J22" s="1292"/>
      <c r="K22" s="1292"/>
      <c r="L22" s="1293"/>
      <c r="M22" s="723">
        <v>45955</v>
      </c>
      <c r="N22" s="714" t="s">
        <v>690</v>
      </c>
      <c r="O22" s="715"/>
      <c r="P22" s="716">
        <v>20</v>
      </c>
      <c r="Q22" s="721"/>
      <c r="R22" s="721"/>
      <c r="S22" s="721"/>
      <c r="T22" s="721"/>
    </row>
    <row r="23" spans="1:102" s="669" customFormat="1" ht="17.399999999999999" customHeight="1" x14ac:dyDescent="0.35">
      <c r="B23" s="670">
        <f t="shared" si="0"/>
        <v>11</v>
      </c>
      <c r="C23" s="678" t="s">
        <v>337</v>
      </c>
      <c r="D23" s="679" t="s">
        <v>91</v>
      </c>
      <c r="E23" s="678" t="s">
        <v>541</v>
      </c>
      <c r="F23" s="349">
        <v>45919</v>
      </c>
      <c r="G23" s="725">
        <v>45923</v>
      </c>
      <c r="H23" s="678">
        <v>36.659999999999997</v>
      </c>
      <c r="I23" s="1291" t="s">
        <v>547</v>
      </c>
      <c r="J23" s="1292"/>
      <c r="K23" s="1292"/>
      <c r="L23" s="1293"/>
      <c r="M23" s="726">
        <v>45957</v>
      </c>
      <c r="N23" s="727" t="s">
        <v>89</v>
      </c>
      <c r="O23" s="728"/>
      <c r="P23" s="729">
        <v>10</v>
      </c>
      <c r="Q23" s="710"/>
      <c r="R23" s="710"/>
      <c r="S23" s="710"/>
      <c r="T23" s="710"/>
    </row>
    <row r="24" spans="1:102" s="669" customFormat="1" ht="17.399999999999999" customHeight="1" x14ac:dyDescent="0.35">
      <c r="B24" s="670">
        <f t="shared" si="0"/>
        <v>12</v>
      </c>
      <c r="C24" s="673" t="s">
        <v>322</v>
      </c>
      <c r="D24" s="670" t="s">
        <v>87</v>
      </c>
      <c r="E24" s="673" t="s">
        <v>542</v>
      </c>
      <c r="F24" s="348">
        <v>45916</v>
      </c>
      <c r="G24" s="711">
        <v>45917</v>
      </c>
      <c r="H24" s="673">
        <v>21.96</v>
      </c>
      <c r="I24" s="1291" t="s">
        <v>547</v>
      </c>
      <c r="J24" s="1292"/>
      <c r="K24" s="1292"/>
      <c r="L24" s="1293"/>
      <c r="M24" s="707">
        <v>45961</v>
      </c>
      <c r="N24" s="701" t="s">
        <v>689</v>
      </c>
      <c r="O24" s="708"/>
      <c r="P24" s="709">
        <v>10</v>
      </c>
      <c r="Q24" s="710"/>
      <c r="R24" s="710"/>
      <c r="S24" s="710"/>
      <c r="T24" s="710"/>
    </row>
    <row r="25" spans="1:102" s="722" customFormat="1" ht="17.399999999999999" customHeight="1" x14ac:dyDescent="0.35">
      <c r="A25" s="669"/>
      <c r="B25" s="670">
        <f t="shared" si="0"/>
        <v>13</v>
      </c>
      <c r="C25" s="674" t="s">
        <v>328</v>
      </c>
      <c r="D25" s="675" t="s">
        <v>91</v>
      </c>
      <c r="E25" s="674" t="s">
        <v>542</v>
      </c>
      <c r="F25" s="350"/>
      <c r="G25" s="712">
        <v>45957</v>
      </c>
      <c r="H25" s="674">
        <v>25.04</v>
      </c>
      <c r="I25" s="1291" t="s">
        <v>547</v>
      </c>
      <c r="J25" s="1292"/>
      <c r="K25" s="1292"/>
      <c r="L25" s="1293"/>
      <c r="M25" s="723">
        <v>45966</v>
      </c>
      <c r="N25" s="701" t="s">
        <v>689</v>
      </c>
      <c r="O25" s="715"/>
      <c r="P25" s="716">
        <v>10</v>
      </c>
      <c r="Q25" s="721"/>
      <c r="R25" s="721"/>
      <c r="S25" s="721"/>
      <c r="T25" s="721"/>
    </row>
    <row r="26" spans="1:102" s="722" customFormat="1" ht="17.399999999999999" customHeight="1" x14ac:dyDescent="0.35">
      <c r="A26" s="669"/>
      <c r="B26" s="670">
        <f t="shared" si="0"/>
        <v>14</v>
      </c>
      <c r="C26" s="674" t="s">
        <v>271</v>
      </c>
      <c r="D26" s="675" t="s">
        <v>87</v>
      </c>
      <c r="E26" s="674" t="s">
        <v>542</v>
      </c>
      <c r="F26" s="350"/>
      <c r="G26" s="712">
        <v>45959</v>
      </c>
      <c r="H26" s="674">
        <v>21.96</v>
      </c>
      <c r="I26" s="1291" t="s">
        <v>547</v>
      </c>
      <c r="J26" s="1292"/>
      <c r="K26" s="1292"/>
      <c r="L26" s="1293"/>
      <c r="M26" s="723">
        <v>45969</v>
      </c>
      <c r="N26" s="714" t="s">
        <v>690</v>
      </c>
      <c r="O26" s="715"/>
      <c r="P26" s="716">
        <v>15</v>
      </c>
      <c r="Q26" s="721"/>
      <c r="R26" s="721"/>
      <c r="S26" s="721"/>
      <c r="T26" s="721"/>
    </row>
    <row r="27" spans="1:102" s="722" customFormat="1" ht="17.399999999999999" customHeight="1" x14ac:dyDescent="0.35">
      <c r="A27" s="669"/>
      <c r="B27" s="670">
        <f t="shared" si="0"/>
        <v>15</v>
      </c>
      <c r="C27" s="674" t="s">
        <v>325</v>
      </c>
      <c r="D27" s="675" t="s">
        <v>87</v>
      </c>
      <c r="E27" s="674" t="s">
        <v>92</v>
      </c>
      <c r="F27" s="350"/>
      <c r="G27" s="712">
        <v>45963</v>
      </c>
      <c r="H27" s="673">
        <v>23.27</v>
      </c>
      <c r="I27" s="1291" t="s">
        <v>547</v>
      </c>
      <c r="J27" s="1292"/>
      <c r="K27" s="1292"/>
      <c r="L27" s="1293"/>
      <c r="M27" s="723">
        <v>45970</v>
      </c>
      <c r="N27" s="701" t="s">
        <v>689</v>
      </c>
      <c r="O27" s="715"/>
      <c r="P27" s="716">
        <v>10</v>
      </c>
      <c r="Q27" s="721"/>
      <c r="R27" s="721"/>
      <c r="S27" s="721"/>
      <c r="T27" s="721"/>
    </row>
    <row r="28" spans="1:102" s="722" customFormat="1" ht="17.399999999999999" customHeight="1" x14ac:dyDescent="0.35">
      <c r="A28" s="669"/>
      <c r="B28" s="670">
        <f t="shared" si="0"/>
        <v>16</v>
      </c>
      <c r="C28" s="674" t="s">
        <v>326</v>
      </c>
      <c r="D28" s="675" t="s">
        <v>87</v>
      </c>
      <c r="E28" s="674" t="s">
        <v>92</v>
      </c>
      <c r="F28" s="350"/>
      <c r="G28" s="712">
        <v>45963</v>
      </c>
      <c r="H28" s="673">
        <v>23.27</v>
      </c>
      <c r="I28" s="1291" t="s">
        <v>547</v>
      </c>
      <c r="J28" s="1292"/>
      <c r="K28" s="1292"/>
      <c r="L28" s="1293"/>
      <c r="M28" s="723">
        <v>45974</v>
      </c>
      <c r="N28" s="714" t="s">
        <v>89</v>
      </c>
      <c r="O28" s="715"/>
      <c r="P28" s="716">
        <v>10</v>
      </c>
      <c r="Q28" s="721"/>
      <c r="R28" s="721"/>
      <c r="S28" s="721"/>
      <c r="T28" s="721"/>
    </row>
    <row r="29" spans="1:102" s="722" customFormat="1" ht="17.399999999999999" customHeight="1" x14ac:dyDescent="0.35">
      <c r="A29" s="669"/>
      <c r="B29" s="670">
        <f t="shared" si="0"/>
        <v>17</v>
      </c>
      <c r="C29" s="674" t="s">
        <v>277</v>
      </c>
      <c r="D29" s="675" t="s">
        <v>95</v>
      </c>
      <c r="E29" s="674" t="s">
        <v>542</v>
      </c>
      <c r="F29" s="350"/>
      <c r="G29" s="712">
        <v>45953</v>
      </c>
      <c r="H29" s="674">
        <v>25.04</v>
      </c>
      <c r="I29" s="1291" t="s">
        <v>547</v>
      </c>
      <c r="J29" s="1292"/>
      <c r="K29" s="1292"/>
      <c r="L29" s="1293"/>
      <c r="M29" s="723">
        <v>45976</v>
      </c>
      <c r="N29" s="714" t="s">
        <v>690</v>
      </c>
      <c r="O29" s="715"/>
      <c r="P29" s="716">
        <v>15</v>
      </c>
      <c r="Q29" s="721"/>
      <c r="R29" s="721"/>
      <c r="S29" s="721"/>
      <c r="T29" s="721"/>
    </row>
    <row r="30" spans="1:102" s="722" customFormat="1" ht="17.399999999999999" customHeight="1" x14ac:dyDescent="0.35">
      <c r="A30" s="669"/>
      <c r="B30" s="670">
        <f t="shared" si="0"/>
        <v>18</v>
      </c>
      <c r="C30" s="674" t="s">
        <v>321</v>
      </c>
      <c r="D30" s="675" t="s">
        <v>87</v>
      </c>
      <c r="E30" s="674" t="s">
        <v>92</v>
      </c>
      <c r="F30" s="350"/>
      <c r="G30" s="712">
        <v>45968</v>
      </c>
      <c r="H30" s="673">
        <v>23.27</v>
      </c>
      <c r="I30" s="1291" t="s">
        <v>547</v>
      </c>
      <c r="J30" s="1292"/>
      <c r="K30" s="1292"/>
      <c r="L30" s="1293"/>
      <c r="M30" s="723">
        <v>45980</v>
      </c>
      <c r="N30" s="714" t="s">
        <v>89</v>
      </c>
      <c r="O30" s="715"/>
      <c r="P30" s="716">
        <v>10</v>
      </c>
      <c r="Q30" s="721"/>
      <c r="R30" s="721"/>
      <c r="S30" s="721"/>
      <c r="T30" s="721"/>
    </row>
    <row r="31" spans="1:102" s="722" customFormat="1" ht="17.399999999999999" customHeight="1" x14ac:dyDescent="0.35">
      <c r="A31" s="669"/>
      <c r="B31" s="670">
        <f t="shared" si="0"/>
        <v>19</v>
      </c>
      <c r="C31" s="674" t="s">
        <v>284</v>
      </c>
      <c r="D31" s="675" t="s">
        <v>91</v>
      </c>
      <c r="E31" s="674" t="s">
        <v>92</v>
      </c>
      <c r="F31" s="350"/>
      <c r="G31" s="712">
        <v>45973</v>
      </c>
      <c r="H31" s="700">
        <v>26.43</v>
      </c>
      <c r="I31" s="1291" t="s">
        <v>547</v>
      </c>
      <c r="J31" s="1292"/>
      <c r="K31" s="1292"/>
      <c r="L31" s="1293"/>
      <c r="M31" s="723">
        <v>45984</v>
      </c>
      <c r="N31" s="714" t="s">
        <v>690</v>
      </c>
      <c r="O31" s="715"/>
      <c r="P31" s="716">
        <v>10</v>
      </c>
      <c r="Q31" s="721"/>
      <c r="R31" s="721"/>
      <c r="S31" s="721"/>
      <c r="T31" s="721"/>
    </row>
    <row r="32" spans="1:102" s="722" customFormat="1" ht="17.399999999999999" customHeight="1" x14ac:dyDescent="0.35">
      <c r="A32" s="669"/>
      <c r="B32" s="670">
        <f t="shared" si="0"/>
        <v>20</v>
      </c>
      <c r="C32" s="674" t="s">
        <v>318</v>
      </c>
      <c r="D32" s="675" t="s">
        <v>87</v>
      </c>
      <c r="E32" s="674" t="s">
        <v>542</v>
      </c>
      <c r="F32" s="350"/>
      <c r="G32" s="712">
        <v>45968</v>
      </c>
      <c r="H32" s="673">
        <v>21.96</v>
      </c>
      <c r="I32" s="1291" t="s">
        <v>547</v>
      </c>
      <c r="J32" s="1292"/>
      <c r="K32" s="1292"/>
      <c r="L32" s="1293"/>
      <c r="M32" s="723">
        <v>45986</v>
      </c>
      <c r="N32" s="714" t="s">
        <v>89</v>
      </c>
      <c r="O32" s="715"/>
      <c r="P32" s="716">
        <v>10</v>
      </c>
      <c r="Q32" s="721"/>
      <c r="R32" s="721"/>
      <c r="S32" s="721"/>
      <c r="T32" s="721"/>
    </row>
    <row r="33" spans="1:20" s="722" customFormat="1" ht="17.399999999999999" customHeight="1" x14ac:dyDescent="0.35">
      <c r="A33" s="669"/>
      <c r="B33" s="670">
        <f t="shared" si="0"/>
        <v>21</v>
      </c>
      <c r="C33" s="674" t="s">
        <v>268</v>
      </c>
      <c r="D33" s="675" t="s">
        <v>87</v>
      </c>
      <c r="E33" s="674" t="s">
        <v>92</v>
      </c>
      <c r="F33" s="350"/>
      <c r="G33" s="712">
        <v>45984</v>
      </c>
      <c r="H33" s="673">
        <v>23.27</v>
      </c>
      <c r="I33" s="1291" t="s">
        <v>547</v>
      </c>
      <c r="J33" s="1292"/>
      <c r="K33" s="1292"/>
      <c r="L33" s="1293"/>
      <c r="M33" s="723">
        <v>45990</v>
      </c>
      <c r="N33" s="714" t="s">
        <v>690</v>
      </c>
      <c r="O33" s="715"/>
      <c r="P33" s="716">
        <v>10</v>
      </c>
      <c r="Q33" s="721"/>
      <c r="R33" s="721"/>
      <c r="S33" s="721"/>
      <c r="T33" s="721"/>
    </row>
    <row r="34" spans="1:20" s="722" customFormat="1" ht="17.399999999999999" customHeight="1" x14ac:dyDescent="0.35">
      <c r="A34" s="669"/>
      <c r="B34" s="670">
        <f t="shared" si="0"/>
        <v>22</v>
      </c>
      <c r="C34" s="674" t="s">
        <v>320</v>
      </c>
      <c r="D34" s="675" t="s">
        <v>87</v>
      </c>
      <c r="E34" s="674" t="s">
        <v>542</v>
      </c>
      <c r="F34" s="350"/>
      <c r="G34" s="712">
        <v>45979</v>
      </c>
      <c r="H34" s="673">
        <v>21.96</v>
      </c>
      <c r="I34" s="1291" t="s">
        <v>547</v>
      </c>
      <c r="J34" s="1292"/>
      <c r="K34" s="1292"/>
      <c r="L34" s="1293"/>
      <c r="M34" s="723">
        <v>45991</v>
      </c>
      <c r="N34" s="714" t="s">
        <v>89</v>
      </c>
      <c r="O34" s="715"/>
      <c r="P34" s="716">
        <v>10</v>
      </c>
      <c r="Q34" s="721"/>
      <c r="R34" s="721"/>
      <c r="S34" s="721"/>
      <c r="T34" s="721"/>
    </row>
    <row r="35" spans="1:20" s="722" customFormat="1" ht="17.399999999999999" customHeight="1" x14ac:dyDescent="0.35">
      <c r="A35" s="669"/>
      <c r="B35" s="670">
        <f t="shared" si="0"/>
        <v>23</v>
      </c>
      <c r="C35" s="674" t="s">
        <v>266</v>
      </c>
      <c r="D35" s="675" t="s">
        <v>87</v>
      </c>
      <c r="E35" s="674" t="s">
        <v>542</v>
      </c>
      <c r="F35" s="350"/>
      <c r="G35" s="712">
        <v>45988</v>
      </c>
      <c r="H35" s="673">
        <v>21.96</v>
      </c>
      <c r="I35" s="1291" t="s">
        <v>547</v>
      </c>
      <c r="J35" s="1292"/>
      <c r="K35" s="1292"/>
      <c r="L35" s="1293"/>
      <c r="M35" s="723">
        <v>45994</v>
      </c>
      <c r="N35" s="714" t="s">
        <v>690</v>
      </c>
      <c r="O35" s="715"/>
      <c r="P35" s="716">
        <v>16</v>
      </c>
      <c r="Q35" s="721"/>
      <c r="R35" s="721"/>
      <c r="S35" s="721"/>
      <c r="T35" s="721"/>
    </row>
    <row r="36" spans="1:20" s="722" customFormat="1" ht="17.399999999999999" customHeight="1" x14ac:dyDescent="0.35">
      <c r="A36" s="669"/>
      <c r="B36" s="670">
        <f t="shared" si="0"/>
        <v>24</v>
      </c>
      <c r="C36" s="674" t="s">
        <v>265</v>
      </c>
      <c r="D36" s="675" t="s">
        <v>95</v>
      </c>
      <c r="E36" s="674" t="s">
        <v>542</v>
      </c>
      <c r="F36" s="350"/>
      <c r="G36" s="712">
        <v>45992</v>
      </c>
      <c r="H36" s="674">
        <v>25.04</v>
      </c>
      <c r="I36" s="1291" t="s">
        <v>547</v>
      </c>
      <c r="J36" s="1292"/>
      <c r="K36" s="1292"/>
      <c r="L36" s="1293"/>
      <c r="M36" s="723">
        <v>45999</v>
      </c>
      <c r="N36" s="714" t="s">
        <v>690</v>
      </c>
      <c r="O36" s="715"/>
      <c r="P36" s="716">
        <v>16</v>
      </c>
      <c r="Q36" s="721"/>
      <c r="R36" s="721"/>
      <c r="S36" s="721"/>
      <c r="T36" s="721"/>
    </row>
    <row r="37" spans="1:20" s="722" customFormat="1" ht="17.399999999999999" customHeight="1" x14ac:dyDescent="0.35">
      <c r="A37" s="669"/>
      <c r="B37" s="670">
        <f t="shared" si="0"/>
        <v>25</v>
      </c>
      <c r="C37" s="674" t="s">
        <v>324</v>
      </c>
      <c r="D37" s="675" t="s">
        <v>87</v>
      </c>
      <c r="E37" s="674" t="s">
        <v>88</v>
      </c>
      <c r="F37" s="350"/>
      <c r="G37" s="712">
        <v>45988</v>
      </c>
      <c r="H37" s="706">
        <v>22.4</v>
      </c>
      <c r="I37" s="1291" t="s">
        <v>547</v>
      </c>
      <c r="J37" s="1292"/>
      <c r="K37" s="1292"/>
      <c r="L37" s="1293"/>
      <c r="M37" s="723">
        <v>46003</v>
      </c>
      <c r="N37" s="714" t="s">
        <v>89</v>
      </c>
      <c r="O37" s="715"/>
      <c r="P37" s="716">
        <v>15</v>
      </c>
      <c r="Q37" s="721"/>
      <c r="R37" s="721"/>
      <c r="S37" s="721"/>
      <c r="T37" s="721"/>
    </row>
    <row r="38" spans="1:20" s="722" customFormat="1" ht="17.399999999999999" customHeight="1" x14ac:dyDescent="0.35">
      <c r="A38" s="669"/>
      <c r="B38" s="670">
        <f t="shared" si="0"/>
        <v>26</v>
      </c>
      <c r="C38" s="674" t="s">
        <v>267</v>
      </c>
      <c r="D38" s="675" t="s">
        <v>87</v>
      </c>
      <c r="E38" s="674" t="s">
        <v>542</v>
      </c>
      <c r="F38" s="350"/>
      <c r="G38" s="712">
        <v>46000</v>
      </c>
      <c r="H38" s="673">
        <v>21.96</v>
      </c>
      <c r="I38" s="1291" t="s">
        <v>547</v>
      </c>
      <c r="J38" s="1292"/>
      <c r="K38" s="1292"/>
      <c r="L38" s="1293"/>
      <c r="M38" s="723">
        <v>46005</v>
      </c>
      <c r="N38" s="714" t="s">
        <v>690</v>
      </c>
      <c r="O38" s="715"/>
      <c r="P38" s="716">
        <v>21</v>
      </c>
      <c r="Q38" s="721"/>
      <c r="R38" s="721"/>
      <c r="S38" s="721"/>
      <c r="T38" s="721"/>
    </row>
    <row r="39" spans="1:20" s="722" customFormat="1" ht="17.399999999999999" customHeight="1" x14ac:dyDescent="0.35">
      <c r="A39" s="669"/>
      <c r="B39" s="670">
        <f t="shared" si="0"/>
        <v>27</v>
      </c>
      <c r="C39" s="674" t="s">
        <v>394</v>
      </c>
      <c r="D39" s="675" t="s">
        <v>87</v>
      </c>
      <c r="E39" s="674" t="s">
        <v>542</v>
      </c>
      <c r="F39" s="350"/>
      <c r="G39" s="712">
        <v>45998</v>
      </c>
      <c r="H39" s="673">
        <v>21.96</v>
      </c>
      <c r="I39" s="1285" t="s">
        <v>549</v>
      </c>
      <c r="J39" s="1286"/>
      <c r="K39" s="1286"/>
      <c r="L39" s="1287"/>
      <c r="M39" s="723">
        <v>46006</v>
      </c>
      <c r="N39" s="714" t="s">
        <v>662</v>
      </c>
      <c r="O39" s="715"/>
      <c r="P39" s="716">
        <v>17</v>
      </c>
      <c r="Q39" s="721"/>
      <c r="R39" s="721"/>
      <c r="S39" s="721"/>
      <c r="T39" s="721"/>
    </row>
    <row r="40" spans="1:20" s="722" customFormat="1" ht="17.399999999999999" customHeight="1" x14ac:dyDescent="0.35">
      <c r="A40" s="669"/>
      <c r="B40" s="670">
        <f t="shared" si="0"/>
        <v>28</v>
      </c>
      <c r="C40" s="674" t="s">
        <v>313</v>
      </c>
      <c r="D40" s="675" t="s">
        <v>95</v>
      </c>
      <c r="E40" s="674" t="s">
        <v>88</v>
      </c>
      <c r="F40" s="350"/>
      <c r="G40" s="712">
        <v>45995</v>
      </c>
      <c r="H40" s="674">
        <v>25.77</v>
      </c>
      <c r="I40" s="1291" t="s">
        <v>547</v>
      </c>
      <c r="J40" s="1292"/>
      <c r="K40" s="1292"/>
      <c r="L40" s="1293"/>
      <c r="M40" s="723">
        <v>46009</v>
      </c>
      <c r="N40" s="714" t="s">
        <v>688</v>
      </c>
      <c r="O40" s="715"/>
      <c r="P40" s="716">
        <v>10</v>
      </c>
      <c r="Q40" s="721"/>
      <c r="R40" s="721"/>
      <c r="S40" s="721"/>
      <c r="T40" s="721"/>
    </row>
    <row r="41" spans="1:20" s="722" customFormat="1" ht="17.399999999999999" customHeight="1" x14ac:dyDescent="0.35">
      <c r="A41" s="669"/>
      <c r="B41" s="670">
        <f t="shared" si="0"/>
        <v>29</v>
      </c>
      <c r="C41" s="674" t="s">
        <v>255</v>
      </c>
      <c r="D41" s="675" t="s">
        <v>87</v>
      </c>
      <c r="E41" s="674" t="s">
        <v>92</v>
      </c>
      <c r="F41" s="350"/>
      <c r="G41" s="712">
        <v>46005</v>
      </c>
      <c r="H41" s="673">
        <v>23.27</v>
      </c>
      <c r="I41" s="1285" t="s">
        <v>549</v>
      </c>
      <c r="J41" s="1286"/>
      <c r="K41" s="1286"/>
      <c r="L41" s="1287"/>
      <c r="M41" s="723">
        <v>46010</v>
      </c>
      <c r="N41" s="714" t="s">
        <v>690</v>
      </c>
      <c r="O41" s="715"/>
      <c r="P41" s="716">
        <v>21</v>
      </c>
      <c r="Q41" s="721"/>
      <c r="R41" s="721"/>
      <c r="S41" s="721"/>
      <c r="T41" s="721"/>
    </row>
    <row r="42" spans="1:20" s="722" customFormat="1" ht="17.399999999999999" customHeight="1" x14ac:dyDescent="0.35">
      <c r="A42" s="669"/>
      <c r="B42" s="670">
        <f t="shared" si="0"/>
        <v>30</v>
      </c>
      <c r="C42" s="674" t="s">
        <v>393</v>
      </c>
      <c r="D42" s="675" t="s">
        <v>87</v>
      </c>
      <c r="E42" s="674" t="s">
        <v>92</v>
      </c>
      <c r="F42" s="350"/>
      <c r="G42" s="712">
        <v>45998</v>
      </c>
      <c r="H42" s="673">
        <v>23.27</v>
      </c>
      <c r="I42" s="1285" t="s">
        <v>549</v>
      </c>
      <c r="J42" s="1286"/>
      <c r="K42" s="1286"/>
      <c r="L42" s="1287"/>
      <c r="M42" s="723">
        <v>46011</v>
      </c>
      <c r="N42" s="714" t="s">
        <v>662</v>
      </c>
      <c r="O42" s="715"/>
      <c r="P42" s="716">
        <v>17</v>
      </c>
      <c r="Q42" s="721"/>
      <c r="R42" s="721"/>
      <c r="S42" s="721"/>
      <c r="T42" s="721"/>
    </row>
    <row r="43" spans="1:20" s="722" customFormat="1" ht="17.399999999999999" customHeight="1" x14ac:dyDescent="0.35">
      <c r="A43" s="669"/>
      <c r="B43" s="670">
        <f t="shared" si="0"/>
        <v>31</v>
      </c>
      <c r="C43" s="674" t="s">
        <v>396</v>
      </c>
      <c r="D43" s="675" t="s">
        <v>87</v>
      </c>
      <c r="E43" s="674" t="s">
        <v>542</v>
      </c>
      <c r="F43" s="350"/>
      <c r="G43" s="712">
        <v>46005</v>
      </c>
      <c r="H43" s="673">
        <v>21.96</v>
      </c>
      <c r="I43" s="1285" t="s">
        <v>549</v>
      </c>
      <c r="J43" s="1286"/>
      <c r="K43" s="1286"/>
      <c r="L43" s="1287"/>
      <c r="M43" s="723">
        <v>46014</v>
      </c>
      <c r="N43" s="714" t="s">
        <v>662</v>
      </c>
      <c r="O43" s="715"/>
      <c r="P43" s="716">
        <v>17</v>
      </c>
      <c r="Q43" s="721"/>
      <c r="R43" s="721"/>
      <c r="S43" s="721"/>
      <c r="T43" s="721"/>
    </row>
    <row r="44" spans="1:20" s="722" customFormat="1" ht="17.399999999999999" customHeight="1" x14ac:dyDescent="0.35">
      <c r="A44" s="669"/>
      <c r="B44" s="670">
        <f t="shared" si="0"/>
        <v>32</v>
      </c>
      <c r="C44" s="674" t="s">
        <v>314</v>
      </c>
      <c r="D44" s="675" t="s">
        <v>87</v>
      </c>
      <c r="E44" s="674" t="s">
        <v>88</v>
      </c>
      <c r="F44" s="350"/>
      <c r="G44" s="712">
        <v>45995</v>
      </c>
      <c r="H44" s="706">
        <v>22.4</v>
      </c>
      <c r="I44" s="1291" t="s">
        <v>547</v>
      </c>
      <c r="J44" s="1292"/>
      <c r="K44" s="1292"/>
      <c r="L44" s="1293"/>
      <c r="M44" s="730">
        <v>46015</v>
      </c>
      <c r="N44" s="714" t="s">
        <v>688</v>
      </c>
      <c r="O44" s="715"/>
      <c r="P44" s="716">
        <v>10</v>
      </c>
      <c r="Q44" s="721"/>
      <c r="R44" s="721"/>
      <c r="S44" s="721"/>
      <c r="T44" s="721"/>
    </row>
    <row r="45" spans="1:20" s="722" customFormat="1" ht="17.399999999999999" customHeight="1" x14ac:dyDescent="0.35">
      <c r="A45" s="669"/>
      <c r="B45" s="670">
        <f t="shared" si="0"/>
        <v>33</v>
      </c>
      <c r="C45" s="674" t="s">
        <v>253</v>
      </c>
      <c r="D45" s="675" t="s">
        <v>91</v>
      </c>
      <c r="E45" s="674" t="s">
        <v>92</v>
      </c>
      <c r="F45" s="350"/>
      <c r="G45" s="712">
        <v>46012</v>
      </c>
      <c r="H45" s="700">
        <v>26.43</v>
      </c>
      <c r="I45" s="1285" t="s">
        <v>549</v>
      </c>
      <c r="J45" s="1286"/>
      <c r="K45" s="1286"/>
      <c r="L45" s="1287"/>
      <c r="M45" s="731">
        <v>46015</v>
      </c>
      <c r="N45" s="714" t="s">
        <v>690</v>
      </c>
      <c r="O45" s="715"/>
      <c r="P45" s="716">
        <v>21</v>
      </c>
      <c r="Q45" s="721"/>
      <c r="R45" s="721"/>
      <c r="S45" s="721"/>
      <c r="T45" s="721"/>
    </row>
    <row r="46" spans="1:20" s="722" customFormat="1" ht="17.399999999999999" customHeight="1" x14ac:dyDescent="0.35">
      <c r="A46" s="669"/>
      <c r="B46" s="670">
        <f t="shared" si="0"/>
        <v>34</v>
      </c>
      <c r="C46" s="674" t="s">
        <v>332</v>
      </c>
      <c r="D46" s="675" t="s">
        <v>91</v>
      </c>
      <c r="E46" s="674" t="s">
        <v>664</v>
      </c>
      <c r="F46" s="350"/>
      <c r="G46" s="712">
        <v>45997</v>
      </c>
      <c r="H46" s="674">
        <v>38.979999999999997</v>
      </c>
      <c r="I46" s="1285" t="s">
        <v>549</v>
      </c>
      <c r="J46" s="1286"/>
      <c r="K46" s="1286"/>
      <c r="L46" s="1287"/>
      <c r="M46" s="723">
        <v>46016</v>
      </c>
      <c r="N46" s="714" t="s">
        <v>89</v>
      </c>
      <c r="O46" s="715"/>
      <c r="P46" s="716">
        <v>18</v>
      </c>
      <c r="Q46" s="721"/>
      <c r="R46" s="721"/>
      <c r="S46" s="721"/>
      <c r="T46" s="721"/>
    </row>
    <row r="47" spans="1:20" s="722" customFormat="1" ht="17.399999999999999" customHeight="1" x14ac:dyDescent="0.35">
      <c r="A47" s="669"/>
      <c r="B47" s="670">
        <f t="shared" si="0"/>
        <v>35</v>
      </c>
      <c r="C47" s="674" t="s">
        <v>395</v>
      </c>
      <c r="D47" s="675" t="s">
        <v>87</v>
      </c>
      <c r="E47" s="674" t="s">
        <v>92</v>
      </c>
      <c r="F47" s="350"/>
      <c r="G47" s="712">
        <v>46005</v>
      </c>
      <c r="H47" s="673">
        <v>23.27</v>
      </c>
      <c r="I47" s="1285" t="s">
        <v>549</v>
      </c>
      <c r="J47" s="1286"/>
      <c r="K47" s="1286"/>
      <c r="L47" s="1287"/>
      <c r="M47" s="723">
        <v>46017</v>
      </c>
      <c r="N47" s="714" t="s">
        <v>662</v>
      </c>
      <c r="O47" s="715"/>
      <c r="P47" s="716">
        <v>17</v>
      </c>
      <c r="Q47" s="721"/>
      <c r="R47" s="721"/>
      <c r="S47" s="721"/>
      <c r="T47" s="721"/>
    </row>
    <row r="48" spans="1:20" s="722" customFormat="1" ht="17.399999999999999" customHeight="1" x14ac:dyDescent="0.35">
      <c r="A48" s="669"/>
      <c r="B48" s="670">
        <f t="shared" si="0"/>
        <v>36</v>
      </c>
      <c r="C48" s="674" t="s">
        <v>254</v>
      </c>
      <c r="D48" s="675" t="s">
        <v>91</v>
      </c>
      <c r="E48" s="674" t="s">
        <v>542</v>
      </c>
      <c r="F48" s="350"/>
      <c r="G48" s="712">
        <v>46008</v>
      </c>
      <c r="H48" s="674">
        <v>25.04</v>
      </c>
      <c r="I48" s="1285" t="s">
        <v>549</v>
      </c>
      <c r="J48" s="1286"/>
      <c r="K48" s="1286"/>
      <c r="L48" s="1287"/>
      <c r="M48" s="723">
        <v>46018</v>
      </c>
      <c r="N48" s="714" t="s">
        <v>690</v>
      </c>
      <c r="O48" s="715"/>
      <c r="P48" s="716">
        <v>21</v>
      </c>
      <c r="Q48" s="721"/>
      <c r="R48" s="721"/>
      <c r="S48" s="721"/>
      <c r="T48" s="721"/>
    </row>
    <row r="49" spans="1:20" s="722" customFormat="1" ht="17.399999999999999" customHeight="1" x14ac:dyDescent="0.35">
      <c r="A49" s="669"/>
      <c r="B49" s="670">
        <f t="shared" si="0"/>
        <v>37</v>
      </c>
      <c r="C49" s="676" t="s">
        <v>397</v>
      </c>
      <c r="D49" s="677" t="s">
        <v>87</v>
      </c>
      <c r="E49" s="676" t="s">
        <v>92</v>
      </c>
      <c r="F49" s="351"/>
      <c r="G49" s="717">
        <v>46013</v>
      </c>
      <c r="H49" s="673">
        <v>23.27</v>
      </c>
      <c r="I49" s="1288" t="s">
        <v>549</v>
      </c>
      <c r="J49" s="1289"/>
      <c r="K49" s="1289"/>
      <c r="L49" s="1290"/>
      <c r="M49" s="718">
        <v>46020</v>
      </c>
      <c r="N49" s="714" t="s">
        <v>662</v>
      </c>
      <c r="O49" s="719"/>
      <c r="P49" s="720">
        <v>17</v>
      </c>
      <c r="Q49" s="721"/>
      <c r="R49" s="721"/>
      <c r="S49" s="721"/>
      <c r="T49" s="721"/>
    </row>
    <row r="50" spans="1:20" s="722" customFormat="1" ht="17.399999999999999" customHeight="1" x14ac:dyDescent="0.35">
      <c r="A50" s="669"/>
      <c r="B50" s="670">
        <f t="shared" si="0"/>
        <v>38</v>
      </c>
      <c r="C50" s="674" t="s">
        <v>334</v>
      </c>
      <c r="D50" s="675" t="s">
        <v>109</v>
      </c>
      <c r="E50" s="674" t="s">
        <v>92</v>
      </c>
      <c r="F50" s="350"/>
      <c r="G50" s="712">
        <v>46010</v>
      </c>
      <c r="H50" s="700">
        <v>26.43</v>
      </c>
      <c r="I50" s="1285" t="s">
        <v>549</v>
      </c>
      <c r="J50" s="1286"/>
      <c r="K50" s="1286"/>
      <c r="L50" s="1287"/>
      <c r="M50" s="731">
        <v>46021</v>
      </c>
      <c r="N50" s="714" t="s">
        <v>89</v>
      </c>
      <c r="O50" s="715"/>
      <c r="P50" s="716">
        <v>18</v>
      </c>
      <c r="Q50" s="721"/>
      <c r="R50" s="721"/>
      <c r="S50" s="721"/>
      <c r="T50" s="721"/>
    </row>
    <row r="51" spans="1:20" s="722" customFormat="1" ht="17.399999999999999" customHeight="1" x14ac:dyDescent="0.35">
      <c r="A51" s="669"/>
      <c r="B51" s="670">
        <f t="shared" si="0"/>
        <v>39</v>
      </c>
      <c r="C51" s="674" t="s">
        <v>366</v>
      </c>
      <c r="D51" s="675" t="s">
        <v>87</v>
      </c>
      <c r="E51" s="674" t="s">
        <v>542</v>
      </c>
      <c r="F51" s="350"/>
      <c r="G51" s="712">
        <v>46001</v>
      </c>
      <c r="H51" s="673">
        <v>21.96</v>
      </c>
      <c r="I51" s="1285" t="s">
        <v>549</v>
      </c>
      <c r="J51" s="1286"/>
      <c r="K51" s="1286"/>
      <c r="L51" s="1287"/>
      <c r="M51" s="723">
        <v>46022</v>
      </c>
      <c r="N51" s="714" t="s">
        <v>661</v>
      </c>
      <c r="O51" s="715"/>
      <c r="P51" s="716">
        <v>10</v>
      </c>
      <c r="Q51" s="721"/>
      <c r="R51" s="721"/>
      <c r="S51" s="721"/>
      <c r="T51" s="721"/>
    </row>
    <row r="52" spans="1:20" s="722" customFormat="1" ht="17.399999999999999" customHeight="1" x14ac:dyDescent="0.35">
      <c r="A52" s="669"/>
      <c r="B52" s="670">
        <f t="shared" si="0"/>
        <v>40</v>
      </c>
      <c r="C52" s="674" t="s">
        <v>252</v>
      </c>
      <c r="D52" s="675" t="s">
        <v>87</v>
      </c>
      <c r="E52" s="674" t="s">
        <v>542</v>
      </c>
      <c r="F52" s="353"/>
      <c r="G52" s="712">
        <v>46016</v>
      </c>
      <c r="H52" s="673">
        <v>21.96</v>
      </c>
      <c r="I52" s="1285" t="s">
        <v>549</v>
      </c>
      <c r="J52" s="1286"/>
      <c r="K52" s="1286"/>
      <c r="L52" s="1287"/>
      <c r="M52" s="723">
        <v>46022</v>
      </c>
      <c r="N52" s="714" t="s">
        <v>690</v>
      </c>
      <c r="O52" s="732"/>
      <c r="P52" s="674">
        <v>21</v>
      </c>
      <c r="Q52" s="721"/>
      <c r="R52" s="721"/>
      <c r="S52" s="721"/>
      <c r="T52" s="721"/>
    </row>
    <row r="53" spans="1:20" s="722" customFormat="1" ht="17.399999999999999" customHeight="1" x14ac:dyDescent="0.35">
      <c r="A53" s="669"/>
      <c r="B53" s="670">
        <f t="shared" si="0"/>
        <v>41</v>
      </c>
      <c r="C53" s="674" t="s">
        <v>398</v>
      </c>
      <c r="D53" s="675" t="s">
        <v>87</v>
      </c>
      <c r="E53" s="674" t="s">
        <v>92</v>
      </c>
      <c r="F53" s="350"/>
      <c r="G53" s="712">
        <v>46018</v>
      </c>
      <c r="H53" s="673">
        <v>23.27</v>
      </c>
      <c r="I53" s="1288" t="s">
        <v>549</v>
      </c>
      <c r="J53" s="1289"/>
      <c r="K53" s="1289"/>
      <c r="L53" s="1290"/>
      <c r="M53" s="723">
        <v>46022</v>
      </c>
      <c r="N53" s="714" t="s">
        <v>662</v>
      </c>
      <c r="O53" s="715"/>
      <c r="P53" s="716">
        <v>17</v>
      </c>
      <c r="Q53" s="721"/>
      <c r="R53" s="721"/>
      <c r="S53" s="721"/>
      <c r="T53" s="721"/>
    </row>
    <row r="54" spans="1:20" s="722" customFormat="1" ht="17.399999999999999" customHeight="1" x14ac:dyDescent="0.35">
      <c r="A54" s="669"/>
      <c r="B54" s="670">
        <f t="shared" si="0"/>
        <v>42</v>
      </c>
      <c r="C54" s="674" t="s">
        <v>345</v>
      </c>
      <c r="D54" s="675" t="s">
        <v>87</v>
      </c>
      <c r="E54" s="674" t="s">
        <v>88</v>
      </c>
      <c r="F54" s="350"/>
      <c r="G54" s="712">
        <v>46377</v>
      </c>
      <c r="H54" s="706">
        <v>22.4</v>
      </c>
      <c r="I54" s="1294" t="s">
        <v>549</v>
      </c>
      <c r="J54" s="1294"/>
      <c r="K54" s="1294"/>
      <c r="L54" s="1294"/>
      <c r="M54" s="723">
        <v>46022</v>
      </c>
      <c r="N54" s="714" t="s">
        <v>688</v>
      </c>
      <c r="O54" s="715"/>
      <c r="P54" s="716">
        <v>10</v>
      </c>
      <c r="Q54" s="721"/>
      <c r="R54" s="721"/>
      <c r="S54" s="721"/>
      <c r="T54" s="721"/>
    </row>
    <row r="55" spans="1:20" s="722" customFormat="1" ht="17.399999999999999" customHeight="1" x14ac:dyDescent="0.35">
      <c r="A55" s="669"/>
      <c r="B55" s="670">
        <f t="shared" si="0"/>
        <v>43</v>
      </c>
      <c r="C55" s="674" t="s">
        <v>333</v>
      </c>
      <c r="D55" s="675" t="s">
        <v>95</v>
      </c>
      <c r="E55" s="674" t="s">
        <v>92</v>
      </c>
      <c r="F55" s="350"/>
      <c r="G55" s="712">
        <v>46017</v>
      </c>
      <c r="H55" s="700">
        <v>26.43</v>
      </c>
      <c r="I55" s="1285" t="s">
        <v>549</v>
      </c>
      <c r="J55" s="1286"/>
      <c r="K55" s="1286"/>
      <c r="L55" s="1287"/>
      <c r="M55" s="734">
        <v>46027</v>
      </c>
      <c r="N55" s="714" t="s">
        <v>89</v>
      </c>
      <c r="O55" s="715"/>
      <c r="P55" s="716">
        <v>18</v>
      </c>
      <c r="Q55" s="721"/>
      <c r="R55" s="721"/>
      <c r="S55" s="721"/>
      <c r="T55" s="721"/>
    </row>
    <row r="56" spans="1:20" s="722" customFormat="1" ht="17.399999999999999" customHeight="1" x14ac:dyDescent="0.35">
      <c r="A56" s="669"/>
      <c r="B56" s="670">
        <f t="shared" si="0"/>
        <v>44</v>
      </c>
      <c r="C56" s="674" t="s">
        <v>256</v>
      </c>
      <c r="D56" s="675" t="s">
        <v>91</v>
      </c>
      <c r="E56" s="674" t="s">
        <v>664</v>
      </c>
      <c r="F56" s="350"/>
      <c r="G56" s="712">
        <v>45992</v>
      </c>
      <c r="H56" s="674">
        <v>38.979999999999997</v>
      </c>
      <c r="I56" s="1294" t="s">
        <v>549</v>
      </c>
      <c r="J56" s="1294"/>
      <c r="K56" s="1294"/>
      <c r="L56" s="1294"/>
      <c r="M56" s="723">
        <v>46028</v>
      </c>
      <c r="N56" s="714" t="s">
        <v>690</v>
      </c>
      <c r="O56" s="715"/>
      <c r="P56" s="716">
        <v>21</v>
      </c>
      <c r="Q56" s="721"/>
      <c r="R56" s="721"/>
      <c r="S56" s="721"/>
      <c r="T56" s="721"/>
    </row>
    <row r="57" spans="1:20" s="722" customFormat="1" ht="17.399999999999999" customHeight="1" x14ac:dyDescent="0.35">
      <c r="A57" s="669"/>
      <c r="B57" s="670">
        <f t="shared" si="0"/>
        <v>45</v>
      </c>
      <c r="C57" s="674" t="s">
        <v>399</v>
      </c>
      <c r="D57" s="675" t="s">
        <v>87</v>
      </c>
      <c r="E57" s="674" t="s">
        <v>542</v>
      </c>
      <c r="F57" s="350"/>
      <c r="G57" s="712">
        <v>46022</v>
      </c>
      <c r="H57" s="673">
        <v>21.96</v>
      </c>
      <c r="I57" s="1301" t="s">
        <v>549</v>
      </c>
      <c r="J57" s="1301"/>
      <c r="K57" s="1301"/>
      <c r="L57" s="1301"/>
      <c r="M57" s="723">
        <v>46028</v>
      </c>
      <c r="N57" s="714" t="s">
        <v>662</v>
      </c>
      <c r="O57" s="715"/>
      <c r="P57" s="716">
        <v>17</v>
      </c>
      <c r="Q57" s="721"/>
      <c r="R57" s="721"/>
      <c r="S57" s="721"/>
      <c r="T57" s="721"/>
    </row>
    <row r="58" spans="1:20" s="722" customFormat="1" ht="17.399999999999999" customHeight="1" x14ac:dyDescent="0.35">
      <c r="A58" s="669"/>
      <c r="B58" s="670">
        <f t="shared" si="0"/>
        <v>46</v>
      </c>
      <c r="C58" s="674" t="s">
        <v>344</v>
      </c>
      <c r="D58" s="675" t="s">
        <v>109</v>
      </c>
      <c r="E58" s="674" t="s">
        <v>542</v>
      </c>
      <c r="F58" s="350"/>
      <c r="G58" s="712">
        <v>46024</v>
      </c>
      <c r="H58" s="674">
        <v>25.04</v>
      </c>
      <c r="I58" s="1288" t="s">
        <v>549</v>
      </c>
      <c r="J58" s="1289"/>
      <c r="K58" s="1289"/>
      <c r="L58" s="1290"/>
      <c r="M58" s="723">
        <v>46030</v>
      </c>
      <c r="N58" s="714" t="s">
        <v>688</v>
      </c>
      <c r="O58" s="715"/>
      <c r="P58" s="716">
        <v>10</v>
      </c>
      <c r="Q58" s="721"/>
      <c r="R58" s="721"/>
      <c r="S58" s="721"/>
      <c r="T58" s="721"/>
    </row>
    <row r="59" spans="1:20" s="722" customFormat="1" ht="17.399999999999999" customHeight="1" x14ac:dyDescent="0.35">
      <c r="A59" s="669"/>
      <c r="B59" s="670">
        <f t="shared" si="0"/>
        <v>47</v>
      </c>
      <c r="C59" s="674" t="s">
        <v>261</v>
      </c>
      <c r="D59" s="675" t="s">
        <v>95</v>
      </c>
      <c r="E59" s="674" t="s">
        <v>542</v>
      </c>
      <c r="F59" s="350"/>
      <c r="G59" s="712">
        <v>46026</v>
      </c>
      <c r="H59" s="674">
        <v>25.04</v>
      </c>
      <c r="I59" s="1301" t="s">
        <v>549</v>
      </c>
      <c r="J59" s="1301"/>
      <c r="K59" s="1301"/>
      <c r="L59" s="1301"/>
      <c r="M59" s="723">
        <v>46032</v>
      </c>
      <c r="N59" s="714" t="s">
        <v>690</v>
      </c>
      <c r="O59" s="715"/>
      <c r="P59" s="716">
        <v>21</v>
      </c>
      <c r="Q59" s="721"/>
      <c r="R59" s="721"/>
      <c r="S59" s="721"/>
      <c r="T59" s="721"/>
    </row>
    <row r="60" spans="1:20" s="722" customFormat="1" ht="17.399999999999999" customHeight="1" x14ac:dyDescent="0.35">
      <c r="A60" s="669"/>
      <c r="B60" s="670">
        <f t="shared" si="0"/>
        <v>48</v>
      </c>
      <c r="C60" s="674" t="s">
        <v>401</v>
      </c>
      <c r="D60" s="675" t="s">
        <v>91</v>
      </c>
      <c r="E60" s="674" t="s">
        <v>92</v>
      </c>
      <c r="F60" s="350"/>
      <c r="G60" s="712">
        <v>46027</v>
      </c>
      <c r="H60" s="736">
        <v>26.43</v>
      </c>
      <c r="I60" s="1301" t="s">
        <v>549</v>
      </c>
      <c r="J60" s="1301"/>
      <c r="K60" s="1301"/>
      <c r="L60" s="1301"/>
      <c r="M60" s="723">
        <v>46034</v>
      </c>
      <c r="N60" s="714" t="s">
        <v>662</v>
      </c>
      <c r="O60" s="715"/>
      <c r="P60" s="716">
        <v>17</v>
      </c>
      <c r="Q60" s="721"/>
      <c r="R60" s="721"/>
      <c r="S60" s="721"/>
      <c r="T60" s="721"/>
    </row>
    <row r="61" spans="1:20" s="722" customFormat="1" ht="17.399999999999999" customHeight="1" x14ac:dyDescent="0.35">
      <c r="A61" s="669"/>
      <c r="B61" s="670">
        <f t="shared" si="0"/>
        <v>49</v>
      </c>
      <c r="C61" s="674" t="s">
        <v>341</v>
      </c>
      <c r="D61" s="675" t="s">
        <v>95</v>
      </c>
      <c r="E61" s="674" t="s">
        <v>542</v>
      </c>
      <c r="F61" s="350"/>
      <c r="G61" s="712">
        <v>46026</v>
      </c>
      <c r="H61" s="674">
        <v>25.04</v>
      </c>
      <c r="I61" s="1301" t="s">
        <v>549</v>
      </c>
      <c r="J61" s="1301"/>
      <c r="K61" s="1301"/>
      <c r="L61" s="1301"/>
      <c r="M61" s="723">
        <v>46034</v>
      </c>
      <c r="N61" s="714" t="s">
        <v>688</v>
      </c>
      <c r="O61" s="715"/>
      <c r="P61" s="716">
        <v>12</v>
      </c>
      <c r="Q61" s="721"/>
      <c r="R61" s="721"/>
      <c r="S61" s="721"/>
      <c r="T61" s="721"/>
    </row>
    <row r="62" spans="1:20" s="722" customFormat="1" ht="17.399999999999999" customHeight="1" x14ac:dyDescent="0.35">
      <c r="A62" s="669"/>
      <c r="B62" s="670">
        <f t="shared" si="0"/>
        <v>50</v>
      </c>
      <c r="C62" s="680" t="s">
        <v>402</v>
      </c>
      <c r="D62" s="681" t="s">
        <v>87</v>
      </c>
      <c r="E62" s="680" t="s">
        <v>92</v>
      </c>
      <c r="F62" s="434"/>
      <c r="G62" s="737">
        <v>46032</v>
      </c>
      <c r="H62" s="738">
        <v>23.27</v>
      </c>
      <c r="I62" s="1298" t="s">
        <v>549</v>
      </c>
      <c r="J62" s="1299"/>
      <c r="K62" s="1299"/>
      <c r="L62" s="1300"/>
      <c r="M62" s="739">
        <v>46036</v>
      </c>
      <c r="N62" s="740" t="s">
        <v>662</v>
      </c>
      <c r="O62" s="741"/>
      <c r="P62" s="716">
        <v>17</v>
      </c>
      <c r="Q62" s="721"/>
      <c r="R62" s="721"/>
      <c r="S62" s="721"/>
      <c r="T62" s="721"/>
    </row>
    <row r="63" spans="1:20" s="722" customFormat="1" ht="17.399999999999999" customHeight="1" x14ac:dyDescent="0.35">
      <c r="A63" s="669"/>
      <c r="B63" s="670">
        <f t="shared" si="0"/>
        <v>51</v>
      </c>
      <c r="C63" s="674" t="s">
        <v>463</v>
      </c>
      <c r="D63" s="675" t="s">
        <v>668</v>
      </c>
      <c r="E63" s="674" t="s">
        <v>92</v>
      </c>
      <c r="F63" s="433"/>
      <c r="G63" s="712">
        <v>46028</v>
      </c>
      <c r="H63" s="674">
        <v>55.74</v>
      </c>
      <c r="I63" s="1301" t="s">
        <v>549</v>
      </c>
      <c r="J63" s="1301"/>
      <c r="K63" s="1301"/>
      <c r="L63" s="1301"/>
      <c r="M63" s="723">
        <v>46036</v>
      </c>
      <c r="N63" s="714" t="s">
        <v>89</v>
      </c>
      <c r="O63" s="715"/>
      <c r="P63" s="742">
        <v>20</v>
      </c>
      <c r="Q63" s="721"/>
      <c r="R63" s="721"/>
      <c r="S63" s="721"/>
      <c r="T63" s="721"/>
    </row>
    <row r="64" spans="1:20" s="722" customFormat="1" ht="17.399999999999999" customHeight="1" x14ac:dyDescent="0.35">
      <c r="A64" s="669"/>
      <c r="B64" s="670">
        <f t="shared" si="0"/>
        <v>52</v>
      </c>
      <c r="C64" s="676" t="s">
        <v>259</v>
      </c>
      <c r="D64" s="677" t="s">
        <v>558</v>
      </c>
      <c r="E64" s="676" t="s">
        <v>542</v>
      </c>
      <c r="F64" s="351"/>
      <c r="G64" s="717">
        <v>46029</v>
      </c>
      <c r="H64" s="676">
        <v>45.33</v>
      </c>
      <c r="I64" s="1295" t="s">
        <v>549</v>
      </c>
      <c r="J64" s="1296"/>
      <c r="K64" s="1296"/>
      <c r="L64" s="1297"/>
      <c r="M64" s="718">
        <v>46038</v>
      </c>
      <c r="N64" s="714" t="s">
        <v>690</v>
      </c>
      <c r="O64" s="719"/>
      <c r="P64" s="716">
        <v>21</v>
      </c>
      <c r="Q64" s="721"/>
      <c r="R64" s="721"/>
      <c r="S64" s="721"/>
      <c r="T64" s="721"/>
    </row>
    <row r="65" spans="1:20" s="722" customFormat="1" ht="17.399999999999999" customHeight="1" x14ac:dyDescent="0.35">
      <c r="A65" s="669"/>
      <c r="B65" s="670">
        <f t="shared" si="0"/>
        <v>53</v>
      </c>
      <c r="C65" s="674" t="s">
        <v>258</v>
      </c>
      <c r="D65" s="675" t="s">
        <v>87</v>
      </c>
      <c r="E65" s="676" t="s">
        <v>542</v>
      </c>
      <c r="F65" s="350"/>
      <c r="G65" s="712">
        <v>46031</v>
      </c>
      <c r="H65" s="673">
        <v>21.96</v>
      </c>
      <c r="I65" s="1295" t="s">
        <v>549</v>
      </c>
      <c r="J65" s="1296"/>
      <c r="K65" s="1296"/>
      <c r="L65" s="1297"/>
      <c r="M65" s="723">
        <v>46039</v>
      </c>
      <c r="N65" s="714" t="s">
        <v>690</v>
      </c>
      <c r="O65" s="715"/>
      <c r="P65" s="716">
        <v>21</v>
      </c>
      <c r="Q65" s="721"/>
      <c r="R65" s="721"/>
      <c r="S65" s="721"/>
      <c r="T65" s="721"/>
    </row>
    <row r="66" spans="1:20" s="722" customFormat="1" ht="17.399999999999999" customHeight="1" x14ac:dyDescent="0.35">
      <c r="A66" s="669"/>
      <c r="B66" s="670">
        <f t="shared" si="0"/>
        <v>54</v>
      </c>
      <c r="C66" s="682" t="s">
        <v>260</v>
      </c>
      <c r="D66" s="675" t="s">
        <v>87</v>
      </c>
      <c r="E66" s="674" t="s">
        <v>88</v>
      </c>
      <c r="F66" s="350"/>
      <c r="G66" s="743">
        <v>46039</v>
      </c>
      <c r="H66" s="706">
        <v>22.4</v>
      </c>
      <c r="I66" s="1301" t="s">
        <v>549</v>
      </c>
      <c r="J66" s="1301"/>
      <c r="K66" s="1301"/>
      <c r="L66" s="1301"/>
      <c r="M66" s="723">
        <v>46043</v>
      </c>
      <c r="N66" s="714" t="s">
        <v>690</v>
      </c>
      <c r="O66" s="715"/>
      <c r="P66" s="716">
        <v>15</v>
      </c>
      <c r="Q66" s="721"/>
      <c r="R66" s="721"/>
      <c r="S66" s="721"/>
      <c r="T66" s="721"/>
    </row>
    <row r="67" spans="1:20" s="722" customFormat="1" ht="17.399999999999999" customHeight="1" x14ac:dyDescent="0.35">
      <c r="A67" s="669"/>
      <c r="B67" s="670">
        <f t="shared" si="0"/>
        <v>55</v>
      </c>
      <c r="C67" s="674" t="s">
        <v>347</v>
      </c>
      <c r="D67" s="675" t="s">
        <v>87</v>
      </c>
      <c r="E67" s="674" t="s">
        <v>685</v>
      </c>
      <c r="F67" s="350"/>
      <c r="G67" s="712">
        <v>46028</v>
      </c>
      <c r="H67" s="744">
        <v>33.655000000000001</v>
      </c>
      <c r="I67" s="1295" t="s">
        <v>549</v>
      </c>
      <c r="J67" s="1296"/>
      <c r="K67" s="1296"/>
      <c r="L67" s="1297"/>
      <c r="M67" s="745">
        <v>46044</v>
      </c>
      <c r="N67" s="714" t="s">
        <v>688</v>
      </c>
      <c r="O67" s="715"/>
      <c r="P67" s="716">
        <v>12</v>
      </c>
      <c r="Q67" s="721"/>
      <c r="R67" s="721"/>
      <c r="S67" s="721"/>
      <c r="T67" s="721"/>
    </row>
    <row r="68" spans="1:20" s="722" customFormat="1" ht="17.399999999999999" customHeight="1" x14ac:dyDescent="0.35">
      <c r="A68" s="669"/>
      <c r="B68" s="670">
        <f t="shared" si="0"/>
        <v>56</v>
      </c>
      <c r="C68" s="682" t="s">
        <v>409</v>
      </c>
      <c r="D68" s="675" t="s">
        <v>87</v>
      </c>
      <c r="E68" s="674" t="s">
        <v>92</v>
      </c>
      <c r="F68" s="350"/>
      <c r="G68" s="743">
        <v>46040</v>
      </c>
      <c r="H68" s="673">
        <v>23.27</v>
      </c>
      <c r="I68" s="1301" t="s">
        <v>549</v>
      </c>
      <c r="J68" s="1301"/>
      <c r="K68" s="1301"/>
      <c r="L68" s="1301"/>
      <c r="M68" s="745">
        <v>46044</v>
      </c>
      <c r="N68" s="746" t="s">
        <v>661</v>
      </c>
      <c r="O68" s="715"/>
      <c r="P68" s="716">
        <v>11</v>
      </c>
      <c r="Q68" s="721"/>
      <c r="R68" s="721"/>
      <c r="S68" s="721"/>
      <c r="T68" s="721"/>
    </row>
    <row r="69" spans="1:20" s="722" customFormat="1" ht="17.399999999999999" customHeight="1" x14ac:dyDescent="0.35">
      <c r="A69" s="669"/>
      <c r="B69" s="670">
        <f t="shared" si="0"/>
        <v>57</v>
      </c>
      <c r="C69" s="674" t="s">
        <v>400</v>
      </c>
      <c r="D69" s="675" t="s">
        <v>91</v>
      </c>
      <c r="E69" s="674" t="s">
        <v>541</v>
      </c>
      <c r="F69" s="350"/>
      <c r="G69" s="712">
        <v>46026</v>
      </c>
      <c r="H69" s="673">
        <v>36.659999999999997</v>
      </c>
      <c r="I69" s="1301" t="s">
        <v>549</v>
      </c>
      <c r="J69" s="1301"/>
      <c r="K69" s="1301"/>
      <c r="L69" s="1301"/>
      <c r="M69" s="747">
        <v>46045</v>
      </c>
      <c r="N69" s="714" t="s">
        <v>662</v>
      </c>
      <c r="O69" s="715"/>
      <c r="P69" s="716">
        <v>17</v>
      </c>
      <c r="Q69" s="721"/>
      <c r="R69" s="721"/>
      <c r="S69" s="721"/>
      <c r="T69" s="721"/>
    </row>
    <row r="70" spans="1:20" s="722" customFormat="1" ht="17.399999999999999" customHeight="1" x14ac:dyDescent="0.35">
      <c r="A70" s="669"/>
      <c r="B70" s="670">
        <f t="shared" si="0"/>
        <v>58</v>
      </c>
      <c r="C70" s="682" t="s">
        <v>403</v>
      </c>
      <c r="D70" s="675" t="s">
        <v>87</v>
      </c>
      <c r="E70" s="674" t="s">
        <v>92</v>
      </c>
      <c r="F70" s="350"/>
      <c r="G70" s="743">
        <v>46043</v>
      </c>
      <c r="H70" s="673">
        <v>23.27</v>
      </c>
      <c r="I70" s="1295" t="s">
        <v>549</v>
      </c>
      <c r="J70" s="1296"/>
      <c r="K70" s="1296"/>
      <c r="L70" s="1297"/>
      <c r="M70" s="723">
        <v>46046</v>
      </c>
      <c r="N70" s="714" t="s">
        <v>662</v>
      </c>
      <c r="O70" s="715"/>
      <c r="P70" s="716">
        <v>12</v>
      </c>
      <c r="Q70" s="721"/>
      <c r="R70" s="721"/>
      <c r="S70" s="721"/>
      <c r="T70" s="721"/>
    </row>
    <row r="71" spans="1:20" s="722" customFormat="1" ht="17.399999999999999" customHeight="1" x14ac:dyDescent="0.35">
      <c r="A71" s="669"/>
      <c r="B71" s="670">
        <f t="shared" si="0"/>
        <v>59</v>
      </c>
      <c r="C71" s="682" t="s">
        <v>464</v>
      </c>
      <c r="D71" s="675" t="s">
        <v>558</v>
      </c>
      <c r="E71" s="674" t="s">
        <v>92</v>
      </c>
      <c r="F71" s="350"/>
      <c r="G71" s="743">
        <v>46044</v>
      </c>
      <c r="H71" s="674">
        <v>55.74</v>
      </c>
      <c r="I71" s="1301" t="s">
        <v>549</v>
      </c>
      <c r="J71" s="1301"/>
      <c r="K71" s="1301"/>
      <c r="L71" s="1301"/>
      <c r="M71" s="747">
        <v>46048</v>
      </c>
      <c r="N71" s="746" t="s">
        <v>89</v>
      </c>
      <c r="O71" s="715"/>
      <c r="P71" s="716">
        <v>20</v>
      </c>
      <c r="Q71" s="721"/>
      <c r="R71" s="721"/>
      <c r="S71" s="721"/>
      <c r="T71" s="721"/>
    </row>
    <row r="72" spans="1:20" s="722" customFormat="1" ht="17.399999999999999" customHeight="1" x14ac:dyDescent="0.35">
      <c r="A72" s="669"/>
      <c r="B72" s="670">
        <f t="shared" si="0"/>
        <v>60</v>
      </c>
      <c r="C72" s="674" t="s">
        <v>429</v>
      </c>
      <c r="D72" s="675" t="s">
        <v>669</v>
      </c>
      <c r="E72" s="674" t="s">
        <v>92</v>
      </c>
      <c r="F72" s="350"/>
      <c r="G72" s="712">
        <v>46029</v>
      </c>
      <c r="H72" s="674">
        <v>61.57</v>
      </c>
      <c r="I72" s="1295" t="s">
        <v>549</v>
      </c>
      <c r="J72" s="1296"/>
      <c r="K72" s="1296"/>
      <c r="L72" s="1297"/>
      <c r="M72" s="747">
        <v>46048</v>
      </c>
      <c r="N72" s="714" t="s">
        <v>676</v>
      </c>
      <c r="O72" s="715"/>
      <c r="P72" s="716">
        <v>21</v>
      </c>
      <c r="Q72" s="721"/>
      <c r="R72" s="721"/>
      <c r="S72" s="721"/>
      <c r="T72" s="721"/>
    </row>
    <row r="73" spans="1:20" s="722" customFormat="1" ht="17.399999999999999" customHeight="1" x14ac:dyDescent="0.35">
      <c r="A73" s="669"/>
      <c r="B73" s="670">
        <f t="shared" si="0"/>
        <v>61</v>
      </c>
      <c r="C73" s="682" t="s">
        <v>625</v>
      </c>
      <c r="D73" s="675" t="s">
        <v>87</v>
      </c>
      <c r="E73" s="674" t="s">
        <v>92</v>
      </c>
      <c r="F73" s="350"/>
      <c r="G73" s="743">
        <v>46044</v>
      </c>
      <c r="H73" s="673">
        <v>23.27</v>
      </c>
      <c r="I73" s="1295" t="s">
        <v>549</v>
      </c>
      <c r="J73" s="1296"/>
      <c r="K73" s="1296"/>
      <c r="L73" s="1297"/>
      <c r="M73" s="723">
        <v>46048</v>
      </c>
      <c r="N73" s="714" t="s">
        <v>684</v>
      </c>
      <c r="O73" s="715"/>
      <c r="P73" s="716">
        <v>11</v>
      </c>
      <c r="Q73" s="721"/>
      <c r="R73" s="721"/>
      <c r="S73" s="721"/>
      <c r="T73" s="721"/>
    </row>
    <row r="74" spans="1:20" s="722" customFormat="1" ht="17.399999999999999" customHeight="1" x14ac:dyDescent="0.35">
      <c r="A74" s="669"/>
      <c r="B74" s="670">
        <f t="shared" si="0"/>
        <v>62</v>
      </c>
      <c r="C74" s="682" t="s">
        <v>404</v>
      </c>
      <c r="D74" s="675" t="s">
        <v>87</v>
      </c>
      <c r="E74" s="674" t="s">
        <v>92</v>
      </c>
      <c r="F74" s="350"/>
      <c r="G74" s="712">
        <v>46044</v>
      </c>
      <c r="H74" s="673">
        <v>23.27</v>
      </c>
      <c r="I74" s="1301" t="s">
        <v>549</v>
      </c>
      <c r="J74" s="1301"/>
      <c r="K74" s="1301"/>
      <c r="L74" s="1301"/>
      <c r="M74" s="748">
        <v>46049</v>
      </c>
      <c r="N74" s="714" t="s">
        <v>662</v>
      </c>
      <c r="O74" s="715"/>
      <c r="P74" s="716">
        <v>20</v>
      </c>
      <c r="Q74" s="721"/>
      <c r="R74" s="721"/>
      <c r="S74" s="721"/>
      <c r="T74" s="721"/>
    </row>
    <row r="75" spans="1:20" s="722" customFormat="1" ht="17.399999999999999" customHeight="1" x14ac:dyDescent="0.35">
      <c r="A75" s="669"/>
      <c r="B75" s="670">
        <f t="shared" si="0"/>
        <v>63</v>
      </c>
      <c r="C75" s="682" t="s">
        <v>408</v>
      </c>
      <c r="D75" s="675" t="s">
        <v>87</v>
      </c>
      <c r="E75" s="674" t="s">
        <v>542</v>
      </c>
      <c r="F75" s="350"/>
      <c r="G75" s="712">
        <v>46046</v>
      </c>
      <c r="H75" s="673">
        <v>21.96</v>
      </c>
      <c r="I75" s="1301" t="s">
        <v>549</v>
      </c>
      <c r="J75" s="1301"/>
      <c r="K75" s="1301"/>
      <c r="L75" s="1301"/>
      <c r="M75" s="723">
        <v>46050</v>
      </c>
      <c r="N75" s="746" t="s">
        <v>661</v>
      </c>
      <c r="O75" s="715"/>
      <c r="P75" s="716">
        <v>11</v>
      </c>
      <c r="Q75" s="721"/>
      <c r="R75" s="721"/>
      <c r="S75" s="721"/>
      <c r="T75" s="721"/>
    </row>
    <row r="76" spans="1:20" s="722" customFormat="1" ht="17.399999999999999" customHeight="1" x14ac:dyDescent="0.35">
      <c r="A76" s="669"/>
      <c r="B76" s="670">
        <f t="shared" si="0"/>
        <v>64</v>
      </c>
      <c r="C76" s="682" t="s">
        <v>250</v>
      </c>
      <c r="D76" s="675" t="s">
        <v>87</v>
      </c>
      <c r="E76" s="674" t="s">
        <v>542</v>
      </c>
      <c r="F76" s="350"/>
      <c r="G76" s="743">
        <v>46047</v>
      </c>
      <c r="H76" s="673">
        <v>21.96</v>
      </c>
      <c r="I76" s="1285" t="s">
        <v>549</v>
      </c>
      <c r="J76" s="1286"/>
      <c r="K76" s="1286"/>
      <c r="L76" s="1287"/>
      <c r="M76" s="723">
        <v>46050</v>
      </c>
      <c r="N76" s="714" t="s">
        <v>690</v>
      </c>
      <c r="O76" s="715"/>
      <c r="P76" s="716">
        <v>15</v>
      </c>
      <c r="Q76" s="721"/>
      <c r="R76" s="721"/>
      <c r="S76" s="721"/>
      <c r="T76" s="721"/>
    </row>
    <row r="77" spans="1:20" s="722" customFormat="1" ht="17.399999999999999" customHeight="1" x14ac:dyDescent="0.35">
      <c r="A77" s="669"/>
      <c r="B77" s="670">
        <f t="shared" si="0"/>
        <v>65</v>
      </c>
      <c r="C77" s="682" t="s">
        <v>243</v>
      </c>
      <c r="D77" s="675" t="s">
        <v>87</v>
      </c>
      <c r="E77" s="674" t="s">
        <v>542</v>
      </c>
      <c r="F77" s="350"/>
      <c r="G77" s="712">
        <v>46048</v>
      </c>
      <c r="H77" s="673">
        <v>21.96</v>
      </c>
      <c r="I77" s="1301" t="s">
        <v>549</v>
      </c>
      <c r="J77" s="1301"/>
      <c r="K77" s="1301"/>
      <c r="L77" s="1301"/>
      <c r="M77" s="723">
        <v>46052</v>
      </c>
      <c r="N77" s="714" t="s">
        <v>690</v>
      </c>
      <c r="O77" s="715"/>
      <c r="P77" s="716">
        <v>20</v>
      </c>
      <c r="Q77" s="721"/>
      <c r="R77" s="721"/>
      <c r="S77" s="721"/>
      <c r="T77" s="721"/>
    </row>
    <row r="78" spans="1:20" s="722" customFormat="1" ht="17.399999999999999" customHeight="1" x14ac:dyDescent="0.35">
      <c r="A78" s="669"/>
      <c r="B78" s="670">
        <f t="shared" si="0"/>
        <v>66</v>
      </c>
      <c r="C78" s="682" t="s">
        <v>626</v>
      </c>
      <c r="D78" s="675" t="s">
        <v>87</v>
      </c>
      <c r="E78" s="674" t="s">
        <v>541</v>
      </c>
      <c r="F78" s="350"/>
      <c r="G78" s="712">
        <v>46033</v>
      </c>
      <c r="H78" s="674">
        <v>33.01</v>
      </c>
      <c r="I78" s="1301" t="s">
        <v>549</v>
      </c>
      <c r="J78" s="1301"/>
      <c r="K78" s="1301"/>
      <c r="L78" s="1301"/>
      <c r="M78" s="723">
        <v>46053</v>
      </c>
      <c r="N78" s="714" t="s">
        <v>684</v>
      </c>
      <c r="O78" s="715"/>
      <c r="P78" s="716">
        <v>11</v>
      </c>
      <c r="Q78" s="721"/>
      <c r="R78" s="721"/>
      <c r="S78" s="721"/>
      <c r="T78" s="721"/>
    </row>
    <row r="79" spans="1:20" s="722" customFormat="1" ht="17.399999999999999" customHeight="1" x14ac:dyDescent="0.35">
      <c r="A79" s="669"/>
      <c r="B79" s="670">
        <f t="shared" ref="B79:B98" si="1">B78+1</f>
        <v>67</v>
      </c>
      <c r="C79" s="682" t="s">
        <v>418</v>
      </c>
      <c r="D79" s="675" t="s">
        <v>686</v>
      </c>
      <c r="E79" s="674" t="s">
        <v>92</v>
      </c>
      <c r="F79" s="350"/>
      <c r="G79" s="712">
        <v>46045</v>
      </c>
      <c r="H79" s="674">
        <v>55.59</v>
      </c>
      <c r="I79" s="1301" t="s">
        <v>549</v>
      </c>
      <c r="J79" s="1301"/>
      <c r="K79" s="1301"/>
      <c r="L79" s="1301"/>
      <c r="M79" s="745">
        <v>46053</v>
      </c>
      <c r="N79" s="714" t="s">
        <v>690</v>
      </c>
      <c r="O79" s="715"/>
      <c r="P79" s="716">
        <v>15</v>
      </c>
      <c r="Q79" s="721"/>
      <c r="R79" s="721"/>
      <c r="S79" s="721"/>
      <c r="T79" s="721"/>
    </row>
    <row r="80" spans="1:20" s="722" customFormat="1" ht="17.399999999999999" customHeight="1" x14ac:dyDescent="0.35">
      <c r="A80" s="669"/>
      <c r="B80" s="670">
        <f t="shared" si="1"/>
        <v>68</v>
      </c>
      <c r="C80" s="682" t="s">
        <v>614</v>
      </c>
      <c r="D80" s="675" t="s">
        <v>87</v>
      </c>
      <c r="E80" s="674" t="s">
        <v>542</v>
      </c>
      <c r="F80" s="350"/>
      <c r="G80" s="712">
        <v>46048</v>
      </c>
      <c r="H80" s="673">
        <v>21.96</v>
      </c>
      <c r="I80" s="1301" t="s">
        <v>549</v>
      </c>
      <c r="J80" s="1301"/>
      <c r="K80" s="1301"/>
      <c r="L80" s="1301"/>
      <c r="M80" s="745">
        <v>46053</v>
      </c>
      <c r="N80" s="746" t="s">
        <v>661</v>
      </c>
      <c r="O80" s="715"/>
      <c r="P80" s="716">
        <v>11</v>
      </c>
      <c r="Q80" s="721"/>
      <c r="R80" s="721"/>
      <c r="S80" s="721"/>
      <c r="T80" s="721"/>
    </row>
    <row r="81" spans="1:20" s="722" customFormat="1" ht="17.399999999999999" customHeight="1" x14ac:dyDescent="0.35">
      <c r="A81" s="669"/>
      <c r="B81" s="670">
        <f t="shared" si="1"/>
        <v>69</v>
      </c>
      <c r="C81" s="674" t="s">
        <v>482</v>
      </c>
      <c r="D81" s="675" t="s">
        <v>558</v>
      </c>
      <c r="E81" s="674" t="s">
        <v>542</v>
      </c>
      <c r="F81" s="350"/>
      <c r="G81" s="712">
        <v>46049</v>
      </c>
      <c r="H81" s="674">
        <v>45.33</v>
      </c>
      <c r="I81" s="1301" t="s">
        <v>549</v>
      </c>
      <c r="J81" s="1301"/>
      <c r="K81" s="1301"/>
      <c r="L81" s="1301"/>
      <c r="M81" s="723">
        <v>46053</v>
      </c>
      <c r="N81" s="714" t="s">
        <v>662</v>
      </c>
      <c r="O81" s="715"/>
      <c r="P81" s="716">
        <v>20</v>
      </c>
      <c r="Q81" s="721"/>
      <c r="R81" s="721"/>
      <c r="S81" s="721"/>
      <c r="T81" s="721"/>
    </row>
    <row r="82" spans="1:20" s="722" customFormat="1" ht="17.399999999999999" customHeight="1" x14ac:dyDescent="0.35">
      <c r="A82" s="669"/>
      <c r="B82" s="670">
        <f t="shared" si="1"/>
        <v>70</v>
      </c>
      <c r="C82" s="674" t="s">
        <v>235</v>
      </c>
      <c r="D82" s="675" t="s">
        <v>91</v>
      </c>
      <c r="E82" s="674" t="s">
        <v>92</v>
      </c>
      <c r="F82" s="350"/>
      <c r="G82" s="712">
        <v>46054</v>
      </c>
      <c r="H82" s="700">
        <v>26.43</v>
      </c>
      <c r="I82" s="1301" t="s">
        <v>549</v>
      </c>
      <c r="J82" s="1301"/>
      <c r="K82" s="1301"/>
      <c r="L82" s="1301"/>
      <c r="M82" s="745">
        <v>46058</v>
      </c>
      <c r="N82" s="714" t="s">
        <v>690</v>
      </c>
      <c r="O82" s="715"/>
      <c r="P82" s="716">
        <v>20</v>
      </c>
      <c r="Q82" s="721"/>
      <c r="R82" s="721"/>
      <c r="S82" s="721"/>
      <c r="T82" s="721"/>
    </row>
    <row r="83" spans="1:20" s="722" customFormat="1" ht="17.399999999999999" customHeight="1" x14ac:dyDescent="0.35">
      <c r="A83" s="669"/>
      <c r="B83" s="670">
        <f t="shared" si="1"/>
        <v>71</v>
      </c>
      <c r="C83" s="683" t="s">
        <v>331</v>
      </c>
      <c r="D83" s="675" t="s">
        <v>87</v>
      </c>
      <c r="E83" s="674" t="s">
        <v>542</v>
      </c>
      <c r="F83" s="350"/>
      <c r="G83" s="712">
        <v>46048</v>
      </c>
      <c r="H83" s="673">
        <v>21.96</v>
      </c>
      <c r="I83" s="1301" t="s">
        <v>549</v>
      </c>
      <c r="J83" s="1301"/>
      <c r="K83" s="1301"/>
      <c r="L83" s="1301"/>
      <c r="M83" s="745">
        <v>46059</v>
      </c>
      <c r="N83" s="746" t="s">
        <v>89</v>
      </c>
      <c r="O83" s="715"/>
      <c r="P83" s="716">
        <v>20</v>
      </c>
      <c r="Q83" s="721"/>
      <c r="R83" s="721"/>
      <c r="S83" s="721"/>
      <c r="T83" s="721"/>
    </row>
    <row r="84" spans="1:20" s="722" customFormat="1" ht="17.399999999999999" customHeight="1" x14ac:dyDescent="0.35">
      <c r="A84" s="669"/>
      <c r="B84" s="670">
        <f t="shared" si="1"/>
        <v>72</v>
      </c>
      <c r="C84" s="674" t="s">
        <v>242</v>
      </c>
      <c r="D84" s="675" t="s">
        <v>213</v>
      </c>
      <c r="E84" s="674" t="s">
        <v>92</v>
      </c>
      <c r="F84" s="350"/>
      <c r="G84" s="712">
        <v>46050</v>
      </c>
      <c r="H84" s="700">
        <v>26.43</v>
      </c>
      <c r="I84" s="1301" t="s">
        <v>549</v>
      </c>
      <c r="J84" s="1301"/>
      <c r="K84" s="1301"/>
      <c r="L84" s="1301"/>
      <c r="M84" s="745">
        <v>46061</v>
      </c>
      <c r="N84" s="714" t="s">
        <v>690</v>
      </c>
      <c r="O84" s="715"/>
      <c r="P84" s="716">
        <v>20</v>
      </c>
      <c r="Q84" s="721"/>
      <c r="R84" s="721"/>
      <c r="S84" s="721"/>
      <c r="T84" s="721"/>
    </row>
    <row r="85" spans="1:20" s="722" customFormat="1" ht="17.399999999999999" customHeight="1" x14ac:dyDescent="0.35">
      <c r="A85" s="669"/>
      <c r="B85" s="670">
        <f t="shared" si="1"/>
        <v>73</v>
      </c>
      <c r="C85" s="683" t="s">
        <v>624</v>
      </c>
      <c r="D85" s="675" t="s">
        <v>87</v>
      </c>
      <c r="E85" s="674" t="s">
        <v>92</v>
      </c>
      <c r="F85" s="350"/>
      <c r="G85" s="712">
        <v>46048</v>
      </c>
      <c r="H85" s="674">
        <v>23.27</v>
      </c>
      <c r="I85" s="1301" t="s">
        <v>549</v>
      </c>
      <c r="J85" s="1301"/>
      <c r="K85" s="1301"/>
      <c r="L85" s="1301"/>
      <c r="M85" s="745">
        <v>46061</v>
      </c>
      <c r="N85" s="714" t="s">
        <v>684</v>
      </c>
      <c r="O85" s="715"/>
      <c r="P85" s="716">
        <v>11</v>
      </c>
      <c r="Q85" s="721"/>
      <c r="R85" s="721"/>
      <c r="S85" s="721"/>
      <c r="T85" s="721"/>
    </row>
    <row r="86" spans="1:20" s="722" customFormat="1" ht="17.399999999999999" customHeight="1" x14ac:dyDescent="0.35">
      <c r="A86" s="669"/>
      <c r="B86" s="670">
        <f t="shared" si="1"/>
        <v>74</v>
      </c>
      <c r="C86" s="674" t="s">
        <v>327</v>
      </c>
      <c r="D86" s="684" t="s">
        <v>87</v>
      </c>
      <c r="E86" s="674" t="s">
        <v>92</v>
      </c>
      <c r="F86" s="350"/>
      <c r="G86" s="712">
        <v>46055</v>
      </c>
      <c r="H86" s="674">
        <v>23.27</v>
      </c>
      <c r="I86" s="1301" t="s">
        <v>549</v>
      </c>
      <c r="J86" s="1301"/>
      <c r="K86" s="1301"/>
      <c r="L86" s="1301"/>
      <c r="M86" s="748">
        <v>46063</v>
      </c>
      <c r="N86" s="746" t="s">
        <v>89</v>
      </c>
      <c r="O86" s="715"/>
      <c r="P86" s="716">
        <v>20</v>
      </c>
      <c r="Q86" s="721"/>
      <c r="R86" s="721"/>
      <c r="S86" s="721"/>
      <c r="T86" s="721"/>
    </row>
    <row r="87" spans="1:20" s="722" customFormat="1" ht="17.399999999999999" customHeight="1" x14ac:dyDescent="0.35">
      <c r="A87" s="669"/>
      <c r="B87" s="670">
        <f t="shared" si="1"/>
        <v>75</v>
      </c>
      <c r="C87" s="674" t="s">
        <v>623</v>
      </c>
      <c r="D87" s="685" t="s">
        <v>87</v>
      </c>
      <c r="E87" s="686" t="s">
        <v>92</v>
      </c>
      <c r="F87" s="350"/>
      <c r="G87" s="712">
        <v>46055</v>
      </c>
      <c r="H87" s="673">
        <v>23.27</v>
      </c>
      <c r="I87" s="1301" t="s">
        <v>549</v>
      </c>
      <c r="J87" s="1301"/>
      <c r="K87" s="1301"/>
      <c r="L87" s="1301"/>
      <c r="M87" s="748">
        <v>46064</v>
      </c>
      <c r="N87" s="714" t="s">
        <v>688</v>
      </c>
      <c r="O87" s="715"/>
      <c r="P87" s="716">
        <v>14</v>
      </c>
      <c r="Q87" s="721"/>
      <c r="R87" s="721"/>
      <c r="S87" s="721"/>
      <c r="T87" s="721"/>
    </row>
    <row r="88" spans="1:20" s="722" customFormat="1" ht="17.399999999999999" customHeight="1" x14ac:dyDescent="0.35">
      <c r="A88" s="669"/>
      <c r="B88" s="670">
        <f t="shared" si="1"/>
        <v>76</v>
      </c>
      <c r="C88" s="674" t="s">
        <v>223</v>
      </c>
      <c r="D88" s="687" t="s">
        <v>87</v>
      </c>
      <c r="E88" s="683" t="s">
        <v>92</v>
      </c>
      <c r="F88" s="418"/>
      <c r="G88" s="749">
        <v>46060</v>
      </c>
      <c r="H88" s="750">
        <v>23.27</v>
      </c>
      <c r="I88" s="1301" t="s">
        <v>549</v>
      </c>
      <c r="J88" s="1301"/>
      <c r="K88" s="1301"/>
      <c r="L88" s="1301"/>
      <c r="M88" s="748">
        <v>46065</v>
      </c>
      <c r="N88" s="751" t="s">
        <v>690</v>
      </c>
      <c r="O88" s="752"/>
      <c r="P88" s="753">
        <v>20</v>
      </c>
      <c r="Q88" s="721"/>
      <c r="R88" s="721"/>
      <c r="S88" s="721"/>
      <c r="T88" s="721"/>
    </row>
    <row r="89" spans="1:20" s="722" customFormat="1" ht="17.399999999999999" customHeight="1" x14ac:dyDescent="0.35">
      <c r="A89" s="669"/>
      <c r="B89" s="670">
        <f t="shared" si="1"/>
        <v>77</v>
      </c>
      <c r="C89" s="674" t="s">
        <v>616</v>
      </c>
      <c r="D89" s="684" t="s">
        <v>87</v>
      </c>
      <c r="E89" s="674" t="s">
        <v>542</v>
      </c>
      <c r="F89" s="350"/>
      <c r="G89" s="712">
        <v>46055</v>
      </c>
      <c r="H89" s="673">
        <v>21.96</v>
      </c>
      <c r="I89" s="1301" t="s">
        <v>549</v>
      </c>
      <c r="J89" s="1301"/>
      <c r="K89" s="1301"/>
      <c r="L89" s="1301"/>
      <c r="M89" s="748">
        <v>46067</v>
      </c>
      <c r="N89" s="746" t="s">
        <v>661</v>
      </c>
      <c r="O89" s="715"/>
      <c r="P89" s="716">
        <v>11</v>
      </c>
      <c r="Q89" s="721"/>
      <c r="R89" s="721"/>
      <c r="S89" s="721"/>
      <c r="T89" s="721"/>
    </row>
    <row r="90" spans="1:20" s="722" customFormat="1" ht="17.399999999999999" customHeight="1" x14ac:dyDescent="0.35">
      <c r="A90" s="669"/>
      <c r="B90" s="670">
        <f t="shared" si="1"/>
        <v>78</v>
      </c>
      <c r="C90" s="674" t="s">
        <v>622</v>
      </c>
      <c r="D90" s="684" t="s">
        <v>87</v>
      </c>
      <c r="E90" s="674" t="s">
        <v>92</v>
      </c>
      <c r="F90" s="350"/>
      <c r="G90" s="712">
        <v>46055</v>
      </c>
      <c r="H90" s="673">
        <v>23.27</v>
      </c>
      <c r="I90" s="1301" t="s">
        <v>549</v>
      </c>
      <c r="J90" s="1301"/>
      <c r="K90" s="1301"/>
      <c r="L90" s="1301"/>
      <c r="M90" s="748">
        <v>46067</v>
      </c>
      <c r="N90" s="714" t="s">
        <v>688</v>
      </c>
      <c r="O90" s="715"/>
      <c r="P90" s="716">
        <v>14</v>
      </c>
      <c r="Q90" s="721"/>
      <c r="R90" s="721"/>
      <c r="S90" s="721"/>
      <c r="T90" s="721"/>
    </row>
    <row r="91" spans="1:20" s="722" customFormat="1" ht="17.399999999999999" customHeight="1" x14ac:dyDescent="0.35">
      <c r="A91" s="669"/>
      <c r="B91" s="670">
        <f t="shared" si="1"/>
        <v>79</v>
      </c>
      <c r="C91" s="674" t="s">
        <v>340</v>
      </c>
      <c r="D91" s="684" t="s">
        <v>87</v>
      </c>
      <c r="E91" s="674" t="s">
        <v>92</v>
      </c>
      <c r="F91" s="350"/>
      <c r="G91" s="712">
        <v>46061</v>
      </c>
      <c r="H91" s="673">
        <v>23.27</v>
      </c>
      <c r="I91" s="1301" t="s">
        <v>549</v>
      </c>
      <c r="J91" s="1301"/>
      <c r="K91" s="1301"/>
      <c r="L91" s="1301"/>
      <c r="M91" s="745">
        <v>46068</v>
      </c>
      <c r="N91" s="746" t="s">
        <v>89</v>
      </c>
      <c r="O91" s="715"/>
      <c r="P91" s="716">
        <v>20</v>
      </c>
      <c r="Q91" s="721"/>
      <c r="R91" s="721"/>
      <c r="S91" s="721"/>
      <c r="T91" s="721"/>
    </row>
    <row r="92" spans="1:20" s="722" customFormat="1" ht="17.399999999999999" customHeight="1" x14ac:dyDescent="0.35">
      <c r="A92" s="669"/>
      <c r="B92" s="670">
        <f t="shared" si="1"/>
        <v>80</v>
      </c>
      <c r="C92" s="674" t="s">
        <v>224</v>
      </c>
      <c r="D92" s="687" t="s">
        <v>87</v>
      </c>
      <c r="E92" s="683" t="s">
        <v>664</v>
      </c>
      <c r="F92" s="418"/>
      <c r="G92" s="749">
        <v>46059</v>
      </c>
      <c r="H92" s="754">
        <v>34.299999999999997</v>
      </c>
      <c r="I92" s="1301" t="s">
        <v>549</v>
      </c>
      <c r="J92" s="1301"/>
      <c r="K92" s="1301"/>
      <c r="L92" s="1301"/>
      <c r="M92" s="745">
        <v>46070</v>
      </c>
      <c r="N92" s="751" t="s">
        <v>690</v>
      </c>
      <c r="O92" s="752"/>
      <c r="P92" s="753">
        <v>20</v>
      </c>
      <c r="Q92" s="721"/>
      <c r="R92" s="721"/>
      <c r="S92" s="721"/>
      <c r="T92" s="721"/>
    </row>
    <row r="93" spans="1:20" s="722" customFormat="1" ht="17.399999999999999" customHeight="1" x14ac:dyDescent="0.35">
      <c r="A93" s="669"/>
      <c r="B93" s="670">
        <f t="shared" si="1"/>
        <v>81</v>
      </c>
      <c r="C93" s="674" t="s">
        <v>617</v>
      </c>
      <c r="D93" s="687" t="s">
        <v>87</v>
      </c>
      <c r="E93" s="674" t="s">
        <v>92</v>
      </c>
      <c r="F93" s="418"/>
      <c r="G93" s="749">
        <v>46062</v>
      </c>
      <c r="H93" s="673">
        <v>23.27</v>
      </c>
      <c r="I93" s="1301" t="s">
        <v>549</v>
      </c>
      <c r="J93" s="1301"/>
      <c r="K93" s="1301"/>
      <c r="L93" s="1301"/>
      <c r="M93" s="745">
        <v>46075</v>
      </c>
      <c r="N93" s="755" t="s">
        <v>661</v>
      </c>
      <c r="O93" s="752"/>
      <c r="P93" s="753">
        <v>20</v>
      </c>
      <c r="Q93" s="721"/>
      <c r="R93" s="721"/>
      <c r="S93" s="721"/>
      <c r="T93" s="721"/>
    </row>
    <row r="94" spans="1:20" s="722" customFormat="1" ht="17.399999999999999" customHeight="1" x14ac:dyDescent="0.35">
      <c r="A94" s="669"/>
      <c r="B94" s="670">
        <f t="shared" si="1"/>
        <v>82</v>
      </c>
      <c r="C94" s="683" t="s">
        <v>405</v>
      </c>
      <c r="D94" s="675" t="s">
        <v>87</v>
      </c>
      <c r="E94" s="674" t="s">
        <v>92</v>
      </c>
      <c r="F94" s="350"/>
      <c r="G94" s="712">
        <v>46048</v>
      </c>
      <c r="H94" s="673">
        <v>23.27</v>
      </c>
      <c r="I94" s="1301" t="s">
        <v>549</v>
      </c>
      <c r="J94" s="1301"/>
      <c r="K94" s="1301"/>
      <c r="L94" s="1301"/>
      <c r="M94" s="745">
        <v>46077</v>
      </c>
      <c r="N94" s="714" t="s">
        <v>688</v>
      </c>
      <c r="O94" s="715"/>
      <c r="P94" s="716">
        <v>20</v>
      </c>
      <c r="Q94" s="721"/>
      <c r="R94" s="721"/>
      <c r="S94" s="721"/>
      <c r="T94" s="721"/>
    </row>
    <row r="95" spans="1:20" s="722" customFormat="1" ht="17.399999999999999" customHeight="1" x14ac:dyDescent="0.35">
      <c r="A95" s="669"/>
      <c r="B95" s="670">
        <f t="shared" si="1"/>
        <v>83</v>
      </c>
      <c r="C95" s="683" t="s">
        <v>346</v>
      </c>
      <c r="D95" s="675" t="s">
        <v>109</v>
      </c>
      <c r="E95" s="674" t="s">
        <v>664</v>
      </c>
      <c r="F95" s="350"/>
      <c r="G95" s="712">
        <v>46049</v>
      </c>
      <c r="H95" s="674">
        <v>38.979999999999997</v>
      </c>
      <c r="I95" s="1301" t="s">
        <v>549</v>
      </c>
      <c r="J95" s="1301"/>
      <c r="K95" s="1301"/>
      <c r="L95" s="1301"/>
      <c r="M95" s="745">
        <v>46078</v>
      </c>
      <c r="N95" s="714" t="s">
        <v>89</v>
      </c>
      <c r="O95" s="715"/>
      <c r="P95" s="716">
        <v>18</v>
      </c>
      <c r="Q95" s="721"/>
      <c r="R95" s="721"/>
      <c r="S95" s="721"/>
      <c r="T95" s="721"/>
    </row>
    <row r="96" spans="1:20" s="722" customFormat="1" ht="17.399999999999999" customHeight="1" x14ac:dyDescent="0.35">
      <c r="A96" s="669"/>
      <c r="B96" s="670">
        <f t="shared" si="1"/>
        <v>84</v>
      </c>
      <c r="C96" s="683" t="s">
        <v>407</v>
      </c>
      <c r="D96" s="675" t="s">
        <v>87</v>
      </c>
      <c r="E96" s="674" t="s">
        <v>92</v>
      </c>
      <c r="F96" s="418"/>
      <c r="G96" s="749">
        <v>46065</v>
      </c>
      <c r="H96" s="673">
        <v>23.27</v>
      </c>
      <c r="I96" s="1301" t="s">
        <v>549</v>
      </c>
      <c r="J96" s="1301"/>
      <c r="K96" s="1301"/>
      <c r="L96" s="1301"/>
      <c r="M96" s="756">
        <v>46079</v>
      </c>
      <c r="N96" s="714" t="s">
        <v>688</v>
      </c>
      <c r="O96" s="752"/>
      <c r="P96" s="716">
        <v>16</v>
      </c>
      <c r="Q96" s="721"/>
      <c r="R96" s="721"/>
      <c r="S96" s="721"/>
      <c r="T96" s="721"/>
    </row>
    <row r="97" spans="1:20" s="722" customFormat="1" ht="17.399999999999999" customHeight="1" x14ac:dyDescent="0.35">
      <c r="A97" s="669"/>
      <c r="B97" s="670">
        <f t="shared" si="1"/>
        <v>85</v>
      </c>
      <c r="C97" s="688" t="s">
        <v>618</v>
      </c>
      <c r="D97" s="687" t="s">
        <v>87</v>
      </c>
      <c r="E97" s="674" t="s">
        <v>92</v>
      </c>
      <c r="F97" s="418"/>
      <c r="G97" s="749">
        <v>46069</v>
      </c>
      <c r="H97" s="673">
        <v>23.27</v>
      </c>
      <c r="I97" s="1301" t="s">
        <v>549</v>
      </c>
      <c r="J97" s="1301"/>
      <c r="K97" s="1301"/>
      <c r="L97" s="1301"/>
      <c r="M97" s="756">
        <v>46081</v>
      </c>
      <c r="N97" s="755" t="s">
        <v>661</v>
      </c>
      <c r="O97" s="752"/>
      <c r="P97" s="716">
        <v>11</v>
      </c>
      <c r="Q97" s="721"/>
      <c r="R97" s="721"/>
      <c r="S97" s="721"/>
      <c r="T97" s="721"/>
    </row>
    <row r="98" spans="1:20" s="722" customFormat="1" ht="17.399999999999999" customHeight="1" x14ac:dyDescent="0.35">
      <c r="A98" s="669"/>
      <c r="B98" s="670">
        <f t="shared" si="1"/>
        <v>86</v>
      </c>
      <c r="C98" s="688" t="s">
        <v>406</v>
      </c>
      <c r="D98" s="675" t="s">
        <v>91</v>
      </c>
      <c r="E98" s="674" t="s">
        <v>92</v>
      </c>
      <c r="F98" s="350"/>
      <c r="G98" s="712">
        <v>46049</v>
      </c>
      <c r="H98" s="700">
        <v>26.43</v>
      </c>
      <c r="I98" s="1301" t="s">
        <v>549</v>
      </c>
      <c r="J98" s="1301"/>
      <c r="K98" s="1301"/>
      <c r="L98" s="1301"/>
      <c r="M98" s="756">
        <v>46081</v>
      </c>
      <c r="N98" s="714" t="s">
        <v>688</v>
      </c>
      <c r="O98" s="715"/>
      <c r="P98" s="716">
        <v>16</v>
      </c>
      <c r="Q98" s="721"/>
      <c r="R98" s="721"/>
      <c r="S98" s="721"/>
      <c r="T98" s="721"/>
    </row>
    <row r="99" spans="1:20" s="760" customFormat="1" ht="17.399999999999999" customHeight="1" x14ac:dyDescent="0.35">
      <c r="A99" s="689"/>
      <c r="B99" s="670">
        <f>B98+1</f>
        <v>87</v>
      </c>
      <c r="C99" s="682" t="s">
        <v>353</v>
      </c>
      <c r="D99" s="684" t="s">
        <v>87</v>
      </c>
      <c r="E99" s="674" t="s">
        <v>92</v>
      </c>
      <c r="F99" s="350"/>
      <c r="G99" s="712">
        <v>46076</v>
      </c>
      <c r="H99" s="673">
        <v>23.27</v>
      </c>
      <c r="I99" s="1325" t="s">
        <v>549</v>
      </c>
      <c r="J99" s="1325"/>
      <c r="K99" s="1325"/>
      <c r="L99" s="1325"/>
      <c r="M99" s="758">
        <v>46084</v>
      </c>
      <c r="N99" s="714" t="s">
        <v>89</v>
      </c>
      <c r="O99" s="715"/>
      <c r="P99" s="716">
        <v>18</v>
      </c>
      <c r="Q99" s="759"/>
      <c r="R99" s="759"/>
      <c r="S99" s="759"/>
      <c r="T99" s="759"/>
    </row>
    <row r="100" spans="1:20" s="722" customFormat="1" ht="17.399999999999999" customHeight="1" x14ac:dyDescent="0.35">
      <c r="A100" s="669"/>
      <c r="B100" s="670">
        <f t="shared" ref="B100:B137" si="2">B99+1</f>
        <v>88</v>
      </c>
      <c r="C100" s="688" t="s">
        <v>245</v>
      </c>
      <c r="D100" s="684" t="s">
        <v>87</v>
      </c>
      <c r="E100" s="683" t="s">
        <v>664</v>
      </c>
      <c r="F100" s="350"/>
      <c r="G100" s="712">
        <v>46058</v>
      </c>
      <c r="H100" s="754">
        <v>34.299999999999997</v>
      </c>
      <c r="I100" s="1301" t="s">
        <v>549</v>
      </c>
      <c r="J100" s="1301"/>
      <c r="K100" s="1301"/>
      <c r="L100" s="1301"/>
      <c r="M100" s="756">
        <v>46087</v>
      </c>
      <c r="N100" s="714" t="s">
        <v>690</v>
      </c>
      <c r="O100" s="715"/>
      <c r="P100" s="716">
        <v>20</v>
      </c>
      <c r="Q100" s="721"/>
      <c r="R100" s="721"/>
      <c r="S100" s="721"/>
      <c r="T100" s="721"/>
    </row>
    <row r="101" spans="1:20" s="722" customFormat="1" ht="17.399999999999999" customHeight="1" x14ac:dyDescent="0.35">
      <c r="A101" s="669"/>
      <c r="B101" s="670">
        <f t="shared" si="2"/>
        <v>89</v>
      </c>
      <c r="C101" s="688" t="s">
        <v>246</v>
      </c>
      <c r="D101" s="690" t="s">
        <v>87</v>
      </c>
      <c r="E101" s="674" t="s">
        <v>542</v>
      </c>
      <c r="F101" s="350"/>
      <c r="G101" s="712">
        <v>46055</v>
      </c>
      <c r="H101" s="673">
        <v>21.96</v>
      </c>
      <c r="I101" s="1301" t="s">
        <v>549</v>
      </c>
      <c r="J101" s="1301"/>
      <c r="K101" s="1301"/>
      <c r="L101" s="1301"/>
      <c r="M101" s="745">
        <v>46089</v>
      </c>
      <c r="N101" s="714" t="s">
        <v>690</v>
      </c>
      <c r="O101" s="715"/>
      <c r="P101" s="716">
        <v>20</v>
      </c>
      <c r="Q101" s="721"/>
      <c r="R101" s="721"/>
      <c r="S101" s="721"/>
      <c r="T101" s="721"/>
    </row>
    <row r="102" spans="1:20" s="722" customFormat="1" ht="17.399999999999999" customHeight="1" x14ac:dyDescent="0.35">
      <c r="A102" s="669"/>
      <c r="B102" s="670">
        <f t="shared" si="2"/>
        <v>90</v>
      </c>
      <c r="C102" s="688" t="s">
        <v>221</v>
      </c>
      <c r="D102" s="675" t="s">
        <v>87</v>
      </c>
      <c r="E102" s="674" t="s">
        <v>92</v>
      </c>
      <c r="F102" s="350"/>
      <c r="G102" s="712">
        <v>46077</v>
      </c>
      <c r="H102" s="673">
        <v>23.27</v>
      </c>
      <c r="I102" s="1301" t="s">
        <v>549</v>
      </c>
      <c r="J102" s="1301"/>
      <c r="K102" s="1301"/>
      <c r="L102" s="1301"/>
      <c r="M102" s="761">
        <v>46092</v>
      </c>
      <c r="N102" s="714" t="s">
        <v>736</v>
      </c>
      <c r="O102" s="715"/>
      <c r="P102" s="716">
        <v>10</v>
      </c>
      <c r="Q102" s="721"/>
      <c r="R102" s="721"/>
      <c r="S102" s="721"/>
      <c r="T102" s="721"/>
    </row>
    <row r="103" spans="1:20" s="722" customFormat="1" ht="17.399999999999999" customHeight="1" x14ac:dyDescent="0.35">
      <c r="A103" s="669"/>
      <c r="B103" s="670">
        <f t="shared" si="2"/>
        <v>91</v>
      </c>
      <c r="C103" s="688" t="s">
        <v>233</v>
      </c>
      <c r="D103" s="691" t="s">
        <v>213</v>
      </c>
      <c r="E103" s="674" t="s">
        <v>92</v>
      </c>
      <c r="F103" s="350"/>
      <c r="G103" s="712">
        <v>46087</v>
      </c>
      <c r="H103" s="736">
        <v>26.43</v>
      </c>
      <c r="I103" s="1301" t="s">
        <v>549</v>
      </c>
      <c r="J103" s="1301"/>
      <c r="K103" s="1301"/>
      <c r="L103" s="1301"/>
      <c r="M103" s="756">
        <v>46094</v>
      </c>
      <c r="N103" s="714" t="s">
        <v>690</v>
      </c>
      <c r="O103" s="715"/>
      <c r="P103" s="716">
        <v>20</v>
      </c>
      <c r="Q103" s="721"/>
      <c r="R103" s="721"/>
      <c r="S103" s="721"/>
      <c r="T103" s="721"/>
    </row>
    <row r="104" spans="1:20" s="722" customFormat="1" ht="17.399999999999999" customHeight="1" x14ac:dyDescent="0.35">
      <c r="A104" s="669"/>
      <c r="B104" s="670">
        <f t="shared" si="2"/>
        <v>92</v>
      </c>
      <c r="C104" s="688" t="s">
        <v>222</v>
      </c>
      <c r="D104" s="687" t="s">
        <v>87</v>
      </c>
      <c r="E104" s="674" t="s">
        <v>541</v>
      </c>
      <c r="F104" s="350"/>
      <c r="G104" s="712">
        <v>46077</v>
      </c>
      <c r="H104" s="674">
        <v>33.01</v>
      </c>
      <c r="I104" s="1301" t="s">
        <v>549</v>
      </c>
      <c r="J104" s="1301"/>
      <c r="K104" s="1301"/>
      <c r="L104" s="1301"/>
      <c r="M104" s="756">
        <v>46095</v>
      </c>
      <c r="N104" s="714" t="s">
        <v>736</v>
      </c>
      <c r="O104" s="715"/>
      <c r="P104" s="716">
        <v>10</v>
      </c>
      <c r="Q104" s="721"/>
      <c r="R104" s="721"/>
      <c r="S104" s="721"/>
      <c r="T104" s="721"/>
    </row>
    <row r="105" spans="1:20" s="722" customFormat="1" ht="17.399999999999999" customHeight="1" x14ac:dyDescent="0.35">
      <c r="A105" s="669"/>
      <c r="B105" s="670">
        <f t="shared" si="2"/>
        <v>93</v>
      </c>
      <c r="C105" s="688" t="s">
        <v>234</v>
      </c>
      <c r="D105" s="691" t="s">
        <v>87</v>
      </c>
      <c r="E105" s="674" t="s">
        <v>92</v>
      </c>
      <c r="F105" s="350"/>
      <c r="G105" s="712">
        <v>46088</v>
      </c>
      <c r="H105" s="673">
        <v>23.27</v>
      </c>
      <c r="I105" s="1301" t="s">
        <v>549</v>
      </c>
      <c r="J105" s="1301"/>
      <c r="K105" s="1301"/>
      <c r="L105" s="1301"/>
      <c r="M105" s="756">
        <v>46095</v>
      </c>
      <c r="N105" s="714" t="s">
        <v>690</v>
      </c>
      <c r="O105" s="715"/>
      <c r="P105" s="716">
        <v>20</v>
      </c>
      <c r="Q105" s="721"/>
      <c r="R105" s="721"/>
      <c r="S105" s="721"/>
      <c r="T105" s="721"/>
    </row>
    <row r="106" spans="1:20" s="722" customFormat="1" ht="17.399999999999999" customHeight="1" x14ac:dyDescent="0.35">
      <c r="A106" s="669"/>
      <c r="B106" s="670">
        <f t="shared" si="2"/>
        <v>94</v>
      </c>
      <c r="C106" s="688" t="s">
        <v>236</v>
      </c>
      <c r="D106" s="691" t="s">
        <v>87</v>
      </c>
      <c r="E106" s="674" t="s">
        <v>664</v>
      </c>
      <c r="F106" s="350"/>
      <c r="G106" s="712">
        <v>46090</v>
      </c>
      <c r="H106" s="754">
        <v>34.299999999999997</v>
      </c>
      <c r="I106" s="735" t="s">
        <v>549</v>
      </c>
      <c r="J106" s="762"/>
      <c r="K106" s="762"/>
      <c r="L106" s="763"/>
      <c r="M106" s="756">
        <v>46098</v>
      </c>
      <c r="N106" s="714" t="s">
        <v>690</v>
      </c>
      <c r="O106" s="715"/>
      <c r="P106" s="716">
        <v>20</v>
      </c>
      <c r="Q106" s="721"/>
      <c r="R106" s="721"/>
      <c r="S106" s="721"/>
      <c r="T106" s="721"/>
    </row>
    <row r="107" spans="1:20" s="722" customFormat="1" ht="17.399999999999999" customHeight="1" x14ac:dyDescent="0.35">
      <c r="A107" s="669"/>
      <c r="B107" s="670">
        <f t="shared" si="2"/>
        <v>95</v>
      </c>
      <c r="C107" s="688" t="s">
        <v>471</v>
      </c>
      <c r="D107" s="691" t="s">
        <v>686</v>
      </c>
      <c r="E107" s="674" t="s">
        <v>92</v>
      </c>
      <c r="F107" s="350"/>
      <c r="G107" s="712">
        <v>46087</v>
      </c>
      <c r="H107" s="674">
        <v>55.59</v>
      </c>
      <c r="I107" s="735" t="s">
        <v>549</v>
      </c>
      <c r="J107" s="762"/>
      <c r="K107" s="762"/>
      <c r="L107" s="763"/>
      <c r="M107" s="761">
        <v>46099</v>
      </c>
      <c r="N107" s="714" t="s">
        <v>89</v>
      </c>
      <c r="O107" s="715"/>
      <c r="P107" s="716">
        <v>18</v>
      </c>
      <c r="Q107" s="721"/>
      <c r="R107" s="721"/>
      <c r="S107" s="721"/>
      <c r="T107" s="721"/>
    </row>
    <row r="108" spans="1:20" s="722" customFormat="1" ht="17.399999999999999" customHeight="1" x14ac:dyDescent="0.35">
      <c r="A108" s="669"/>
      <c r="B108" s="670">
        <f t="shared" si="2"/>
        <v>96</v>
      </c>
      <c r="C108" s="688" t="s">
        <v>481</v>
      </c>
      <c r="D108" s="691" t="s">
        <v>237</v>
      </c>
      <c r="E108" s="674" t="s">
        <v>92</v>
      </c>
      <c r="F108" s="350"/>
      <c r="G108" s="712">
        <v>46105</v>
      </c>
      <c r="H108" s="674">
        <v>55.59</v>
      </c>
      <c r="I108" s="735" t="s">
        <v>549</v>
      </c>
      <c r="J108" s="762"/>
      <c r="K108" s="762"/>
      <c r="L108" s="763"/>
      <c r="M108" s="761">
        <v>46099</v>
      </c>
      <c r="N108" s="714" t="s">
        <v>660</v>
      </c>
      <c r="O108" s="715"/>
      <c r="P108" s="716">
        <v>16</v>
      </c>
      <c r="Q108" s="721"/>
      <c r="R108" s="721"/>
      <c r="S108" s="721"/>
      <c r="T108" s="721"/>
    </row>
    <row r="109" spans="1:20" s="722" customFormat="1" ht="17.399999999999999" customHeight="1" x14ac:dyDescent="0.35">
      <c r="A109" s="669"/>
      <c r="B109" s="670">
        <f t="shared" si="2"/>
        <v>97</v>
      </c>
      <c r="C109" s="688" t="s">
        <v>232</v>
      </c>
      <c r="D109" s="691" t="s">
        <v>91</v>
      </c>
      <c r="E109" s="674" t="s">
        <v>92</v>
      </c>
      <c r="F109" s="350"/>
      <c r="G109" s="712">
        <v>46092</v>
      </c>
      <c r="H109" s="736">
        <v>26.43</v>
      </c>
      <c r="I109" s="735" t="s">
        <v>549</v>
      </c>
      <c r="J109" s="762"/>
      <c r="K109" s="762"/>
      <c r="L109" s="763"/>
      <c r="M109" s="756">
        <v>46100</v>
      </c>
      <c r="N109" s="714" t="s">
        <v>690</v>
      </c>
      <c r="O109" s="715"/>
      <c r="P109" s="716">
        <v>20</v>
      </c>
      <c r="Q109" s="721"/>
      <c r="R109" s="721"/>
      <c r="S109" s="721"/>
      <c r="T109" s="721"/>
    </row>
    <row r="110" spans="1:20" s="722" customFormat="1" ht="17.399999999999999" customHeight="1" x14ac:dyDescent="0.35">
      <c r="A110" s="669"/>
      <c r="B110" s="670">
        <f t="shared" si="2"/>
        <v>98</v>
      </c>
      <c r="C110" s="688" t="s">
        <v>238</v>
      </c>
      <c r="D110" s="691" t="s">
        <v>109</v>
      </c>
      <c r="E110" s="674" t="s">
        <v>92</v>
      </c>
      <c r="F110" s="350"/>
      <c r="G110" s="712">
        <v>46098</v>
      </c>
      <c r="H110" s="736">
        <v>26.43</v>
      </c>
      <c r="I110" s="735" t="s">
        <v>549</v>
      </c>
      <c r="J110" s="762"/>
      <c r="K110" s="762"/>
      <c r="L110" s="763"/>
      <c r="M110" s="761">
        <v>46103</v>
      </c>
      <c r="N110" s="714" t="s">
        <v>690</v>
      </c>
      <c r="O110" s="715"/>
      <c r="P110" s="716">
        <v>20</v>
      </c>
      <c r="Q110" s="721"/>
      <c r="R110" s="721"/>
      <c r="S110" s="721"/>
      <c r="T110" s="721"/>
    </row>
    <row r="111" spans="1:20" s="722" customFormat="1" ht="17.399999999999999" customHeight="1" x14ac:dyDescent="0.35">
      <c r="A111" s="669"/>
      <c r="B111" s="670">
        <f t="shared" si="2"/>
        <v>99</v>
      </c>
      <c r="C111" s="675" t="s">
        <v>225</v>
      </c>
      <c r="D111" s="691" t="s">
        <v>91</v>
      </c>
      <c r="E111" s="674" t="s">
        <v>92</v>
      </c>
      <c r="F111" s="350"/>
      <c r="G111" s="712">
        <v>46101</v>
      </c>
      <c r="H111" s="736">
        <v>26.43</v>
      </c>
      <c r="I111" s="735" t="s">
        <v>549</v>
      </c>
      <c r="J111" s="762"/>
      <c r="K111" s="762"/>
      <c r="L111" s="763"/>
      <c r="M111" s="761">
        <v>46106</v>
      </c>
      <c r="N111" s="714" t="s">
        <v>690</v>
      </c>
      <c r="O111" s="715"/>
      <c r="P111" s="716">
        <v>20</v>
      </c>
      <c r="Q111" s="721"/>
      <c r="R111" s="721"/>
      <c r="S111" s="721"/>
      <c r="T111" s="721"/>
    </row>
    <row r="112" spans="1:20" s="722" customFormat="1" ht="17.399999999999999" customHeight="1" x14ac:dyDescent="0.35">
      <c r="A112" s="669"/>
      <c r="B112" s="670">
        <f t="shared" si="2"/>
        <v>100</v>
      </c>
      <c r="C112" s="675" t="s">
        <v>228</v>
      </c>
      <c r="D112" s="691" t="s">
        <v>87</v>
      </c>
      <c r="E112" s="674" t="s">
        <v>92</v>
      </c>
      <c r="F112" s="350"/>
      <c r="G112" s="712">
        <v>46102</v>
      </c>
      <c r="H112" s="673">
        <v>23.27</v>
      </c>
      <c r="I112" s="735" t="s">
        <v>549</v>
      </c>
      <c r="J112" s="762"/>
      <c r="K112" s="762"/>
      <c r="L112" s="763"/>
      <c r="M112" s="761">
        <v>46108</v>
      </c>
      <c r="N112" s="714" t="s">
        <v>690</v>
      </c>
      <c r="O112" s="715"/>
      <c r="P112" s="716">
        <v>20</v>
      </c>
      <c r="Q112" s="721"/>
      <c r="R112" s="721"/>
      <c r="S112" s="721"/>
      <c r="T112" s="721"/>
    </row>
    <row r="113" spans="1:20" s="760" customFormat="1" ht="17.399999999999999" customHeight="1" x14ac:dyDescent="0.35">
      <c r="A113" s="689"/>
      <c r="B113" s="670">
        <f t="shared" si="2"/>
        <v>101</v>
      </c>
      <c r="C113" s="675" t="s">
        <v>244</v>
      </c>
      <c r="D113" s="691" t="s">
        <v>91</v>
      </c>
      <c r="E113" s="674" t="s">
        <v>664</v>
      </c>
      <c r="F113" s="350"/>
      <c r="G113" s="743">
        <v>46106</v>
      </c>
      <c r="H113" s="674">
        <v>38.979999999999997</v>
      </c>
      <c r="I113" s="757" t="s">
        <v>549</v>
      </c>
      <c r="J113" s="764"/>
      <c r="K113" s="764"/>
      <c r="L113" s="765"/>
      <c r="M113" s="723">
        <v>46112</v>
      </c>
      <c r="N113" s="714" t="s">
        <v>690</v>
      </c>
      <c r="O113" s="716"/>
      <c r="P113" s="716">
        <v>20</v>
      </c>
      <c r="Q113" s="759"/>
      <c r="R113" s="759"/>
      <c r="S113" s="759"/>
      <c r="T113" s="759"/>
    </row>
    <row r="114" spans="1:20" s="760" customFormat="1" ht="17.399999999999999" customHeight="1" x14ac:dyDescent="0.35">
      <c r="A114" s="689"/>
      <c r="B114" s="692">
        <f t="shared" si="2"/>
        <v>102</v>
      </c>
      <c r="C114" s="675" t="s">
        <v>430</v>
      </c>
      <c r="D114" s="693" t="s">
        <v>686</v>
      </c>
      <c r="E114" s="694" t="s">
        <v>92</v>
      </c>
      <c r="F114" s="354"/>
      <c r="G114" s="734">
        <v>46097</v>
      </c>
      <c r="H114" s="694">
        <v>55.59</v>
      </c>
      <c r="I114" s="733" t="s">
        <v>549</v>
      </c>
      <c r="J114" s="766"/>
      <c r="K114" s="766"/>
      <c r="L114" s="767"/>
      <c r="M114" s="768">
        <v>46118</v>
      </c>
      <c r="N114" s="769" t="s">
        <v>676</v>
      </c>
      <c r="O114" s="770"/>
      <c r="P114" s="771">
        <v>20</v>
      </c>
      <c r="Q114" s="759"/>
      <c r="R114" s="759"/>
      <c r="S114" s="759"/>
      <c r="T114" s="759"/>
    </row>
    <row r="115" spans="1:20" s="760" customFormat="1" ht="17.399999999999999" customHeight="1" x14ac:dyDescent="0.35">
      <c r="A115" s="689"/>
      <c r="B115" s="670">
        <f t="shared" si="2"/>
        <v>103</v>
      </c>
      <c r="C115" s="695" t="s">
        <v>306</v>
      </c>
      <c r="D115" s="691" t="s">
        <v>109</v>
      </c>
      <c r="E115" s="674" t="s">
        <v>92</v>
      </c>
      <c r="F115" s="350"/>
      <c r="G115" s="712">
        <v>46106</v>
      </c>
      <c r="H115" s="736">
        <v>26.43</v>
      </c>
      <c r="I115" s="757" t="s">
        <v>549</v>
      </c>
      <c r="J115" s="764"/>
      <c r="K115" s="764"/>
      <c r="L115" s="765"/>
      <c r="M115" s="756">
        <v>46123</v>
      </c>
      <c r="N115" s="714" t="s">
        <v>763</v>
      </c>
      <c r="O115" s="715"/>
      <c r="P115" s="716">
        <v>30</v>
      </c>
      <c r="Q115" s="759"/>
      <c r="R115" s="759"/>
      <c r="S115" s="759"/>
      <c r="T115" s="759"/>
    </row>
    <row r="116" spans="1:20" s="760" customFormat="1" ht="17.399999999999999" customHeight="1" x14ac:dyDescent="0.35">
      <c r="A116" s="689"/>
      <c r="B116" s="670">
        <f t="shared" si="2"/>
        <v>104</v>
      </c>
      <c r="C116" s="695" t="s">
        <v>307</v>
      </c>
      <c r="D116" s="691" t="s">
        <v>87</v>
      </c>
      <c r="E116" s="674" t="s">
        <v>92</v>
      </c>
      <c r="F116" s="350"/>
      <c r="G116" s="712">
        <v>46107</v>
      </c>
      <c r="H116" s="673">
        <v>23.27</v>
      </c>
      <c r="I116" s="757" t="s">
        <v>549</v>
      </c>
      <c r="J116" s="764"/>
      <c r="K116" s="764"/>
      <c r="L116" s="765"/>
      <c r="M116" s="756">
        <v>46125</v>
      </c>
      <c r="N116" s="714" t="s">
        <v>763</v>
      </c>
      <c r="O116" s="715"/>
      <c r="P116" s="716">
        <v>30</v>
      </c>
      <c r="Q116" s="759"/>
      <c r="R116" s="759"/>
      <c r="S116" s="759"/>
      <c r="T116" s="759"/>
    </row>
    <row r="117" spans="1:20" s="760" customFormat="1" ht="17.399999999999999" customHeight="1" x14ac:dyDescent="0.35">
      <c r="A117" s="689"/>
      <c r="B117" s="670">
        <f t="shared" si="2"/>
        <v>105</v>
      </c>
      <c r="C117" s="695" t="s">
        <v>421</v>
      </c>
      <c r="D117" s="691" t="s">
        <v>757</v>
      </c>
      <c r="E117" s="674" t="s">
        <v>765</v>
      </c>
      <c r="F117" s="350"/>
      <c r="G117" s="712">
        <v>46111</v>
      </c>
      <c r="H117" s="736">
        <v>52.21</v>
      </c>
      <c r="I117" s="757" t="s">
        <v>549</v>
      </c>
      <c r="J117" s="772"/>
      <c r="K117" s="772"/>
      <c r="L117" s="773"/>
      <c r="M117" s="756">
        <v>46125</v>
      </c>
      <c r="N117" s="714" t="s">
        <v>759</v>
      </c>
      <c r="O117" s="715"/>
      <c r="P117" s="716">
        <v>20</v>
      </c>
      <c r="Q117" s="759"/>
      <c r="R117" s="759"/>
      <c r="S117" s="759"/>
      <c r="T117" s="759"/>
    </row>
    <row r="118" spans="1:20" s="760" customFormat="1" ht="17.399999999999999" customHeight="1" x14ac:dyDescent="0.35">
      <c r="A118" s="689"/>
      <c r="B118" s="670">
        <f t="shared" si="2"/>
        <v>106</v>
      </c>
      <c r="C118" s="688" t="s">
        <v>416</v>
      </c>
      <c r="D118" s="696" t="s">
        <v>756</v>
      </c>
      <c r="E118" s="697" t="s">
        <v>541</v>
      </c>
      <c r="F118" s="350"/>
      <c r="G118" s="712">
        <v>46077</v>
      </c>
      <c r="H118" s="674">
        <v>99.96</v>
      </c>
      <c r="I118" s="757" t="s">
        <v>549</v>
      </c>
      <c r="J118" s="772"/>
      <c r="K118" s="772"/>
      <c r="L118" s="773"/>
      <c r="M118" s="756">
        <v>46128</v>
      </c>
      <c r="N118" s="714" t="s">
        <v>736</v>
      </c>
      <c r="O118" s="715"/>
      <c r="P118" s="716">
        <v>10</v>
      </c>
      <c r="Q118" s="759"/>
      <c r="R118" s="759"/>
      <c r="S118" s="759"/>
      <c r="T118" s="759"/>
    </row>
    <row r="119" spans="1:20" s="722" customFormat="1" ht="17.399999999999999" customHeight="1" x14ac:dyDescent="0.35">
      <c r="A119" s="669"/>
      <c r="B119" s="670">
        <f t="shared" si="2"/>
        <v>107</v>
      </c>
      <c r="C119" s="695" t="s">
        <v>309</v>
      </c>
      <c r="D119" s="691" t="s">
        <v>95</v>
      </c>
      <c r="E119" s="674" t="s">
        <v>92</v>
      </c>
      <c r="F119" s="350"/>
      <c r="G119" s="712">
        <v>46107</v>
      </c>
      <c r="H119" s="736">
        <v>26.43</v>
      </c>
      <c r="I119" s="757" t="s">
        <v>549</v>
      </c>
      <c r="J119" s="772"/>
      <c r="K119" s="772"/>
      <c r="L119" s="773"/>
      <c r="M119" s="756">
        <v>46128</v>
      </c>
      <c r="N119" s="714" t="s">
        <v>763</v>
      </c>
      <c r="O119" s="715"/>
      <c r="P119" s="716">
        <v>30</v>
      </c>
      <c r="Q119" s="721"/>
      <c r="R119" s="721"/>
      <c r="S119" s="721"/>
      <c r="T119" s="721"/>
    </row>
    <row r="120" spans="1:20" s="722" customFormat="1" ht="17.399999999999999" customHeight="1" x14ac:dyDescent="0.35">
      <c r="A120" s="669"/>
      <c r="B120" s="670">
        <f t="shared" si="2"/>
        <v>108</v>
      </c>
      <c r="C120" s="695" t="s">
        <v>308</v>
      </c>
      <c r="D120" s="691" t="s">
        <v>87</v>
      </c>
      <c r="E120" s="674" t="s">
        <v>92</v>
      </c>
      <c r="F120" s="350"/>
      <c r="G120" s="712">
        <v>46121</v>
      </c>
      <c r="H120" s="673">
        <v>23.27</v>
      </c>
      <c r="I120" s="757" t="s">
        <v>549</v>
      </c>
      <c r="J120" s="772"/>
      <c r="K120" s="772"/>
      <c r="L120" s="773"/>
      <c r="M120" s="761">
        <v>46130</v>
      </c>
      <c r="N120" s="714" t="s">
        <v>763</v>
      </c>
      <c r="O120" s="715"/>
      <c r="P120" s="716">
        <v>30</v>
      </c>
      <c r="Q120" s="721"/>
      <c r="R120" s="721"/>
      <c r="S120" s="721"/>
      <c r="T120" s="721"/>
    </row>
    <row r="121" spans="1:20" s="722" customFormat="1" ht="17.399999999999999" customHeight="1" x14ac:dyDescent="0.35">
      <c r="A121" s="669"/>
      <c r="B121" s="670">
        <f t="shared" si="2"/>
        <v>109</v>
      </c>
      <c r="C121" s="695" t="s">
        <v>296</v>
      </c>
      <c r="D121" s="691" t="s">
        <v>772</v>
      </c>
      <c r="E121" s="674" t="s">
        <v>92</v>
      </c>
      <c r="F121" s="350"/>
      <c r="G121" s="712">
        <v>46129</v>
      </c>
      <c r="H121" s="736">
        <v>46.6</v>
      </c>
      <c r="I121" s="757" t="s">
        <v>549</v>
      </c>
      <c r="J121" s="772"/>
      <c r="K121" s="772"/>
      <c r="L121" s="773"/>
      <c r="M121" s="761">
        <v>46133</v>
      </c>
      <c r="N121" s="714" t="s">
        <v>763</v>
      </c>
      <c r="O121" s="715"/>
      <c r="P121" s="716">
        <v>30</v>
      </c>
      <c r="Q121" s="721"/>
      <c r="R121" s="721"/>
      <c r="S121" s="721"/>
      <c r="T121" s="721"/>
    </row>
    <row r="122" spans="1:20" s="722" customFormat="1" ht="17.399999999999999" customHeight="1" x14ac:dyDescent="0.35">
      <c r="A122" s="669"/>
      <c r="B122" s="670">
        <f t="shared" si="2"/>
        <v>110</v>
      </c>
      <c r="C122" s="695" t="s">
        <v>220</v>
      </c>
      <c r="D122" s="691" t="s">
        <v>87</v>
      </c>
      <c r="E122" s="674" t="s">
        <v>92</v>
      </c>
      <c r="F122" s="350"/>
      <c r="G122" s="712">
        <v>46127</v>
      </c>
      <c r="H122" s="673">
        <v>23.27</v>
      </c>
      <c r="I122" s="757" t="s">
        <v>549</v>
      </c>
      <c r="J122" s="772"/>
      <c r="K122" s="772"/>
      <c r="L122" s="773"/>
      <c r="M122" s="761">
        <v>46135</v>
      </c>
      <c r="N122" s="714" t="s">
        <v>736</v>
      </c>
      <c r="O122" s="715"/>
      <c r="P122" s="716">
        <v>10</v>
      </c>
      <c r="Q122" s="721"/>
      <c r="R122" s="721"/>
      <c r="S122" s="721"/>
      <c r="T122" s="721"/>
    </row>
    <row r="123" spans="1:20" s="722" customFormat="1" ht="17.399999999999999" customHeight="1" x14ac:dyDescent="0.35">
      <c r="A123" s="669"/>
      <c r="B123" s="670">
        <f t="shared" si="2"/>
        <v>111</v>
      </c>
      <c r="C123" s="695" t="s">
        <v>440</v>
      </c>
      <c r="D123" s="691" t="s">
        <v>579</v>
      </c>
      <c r="E123" s="674" t="s">
        <v>92</v>
      </c>
      <c r="F123" s="350"/>
      <c r="G123" s="712">
        <v>46133</v>
      </c>
      <c r="H123" s="736">
        <v>90.34</v>
      </c>
      <c r="I123" s="757" t="s">
        <v>549</v>
      </c>
      <c r="J123" s="772"/>
      <c r="K123" s="772"/>
      <c r="L123" s="773"/>
      <c r="M123" s="761">
        <v>46138</v>
      </c>
      <c r="N123" s="714" t="s">
        <v>763</v>
      </c>
      <c r="O123" s="715"/>
      <c r="P123" s="716">
        <v>30</v>
      </c>
      <c r="Q123" s="721"/>
      <c r="R123" s="721"/>
      <c r="S123" s="721"/>
      <c r="T123" s="721"/>
    </row>
    <row r="124" spans="1:20" s="722" customFormat="1" ht="17.399999999999999" customHeight="1" x14ac:dyDescent="0.35">
      <c r="A124" s="669"/>
      <c r="B124" s="670">
        <f t="shared" si="2"/>
        <v>112</v>
      </c>
      <c r="C124" s="695" t="s">
        <v>295</v>
      </c>
      <c r="D124" s="691" t="s">
        <v>87</v>
      </c>
      <c r="E124" s="674" t="s">
        <v>92</v>
      </c>
      <c r="F124" s="350"/>
      <c r="G124" s="712">
        <v>46139</v>
      </c>
      <c r="H124" s="673">
        <v>23.27</v>
      </c>
      <c r="I124" s="757" t="s">
        <v>549</v>
      </c>
      <c r="J124" s="772"/>
      <c r="K124" s="772"/>
      <c r="L124" s="773"/>
      <c r="M124" s="761">
        <v>46141</v>
      </c>
      <c r="N124" s="714" t="s">
        <v>763</v>
      </c>
      <c r="O124" s="715"/>
      <c r="P124" s="716">
        <v>16</v>
      </c>
      <c r="Q124" s="721"/>
      <c r="R124" s="721"/>
      <c r="S124" s="721"/>
      <c r="T124" s="721"/>
    </row>
    <row r="125" spans="1:20" s="722" customFormat="1" ht="17.399999999999999" customHeight="1" x14ac:dyDescent="0.35">
      <c r="A125" s="669"/>
      <c r="B125" s="670">
        <f t="shared" si="2"/>
        <v>113</v>
      </c>
      <c r="C125" s="675" t="s">
        <v>219</v>
      </c>
      <c r="D125" s="691" t="s">
        <v>87</v>
      </c>
      <c r="E125" s="674" t="s">
        <v>92</v>
      </c>
      <c r="F125" s="350">
        <v>46128</v>
      </c>
      <c r="G125" s="711">
        <v>46136</v>
      </c>
      <c r="H125" s="673">
        <v>23.27</v>
      </c>
      <c r="I125" s="757" t="s">
        <v>549</v>
      </c>
      <c r="J125" s="772"/>
      <c r="K125" s="772"/>
      <c r="L125" s="773"/>
      <c r="M125" s="761">
        <v>46142</v>
      </c>
      <c r="N125" s="714" t="s">
        <v>736</v>
      </c>
      <c r="O125" s="715"/>
      <c r="P125" s="716">
        <v>10</v>
      </c>
      <c r="Q125" s="721"/>
      <c r="R125" s="721"/>
      <c r="S125" s="721"/>
      <c r="T125" s="721"/>
    </row>
    <row r="126" spans="1:20" s="722" customFormat="1" ht="17.399999999999999" customHeight="1" x14ac:dyDescent="0.35">
      <c r="A126" s="669"/>
      <c r="B126" s="670">
        <f t="shared" si="2"/>
        <v>114</v>
      </c>
      <c r="C126" s="695" t="s">
        <v>439</v>
      </c>
      <c r="D126" s="693" t="s">
        <v>237</v>
      </c>
      <c r="E126" s="694" t="s">
        <v>92</v>
      </c>
      <c r="F126" s="354"/>
      <c r="G126" s="734">
        <v>46142</v>
      </c>
      <c r="H126" s="694">
        <v>55.59</v>
      </c>
      <c r="I126" s="733" t="s">
        <v>549</v>
      </c>
      <c r="J126" s="775"/>
      <c r="K126" s="775"/>
      <c r="L126" s="776"/>
      <c r="M126" s="777">
        <v>46145</v>
      </c>
      <c r="N126" s="769" t="s">
        <v>763</v>
      </c>
      <c r="O126" s="715"/>
      <c r="P126" s="716">
        <v>17</v>
      </c>
      <c r="Q126" s="721"/>
      <c r="R126" s="721"/>
      <c r="S126" s="721"/>
      <c r="T126" s="721"/>
    </row>
    <row r="127" spans="1:20" s="722" customFormat="1" ht="17.399999999999999" customHeight="1" x14ac:dyDescent="0.35">
      <c r="A127" s="669"/>
      <c r="B127" s="670">
        <f t="shared" si="2"/>
        <v>115</v>
      </c>
      <c r="C127" s="695" t="s">
        <v>297</v>
      </c>
      <c r="D127" s="693" t="s">
        <v>95</v>
      </c>
      <c r="E127" s="694" t="s">
        <v>88</v>
      </c>
      <c r="F127" s="354"/>
      <c r="G127" s="734">
        <v>46141</v>
      </c>
      <c r="H127" s="694">
        <v>25.77</v>
      </c>
      <c r="I127" s="733" t="s">
        <v>549</v>
      </c>
      <c r="J127" s="775"/>
      <c r="K127" s="775"/>
      <c r="L127" s="776"/>
      <c r="M127" s="777">
        <v>46147</v>
      </c>
      <c r="N127" s="769" t="s">
        <v>763</v>
      </c>
      <c r="O127" s="715"/>
      <c r="P127" s="716">
        <v>17</v>
      </c>
      <c r="Q127" s="721"/>
      <c r="R127" s="721"/>
      <c r="S127" s="721"/>
      <c r="T127" s="721"/>
    </row>
    <row r="128" spans="1:20" s="722" customFormat="1" ht="17.399999999999999" customHeight="1" x14ac:dyDescent="0.35">
      <c r="A128" s="669"/>
      <c r="B128" s="670">
        <f t="shared" si="2"/>
        <v>116</v>
      </c>
      <c r="C128" s="695" t="s">
        <v>206</v>
      </c>
      <c r="D128" s="693" t="s">
        <v>87</v>
      </c>
      <c r="E128" s="694" t="s">
        <v>92</v>
      </c>
      <c r="F128" s="354"/>
      <c r="G128" s="734">
        <v>46132</v>
      </c>
      <c r="H128" s="778">
        <v>23.27</v>
      </c>
      <c r="I128" s="733" t="s">
        <v>549</v>
      </c>
      <c r="J128" s="775"/>
      <c r="K128" s="775"/>
      <c r="L128" s="776"/>
      <c r="M128" s="768">
        <v>46152</v>
      </c>
      <c r="N128" s="769" t="s">
        <v>766</v>
      </c>
      <c r="O128" s="715"/>
      <c r="P128" s="716">
        <v>10</v>
      </c>
      <c r="Q128" s="721"/>
      <c r="R128" s="721"/>
      <c r="S128" s="721"/>
      <c r="T128" s="721"/>
    </row>
    <row r="129" spans="1:20" s="722" customFormat="1" ht="17.399999999999999" customHeight="1" x14ac:dyDescent="0.35">
      <c r="A129" s="669"/>
      <c r="B129" s="670">
        <f t="shared" si="2"/>
        <v>117</v>
      </c>
      <c r="C129" s="695" t="s">
        <v>443</v>
      </c>
      <c r="D129" s="693" t="s">
        <v>668</v>
      </c>
      <c r="E129" s="694" t="s">
        <v>664</v>
      </c>
      <c r="F129" s="354"/>
      <c r="G129" s="734">
        <v>46148</v>
      </c>
      <c r="H129" s="779">
        <v>74.680000000000007</v>
      </c>
      <c r="I129" s="733" t="s">
        <v>549</v>
      </c>
      <c r="J129" s="775"/>
      <c r="K129" s="775"/>
      <c r="L129" s="776"/>
      <c r="M129" s="777">
        <v>46155</v>
      </c>
      <c r="N129" s="769" t="s">
        <v>763</v>
      </c>
      <c r="O129" s="715"/>
      <c r="P129" s="716">
        <v>14</v>
      </c>
      <c r="Q129" s="721"/>
      <c r="R129" s="721"/>
      <c r="S129" s="721"/>
      <c r="T129" s="721"/>
    </row>
    <row r="130" spans="1:20" s="722" customFormat="1" ht="17.399999999999999" customHeight="1" x14ac:dyDescent="0.35">
      <c r="A130" s="669"/>
      <c r="B130" s="670">
        <f t="shared" si="2"/>
        <v>118</v>
      </c>
      <c r="C130" s="695" t="s">
        <v>305</v>
      </c>
      <c r="D130" s="693" t="s">
        <v>95</v>
      </c>
      <c r="E130" s="694" t="s">
        <v>92</v>
      </c>
      <c r="F130" s="354"/>
      <c r="G130" s="734">
        <v>46155</v>
      </c>
      <c r="H130" s="779">
        <v>26.43</v>
      </c>
      <c r="I130" s="733" t="s">
        <v>549</v>
      </c>
      <c r="J130" s="775"/>
      <c r="K130" s="775"/>
      <c r="L130" s="776"/>
      <c r="M130" s="777">
        <v>46158</v>
      </c>
      <c r="N130" s="769" t="s">
        <v>763</v>
      </c>
      <c r="O130" s="715"/>
      <c r="P130" s="716">
        <v>14</v>
      </c>
      <c r="Q130" s="721"/>
      <c r="R130" s="721"/>
      <c r="S130" s="721"/>
      <c r="T130" s="721"/>
    </row>
    <row r="131" spans="1:20" s="722" customFormat="1" ht="17.399999999999999" customHeight="1" x14ac:dyDescent="0.35">
      <c r="A131" s="669"/>
      <c r="B131" s="670">
        <f t="shared" si="2"/>
        <v>119</v>
      </c>
      <c r="C131" s="675" t="s">
        <v>202</v>
      </c>
      <c r="D131" s="691" t="s">
        <v>95</v>
      </c>
      <c r="E131" s="674" t="s">
        <v>92</v>
      </c>
      <c r="F131" s="350"/>
      <c r="G131" s="712">
        <v>46127</v>
      </c>
      <c r="H131" s="700">
        <v>26.43</v>
      </c>
      <c r="I131" s="733" t="s">
        <v>549</v>
      </c>
      <c r="J131" s="772"/>
      <c r="K131" s="772"/>
      <c r="L131" s="780"/>
      <c r="M131" s="723">
        <v>46161</v>
      </c>
      <c r="N131" s="769" t="s">
        <v>870</v>
      </c>
      <c r="O131" s="716"/>
      <c r="P131" s="716">
        <v>19</v>
      </c>
      <c r="Q131" s="721"/>
      <c r="R131" s="721"/>
      <c r="S131" s="721"/>
      <c r="T131" s="721"/>
    </row>
    <row r="132" spans="1:20" s="722" customFormat="1" ht="17.399999999999999" customHeight="1" x14ac:dyDescent="0.35">
      <c r="A132" s="669"/>
      <c r="B132" s="670">
        <f t="shared" si="2"/>
        <v>120</v>
      </c>
      <c r="C132" s="675" t="s">
        <v>304</v>
      </c>
      <c r="D132" s="691" t="s">
        <v>109</v>
      </c>
      <c r="E132" s="674" t="s">
        <v>92</v>
      </c>
      <c r="F132" s="350">
        <v>46159</v>
      </c>
      <c r="G132" s="712">
        <v>46159</v>
      </c>
      <c r="H132" s="700">
        <v>26.43</v>
      </c>
      <c r="I132" s="733" t="s">
        <v>549</v>
      </c>
      <c r="J132" s="775"/>
      <c r="K132" s="775"/>
      <c r="L132" s="776"/>
      <c r="M132" s="723">
        <v>46162</v>
      </c>
      <c r="N132" s="769" t="s">
        <v>763</v>
      </c>
      <c r="O132" s="716"/>
      <c r="P132" s="716">
        <v>14</v>
      </c>
      <c r="Q132" s="721"/>
      <c r="R132" s="721"/>
      <c r="S132" s="721"/>
      <c r="T132" s="721"/>
    </row>
    <row r="133" spans="1:20" s="722" customFormat="1" ht="17.399999999999999" customHeight="1" x14ac:dyDescent="0.35">
      <c r="A133" s="669"/>
      <c r="B133" s="670">
        <f t="shared" si="2"/>
        <v>121</v>
      </c>
      <c r="C133" s="675" t="s">
        <v>303</v>
      </c>
      <c r="D133" s="691" t="s">
        <v>91</v>
      </c>
      <c r="E133" s="674" t="s">
        <v>92</v>
      </c>
      <c r="F133" s="350"/>
      <c r="G133" s="712">
        <v>46163</v>
      </c>
      <c r="H133" s="781">
        <v>26.43</v>
      </c>
      <c r="I133" s="733" t="s">
        <v>549</v>
      </c>
      <c r="J133" s="772"/>
      <c r="K133" s="772"/>
      <c r="L133" s="773"/>
      <c r="M133" s="761">
        <v>46165</v>
      </c>
      <c r="N133" s="714" t="s">
        <v>763</v>
      </c>
      <c r="O133" s="715"/>
      <c r="P133" s="716">
        <v>12</v>
      </c>
      <c r="Q133" s="721"/>
      <c r="R133" s="721"/>
      <c r="S133" s="721"/>
      <c r="T133" s="721"/>
    </row>
    <row r="134" spans="1:20" s="722" customFormat="1" ht="17.399999999999999" customHeight="1" x14ac:dyDescent="0.35">
      <c r="A134" s="669"/>
      <c r="B134" s="670">
        <f t="shared" si="2"/>
        <v>122</v>
      </c>
      <c r="C134" s="675" t="s">
        <v>201</v>
      </c>
      <c r="D134" s="691" t="s">
        <v>87</v>
      </c>
      <c r="E134" s="674" t="s">
        <v>92</v>
      </c>
      <c r="F134" s="350"/>
      <c r="G134" s="712">
        <v>46128</v>
      </c>
      <c r="H134" s="673">
        <v>23.27</v>
      </c>
      <c r="I134" s="733" t="s">
        <v>549</v>
      </c>
      <c r="J134" s="772"/>
      <c r="K134" s="772"/>
      <c r="L134" s="773"/>
      <c r="M134" s="761">
        <v>46166</v>
      </c>
      <c r="N134" s="714" t="s">
        <v>766</v>
      </c>
      <c r="O134" s="715"/>
      <c r="P134" s="716">
        <v>10</v>
      </c>
      <c r="Q134" s="721"/>
      <c r="R134" s="721"/>
      <c r="S134" s="721"/>
      <c r="T134" s="721"/>
    </row>
    <row r="135" spans="1:20" s="722" customFormat="1" ht="17.399999999999999" customHeight="1" x14ac:dyDescent="0.35">
      <c r="A135" s="669"/>
      <c r="B135" s="670">
        <f t="shared" si="2"/>
        <v>123</v>
      </c>
      <c r="C135" s="675" t="s">
        <v>442</v>
      </c>
      <c r="D135" s="696" t="s">
        <v>237</v>
      </c>
      <c r="E135" s="674" t="s">
        <v>92</v>
      </c>
      <c r="F135" s="350"/>
      <c r="G135" s="712">
        <v>46166</v>
      </c>
      <c r="H135" s="694">
        <v>55.59</v>
      </c>
      <c r="I135" s="733" t="s">
        <v>549</v>
      </c>
      <c r="J135" s="772"/>
      <c r="K135" s="772"/>
      <c r="L135" s="773"/>
      <c r="M135" s="782">
        <v>46172</v>
      </c>
      <c r="N135" s="714" t="s">
        <v>763</v>
      </c>
      <c r="O135" s="715"/>
      <c r="P135" s="716">
        <v>12</v>
      </c>
      <c r="Q135" s="721"/>
      <c r="R135" s="721"/>
      <c r="S135" s="721"/>
      <c r="T135" s="721"/>
    </row>
    <row r="136" spans="1:20" s="722" customFormat="1" ht="17.399999999999999" customHeight="1" x14ac:dyDescent="0.35">
      <c r="A136" s="669"/>
      <c r="B136" s="670">
        <f t="shared" si="2"/>
        <v>124</v>
      </c>
      <c r="C136" s="675" t="s">
        <v>257</v>
      </c>
      <c r="D136" s="691" t="s">
        <v>91</v>
      </c>
      <c r="E136" s="674" t="s">
        <v>88</v>
      </c>
      <c r="F136" s="350"/>
      <c r="G136" s="712">
        <v>46165</v>
      </c>
      <c r="H136" s="736">
        <v>34.56</v>
      </c>
      <c r="I136" s="733" t="s">
        <v>549</v>
      </c>
      <c r="J136" s="772"/>
      <c r="K136" s="772"/>
      <c r="L136" s="773"/>
      <c r="M136" s="761">
        <v>46173</v>
      </c>
      <c r="N136" s="714" t="s">
        <v>736</v>
      </c>
      <c r="O136" s="715"/>
      <c r="P136" s="716">
        <v>12</v>
      </c>
      <c r="Q136" s="721"/>
      <c r="R136" s="721"/>
      <c r="S136" s="721"/>
      <c r="T136" s="721"/>
    </row>
    <row r="137" spans="1:20" s="722" customFormat="1" ht="17.399999999999999" customHeight="1" x14ac:dyDescent="0.35">
      <c r="A137" s="669"/>
      <c r="B137" s="670">
        <f t="shared" si="2"/>
        <v>125</v>
      </c>
      <c r="C137" s="675" t="s">
        <v>312</v>
      </c>
      <c r="D137" s="691" t="s">
        <v>91</v>
      </c>
      <c r="E137" s="674" t="s">
        <v>92</v>
      </c>
      <c r="F137" s="350"/>
      <c r="G137" s="761">
        <v>46173</v>
      </c>
      <c r="H137" s="781">
        <v>26.43</v>
      </c>
      <c r="I137" s="733" t="s">
        <v>549</v>
      </c>
      <c r="J137" s="772"/>
      <c r="K137" s="772"/>
      <c r="L137" s="773"/>
      <c r="M137" s="777">
        <v>46174</v>
      </c>
      <c r="N137" s="714" t="s">
        <v>763</v>
      </c>
      <c r="O137" s="715"/>
      <c r="P137" s="716">
        <v>12</v>
      </c>
      <c r="Q137" s="721"/>
      <c r="R137" s="721"/>
      <c r="S137" s="721"/>
      <c r="T137" s="721"/>
    </row>
    <row r="138" spans="1:20" s="722" customFormat="1" ht="17.399999999999999" customHeight="1" x14ac:dyDescent="0.35">
      <c r="A138" s="669"/>
      <c r="B138" s="670">
        <f>B137+1</f>
        <v>126</v>
      </c>
      <c r="C138" s="675" t="s">
        <v>451</v>
      </c>
      <c r="D138" s="691" t="s">
        <v>686</v>
      </c>
      <c r="E138" s="674" t="s">
        <v>92</v>
      </c>
      <c r="F138" s="350"/>
      <c r="G138" s="712">
        <v>46175</v>
      </c>
      <c r="H138" s="694">
        <v>55.59</v>
      </c>
      <c r="I138" s="733" t="s">
        <v>549</v>
      </c>
      <c r="J138" s="772"/>
      <c r="K138" s="772"/>
      <c r="L138" s="773"/>
      <c r="M138" s="761">
        <v>46178</v>
      </c>
      <c r="N138" s="714" t="s">
        <v>763</v>
      </c>
      <c r="O138" s="715"/>
      <c r="P138" s="716">
        <v>14</v>
      </c>
      <c r="Q138" s="721"/>
      <c r="R138" s="721"/>
      <c r="S138" s="721"/>
      <c r="T138" s="721"/>
    </row>
    <row r="139" spans="1:20" s="722" customFormat="1" ht="17.399999999999999" customHeight="1" x14ac:dyDescent="0.35">
      <c r="A139" s="669"/>
      <c r="B139" s="670">
        <f t="shared" ref="B139:B198" si="3">B138+1</f>
        <v>127</v>
      </c>
      <c r="C139" s="675" t="s">
        <v>316</v>
      </c>
      <c r="D139" s="691" t="s">
        <v>87</v>
      </c>
      <c r="E139" s="674" t="s">
        <v>88</v>
      </c>
      <c r="F139" s="350"/>
      <c r="G139" s="712">
        <v>46177</v>
      </c>
      <c r="H139" s="736">
        <v>22.4</v>
      </c>
      <c r="I139" s="733" t="s">
        <v>549</v>
      </c>
      <c r="J139" s="772"/>
      <c r="K139" s="772"/>
      <c r="L139" s="773"/>
      <c r="M139" s="761">
        <v>46180</v>
      </c>
      <c r="N139" s="714" t="s">
        <v>763</v>
      </c>
      <c r="O139" s="715"/>
      <c r="P139" s="716">
        <v>14</v>
      </c>
      <c r="Q139" s="721"/>
      <c r="R139" s="721"/>
      <c r="S139" s="721"/>
      <c r="T139" s="721"/>
    </row>
    <row r="140" spans="1:20" s="722" customFormat="1" ht="17.399999999999999" customHeight="1" x14ac:dyDescent="0.35">
      <c r="A140" s="669"/>
      <c r="B140" s="670">
        <f t="shared" si="3"/>
        <v>128</v>
      </c>
      <c r="C140" s="695" t="s">
        <v>262</v>
      </c>
      <c r="D140" s="691" t="s">
        <v>87</v>
      </c>
      <c r="E140" s="674" t="s">
        <v>92</v>
      </c>
      <c r="F140" s="350"/>
      <c r="G140" s="712">
        <v>46122</v>
      </c>
      <c r="H140" s="673">
        <v>23.27</v>
      </c>
      <c r="I140" s="733" t="s">
        <v>549</v>
      </c>
      <c r="J140" s="772"/>
      <c r="K140" s="772"/>
      <c r="L140" s="773"/>
      <c r="M140" s="761">
        <v>46180</v>
      </c>
      <c r="N140" s="714" t="s">
        <v>736</v>
      </c>
      <c r="O140" s="715"/>
      <c r="P140" s="716">
        <v>12</v>
      </c>
      <c r="Q140" s="721"/>
      <c r="R140" s="721"/>
      <c r="S140" s="721"/>
      <c r="T140" s="721"/>
    </row>
    <row r="141" spans="1:20" s="722" customFormat="1" ht="17.399999999999999" customHeight="1" x14ac:dyDescent="0.35">
      <c r="A141" s="669"/>
      <c r="B141" s="670">
        <f t="shared" si="3"/>
        <v>129</v>
      </c>
      <c r="C141" s="695" t="s">
        <v>317</v>
      </c>
      <c r="D141" s="691" t="s">
        <v>87</v>
      </c>
      <c r="E141" s="674" t="s">
        <v>664</v>
      </c>
      <c r="F141" s="350"/>
      <c r="G141" s="712">
        <v>46181</v>
      </c>
      <c r="H141" s="754">
        <v>34.299999999999997</v>
      </c>
      <c r="I141" s="733" t="s">
        <v>549</v>
      </c>
      <c r="J141" s="772"/>
      <c r="K141" s="772"/>
      <c r="L141" s="773"/>
      <c r="M141" s="761">
        <v>46182</v>
      </c>
      <c r="N141" s="714" t="s">
        <v>763</v>
      </c>
      <c r="O141" s="715"/>
      <c r="P141" s="716">
        <v>24</v>
      </c>
      <c r="Q141" s="721"/>
      <c r="R141" s="721"/>
      <c r="S141" s="721"/>
      <c r="T141" s="721"/>
    </row>
    <row r="142" spans="1:20" s="722" customFormat="1" ht="17.399999999999999" customHeight="1" x14ac:dyDescent="0.35">
      <c r="A142" s="669"/>
      <c r="B142" s="670">
        <f t="shared" si="3"/>
        <v>130</v>
      </c>
      <c r="C142" s="695" t="s">
        <v>315</v>
      </c>
      <c r="D142" s="691" t="s">
        <v>91</v>
      </c>
      <c r="E142" s="674" t="s">
        <v>88</v>
      </c>
      <c r="F142" s="350"/>
      <c r="G142" s="712">
        <v>46183</v>
      </c>
      <c r="H142" s="736">
        <v>32.363</v>
      </c>
      <c r="I142" s="733" t="s">
        <v>549</v>
      </c>
      <c r="J142" s="772"/>
      <c r="K142" s="772"/>
      <c r="L142" s="773"/>
      <c r="M142" s="761">
        <v>46185</v>
      </c>
      <c r="N142" s="714" t="s">
        <v>763</v>
      </c>
      <c r="O142" s="715"/>
      <c r="P142" s="716">
        <v>24</v>
      </c>
      <c r="Q142" s="721"/>
      <c r="R142" s="721"/>
      <c r="S142" s="721"/>
      <c r="T142" s="721"/>
    </row>
    <row r="143" spans="1:20" s="722" customFormat="1" ht="17.399999999999999" customHeight="1" x14ac:dyDescent="0.35">
      <c r="A143" s="669"/>
      <c r="B143" s="670">
        <f t="shared" si="3"/>
        <v>131</v>
      </c>
      <c r="C143" s="695" t="s">
        <v>264</v>
      </c>
      <c r="D143" s="691" t="s">
        <v>87</v>
      </c>
      <c r="E143" s="674" t="s">
        <v>88</v>
      </c>
      <c r="F143" s="350"/>
      <c r="G143" s="712">
        <v>46181</v>
      </c>
      <c r="H143" s="736">
        <v>22.4</v>
      </c>
      <c r="I143" s="733" t="s">
        <v>549</v>
      </c>
      <c r="J143" s="772"/>
      <c r="K143" s="772"/>
      <c r="L143" s="773"/>
      <c r="M143" s="761">
        <v>46185</v>
      </c>
      <c r="N143" s="714" t="s">
        <v>736</v>
      </c>
      <c r="O143" s="715"/>
      <c r="P143" s="716">
        <v>12</v>
      </c>
      <c r="Q143" s="721"/>
      <c r="R143" s="721"/>
      <c r="S143" s="721"/>
      <c r="T143" s="721"/>
    </row>
    <row r="144" spans="1:20" s="722" customFormat="1" ht="17.399999999999999" customHeight="1" x14ac:dyDescent="0.35">
      <c r="A144" s="669"/>
      <c r="B144" s="670">
        <f t="shared" si="3"/>
        <v>132</v>
      </c>
      <c r="C144" s="695" t="s">
        <v>323</v>
      </c>
      <c r="D144" s="691" t="s">
        <v>87</v>
      </c>
      <c r="E144" s="674" t="s">
        <v>88</v>
      </c>
      <c r="F144" s="350"/>
      <c r="G144" s="712">
        <v>46185</v>
      </c>
      <c r="H144" s="706">
        <v>22.4</v>
      </c>
      <c r="I144" s="733" t="s">
        <v>549</v>
      </c>
      <c r="J144" s="772"/>
      <c r="K144" s="772"/>
      <c r="L144" s="773"/>
      <c r="M144" s="761">
        <v>46188</v>
      </c>
      <c r="N144" s="714" t="s">
        <v>763</v>
      </c>
      <c r="O144" s="715"/>
      <c r="P144" s="716">
        <v>24</v>
      </c>
      <c r="Q144" s="721"/>
      <c r="R144" s="721"/>
      <c r="S144" s="721"/>
      <c r="T144" s="721"/>
    </row>
    <row r="145" spans="1:20" s="722" customFormat="1" ht="17.399999999999999" customHeight="1" x14ac:dyDescent="0.35">
      <c r="A145" s="669"/>
      <c r="B145" s="670">
        <f t="shared" si="3"/>
        <v>133</v>
      </c>
      <c r="C145" s="695" t="s">
        <v>415</v>
      </c>
      <c r="D145" s="691" t="s">
        <v>669</v>
      </c>
      <c r="E145" s="674" t="s">
        <v>92</v>
      </c>
      <c r="F145" s="350"/>
      <c r="G145" s="712">
        <v>46156</v>
      </c>
      <c r="H145" s="674">
        <v>61.57</v>
      </c>
      <c r="I145" s="733" t="s">
        <v>549</v>
      </c>
      <c r="J145" s="772"/>
      <c r="K145" s="772"/>
      <c r="L145" s="773"/>
      <c r="M145" s="761">
        <v>46190</v>
      </c>
      <c r="N145" s="714" t="s">
        <v>871</v>
      </c>
      <c r="O145" s="715"/>
      <c r="P145" s="716">
        <v>14</v>
      </c>
      <c r="Q145" s="721"/>
      <c r="R145" s="721"/>
      <c r="S145" s="721"/>
      <c r="T145" s="721"/>
    </row>
    <row r="146" spans="1:20" s="722" customFormat="1" ht="17.399999999999999" customHeight="1" x14ac:dyDescent="0.35">
      <c r="A146" s="669"/>
      <c r="B146" s="670">
        <f t="shared" si="3"/>
        <v>134</v>
      </c>
      <c r="C146" s="695" t="s">
        <v>278</v>
      </c>
      <c r="D146" s="691" t="s">
        <v>87</v>
      </c>
      <c r="E146" s="674" t="s">
        <v>88</v>
      </c>
      <c r="F146" s="350"/>
      <c r="G146" s="712">
        <v>46189</v>
      </c>
      <c r="H146" s="706">
        <v>22.4</v>
      </c>
      <c r="I146" s="733" t="s">
        <v>549</v>
      </c>
      <c r="J146" s="772"/>
      <c r="K146" s="772"/>
      <c r="L146" s="773"/>
      <c r="M146" s="761">
        <v>46192</v>
      </c>
      <c r="N146" s="714" t="s">
        <v>763</v>
      </c>
      <c r="O146" s="715"/>
      <c r="P146" s="716">
        <v>27</v>
      </c>
      <c r="Q146" s="721"/>
      <c r="R146" s="721"/>
      <c r="S146" s="721"/>
      <c r="T146" s="721"/>
    </row>
    <row r="147" spans="1:20" s="722" customFormat="1" ht="17.399999999999999" customHeight="1" x14ac:dyDescent="0.35">
      <c r="A147" s="669"/>
      <c r="B147" s="670">
        <f t="shared" si="3"/>
        <v>135</v>
      </c>
      <c r="C147" s="695" t="s">
        <v>227</v>
      </c>
      <c r="D147" s="691" t="s">
        <v>91</v>
      </c>
      <c r="E147" s="674" t="s">
        <v>92</v>
      </c>
      <c r="F147" s="350"/>
      <c r="G147" s="712">
        <v>46189</v>
      </c>
      <c r="H147" s="781">
        <v>26.43</v>
      </c>
      <c r="I147" s="733" t="s">
        <v>549</v>
      </c>
      <c r="J147" s="772"/>
      <c r="K147" s="772"/>
      <c r="L147" s="773"/>
      <c r="M147" s="761">
        <v>46193</v>
      </c>
      <c r="N147" s="714" t="s">
        <v>759</v>
      </c>
      <c r="O147" s="715"/>
      <c r="P147" s="716">
        <v>14</v>
      </c>
      <c r="Q147" s="721"/>
      <c r="R147" s="721"/>
      <c r="S147" s="721"/>
      <c r="T147" s="721"/>
    </row>
    <row r="148" spans="1:20" s="722" customFormat="1" ht="17.399999999999999" customHeight="1" x14ac:dyDescent="0.35">
      <c r="A148" s="669"/>
      <c r="B148" s="670">
        <f t="shared" si="3"/>
        <v>136</v>
      </c>
      <c r="C148" s="695" t="s">
        <v>207</v>
      </c>
      <c r="D148" s="691" t="s">
        <v>87</v>
      </c>
      <c r="E148" s="674" t="s">
        <v>92</v>
      </c>
      <c r="F148" s="350"/>
      <c r="G148" s="712">
        <v>46185</v>
      </c>
      <c r="H148" s="673">
        <v>23.27</v>
      </c>
      <c r="I148" s="733" t="s">
        <v>549</v>
      </c>
      <c r="J148" s="772"/>
      <c r="K148" s="772"/>
      <c r="L148" s="773"/>
      <c r="M148" s="761">
        <v>46193</v>
      </c>
      <c r="N148" s="714" t="s">
        <v>871</v>
      </c>
      <c r="O148" s="715"/>
      <c r="P148" s="716">
        <v>14</v>
      </c>
      <c r="Q148" s="721"/>
      <c r="R148" s="721"/>
      <c r="S148" s="721"/>
      <c r="T148" s="721"/>
    </row>
    <row r="149" spans="1:20" s="722" customFormat="1" ht="17.399999999999999" customHeight="1" x14ac:dyDescent="0.35">
      <c r="A149" s="669"/>
      <c r="B149" s="670">
        <f t="shared" si="3"/>
        <v>137</v>
      </c>
      <c r="C149" s="695" t="s">
        <v>390</v>
      </c>
      <c r="D149" s="691" t="s">
        <v>91</v>
      </c>
      <c r="E149" s="674" t="s">
        <v>88</v>
      </c>
      <c r="F149" s="350"/>
      <c r="G149" s="712">
        <v>46193</v>
      </c>
      <c r="H149" s="694">
        <v>25.77</v>
      </c>
      <c r="I149" s="733" t="s">
        <v>549</v>
      </c>
      <c r="J149" s="772"/>
      <c r="K149" s="772"/>
      <c r="L149" s="773"/>
      <c r="M149" s="756">
        <v>46195</v>
      </c>
      <c r="N149" s="714" t="s">
        <v>763</v>
      </c>
      <c r="O149" s="715"/>
      <c r="P149" s="716">
        <v>24</v>
      </c>
      <c r="Q149" s="721"/>
      <c r="R149" s="721"/>
      <c r="S149" s="721"/>
      <c r="T149" s="721"/>
    </row>
    <row r="150" spans="1:20" s="722" customFormat="1" ht="17.399999999999999" customHeight="1" x14ac:dyDescent="0.35">
      <c r="A150" s="669"/>
      <c r="B150" s="670">
        <f t="shared" si="3"/>
        <v>138</v>
      </c>
      <c r="C150" s="695" t="s">
        <v>414</v>
      </c>
      <c r="D150" s="691" t="s">
        <v>669</v>
      </c>
      <c r="E150" s="674" t="s">
        <v>92</v>
      </c>
      <c r="F150" s="350"/>
      <c r="G150" s="712">
        <v>46167</v>
      </c>
      <c r="H150" s="736">
        <v>61.57</v>
      </c>
      <c r="I150" s="733" t="s">
        <v>549</v>
      </c>
      <c r="J150" s="772"/>
      <c r="K150" s="772"/>
      <c r="L150" s="773"/>
      <c r="M150" s="756">
        <v>46195</v>
      </c>
      <c r="N150" s="714" t="s">
        <v>766</v>
      </c>
      <c r="O150" s="715"/>
      <c r="P150" s="716">
        <v>12</v>
      </c>
      <c r="Q150" s="721"/>
      <c r="R150" s="721"/>
      <c r="S150" s="721"/>
      <c r="T150" s="721"/>
    </row>
    <row r="151" spans="1:20" s="722" customFormat="1" ht="17.399999999999999" customHeight="1" x14ac:dyDescent="0.35">
      <c r="A151" s="669"/>
      <c r="B151" s="670">
        <f t="shared" si="3"/>
        <v>139</v>
      </c>
      <c r="C151" s="695" t="s">
        <v>263</v>
      </c>
      <c r="D151" s="691" t="s">
        <v>87</v>
      </c>
      <c r="E151" s="674" t="s">
        <v>664</v>
      </c>
      <c r="F151" s="350"/>
      <c r="G151" s="712">
        <v>46186</v>
      </c>
      <c r="H151" s="754">
        <v>34.299999999999997</v>
      </c>
      <c r="I151" s="733" t="s">
        <v>549</v>
      </c>
      <c r="J151" s="772"/>
      <c r="K151" s="772"/>
      <c r="L151" s="773"/>
      <c r="M151" s="761">
        <v>46196</v>
      </c>
      <c r="N151" s="714" t="s">
        <v>736</v>
      </c>
      <c r="O151" s="715"/>
      <c r="P151" s="716">
        <v>12</v>
      </c>
      <c r="Q151" s="721"/>
      <c r="R151" s="721"/>
      <c r="S151" s="721"/>
      <c r="T151" s="721"/>
    </row>
    <row r="152" spans="1:20" s="722" customFormat="1" ht="17.399999999999999" customHeight="1" x14ac:dyDescent="0.35">
      <c r="A152" s="669"/>
      <c r="B152" s="670">
        <f t="shared" si="3"/>
        <v>140</v>
      </c>
      <c r="C152" s="695" t="s">
        <v>230</v>
      </c>
      <c r="D152" s="691" t="s">
        <v>87</v>
      </c>
      <c r="E152" s="674" t="s">
        <v>92</v>
      </c>
      <c r="F152" s="350"/>
      <c r="G152" s="712">
        <v>46194</v>
      </c>
      <c r="H152" s="673">
        <v>23.27</v>
      </c>
      <c r="I152" s="733" t="s">
        <v>549</v>
      </c>
      <c r="J152" s="772"/>
      <c r="K152" s="772"/>
      <c r="L152" s="773"/>
      <c r="M152" s="761">
        <v>46196</v>
      </c>
      <c r="N152" s="714" t="s">
        <v>759</v>
      </c>
      <c r="O152" s="715"/>
      <c r="P152" s="716">
        <v>14</v>
      </c>
      <c r="Q152" s="721"/>
      <c r="R152" s="721"/>
      <c r="S152" s="721"/>
      <c r="T152" s="721"/>
    </row>
    <row r="153" spans="1:20" s="722" customFormat="1" ht="17.399999999999999" customHeight="1" x14ac:dyDescent="0.35">
      <c r="A153" s="669"/>
      <c r="B153" s="670">
        <f t="shared" si="3"/>
        <v>141</v>
      </c>
      <c r="C153" s="695" t="s">
        <v>391</v>
      </c>
      <c r="D153" s="691" t="s">
        <v>91</v>
      </c>
      <c r="E153" s="674" t="s">
        <v>92</v>
      </c>
      <c r="F153" s="350"/>
      <c r="G153" s="712">
        <v>46195</v>
      </c>
      <c r="H153" s="781">
        <v>26.43</v>
      </c>
      <c r="I153" s="733" t="s">
        <v>549</v>
      </c>
      <c r="J153" s="772"/>
      <c r="K153" s="772"/>
      <c r="L153" s="773"/>
      <c r="M153" s="761">
        <v>46197</v>
      </c>
      <c r="N153" s="714" t="s">
        <v>763</v>
      </c>
      <c r="O153" s="715"/>
      <c r="P153" s="716">
        <v>24</v>
      </c>
      <c r="Q153" s="721"/>
      <c r="R153" s="721"/>
      <c r="S153" s="721"/>
      <c r="T153" s="721"/>
    </row>
    <row r="154" spans="1:20" s="722" customFormat="1" ht="17.399999999999999" customHeight="1" x14ac:dyDescent="0.35">
      <c r="A154" s="669"/>
      <c r="B154" s="670">
        <f t="shared" si="3"/>
        <v>142</v>
      </c>
      <c r="C154" s="688" t="s">
        <v>735</v>
      </c>
      <c r="D154" s="691" t="s">
        <v>237</v>
      </c>
      <c r="E154" s="674" t="s">
        <v>541</v>
      </c>
      <c r="F154" s="350"/>
      <c r="G154" s="712">
        <v>46181</v>
      </c>
      <c r="H154" s="674">
        <v>78.790000000000006</v>
      </c>
      <c r="I154" s="733" t="s">
        <v>549</v>
      </c>
      <c r="J154" s="772"/>
      <c r="K154" s="772"/>
      <c r="L154" s="773"/>
      <c r="M154" s="761">
        <v>46198</v>
      </c>
      <c r="N154" s="714" t="s">
        <v>903</v>
      </c>
      <c r="O154" s="715"/>
      <c r="P154" s="716">
        <v>10</v>
      </c>
      <c r="Q154" s="721"/>
      <c r="R154" s="721"/>
      <c r="S154" s="721"/>
      <c r="T154" s="721"/>
    </row>
    <row r="155" spans="1:20" s="722" customFormat="1" ht="17.399999999999999" customHeight="1" x14ac:dyDescent="0.35">
      <c r="A155" s="669"/>
      <c r="B155" s="670">
        <f t="shared" si="3"/>
        <v>143</v>
      </c>
      <c r="C155" s="695" t="s">
        <v>231</v>
      </c>
      <c r="D155" s="691" t="s">
        <v>87</v>
      </c>
      <c r="E155" s="674" t="s">
        <v>92</v>
      </c>
      <c r="F155" s="350"/>
      <c r="G155" s="712">
        <v>46197</v>
      </c>
      <c r="H155" s="673">
        <v>23.27</v>
      </c>
      <c r="I155" s="733" t="s">
        <v>549</v>
      </c>
      <c r="J155" s="772"/>
      <c r="K155" s="772"/>
      <c r="L155" s="773"/>
      <c r="M155" s="761">
        <v>46199</v>
      </c>
      <c r="N155" s="714" t="s">
        <v>759</v>
      </c>
      <c r="O155" s="715"/>
      <c r="P155" s="716">
        <v>14</v>
      </c>
      <c r="Q155" s="721"/>
      <c r="R155" s="721"/>
      <c r="S155" s="721"/>
      <c r="T155" s="721"/>
    </row>
    <row r="156" spans="1:20" s="722" customFormat="1" ht="17.399999999999999" customHeight="1" x14ac:dyDescent="0.35">
      <c r="A156" s="669"/>
      <c r="B156" s="670">
        <f t="shared" si="3"/>
        <v>144</v>
      </c>
      <c r="C156" s="688" t="s">
        <v>389</v>
      </c>
      <c r="D156" s="691" t="s">
        <v>87</v>
      </c>
      <c r="E156" s="674" t="s">
        <v>92</v>
      </c>
      <c r="F156" s="350"/>
      <c r="G156" s="712">
        <v>46198</v>
      </c>
      <c r="H156" s="673">
        <v>23.27</v>
      </c>
      <c r="I156" s="733" t="s">
        <v>549</v>
      </c>
      <c r="J156" s="772"/>
      <c r="K156" s="772"/>
      <c r="L156" s="773"/>
      <c r="M156" s="761">
        <v>46199</v>
      </c>
      <c r="N156" s="714" t="s">
        <v>763</v>
      </c>
      <c r="O156" s="715"/>
      <c r="P156" s="716">
        <v>24</v>
      </c>
      <c r="Q156" s="721"/>
      <c r="R156" s="721"/>
      <c r="S156" s="721"/>
      <c r="T156" s="721"/>
    </row>
    <row r="157" spans="1:20" s="722" customFormat="1" ht="17.399999999999999" customHeight="1" x14ac:dyDescent="0.35">
      <c r="A157" s="669"/>
      <c r="B157" s="670">
        <f t="shared" si="3"/>
        <v>145</v>
      </c>
      <c r="C157" s="695" t="s">
        <v>388</v>
      </c>
      <c r="D157" s="691" t="s">
        <v>87</v>
      </c>
      <c r="E157" s="674" t="s">
        <v>92</v>
      </c>
      <c r="F157" s="350"/>
      <c r="G157" s="712">
        <v>46199</v>
      </c>
      <c r="H157" s="673">
        <v>23.27</v>
      </c>
      <c r="I157" s="733" t="s">
        <v>549</v>
      </c>
      <c r="J157" s="772"/>
      <c r="K157" s="772"/>
      <c r="L157" s="773"/>
      <c r="M157" s="761">
        <v>46200</v>
      </c>
      <c r="N157" s="714" t="s">
        <v>763</v>
      </c>
      <c r="O157" s="715"/>
      <c r="P157" s="716">
        <v>24</v>
      </c>
      <c r="Q157" s="721"/>
      <c r="R157" s="721"/>
      <c r="S157" s="721"/>
      <c r="T157" s="721"/>
    </row>
    <row r="158" spans="1:20" s="722" customFormat="1" ht="17.399999999999999" customHeight="1" x14ac:dyDescent="0.35">
      <c r="A158" s="669"/>
      <c r="B158" s="670">
        <f t="shared" si="3"/>
        <v>146</v>
      </c>
      <c r="C158" s="695" t="s">
        <v>424</v>
      </c>
      <c r="D158" s="691" t="s">
        <v>686</v>
      </c>
      <c r="E158" s="674" t="s">
        <v>92</v>
      </c>
      <c r="F158" s="712">
        <v>46125</v>
      </c>
      <c r="G158" s="694"/>
      <c r="H158" s="694">
        <v>55.59</v>
      </c>
      <c r="I158" s="733" t="s">
        <v>549</v>
      </c>
      <c r="J158" s="772"/>
      <c r="K158" s="772"/>
      <c r="L158" s="773"/>
      <c r="M158" s="761">
        <v>46203</v>
      </c>
      <c r="N158" s="714" t="s">
        <v>872</v>
      </c>
      <c r="O158" s="715"/>
      <c r="P158" s="716">
        <v>21</v>
      </c>
      <c r="Q158" s="721"/>
      <c r="R158" s="721"/>
      <c r="S158" s="721"/>
      <c r="T158" s="721"/>
    </row>
    <row r="159" spans="1:20" s="722" customFormat="1" ht="17.399999999999999" customHeight="1" x14ac:dyDescent="0.35">
      <c r="A159" s="669"/>
      <c r="B159" s="670">
        <f t="shared" si="3"/>
        <v>147</v>
      </c>
      <c r="C159" s="695" t="s">
        <v>208</v>
      </c>
      <c r="D159" s="691" t="s">
        <v>87</v>
      </c>
      <c r="E159" s="674" t="s">
        <v>92</v>
      </c>
      <c r="F159" s="712"/>
      <c r="G159" s="836">
        <v>46194</v>
      </c>
      <c r="H159" s="673">
        <v>23.27</v>
      </c>
      <c r="I159" s="733" t="s">
        <v>549</v>
      </c>
      <c r="J159" s="772"/>
      <c r="K159" s="772"/>
      <c r="L159" s="773"/>
      <c r="M159" s="761">
        <v>46203</v>
      </c>
      <c r="N159" s="714" t="s">
        <v>871</v>
      </c>
      <c r="O159" s="716"/>
      <c r="P159" s="716">
        <v>14</v>
      </c>
      <c r="Q159" s="721"/>
      <c r="R159" s="721"/>
      <c r="S159" s="721"/>
      <c r="T159" s="721"/>
    </row>
    <row r="160" spans="1:20" s="722" customFormat="1" ht="17.399999999999999" customHeight="1" x14ac:dyDescent="0.35">
      <c r="A160" s="669"/>
      <c r="B160" s="670">
        <f t="shared" si="3"/>
        <v>148</v>
      </c>
      <c r="C160" s="675" t="s">
        <v>480</v>
      </c>
      <c r="D160" s="691" t="s">
        <v>669</v>
      </c>
      <c r="E160" s="674" t="s">
        <v>92</v>
      </c>
      <c r="F160" s="712"/>
      <c r="G160" s="836">
        <v>46201</v>
      </c>
      <c r="H160" s="674">
        <v>61.57</v>
      </c>
      <c r="I160" s="733" t="s">
        <v>549</v>
      </c>
      <c r="J160" s="772"/>
      <c r="K160" s="772"/>
      <c r="L160" s="773"/>
      <c r="M160" s="761">
        <v>46203</v>
      </c>
      <c r="N160" s="714" t="s">
        <v>763</v>
      </c>
      <c r="O160" s="716"/>
      <c r="P160" s="716">
        <v>24</v>
      </c>
      <c r="Q160" s="721"/>
      <c r="R160" s="721"/>
      <c r="S160" s="721"/>
      <c r="T160" s="721"/>
    </row>
    <row r="161" spans="1:20" s="760" customFormat="1" ht="17.399999999999999" customHeight="1" x14ac:dyDescent="0.35">
      <c r="A161" s="689"/>
      <c r="B161" s="670">
        <f t="shared" si="3"/>
        <v>149</v>
      </c>
      <c r="C161" s="675" t="s">
        <v>392</v>
      </c>
      <c r="D161" s="691" t="s">
        <v>87</v>
      </c>
      <c r="E161" s="674" t="s">
        <v>92</v>
      </c>
      <c r="F161" s="350"/>
      <c r="G161" s="712">
        <v>46094</v>
      </c>
      <c r="H161" s="673">
        <v>23.27</v>
      </c>
      <c r="I161" s="757" t="s">
        <v>549</v>
      </c>
      <c r="J161" s="1044"/>
      <c r="K161" s="1044"/>
      <c r="L161" s="1045"/>
      <c r="M161" s="1046">
        <v>46206</v>
      </c>
      <c r="N161" s="714" t="s">
        <v>763</v>
      </c>
      <c r="O161" s="715"/>
      <c r="P161" s="716">
        <v>16</v>
      </c>
      <c r="Q161" s="759"/>
      <c r="R161" s="759"/>
      <c r="S161" s="759"/>
      <c r="T161" s="759"/>
    </row>
    <row r="162" spans="1:20" s="760" customFormat="1" ht="17.399999999999999" customHeight="1" x14ac:dyDescent="0.35">
      <c r="A162" s="689"/>
      <c r="B162" s="670">
        <f t="shared" si="3"/>
        <v>150</v>
      </c>
      <c r="C162" s="675" t="s">
        <v>417</v>
      </c>
      <c r="D162" s="691" t="s">
        <v>756</v>
      </c>
      <c r="E162" s="674" t="s">
        <v>92</v>
      </c>
      <c r="F162" s="350"/>
      <c r="G162" s="712">
        <v>46200</v>
      </c>
      <c r="H162" s="736">
        <v>73.67</v>
      </c>
      <c r="I162" s="757" t="s">
        <v>549</v>
      </c>
      <c r="J162" s="1044"/>
      <c r="K162" s="1044"/>
      <c r="L162" s="1045"/>
      <c r="M162" s="1046">
        <v>46206</v>
      </c>
      <c r="N162" s="714" t="s">
        <v>759</v>
      </c>
      <c r="O162" s="715"/>
      <c r="P162" s="716">
        <v>14</v>
      </c>
      <c r="Q162" s="759"/>
      <c r="R162" s="759"/>
      <c r="S162" s="759"/>
      <c r="T162" s="759"/>
    </row>
    <row r="163" spans="1:20" s="760" customFormat="1" ht="17.399999999999999" customHeight="1" x14ac:dyDescent="0.35">
      <c r="A163" s="689"/>
      <c r="B163" s="670">
        <f t="shared" si="3"/>
        <v>151</v>
      </c>
      <c r="C163" s="675" t="s">
        <v>386</v>
      </c>
      <c r="D163" s="691" t="s">
        <v>87</v>
      </c>
      <c r="E163" s="674" t="s">
        <v>92</v>
      </c>
      <c r="F163" s="712"/>
      <c r="G163" s="836">
        <v>46205</v>
      </c>
      <c r="H163" s="673">
        <v>23.27</v>
      </c>
      <c r="I163" s="757" t="s">
        <v>549</v>
      </c>
      <c r="J163" s="1047"/>
      <c r="K163" s="1047"/>
      <c r="L163" s="1048"/>
      <c r="M163" s="723">
        <v>46207</v>
      </c>
      <c r="N163" s="714" t="s">
        <v>763</v>
      </c>
      <c r="O163" s="715"/>
      <c r="P163" s="716">
        <v>24</v>
      </c>
      <c r="Q163" s="759"/>
      <c r="R163" s="759"/>
      <c r="S163" s="759"/>
      <c r="T163" s="759"/>
    </row>
    <row r="164" spans="1:20" s="760" customFormat="1" ht="17.399999999999999" customHeight="1" x14ac:dyDescent="0.35">
      <c r="A164" s="689"/>
      <c r="B164" s="670">
        <f t="shared" si="3"/>
        <v>152</v>
      </c>
      <c r="C164" s="675" t="s">
        <v>239</v>
      </c>
      <c r="D164" s="691" t="s">
        <v>87</v>
      </c>
      <c r="E164" s="674" t="s">
        <v>88</v>
      </c>
      <c r="F164" s="712"/>
      <c r="G164" s="836">
        <v>46206</v>
      </c>
      <c r="H164" s="706">
        <v>22.4</v>
      </c>
      <c r="I164" s="757" t="s">
        <v>549</v>
      </c>
      <c r="J164" s="1047"/>
      <c r="K164" s="1047"/>
      <c r="L164" s="1048"/>
      <c r="M164" s="723">
        <v>46208</v>
      </c>
      <c r="N164" s="714" t="s">
        <v>759</v>
      </c>
      <c r="O164" s="715"/>
      <c r="P164" s="716">
        <v>14</v>
      </c>
      <c r="Q164" s="759"/>
      <c r="R164" s="759"/>
      <c r="S164" s="759"/>
      <c r="T164" s="759"/>
    </row>
    <row r="165" spans="1:20" s="760" customFormat="1" ht="17.399999999999999" customHeight="1" x14ac:dyDescent="0.35">
      <c r="A165" s="689"/>
      <c r="B165" s="670">
        <f t="shared" si="3"/>
        <v>153</v>
      </c>
      <c r="C165" s="675" t="s">
        <v>385</v>
      </c>
      <c r="D165" s="691" t="s">
        <v>87</v>
      </c>
      <c r="E165" s="674" t="s">
        <v>92</v>
      </c>
      <c r="F165" s="712"/>
      <c r="G165" s="836">
        <v>46207</v>
      </c>
      <c r="H165" s="673">
        <v>23.27</v>
      </c>
      <c r="I165" s="757" t="s">
        <v>549</v>
      </c>
      <c r="J165" s="1047"/>
      <c r="K165" s="1047"/>
      <c r="L165" s="1048"/>
      <c r="M165" s="723">
        <v>46209</v>
      </c>
      <c r="N165" s="714" t="s">
        <v>763</v>
      </c>
      <c r="O165" s="716"/>
      <c r="P165" s="716">
        <v>14</v>
      </c>
      <c r="Q165" s="759"/>
      <c r="R165" s="759"/>
      <c r="S165" s="759"/>
      <c r="T165" s="759"/>
    </row>
    <row r="166" spans="1:20" s="760" customFormat="1" ht="17.399999999999999" customHeight="1" x14ac:dyDescent="0.35">
      <c r="A166" s="689"/>
      <c r="B166" s="670">
        <f t="shared" si="3"/>
        <v>154</v>
      </c>
      <c r="C166" s="675" t="s">
        <v>450</v>
      </c>
      <c r="D166" s="691" t="s">
        <v>668</v>
      </c>
      <c r="E166" s="674" t="s">
        <v>92</v>
      </c>
      <c r="F166" s="712"/>
      <c r="G166" s="836">
        <v>46204</v>
      </c>
      <c r="H166" s="1049">
        <v>55.74</v>
      </c>
      <c r="I166" s="757" t="s">
        <v>549</v>
      </c>
      <c r="J166" s="1047"/>
      <c r="K166" s="1047"/>
      <c r="L166" s="1048"/>
      <c r="M166" s="723">
        <v>46210</v>
      </c>
      <c r="N166" s="714" t="s">
        <v>920</v>
      </c>
      <c r="O166" s="716"/>
      <c r="P166" s="716">
        <v>20</v>
      </c>
      <c r="Q166" s="759"/>
      <c r="R166" s="759"/>
      <c r="S166" s="759"/>
      <c r="T166" s="759"/>
    </row>
    <row r="167" spans="1:20" s="760" customFormat="1" ht="17.399999999999999" customHeight="1" x14ac:dyDescent="0.35">
      <c r="A167" s="689"/>
      <c r="B167" s="670">
        <f t="shared" si="3"/>
        <v>155</v>
      </c>
      <c r="C167" s="675" t="s">
        <v>384</v>
      </c>
      <c r="D167" s="691" t="s">
        <v>87</v>
      </c>
      <c r="E167" s="674" t="s">
        <v>92</v>
      </c>
      <c r="F167" s="712"/>
      <c r="G167" s="836">
        <v>46209</v>
      </c>
      <c r="H167" s="673">
        <v>23.27</v>
      </c>
      <c r="I167" s="757" t="s">
        <v>549</v>
      </c>
      <c r="J167" s="1047"/>
      <c r="K167" s="1047"/>
      <c r="L167" s="1048"/>
      <c r="M167" s="723">
        <v>46211</v>
      </c>
      <c r="N167" s="714" t="s">
        <v>763</v>
      </c>
      <c r="O167" s="716"/>
      <c r="P167" s="716">
        <v>24</v>
      </c>
      <c r="Q167" s="759"/>
      <c r="R167" s="759"/>
      <c r="S167" s="759"/>
      <c r="T167" s="759"/>
    </row>
    <row r="168" spans="1:20" s="760" customFormat="1" ht="17.399999999999999" customHeight="1" x14ac:dyDescent="0.35">
      <c r="A168" s="689"/>
      <c r="B168" s="670">
        <f t="shared" si="3"/>
        <v>156</v>
      </c>
      <c r="C168" s="675" t="s">
        <v>229</v>
      </c>
      <c r="D168" s="691" t="s">
        <v>87</v>
      </c>
      <c r="E168" s="674" t="s">
        <v>92</v>
      </c>
      <c r="F168" s="712"/>
      <c r="G168" s="836">
        <v>46209</v>
      </c>
      <c r="H168" s="673">
        <v>23.27</v>
      </c>
      <c r="I168" s="757" t="s">
        <v>549</v>
      </c>
      <c r="J168" s="1047"/>
      <c r="K168" s="1047"/>
      <c r="L168" s="1048"/>
      <c r="M168" s="723">
        <v>46211</v>
      </c>
      <c r="N168" s="714" t="s">
        <v>759</v>
      </c>
      <c r="O168" s="715"/>
      <c r="P168" s="716">
        <v>14</v>
      </c>
      <c r="Q168" s="759"/>
      <c r="R168" s="759"/>
      <c r="S168" s="759"/>
      <c r="T168" s="759"/>
    </row>
    <row r="169" spans="1:20" s="760" customFormat="1" ht="17.399999999999999" x14ac:dyDescent="0.35">
      <c r="A169" s="689"/>
      <c r="B169" s="670">
        <f t="shared" si="3"/>
        <v>157</v>
      </c>
      <c r="C169" s="675" t="s">
        <v>387</v>
      </c>
      <c r="D169" s="691" t="s">
        <v>95</v>
      </c>
      <c r="E169" s="674" t="s">
        <v>88</v>
      </c>
      <c r="F169" s="712"/>
      <c r="G169" s="836">
        <v>46211</v>
      </c>
      <c r="H169" s="674">
        <v>25.77</v>
      </c>
      <c r="I169" s="757" t="s">
        <v>549</v>
      </c>
      <c r="J169" s="1047"/>
      <c r="K169" s="1047"/>
      <c r="L169" s="1048"/>
      <c r="M169" s="723">
        <v>46213</v>
      </c>
      <c r="N169" s="714" t="s">
        <v>763</v>
      </c>
      <c r="O169" s="716"/>
      <c r="P169" s="716">
        <v>24</v>
      </c>
      <c r="Q169" s="759"/>
      <c r="R169" s="759"/>
      <c r="S169" s="759"/>
      <c r="T169" s="759"/>
    </row>
    <row r="170" spans="1:20" s="760" customFormat="1" ht="17.399999999999999" customHeight="1" x14ac:dyDescent="0.35">
      <c r="A170" s="689"/>
      <c r="B170" s="670">
        <f t="shared" si="3"/>
        <v>158</v>
      </c>
      <c r="C170" s="675" t="s">
        <v>427</v>
      </c>
      <c r="D170" s="691" t="s">
        <v>917</v>
      </c>
      <c r="E170" s="674" t="s">
        <v>92</v>
      </c>
      <c r="F170" s="350"/>
      <c r="G170" s="712">
        <v>46197</v>
      </c>
      <c r="H170" s="736">
        <v>61.72</v>
      </c>
      <c r="I170" s="757" t="s">
        <v>549</v>
      </c>
      <c r="J170" s="1044"/>
      <c r="K170" s="1044"/>
      <c r="L170" s="1045"/>
      <c r="M170" s="723">
        <v>46213</v>
      </c>
      <c r="N170" s="714" t="s">
        <v>737</v>
      </c>
      <c r="O170" s="715"/>
      <c r="P170" s="716">
        <v>12</v>
      </c>
      <c r="Q170" s="759"/>
      <c r="R170" s="759"/>
      <c r="S170" s="759"/>
      <c r="T170" s="759"/>
    </row>
    <row r="171" spans="1:20" s="760" customFormat="1" ht="17.399999999999999" customHeight="1" x14ac:dyDescent="0.35">
      <c r="A171" s="689"/>
      <c r="B171" s="670">
        <f t="shared" si="3"/>
        <v>159</v>
      </c>
      <c r="C171" s="675" t="s">
        <v>445</v>
      </c>
      <c r="D171" s="691" t="s">
        <v>922</v>
      </c>
      <c r="E171" s="674" t="s">
        <v>92</v>
      </c>
      <c r="F171" s="712"/>
      <c r="G171" s="836">
        <v>46211</v>
      </c>
      <c r="H171" s="1049">
        <v>73.84</v>
      </c>
      <c r="I171" s="757" t="s">
        <v>549</v>
      </c>
      <c r="J171" s="1047"/>
      <c r="K171" s="1047"/>
      <c r="L171" s="1048"/>
      <c r="M171" s="723">
        <v>46213</v>
      </c>
      <c r="N171" s="714" t="s">
        <v>920</v>
      </c>
      <c r="O171" s="716"/>
      <c r="P171" s="716">
        <v>20</v>
      </c>
      <c r="Q171" s="759"/>
      <c r="R171" s="759"/>
      <c r="S171" s="759"/>
      <c r="T171" s="759"/>
    </row>
    <row r="172" spans="1:20" s="760" customFormat="1" ht="17.399999999999999" x14ac:dyDescent="0.35">
      <c r="A172" s="689"/>
      <c r="B172" s="670">
        <f t="shared" si="3"/>
        <v>160</v>
      </c>
      <c r="C172" s="675" t="s">
        <v>240</v>
      </c>
      <c r="D172" s="691" t="s">
        <v>87</v>
      </c>
      <c r="E172" s="674" t="s">
        <v>92</v>
      </c>
      <c r="F172" s="712"/>
      <c r="G172" s="836">
        <v>46211</v>
      </c>
      <c r="H172" s="1052">
        <v>23.27</v>
      </c>
      <c r="I172" s="757" t="s">
        <v>549</v>
      </c>
      <c r="J172" s="1047"/>
      <c r="K172" s="1047"/>
      <c r="L172" s="1048"/>
      <c r="M172" s="723">
        <v>46213</v>
      </c>
      <c r="N172" s="714" t="s">
        <v>759</v>
      </c>
      <c r="O172" s="715"/>
      <c r="P172" s="716">
        <v>16</v>
      </c>
      <c r="Q172" s="759"/>
      <c r="R172" s="759"/>
      <c r="S172" s="759"/>
      <c r="T172" s="759"/>
    </row>
    <row r="173" spans="1:20" s="760" customFormat="1" ht="17.399999999999999" customHeight="1" x14ac:dyDescent="0.35">
      <c r="A173" s="689"/>
      <c r="B173" s="670">
        <f t="shared" si="3"/>
        <v>161</v>
      </c>
      <c r="C173" s="675" t="s">
        <v>383</v>
      </c>
      <c r="D173" s="691" t="s">
        <v>91</v>
      </c>
      <c r="E173" s="674" t="s">
        <v>92</v>
      </c>
      <c r="F173" s="712"/>
      <c r="G173" s="1051">
        <v>46213</v>
      </c>
      <c r="H173" s="736">
        <v>26.43</v>
      </c>
      <c r="I173" s="757" t="s">
        <v>549</v>
      </c>
      <c r="J173" s="1047"/>
      <c r="K173" s="1047"/>
      <c r="L173" s="1048"/>
      <c r="M173" s="723">
        <v>46215</v>
      </c>
      <c r="N173" s="714" t="s">
        <v>763</v>
      </c>
      <c r="O173" s="716"/>
      <c r="P173" s="716">
        <v>20</v>
      </c>
      <c r="Q173" s="759"/>
      <c r="R173" s="759"/>
      <c r="S173" s="759"/>
      <c r="T173" s="759"/>
    </row>
    <row r="174" spans="1:20" s="760" customFormat="1" ht="17.399999999999999" customHeight="1" x14ac:dyDescent="0.35">
      <c r="A174" s="689"/>
      <c r="B174" s="670">
        <f t="shared" si="3"/>
        <v>162</v>
      </c>
      <c r="C174" s="675" t="s">
        <v>290</v>
      </c>
      <c r="D174" s="691" t="s">
        <v>91</v>
      </c>
      <c r="E174" s="674" t="s">
        <v>92</v>
      </c>
      <c r="F174" s="712"/>
      <c r="G174" s="1050">
        <v>46209</v>
      </c>
      <c r="H174" s="736">
        <v>26.43</v>
      </c>
      <c r="I174" s="757" t="s">
        <v>549</v>
      </c>
      <c r="J174" s="1047"/>
      <c r="K174" s="1047"/>
      <c r="L174" s="1048"/>
      <c r="M174" s="723">
        <v>46216</v>
      </c>
      <c r="N174" s="714" t="s">
        <v>929</v>
      </c>
      <c r="O174" s="716"/>
      <c r="P174" s="716">
        <v>12</v>
      </c>
      <c r="Q174" s="759"/>
      <c r="R174" s="759"/>
      <c r="S174" s="759"/>
      <c r="T174" s="759"/>
    </row>
    <row r="175" spans="1:20" s="760" customFormat="1" ht="17.399999999999999" customHeight="1" x14ac:dyDescent="0.35">
      <c r="A175" s="689"/>
      <c r="B175" s="670">
        <f t="shared" si="3"/>
        <v>163</v>
      </c>
      <c r="C175" s="675" t="s">
        <v>479</v>
      </c>
      <c r="D175" s="691" t="s">
        <v>669</v>
      </c>
      <c r="E175" s="674" t="s">
        <v>88</v>
      </c>
      <c r="F175" s="712"/>
      <c r="G175" s="836">
        <v>46216</v>
      </c>
      <c r="H175" s="736">
        <v>62.84</v>
      </c>
      <c r="I175" s="757" t="s">
        <v>549</v>
      </c>
      <c r="J175" s="1047"/>
      <c r="K175" s="1047"/>
      <c r="L175" s="1048"/>
      <c r="M175" s="723">
        <v>46218</v>
      </c>
      <c r="N175" s="714" t="s">
        <v>763</v>
      </c>
      <c r="O175" s="716"/>
      <c r="P175" s="716">
        <v>20</v>
      </c>
      <c r="Q175" s="759"/>
      <c r="R175" s="759"/>
      <c r="S175" s="759"/>
      <c r="T175" s="759"/>
    </row>
    <row r="176" spans="1:20" s="760" customFormat="1" ht="17.399999999999999" customHeight="1" x14ac:dyDescent="0.35">
      <c r="A176" s="689"/>
      <c r="B176" s="670">
        <f t="shared" si="3"/>
        <v>164</v>
      </c>
      <c r="C176" s="675" t="s">
        <v>428</v>
      </c>
      <c r="D176" s="691" t="s">
        <v>668</v>
      </c>
      <c r="E176" s="674" t="s">
        <v>92</v>
      </c>
      <c r="F176" s="712"/>
      <c r="G176" s="836">
        <v>46214</v>
      </c>
      <c r="H176" s="1053">
        <v>55.74</v>
      </c>
      <c r="I176" s="757" t="s">
        <v>549</v>
      </c>
      <c r="J176" s="1047"/>
      <c r="K176" s="1047"/>
      <c r="L176" s="1048"/>
      <c r="M176" s="723">
        <v>46218</v>
      </c>
      <c r="N176" s="714" t="s">
        <v>737</v>
      </c>
      <c r="O176" s="716"/>
      <c r="P176" s="716">
        <v>12</v>
      </c>
      <c r="Q176" s="759"/>
      <c r="R176" s="759"/>
      <c r="S176" s="759"/>
      <c r="T176" s="759"/>
    </row>
    <row r="177" spans="1:20" s="760" customFormat="1" ht="17.399999999999999" customHeight="1" x14ac:dyDescent="0.35">
      <c r="A177" s="689"/>
      <c r="B177" s="670">
        <f t="shared" si="3"/>
        <v>165</v>
      </c>
      <c r="C177" s="675" t="s">
        <v>454</v>
      </c>
      <c r="D177" s="693" t="s">
        <v>917</v>
      </c>
      <c r="E177" s="694" t="s">
        <v>92</v>
      </c>
      <c r="F177" s="712"/>
      <c r="G177" s="1093">
        <v>46214</v>
      </c>
      <c r="H177" s="779">
        <v>61.72</v>
      </c>
      <c r="I177" s="733" t="s">
        <v>549</v>
      </c>
      <c r="J177" s="1094"/>
      <c r="K177" s="1094"/>
      <c r="L177" s="1095"/>
      <c r="M177" s="731">
        <v>46219</v>
      </c>
      <c r="N177" s="769" t="s">
        <v>920</v>
      </c>
      <c r="O177" s="771"/>
      <c r="P177" s="771">
        <v>20</v>
      </c>
      <c r="Q177" s="759"/>
      <c r="R177" s="759"/>
      <c r="S177" s="759"/>
      <c r="T177" s="759"/>
    </row>
    <row r="178" spans="1:20" s="760" customFormat="1" ht="17.399999999999999" customHeight="1" x14ac:dyDescent="0.35">
      <c r="A178" s="689"/>
      <c r="B178" s="670">
        <f t="shared" si="3"/>
        <v>166</v>
      </c>
      <c r="C178" s="674" t="s">
        <v>615</v>
      </c>
      <c r="D178" s="695" t="s">
        <v>87</v>
      </c>
      <c r="E178" s="694" t="s">
        <v>664</v>
      </c>
      <c r="F178" s="350"/>
      <c r="G178" s="734">
        <v>46218</v>
      </c>
      <c r="H178" s="1096">
        <v>34.299999999999997</v>
      </c>
      <c r="I178" s="733" t="s">
        <v>549</v>
      </c>
      <c r="J178" s="1094"/>
      <c r="K178" s="1094"/>
      <c r="L178" s="1095"/>
      <c r="M178" s="1097">
        <v>46220</v>
      </c>
      <c r="N178" s="769" t="s">
        <v>763</v>
      </c>
      <c r="O178" s="771"/>
      <c r="P178" s="771">
        <v>20</v>
      </c>
      <c r="Q178" s="759"/>
      <c r="R178" s="759"/>
      <c r="S178" s="759"/>
      <c r="T178" s="759"/>
    </row>
    <row r="179" spans="1:20" s="760" customFormat="1" ht="17.399999999999999" customHeight="1" x14ac:dyDescent="0.35">
      <c r="A179" s="689"/>
      <c r="B179" s="670">
        <f t="shared" si="3"/>
        <v>167</v>
      </c>
      <c r="C179" s="675" t="s">
        <v>209</v>
      </c>
      <c r="D179" s="693" t="s">
        <v>87</v>
      </c>
      <c r="E179" s="694" t="s">
        <v>92</v>
      </c>
      <c r="F179" s="350"/>
      <c r="G179" s="734">
        <v>46204</v>
      </c>
      <c r="H179" s="1098">
        <v>23.27</v>
      </c>
      <c r="I179" s="733" t="s">
        <v>549</v>
      </c>
      <c r="J179" s="1094"/>
      <c r="K179" s="1094"/>
      <c r="L179" s="1095"/>
      <c r="M179" s="1099">
        <v>46220</v>
      </c>
      <c r="N179" s="769" t="s">
        <v>871</v>
      </c>
      <c r="O179" s="770"/>
      <c r="P179" s="771">
        <v>14</v>
      </c>
      <c r="Q179" s="759"/>
      <c r="R179" s="759"/>
      <c r="S179" s="759"/>
      <c r="T179" s="759"/>
    </row>
    <row r="180" spans="1:20" s="760" customFormat="1" ht="17.399999999999999" customHeight="1" x14ac:dyDescent="0.35">
      <c r="A180" s="689"/>
      <c r="B180" s="670">
        <f t="shared" si="3"/>
        <v>168</v>
      </c>
      <c r="C180" s="675" t="s">
        <v>294</v>
      </c>
      <c r="D180" s="693" t="s">
        <v>91</v>
      </c>
      <c r="E180" s="694" t="s">
        <v>92</v>
      </c>
      <c r="F180" s="350"/>
      <c r="G180" s="734">
        <v>46219</v>
      </c>
      <c r="H180" s="779">
        <v>26.43</v>
      </c>
      <c r="I180" s="733" t="s">
        <v>549</v>
      </c>
      <c r="J180" s="1094"/>
      <c r="K180" s="1094"/>
      <c r="L180" s="1095"/>
      <c r="M180" s="1099">
        <v>46221</v>
      </c>
      <c r="N180" s="769" t="s">
        <v>920</v>
      </c>
      <c r="O180" s="770"/>
      <c r="P180" s="771">
        <v>20</v>
      </c>
      <c r="Q180" s="759"/>
      <c r="R180" s="759"/>
      <c r="S180" s="759"/>
      <c r="T180" s="759"/>
    </row>
    <row r="181" spans="1:20" s="760" customFormat="1" ht="17.399999999999999" customHeight="1" x14ac:dyDescent="0.35">
      <c r="A181" s="689"/>
      <c r="B181" s="670">
        <f t="shared" si="3"/>
        <v>169</v>
      </c>
      <c r="C181" s="675" t="s">
        <v>329</v>
      </c>
      <c r="D181" s="693" t="s">
        <v>91</v>
      </c>
      <c r="E181" s="694" t="s">
        <v>88</v>
      </c>
      <c r="F181" s="350"/>
      <c r="G181" s="734">
        <v>46222</v>
      </c>
      <c r="H181" s="694">
        <v>25.77</v>
      </c>
      <c r="I181" s="733" t="s">
        <v>549</v>
      </c>
      <c r="J181" s="1094"/>
      <c r="K181" s="1094"/>
      <c r="L181" s="1095"/>
      <c r="M181" s="1099">
        <v>46224</v>
      </c>
      <c r="N181" s="769" t="s">
        <v>920</v>
      </c>
      <c r="O181" s="770"/>
      <c r="P181" s="771">
        <v>20</v>
      </c>
      <c r="Q181" s="759"/>
      <c r="R181" s="759"/>
      <c r="S181" s="759"/>
      <c r="T181" s="759"/>
    </row>
    <row r="182" spans="1:20" s="760" customFormat="1" ht="17.399999999999999" customHeight="1" x14ac:dyDescent="0.35">
      <c r="A182" s="689"/>
      <c r="B182" s="670">
        <f t="shared" si="3"/>
        <v>170</v>
      </c>
      <c r="C182" s="675" t="s">
        <v>422</v>
      </c>
      <c r="D182" s="693" t="s">
        <v>936</v>
      </c>
      <c r="E182" s="694" t="s">
        <v>541</v>
      </c>
      <c r="F182" s="350"/>
      <c r="G182" s="734">
        <v>46214</v>
      </c>
      <c r="H182" s="694"/>
      <c r="I182" s="733" t="s">
        <v>549</v>
      </c>
      <c r="J182" s="1094"/>
      <c r="K182" s="1094"/>
      <c r="L182" s="1095"/>
      <c r="M182" s="1099">
        <v>46224</v>
      </c>
      <c r="N182" s="769" t="s">
        <v>759</v>
      </c>
      <c r="O182" s="770"/>
      <c r="P182" s="771">
        <v>16</v>
      </c>
      <c r="Q182" s="759"/>
      <c r="R182" s="759"/>
      <c r="S182" s="759"/>
      <c r="T182" s="759"/>
    </row>
    <row r="183" spans="1:20" s="760" customFormat="1" ht="17.399999999999999" customHeight="1" x14ac:dyDescent="0.35">
      <c r="A183" s="689"/>
      <c r="B183" s="670">
        <f t="shared" si="3"/>
        <v>171</v>
      </c>
      <c r="C183" s="675" t="s">
        <v>247</v>
      </c>
      <c r="D183" s="693" t="s">
        <v>91</v>
      </c>
      <c r="E183" s="694" t="s">
        <v>88</v>
      </c>
      <c r="F183" s="350"/>
      <c r="G183" s="734">
        <v>46225</v>
      </c>
      <c r="H183" s="694">
        <v>25.77</v>
      </c>
      <c r="I183" s="733" t="s">
        <v>549</v>
      </c>
      <c r="J183" s="1094"/>
      <c r="K183" s="1094"/>
      <c r="L183" s="1095"/>
      <c r="M183" s="1099">
        <v>46226</v>
      </c>
      <c r="N183" s="769" t="s">
        <v>759</v>
      </c>
      <c r="O183" s="770"/>
      <c r="P183" s="771"/>
      <c r="Q183" s="759"/>
      <c r="R183" s="759"/>
      <c r="S183" s="759"/>
      <c r="T183" s="759"/>
    </row>
    <row r="184" spans="1:20" s="760" customFormat="1" ht="17.399999999999999" customHeight="1" x14ac:dyDescent="0.35">
      <c r="A184" s="689"/>
      <c r="B184" s="670">
        <f t="shared" si="3"/>
        <v>172</v>
      </c>
      <c r="C184" s="675" t="s">
        <v>620</v>
      </c>
      <c r="D184" s="693" t="s">
        <v>87</v>
      </c>
      <c r="E184" s="694" t="s">
        <v>664</v>
      </c>
      <c r="F184" s="350"/>
      <c r="G184" s="734">
        <v>46221</v>
      </c>
      <c r="H184" s="694"/>
      <c r="I184" s="733" t="s">
        <v>549</v>
      </c>
      <c r="J184" s="1094"/>
      <c r="K184" s="1094"/>
      <c r="L184" s="1095"/>
      <c r="M184" s="1099">
        <v>46227</v>
      </c>
      <c r="N184" s="769" t="s">
        <v>763</v>
      </c>
      <c r="O184" s="771"/>
      <c r="P184" s="771">
        <v>20</v>
      </c>
      <c r="Q184" s="759"/>
      <c r="R184" s="759"/>
      <c r="S184" s="759"/>
      <c r="T184" s="759"/>
    </row>
    <row r="185" spans="1:20" s="760" customFormat="1" ht="17.399999999999999" customHeight="1" x14ac:dyDescent="0.35">
      <c r="A185" s="689"/>
      <c r="B185" s="670">
        <f t="shared" si="3"/>
        <v>173</v>
      </c>
      <c r="C185" s="675" t="s">
        <v>215</v>
      </c>
      <c r="D185" s="693" t="s">
        <v>87</v>
      </c>
      <c r="E185" s="694" t="s">
        <v>92</v>
      </c>
      <c r="F185" s="350"/>
      <c r="G185" s="734">
        <v>46221</v>
      </c>
      <c r="H185" s="778">
        <v>23.27</v>
      </c>
      <c r="I185" s="733" t="s">
        <v>549</v>
      </c>
      <c r="J185" s="1094"/>
      <c r="K185" s="1094"/>
      <c r="L185" s="1095"/>
      <c r="M185" s="1099">
        <v>46229</v>
      </c>
      <c r="N185" s="769" t="s">
        <v>871</v>
      </c>
      <c r="O185" s="770"/>
      <c r="P185" s="771">
        <v>14</v>
      </c>
      <c r="Q185" s="759"/>
      <c r="R185" s="759"/>
      <c r="S185" s="759"/>
      <c r="T185" s="759"/>
    </row>
    <row r="186" spans="1:20" s="760" customFormat="1" ht="17.399999999999999" customHeight="1" x14ac:dyDescent="0.35">
      <c r="A186" s="689"/>
      <c r="B186" s="670">
        <f t="shared" si="3"/>
        <v>174</v>
      </c>
      <c r="C186" s="675" t="s">
        <v>379</v>
      </c>
      <c r="D186" s="693" t="s">
        <v>91</v>
      </c>
      <c r="E186" s="694" t="s">
        <v>92</v>
      </c>
      <c r="F186" s="350"/>
      <c r="G186" s="734">
        <v>46227</v>
      </c>
      <c r="H186" s="779">
        <v>26.43</v>
      </c>
      <c r="I186" s="733" t="s">
        <v>549</v>
      </c>
      <c r="J186" s="1094"/>
      <c r="K186" s="1094"/>
      <c r="L186" s="1095"/>
      <c r="M186" s="1099">
        <v>46229</v>
      </c>
      <c r="N186" s="769" t="s">
        <v>763</v>
      </c>
      <c r="O186" s="771"/>
      <c r="P186" s="771">
        <v>20</v>
      </c>
      <c r="Q186" s="759"/>
      <c r="R186" s="759"/>
      <c r="S186" s="759"/>
      <c r="T186" s="759"/>
    </row>
    <row r="187" spans="1:20" s="760" customFormat="1" ht="17.399999999999999" customHeight="1" x14ac:dyDescent="0.35">
      <c r="A187" s="689"/>
      <c r="B187" s="670">
        <f t="shared" si="3"/>
        <v>175</v>
      </c>
      <c r="C187" s="675" t="s">
        <v>456</v>
      </c>
      <c r="D187" s="694" t="s">
        <v>669</v>
      </c>
      <c r="E187" s="694" t="s">
        <v>92</v>
      </c>
      <c r="F187" s="350"/>
      <c r="G187" s="734">
        <v>46225</v>
      </c>
      <c r="H187" s="694"/>
      <c r="I187" s="733" t="s">
        <v>549</v>
      </c>
      <c r="J187" s="1094"/>
      <c r="K187" s="1094"/>
      <c r="L187" s="1095"/>
      <c r="M187" s="1099">
        <v>46229</v>
      </c>
      <c r="N187" s="769" t="s">
        <v>939</v>
      </c>
      <c r="O187" s="771"/>
      <c r="P187" s="771">
        <v>20</v>
      </c>
      <c r="Q187" s="759"/>
      <c r="R187" s="759"/>
      <c r="S187" s="759"/>
      <c r="T187" s="759"/>
    </row>
    <row r="188" spans="1:20" s="760" customFormat="1" ht="17.399999999999999" customHeight="1" x14ac:dyDescent="0.35">
      <c r="A188" s="689"/>
      <c r="B188" s="670">
        <f t="shared" si="3"/>
        <v>176</v>
      </c>
      <c r="C188" s="675" t="s">
        <v>378</v>
      </c>
      <c r="D188" s="694" t="s">
        <v>87</v>
      </c>
      <c r="E188" s="694" t="s">
        <v>92</v>
      </c>
      <c r="F188" s="350"/>
      <c r="G188" s="734">
        <v>46229</v>
      </c>
      <c r="H188" s="1098">
        <v>23.27</v>
      </c>
      <c r="I188" s="733" t="s">
        <v>549</v>
      </c>
      <c r="J188" s="1094"/>
      <c r="K188" s="1094"/>
      <c r="L188" s="1095"/>
      <c r="M188" s="1099">
        <v>46230</v>
      </c>
      <c r="N188" s="769" t="s">
        <v>763</v>
      </c>
      <c r="O188" s="771"/>
      <c r="P188" s="771">
        <v>20</v>
      </c>
      <c r="Q188" s="759"/>
      <c r="R188" s="759"/>
      <c r="S188" s="759"/>
      <c r="T188" s="759"/>
    </row>
    <row r="189" spans="1:20" s="760" customFormat="1" ht="17.399999999999999" customHeight="1" x14ac:dyDescent="0.35">
      <c r="A189" s="689"/>
      <c r="B189" s="670">
        <f t="shared" si="3"/>
        <v>177</v>
      </c>
      <c r="C189" s="675" t="s">
        <v>241</v>
      </c>
      <c r="D189" s="694" t="s">
        <v>87</v>
      </c>
      <c r="E189" s="694" t="s">
        <v>92</v>
      </c>
      <c r="F189" s="350"/>
      <c r="G189" s="734">
        <v>46227</v>
      </c>
      <c r="H189" s="1098">
        <v>23.27</v>
      </c>
      <c r="I189" s="733" t="s">
        <v>549</v>
      </c>
      <c r="J189" s="1094"/>
      <c r="K189" s="1094"/>
      <c r="L189" s="1095"/>
      <c r="M189" s="1099">
        <v>46230</v>
      </c>
      <c r="N189" s="769" t="s">
        <v>759</v>
      </c>
      <c r="O189" s="771"/>
      <c r="P189" s="771">
        <v>14</v>
      </c>
      <c r="Q189" s="759"/>
      <c r="R189" s="759"/>
      <c r="S189" s="759"/>
      <c r="T189" s="759"/>
    </row>
    <row r="190" spans="1:20" s="760" customFormat="1" ht="17.399999999999999" customHeight="1" x14ac:dyDescent="0.35">
      <c r="A190" s="689"/>
      <c r="B190" s="670">
        <f t="shared" si="3"/>
        <v>178</v>
      </c>
      <c r="C190" s="675" t="s">
        <v>289</v>
      </c>
      <c r="D190" s="694" t="s">
        <v>109</v>
      </c>
      <c r="E190" s="694" t="s">
        <v>92</v>
      </c>
      <c r="F190" s="350"/>
      <c r="G190" s="734">
        <v>46217</v>
      </c>
      <c r="H190" s="694">
        <v>25.77</v>
      </c>
      <c r="I190" s="733" t="s">
        <v>549</v>
      </c>
      <c r="J190" s="1094"/>
      <c r="K190" s="1094"/>
      <c r="L190" s="1095"/>
      <c r="M190" s="1099">
        <v>46230</v>
      </c>
      <c r="N190" s="769" t="s">
        <v>929</v>
      </c>
      <c r="O190" s="771"/>
      <c r="P190" s="771">
        <v>12</v>
      </c>
      <c r="Q190" s="759"/>
      <c r="R190" s="759"/>
      <c r="S190" s="759"/>
      <c r="T190" s="759"/>
    </row>
    <row r="191" spans="1:20" s="760" customFormat="1" ht="17.399999999999999" customHeight="1" x14ac:dyDescent="0.35">
      <c r="A191" s="689"/>
      <c r="B191" s="670">
        <f t="shared" si="3"/>
        <v>179</v>
      </c>
      <c r="C191" s="675" t="s">
        <v>335</v>
      </c>
      <c r="D191" s="694" t="s">
        <v>109</v>
      </c>
      <c r="E191" s="694" t="s">
        <v>88</v>
      </c>
      <c r="F191" s="350"/>
      <c r="G191" s="734">
        <v>46230</v>
      </c>
      <c r="H191" s="694">
        <v>25.77</v>
      </c>
      <c r="I191" s="733" t="s">
        <v>549</v>
      </c>
      <c r="J191" s="1094"/>
      <c r="K191" s="1094"/>
      <c r="L191" s="1095"/>
      <c r="M191" s="1099">
        <v>46231</v>
      </c>
      <c r="N191" s="769" t="s">
        <v>939</v>
      </c>
      <c r="O191" s="771"/>
      <c r="P191" s="771">
        <v>20</v>
      </c>
      <c r="Q191" s="759"/>
      <c r="R191" s="759"/>
      <c r="S191" s="759"/>
      <c r="T191" s="759"/>
    </row>
    <row r="192" spans="1:20" s="760" customFormat="1" ht="17.399999999999999" customHeight="1" x14ac:dyDescent="0.35">
      <c r="A192" s="689"/>
      <c r="B192" s="670">
        <f t="shared" si="3"/>
        <v>180</v>
      </c>
      <c r="C192" s="675" t="s">
        <v>377</v>
      </c>
      <c r="D192" s="694" t="s">
        <v>87</v>
      </c>
      <c r="E192" s="694" t="s">
        <v>92</v>
      </c>
      <c r="F192" s="350"/>
      <c r="G192" s="734">
        <v>46231</v>
      </c>
      <c r="H192" s="1098">
        <v>23.27</v>
      </c>
      <c r="I192" s="733" t="s">
        <v>549</v>
      </c>
      <c r="J192" s="1094"/>
      <c r="K192" s="1094"/>
      <c r="L192" s="1095"/>
      <c r="M192" s="1099">
        <v>46233</v>
      </c>
      <c r="N192" s="769" t="s">
        <v>763</v>
      </c>
      <c r="O192" s="771"/>
      <c r="P192" s="771">
        <v>20</v>
      </c>
      <c r="Q192" s="759"/>
      <c r="R192" s="759"/>
      <c r="S192" s="759"/>
      <c r="T192" s="759"/>
    </row>
    <row r="193" spans="1:91" s="760" customFormat="1" ht="17.399999999999999" customHeight="1" x14ac:dyDescent="0.35">
      <c r="A193" s="689"/>
      <c r="B193" s="670">
        <f t="shared" si="3"/>
        <v>181</v>
      </c>
      <c r="C193" s="675" t="s">
        <v>382</v>
      </c>
      <c r="D193" s="694" t="s">
        <v>87</v>
      </c>
      <c r="E193" s="694" t="s">
        <v>92</v>
      </c>
      <c r="F193" s="350"/>
      <c r="G193" s="734">
        <v>46234</v>
      </c>
      <c r="H193" s="694">
        <v>23.27</v>
      </c>
      <c r="I193" s="733" t="s">
        <v>549</v>
      </c>
      <c r="J193" s="1094"/>
      <c r="K193" s="1094"/>
      <c r="L193" s="1095"/>
      <c r="M193" s="1099">
        <v>46235</v>
      </c>
      <c r="N193" s="769" t="s">
        <v>763</v>
      </c>
      <c r="O193" s="771"/>
      <c r="P193" s="771">
        <v>20</v>
      </c>
      <c r="Q193" s="759"/>
      <c r="R193" s="759"/>
      <c r="S193" s="759"/>
      <c r="T193" s="759"/>
    </row>
    <row r="194" spans="1:91" s="760" customFormat="1" ht="17.399999999999999" customHeight="1" x14ac:dyDescent="0.35">
      <c r="A194" s="689"/>
      <c r="B194" s="670">
        <f t="shared" si="3"/>
        <v>182</v>
      </c>
      <c r="C194" s="675" t="s">
        <v>339</v>
      </c>
      <c r="D194" s="694" t="s">
        <v>95</v>
      </c>
      <c r="E194" s="694"/>
      <c r="F194" s="350"/>
      <c r="G194" s="734">
        <v>46232</v>
      </c>
      <c r="H194" s="694"/>
      <c r="I194" s="733" t="s">
        <v>549</v>
      </c>
      <c r="J194" s="1094"/>
      <c r="K194" s="1094"/>
      <c r="L194" s="1095"/>
      <c r="M194" s="1099">
        <v>46237</v>
      </c>
      <c r="N194" s="769" t="s">
        <v>939</v>
      </c>
      <c r="O194" s="771"/>
      <c r="P194" s="771">
        <v>20</v>
      </c>
      <c r="Q194" s="759"/>
      <c r="R194" s="759"/>
      <c r="S194" s="759"/>
      <c r="T194" s="759"/>
    </row>
    <row r="195" spans="1:91" s="760" customFormat="1" ht="17.399999999999999" customHeight="1" x14ac:dyDescent="0.35">
      <c r="A195" s="689"/>
      <c r="B195" s="670">
        <f t="shared" si="3"/>
        <v>183</v>
      </c>
      <c r="C195" s="675" t="s">
        <v>381</v>
      </c>
      <c r="D195" s="694" t="s">
        <v>87</v>
      </c>
      <c r="E195" s="694" t="s">
        <v>88</v>
      </c>
      <c r="F195" s="350"/>
      <c r="G195" s="734">
        <v>46235</v>
      </c>
      <c r="H195" s="706">
        <v>22.4</v>
      </c>
      <c r="I195" s="733" t="s">
        <v>549</v>
      </c>
      <c r="J195" s="1094"/>
      <c r="K195" s="1094"/>
      <c r="L195" s="1095"/>
      <c r="M195" s="1099">
        <v>46237</v>
      </c>
      <c r="N195" s="769" t="s">
        <v>763</v>
      </c>
      <c r="O195" s="771"/>
      <c r="P195" s="771">
        <v>20</v>
      </c>
      <c r="Q195" s="759"/>
      <c r="R195" s="759"/>
      <c r="S195" s="759"/>
      <c r="T195" s="759"/>
    </row>
    <row r="196" spans="1:91" s="760" customFormat="1" ht="17.399999999999999" customHeight="1" x14ac:dyDescent="0.35">
      <c r="A196" s="689"/>
      <c r="B196" s="670">
        <f t="shared" si="3"/>
        <v>184</v>
      </c>
      <c r="C196" s="675" t="s">
        <v>374</v>
      </c>
      <c r="D196" s="694" t="s">
        <v>91</v>
      </c>
      <c r="E196" s="694" t="s">
        <v>92</v>
      </c>
      <c r="F196" s="350"/>
      <c r="G196" s="734">
        <v>46238</v>
      </c>
      <c r="H196" s="779">
        <v>26.43</v>
      </c>
      <c r="I196" s="733" t="s">
        <v>549</v>
      </c>
      <c r="J196" s="1094"/>
      <c r="K196" s="1094"/>
      <c r="L196" s="1095"/>
      <c r="M196" s="1099">
        <v>46240</v>
      </c>
      <c r="N196" s="769" t="s">
        <v>763</v>
      </c>
      <c r="O196" s="771"/>
      <c r="P196" s="771">
        <v>20</v>
      </c>
      <c r="Q196" s="759"/>
      <c r="R196" s="759"/>
      <c r="S196" s="759"/>
      <c r="T196" s="759"/>
    </row>
    <row r="197" spans="1:91" s="722" customFormat="1" ht="17.399999999999999" customHeight="1" x14ac:dyDescent="0.35">
      <c r="A197" s="669"/>
      <c r="B197" s="670">
        <f t="shared" si="3"/>
        <v>185</v>
      </c>
      <c r="C197" s="694" t="s">
        <v>110</v>
      </c>
      <c r="D197" s="695" t="s">
        <v>87</v>
      </c>
      <c r="E197" s="694"/>
      <c r="F197" s="350"/>
      <c r="G197" s="734"/>
      <c r="H197" s="694"/>
      <c r="I197" s="1319" t="s">
        <v>1062</v>
      </c>
      <c r="J197" s="1320"/>
      <c r="K197" s="1320"/>
      <c r="L197" s="1321"/>
      <c r="M197" s="770"/>
      <c r="N197" s="769" t="s">
        <v>688</v>
      </c>
      <c r="O197" s="770"/>
      <c r="P197" s="771"/>
      <c r="Q197" s="721"/>
      <c r="R197" s="721"/>
      <c r="S197" s="721"/>
      <c r="T197" s="721"/>
    </row>
    <row r="198" spans="1:91" s="722" customFormat="1" ht="17.399999999999999" customHeight="1" x14ac:dyDescent="0.35">
      <c r="A198" s="669"/>
      <c r="B198" s="670">
        <f t="shared" si="3"/>
        <v>186</v>
      </c>
      <c r="C198" s="694" t="s">
        <v>275</v>
      </c>
      <c r="D198" s="675" t="s">
        <v>87</v>
      </c>
      <c r="E198" s="674"/>
      <c r="F198" s="350"/>
      <c r="G198" s="712"/>
      <c r="H198" s="674"/>
      <c r="I198" s="1319" t="s">
        <v>687</v>
      </c>
      <c r="J198" s="1320"/>
      <c r="K198" s="1320"/>
      <c r="L198" s="1321"/>
      <c r="M198" s="715"/>
      <c r="N198" s="714" t="s">
        <v>762</v>
      </c>
      <c r="O198" s="715"/>
      <c r="P198" s="716">
        <v>15</v>
      </c>
      <c r="Q198" s="721"/>
      <c r="R198" s="721"/>
      <c r="S198" s="721"/>
      <c r="T198" s="721"/>
    </row>
    <row r="199" spans="1:91" s="722" customFormat="1" ht="29.4" customHeight="1" x14ac:dyDescent="0.35">
      <c r="A199" s="669"/>
      <c r="B199" s="670"/>
      <c r="C199" s="698" t="s">
        <v>673</v>
      </c>
      <c r="D199" s="675"/>
      <c r="E199" s="674"/>
      <c r="F199" s="350"/>
      <c r="G199" s="712"/>
      <c r="H199" s="674"/>
      <c r="I199" s="1335"/>
      <c r="J199" s="1336"/>
      <c r="K199" s="1336"/>
      <c r="L199" s="1337"/>
      <c r="M199" s="723"/>
      <c r="N199" s="746"/>
      <c r="O199" s="715"/>
      <c r="P199" s="716"/>
      <c r="Q199" s="721"/>
      <c r="R199" s="721"/>
      <c r="S199" s="721"/>
      <c r="T199" s="721"/>
    </row>
    <row r="200" spans="1:91" ht="14.4" thickBot="1" x14ac:dyDescent="0.35"/>
    <row r="201" spans="1:91" ht="15" customHeight="1" thickBot="1" x14ac:dyDescent="0.35">
      <c r="B201" s="356" t="s">
        <v>97</v>
      </c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286"/>
      <c r="Q201" s="1"/>
      <c r="R201" s="1"/>
      <c r="S201" s="1"/>
      <c r="T201" s="1"/>
    </row>
    <row r="202" spans="1:91" ht="13.8" x14ac:dyDescent="0.3">
      <c r="B202" s="34" t="s">
        <v>98</v>
      </c>
      <c r="C202" s="34" t="s">
        <v>74</v>
      </c>
      <c r="D202" s="34" t="s">
        <v>75</v>
      </c>
      <c r="E202" s="34" t="s">
        <v>76</v>
      </c>
      <c r="F202" s="34" t="s">
        <v>77</v>
      </c>
      <c r="G202" s="34" t="s">
        <v>78</v>
      </c>
      <c r="H202" s="1332" t="s">
        <v>99</v>
      </c>
      <c r="I202" s="1333"/>
      <c r="J202" s="1333"/>
      <c r="K202" s="1334"/>
      <c r="L202" s="34" t="s">
        <v>81</v>
      </c>
      <c r="M202" s="34" t="s">
        <v>82</v>
      </c>
      <c r="N202" s="38" t="s">
        <v>100</v>
      </c>
      <c r="O202" s="283" t="s">
        <v>733</v>
      </c>
      <c r="P202" s="304"/>
      <c r="Q202" s="278"/>
      <c r="R202" s="278"/>
      <c r="S202" s="278"/>
      <c r="T202" s="278"/>
    </row>
    <row r="203" spans="1:91" s="288" customFormat="1" ht="17.55" customHeight="1" x14ac:dyDescent="0.35">
      <c r="A203" s="284"/>
      <c r="B203" s="803">
        <v>1</v>
      </c>
      <c r="C203" s="804" t="s">
        <v>86</v>
      </c>
      <c r="D203" s="805" t="s">
        <v>87</v>
      </c>
      <c r="E203" s="805" t="s">
        <v>88</v>
      </c>
      <c r="F203" s="806">
        <v>45848</v>
      </c>
      <c r="G203" s="807">
        <v>45908</v>
      </c>
      <c r="H203" s="1322" t="s">
        <v>548</v>
      </c>
      <c r="I203" s="1323"/>
      <c r="J203" s="1323"/>
      <c r="K203" s="1324"/>
      <c r="L203" s="807">
        <v>45908</v>
      </c>
      <c r="M203" s="808" t="s">
        <v>89</v>
      </c>
      <c r="N203" s="809"/>
      <c r="O203" s="809"/>
      <c r="P203" s="675"/>
      <c r="Q203" s="278"/>
      <c r="R203" s="278"/>
      <c r="S203" s="278"/>
      <c r="T203" s="278"/>
    </row>
    <row r="204" spans="1:91" s="352" customFormat="1" ht="17.55" customHeight="1" x14ac:dyDescent="0.35">
      <c r="A204" s="284"/>
      <c r="B204" s="803">
        <f>B203+1</f>
        <v>2</v>
      </c>
      <c r="C204" s="810" t="s">
        <v>96</v>
      </c>
      <c r="D204" s="811" t="s">
        <v>87</v>
      </c>
      <c r="E204" s="812" t="s">
        <v>542</v>
      </c>
      <c r="F204" s="813">
        <v>45898</v>
      </c>
      <c r="G204" s="814">
        <v>45924</v>
      </c>
      <c r="H204" s="1329" t="s">
        <v>548</v>
      </c>
      <c r="I204" s="1330"/>
      <c r="J204" s="1330"/>
      <c r="K204" s="1331"/>
      <c r="L204" s="814">
        <v>45924</v>
      </c>
      <c r="M204" s="815" t="s">
        <v>89</v>
      </c>
      <c r="N204" s="816"/>
      <c r="O204" s="817"/>
      <c r="P204" s="675"/>
      <c r="Q204" s="278"/>
      <c r="R204" s="278"/>
      <c r="S204" s="278"/>
      <c r="T204" s="278"/>
      <c r="U204" s="288"/>
      <c r="V204" s="288"/>
      <c r="W204" s="288"/>
      <c r="X204" s="288"/>
      <c r="Y204" s="288"/>
      <c r="Z204" s="288"/>
      <c r="AA204" s="288"/>
      <c r="AB204" s="288"/>
      <c r="AC204" s="288"/>
      <c r="AD204" s="288"/>
      <c r="AE204" s="288"/>
      <c r="AF204" s="288"/>
      <c r="AG204" s="288"/>
      <c r="AH204" s="288"/>
      <c r="AI204" s="288"/>
      <c r="AJ204" s="288"/>
      <c r="AK204" s="288"/>
      <c r="AL204" s="288"/>
      <c r="AM204" s="288"/>
      <c r="AN204" s="288"/>
      <c r="AO204" s="288"/>
      <c r="AP204" s="288"/>
      <c r="AQ204" s="288"/>
      <c r="AR204" s="288"/>
      <c r="AS204" s="288"/>
      <c r="AT204" s="288"/>
      <c r="AU204" s="288"/>
      <c r="AV204" s="288"/>
      <c r="AW204" s="288"/>
      <c r="AX204" s="288"/>
      <c r="AY204" s="288"/>
      <c r="AZ204" s="288"/>
      <c r="BA204" s="288"/>
      <c r="BB204" s="288"/>
      <c r="BC204" s="288"/>
      <c r="BD204" s="288"/>
      <c r="BE204" s="288"/>
      <c r="BF204" s="288"/>
      <c r="BG204" s="288"/>
      <c r="BH204" s="288"/>
      <c r="BI204" s="288"/>
      <c r="BJ204" s="288"/>
      <c r="BK204" s="288"/>
      <c r="BL204" s="288"/>
      <c r="BM204" s="288"/>
      <c r="BN204" s="288"/>
      <c r="BO204" s="288"/>
      <c r="BP204" s="288"/>
      <c r="BQ204" s="288"/>
      <c r="BR204" s="288"/>
      <c r="BS204" s="288"/>
      <c r="BT204" s="288"/>
      <c r="BU204" s="288"/>
      <c r="BV204" s="288"/>
      <c r="BW204" s="288"/>
      <c r="BX204" s="288"/>
      <c r="BY204" s="288"/>
      <c r="BZ204" s="288"/>
      <c r="CA204" s="288"/>
      <c r="CB204" s="288"/>
      <c r="CC204" s="288"/>
      <c r="CD204" s="288"/>
      <c r="CE204" s="288"/>
      <c r="CF204" s="288"/>
      <c r="CG204" s="288"/>
      <c r="CH204" s="288"/>
      <c r="CI204" s="288"/>
      <c r="CJ204" s="288"/>
      <c r="CK204" s="288"/>
      <c r="CL204" s="288"/>
      <c r="CM204" s="355"/>
    </row>
    <row r="205" spans="1:91" s="288" customFormat="1" ht="17.55" customHeight="1" x14ac:dyDescent="0.35">
      <c r="A205" s="284"/>
      <c r="B205" s="803">
        <f t="shared" ref="B205:B270" si="4">B204+1</f>
        <v>3</v>
      </c>
      <c r="C205" s="810" t="s">
        <v>273</v>
      </c>
      <c r="D205" s="812" t="s">
        <v>95</v>
      </c>
      <c r="E205" s="812" t="s">
        <v>542</v>
      </c>
      <c r="F205" s="813">
        <v>45933</v>
      </c>
      <c r="G205" s="814">
        <v>45949</v>
      </c>
      <c r="H205" s="1282" t="s">
        <v>548</v>
      </c>
      <c r="I205" s="1283"/>
      <c r="J205" s="1283"/>
      <c r="K205" s="1284"/>
      <c r="L205" s="814">
        <v>45949</v>
      </c>
      <c r="M205" s="714" t="s">
        <v>674</v>
      </c>
      <c r="N205" s="816"/>
      <c r="O205" s="816"/>
      <c r="P205" s="675"/>
      <c r="Q205" s="278"/>
      <c r="R205" s="278"/>
      <c r="S205" s="278"/>
      <c r="T205" s="278"/>
    </row>
    <row r="206" spans="1:91" s="288" customFormat="1" ht="17.55" customHeight="1" x14ac:dyDescent="0.35">
      <c r="A206" s="284"/>
      <c r="B206" s="803">
        <f t="shared" si="4"/>
        <v>4</v>
      </c>
      <c r="C206" s="810" t="s">
        <v>318</v>
      </c>
      <c r="D206" s="812" t="s">
        <v>87</v>
      </c>
      <c r="E206" s="812" t="s">
        <v>542</v>
      </c>
      <c r="F206" s="814"/>
      <c r="G206" s="814">
        <v>45992</v>
      </c>
      <c r="H206" s="1282" t="s">
        <v>548</v>
      </c>
      <c r="I206" s="1283"/>
      <c r="J206" s="1283"/>
      <c r="K206" s="1284"/>
      <c r="L206" s="814">
        <v>45992</v>
      </c>
      <c r="M206" s="714" t="s">
        <v>89</v>
      </c>
      <c r="N206" s="816"/>
      <c r="O206" s="816"/>
      <c r="P206" s="675"/>
      <c r="Q206" s="278"/>
      <c r="R206" s="278"/>
      <c r="S206" s="278"/>
      <c r="T206" s="278"/>
    </row>
    <row r="207" spans="1:91" s="288" customFormat="1" ht="17.55" customHeight="1" x14ac:dyDescent="0.35">
      <c r="A207" s="284"/>
      <c r="B207" s="803">
        <f t="shared" si="4"/>
        <v>5</v>
      </c>
      <c r="C207" s="810" t="s">
        <v>320</v>
      </c>
      <c r="D207" s="812" t="s">
        <v>87</v>
      </c>
      <c r="E207" s="812" t="s">
        <v>542</v>
      </c>
      <c r="F207" s="814"/>
      <c r="G207" s="814">
        <v>46010</v>
      </c>
      <c r="H207" s="1282" t="s">
        <v>548</v>
      </c>
      <c r="I207" s="1283"/>
      <c r="J207" s="1283"/>
      <c r="K207" s="1284"/>
      <c r="L207" s="814">
        <v>46010</v>
      </c>
      <c r="M207" s="714" t="s">
        <v>89</v>
      </c>
      <c r="N207" s="816"/>
      <c r="O207" s="816"/>
      <c r="P207" s="675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3">
        <f t="shared" si="4"/>
        <v>6</v>
      </c>
      <c r="C208" s="818" t="s">
        <v>324</v>
      </c>
      <c r="D208" s="812" t="s">
        <v>87</v>
      </c>
      <c r="E208" s="675" t="s">
        <v>88</v>
      </c>
      <c r="F208" s="814"/>
      <c r="G208" s="814">
        <v>46011</v>
      </c>
      <c r="H208" s="1282" t="s">
        <v>548</v>
      </c>
      <c r="I208" s="1283"/>
      <c r="J208" s="1283"/>
      <c r="K208" s="1284"/>
      <c r="L208" s="814">
        <v>46011</v>
      </c>
      <c r="M208" s="714" t="s">
        <v>89</v>
      </c>
      <c r="N208" s="675"/>
      <c r="O208" s="810"/>
      <c r="P208" s="810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3">
        <f t="shared" si="4"/>
        <v>7</v>
      </c>
      <c r="C209" s="819" t="s">
        <v>255</v>
      </c>
      <c r="D209" s="812" t="s">
        <v>87</v>
      </c>
      <c r="E209" s="816" t="s">
        <v>92</v>
      </c>
      <c r="F209" s="820"/>
      <c r="G209" s="820">
        <v>46016</v>
      </c>
      <c r="H209" s="1282" t="s">
        <v>548</v>
      </c>
      <c r="I209" s="1283"/>
      <c r="J209" s="1283"/>
      <c r="K209" s="1284"/>
      <c r="L209" s="820">
        <v>46016</v>
      </c>
      <c r="M209" s="714" t="s">
        <v>674</v>
      </c>
      <c r="N209" s="821"/>
      <c r="O209" s="821"/>
      <c r="P209" s="821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3">
        <f t="shared" si="4"/>
        <v>8</v>
      </c>
      <c r="C210" s="810" t="s">
        <v>332</v>
      </c>
      <c r="D210" s="812" t="s">
        <v>91</v>
      </c>
      <c r="E210" s="816" t="s">
        <v>664</v>
      </c>
      <c r="F210" s="820"/>
      <c r="G210" s="820">
        <v>46020</v>
      </c>
      <c r="H210" s="1326" t="s">
        <v>548</v>
      </c>
      <c r="I210" s="1327"/>
      <c r="J210" s="1327"/>
      <c r="K210" s="1328"/>
      <c r="L210" s="820">
        <v>46020</v>
      </c>
      <c r="M210" s="808" t="s">
        <v>89</v>
      </c>
      <c r="N210" s="821"/>
      <c r="O210" s="821"/>
      <c r="P210" s="821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3">
        <f t="shared" si="4"/>
        <v>9</v>
      </c>
      <c r="C211" s="822" t="s">
        <v>94</v>
      </c>
      <c r="D211" s="823" t="s">
        <v>95</v>
      </c>
      <c r="E211" s="824" t="s">
        <v>541</v>
      </c>
      <c r="F211" s="825"/>
      <c r="G211" s="825">
        <v>46021</v>
      </c>
      <c r="H211" s="1326" t="s">
        <v>548</v>
      </c>
      <c r="I211" s="1327"/>
      <c r="J211" s="1327"/>
      <c r="K211" s="1328"/>
      <c r="L211" s="825">
        <v>46021</v>
      </c>
      <c r="M211" s="808" t="s">
        <v>89</v>
      </c>
      <c r="N211" s="826"/>
      <c r="O211" s="826"/>
      <c r="P211" s="826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3">
        <f t="shared" si="4"/>
        <v>10</v>
      </c>
      <c r="C212" s="810" t="s">
        <v>396</v>
      </c>
      <c r="D212" s="812" t="s">
        <v>87</v>
      </c>
      <c r="E212" s="816" t="s">
        <v>542</v>
      </c>
      <c r="F212" s="820"/>
      <c r="G212" s="820">
        <v>46023</v>
      </c>
      <c r="H212" s="1282" t="s">
        <v>548</v>
      </c>
      <c r="I212" s="1283"/>
      <c r="J212" s="1283"/>
      <c r="K212" s="1284"/>
      <c r="L212" s="820">
        <v>46023</v>
      </c>
      <c r="M212" s="714" t="s">
        <v>662</v>
      </c>
      <c r="N212" s="821"/>
      <c r="O212" s="821"/>
      <c r="P212" s="821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3">
        <f t="shared" si="4"/>
        <v>11</v>
      </c>
      <c r="C213" s="810" t="s">
        <v>395</v>
      </c>
      <c r="D213" s="812" t="s">
        <v>87</v>
      </c>
      <c r="E213" s="816" t="s">
        <v>92</v>
      </c>
      <c r="F213" s="820"/>
      <c r="G213" s="820">
        <v>46028</v>
      </c>
      <c r="H213" s="1282" t="s">
        <v>548</v>
      </c>
      <c r="I213" s="1283"/>
      <c r="J213" s="1283"/>
      <c r="K213" s="1284"/>
      <c r="L213" s="820">
        <v>46028</v>
      </c>
      <c r="M213" s="714" t="s">
        <v>662</v>
      </c>
      <c r="N213" s="821"/>
      <c r="O213" s="821"/>
      <c r="P213" s="821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3">
        <f t="shared" si="4"/>
        <v>12</v>
      </c>
      <c r="C214" s="810" t="s">
        <v>397</v>
      </c>
      <c r="D214" s="812" t="s">
        <v>87</v>
      </c>
      <c r="E214" s="816" t="s">
        <v>92</v>
      </c>
      <c r="F214" s="820"/>
      <c r="G214" s="820">
        <v>46028</v>
      </c>
      <c r="H214" s="1282" t="s">
        <v>548</v>
      </c>
      <c r="I214" s="1283"/>
      <c r="J214" s="1283"/>
      <c r="K214" s="1284"/>
      <c r="L214" s="820">
        <v>46028</v>
      </c>
      <c r="M214" s="714" t="s">
        <v>662</v>
      </c>
      <c r="N214" s="821"/>
      <c r="O214" s="821"/>
      <c r="P214" s="821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3">
        <f t="shared" si="4"/>
        <v>13</v>
      </c>
      <c r="C215" s="810" t="s">
        <v>398</v>
      </c>
      <c r="D215" s="812" t="s">
        <v>87</v>
      </c>
      <c r="E215" s="816" t="s">
        <v>92</v>
      </c>
      <c r="F215" s="820"/>
      <c r="G215" s="820">
        <v>46028</v>
      </c>
      <c r="H215" s="1277" t="s">
        <v>548</v>
      </c>
      <c r="I215" s="1278"/>
      <c r="J215" s="1278"/>
      <c r="K215" s="1278"/>
      <c r="L215" s="820">
        <v>46028</v>
      </c>
      <c r="M215" s="714" t="s">
        <v>662</v>
      </c>
      <c r="N215" s="722"/>
      <c r="O215" s="821"/>
      <c r="P215" s="821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3">
        <f t="shared" si="4"/>
        <v>14</v>
      </c>
      <c r="C216" s="810" t="s">
        <v>393</v>
      </c>
      <c r="D216" s="812" t="s">
        <v>87</v>
      </c>
      <c r="E216" s="816" t="s">
        <v>92</v>
      </c>
      <c r="F216" s="820"/>
      <c r="G216" s="820">
        <v>46029</v>
      </c>
      <c r="H216" s="1326" t="s">
        <v>548</v>
      </c>
      <c r="I216" s="1327"/>
      <c r="J216" s="1327"/>
      <c r="K216" s="1328"/>
      <c r="L216" s="820">
        <v>46029</v>
      </c>
      <c r="M216" s="714" t="s">
        <v>662</v>
      </c>
      <c r="N216" s="821"/>
      <c r="O216" s="821"/>
      <c r="P216" s="821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3">
        <f t="shared" si="4"/>
        <v>15</v>
      </c>
      <c r="C217" s="810" t="s">
        <v>394</v>
      </c>
      <c r="D217" s="812" t="s">
        <v>87</v>
      </c>
      <c r="E217" s="816" t="s">
        <v>542</v>
      </c>
      <c r="F217" s="820"/>
      <c r="G217" s="820">
        <v>46029</v>
      </c>
      <c r="H217" s="1282" t="s">
        <v>548</v>
      </c>
      <c r="I217" s="1283"/>
      <c r="J217" s="1283"/>
      <c r="K217" s="1284"/>
      <c r="L217" s="820">
        <v>46029</v>
      </c>
      <c r="M217" s="714" t="s">
        <v>662</v>
      </c>
      <c r="N217" s="821"/>
      <c r="O217" s="821"/>
      <c r="P217" s="821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3">
        <f t="shared" si="4"/>
        <v>16</v>
      </c>
      <c r="C218" s="810" t="s">
        <v>313</v>
      </c>
      <c r="D218" s="812" t="s">
        <v>95</v>
      </c>
      <c r="E218" s="816" t="s">
        <v>664</v>
      </c>
      <c r="F218" s="820"/>
      <c r="G218" s="820">
        <v>46033</v>
      </c>
      <c r="H218" s="1277" t="s">
        <v>548</v>
      </c>
      <c r="I218" s="1278"/>
      <c r="J218" s="1278"/>
      <c r="K218" s="1278"/>
      <c r="L218" s="820">
        <v>46033</v>
      </c>
      <c r="M218" s="714" t="s">
        <v>675</v>
      </c>
      <c r="N218" s="821"/>
      <c r="O218" s="821"/>
      <c r="P218" s="821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3">
        <f t="shared" si="4"/>
        <v>17</v>
      </c>
      <c r="C219" s="810" t="s">
        <v>314</v>
      </c>
      <c r="D219" s="812" t="s">
        <v>87</v>
      </c>
      <c r="E219" s="816" t="s">
        <v>88</v>
      </c>
      <c r="F219" s="820"/>
      <c r="G219" s="820">
        <v>46033</v>
      </c>
      <c r="H219" s="1277" t="s">
        <v>548</v>
      </c>
      <c r="I219" s="1278"/>
      <c r="J219" s="1278"/>
      <c r="K219" s="1278"/>
      <c r="L219" s="820">
        <v>46033</v>
      </c>
      <c r="M219" s="714" t="s">
        <v>675</v>
      </c>
      <c r="N219" s="821"/>
      <c r="O219" s="821"/>
      <c r="P219" s="821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3">
        <f t="shared" si="4"/>
        <v>18</v>
      </c>
      <c r="C220" s="819" t="s">
        <v>254</v>
      </c>
      <c r="D220" s="812" t="s">
        <v>91</v>
      </c>
      <c r="E220" s="816" t="s">
        <v>542</v>
      </c>
      <c r="F220" s="820"/>
      <c r="G220" s="820">
        <v>46037</v>
      </c>
      <c r="H220" s="1277" t="s">
        <v>548</v>
      </c>
      <c r="I220" s="1278"/>
      <c r="J220" s="1278"/>
      <c r="K220" s="1278"/>
      <c r="L220" s="820">
        <v>46037</v>
      </c>
      <c r="M220" s="714" t="s">
        <v>674</v>
      </c>
      <c r="N220" s="821"/>
      <c r="O220" s="821"/>
      <c r="P220" s="821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3">
        <f t="shared" si="4"/>
        <v>19</v>
      </c>
      <c r="C221" s="819" t="s">
        <v>256</v>
      </c>
      <c r="D221" s="812" t="s">
        <v>91</v>
      </c>
      <c r="E221" s="816" t="s">
        <v>664</v>
      </c>
      <c r="F221" s="820"/>
      <c r="G221" s="820">
        <v>46037</v>
      </c>
      <c r="H221" s="1277" t="s">
        <v>548</v>
      </c>
      <c r="I221" s="1278"/>
      <c r="J221" s="1278"/>
      <c r="K221" s="1278"/>
      <c r="L221" s="820">
        <v>46037</v>
      </c>
      <c r="M221" s="714" t="s">
        <v>674</v>
      </c>
      <c r="N221" s="821"/>
      <c r="O221" s="821"/>
      <c r="P221" s="821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3">
        <f t="shared" si="4"/>
        <v>20</v>
      </c>
      <c r="C222" s="819" t="s">
        <v>266</v>
      </c>
      <c r="D222" s="812" t="s">
        <v>87</v>
      </c>
      <c r="E222" s="816" t="s">
        <v>542</v>
      </c>
      <c r="F222" s="820"/>
      <c r="G222" s="820">
        <v>46038</v>
      </c>
      <c r="H222" s="1277" t="s">
        <v>548</v>
      </c>
      <c r="I222" s="1278"/>
      <c r="J222" s="1278"/>
      <c r="K222" s="1278"/>
      <c r="L222" s="820">
        <v>46038</v>
      </c>
      <c r="M222" s="714" t="s">
        <v>674</v>
      </c>
      <c r="N222" s="821"/>
      <c r="O222" s="821"/>
      <c r="P222" s="821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3">
        <f t="shared" si="4"/>
        <v>21</v>
      </c>
      <c r="C223" s="819" t="s">
        <v>267</v>
      </c>
      <c r="D223" s="812" t="s">
        <v>87</v>
      </c>
      <c r="E223" s="816" t="s">
        <v>542</v>
      </c>
      <c r="F223" s="820"/>
      <c r="G223" s="820">
        <v>46038</v>
      </c>
      <c r="H223" s="1277" t="s">
        <v>548</v>
      </c>
      <c r="I223" s="1278"/>
      <c r="J223" s="1278"/>
      <c r="K223" s="1278"/>
      <c r="L223" s="820">
        <v>46038</v>
      </c>
      <c r="M223" s="714" t="s">
        <v>674</v>
      </c>
      <c r="N223" s="821"/>
      <c r="O223" s="821"/>
      <c r="P223" s="821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3">
        <f t="shared" si="4"/>
        <v>22</v>
      </c>
      <c r="C224" s="819" t="s">
        <v>259</v>
      </c>
      <c r="D224" s="812" t="s">
        <v>558</v>
      </c>
      <c r="E224" s="816" t="s">
        <v>542</v>
      </c>
      <c r="F224" s="820"/>
      <c r="G224" s="820">
        <v>46040</v>
      </c>
      <c r="H224" s="1277" t="s">
        <v>548</v>
      </c>
      <c r="I224" s="1278"/>
      <c r="J224" s="1278"/>
      <c r="K224" s="1278"/>
      <c r="L224" s="820">
        <v>46040</v>
      </c>
      <c r="M224" s="714" t="s">
        <v>674</v>
      </c>
      <c r="N224" s="821"/>
      <c r="O224" s="821"/>
      <c r="P224" s="821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3">
        <f t="shared" si="4"/>
        <v>23</v>
      </c>
      <c r="C225" s="819" t="s">
        <v>258</v>
      </c>
      <c r="D225" s="812" t="s">
        <v>87</v>
      </c>
      <c r="E225" s="816" t="s">
        <v>542</v>
      </c>
      <c r="F225" s="820"/>
      <c r="G225" s="820">
        <v>46043</v>
      </c>
      <c r="H225" s="1277" t="s">
        <v>548</v>
      </c>
      <c r="I225" s="1278"/>
      <c r="J225" s="1278"/>
      <c r="K225" s="1278"/>
      <c r="L225" s="820">
        <v>46043</v>
      </c>
      <c r="M225" s="714" t="s">
        <v>674</v>
      </c>
      <c r="N225" s="821"/>
      <c r="O225" s="821"/>
      <c r="P225" s="821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3">
        <f t="shared" si="4"/>
        <v>24</v>
      </c>
      <c r="C226" s="819" t="s">
        <v>268</v>
      </c>
      <c r="D226" s="812" t="s">
        <v>87</v>
      </c>
      <c r="E226" s="816" t="s">
        <v>92</v>
      </c>
      <c r="F226" s="820"/>
      <c r="G226" s="820">
        <v>46044</v>
      </c>
      <c r="H226" s="1277" t="s">
        <v>548</v>
      </c>
      <c r="I226" s="1278"/>
      <c r="J226" s="1278"/>
      <c r="K226" s="1278"/>
      <c r="L226" s="820">
        <v>46044</v>
      </c>
      <c r="M226" s="714" t="s">
        <v>674</v>
      </c>
      <c r="N226" s="821"/>
      <c r="O226" s="821"/>
      <c r="P226" s="821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3">
        <f t="shared" si="4"/>
        <v>25</v>
      </c>
      <c r="C227" s="819" t="s">
        <v>265</v>
      </c>
      <c r="D227" s="812" t="s">
        <v>95</v>
      </c>
      <c r="E227" s="816" t="s">
        <v>542</v>
      </c>
      <c r="F227" s="820"/>
      <c r="G227" s="820">
        <v>46044</v>
      </c>
      <c r="H227" s="1277" t="s">
        <v>548</v>
      </c>
      <c r="I227" s="1278"/>
      <c r="J227" s="1278"/>
      <c r="K227" s="1278"/>
      <c r="L227" s="820">
        <v>46044</v>
      </c>
      <c r="M227" s="714" t="s">
        <v>674</v>
      </c>
      <c r="N227" s="821"/>
      <c r="O227" s="821"/>
      <c r="P227" s="821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3">
        <f t="shared" si="4"/>
        <v>26</v>
      </c>
      <c r="C228" s="810" t="s">
        <v>276</v>
      </c>
      <c r="D228" s="812" t="s">
        <v>87</v>
      </c>
      <c r="E228" s="816" t="s">
        <v>92</v>
      </c>
      <c r="F228" s="820"/>
      <c r="G228" s="820">
        <v>46045</v>
      </c>
      <c r="H228" s="1277" t="s">
        <v>548</v>
      </c>
      <c r="I228" s="1278"/>
      <c r="J228" s="1278"/>
      <c r="K228" s="1278"/>
      <c r="L228" s="820">
        <v>46045</v>
      </c>
      <c r="M228" s="714" t="s">
        <v>674</v>
      </c>
      <c r="N228" s="821"/>
      <c r="O228" s="821"/>
      <c r="P228" s="821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3">
        <f t="shared" si="4"/>
        <v>27</v>
      </c>
      <c r="C229" s="810" t="s">
        <v>284</v>
      </c>
      <c r="D229" s="812" t="s">
        <v>91</v>
      </c>
      <c r="E229" s="816" t="s">
        <v>92</v>
      </c>
      <c r="F229" s="820"/>
      <c r="G229" s="820">
        <v>46046</v>
      </c>
      <c r="H229" s="1277" t="s">
        <v>548</v>
      </c>
      <c r="I229" s="1278"/>
      <c r="J229" s="1278"/>
      <c r="K229" s="1278"/>
      <c r="L229" s="820">
        <v>46046</v>
      </c>
      <c r="M229" s="714" t="s">
        <v>674</v>
      </c>
      <c r="N229" s="821"/>
      <c r="O229" s="821"/>
      <c r="P229" s="821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3">
        <f t="shared" si="4"/>
        <v>28</v>
      </c>
      <c r="C230" s="819" t="s">
        <v>402</v>
      </c>
      <c r="D230" s="812" t="s">
        <v>91</v>
      </c>
      <c r="E230" s="816" t="s">
        <v>542</v>
      </c>
      <c r="F230" s="820"/>
      <c r="G230" s="820">
        <v>46045</v>
      </c>
      <c r="H230" s="1277" t="s">
        <v>548</v>
      </c>
      <c r="I230" s="1278"/>
      <c r="J230" s="1278"/>
      <c r="K230" s="1278"/>
      <c r="L230" s="820">
        <v>46047</v>
      </c>
      <c r="M230" s="714" t="s">
        <v>662</v>
      </c>
      <c r="N230" s="821"/>
      <c r="O230" s="821"/>
      <c r="P230" s="821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3">
        <f t="shared" si="4"/>
        <v>29</v>
      </c>
      <c r="C231" s="674" t="s">
        <v>429</v>
      </c>
      <c r="D231" s="675" t="s">
        <v>669</v>
      </c>
      <c r="E231" s="674" t="s">
        <v>92</v>
      </c>
      <c r="F231" s="820"/>
      <c r="G231" s="820">
        <v>46050</v>
      </c>
      <c r="H231" s="1277" t="s">
        <v>548</v>
      </c>
      <c r="I231" s="1278"/>
      <c r="J231" s="1278"/>
      <c r="K231" s="1278"/>
      <c r="L231" s="820">
        <v>46050</v>
      </c>
      <c r="M231" s="714" t="s">
        <v>674</v>
      </c>
      <c r="N231" s="821"/>
      <c r="O231" s="821"/>
      <c r="P231" s="821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3">
        <f t="shared" si="4"/>
        <v>30</v>
      </c>
      <c r="C232" s="674" t="s">
        <v>482</v>
      </c>
      <c r="D232" s="675" t="s">
        <v>558</v>
      </c>
      <c r="E232" s="674" t="s">
        <v>542</v>
      </c>
      <c r="F232" s="722"/>
      <c r="G232" s="820">
        <v>46054</v>
      </c>
      <c r="H232" s="1277" t="s">
        <v>548</v>
      </c>
      <c r="I232" s="1278"/>
      <c r="J232" s="1278"/>
      <c r="K232" s="1278"/>
      <c r="L232" s="820">
        <v>46054</v>
      </c>
      <c r="M232" s="714" t="s">
        <v>662</v>
      </c>
      <c r="N232" s="821"/>
      <c r="O232" s="821"/>
      <c r="P232" s="821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3">
        <f t="shared" si="4"/>
        <v>31</v>
      </c>
      <c r="C233" s="683" t="s">
        <v>404</v>
      </c>
      <c r="D233" s="675" t="s">
        <v>87</v>
      </c>
      <c r="E233" s="674" t="s">
        <v>92</v>
      </c>
      <c r="F233" s="820"/>
      <c r="G233" s="820">
        <v>46055</v>
      </c>
      <c r="H233" s="1277" t="s">
        <v>548</v>
      </c>
      <c r="I233" s="1278"/>
      <c r="J233" s="1278"/>
      <c r="K233" s="1278"/>
      <c r="L233" s="820">
        <v>46055</v>
      </c>
      <c r="M233" s="714" t="s">
        <v>662</v>
      </c>
      <c r="N233" s="821"/>
      <c r="O233" s="821"/>
      <c r="P233" s="821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3">
        <f t="shared" si="4"/>
        <v>32</v>
      </c>
      <c r="C234" s="674" t="s">
        <v>418</v>
      </c>
      <c r="D234" s="675" t="s">
        <v>686</v>
      </c>
      <c r="E234" s="674" t="s">
        <v>92</v>
      </c>
      <c r="F234" s="722"/>
      <c r="G234" s="820">
        <v>46056</v>
      </c>
      <c r="H234" s="1277" t="s">
        <v>548</v>
      </c>
      <c r="I234" s="1278"/>
      <c r="J234" s="1278"/>
      <c r="K234" s="1278"/>
      <c r="L234" s="820">
        <v>46056</v>
      </c>
      <c r="M234" s="714" t="s">
        <v>674</v>
      </c>
      <c r="N234" s="821"/>
      <c r="O234" s="821"/>
      <c r="P234" s="821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3">
        <f t="shared" si="4"/>
        <v>33</v>
      </c>
      <c r="C235" s="674" t="s">
        <v>327</v>
      </c>
      <c r="D235" s="675" t="s">
        <v>87</v>
      </c>
      <c r="E235" s="674" t="s">
        <v>92</v>
      </c>
      <c r="F235" s="722"/>
      <c r="G235" s="820">
        <v>46066</v>
      </c>
      <c r="H235" s="1277" t="s">
        <v>548</v>
      </c>
      <c r="I235" s="1278"/>
      <c r="J235" s="1278"/>
      <c r="K235" s="1278"/>
      <c r="L235" s="820">
        <v>46066</v>
      </c>
      <c r="M235" s="827" t="s">
        <v>89</v>
      </c>
      <c r="N235" s="821"/>
      <c r="O235" s="821"/>
      <c r="P235" s="821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3">
        <f t="shared" si="4"/>
        <v>34</v>
      </c>
      <c r="C236" s="682" t="s">
        <v>625</v>
      </c>
      <c r="D236" s="675" t="s">
        <v>87</v>
      </c>
      <c r="E236" s="674" t="s">
        <v>92</v>
      </c>
      <c r="F236" s="722"/>
      <c r="G236" s="820">
        <v>46067</v>
      </c>
      <c r="H236" s="1277" t="s">
        <v>548</v>
      </c>
      <c r="I236" s="1278"/>
      <c r="J236" s="1278"/>
      <c r="K236" s="1278"/>
      <c r="L236" s="820">
        <v>46067</v>
      </c>
      <c r="M236" s="827" t="s">
        <v>675</v>
      </c>
      <c r="N236" s="821"/>
      <c r="O236" s="821"/>
      <c r="P236" s="821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3">
        <f t="shared" si="4"/>
        <v>35</v>
      </c>
      <c r="C237" s="683" t="s">
        <v>331</v>
      </c>
      <c r="D237" s="675" t="s">
        <v>87</v>
      </c>
      <c r="E237" s="674" t="s">
        <v>542</v>
      </c>
      <c r="F237" s="722"/>
      <c r="G237" s="820">
        <v>46067</v>
      </c>
      <c r="H237" s="1277" t="s">
        <v>548</v>
      </c>
      <c r="I237" s="1278"/>
      <c r="J237" s="1278"/>
      <c r="K237" s="1278"/>
      <c r="L237" s="820">
        <v>46067</v>
      </c>
      <c r="M237" s="827" t="s">
        <v>89</v>
      </c>
      <c r="N237" s="821"/>
      <c r="O237" s="821"/>
      <c r="P237" s="821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3">
        <f t="shared" si="4"/>
        <v>36</v>
      </c>
      <c r="C238" s="688" t="s">
        <v>223</v>
      </c>
      <c r="D238" s="675" t="s">
        <v>87</v>
      </c>
      <c r="E238" s="674" t="s">
        <v>92</v>
      </c>
      <c r="F238" s="722"/>
      <c r="G238" s="820">
        <v>46068</v>
      </c>
      <c r="H238" s="1277" t="s">
        <v>548</v>
      </c>
      <c r="I238" s="1278"/>
      <c r="J238" s="1278"/>
      <c r="K238" s="1278"/>
      <c r="L238" s="820">
        <v>46068</v>
      </c>
      <c r="M238" s="714" t="s">
        <v>674</v>
      </c>
      <c r="N238" s="821"/>
      <c r="O238" s="821"/>
      <c r="P238" s="821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3">
        <f t="shared" si="4"/>
        <v>37</v>
      </c>
      <c r="C239" s="688" t="s">
        <v>235</v>
      </c>
      <c r="D239" s="675" t="s">
        <v>91</v>
      </c>
      <c r="E239" s="674" t="s">
        <v>92</v>
      </c>
      <c r="F239" s="722"/>
      <c r="G239" s="820">
        <v>46069</v>
      </c>
      <c r="H239" s="1277" t="s">
        <v>548</v>
      </c>
      <c r="I239" s="1278"/>
      <c r="J239" s="1278"/>
      <c r="K239" s="1278"/>
      <c r="L239" s="820">
        <v>46069</v>
      </c>
      <c r="M239" s="714" t="s">
        <v>674</v>
      </c>
      <c r="N239" s="821"/>
      <c r="O239" s="821"/>
      <c r="P239" s="821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3">
        <f t="shared" si="4"/>
        <v>38</v>
      </c>
      <c r="C240" s="688" t="s">
        <v>242</v>
      </c>
      <c r="D240" s="675" t="s">
        <v>213</v>
      </c>
      <c r="E240" s="674" t="s">
        <v>92</v>
      </c>
      <c r="F240" s="722"/>
      <c r="G240" s="820">
        <v>46070</v>
      </c>
      <c r="H240" s="1277" t="s">
        <v>548</v>
      </c>
      <c r="I240" s="1278"/>
      <c r="J240" s="1278"/>
      <c r="K240" s="1278"/>
      <c r="L240" s="820">
        <v>46070</v>
      </c>
      <c r="M240" s="714" t="s">
        <v>674</v>
      </c>
      <c r="N240" s="821"/>
      <c r="O240" s="821"/>
      <c r="P240" s="821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3">
        <f t="shared" si="4"/>
        <v>39</v>
      </c>
      <c r="C241" s="674" t="s">
        <v>622</v>
      </c>
      <c r="D241" s="684" t="s">
        <v>87</v>
      </c>
      <c r="E241" s="674" t="s">
        <v>92</v>
      </c>
      <c r="F241" s="722"/>
      <c r="G241" s="820">
        <v>46071</v>
      </c>
      <c r="H241" s="1277" t="s">
        <v>548</v>
      </c>
      <c r="I241" s="1278"/>
      <c r="J241" s="1278"/>
      <c r="K241" s="1278"/>
      <c r="L241" s="820">
        <v>46070</v>
      </c>
      <c r="M241" s="714" t="s">
        <v>688</v>
      </c>
      <c r="N241" s="821"/>
      <c r="O241" s="821"/>
      <c r="P241" s="821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3">
        <f t="shared" si="4"/>
        <v>40</v>
      </c>
      <c r="C242" s="674" t="s">
        <v>224</v>
      </c>
      <c r="D242" s="687" t="s">
        <v>87</v>
      </c>
      <c r="E242" s="683" t="s">
        <v>664</v>
      </c>
      <c r="F242" s="820"/>
      <c r="G242" s="820">
        <v>46071</v>
      </c>
      <c r="H242" s="1277" t="s">
        <v>548</v>
      </c>
      <c r="I242" s="1278"/>
      <c r="J242" s="1278"/>
      <c r="K242" s="1278"/>
      <c r="L242" s="820">
        <v>46070</v>
      </c>
      <c r="M242" s="714" t="s">
        <v>674</v>
      </c>
      <c r="N242" s="821"/>
      <c r="O242" s="821"/>
      <c r="P242" s="821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3">
        <f t="shared" si="4"/>
        <v>41</v>
      </c>
      <c r="C243" s="682" t="s">
        <v>260</v>
      </c>
      <c r="D243" s="675" t="s">
        <v>87</v>
      </c>
      <c r="E243" s="674" t="s">
        <v>88</v>
      </c>
      <c r="F243" s="820"/>
      <c r="G243" s="820">
        <v>46072</v>
      </c>
      <c r="H243" s="1277" t="s">
        <v>548</v>
      </c>
      <c r="I243" s="1278"/>
      <c r="J243" s="1278"/>
      <c r="K243" s="1278"/>
      <c r="L243" s="820">
        <v>46072</v>
      </c>
      <c r="M243" s="714" t="s">
        <v>674</v>
      </c>
      <c r="N243" s="821"/>
      <c r="O243" s="821"/>
      <c r="P243" s="821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3">
        <f t="shared" si="4"/>
        <v>42</v>
      </c>
      <c r="C244" s="674" t="s">
        <v>261</v>
      </c>
      <c r="D244" s="675" t="s">
        <v>95</v>
      </c>
      <c r="E244" s="674" t="s">
        <v>542</v>
      </c>
      <c r="F244" s="820"/>
      <c r="G244" s="820">
        <v>46072</v>
      </c>
      <c r="H244" s="1277" t="s">
        <v>548</v>
      </c>
      <c r="I244" s="1278"/>
      <c r="J244" s="1278"/>
      <c r="K244" s="1278"/>
      <c r="L244" s="820">
        <v>46072</v>
      </c>
      <c r="M244" s="714" t="s">
        <v>674</v>
      </c>
      <c r="N244" s="821"/>
      <c r="O244" s="821"/>
      <c r="P244" s="821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3">
        <f t="shared" si="4"/>
        <v>43</v>
      </c>
      <c r="C245" s="682" t="s">
        <v>243</v>
      </c>
      <c r="D245" s="675" t="s">
        <v>87</v>
      </c>
      <c r="E245" s="674" t="s">
        <v>542</v>
      </c>
      <c r="F245" s="820"/>
      <c r="G245" s="820">
        <v>46072</v>
      </c>
      <c r="H245" s="1277" t="s">
        <v>548</v>
      </c>
      <c r="I245" s="1278"/>
      <c r="J245" s="1278"/>
      <c r="K245" s="1278"/>
      <c r="L245" s="820">
        <v>46072</v>
      </c>
      <c r="M245" s="714" t="s">
        <v>674</v>
      </c>
      <c r="N245" s="821"/>
      <c r="O245" s="821"/>
      <c r="P245" s="821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3">
        <f t="shared" si="4"/>
        <v>44</v>
      </c>
      <c r="C246" s="682" t="s">
        <v>250</v>
      </c>
      <c r="D246" s="675" t="s">
        <v>87</v>
      </c>
      <c r="E246" s="674" t="s">
        <v>542</v>
      </c>
      <c r="F246" s="820"/>
      <c r="G246" s="820">
        <v>46072</v>
      </c>
      <c r="H246" s="1277" t="s">
        <v>548</v>
      </c>
      <c r="I246" s="1278"/>
      <c r="J246" s="1278"/>
      <c r="K246" s="1278"/>
      <c r="L246" s="820">
        <v>46072</v>
      </c>
      <c r="M246" s="714" t="s">
        <v>674</v>
      </c>
      <c r="N246" s="821"/>
      <c r="O246" s="821"/>
      <c r="P246" s="821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3">
        <f t="shared" si="4"/>
        <v>45</v>
      </c>
      <c r="C247" s="676" t="s">
        <v>252</v>
      </c>
      <c r="D247" s="677" t="s">
        <v>87</v>
      </c>
      <c r="E247" s="676" t="s">
        <v>542</v>
      </c>
      <c r="F247" s="825"/>
      <c r="G247" s="825">
        <v>46075</v>
      </c>
      <c r="H247" s="1268" t="s">
        <v>548</v>
      </c>
      <c r="I247" s="1269"/>
      <c r="J247" s="1269"/>
      <c r="K247" s="1269"/>
      <c r="L247" s="825">
        <v>46075</v>
      </c>
      <c r="M247" s="828" t="s">
        <v>674</v>
      </c>
      <c r="N247" s="826"/>
      <c r="O247" s="826"/>
      <c r="P247" s="826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3">
        <f t="shared" si="4"/>
        <v>46</v>
      </c>
      <c r="C248" s="674" t="s">
        <v>277</v>
      </c>
      <c r="D248" s="675" t="s">
        <v>95</v>
      </c>
      <c r="E248" s="674" t="s">
        <v>542</v>
      </c>
      <c r="F248" s="820"/>
      <c r="G248" s="820">
        <v>46075</v>
      </c>
      <c r="H248" s="1277" t="s">
        <v>548</v>
      </c>
      <c r="I248" s="1278"/>
      <c r="J248" s="1278"/>
      <c r="K248" s="1278"/>
      <c r="L248" s="820">
        <v>46075</v>
      </c>
      <c r="M248" s="714" t="s">
        <v>674</v>
      </c>
      <c r="N248" s="821"/>
      <c r="O248" s="821"/>
      <c r="P248" s="821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3">
        <f t="shared" si="4"/>
        <v>47</v>
      </c>
      <c r="C249" s="674" t="s">
        <v>274</v>
      </c>
      <c r="D249" s="675" t="s">
        <v>87</v>
      </c>
      <c r="E249" s="674" t="s">
        <v>542</v>
      </c>
      <c r="F249" s="820"/>
      <c r="G249" s="820">
        <v>46075</v>
      </c>
      <c r="H249" s="1277" t="s">
        <v>548</v>
      </c>
      <c r="I249" s="1278"/>
      <c r="J249" s="1278"/>
      <c r="K249" s="1278"/>
      <c r="L249" s="820">
        <v>46075</v>
      </c>
      <c r="M249" s="714" t="s">
        <v>674</v>
      </c>
      <c r="N249" s="821"/>
      <c r="O249" s="821"/>
      <c r="P249" s="821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3">
        <f t="shared" si="4"/>
        <v>48</v>
      </c>
      <c r="C250" s="674" t="s">
        <v>271</v>
      </c>
      <c r="D250" s="675" t="s">
        <v>87</v>
      </c>
      <c r="E250" s="674" t="s">
        <v>542</v>
      </c>
      <c r="F250" s="820"/>
      <c r="G250" s="820">
        <v>46075</v>
      </c>
      <c r="H250" s="1277" t="s">
        <v>548</v>
      </c>
      <c r="I250" s="1278"/>
      <c r="J250" s="1278"/>
      <c r="K250" s="1278"/>
      <c r="L250" s="820">
        <v>46075</v>
      </c>
      <c r="M250" s="714" t="s">
        <v>674</v>
      </c>
      <c r="N250" s="821"/>
      <c r="O250" s="821"/>
      <c r="P250" s="821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16">
        <f t="shared" si="4"/>
        <v>49</v>
      </c>
      <c r="C251" s="694" t="s">
        <v>340</v>
      </c>
      <c r="D251" s="684" t="s">
        <v>87</v>
      </c>
      <c r="E251" s="674" t="s">
        <v>92</v>
      </c>
      <c r="F251" s="820"/>
      <c r="G251" s="820">
        <v>46077</v>
      </c>
      <c r="H251" s="1277" t="s">
        <v>548</v>
      </c>
      <c r="I251" s="1278"/>
      <c r="J251" s="1278"/>
      <c r="K251" s="1278"/>
      <c r="L251" s="820">
        <v>46077</v>
      </c>
      <c r="M251" s="714" t="s">
        <v>89</v>
      </c>
      <c r="N251" s="821"/>
      <c r="O251" s="821"/>
      <c r="P251" s="821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16">
        <f t="shared" si="4"/>
        <v>50</v>
      </c>
      <c r="C252" s="694" t="s">
        <v>408</v>
      </c>
      <c r="D252" s="675" t="s">
        <v>87</v>
      </c>
      <c r="E252" s="674" t="s">
        <v>542</v>
      </c>
      <c r="F252" s="820"/>
      <c r="G252" s="820">
        <v>46083</v>
      </c>
      <c r="H252" s="1277" t="s">
        <v>548</v>
      </c>
      <c r="I252" s="1278"/>
      <c r="J252" s="1278"/>
      <c r="K252" s="1278"/>
      <c r="L252" s="820">
        <v>46083</v>
      </c>
      <c r="M252" s="714" t="s">
        <v>661</v>
      </c>
      <c r="N252" s="821"/>
      <c r="O252" s="821"/>
      <c r="P252" s="821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6">
        <f t="shared" si="4"/>
        <v>51</v>
      </c>
      <c r="C253" s="694" t="s">
        <v>409</v>
      </c>
      <c r="D253" s="685" t="s">
        <v>87</v>
      </c>
      <c r="E253" s="829" t="s">
        <v>92</v>
      </c>
      <c r="F253" s="820"/>
      <c r="G253" s="820">
        <v>46083</v>
      </c>
      <c r="H253" s="1277" t="s">
        <v>548</v>
      </c>
      <c r="I253" s="1278"/>
      <c r="J253" s="1278"/>
      <c r="K253" s="1278"/>
      <c r="L253" s="820">
        <v>46083</v>
      </c>
      <c r="M253" s="714" t="s">
        <v>661</v>
      </c>
      <c r="N253" s="821"/>
      <c r="O253" s="821"/>
      <c r="P253" s="821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6">
        <f t="shared" si="4"/>
        <v>52</v>
      </c>
      <c r="C254" s="694" t="s">
        <v>614</v>
      </c>
      <c r="D254" s="675" t="s">
        <v>87</v>
      </c>
      <c r="E254" s="674" t="s">
        <v>542</v>
      </c>
      <c r="F254" s="820"/>
      <c r="G254" s="820">
        <v>46083</v>
      </c>
      <c r="H254" s="1277" t="s">
        <v>548</v>
      </c>
      <c r="I254" s="1278"/>
      <c r="J254" s="1278"/>
      <c r="K254" s="1278"/>
      <c r="L254" s="820">
        <v>46083</v>
      </c>
      <c r="M254" s="714" t="s">
        <v>661</v>
      </c>
      <c r="N254" s="821"/>
      <c r="O254" s="821"/>
      <c r="P254" s="821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6">
        <f t="shared" si="4"/>
        <v>53</v>
      </c>
      <c r="C255" s="694" t="s">
        <v>616</v>
      </c>
      <c r="D255" s="684" t="s">
        <v>87</v>
      </c>
      <c r="E255" s="674" t="s">
        <v>542</v>
      </c>
      <c r="F255" s="820"/>
      <c r="G255" s="820">
        <v>46083</v>
      </c>
      <c r="H255" s="1277" t="s">
        <v>548</v>
      </c>
      <c r="I255" s="1278"/>
      <c r="J255" s="1278"/>
      <c r="K255" s="1278"/>
      <c r="L255" s="820">
        <v>46083</v>
      </c>
      <c r="M255" s="714" t="s">
        <v>661</v>
      </c>
      <c r="N255" s="821"/>
      <c r="O255" s="821"/>
      <c r="P255" s="821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6">
        <f t="shared" si="4"/>
        <v>54</v>
      </c>
      <c r="C256" s="694" t="s">
        <v>617</v>
      </c>
      <c r="D256" s="687" t="s">
        <v>87</v>
      </c>
      <c r="E256" s="674" t="s">
        <v>92</v>
      </c>
      <c r="F256" s="820"/>
      <c r="G256" s="820">
        <v>46084</v>
      </c>
      <c r="H256" s="1277" t="s">
        <v>548</v>
      </c>
      <c r="I256" s="1278"/>
      <c r="J256" s="1278"/>
      <c r="K256" s="1278"/>
      <c r="L256" s="820">
        <v>46084</v>
      </c>
      <c r="M256" s="714" t="s">
        <v>661</v>
      </c>
      <c r="N256" s="821"/>
      <c r="O256" s="821"/>
      <c r="P256" s="821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6">
        <f t="shared" si="4"/>
        <v>55</v>
      </c>
      <c r="C257" s="688" t="s">
        <v>618</v>
      </c>
      <c r="D257" s="687" t="s">
        <v>87</v>
      </c>
      <c r="E257" s="674" t="s">
        <v>92</v>
      </c>
      <c r="F257" s="820"/>
      <c r="G257" s="820">
        <v>46084</v>
      </c>
      <c r="H257" s="1277" t="s">
        <v>548</v>
      </c>
      <c r="I257" s="1278"/>
      <c r="J257" s="1278"/>
      <c r="K257" s="1278"/>
      <c r="L257" s="820">
        <v>46084</v>
      </c>
      <c r="M257" s="714" t="s">
        <v>661</v>
      </c>
      <c r="N257" s="821"/>
      <c r="O257" s="821"/>
      <c r="P257" s="821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6">
        <f t="shared" si="4"/>
        <v>56</v>
      </c>
      <c r="C258" s="674" t="s">
        <v>407</v>
      </c>
      <c r="D258" s="675" t="s">
        <v>87</v>
      </c>
      <c r="E258" s="674" t="s">
        <v>92</v>
      </c>
      <c r="F258" s="820"/>
      <c r="G258" s="820">
        <v>46084</v>
      </c>
      <c r="H258" s="1277" t="s">
        <v>548</v>
      </c>
      <c r="I258" s="1278"/>
      <c r="J258" s="1278"/>
      <c r="K258" s="1278"/>
      <c r="L258" s="820">
        <v>46084</v>
      </c>
      <c r="M258" s="827" t="s">
        <v>675</v>
      </c>
      <c r="N258" s="821"/>
      <c r="O258" s="821"/>
      <c r="P258" s="821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6">
        <f t="shared" si="4"/>
        <v>57</v>
      </c>
      <c r="C259" s="674" t="s">
        <v>405</v>
      </c>
      <c r="D259" s="675" t="s">
        <v>87</v>
      </c>
      <c r="E259" s="674" t="s">
        <v>92</v>
      </c>
      <c r="F259" s="830"/>
      <c r="G259" s="820">
        <v>46088</v>
      </c>
      <c r="H259" s="1277" t="s">
        <v>548</v>
      </c>
      <c r="I259" s="1278"/>
      <c r="J259" s="1278"/>
      <c r="K259" s="1278"/>
      <c r="L259" s="820">
        <v>46088</v>
      </c>
      <c r="M259" s="827" t="s">
        <v>675</v>
      </c>
      <c r="N259" s="821"/>
      <c r="O259" s="821"/>
      <c r="P259" s="821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24">
        <f t="shared" si="4"/>
        <v>58</v>
      </c>
      <c r="C260" s="831" t="s">
        <v>406</v>
      </c>
      <c r="D260" s="677" t="s">
        <v>91</v>
      </c>
      <c r="E260" s="676" t="s">
        <v>92</v>
      </c>
      <c r="F260" s="830"/>
      <c r="G260" s="825">
        <v>46088</v>
      </c>
      <c r="H260" s="1268" t="s">
        <v>548</v>
      </c>
      <c r="I260" s="1269"/>
      <c r="J260" s="1269"/>
      <c r="K260" s="1269"/>
      <c r="L260" s="825">
        <v>46088</v>
      </c>
      <c r="M260" s="832" t="s">
        <v>675</v>
      </c>
      <c r="N260" s="826"/>
      <c r="O260" s="826"/>
      <c r="P260" s="826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16">
        <f t="shared" si="4"/>
        <v>59</v>
      </c>
      <c r="C261" s="682" t="s">
        <v>346</v>
      </c>
      <c r="D261" s="675" t="s">
        <v>109</v>
      </c>
      <c r="E261" s="674" t="s">
        <v>664</v>
      </c>
      <c r="F261" s="820"/>
      <c r="G261" s="820">
        <v>46089</v>
      </c>
      <c r="H261" s="1277" t="s">
        <v>548</v>
      </c>
      <c r="I261" s="1278"/>
      <c r="J261" s="1278"/>
      <c r="K261" s="1278"/>
      <c r="L261" s="820">
        <v>46089</v>
      </c>
      <c r="M261" s="827" t="s">
        <v>89</v>
      </c>
      <c r="N261" s="821"/>
      <c r="O261" s="821"/>
      <c r="P261" s="821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16">
        <f t="shared" si="4"/>
        <v>60</v>
      </c>
      <c r="C262" s="683" t="s">
        <v>353</v>
      </c>
      <c r="D262" s="687" t="s">
        <v>87</v>
      </c>
      <c r="E262" s="674" t="s">
        <v>92</v>
      </c>
      <c r="F262" s="820"/>
      <c r="G262" s="820">
        <v>46094</v>
      </c>
      <c r="H262" s="1277" t="s">
        <v>548</v>
      </c>
      <c r="I262" s="1278"/>
      <c r="J262" s="1278"/>
      <c r="K262" s="1278"/>
      <c r="L262" s="820">
        <v>46094</v>
      </c>
      <c r="M262" s="827" t="s">
        <v>89</v>
      </c>
      <c r="N262" s="821"/>
      <c r="O262" s="821"/>
      <c r="P262" s="821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6">
        <f t="shared" si="4"/>
        <v>61</v>
      </c>
      <c r="C263" s="675" t="s">
        <v>233</v>
      </c>
      <c r="D263" s="691" t="s">
        <v>213</v>
      </c>
      <c r="E263" s="674" t="s">
        <v>92</v>
      </c>
      <c r="F263" s="712"/>
      <c r="G263" s="712">
        <v>46094</v>
      </c>
      <c r="H263" s="1277" t="s">
        <v>548</v>
      </c>
      <c r="I263" s="1278"/>
      <c r="J263" s="1278"/>
      <c r="K263" s="1278"/>
      <c r="L263" s="833">
        <v>46095</v>
      </c>
      <c r="M263" s="834" t="s">
        <v>759</v>
      </c>
      <c r="N263" s="714"/>
      <c r="O263" s="715"/>
      <c r="P263" s="716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6">
        <f t="shared" si="4"/>
        <v>62</v>
      </c>
      <c r="C264" s="675" t="s">
        <v>234</v>
      </c>
      <c r="D264" s="691" t="s">
        <v>87</v>
      </c>
      <c r="E264" s="674" t="s">
        <v>92</v>
      </c>
      <c r="F264" s="698" t="s">
        <v>92</v>
      </c>
      <c r="G264" s="712">
        <v>46098</v>
      </c>
      <c r="H264" s="1277" t="s">
        <v>548</v>
      </c>
      <c r="I264" s="1278"/>
      <c r="J264" s="1278"/>
      <c r="K264" s="1278"/>
      <c r="L264" s="712">
        <v>46098</v>
      </c>
      <c r="M264" s="834" t="s">
        <v>759</v>
      </c>
      <c r="N264" s="714"/>
      <c r="O264" s="715"/>
      <c r="P264" s="716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6">
        <f t="shared" si="4"/>
        <v>63</v>
      </c>
      <c r="C265" s="682" t="s">
        <v>481</v>
      </c>
      <c r="D265" s="691" t="s">
        <v>237</v>
      </c>
      <c r="E265" s="674" t="s">
        <v>92</v>
      </c>
      <c r="F265" s="712"/>
      <c r="G265" s="712">
        <v>46101</v>
      </c>
      <c r="H265" s="1277" t="s">
        <v>548</v>
      </c>
      <c r="I265" s="1278"/>
      <c r="J265" s="1278"/>
      <c r="K265" s="1278"/>
      <c r="L265" s="835">
        <v>46104</v>
      </c>
      <c r="M265" s="714" t="s">
        <v>660</v>
      </c>
      <c r="N265" s="714"/>
      <c r="O265" s="715"/>
      <c r="P265" s="716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6">
        <f t="shared" si="4"/>
        <v>64</v>
      </c>
      <c r="C266" s="695" t="s">
        <v>238</v>
      </c>
      <c r="D266" s="691" t="s">
        <v>109</v>
      </c>
      <c r="E266" s="674" t="s">
        <v>92</v>
      </c>
      <c r="F266" s="712">
        <v>46098</v>
      </c>
      <c r="G266" s="836">
        <v>46112</v>
      </c>
      <c r="H266" s="1277" t="s">
        <v>548</v>
      </c>
      <c r="I266" s="1278"/>
      <c r="J266" s="1278"/>
      <c r="K266" s="1278"/>
      <c r="L266" s="836">
        <v>46112</v>
      </c>
      <c r="M266" s="714" t="s">
        <v>690</v>
      </c>
      <c r="N266" s="714"/>
      <c r="O266" s="715"/>
      <c r="P266" s="716"/>
      <c r="Q266" s="278"/>
      <c r="R266" s="278"/>
      <c r="S266" s="278"/>
      <c r="T266" s="278"/>
    </row>
    <row r="267" spans="1:20" s="288" customFormat="1" ht="17.55" customHeight="1" x14ac:dyDescent="0.35">
      <c r="B267" s="816">
        <f t="shared" si="4"/>
        <v>65</v>
      </c>
      <c r="C267" s="688" t="s">
        <v>232</v>
      </c>
      <c r="D267" s="691" t="s">
        <v>91</v>
      </c>
      <c r="E267" s="674" t="s">
        <v>92</v>
      </c>
      <c r="F267" s="717"/>
      <c r="G267" s="836">
        <v>46110</v>
      </c>
      <c r="H267" s="1277" t="s">
        <v>548</v>
      </c>
      <c r="I267" s="1278"/>
      <c r="J267" s="1278"/>
      <c r="K267" s="1278"/>
      <c r="L267" s="836">
        <v>46110</v>
      </c>
      <c r="M267" s="714" t="s">
        <v>690</v>
      </c>
      <c r="N267" s="714"/>
      <c r="O267" s="715"/>
      <c r="P267" s="716"/>
      <c r="Q267" s="278"/>
      <c r="R267" s="278"/>
      <c r="S267" s="278"/>
      <c r="T267" s="278"/>
    </row>
    <row r="268" spans="1:20" s="509" customFormat="1" ht="17.55" customHeight="1" x14ac:dyDescent="0.35">
      <c r="B268" s="816">
        <f t="shared" si="4"/>
        <v>66</v>
      </c>
      <c r="C268" s="675" t="s">
        <v>225</v>
      </c>
      <c r="D268" s="691" t="s">
        <v>91</v>
      </c>
      <c r="E268" s="674" t="s">
        <v>92</v>
      </c>
      <c r="F268" s="837"/>
      <c r="G268" s="836">
        <v>46110</v>
      </c>
      <c r="H268" s="1277" t="s">
        <v>548</v>
      </c>
      <c r="I268" s="1278"/>
      <c r="J268" s="1278"/>
      <c r="K268" s="1278"/>
      <c r="L268" s="836">
        <v>46110</v>
      </c>
      <c r="M268" s="714" t="s">
        <v>690</v>
      </c>
      <c r="N268" s="838"/>
      <c r="O268" s="838"/>
      <c r="P268" s="838"/>
    </row>
    <row r="269" spans="1:20" s="509" customFormat="1" ht="17.55" customHeight="1" x14ac:dyDescent="0.35">
      <c r="B269" s="816">
        <f t="shared" si="4"/>
        <v>67</v>
      </c>
      <c r="C269" s="675" t="s">
        <v>228</v>
      </c>
      <c r="D269" s="691" t="s">
        <v>87</v>
      </c>
      <c r="E269" s="674" t="s">
        <v>92</v>
      </c>
      <c r="F269" s="839" t="s">
        <v>92</v>
      </c>
      <c r="G269" s="836">
        <v>46112</v>
      </c>
      <c r="H269" s="1277" t="s">
        <v>548</v>
      </c>
      <c r="I269" s="1278"/>
      <c r="J269" s="1278"/>
      <c r="K269" s="1278"/>
      <c r="L269" s="836">
        <v>46112</v>
      </c>
      <c r="M269" s="714" t="s">
        <v>690</v>
      </c>
      <c r="N269" s="838"/>
      <c r="O269" s="838"/>
      <c r="P269" s="838"/>
    </row>
    <row r="270" spans="1:20" s="509" customFormat="1" ht="17.55" customHeight="1" x14ac:dyDescent="0.35">
      <c r="B270" s="816">
        <f t="shared" si="4"/>
        <v>68</v>
      </c>
      <c r="C270" s="675" t="s">
        <v>244</v>
      </c>
      <c r="D270" s="691" t="s">
        <v>91</v>
      </c>
      <c r="E270" s="674" t="s">
        <v>664</v>
      </c>
      <c r="F270" s="674" t="s">
        <v>664</v>
      </c>
      <c r="G270" s="836">
        <v>46125</v>
      </c>
      <c r="H270" s="1277" t="s">
        <v>548</v>
      </c>
      <c r="I270" s="1278"/>
      <c r="J270" s="1278"/>
      <c r="K270" s="1278"/>
      <c r="L270" s="836">
        <v>46125</v>
      </c>
      <c r="M270" s="714" t="s">
        <v>690</v>
      </c>
      <c r="N270" s="838"/>
      <c r="O270" s="838"/>
      <c r="P270" s="838"/>
    </row>
    <row r="271" spans="1:20" s="509" customFormat="1" ht="17.55" customHeight="1" x14ac:dyDescent="0.35">
      <c r="B271" s="816">
        <f t="shared" ref="B271:B333" si="5">B270+1</f>
        <v>69</v>
      </c>
      <c r="C271" s="675" t="s">
        <v>245</v>
      </c>
      <c r="D271" s="684" t="s">
        <v>87</v>
      </c>
      <c r="E271" s="683" t="s">
        <v>664</v>
      </c>
      <c r="F271" s="683" t="s">
        <v>664</v>
      </c>
      <c r="G271" s="836">
        <v>46125</v>
      </c>
      <c r="H271" s="1277" t="s">
        <v>548</v>
      </c>
      <c r="I271" s="1278"/>
      <c r="J271" s="1278"/>
      <c r="K271" s="1278"/>
      <c r="L271" s="836">
        <v>46125</v>
      </c>
      <c r="M271" s="714" t="s">
        <v>690</v>
      </c>
      <c r="N271" s="838"/>
      <c r="O271" s="838"/>
      <c r="P271" s="838"/>
    </row>
    <row r="272" spans="1:20" s="509" customFormat="1" ht="17.55" customHeight="1" x14ac:dyDescent="0.35">
      <c r="B272" s="816">
        <f t="shared" si="5"/>
        <v>70</v>
      </c>
      <c r="C272" s="675" t="s">
        <v>246</v>
      </c>
      <c r="D272" s="690" t="s">
        <v>87</v>
      </c>
      <c r="E272" s="674" t="s">
        <v>542</v>
      </c>
      <c r="F272" s="674" t="s">
        <v>542</v>
      </c>
      <c r="G272" s="836">
        <v>46125</v>
      </c>
      <c r="H272" s="1277" t="s">
        <v>548</v>
      </c>
      <c r="I272" s="1278"/>
      <c r="J272" s="1278"/>
      <c r="K272" s="1278"/>
      <c r="L272" s="836">
        <v>46125</v>
      </c>
      <c r="M272" s="714" t="s">
        <v>690</v>
      </c>
      <c r="N272" s="838"/>
      <c r="O272" s="838"/>
      <c r="P272" s="838"/>
    </row>
    <row r="273" spans="1:20" s="509" customFormat="1" ht="17.55" customHeight="1" x14ac:dyDescent="0.35">
      <c r="B273" s="816">
        <f t="shared" si="5"/>
        <v>71</v>
      </c>
      <c r="C273" s="675" t="s">
        <v>421</v>
      </c>
      <c r="D273" s="691" t="s">
        <v>757</v>
      </c>
      <c r="E273" s="674" t="s">
        <v>765</v>
      </c>
      <c r="F273" s="674"/>
      <c r="G273" s="836">
        <v>46125</v>
      </c>
      <c r="H273" s="1277" t="s">
        <v>548</v>
      </c>
      <c r="I273" s="1278"/>
      <c r="J273" s="1278"/>
      <c r="K273" s="1278"/>
      <c r="L273" s="836">
        <v>46125</v>
      </c>
      <c r="M273" s="714" t="s">
        <v>690</v>
      </c>
      <c r="N273" s="838"/>
      <c r="O273" s="838"/>
      <c r="P273" s="838"/>
    </row>
    <row r="274" spans="1:20" s="509" customFormat="1" ht="17.55" customHeight="1" x14ac:dyDescent="0.35">
      <c r="B274" s="816">
        <f t="shared" si="5"/>
        <v>72</v>
      </c>
      <c r="C274" s="675" t="s">
        <v>306</v>
      </c>
      <c r="D274" s="691" t="s">
        <v>109</v>
      </c>
      <c r="E274" s="674" t="s">
        <v>92</v>
      </c>
      <c r="F274" s="674"/>
      <c r="G274" s="836">
        <v>46125</v>
      </c>
      <c r="H274" s="1277" t="s">
        <v>548</v>
      </c>
      <c r="I274" s="1278"/>
      <c r="J274" s="1278"/>
      <c r="K274" s="1278"/>
      <c r="L274" s="836">
        <v>46125</v>
      </c>
      <c r="M274" s="714" t="s">
        <v>763</v>
      </c>
      <c r="N274" s="838"/>
      <c r="O274" s="838"/>
      <c r="P274" s="838"/>
    </row>
    <row r="275" spans="1:20" s="288" customFormat="1" ht="17.55" customHeight="1" x14ac:dyDescent="0.35">
      <c r="A275" s="284"/>
      <c r="B275" s="816">
        <f t="shared" si="5"/>
        <v>73</v>
      </c>
      <c r="C275" s="677" t="s">
        <v>430</v>
      </c>
      <c r="D275" s="840" t="s">
        <v>686</v>
      </c>
      <c r="E275" s="676" t="s">
        <v>92</v>
      </c>
      <c r="F275" s="841"/>
      <c r="G275" s="842">
        <v>46126</v>
      </c>
      <c r="H275" s="1268" t="s">
        <v>548</v>
      </c>
      <c r="I275" s="1269"/>
      <c r="J275" s="1269"/>
      <c r="K275" s="1269"/>
      <c r="L275" s="842">
        <v>46127</v>
      </c>
      <c r="M275" s="828" t="s">
        <v>690</v>
      </c>
      <c r="N275" s="675"/>
      <c r="O275" s="810"/>
      <c r="P275" s="810"/>
      <c r="Q275" s="278"/>
      <c r="R275" s="278"/>
      <c r="S275" s="278"/>
      <c r="T275" s="278"/>
    </row>
    <row r="276" spans="1:20" s="288" customFormat="1" ht="17.55" customHeight="1" x14ac:dyDescent="0.35">
      <c r="A276" s="284"/>
      <c r="B276" s="816">
        <f t="shared" si="5"/>
        <v>74</v>
      </c>
      <c r="C276" s="675" t="s">
        <v>307</v>
      </c>
      <c r="D276" s="691" t="s">
        <v>87</v>
      </c>
      <c r="E276" s="674" t="s">
        <v>92</v>
      </c>
      <c r="F276" s="674" t="s">
        <v>92</v>
      </c>
      <c r="G276" s="712">
        <v>46127</v>
      </c>
      <c r="H276" s="1277" t="s">
        <v>548</v>
      </c>
      <c r="I276" s="1278"/>
      <c r="J276" s="1278"/>
      <c r="K276" s="1278"/>
      <c r="L276" s="712">
        <v>46127</v>
      </c>
      <c r="M276" s="714" t="s">
        <v>763</v>
      </c>
      <c r="N276" s="675"/>
      <c r="O276" s="810"/>
      <c r="P276" s="810"/>
      <c r="Q276" s="278"/>
      <c r="R276" s="278"/>
      <c r="S276" s="278"/>
      <c r="T276" s="278"/>
    </row>
    <row r="277" spans="1:20" s="288" customFormat="1" ht="17.55" customHeight="1" x14ac:dyDescent="0.35">
      <c r="A277" s="284"/>
      <c r="B277" s="816">
        <f t="shared" si="5"/>
        <v>75</v>
      </c>
      <c r="C277" s="688" t="s">
        <v>236</v>
      </c>
      <c r="D277" s="691" t="s">
        <v>87</v>
      </c>
      <c r="E277" s="674" t="s">
        <v>664</v>
      </c>
      <c r="F277" s="674"/>
      <c r="G277" s="712">
        <v>46127</v>
      </c>
      <c r="H277" s="1277" t="s">
        <v>548</v>
      </c>
      <c r="I277" s="1278"/>
      <c r="J277" s="1278"/>
      <c r="K277" s="1278"/>
      <c r="L277" s="712">
        <v>46127</v>
      </c>
      <c r="M277" s="828" t="s">
        <v>690</v>
      </c>
      <c r="N277" s="675"/>
      <c r="O277" s="810"/>
      <c r="P277" s="810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6">
        <f t="shared" si="5"/>
        <v>76</v>
      </c>
      <c r="C278" s="675" t="s">
        <v>333</v>
      </c>
      <c r="D278" s="810" t="s">
        <v>95</v>
      </c>
      <c r="E278" s="810" t="s">
        <v>92</v>
      </c>
      <c r="F278" s="674"/>
      <c r="G278" s="836">
        <v>46129</v>
      </c>
      <c r="H278" s="1277" t="s">
        <v>548</v>
      </c>
      <c r="I278" s="1278"/>
      <c r="J278" s="1278"/>
      <c r="K278" s="1278"/>
      <c r="L278" s="836">
        <v>46129</v>
      </c>
      <c r="M278" s="843" t="s">
        <v>868</v>
      </c>
      <c r="N278" s="675"/>
      <c r="O278" s="810"/>
      <c r="P278" s="810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6">
        <f t="shared" si="5"/>
        <v>77</v>
      </c>
      <c r="C279" s="675" t="s">
        <v>334</v>
      </c>
      <c r="D279" s="675" t="s">
        <v>109</v>
      </c>
      <c r="E279" s="674" t="s">
        <v>92</v>
      </c>
      <c r="F279" s="674"/>
      <c r="G279" s="836">
        <v>46129</v>
      </c>
      <c r="H279" s="1277" t="s">
        <v>548</v>
      </c>
      <c r="I279" s="1278"/>
      <c r="J279" s="1278"/>
      <c r="K279" s="1278"/>
      <c r="L279" s="836">
        <v>46129</v>
      </c>
      <c r="M279" s="843" t="s">
        <v>868</v>
      </c>
      <c r="N279" s="675"/>
      <c r="O279" s="810"/>
      <c r="P279" s="810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6">
        <f t="shared" si="5"/>
        <v>78</v>
      </c>
      <c r="C280" s="675" t="s">
        <v>464</v>
      </c>
      <c r="D280" s="810" t="s">
        <v>558</v>
      </c>
      <c r="E280" s="674" t="s">
        <v>92</v>
      </c>
      <c r="F280" s="674" t="s">
        <v>92</v>
      </c>
      <c r="G280" s="712">
        <v>46130</v>
      </c>
      <c r="H280" s="1277" t="s">
        <v>548</v>
      </c>
      <c r="I280" s="1278"/>
      <c r="J280" s="1278"/>
      <c r="K280" s="1278"/>
      <c r="L280" s="712">
        <v>46130</v>
      </c>
      <c r="M280" s="843" t="s">
        <v>868</v>
      </c>
      <c r="N280" s="675"/>
      <c r="O280" s="810"/>
      <c r="P280" s="810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6">
        <f t="shared" si="5"/>
        <v>79</v>
      </c>
      <c r="C281" s="675" t="s">
        <v>309</v>
      </c>
      <c r="D281" s="691" t="s">
        <v>95</v>
      </c>
      <c r="E281" s="674" t="s">
        <v>92</v>
      </c>
      <c r="F281" s="674" t="s">
        <v>92</v>
      </c>
      <c r="G281" s="712">
        <v>46131</v>
      </c>
      <c r="H281" s="1277" t="s">
        <v>548</v>
      </c>
      <c r="I281" s="1278"/>
      <c r="J281" s="1278"/>
      <c r="K281" s="1278"/>
      <c r="L281" s="712">
        <v>46131</v>
      </c>
      <c r="M281" s="714" t="s">
        <v>763</v>
      </c>
      <c r="N281" s="675"/>
      <c r="O281" s="810"/>
      <c r="P281" s="810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6">
        <f t="shared" si="5"/>
        <v>80</v>
      </c>
      <c r="C282" s="674" t="s">
        <v>463</v>
      </c>
      <c r="D282" s="675" t="s">
        <v>668</v>
      </c>
      <c r="E282" s="674" t="s">
        <v>92</v>
      </c>
      <c r="F282" s="841"/>
      <c r="G282" s="712">
        <v>46131</v>
      </c>
      <c r="H282" s="1277" t="s">
        <v>548</v>
      </c>
      <c r="I282" s="1278"/>
      <c r="J282" s="1278"/>
      <c r="K282" s="1278"/>
      <c r="L282" s="712">
        <v>46131</v>
      </c>
      <c r="M282" s="843" t="s">
        <v>868</v>
      </c>
      <c r="N282" s="675"/>
      <c r="O282" s="810"/>
      <c r="P282" s="810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6">
        <f t="shared" si="5"/>
        <v>81</v>
      </c>
      <c r="C283" s="674" t="s">
        <v>341</v>
      </c>
      <c r="D283" s="675" t="s">
        <v>95</v>
      </c>
      <c r="E283" s="674" t="s">
        <v>542</v>
      </c>
      <c r="F283" s="841"/>
      <c r="G283" s="712">
        <v>46131</v>
      </c>
      <c r="H283" s="1277" t="s">
        <v>548</v>
      </c>
      <c r="I283" s="1278"/>
      <c r="J283" s="1278"/>
      <c r="K283" s="1278"/>
      <c r="L283" s="712">
        <v>46131</v>
      </c>
      <c r="M283" s="843" t="s">
        <v>868</v>
      </c>
      <c r="N283" s="675"/>
      <c r="O283" s="810"/>
      <c r="P283" s="810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6">
        <f t="shared" si="5"/>
        <v>82</v>
      </c>
      <c r="C284" s="677" t="s">
        <v>308</v>
      </c>
      <c r="D284" s="840" t="s">
        <v>87</v>
      </c>
      <c r="E284" s="676" t="s">
        <v>92</v>
      </c>
      <c r="F284" s="841"/>
      <c r="G284" s="717">
        <v>46131</v>
      </c>
      <c r="H284" s="1268" t="s">
        <v>548</v>
      </c>
      <c r="I284" s="1269"/>
      <c r="J284" s="1269"/>
      <c r="K284" s="1269"/>
      <c r="L284" s="717">
        <v>46131</v>
      </c>
      <c r="M284" s="828" t="s">
        <v>763</v>
      </c>
      <c r="N284" s="677"/>
      <c r="O284" s="822"/>
      <c r="P284" s="822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6">
        <f t="shared" si="5"/>
        <v>83</v>
      </c>
      <c r="C285" s="674" t="s">
        <v>343</v>
      </c>
      <c r="D285" s="675" t="s">
        <v>87</v>
      </c>
      <c r="E285" s="674" t="s">
        <v>542</v>
      </c>
      <c r="F285" s="674"/>
      <c r="G285" s="712">
        <v>46134</v>
      </c>
      <c r="H285" s="1277" t="s">
        <v>548</v>
      </c>
      <c r="I285" s="1278"/>
      <c r="J285" s="1278"/>
      <c r="K285" s="1278"/>
      <c r="L285" s="712">
        <v>46134</v>
      </c>
      <c r="M285" s="843" t="s">
        <v>868</v>
      </c>
      <c r="N285" s="675"/>
      <c r="O285" s="810"/>
      <c r="P285" s="810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6">
        <f t="shared" si="5"/>
        <v>84</v>
      </c>
      <c r="C286" s="683" t="s">
        <v>416</v>
      </c>
      <c r="D286" s="691" t="s">
        <v>226</v>
      </c>
      <c r="E286" s="697" t="s">
        <v>541</v>
      </c>
      <c r="F286" s="674"/>
      <c r="G286" s="712">
        <v>46134</v>
      </c>
      <c r="H286" s="1277" t="s">
        <v>548</v>
      </c>
      <c r="I286" s="1278"/>
      <c r="J286" s="1278"/>
      <c r="K286" s="1278"/>
      <c r="L286" s="712">
        <v>46114</v>
      </c>
      <c r="M286" s="714" t="s">
        <v>763</v>
      </c>
      <c r="N286" s="675"/>
      <c r="O286" s="810"/>
      <c r="P286" s="810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6">
        <f t="shared" si="5"/>
        <v>85</v>
      </c>
      <c r="C287" s="688" t="s">
        <v>221</v>
      </c>
      <c r="D287" s="675" t="s">
        <v>87</v>
      </c>
      <c r="E287" s="674" t="s">
        <v>92</v>
      </c>
      <c r="F287" s="841"/>
      <c r="G287" s="712">
        <v>46136</v>
      </c>
      <c r="H287" s="1277" t="s">
        <v>548</v>
      </c>
      <c r="I287" s="1278"/>
      <c r="J287" s="1278"/>
      <c r="K287" s="1278"/>
      <c r="L287" s="712">
        <v>46136</v>
      </c>
      <c r="M287" s="714" t="s">
        <v>736</v>
      </c>
      <c r="N287" s="675"/>
      <c r="O287" s="810"/>
      <c r="P287" s="810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6">
        <f t="shared" si="5"/>
        <v>86</v>
      </c>
      <c r="C288" s="688" t="s">
        <v>222</v>
      </c>
      <c r="D288" s="687" t="s">
        <v>87</v>
      </c>
      <c r="E288" s="674" t="s">
        <v>541</v>
      </c>
      <c r="F288" s="841"/>
      <c r="G288" s="712">
        <v>46136</v>
      </c>
      <c r="H288" s="1277" t="s">
        <v>548</v>
      </c>
      <c r="I288" s="1278"/>
      <c r="J288" s="1278"/>
      <c r="K288" s="1278"/>
      <c r="L288" s="712">
        <v>46136</v>
      </c>
      <c r="M288" s="714" t="s">
        <v>736</v>
      </c>
      <c r="N288" s="675"/>
      <c r="O288" s="810"/>
      <c r="P288" s="810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6">
        <f t="shared" si="5"/>
        <v>87</v>
      </c>
      <c r="C289" s="675" t="s">
        <v>296</v>
      </c>
      <c r="D289" s="691" t="s">
        <v>772</v>
      </c>
      <c r="E289" s="674" t="s">
        <v>92</v>
      </c>
      <c r="F289" s="841"/>
      <c r="G289" s="712">
        <v>46136</v>
      </c>
      <c r="H289" s="1277" t="s">
        <v>548</v>
      </c>
      <c r="I289" s="1278"/>
      <c r="J289" s="1278"/>
      <c r="K289" s="1278"/>
      <c r="L289" s="712">
        <v>46137</v>
      </c>
      <c r="M289" s="714" t="s">
        <v>763</v>
      </c>
      <c r="N289" s="675"/>
      <c r="O289" s="810"/>
      <c r="P289" s="810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6">
        <f t="shared" si="5"/>
        <v>88</v>
      </c>
      <c r="C290" s="675" t="s">
        <v>440</v>
      </c>
      <c r="D290" s="691" t="s">
        <v>579</v>
      </c>
      <c r="E290" s="674" t="s">
        <v>92</v>
      </c>
      <c r="F290" s="841"/>
      <c r="G290" s="712">
        <v>46140</v>
      </c>
      <c r="H290" s="1277" t="s">
        <v>548</v>
      </c>
      <c r="I290" s="1278"/>
      <c r="J290" s="1278"/>
      <c r="K290" s="1278"/>
      <c r="L290" s="712">
        <v>46140</v>
      </c>
      <c r="M290" s="714" t="s">
        <v>763</v>
      </c>
      <c r="N290" s="675"/>
      <c r="O290" s="810"/>
      <c r="P290" s="810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6">
        <f t="shared" si="5"/>
        <v>89</v>
      </c>
      <c r="C291" s="675" t="s">
        <v>219</v>
      </c>
      <c r="D291" s="691" t="s">
        <v>87</v>
      </c>
      <c r="E291" s="674" t="s">
        <v>92</v>
      </c>
      <c r="F291" s="841"/>
      <c r="G291" s="712">
        <v>46142</v>
      </c>
      <c r="H291" s="1277" t="s">
        <v>548</v>
      </c>
      <c r="I291" s="1278"/>
      <c r="J291" s="1278"/>
      <c r="K291" s="1278"/>
      <c r="L291" s="712">
        <v>46142</v>
      </c>
      <c r="M291" s="714" t="s">
        <v>736</v>
      </c>
      <c r="N291" s="675"/>
      <c r="O291" s="810"/>
      <c r="P291" s="810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6">
        <f t="shared" si="5"/>
        <v>90</v>
      </c>
      <c r="C292" s="695" t="s">
        <v>295</v>
      </c>
      <c r="D292" s="691" t="s">
        <v>87</v>
      </c>
      <c r="E292" s="674" t="s">
        <v>92</v>
      </c>
      <c r="F292" s="841"/>
      <c r="G292" s="712">
        <v>46143</v>
      </c>
      <c r="H292" s="1277" t="s">
        <v>548</v>
      </c>
      <c r="I292" s="1278"/>
      <c r="J292" s="1278"/>
      <c r="K292" s="1278"/>
      <c r="L292" s="712">
        <v>46143</v>
      </c>
      <c r="M292" s="714" t="s">
        <v>763</v>
      </c>
      <c r="N292" s="675"/>
      <c r="O292" s="810"/>
      <c r="P292" s="810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6">
        <f t="shared" si="5"/>
        <v>91</v>
      </c>
      <c r="C293" s="675" t="s">
        <v>439</v>
      </c>
      <c r="D293" s="691" t="s">
        <v>237</v>
      </c>
      <c r="E293" s="674" t="s">
        <v>92</v>
      </c>
      <c r="F293" s="841"/>
      <c r="G293" s="712">
        <v>46146</v>
      </c>
      <c r="H293" s="1277" t="s">
        <v>548</v>
      </c>
      <c r="I293" s="1278"/>
      <c r="J293" s="1278"/>
      <c r="K293" s="1278"/>
      <c r="L293" s="712">
        <v>46147</v>
      </c>
      <c r="M293" s="714" t="s">
        <v>763</v>
      </c>
      <c r="N293" s="675"/>
      <c r="O293" s="810"/>
      <c r="P293" s="810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6">
        <f t="shared" si="5"/>
        <v>92</v>
      </c>
      <c r="C294" s="671" t="s">
        <v>90</v>
      </c>
      <c r="D294" s="670" t="s">
        <v>91</v>
      </c>
      <c r="E294" s="670" t="s">
        <v>92</v>
      </c>
      <c r="F294" s="841"/>
      <c r="G294" s="712">
        <v>46151</v>
      </c>
      <c r="H294" s="1277" t="s">
        <v>548</v>
      </c>
      <c r="I294" s="1278"/>
      <c r="J294" s="1278"/>
      <c r="K294" s="1278"/>
      <c r="L294" s="712">
        <v>46151</v>
      </c>
      <c r="M294" s="843" t="s">
        <v>868</v>
      </c>
      <c r="N294" s="675"/>
      <c r="O294" s="810"/>
      <c r="P294" s="810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6">
        <f t="shared" si="5"/>
        <v>93</v>
      </c>
      <c r="C295" s="844" t="s">
        <v>93</v>
      </c>
      <c r="D295" s="670" t="s">
        <v>87</v>
      </c>
      <c r="E295" s="670" t="s">
        <v>92</v>
      </c>
      <c r="F295" s="841"/>
      <c r="G295" s="717">
        <v>46151</v>
      </c>
      <c r="H295" s="1268" t="s">
        <v>548</v>
      </c>
      <c r="I295" s="1269"/>
      <c r="J295" s="1269"/>
      <c r="K295" s="1269"/>
      <c r="L295" s="717">
        <v>46151</v>
      </c>
      <c r="M295" s="845" t="s">
        <v>868</v>
      </c>
      <c r="N295" s="675"/>
      <c r="O295" s="810"/>
      <c r="P295" s="810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6">
        <f t="shared" si="5"/>
        <v>94</v>
      </c>
      <c r="C296" s="674" t="s">
        <v>326</v>
      </c>
      <c r="D296" s="675" t="s">
        <v>87</v>
      </c>
      <c r="E296" s="674" t="s">
        <v>92</v>
      </c>
      <c r="F296" s="841"/>
      <c r="G296" s="712">
        <v>46152</v>
      </c>
      <c r="H296" s="1277" t="s">
        <v>548</v>
      </c>
      <c r="I296" s="1278"/>
      <c r="J296" s="1278"/>
      <c r="K296" s="1278"/>
      <c r="L296" s="712">
        <v>46152</v>
      </c>
      <c r="M296" s="843" t="s">
        <v>868</v>
      </c>
      <c r="N296" s="675"/>
      <c r="O296" s="810"/>
      <c r="P296" s="810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6">
        <f t="shared" si="5"/>
        <v>95</v>
      </c>
      <c r="C297" s="810" t="s">
        <v>325</v>
      </c>
      <c r="D297" s="810" t="s">
        <v>87</v>
      </c>
      <c r="E297" s="810" t="s">
        <v>92</v>
      </c>
      <c r="F297" s="841"/>
      <c r="G297" s="712">
        <v>46153</v>
      </c>
      <c r="H297" s="1277" t="s">
        <v>548</v>
      </c>
      <c r="I297" s="1278"/>
      <c r="J297" s="1278"/>
      <c r="K297" s="1278"/>
      <c r="L297" s="712">
        <v>46153</v>
      </c>
      <c r="M297" s="843" t="s">
        <v>868</v>
      </c>
      <c r="N297" s="675"/>
      <c r="O297" s="810"/>
      <c r="P297" s="810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6">
        <f t="shared" si="5"/>
        <v>96</v>
      </c>
      <c r="C298" s="674" t="s">
        <v>321</v>
      </c>
      <c r="D298" s="675" t="s">
        <v>87</v>
      </c>
      <c r="E298" s="674" t="s">
        <v>92</v>
      </c>
      <c r="F298" s="841"/>
      <c r="G298" s="712">
        <v>46153</v>
      </c>
      <c r="H298" s="1277" t="s">
        <v>548</v>
      </c>
      <c r="I298" s="1278"/>
      <c r="J298" s="1278"/>
      <c r="K298" s="1278"/>
      <c r="L298" s="712">
        <v>46153</v>
      </c>
      <c r="M298" s="843" t="s">
        <v>868</v>
      </c>
      <c r="N298" s="675"/>
      <c r="O298" s="810"/>
      <c r="P298" s="810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6">
        <f t="shared" si="5"/>
        <v>97</v>
      </c>
      <c r="C299" s="675" t="s">
        <v>206</v>
      </c>
      <c r="D299" s="691" t="s">
        <v>87</v>
      </c>
      <c r="E299" s="674" t="s">
        <v>92</v>
      </c>
      <c r="F299" s="841"/>
      <c r="G299" s="712">
        <v>46093</v>
      </c>
      <c r="H299" s="1277" t="s">
        <v>548</v>
      </c>
      <c r="I299" s="1278"/>
      <c r="J299" s="1278"/>
      <c r="K299" s="1278"/>
      <c r="L299" s="712">
        <v>46154</v>
      </c>
      <c r="M299" s="714" t="s">
        <v>766</v>
      </c>
      <c r="N299" s="675"/>
      <c r="O299" s="810"/>
      <c r="P299" s="810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6">
        <f t="shared" si="5"/>
        <v>98</v>
      </c>
      <c r="C300" s="695" t="s">
        <v>305</v>
      </c>
      <c r="D300" s="693" t="s">
        <v>95</v>
      </c>
      <c r="E300" s="694" t="s">
        <v>92</v>
      </c>
      <c r="F300" s="734"/>
      <c r="G300" s="734">
        <v>46162</v>
      </c>
      <c r="H300" s="1277" t="s">
        <v>548</v>
      </c>
      <c r="I300" s="1278"/>
      <c r="J300" s="1278"/>
      <c r="K300" s="1278"/>
      <c r="L300" s="712">
        <v>46162</v>
      </c>
      <c r="M300" s="714" t="s">
        <v>763</v>
      </c>
      <c r="N300" s="675"/>
      <c r="O300" s="810"/>
      <c r="P300" s="810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6">
        <f t="shared" si="5"/>
        <v>99</v>
      </c>
      <c r="C301" s="675" t="s">
        <v>202</v>
      </c>
      <c r="D301" s="691" t="s">
        <v>95</v>
      </c>
      <c r="E301" s="674" t="s">
        <v>92</v>
      </c>
      <c r="F301" s="712"/>
      <c r="G301" s="712">
        <v>46164</v>
      </c>
      <c r="H301" s="1277" t="s">
        <v>548</v>
      </c>
      <c r="I301" s="1278"/>
      <c r="J301" s="1278"/>
      <c r="K301" s="1278"/>
      <c r="L301" s="712">
        <v>46164</v>
      </c>
      <c r="M301" s="714" t="s">
        <v>766</v>
      </c>
      <c r="N301" s="675"/>
      <c r="O301" s="810"/>
      <c r="P301" s="810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6">
        <f t="shared" si="5"/>
        <v>100</v>
      </c>
      <c r="C302" s="675" t="s">
        <v>303</v>
      </c>
      <c r="D302" s="691" t="s">
        <v>91</v>
      </c>
      <c r="E302" s="674" t="s">
        <v>92</v>
      </c>
      <c r="F302" s="846"/>
      <c r="G302" s="712">
        <v>46166</v>
      </c>
      <c r="H302" s="1277" t="s">
        <v>548</v>
      </c>
      <c r="I302" s="1278"/>
      <c r="J302" s="1278"/>
      <c r="K302" s="1278"/>
      <c r="L302" s="712">
        <v>46166</v>
      </c>
      <c r="M302" s="714" t="s">
        <v>763</v>
      </c>
      <c r="N302" s="675"/>
      <c r="O302" s="810"/>
      <c r="P302" s="810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6">
        <f t="shared" si="5"/>
        <v>101</v>
      </c>
      <c r="C303" s="675" t="s">
        <v>304</v>
      </c>
      <c r="D303" s="691" t="s">
        <v>109</v>
      </c>
      <c r="E303" s="674" t="s">
        <v>92</v>
      </c>
      <c r="F303" s="846"/>
      <c r="G303" s="712">
        <v>46166</v>
      </c>
      <c r="H303" s="1277" t="s">
        <v>548</v>
      </c>
      <c r="I303" s="1278"/>
      <c r="J303" s="1278"/>
      <c r="K303" s="1278"/>
      <c r="L303" s="712">
        <v>46166</v>
      </c>
      <c r="M303" s="714" t="s">
        <v>763</v>
      </c>
      <c r="N303" s="675"/>
      <c r="O303" s="810"/>
      <c r="P303" s="810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6">
        <f t="shared" si="5"/>
        <v>102</v>
      </c>
      <c r="C304" s="675" t="s">
        <v>201</v>
      </c>
      <c r="D304" s="691" t="s">
        <v>87</v>
      </c>
      <c r="E304" s="674" t="s">
        <v>92</v>
      </c>
      <c r="F304" s="846"/>
      <c r="G304" s="847">
        <v>46173</v>
      </c>
      <c r="H304" s="1277" t="s">
        <v>548</v>
      </c>
      <c r="I304" s="1278"/>
      <c r="J304" s="1278"/>
      <c r="K304" s="1278"/>
      <c r="L304" s="847">
        <v>46173</v>
      </c>
      <c r="M304" s="714" t="s">
        <v>766</v>
      </c>
      <c r="N304" s="675"/>
      <c r="O304" s="810"/>
      <c r="P304" s="810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6">
        <f t="shared" si="5"/>
        <v>103</v>
      </c>
      <c r="C305" s="675" t="s">
        <v>312</v>
      </c>
      <c r="D305" s="691" t="s">
        <v>91</v>
      </c>
      <c r="E305" s="674" t="s">
        <v>92</v>
      </c>
      <c r="F305" s="846"/>
      <c r="G305" s="712">
        <v>46176</v>
      </c>
      <c r="H305" s="1277" t="s">
        <v>548</v>
      </c>
      <c r="I305" s="1278"/>
      <c r="J305" s="1278"/>
      <c r="K305" s="1278"/>
      <c r="L305" s="712">
        <v>46176</v>
      </c>
      <c r="M305" s="714" t="s">
        <v>763</v>
      </c>
      <c r="N305" s="675"/>
      <c r="O305" s="810"/>
      <c r="P305" s="810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6">
        <f t="shared" si="5"/>
        <v>104</v>
      </c>
      <c r="C306" s="675" t="s">
        <v>262</v>
      </c>
      <c r="D306" s="840" t="s">
        <v>87</v>
      </c>
      <c r="E306" s="676" t="s">
        <v>92</v>
      </c>
      <c r="F306" s="846"/>
      <c r="G306" s="717">
        <v>46181</v>
      </c>
      <c r="H306" s="1268" t="s">
        <v>548</v>
      </c>
      <c r="I306" s="1269"/>
      <c r="J306" s="1269"/>
      <c r="K306" s="1269"/>
      <c r="L306" s="717">
        <v>46181</v>
      </c>
      <c r="M306" s="828" t="s">
        <v>736</v>
      </c>
      <c r="N306" s="677"/>
      <c r="O306" s="822"/>
      <c r="P306" s="822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6">
        <f t="shared" si="5"/>
        <v>105</v>
      </c>
      <c r="C307" s="675" t="s">
        <v>442</v>
      </c>
      <c r="D307" s="691" t="s">
        <v>237</v>
      </c>
      <c r="E307" s="674" t="s">
        <v>92</v>
      </c>
      <c r="F307" s="712"/>
      <c r="G307" s="712">
        <v>46186</v>
      </c>
      <c r="H307" s="1277" t="s">
        <v>548</v>
      </c>
      <c r="I307" s="1278"/>
      <c r="J307" s="1278"/>
      <c r="K307" s="1278"/>
      <c r="L307" s="712">
        <v>46186</v>
      </c>
      <c r="M307" s="714" t="s">
        <v>763</v>
      </c>
      <c r="N307" s="675"/>
      <c r="O307" s="810"/>
      <c r="P307" s="810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6">
        <f t="shared" si="5"/>
        <v>106</v>
      </c>
      <c r="C308" s="675" t="s">
        <v>227</v>
      </c>
      <c r="D308" s="691" t="s">
        <v>91</v>
      </c>
      <c r="E308" s="674" t="s">
        <v>92</v>
      </c>
      <c r="F308" s="846"/>
      <c r="G308" s="712">
        <v>46200</v>
      </c>
      <c r="H308" s="1277" t="s">
        <v>548</v>
      </c>
      <c r="I308" s="1278"/>
      <c r="J308" s="1278"/>
      <c r="K308" s="1278"/>
      <c r="L308" s="712">
        <v>46200</v>
      </c>
      <c r="M308" s="714" t="s">
        <v>759</v>
      </c>
      <c r="N308" s="675"/>
      <c r="O308" s="810"/>
      <c r="P308" s="810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6">
        <f t="shared" si="5"/>
        <v>107</v>
      </c>
      <c r="C309" s="675" t="s">
        <v>230</v>
      </c>
      <c r="D309" s="691" t="s">
        <v>87</v>
      </c>
      <c r="E309" s="674" t="s">
        <v>92</v>
      </c>
      <c r="F309" s="846"/>
      <c r="G309" s="712">
        <v>46200</v>
      </c>
      <c r="H309" s="1277" t="s">
        <v>548</v>
      </c>
      <c r="I309" s="1278"/>
      <c r="J309" s="1278"/>
      <c r="K309" s="1278"/>
      <c r="L309" s="712">
        <v>46200</v>
      </c>
      <c r="M309" s="714" t="s">
        <v>759</v>
      </c>
      <c r="N309" s="675"/>
      <c r="O309" s="810"/>
      <c r="P309" s="810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6">
        <f t="shared" si="5"/>
        <v>108</v>
      </c>
      <c r="C310" s="675" t="s">
        <v>263</v>
      </c>
      <c r="D310" s="691" t="s">
        <v>87</v>
      </c>
      <c r="E310" s="674" t="s">
        <v>664</v>
      </c>
      <c r="F310" s="846"/>
      <c r="G310" s="712">
        <v>46202</v>
      </c>
      <c r="H310" s="1277" t="s">
        <v>548</v>
      </c>
      <c r="I310" s="1278"/>
      <c r="J310" s="1278"/>
      <c r="K310" s="1278"/>
      <c r="L310" s="712">
        <v>46202</v>
      </c>
      <c r="M310" s="828" t="s">
        <v>736</v>
      </c>
      <c r="N310" s="675"/>
      <c r="O310" s="810"/>
      <c r="P310" s="810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6">
        <f t="shared" si="5"/>
        <v>109</v>
      </c>
      <c r="C311" s="675" t="s">
        <v>388</v>
      </c>
      <c r="D311" s="691" t="s">
        <v>87</v>
      </c>
      <c r="E311" s="674" t="s">
        <v>92</v>
      </c>
      <c r="F311" s="846"/>
      <c r="G311" s="712">
        <v>46204</v>
      </c>
      <c r="H311" s="1277" t="s">
        <v>548</v>
      </c>
      <c r="I311" s="1278"/>
      <c r="J311" s="1278"/>
      <c r="K311" s="1278"/>
      <c r="L311" s="712">
        <v>46204</v>
      </c>
      <c r="M311" s="714" t="s">
        <v>763</v>
      </c>
      <c r="N311" s="675"/>
      <c r="O311" s="810"/>
      <c r="P311" s="810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6">
        <f t="shared" si="5"/>
        <v>110</v>
      </c>
      <c r="C312" s="675" t="s">
        <v>480</v>
      </c>
      <c r="D312" s="691" t="s">
        <v>669</v>
      </c>
      <c r="E312" s="674" t="s">
        <v>92</v>
      </c>
      <c r="F312" s="846"/>
      <c r="G312" s="712">
        <v>46204</v>
      </c>
      <c r="H312" s="1277" t="s">
        <v>548</v>
      </c>
      <c r="I312" s="1278"/>
      <c r="J312" s="1278"/>
      <c r="K312" s="1278"/>
      <c r="L312" s="712">
        <v>46204</v>
      </c>
      <c r="M312" s="714" t="s">
        <v>763</v>
      </c>
      <c r="N312" s="675"/>
      <c r="O312" s="810"/>
      <c r="P312" s="810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6">
        <f t="shared" si="5"/>
        <v>111</v>
      </c>
      <c r="C313" s="939" t="s">
        <v>389</v>
      </c>
      <c r="D313" s="840" t="s">
        <v>87</v>
      </c>
      <c r="E313" s="676" t="s">
        <v>92</v>
      </c>
      <c r="F313" s="846"/>
      <c r="G313" s="717">
        <v>46204</v>
      </c>
      <c r="H313" s="1268" t="s">
        <v>548</v>
      </c>
      <c r="I313" s="1269"/>
      <c r="J313" s="1269"/>
      <c r="K313" s="1269"/>
      <c r="L313" s="717">
        <v>46204</v>
      </c>
      <c r="M313" s="828" t="s">
        <v>763</v>
      </c>
      <c r="N313" s="677"/>
      <c r="O313" s="822"/>
      <c r="P313" s="822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6">
        <f t="shared" si="5"/>
        <v>112</v>
      </c>
      <c r="C314" s="675" t="s">
        <v>391</v>
      </c>
      <c r="D314" s="691" t="s">
        <v>91</v>
      </c>
      <c r="E314" s="674" t="s">
        <v>92</v>
      </c>
      <c r="F314" s="712"/>
      <c r="G314" s="712">
        <v>46208</v>
      </c>
      <c r="H314" s="1277" t="s">
        <v>548</v>
      </c>
      <c r="I314" s="1278"/>
      <c r="J314" s="1278"/>
      <c r="K314" s="1278"/>
      <c r="L314" s="712">
        <v>46208</v>
      </c>
      <c r="M314" s="714" t="s">
        <v>763</v>
      </c>
      <c r="N314" s="675"/>
      <c r="O314" s="810"/>
      <c r="P314" s="810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6">
        <f t="shared" si="5"/>
        <v>113</v>
      </c>
      <c r="C315" s="683" t="s">
        <v>386</v>
      </c>
      <c r="D315" s="675" t="s">
        <v>386</v>
      </c>
      <c r="E315" s="691" t="s">
        <v>87</v>
      </c>
      <c r="F315" s="674" t="s">
        <v>92</v>
      </c>
      <c r="G315" s="712">
        <v>46208</v>
      </c>
      <c r="H315" s="1277" t="s">
        <v>548</v>
      </c>
      <c r="I315" s="1278"/>
      <c r="J315" s="1278"/>
      <c r="K315" s="1278"/>
      <c r="L315" s="712">
        <v>46208</v>
      </c>
      <c r="M315" s="714" t="s">
        <v>763</v>
      </c>
      <c r="N315" s="675"/>
      <c r="O315" s="810"/>
      <c r="P315" s="810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6">
        <f t="shared" si="5"/>
        <v>114</v>
      </c>
      <c r="C316" s="675" t="s">
        <v>385</v>
      </c>
      <c r="D316" s="691" t="s">
        <v>87</v>
      </c>
      <c r="E316" s="674" t="s">
        <v>92</v>
      </c>
      <c r="F316" s="674"/>
      <c r="G316" s="712">
        <v>46211</v>
      </c>
      <c r="H316" s="1277" t="s">
        <v>548</v>
      </c>
      <c r="I316" s="1278"/>
      <c r="J316" s="1278"/>
      <c r="K316" s="1278"/>
      <c r="L316" s="712">
        <v>46211</v>
      </c>
      <c r="M316" s="714" t="s">
        <v>763</v>
      </c>
      <c r="N316" s="675"/>
      <c r="O316" s="810"/>
      <c r="P316" s="810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6">
        <f t="shared" si="5"/>
        <v>115</v>
      </c>
      <c r="C317" s="675" t="s">
        <v>450</v>
      </c>
      <c r="D317" s="691" t="s">
        <v>668</v>
      </c>
      <c r="E317" s="674" t="s">
        <v>92</v>
      </c>
      <c r="F317" s="841"/>
      <c r="G317" s="712">
        <v>46211</v>
      </c>
      <c r="H317" s="1277" t="s">
        <v>548</v>
      </c>
      <c r="I317" s="1278"/>
      <c r="J317" s="1278"/>
      <c r="K317" s="1278"/>
      <c r="L317" s="712">
        <v>46211</v>
      </c>
      <c r="M317" s="714" t="s">
        <v>920</v>
      </c>
      <c r="N317" s="675"/>
      <c r="O317" s="810"/>
      <c r="P317" s="810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6">
        <f t="shared" si="5"/>
        <v>116</v>
      </c>
      <c r="C318" s="675" t="s">
        <v>384</v>
      </c>
      <c r="D318" s="691" t="s">
        <v>87</v>
      </c>
      <c r="E318" s="674" t="s">
        <v>92</v>
      </c>
      <c r="F318" s="841"/>
      <c r="G318" s="712">
        <v>46212</v>
      </c>
      <c r="H318" s="1277" t="s">
        <v>548</v>
      </c>
      <c r="I318" s="1278"/>
      <c r="J318" s="1278"/>
      <c r="K318" s="1278"/>
      <c r="L318" s="712">
        <v>46212</v>
      </c>
      <c r="M318" s="714" t="s">
        <v>763</v>
      </c>
      <c r="N318" s="675"/>
      <c r="O318" s="810"/>
      <c r="P318" s="810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6">
        <f t="shared" si="5"/>
        <v>117</v>
      </c>
      <c r="C319" s="675" t="s">
        <v>264</v>
      </c>
      <c r="D319" s="691" t="s">
        <v>87</v>
      </c>
      <c r="E319" s="674" t="s">
        <v>88</v>
      </c>
      <c r="F319" s="841"/>
      <c r="G319" s="712">
        <v>46212</v>
      </c>
      <c r="H319" s="1277" t="s">
        <v>548</v>
      </c>
      <c r="I319" s="1278"/>
      <c r="J319" s="1278"/>
      <c r="K319" s="1278"/>
      <c r="L319" s="712">
        <v>46212</v>
      </c>
      <c r="M319" s="714" t="s">
        <v>736</v>
      </c>
      <c r="N319" s="675"/>
      <c r="O319" s="810"/>
      <c r="P319" s="810"/>
      <c r="Q319" s="278"/>
      <c r="R319" s="278"/>
      <c r="S319" s="278"/>
      <c r="T319" s="278"/>
    </row>
    <row r="320" spans="1:20" s="288" customFormat="1" ht="17.399999999999999" x14ac:dyDescent="0.35">
      <c r="A320" s="284"/>
      <c r="B320" s="816">
        <f t="shared" si="5"/>
        <v>118</v>
      </c>
      <c r="C320" s="675" t="s">
        <v>417</v>
      </c>
      <c r="D320" s="691" t="s">
        <v>756</v>
      </c>
      <c r="E320" s="674" t="s">
        <v>92</v>
      </c>
      <c r="F320" s="849"/>
      <c r="G320" s="734">
        <v>46213</v>
      </c>
      <c r="H320" s="1277" t="s">
        <v>548</v>
      </c>
      <c r="I320" s="1278"/>
      <c r="J320" s="1278"/>
      <c r="K320" s="1278"/>
      <c r="L320" s="734">
        <v>46213</v>
      </c>
      <c r="M320" s="714" t="s">
        <v>759</v>
      </c>
      <c r="N320" s="675"/>
      <c r="O320" s="810"/>
      <c r="P320" s="810"/>
      <c r="Q320" s="278"/>
      <c r="R320" s="278"/>
      <c r="S320" s="278"/>
      <c r="T320" s="278"/>
    </row>
    <row r="321" spans="1:20" s="288" customFormat="1" ht="18" customHeight="1" x14ac:dyDescent="0.35">
      <c r="A321" s="284"/>
      <c r="B321" s="816">
        <f t="shared" si="5"/>
        <v>119</v>
      </c>
      <c r="C321" s="675" t="s">
        <v>445</v>
      </c>
      <c r="D321" s="691" t="s">
        <v>922</v>
      </c>
      <c r="E321" s="674" t="s">
        <v>92</v>
      </c>
      <c r="F321" s="849"/>
      <c r="G321" s="734">
        <v>46214</v>
      </c>
      <c r="H321" s="1277" t="s">
        <v>548</v>
      </c>
      <c r="I321" s="1278"/>
      <c r="J321" s="1278"/>
      <c r="K321" s="1278"/>
      <c r="L321" s="734">
        <v>46214</v>
      </c>
      <c r="M321" s="714" t="s">
        <v>920</v>
      </c>
      <c r="N321" s="675"/>
      <c r="O321" s="810"/>
      <c r="P321" s="810"/>
      <c r="Q321" s="278"/>
      <c r="R321" s="278"/>
      <c r="S321" s="278"/>
      <c r="T321" s="278"/>
    </row>
    <row r="322" spans="1:20" s="288" customFormat="1" ht="18" customHeight="1" x14ac:dyDescent="0.35">
      <c r="A322" s="284"/>
      <c r="B322" s="816">
        <f t="shared" si="5"/>
        <v>120</v>
      </c>
      <c r="C322" s="675" t="s">
        <v>229</v>
      </c>
      <c r="D322" s="691" t="s">
        <v>87</v>
      </c>
      <c r="E322" s="674" t="s">
        <v>92</v>
      </c>
      <c r="F322" s="849"/>
      <c r="G322" s="734">
        <v>46215</v>
      </c>
      <c r="H322" s="1277" t="s">
        <v>548</v>
      </c>
      <c r="I322" s="1278"/>
      <c r="J322" s="1278"/>
      <c r="K322" s="1278"/>
      <c r="L322" s="734">
        <v>46215</v>
      </c>
      <c r="M322" s="714" t="s">
        <v>759</v>
      </c>
      <c r="N322" s="675"/>
      <c r="O322" s="810"/>
      <c r="P322" s="810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6">
        <f t="shared" si="5"/>
        <v>121</v>
      </c>
      <c r="C323" s="695" t="s">
        <v>231</v>
      </c>
      <c r="D323" s="691" t="s">
        <v>87</v>
      </c>
      <c r="E323" s="674" t="s">
        <v>92</v>
      </c>
      <c r="F323" s="849"/>
      <c r="G323" s="734">
        <v>46215</v>
      </c>
      <c r="H323" s="1277" t="s">
        <v>548</v>
      </c>
      <c r="I323" s="1278"/>
      <c r="J323" s="1278"/>
      <c r="K323" s="1278"/>
      <c r="L323" s="734">
        <v>46215</v>
      </c>
      <c r="M323" s="714" t="s">
        <v>759</v>
      </c>
      <c r="N323" s="675"/>
      <c r="O323" s="810"/>
      <c r="P323" s="810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6">
        <f t="shared" si="5"/>
        <v>122</v>
      </c>
      <c r="C324" s="675" t="s">
        <v>427</v>
      </c>
      <c r="D324" s="691" t="s">
        <v>917</v>
      </c>
      <c r="E324" s="674" t="s">
        <v>92</v>
      </c>
      <c r="F324" s="849"/>
      <c r="G324" s="734">
        <v>46216</v>
      </c>
      <c r="H324" s="1277" t="s">
        <v>548</v>
      </c>
      <c r="I324" s="1278"/>
      <c r="J324" s="1278"/>
      <c r="K324" s="1278"/>
      <c r="L324" s="734">
        <v>46216</v>
      </c>
      <c r="M324" s="714" t="s">
        <v>736</v>
      </c>
      <c r="N324" s="675"/>
      <c r="O324" s="810"/>
      <c r="P324" s="810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6">
        <f t="shared" si="5"/>
        <v>123</v>
      </c>
      <c r="C325" s="675" t="s">
        <v>240</v>
      </c>
      <c r="D325" s="691" t="s">
        <v>87</v>
      </c>
      <c r="E325" s="674" t="s">
        <v>92</v>
      </c>
      <c r="F325" s="849"/>
      <c r="G325" s="734">
        <v>46217</v>
      </c>
      <c r="H325" s="1277" t="s">
        <v>548</v>
      </c>
      <c r="I325" s="1278"/>
      <c r="J325" s="1278"/>
      <c r="K325" s="1278"/>
      <c r="L325" s="734">
        <v>46217</v>
      </c>
      <c r="M325" s="714" t="s">
        <v>759</v>
      </c>
      <c r="N325" s="675"/>
      <c r="O325" s="810"/>
      <c r="P325" s="810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6">
        <f t="shared" si="5"/>
        <v>124</v>
      </c>
      <c r="C326" s="675" t="s">
        <v>383</v>
      </c>
      <c r="D326" s="691" t="s">
        <v>91</v>
      </c>
      <c r="E326" s="674" t="s">
        <v>92</v>
      </c>
      <c r="F326" s="849"/>
      <c r="G326" s="734">
        <v>46217</v>
      </c>
      <c r="H326" s="1277" t="s">
        <v>548</v>
      </c>
      <c r="I326" s="1278"/>
      <c r="J326" s="1278"/>
      <c r="K326" s="1278"/>
      <c r="L326" s="734">
        <v>46217</v>
      </c>
      <c r="M326" s="714" t="s">
        <v>763</v>
      </c>
      <c r="N326" s="675"/>
      <c r="O326" s="810"/>
      <c r="P326" s="810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6">
        <f t="shared" si="5"/>
        <v>125</v>
      </c>
      <c r="C327" s="675" t="s">
        <v>428</v>
      </c>
      <c r="D327" s="691" t="s">
        <v>668</v>
      </c>
      <c r="E327" s="674" t="s">
        <v>92</v>
      </c>
      <c r="F327" s="849"/>
      <c r="G327" s="734">
        <v>46219</v>
      </c>
      <c r="H327" s="1277" t="s">
        <v>548</v>
      </c>
      <c r="I327" s="1278"/>
      <c r="J327" s="1278"/>
      <c r="K327" s="1278"/>
      <c r="L327" s="734">
        <v>46219</v>
      </c>
      <c r="M327" s="714" t="s">
        <v>736</v>
      </c>
      <c r="N327" s="675"/>
      <c r="O327" s="810"/>
      <c r="P327" s="810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6">
        <f t="shared" si="5"/>
        <v>126</v>
      </c>
      <c r="C328" s="675" t="s">
        <v>454</v>
      </c>
      <c r="D328" s="691" t="s">
        <v>917</v>
      </c>
      <c r="E328" s="674" t="s">
        <v>92</v>
      </c>
      <c r="F328" s="849"/>
      <c r="G328" s="734">
        <v>46219</v>
      </c>
      <c r="H328" s="1277" t="s">
        <v>548</v>
      </c>
      <c r="I328" s="1278"/>
      <c r="J328" s="1278"/>
      <c r="K328" s="1278"/>
      <c r="L328" s="734">
        <v>46219</v>
      </c>
      <c r="M328" s="714" t="s">
        <v>920</v>
      </c>
      <c r="N328" s="675"/>
      <c r="O328" s="810"/>
      <c r="P328" s="810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6">
        <f t="shared" si="5"/>
        <v>127</v>
      </c>
      <c r="C329" s="675" t="s">
        <v>257</v>
      </c>
      <c r="D329" s="691" t="s">
        <v>91</v>
      </c>
      <c r="E329" s="674" t="s">
        <v>88</v>
      </c>
      <c r="F329" s="849"/>
      <c r="G329" s="734">
        <v>46219</v>
      </c>
      <c r="H329" s="1277" t="s">
        <v>548</v>
      </c>
      <c r="I329" s="1278"/>
      <c r="J329" s="1278"/>
      <c r="K329" s="1278"/>
      <c r="L329" s="734">
        <v>46219</v>
      </c>
      <c r="M329" s="714" t="s">
        <v>736</v>
      </c>
      <c r="N329" s="675"/>
      <c r="O329" s="810"/>
      <c r="P329" s="810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6">
        <f t="shared" si="5"/>
        <v>128</v>
      </c>
      <c r="C330" s="677" t="s">
        <v>290</v>
      </c>
      <c r="D330" s="840" t="s">
        <v>91</v>
      </c>
      <c r="E330" s="676" t="s">
        <v>92</v>
      </c>
      <c r="F330" s="849"/>
      <c r="G330" s="1071">
        <v>46222</v>
      </c>
      <c r="H330" s="1268" t="s">
        <v>548</v>
      </c>
      <c r="I330" s="1269"/>
      <c r="J330" s="1269"/>
      <c r="K330" s="1269"/>
      <c r="L330" s="1071">
        <v>46222</v>
      </c>
      <c r="M330" s="828" t="s">
        <v>931</v>
      </c>
      <c r="N330" s="677"/>
      <c r="O330" s="822"/>
      <c r="P330" s="822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6">
        <f t="shared" si="5"/>
        <v>129</v>
      </c>
      <c r="C331" s="675" t="s">
        <v>422</v>
      </c>
      <c r="D331" s="691" t="s">
        <v>936</v>
      </c>
      <c r="E331" s="674" t="s">
        <v>541</v>
      </c>
      <c r="F331" s="734"/>
      <c r="G331" s="734">
        <v>46227</v>
      </c>
      <c r="H331" s="1277" t="s">
        <v>548</v>
      </c>
      <c r="I331" s="1278"/>
      <c r="J331" s="1278"/>
      <c r="K331" s="1278"/>
      <c r="L331" s="734">
        <v>46228</v>
      </c>
      <c r="M331" s="714" t="s">
        <v>759</v>
      </c>
      <c r="N331" s="675"/>
      <c r="O331" s="810"/>
      <c r="P331" s="810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6">
        <f t="shared" si="5"/>
        <v>130</v>
      </c>
      <c r="C332" s="675" t="s">
        <v>379</v>
      </c>
      <c r="D332" s="691" t="s">
        <v>91</v>
      </c>
      <c r="E332" s="674" t="s">
        <v>92</v>
      </c>
      <c r="F332" s="849"/>
      <c r="G332" s="734">
        <v>46230</v>
      </c>
      <c r="H332" s="1277" t="s">
        <v>548</v>
      </c>
      <c r="I332" s="1278"/>
      <c r="J332" s="1278"/>
      <c r="K332" s="1278"/>
      <c r="L332" s="734">
        <v>46230</v>
      </c>
      <c r="M332" s="714" t="s">
        <v>763</v>
      </c>
      <c r="N332" s="675"/>
      <c r="O332" s="810"/>
      <c r="P332" s="810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6">
        <f t="shared" si="5"/>
        <v>131</v>
      </c>
      <c r="C333" s="695" t="s">
        <v>456</v>
      </c>
      <c r="D333" s="674" t="s">
        <v>669</v>
      </c>
      <c r="E333" s="674" t="s">
        <v>92</v>
      </c>
      <c r="F333" s="849"/>
      <c r="G333" s="734">
        <v>46231</v>
      </c>
      <c r="H333" s="1277" t="s">
        <v>548</v>
      </c>
      <c r="I333" s="1278"/>
      <c r="J333" s="1278"/>
      <c r="K333" s="1278"/>
      <c r="L333" s="734">
        <v>46231</v>
      </c>
      <c r="M333" s="714" t="s">
        <v>920</v>
      </c>
      <c r="N333" s="675"/>
      <c r="O333" s="810"/>
      <c r="P333" s="810"/>
      <c r="Q333" s="278"/>
      <c r="R333" s="278"/>
      <c r="S333" s="278"/>
      <c r="T333" s="278"/>
    </row>
    <row r="334" spans="1:20" s="288" customFormat="1" ht="18" customHeight="1" thickBot="1" x14ac:dyDescent="0.4">
      <c r="A334" s="284"/>
      <c r="B334" s="848"/>
      <c r="C334" s="844"/>
      <c r="D334" s="696"/>
      <c r="E334" s="841"/>
      <c r="F334" s="849"/>
      <c r="G334" s="849"/>
      <c r="H334" s="850"/>
      <c r="I334" s="851"/>
      <c r="J334" s="851"/>
      <c r="K334" s="851"/>
      <c r="L334" s="849"/>
      <c r="M334" s="774"/>
      <c r="N334" s="844"/>
      <c r="O334" s="852"/>
      <c r="P334" s="852"/>
      <c r="Q334" s="278"/>
      <c r="R334" s="278"/>
      <c r="S334" s="278"/>
      <c r="T334" s="278"/>
    </row>
    <row r="335" spans="1:20" ht="13.5" customHeight="1" thickBot="1" x14ac:dyDescent="0.4">
      <c r="B335" s="853" t="s">
        <v>101</v>
      </c>
      <c r="C335" s="854"/>
      <c r="D335" s="854"/>
      <c r="E335" s="854"/>
      <c r="F335" s="854"/>
      <c r="G335" s="854"/>
      <c r="H335" s="854"/>
      <c r="I335" s="854"/>
      <c r="J335" s="854"/>
      <c r="K335" s="854"/>
      <c r="L335" s="854"/>
      <c r="M335" s="854"/>
      <c r="N335" s="854"/>
      <c r="O335" s="855"/>
      <c r="P335" s="705"/>
      <c r="Q335" s="1"/>
      <c r="R335" s="1"/>
      <c r="S335" s="1"/>
      <c r="T335" s="1"/>
    </row>
    <row r="336" spans="1:20" ht="13.5" customHeight="1" x14ac:dyDescent="0.35">
      <c r="B336" s="856" t="s">
        <v>69</v>
      </c>
      <c r="C336" s="857" t="s">
        <v>70</v>
      </c>
      <c r="D336" s="857" t="s">
        <v>71</v>
      </c>
      <c r="E336" s="857" t="s">
        <v>99</v>
      </c>
      <c r="F336" s="858"/>
      <c r="G336" s="858"/>
      <c r="H336" s="858"/>
      <c r="I336" s="858"/>
      <c r="J336" s="857" t="s">
        <v>82</v>
      </c>
      <c r="K336" s="857" t="s">
        <v>84</v>
      </c>
      <c r="L336" s="857" t="s">
        <v>102</v>
      </c>
      <c r="M336" s="857" t="s">
        <v>103</v>
      </c>
      <c r="N336" s="857" t="s">
        <v>104</v>
      </c>
      <c r="O336" s="705"/>
      <c r="P336" s="705"/>
      <c r="Q336" s="1"/>
      <c r="R336" s="1"/>
      <c r="S336" s="1"/>
      <c r="T336" s="1"/>
    </row>
    <row r="337" spans="2:20" ht="13.5" customHeight="1" x14ac:dyDescent="0.35">
      <c r="B337" s="859"/>
      <c r="C337" s="860"/>
      <c r="D337" s="861"/>
      <c r="E337" s="862"/>
      <c r="F337" s="863"/>
      <c r="G337" s="863"/>
      <c r="H337" s="863"/>
      <c r="I337" s="864"/>
      <c r="J337" s="860"/>
      <c r="K337" s="860"/>
      <c r="L337" s="859"/>
      <c r="M337" s="865"/>
      <c r="N337" s="865"/>
      <c r="O337" s="705"/>
      <c r="P337" s="705"/>
      <c r="Q337" s="1"/>
      <c r="R337" s="1"/>
      <c r="S337" s="1"/>
      <c r="T337" s="1"/>
    </row>
    <row r="338" spans="2:20" ht="13.5" customHeight="1" thickBot="1" x14ac:dyDescent="0.4">
      <c r="B338" s="866"/>
      <c r="C338" s="867"/>
      <c r="D338" s="868"/>
      <c r="E338" s="869"/>
      <c r="F338" s="869"/>
      <c r="G338" s="869"/>
      <c r="H338" s="869"/>
      <c r="I338" s="869"/>
      <c r="J338" s="867"/>
      <c r="K338" s="867"/>
      <c r="L338" s="870"/>
      <c r="M338" s="705"/>
      <c r="N338" s="705"/>
      <c r="O338" s="705"/>
      <c r="P338" s="705"/>
      <c r="Q338" s="1"/>
      <c r="R338" s="1"/>
      <c r="S338" s="1"/>
      <c r="T338" s="1"/>
    </row>
    <row r="339" spans="2:20" ht="16.5" customHeight="1" thickBot="1" x14ac:dyDescent="0.4">
      <c r="B339" s="853" t="s">
        <v>105</v>
      </c>
      <c r="C339" s="871"/>
      <c r="D339" s="871"/>
      <c r="E339" s="871"/>
      <c r="F339" s="871"/>
      <c r="G339" s="871"/>
      <c r="H339" s="871" t="s">
        <v>865</v>
      </c>
      <c r="I339" s="871"/>
      <c r="J339" s="871"/>
      <c r="K339" s="871"/>
      <c r="L339" s="872"/>
      <c r="M339" s="705"/>
      <c r="N339" s="705"/>
      <c r="O339" s="705"/>
      <c r="P339" s="705"/>
      <c r="Q339" s="1"/>
      <c r="R339" s="1"/>
      <c r="S339" s="1"/>
      <c r="T339" s="1"/>
    </row>
    <row r="340" spans="2:20" ht="13.5" customHeight="1" x14ac:dyDescent="0.35">
      <c r="B340" s="873" t="s">
        <v>69</v>
      </c>
      <c r="C340" s="873" t="s">
        <v>70</v>
      </c>
      <c r="D340" s="873" t="s">
        <v>71</v>
      </c>
      <c r="E340" s="874" t="s">
        <v>99</v>
      </c>
      <c r="F340" s="875"/>
      <c r="G340" s="875"/>
      <c r="H340" s="875"/>
      <c r="I340" s="876"/>
      <c r="J340" s="873" t="s">
        <v>82</v>
      </c>
      <c r="K340" s="873" t="s">
        <v>84</v>
      </c>
      <c r="L340" s="873" t="s">
        <v>33</v>
      </c>
      <c r="M340" s="705"/>
      <c r="N340" s="705"/>
      <c r="O340" s="705"/>
      <c r="P340" s="705"/>
      <c r="Q340" s="1"/>
      <c r="R340" s="1"/>
      <c r="S340" s="1"/>
      <c r="T340" s="1"/>
    </row>
    <row r="341" spans="2:20" ht="13.5" customHeight="1" thickBot="1" x14ac:dyDescent="0.4">
      <c r="B341" s="877"/>
      <c r="C341" s="805"/>
      <c r="D341" s="878"/>
      <c r="E341" s="879"/>
      <c r="F341" s="880"/>
      <c r="G341" s="880"/>
      <c r="H341" s="880"/>
      <c r="I341" s="881"/>
      <c r="J341" s="704"/>
      <c r="K341" s="703"/>
      <c r="L341" s="670"/>
      <c r="M341" s="705"/>
      <c r="N341" s="705"/>
      <c r="O341" s="705"/>
      <c r="P341" s="705"/>
      <c r="Q341" s="1"/>
      <c r="R341" s="1"/>
      <c r="S341" s="1"/>
      <c r="T341" s="1"/>
    </row>
    <row r="342" spans="2:20" ht="15.6" customHeight="1" thickBot="1" x14ac:dyDescent="0.35">
      <c r="B342" s="1279" t="s">
        <v>106</v>
      </c>
      <c r="C342" s="1280"/>
      <c r="D342" s="1281"/>
      <c r="E342" s="882"/>
      <c r="F342" s="882"/>
      <c r="G342" s="882"/>
      <c r="H342" s="882"/>
      <c r="I342" s="882"/>
      <c r="J342" s="882"/>
      <c r="K342" s="882"/>
      <c r="L342" s="882"/>
      <c r="M342" s="882"/>
      <c r="N342" s="882"/>
      <c r="O342" s="882"/>
      <c r="P342" s="883"/>
      <c r="Q342" s="1"/>
      <c r="R342" s="1"/>
      <c r="S342" s="1"/>
      <c r="T342" s="1"/>
    </row>
    <row r="343" spans="2:20" ht="34.799999999999997" x14ac:dyDescent="0.35">
      <c r="B343" s="884" t="s">
        <v>98</v>
      </c>
      <c r="C343" s="884" t="s">
        <v>74</v>
      </c>
      <c r="D343" s="884" t="s">
        <v>75</v>
      </c>
      <c r="E343" s="885" t="s">
        <v>76</v>
      </c>
      <c r="F343" s="885"/>
      <c r="G343" s="885" t="s">
        <v>78</v>
      </c>
      <c r="H343" s="885" t="s">
        <v>107</v>
      </c>
      <c r="I343" s="1338" t="s">
        <v>99</v>
      </c>
      <c r="J343" s="1339"/>
      <c r="K343" s="1339"/>
      <c r="L343" s="1340"/>
      <c r="M343" s="885" t="s">
        <v>81</v>
      </c>
      <c r="N343" s="885" t="s">
        <v>82</v>
      </c>
      <c r="O343" s="885" t="s">
        <v>84</v>
      </c>
      <c r="P343" s="885" t="s">
        <v>100</v>
      </c>
      <c r="Q343" s="1"/>
      <c r="R343" s="1"/>
      <c r="S343" s="1"/>
      <c r="T343" s="1"/>
    </row>
    <row r="344" spans="2:20" ht="17.55" customHeight="1" x14ac:dyDescent="0.35">
      <c r="B344" s="877">
        <v>1</v>
      </c>
      <c r="C344" s="886" cm="1">
        <f t="array" aca="1" ref="C344" ca="1">C344:D40776/1</f>
        <v>0</v>
      </c>
      <c r="D344" s="805" t="s">
        <v>87</v>
      </c>
      <c r="E344" s="805" t="s">
        <v>92</v>
      </c>
      <c r="F344" s="805"/>
      <c r="G344" s="806">
        <v>46006</v>
      </c>
      <c r="H344" s="887">
        <v>35.088999999999999</v>
      </c>
      <c r="I344" s="1272" t="s">
        <v>667</v>
      </c>
      <c r="J344" s="1273"/>
      <c r="K344" s="1273"/>
      <c r="L344" s="1274"/>
      <c r="M344" s="806">
        <v>46011</v>
      </c>
      <c r="N344" s="888" t="s">
        <v>666</v>
      </c>
      <c r="O344" s="805">
        <v>35</v>
      </c>
      <c r="P344" s="805"/>
      <c r="Q344" s="1"/>
      <c r="R344" s="1"/>
      <c r="S344" s="1"/>
      <c r="T344" s="1"/>
    </row>
    <row r="345" spans="2:20" ht="17.55" customHeight="1" x14ac:dyDescent="0.35">
      <c r="B345" s="877">
        <f t="shared" ref="B345:B376" si="6">B344+1</f>
        <v>2</v>
      </c>
      <c r="C345" s="675" t="s">
        <v>271</v>
      </c>
      <c r="D345" s="812" t="s">
        <v>87</v>
      </c>
      <c r="E345" s="675" t="s">
        <v>542</v>
      </c>
      <c r="F345" s="675"/>
      <c r="G345" s="836">
        <v>46013</v>
      </c>
      <c r="H345" s="887">
        <v>35.088999999999999</v>
      </c>
      <c r="I345" s="1272" t="s">
        <v>667</v>
      </c>
      <c r="J345" s="1273"/>
      <c r="K345" s="1273"/>
      <c r="L345" s="1274"/>
      <c r="M345" s="820">
        <v>46018</v>
      </c>
      <c r="N345" s="888" t="s">
        <v>666</v>
      </c>
      <c r="O345" s="805">
        <v>35</v>
      </c>
      <c r="P345" s="821"/>
      <c r="Q345" s="1"/>
      <c r="R345" s="1"/>
      <c r="S345" s="1"/>
      <c r="T345" s="1"/>
    </row>
    <row r="346" spans="2:20" ht="17.55" customHeight="1" x14ac:dyDescent="0.35">
      <c r="B346" s="877">
        <f t="shared" si="6"/>
        <v>3</v>
      </c>
      <c r="C346" s="889" t="s">
        <v>321</v>
      </c>
      <c r="D346" s="805" t="s">
        <v>87</v>
      </c>
      <c r="E346" s="805" t="s">
        <v>92</v>
      </c>
      <c r="F346" s="823"/>
      <c r="G346" s="890">
        <v>46013</v>
      </c>
      <c r="H346" s="887">
        <v>35.088999999999999</v>
      </c>
      <c r="I346" s="1272" t="s">
        <v>667</v>
      </c>
      <c r="J346" s="1273"/>
      <c r="K346" s="1273"/>
      <c r="L346" s="1274"/>
      <c r="M346" s="723">
        <v>46022</v>
      </c>
      <c r="N346" s="891" t="s">
        <v>693</v>
      </c>
      <c r="O346" s="812">
        <v>49</v>
      </c>
      <c r="P346" s="812"/>
      <c r="Q346" s="1"/>
      <c r="R346" s="1"/>
      <c r="S346" s="1"/>
      <c r="T346" s="1"/>
    </row>
    <row r="347" spans="2:20" ht="17.55" customHeight="1" x14ac:dyDescent="0.35">
      <c r="B347" s="877">
        <f t="shared" si="6"/>
        <v>4</v>
      </c>
      <c r="C347" s="810" t="s">
        <v>266</v>
      </c>
      <c r="D347" s="812" t="s">
        <v>87</v>
      </c>
      <c r="E347" s="675" t="s">
        <v>542</v>
      </c>
      <c r="F347" s="810"/>
      <c r="G347" s="814">
        <v>46016</v>
      </c>
      <c r="H347" s="887">
        <v>35.088999999999999</v>
      </c>
      <c r="I347" s="1266" t="s">
        <v>667</v>
      </c>
      <c r="J347" s="1267"/>
      <c r="K347" s="1267"/>
      <c r="L347" s="1267"/>
      <c r="M347" s="814">
        <v>46032</v>
      </c>
      <c r="N347" s="891" t="s">
        <v>666</v>
      </c>
      <c r="O347" s="812">
        <v>35</v>
      </c>
      <c r="P347" s="810"/>
      <c r="Q347" s="1"/>
      <c r="R347" s="1"/>
      <c r="S347" s="1"/>
      <c r="T347" s="1"/>
    </row>
    <row r="348" spans="2:20" ht="17.55" customHeight="1" x14ac:dyDescent="0.35">
      <c r="B348" s="877">
        <f t="shared" si="6"/>
        <v>5</v>
      </c>
      <c r="C348" s="810" t="s">
        <v>320</v>
      </c>
      <c r="D348" s="812" t="s">
        <v>87</v>
      </c>
      <c r="E348" s="675" t="s">
        <v>542</v>
      </c>
      <c r="F348" s="810"/>
      <c r="G348" s="814">
        <v>46016</v>
      </c>
      <c r="H348" s="887">
        <v>35.088999999999999</v>
      </c>
      <c r="I348" s="1272" t="s">
        <v>667</v>
      </c>
      <c r="J348" s="1273"/>
      <c r="K348" s="1273"/>
      <c r="L348" s="1274"/>
      <c r="M348" s="814">
        <v>46030</v>
      </c>
      <c r="N348" s="891" t="s">
        <v>693</v>
      </c>
      <c r="O348" s="812">
        <v>49</v>
      </c>
      <c r="P348" s="810"/>
      <c r="Q348" s="1"/>
      <c r="R348" s="1"/>
      <c r="S348" s="1"/>
      <c r="T348" s="1"/>
    </row>
    <row r="349" spans="2:20" ht="17.55" customHeight="1" x14ac:dyDescent="0.35">
      <c r="B349" s="877">
        <f t="shared" si="6"/>
        <v>6</v>
      </c>
      <c r="C349" s="810" t="s">
        <v>265</v>
      </c>
      <c r="D349" s="810" t="s">
        <v>95</v>
      </c>
      <c r="E349" s="675" t="s">
        <v>542</v>
      </c>
      <c r="F349" s="810"/>
      <c r="G349" s="814">
        <v>46024</v>
      </c>
      <c r="H349" s="892">
        <v>41.88</v>
      </c>
      <c r="I349" s="1266" t="s">
        <v>667</v>
      </c>
      <c r="J349" s="1267"/>
      <c r="K349" s="1267"/>
      <c r="L349" s="1267"/>
      <c r="M349" s="814">
        <v>46032</v>
      </c>
      <c r="N349" s="891" t="s">
        <v>666</v>
      </c>
      <c r="O349" s="812">
        <v>35</v>
      </c>
      <c r="P349" s="810"/>
      <c r="Q349" s="1"/>
      <c r="R349" s="1"/>
      <c r="S349" s="1"/>
      <c r="T349" s="1"/>
    </row>
    <row r="350" spans="2:20" ht="17.55" customHeight="1" x14ac:dyDescent="0.35">
      <c r="B350" s="877">
        <f t="shared" si="6"/>
        <v>7</v>
      </c>
      <c r="C350" s="810" t="s">
        <v>318</v>
      </c>
      <c r="D350" s="812" t="s">
        <v>87</v>
      </c>
      <c r="E350" s="675" t="s">
        <v>542</v>
      </c>
      <c r="F350" s="810"/>
      <c r="G350" s="814">
        <v>46023</v>
      </c>
      <c r="H350" s="887">
        <v>35.088999999999999</v>
      </c>
      <c r="I350" s="1266" t="s">
        <v>667</v>
      </c>
      <c r="J350" s="1267"/>
      <c r="K350" s="1267"/>
      <c r="L350" s="1267"/>
      <c r="M350" s="814">
        <v>46035</v>
      </c>
      <c r="N350" s="891" t="s">
        <v>693</v>
      </c>
      <c r="O350" s="812">
        <v>49</v>
      </c>
      <c r="P350" s="810"/>
      <c r="Q350" s="1"/>
      <c r="R350" s="1"/>
      <c r="S350" s="1"/>
      <c r="T350" s="1"/>
    </row>
    <row r="351" spans="2:20" ht="17.55" customHeight="1" x14ac:dyDescent="0.35">
      <c r="B351" s="877">
        <f t="shared" si="6"/>
        <v>8</v>
      </c>
      <c r="C351" s="810" t="s">
        <v>267</v>
      </c>
      <c r="D351" s="812" t="s">
        <v>87</v>
      </c>
      <c r="E351" s="675" t="s">
        <v>542</v>
      </c>
      <c r="F351" s="810"/>
      <c r="G351" s="814">
        <v>46031</v>
      </c>
      <c r="H351" s="887">
        <v>35.088999999999999</v>
      </c>
      <c r="I351" s="1266" t="s">
        <v>667</v>
      </c>
      <c r="J351" s="1267"/>
      <c r="K351" s="1267"/>
      <c r="L351" s="1267"/>
      <c r="M351" s="814">
        <v>46036</v>
      </c>
      <c r="N351" s="891" t="s">
        <v>666</v>
      </c>
      <c r="O351" s="812">
        <v>35</v>
      </c>
      <c r="P351" s="810"/>
      <c r="Q351" s="1"/>
      <c r="R351" s="1"/>
      <c r="S351" s="1"/>
      <c r="T351" s="1"/>
    </row>
    <row r="352" spans="2:20" ht="17.55" customHeight="1" x14ac:dyDescent="0.35">
      <c r="B352" s="877">
        <f t="shared" si="6"/>
        <v>9</v>
      </c>
      <c r="C352" s="810" t="s">
        <v>322</v>
      </c>
      <c r="D352" s="893" t="s">
        <v>87</v>
      </c>
      <c r="E352" s="675" t="s">
        <v>542</v>
      </c>
      <c r="F352" s="894"/>
      <c r="G352" s="814">
        <v>46029</v>
      </c>
      <c r="H352" s="887">
        <v>35.088999999999999</v>
      </c>
      <c r="I352" s="1266" t="s">
        <v>667</v>
      </c>
      <c r="J352" s="1267"/>
      <c r="K352" s="1267"/>
      <c r="L352" s="1267"/>
      <c r="M352" s="814">
        <v>46038</v>
      </c>
      <c r="N352" s="843" t="s">
        <v>670</v>
      </c>
      <c r="O352" s="810">
        <v>21</v>
      </c>
      <c r="P352" s="810"/>
      <c r="Q352" s="1"/>
      <c r="R352" s="1"/>
      <c r="S352" s="1"/>
      <c r="T352" s="1"/>
    </row>
    <row r="353" spans="2:20" ht="17.55" customHeight="1" x14ac:dyDescent="0.35">
      <c r="B353" s="877">
        <f t="shared" si="6"/>
        <v>10</v>
      </c>
      <c r="C353" s="810" t="s">
        <v>86</v>
      </c>
      <c r="D353" s="812" t="s">
        <v>87</v>
      </c>
      <c r="E353" s="810" t="s">
        <v>88</v>
      </c>
      <c r="F353" s="810"/>
      <c r="G353" s="895">
        <v>46033</v>
      </c>
      <c r="H353" s="896">
        <v>35.088999999999999</v>
      </c>
      <c r="I353" s="1266" t="s">
        <v>667</v>
      </c>
      <c r="J353" s="1267"/>
      <c r="K353" s="1267"/>
      <c r="L353" s="1267"/>
      <c r="M353" s="814">
        <v>46038</v>
      </c>
      <c r="N353" s="843" t="s">
        <v>692</v>
      </c>
      <c r="O353" s="810">
        <v>31</v>
      </c>
      <c r="P353" s="810"/>
      <c r="Q353" s="1"/>
      <c r="R353" s="1"/>
      <c r="S353" s="1"/>
      <c r="T353" s="1"/>
    </row>
    <row r="354" spans="2:20" ht="17.55" customHeight="1" x14ac:dyDescent="0.35">
      <c r="B354" s="877">
        <f t="shared" si="6"/>
        <v>11</v>
      </c>
      <c r="C354" s="810" t="s">
        <v>96</v>
      </c>
      <c r="D354" s="810" t="s">
        <v>87</v>
      </c>
      <c r="E354" s="810" t="s">
        <v>92</v>
      </c>
      <c r="F354" s="810"/>
      <c r="G354" s="895">
        <v>46037</v>
      </c>
      <c r="H354" s="896">
        <v>35.088999999999999</v>
      </c>
      <c r="I354" s="1266" t="s">
        <v>667</v>
      </c>
      <c r="J354" s="1267"/>
      <c r="K354" s="1267"/>
      <c r="L354" s="1267"/>
      <c r="M354" s="814">
        <v>46042</v>
      </c>
      <c r="N354" s="843" t="s">
        <v>692</v>
      </c>
      <c r="O354" s="810">
        <v>31</v>
      </c>
      <c r="P354" s="810"/>
      <c r="Q354" s="1"/>
      <c r="R354" s="1"/>
      <c r="S354" s="1"/>
      <c r="T354" s="1"/>
    </row>
    <row r="355" spans="2:20" ht="17.55" customHeight="1" x14ac:dyDescent="0.35">
      <c r="B355" s="877">
        <f t="shared" si="6"/>
        <v>12</v>
      </c>
      <c r="C355" s="822" t="s">
        <v>273</v>
      </c>
      <c r="D355" s="822" t="s">
        <v>95</v>
      </c>
      <c r="E355" s="822" t="s">
        <v>542</v>
      </c>
      <c r="F355" s="822"/>
      <c r="G355" s="814">
        <v>46037</v>
      </c>
      <c r="H355" s="897">
        <v>41.88</v>
      </c>
      <c r="I355" s="1270" t="s">
        <v>667</v>
      </c>
      <c r="J355" s="1271"/>
      <c r="K355" s="1271"/>
      <c r="L355" s="1271"/>
      <c r="M355" s="898">
        <v>46043</v>
      </c>
      <c r="N355" s="899" t="s">
        <v>666</v>
      </c>
      <c r="O355" s="823">
        <v>35</v>
      </c>
      <c r="P355" s="822"/>
      <c r="Q355" s="1"/>
      <c r="R355" s="1"/>
      <c r="S355" s="1"/>
      <c r="T355" s="1"/>
    </row>
    <row r="356" spans="2:20" ht="17.55" customHeight="1" x14ac:dyDescent="0.35">
      <c r="B356" s="877">
        <f t="shared" si="6"/>
        <v>13</v>
      </c>
      <c r="C356" s="810" t="s">
        <v>325</v>
      </c>
      <c r="D356" s="810" t="s">
        <v>87</v>
      </c>
      <c r="E356" s="810" t="s">
        <v>92</v>
      </c>
      <c r="F356" s="810"/>
      <c r="G356" s="895">
        <v>46039</v>
      </c>
      <c r="H356" s="896">
        <v>35.088999999999999</v>
      </c>
      <c r="I356" s="1266" t="s">
        <v>667</v>
      </c>
      <c r="J356" s="1267"/>
      <c r="K356" s="1267"/>
      <c r="L356" s="1267"/>
      <c r="M356" s="814">
        <v>46043</v>
      </c>
      <c r="N356" s="843" t="s">
        <v>670</v>
      </c>
      <c r="O356" s="810">
        <v>21</v>
      </c>
      <c r="P356" s="810"/>
      <c r="Q356" s="1"/>
      <c r="R356" s="1"/>
      <c r="S356" s="1"/>
      <c r="T356" s="1"/>
    </row>
    <row r="357" spans="2:20" ht="17.55" customHeight="1" x14ac:dyDescent="0.35">
      <c r="B357" s="877">
        <f t="shared" si="6"/>
        <v>14</v>
      </c>
      <c r="C357" s="810" t="s">
        <v>342</v>
      </c>
      <c r="D357" s="810" t="s">
        <v>87</v>
      </c>
      <c r="E357" s="810" t="s">
        <v>542</v>
      </c>
      <c r="F357" s="810"/>
      <c r="G357" s="895">
        <v>46038</v>
      </c>
      <c r="H357" s="896">
        <v>35.088999999999999</v>
      </c>
      <c r="I357" s="1266" t="s">
        <v>667</v>
      </c>
      <c r="J357" s="1267"/>
      <c r="K357" s="1267"/>
      <c r="L357" s="1267"/>
      <c r="M357" s="814">
        <v>46043</v>
      </c>
      <c r="N357" s="843" t="s">
        <v>695</v>
      </c>
      <c r="O357" s="810">
        <v>32</v>
      </c>
      <c r="P357" s="810"/>
      <c r="Q357" s="1"/>
      <c r="R357" s="1"/>
      <c r="S357" s="1"/>
      <c r="T357" s="1"/>
    </row>
    <row r="358" spans="2:20" ht="17.55" customHeight="1" x14ac:dyDescent="0.35">
      <c r="B358" s="877">
        <f t="shared" si="6"/>
        <v>15</v>
      </c>
      <c r="C358" s="810" t="s">
        <v>398</v>
      </c>
      <c r="D358" s="810" t="s">
        <v>87</v>
      </c>
      <c r="E358" s="810" t="s">
        <v>92</v>
      </c>
      <c r="F358" s="810"/>
      <c r="G358" s="895">
        <v>46039</v>
      </c>
      <c r="H358" s="896">
        <v>35.088999999999999</v>
      </c>
      <c r="I358" s="1266" t="s">
        <v>667</v>
      </c>
      <c r="J358" s="1267"/>
      <c r="K358" s="1267"/>
      <c r="L358" s="1267"/>
      <c r="M358" s="814">
        <v>46043</v>
      </c>
      <c r="N358" s="900" t="s">
        <v>694</v>
      </c>
      <c r="O358" s="810">
        <v>45</v>
      </c>
      <c r="P358" s="810"/>
      <c r="Q358" s="1"/>
      <c r="R358" s="1"/>
      <c r="S358" s="1"/>
      <c r="T358" s="1"/>
    </row>
    <row r="359" spans="2:20" ht="17.55" customHeight="1" x14ac:dyDescent="0.35">
      <c r="B359" s="877">
        <f t="shared" si="6"/>
        <v>16</v>
      </c>
      <c r="C359" s="810" t="s">
        <v>343</v>
      </c>
      <c r="D359" s="812" t="s">
        <v>87</v>
      </c>
      <c r="E359" s="810" t="s">
        <v>542</v>
      </c>
      <c r="F359" s="810"/>
      <c r="G359" s="895">
        <v>46041</v>
      </c>
      <c r="H359" s="896">
        <v>35.088999999999999</v>
      </c>
      <c r="I359" s="1266" t="s">
        <v>667</v>
      </c>
      <c r="J359" s="1267"/>
      <c r="K359" s="1267"/>
      <c r="L359" s="1267"/>
      <c r="M359" s="814">
        <v>46046</v>
      </c>
      <c r="N359" s="843" t="s">
        <v>695</v>
      </c>
      <c r="O359" s="810">
        <v>32</v>
      </c>
      <c r="P359" s="810"/>
      <c r="Q359" s="1"/>
      <c r="R359" s="1"/>
      <c r="S359" s="1"/>
      <c r="T359" s="1"/>
    </row>
    <row r="360" spans="2:20" ht="17.55" customHeight="1" x14ac:dyDescent="0.35">
      <c r="B360" s="877">
        <f t="shared" si="6"/>
        <v>17</v>
      </c>
      <c r="C360" s="810" t="s">
        <v>94</v>
      </c>
      <c r="D360" s="810" t="s">
        <v>95</v>
      </c>
      <c r="E360" s="810" t="s">
        <v>541</v>
      </c>
      <c r="F360" s="810"/>
      <c r="G360" s="895">
        <v>46041</v>
      </c>
      <c r="H360" s="892">
        <v>41.88</v>
      </c>
      <c r="I360" s="1266" t="s">
        <v>667</v>
      </c>
      <c r="J360" s="1267"/>
      <c r="K360" s="1267"/>
      <c r="L360" s="1267"/>
      <c r="M360" s="814">
        <v>46047</v>
      </c>
      <c r="N360" s="843" t="s">
        <v>692</v>
      </c>
      <c r="O360" s="810">
        <v>31</v>
      </c>
      <c r="P360" s="810"/>
      <c r="Q360" s="1"/>
      <c r="R360" s="1"/>
      <c r="S360" s="1"/>
      <c r="T360" s="1"/>
    </row>
    <row r="361" spans="2:20" ht="17.55" customHeight="1" x14ac:dyDescent="0.35">
      <c r="B361" s="877">
        <f t="shared" si="6"/>
        <v>18</v>
      </c>
      <c r="C361" s="810" t="s">
        <v>274</v>
      </c>
      <c r="D361" s="812" t="s">
        <v>87</v>
      </c>
      <c r="E361" s="810" t="s">
        <v>542</v>
      </c>
      <c r="F361" s="810"/>
      <c r="G361" s="814">
        <v>46044</v>
      </c>
      <c r="H361" s="887">
        <v>35.088999999999999</v>
      </c>
      <c r="I361" s="1266" t="s">
        <v>667</v>
      </c>
      <c r="J361" s="1267"/>
      <c r="K361" s="1267"/>
      <c r="L361" s="1267"/>
      <c r="M361" s="814">
        <v>46049</v>
      </c>
      <c r="N361" s="843" t="s">
        <v>666</v>
      </c>
      <c r="O361" s="812">
        <v>35</v>
      </c>
      <c r="P361" s="810"/>
      <c r="Q361" s="1"/>
      <c r="R361" s="1"/>
      <c r="S361" s="1"/>
      <c r="T361" s="1"/>
    </row>
    <row r="362" spans="2:20" ht="17.55" customHeight="1" x14ac:dyDescent="0.35">
      <c r="B362" s="877">
        <f t="shared" si="6"/>
        <v>19</v>
      </c>
      <c r="C362" s="810" t="s">
        <v>397</v>
      </c>
      <c r="D362" s="810" t="s">
        <v>87</v>
      </c>
      <c r="E362" s="810" t="s">
        <v>92</v>
      </c>
      <c r="F362" s="810"/>
      <c r="G362" s="895">
        <v>46045</v>
      </c>
      <c r="H362" s="896">
        <v>35.088999999999999</v>
      </c>
      <c r="I362" s="1266" t="s">
        <v>667</v>
      </c>
      <c r="J362" s="1267"/>
      <c r="K362" s="1267"/>
      <c r="L362" s="1267"/>
      <c r="M362" s="814">
        <v>46049</v>
      </c>
      <c r="N362" s="900" t="s">
        <v>694</v>
      </c>
      <c r="O362" s="810">
        <v>45</v>
      </c>
      <c r="P362" s="810"/>
      <c r="Q362" s="1"/>
      <c r="R362" s="1"/>
      <c r="S362" s="1"/>
      <c r="T362" s="1"/>
    </row>
    <row r="363" spans="2:20" ht="17.55" customHeight="1" x14ac:dyDescent="0.35">
      <c r="B363" s="877">
        <f t="shared" si="6"/>
        <v>20</v>
      </c>
      <c r="C363" s="810" t="s">
        <v>341</v>
      </c>
      <c r="D363" s="810" t="s">
        <v>95</v>
      </c>
      <c r="E363" s="810" t="s">
        <v>542</v>
      </c>
      <c r="F363" s="810"/>
      <c r="G363" s="895">
        <v>46047</v>
      </c>
      <c r="H363" s="892">
        <v>41.88</v>
      </c>
      <c r="I363" s="1266" t="s">
        <v>667</v>
      </c>
      <c r="J363" s="1267"/>
      <c r="K363" s="1267"/>
      <c r="L363" s="1267"/>
      <c r="M363" s="814">
        <v>46050</v>
      </c>
      <c r="N363" s="843" t="s">
        <v>695</v>
      </c>
      <c r="O363" s="810">
        <v>32</v>
      </c>
      <c r="P363" s="810"/>
      <c r="Q363" s="1"/>
      <c r="R363" s="1"/>
      <c r="S363" s="1"/>
      <c r="T363" s="1"/>
    </row>
    <row r="364" spans="2:20" ht="17.55" customHeight="1" x14ac:dyDescent="0.35">
      <c r="B364" s="877">
        <f t="shared" si="6"/>
        <v>21</v>
      </c>
      <c r="C364" s="810" t="s">
        <v>394</v>
      </c>
      <c r="D364" s="812" t="s">
        <v>87</v>
      </c>
      <c r="E364" s="675" t="s">
        <v>542</v>
      </c>
      <c r="F364" s="810"/>
      <c r="G364" s="814">
        <v>46034</v>
      </c>
      <c r="H364" s="896">
        <v>35.088999999999999</v>
      </c>
      <c r="I364" s="1266" t="s">
        <v>667</v>
      </c>
      <c r="J364" s="1267"/>
      <c r="K364" s="1267"/>
      <c r="L364" s="1267"/>
      <c r="M364" s="814">
        <v>46051</v>
      </c>
      <c r="N364" s="891" t="s">
        <v>693</v>
      </c>
      <c r="O364" s="812">
        <v>49</v>
      </c>
      <c r="P364" s="810"/>
      <c r="Q364" s="1"/>
      <c r="R364" s="1"/>
      <c r="S364" s="1"/>
      <c r="T364" s="1"/>
    </row>
    <row r="365" spans="2:20" ht="17.55" customHeight="1" x14ac:dyDescent="0.35">
      <c r="B365" s="877">
        <f t="shared" si="6"/>
        <v>22</v>
      </c>
      <c r="C365" s="810" t="s">
        <v>328</v>
      </c>
      <c r="D365" s="810" t="s">
        <v>91</v>
      </c>
      <c r="E365" s="810" t="s">
        <v>542</v>
      </c>
      <c r="F365" s="810"/>
      <c r="G365" s="895">
        <v>46048</v>
      </c>
      <c r="H365" s="892">
        <v>36.771000000000001</v>
      </c>
      <c r="I365" s="1266" t="s">
        <v>667</v>
      </c>
      <c r="J365" s="1267"/>
      <c r="K365" s="1267"/>
      <c r="L365" s="1267"/>
      <c r="M365" s="814">
        <v>46052</v>
      </c>
      <c r="N365" s="843" t="s">
        <v>670</v>
      </c>
      <c r="O365" s="810">
        <v>21</v>
      </c>
      <c r="P365" s="810"/>
      <c r="Q365" s="1"/>
      <c r="R365" s="1"/>
      <c r="S365" s="1"/>
      <c r="T365" s="1"/>
    </row>
    <row r="366" spans="2:20" ht="17.55" customHeight="1" x14ac:dyDescent="0.35">
      <c r="B366" s="877">
        <f t="shared" si="6"/>
        <v>23</v>
      </c>
      <c r="C366" s="810" t="s">
        <v>333</v>
      </c>
      <c r="D366" s="810" t="s">
        <v>95</v>
      </c>
      <c r="E366" s="810" t="s">
        <v>92</v>
      </c>
      <c r="F366" s="810"/>
      <c r="G366" s="895">
        <v>46049</v>
      </c>
      <c r="H366" s="892">
        <v>41.88</v>
      </c>
      <c r="I366" s="1266" t="s">
        <v>667</v>
      </c>
      <c r="J366" s="1267"/>
      <c r="K366" s="1267"/>
      <c r="L366" s="1267"/>
      <c r="M366" s="814">
        <v>46053</v>
      </c>
      <c r="N366" s="843" t="s">
        <v>692</v>
      </c>
      <c r="O366" s="810">
        <v>31</v>
      </c>
      <c r="P366" s="810"/>
      <c r="Q366" s="1"/>
      <c r="R366" s="1"/>
      <c r="S366" s="1"/>
      <c r="T366" s="1"/>
    </row>
    <row r="367" spans="2:20" ht="17.55" customHeight="1" x14ac:dyDescent="0.35">
      <c r="B367" s="877">
        <f t="shared" si="6"/>
        <v>24</v>
      </c>
      <c r="C367" s="810" t="s">
        <v>401</v>
      </c>
      <c r="D367" s="810" t="s">
        <v>91</v>
      </c>
      <c r="E367" s="810" t="s">
        <v>92</v>
      </c>
      <c r="F367" s="810"/>
      <c r="G367" s="814">
        <v>46049</v>
      </c>
      <c r="H367" s="892">
        <v>36.771000000000001</v>
      </c>
      <c r="I367" s="1266" t="s">
        <v>667</v>
      </c>
      <c r="J367" s="1267"/>
      <c r="K367" s="1267"/>
      <c r="L367" s="1267"/>
      <c r="M367" s="814">
        <v>46053</v>
      </c>
      <c r="N367" s="891" t="s">
        <v>694</v>
      </c>
      <c r="O367" s="810">
        <v>45</v>
      </c>
      <c r="P367" s="810"/>
      <c r="Q367" s="1"/>
      <c r="R367" s="1"/>
      <c r="S367" s="1"/>
      <c r="T367" s="1"/>
    </row>
    <row r="368" spans="2:20" s="486" customFormat="1" ht="17.55" customHeight="1" x14ac:dyDescent="0.35">
      <c r="B368" s="877">
        <f t="shared" si="6"/>
        <v>25</v>
      </c>
      <c r="C368" s="819" t="s">
        <v>276</v>
      </c>
      <c r="D368" s="819" t="s">
        <v>87</v>
      </c>
      <c r="E368" s="819" t="s">
        <v>92</v>
      </c>
      <c r="F368" s="819"/>
      <c r="G368" s="901">
        <v>46049</v>
      </c>
      <c r="H368" s="902">
        <v>35.088999999999999</v>
      </c>
      <c r="I368" s="1266" t="s">
        <v>667</v>
      </c>
      <c r="J368" s="1267"/>
      <c r="K368" s="1267"/>
      <c r="L368" s="1267"/>
      <c r="M368" s="901">
        <v>46055</v>
      </c>
      <c r="N368" s="903" t="s">
        <v>666</v>
      </c>
      <c r="O368" s="904">
        <v>35</v>
      </c>
      <c r="P368" s="819"/>
      <c r="Q368" s="487"/>
      <c r="R368" s="487"/>
      <c r="S368" s="487"/>
      <c r="T368" s="487"/>
    </row>
    <row r="369" spans="1:20" ht="17.55" customHeight="1" x14ac:dyDescent="0.35">
      <c r="B369" s="877">
        <f t="shared" si="6"/>
        <v>26</v>
      </c>
      <c r="C369" s="810" t="s">
        <v>395</v>
      </c>
      <c r="D369" s="810" t="s">
        <v>87</v>
      </c>
      <c r="E369" s="810" t="s">
        <v>92</v>
      </c>
      <c r="F369" s="810"/>
      <c r="G369" s="814">
        <v>46052</v>
      </c>
      <c r="H369" s="896">
        <v>35.088999999999999</v>
      </c>
      <c r="I369" s="1266" t="s">
        <v>667</v>
      </c>
      <c r="J369" s="1267"/>
      <c r="K369" s="1267"/>
      <c r="L369" s="1267"/>
      <c r="M369" s="814">
        <v>46056</v>
      </c>
      <c r="N369" s="891" t="s">
        <v>693</v>
      </c>
      <c r="O369" s="812">
        <v>49</v>
      </c>
      <c r="P369" s="810"/>
      <c r="Q369" s="1"/>
      <c r="R369" s="1"/>
      <c r="S369" s="1"/>
      <c r="T369" s="1"/>
    </row>
    <row r="370" spans="1:20" ht="17.55" customHeight="1" x14ac:dyDescent="0.35">
      <c r="B370" s="877">
        <f t="shared" si="6"/>
        <v>27</v>
      </c>
      <c r="C370" s="694" t="s">
        <v>347</v>
      </c>
      <c r="D370" s="675" t="s">
        <v>87</v>
      </c>
      <c r="E370" s="674" t="s">
        <v>685</v>
      </c>
      <c r="F370" s="810"/>
      <c r="G370" s="814">
        <v>46053</v>
      </c>
      <c r="H370" s="896">
        <v>35.088999999999999</v>
      </c>
      <c r="I370" s="1266" t="s">
        <v>667</v>
      </c>
      <c r="J370" s="1267"/>
      <c r="K370" s="1267"/>
      <c r="L370" s="1267"/>
      <c r="M370" s="814">
        <v>46056</v>
      </c>
      <c r="N370" s="843" t="s">
        <v>695</v>
      </c>
      <c r="O370" s="810">
        <v>32</v>
      </c>
      <c r="P370" s="810"/>
      <c r="Q370" s="1"/>
      <c r="R370" s="1"/>
      <c r="S370" s="1"/>
      <c r="T370" s="1"/>
    </row>
    <row r="371" spans="1:20" ht="17.55" customHeight="1" x14ac:dyDescent="0.35">
      <c r="B371" s="877">
        <f t="shared" si="6"/>
        <v>28</v>
      </c>
      <c r="C371" s="674" t="s">
        <v>334</v>
      </c>
      <c r="D371" s="675" t="s">
        <v>109</v>
      </c>
      <c r="E371" s="674" t="s">
        <v>92</v>
      </c>
      <c r="F371" s="810"/>
      <c r="G371" s="814">
        <v>46054</v>
      </c>
      <c r="H371" s="896">
        <v>43.575000000000003</v>
      </c>
      <c r="I371" s="1266" t="s">
        <v>667</v>
      </c>
      <c r="J371" s="1267"/>
      <c r="K371" s="1267"/>
      <c r="L371" s="1267"/>
      <c r="M371" s="814">
        <v>46057</v>
      </c>
      <c r="N371" s="843" t="s">
        <v>692</v>
      </c>
      <c r="O371" s="810">
        <v>31</v>
      </c>
      <c r="P371" s="810"/>
      <c r="Q371" s="1"/>
      <c r="R371" s="1"/>
      <c r="S371" s="1"/>
      <c r="T371" s="1"/>
    </row>
    <row r="372" spans="1:20" ht="17.55" customHeight="1" x14ac:dyDescent="0.35">
      <c r="B372" s="877">
        <f t="shared" si="6"/>
        <v>29</v>
      </c>
      <c r="C372" s="810" t="s">
        <v>344</v>
      </c>
      <c r="D372" s="810" t="s">
        <v>109</v>
      </c>
      <c r="E372" s="810" t="s">
        <v>542</v>
      </c>
      <c r="F372" s="810"/>
      <c r="G372" s="814">
        <v>46050</v>
      </c>
      <c r="H372" s="896">
        <v>43.575000000000003</v>
      </c>
      <c r="I372" s="1266" t="s">
        <v>667</v>
      </c>
      <c r="J372" s="1267"/>
      <c r="K372" s="1267"/>
      <c r="L372" s="1267"/>
      <c r="M372" s="814">
        <v>46058</v>
      </c>
      <c r="N372" s="843" t="s">
        <v>695</v>
      </c>
      <c r="O372" s="810">
        <v>32</v>
      </c>
      <c r="P372" s="810"/>
      <c r="Q372" s="1"/>
      <c r="R372" s="1"/>
      <c r="S372" s="1"/>
      <c r="T372" s="1"/>
    </row>
    <row r="373" spans="1:20" ht="17.55" customHeight="1" x14ac:dyDescent="0.35">
      <c r="B373" s="877">
        <f t="shared" si="6"/>
        <v>30</v>
      </c>
      <c r="C373" s="674" t="s">
        <v>400</v>
      </c>
      <c r="D373" s="675" t="s">
        <v>91</v>
      </c>
      <c r="E373" s="674" t="s">
        <v>541</v>
      </c>
      <c r="F373" s="810"/>
      <c r="G373" s="814">
        <v>46052</v>
      </c>
      <c r="H373" s="892">
        <v>36.771000000000001</v>
      </c>
      <c r="I373" s="1266" t="s">
        <v>667</v>
      </c>
      <c r="J373" s="1267"/>
      <c r="K373" s="1267"/>
      <c r="L373" s="1267"/>
      <c r="M373" s="814">
        <v>46058</v>
      </c>
      <c r="N373" s="891" t="s">
        <v>694</v>
      </c>
      <c r="O373" s="810">
        <v>45</v>
      </c>
      <c r="P373" s="810"/>
      <c r="Q373" s="1"/>
      <c r="R373" s="1"/>
      <c r="S373" s="1"/>
      <c r="T373" s="1"/>
    </row>
    <row r="374" spans="1:20" ht="17.55" customHeight="1" x14ac:dyDescent="0.35">
      <c r="B374" s="877">
        <f t="shared" si="6"/>
        <v>31</v>
      </c>
      <c r="C374" s="682" t="s">
        <v>260</v>
      </c>
      <c r="D374" s="675" t="s">
        <v>87</v>
      </c>
      <c r="E374" s="674" t="s">
        <v>88</v>
      </c>
      <c r="F374" s="810"/>
      <c r="G374" s="814">
        <v>46059</v>
      </c>
      <c r="H374" s="896">
        <v>35.088999999999999</v>
      </c>
      <c r="I374" s="1266" t="s">
        <v>667</v>
      </c>
      <c r="J374" s="1267"/>
      <c r="K374" s="1267"/>
      <c r="L374" s="1267"/>
      <c r="M374" s="814">
        <v>46062</v>
      </c>
      <c r="N374" s="843" t="s">
        <v>692</v>
      </c>
      <c r="O374" s="810">
        <v>35</v>
      </c>
      <c r="P374" s="810"/>
      <c r="Q374" s="1"/>
      <c r="R374" s="1"/>
      <c r="S374" s="1"/>
      <c r="T374" s="1"/>
    </row>
    <row r="375" spans="1:20" ht="17.55" customHeight="1" x14ac:dyDescent="0.35">
      <c r="B375" s="877">
        <f t="shared" si="6"/>
        <v>32</v>
      </c>
      <c r="C375" s="810" t="s">
        <v>393</v>
      </c>
      <c r="D375" s="810" t="s">
        <v>87</v>
      </c>
      <c r="E375" s="810" t="s">
        <v>92</v>
      </c>
      <c r="F375" s="810"/>
      <c r="G375" s="814">
        <v>46361</v>
      </c>
      <c r="H375" s="896">
        <v>35.088999999999999</v>
      </c>
      <c r="I375" s="1266" t="s">
        <v>667</v>
      </c>
      <c r="J375" s="1267"/>
      <c r="K375" s="1267"/>
      <c r="L375" s="1267"/>
      <c r="M375" s="814">
        <v>46062</v>
      </c>
      <c r="N375" s="891" t="s">
        <v>693</v>
      </c>
      <c r="O375" s="812">
        <v>49</v>
      </c>
      <c r="P375" s="810"/>
      <c r="Q375" s="1"/>
      <c r="R375" s="1"/>
      <c r="S375" s="1"/>
      <c r="T375" s="1"/>
    </row>
    <row r="376" spans="1:20" ht="17.55" customHeight="1" x14ac:dyDescent="0.35">
      <c r="B376" s="877">
        <f t="shared" si="6"/>
        <v>33</v>
      </c>
      <c r="C376" s="810" t="s">
        <v>464</v>
      </c>
      <c r="D376" s="810" t="s">
        <v>558</v>
      </c>
      <c r="E376" s="674" t="s">
        <v>92</v>
      </c>
      <c r="F376" s="810"/>
      <c r="G376" s="814">
        <v>46058</v>
      </c>
      <c r="H376" s="896">
        <v>54.72</v>
      </c>
      <c r="I376" s="1266" t="s">
        <v>667</v>
      </c>
      <c r="J376" s="1267"/>
      <c r="K376" s="1267"/>
      <c r="L376" s="1267"/>
      <c r="M376" s="814">
        <v>46063</v>
      </c>
      <c r="N376" s="843" t="s">
        <v>695</v>
      </c>
      <c r="O376" s="810">
        <v>32</v>
      </c>
      <c r="P376" s="810"/>
      <c r="Q376" s="1"/>
      <c r="R376" s="1"/>
      <c r="S376" s="1"/>
      <c r="T376" s="1"/>
    </row>
    <row r="377" spans="1:20" ht="17.55" customHeight="1" x14ac:dyDescent="0.35">
      <c r="A377" s="1"/>
      <c r="B377" s="877">
        <f t="shared" ref="B377:B408" si="7">B376+1</f>
        <v>34</v>
      </c>
      <c r="C377" s="810" t="s">
        <v>258</v>
      </c>
      <c r="D377" s="823" t="s">
        <v>87</v>
      </c>
      <c r="E377" s="816" t="s">
        <v>542</v>
      </c>
      <c r="F377" s="810"/>
      <c r="G377" s="814">
        <v>46056</v>
      </c>
      <c r="H377" s="896">
        <v>35.088999999999999</v>
      </c>
      <c r="I377" s="1266" t="s">
        <v>667</v>
      </c>
      <c r="J377" s="1267"/>
      <c r="K377" s="1267"/>
      <c r="L377" s="1267"/>
      <c r="M377" s="814">
        <v>46064</v>
      </c>
      <c r="N377" s="891" t="s">
        <v>666</v>
      </c>
      <c r="O377" s="812">
        <v>35</v>
      </c>
      <c r="P377" s="810"/>
      <c r="Q377" s="1"/>
      <c r="R377" s="1"/>
      <c r="S377" s="1"/>
      <c r="T377" s="1"/>
    </row>
    <row r="378" spans="1:20" ht="17.55" customHeight="1" x14ac:dyDescent="0.35">
      <c r="A378" s="1"/>
      <c r="B378" s="877">
        <f t="shared" si="7"/>
        <v>35</v>
      </c>
      <c r="C378" s="831" t="s">
        <v>409</v>
      </c>
      <c r="D378" s="677" t="s">
        <v>87</v>
      </c>
      <c r="E378" s="676" t="s">
        <v>92</v>
      </c>
      <c r="F378" s="822"/>
      <c r="G378" s="814">
        <v>46058</v>
      </c>
      <c r="H378" s="905">
        <v>35.088999999999999</v>
      </c>
      <c r="I378" s="1266" t="s">
        <v>667</v>
      </c>
      <c r="J378" s="1267"/>
      <c r="K378" s="1267"/>
      <c r="L378" s="1267"/>
      <c r="M378" s="898">
        <v>46065</v>
      </c>
      <c r="N378" s="899" t="s">
        <v>694</v>
      </c>
      <c r="O378" s="822">
        <v>45</v>
      </c>
      <c r="P378" s="822"/>
      <c r="Q378" s="1"/>
      <c r="R378" s="1"/>
      <c r="S378" s="1"/>
      <c r="T378" s="1"/>
    </row>
    <row r="379" spans="1:20" ht="17.55" customHeight="1" x14ac:dyDescent="0.35">
      <c r="A379" s="1"/>
      <c r="B379" s="877">
        <f t="shared" si="7"/>
        <v>36</v>
      </c>
      <c r="C379" s="810" t="s">
        <v>261</v>
      </c>
      <c r="D379" s="810" t="s">
        <v>95</v>
      </c>
      <c r="E379" s="810" t="s">
        <v>542</v>
      </c>
      <c r="F379" s="810"/>
      <c r="G379" s="814">
        <v>46063</v>
      </c>
      <c r="H379" s="892">
        <v>41.88</v>
      </c>
      <c r="I379" s="1266" t="s">
        <v>667</v>
      </c>
      <c r="J379" s="1267"/>
      <c r="K379" s="1267"/>
      <c r="L379" s="1267"/>
      <c r="M379" s="898">
        <v>46066</v>
      </c>
      <c r="N379" s="843" t="s">
        <v>692</v>
      </c>
      <c r="O379" s="822">
        <v>31</v>
      </c>
      <c r="P379" s="822"/>
      <c r="Q379" s="1"/>
      <c r="R379" s="1"/>
      <c r="S379" s="1"/>
      <c r="T379" s="1"/>
    </row>
    <row r="380" spans="1:20" ht="17.55" customHeight="1" x14ac:dyDescent="0.35">
      <c r="A380" s="1"/>
      <c r="B380" s="877">
        <f t="shared" si="7"/>
        <v>37</v>
      </c>
      <c r="C380" s="810" t="s">
        <v>93</v>
      </c>
      <c r="D380" s="675" t="s">
        <v>87</v>
      </c>
      <c r="E380" s="674" t="s">
        <v>92</v>
      </c>
      <c r="F380" s="810"/>
      <c r="G380" s="814">
        <v>46063</v>
      </c>
      <c r="H380" s="896">
        <v>35.088999999999999</v>
      </c>
      <c r="I380" s="1266" t="s">
        <v>667</v>
      </c>
      <c r="J380" s="1267"/>
      <c r="K380" s="1267"/>
      <c r="L380" s="1267"/>
      <c r="M380" s="898">
        <v>46066</v>
      </c>
      <c r="N380" s="843" t="s">
        <v>695</v>
      </c>
      <c r="O380" s="810">
        <v>32</v>
      </c>
      <c r="P380" s="822"/>
      <c r="Q380" s="1"/>
      <c r="R380" s="1"/>
      <c r="S380" s="1"/>
      <c r="T380" s="1"/>
    </row>
    <row r="381" spans="1:20" ht="17.55" customHeight="1" x14ac:dyDescent="0.35">
      <c r="A381" s="1"/>
      <c r="B381" s="877">
        <f t="shared" si="7"/>
        <v>38</v>
      </c>
      <c r="C381" s="674" t="s">
        <v>396</v>
      </c>
      <c r="D381" s="675" t="s">
        <v>87</v>
      </c>
      <c r="E381" s="674" t="s">
        <v>542</v>
      </c>
      <c r="F381" s="810"/>
      <c r="G381" s="814">
        <v>46053</v>
      </c>
      <c r="H381" s="896">
        <v>35.088999999999999</v>
      </c>
      <c r="I381" s="1266" t="s">
        <v>667</v>
      </c>
      <c r="J381" s="1267"/>
      <c r="K381" s="1267"/>
      <c r="L381" s="1267"/>
      <c r="M381" s="814">
        <v>46069</v>
      </c>
      <c r="N381" s="891" t="s">
        <v>693</v>
      </c>
      <c r="O381" s="810">
        <v>49</v>
      </c>
      <c r="P381" s="810"/>
      <c r="Q381" s="1"/>
      <c r="R381" s="1"/>
      <c r="S381" s="1"/>
      <c r="T381" s="1"/>
    </row>
    <row r="382" spans="1:20" ht="17.55" customHeight="1" x14ac:dyDescent="0.35">
      <c r="A382" s="1"/>
      <c r="B382" s="877">
        <f t="shared" si="7"/>
        <v>39</v>
      </c>
      <c r="C382" s="810" t="s">
        <v>614</v>
      </c>
      <c r="D382" s="675" t="s">
        <v>87</v>
      </c>
      <c r="E382" s="674" t="s">
        <v>542</v>
      </c>
      <c r="F382" s="810"/>
      <c r="G382" s="814">
        <v>46065</v>
      </c>
      <c r="H382" s="896">
        <v>35.088999999999999</v>
      </c>
      <c r="I382" s="1266" t="s">
        <v>667</v>
      </c>
      <c r="J382" s="1267"/>
      <c r="K382" s="1267"/>
      <c r="L382" s="1267"/>
      <c r="M382" s="814">
        <v>46069</v>
      </c>
      <c r="N382" s="891" t="s">
        <v>694</v>
      </c>
      <c r="O382" s="810">
        <v>45</v>
      </c>
      <c r="P382" s="810"/>
      <c r="Q382" s="1"/>
      <c r="R382" s="1"/>
      <c r="S382" s="1"/>
      <c r="T382" s="1"/>
    </row>
    <row r="383" spans="1:20" ht="17.55" customHeight="1" x14ac:dyDescent="0.35">
      <c r="A383" s="1"/>
      <c r="B383" s="877">
        <f t="shared" si="7"/>
        <v>40</v>
      </c>
      <c r="C383" s="675" t="s">
        <v>625</v>
      </c>
      <c r="D383" s="675" t="s">
        <v>87</v>
      </c>
      <c r="E383" s="675" t="s">
        <v>92</v>
      </c>
      <c r="F383" s="675"/>
      <c r="G383" s="836">
        <v>46067</v>
      </c>
      <c r="H383" s="896">
        <v>35.088999999999999</v>
      </c>
      <c r="I383" s="1266" t="s">
        <v>667</v>
      </c>
      <c r="J383" s="1267"/>
      <c r="K383" s="1267"/>
      <c r="L383" s="1267"/>
      <c r="M383" s="814">
        <v>46070</v>
      </c>
      <c r="N383" s="891" t="s">
        <v>695</v>
      </c>
      <c r="O383" s="810">
        <v>32</v>
      </c>
      <c r="P383" s="810"/>
      <c r="Q383" s="1"/>
      <c r="R383" s="1"/>
      <c r="S383" s="1"/>
      <c r="T383" s="1"/>
    </row>
    <row r="384" spans="1:20" ht="17.55" customHeight="1" x14ac:dyDescent="0.35">
      <c r="A384" s="1"/>
      <c r="B384" s="877">
        <f t="shared" si="7"/>
        <v>41</v>
      </c>
      <c r="C384" s="810" t="s">
        <v>250</v>
      </c>
      <c r="D384" s="675" t="s">
        <v>87</v>
      </c>
      <c r="E384" s="674" t="s">
        <v>542</v>
      </c>
      <c r="F384" s="810"/>
      <c r="G384" s="814">
        <v>46067</v>
      </c>
      <c r="H384" s="896">
        <v>35.088999999999999</v>
      </c>
      <c r="I384" s="1266" t="s">
        <v>667</v>
      </c>
      <c r="J384" s="1267"/>
      <c r="K384" s="1267"/>
      <c r="L384" s="1267"/>
      <c r="M384" s="814">
        <v>46070</v>
      </c>
      <c r="N384" s="891" t="s">
        <v>692</v>
      </c>
      <c r="O384" s="810">
        <v>35</v>
      </c>
      <c r="P384" s="810"/>
      <c r="Q384" s="1"/>
      <c r="R384" s="1"/>
      <c r="S384" s="1"/>
      <c r="T384" s="1"/>
    </row>
    <row r="385" spans="1:20" ht="17.55" customHeight="1" x14ac:dyDescent="0.35">
      <c r="A385" s="1"/>
      <c r="B385" s="877">
        <f t="shared" si="7"/>
        <v>42</v>
      </c>
      <c r="C385" s="822" t="s">
        <v>626</v>
      </c>
      <c r="D385" s="677" t="s">
        <v>87</v>
      </c>
      <c r="E385" s="676" t="s">
        <v>541</v>
      </c>
      <c r="F385" s="822"/>
      <c r="G385" s="898">
        <v>46068</v>
      </c>
      <c r="H385" s="905">
        <v>35.088999999999999</v>
      </c>
      <c r="I385" s="1266" t="s">
        <v>667</v>
      </c>
      <c r="J385" s="1267"/>
      <c r="K385" s="1267"/>
      <c r="L385" s="1267"/>
      <c r="M385" s="898">
        <v>46072</v>
      </c>
      <c r="N385" s="899" t="s">
        <v>695</v>
      </c>
      <c r="O385" s="822">
        <v>32</v>
      </c>
      <c r="P385" s="810"/>
      <c r="Q385" s="1"/>
      <c r="R385" s="1"/>
      <c r="S385" s="1"/>
      <c r="T385" s="1"/>
    </row>
    <row r="386" spans="1:20" ht="17.55" customHeight="1" x14ac:dyDescent="0.35">
      <c r="A386" s="1"/>
      <c r="B386" s="877">
        <f t="shared" si="7"/>
        <v>43</v>
      </c>
      <c r="C386" s="822" t="s">
        <v>259</v>
      </c>
      <c r="D386" s="675" t="s">
        <v>558</v>
      </c>
      <c r="E386" s="676" t="s">
        <v>542</v>
      </c>
      <c r="F386" s="822"/>
      <c r="G386" s="898">
        <v>46065</v>
      </c>
      <c r="H386" s="905">
        <v>54.72</v>
      </c>
      <c r="I386" s="1266" t="s">
        <v>667</v>
      </c>
      <c r="J386" s="1267"/>
      <c r="K386" s="1267"/>
      <c r="L386" s="1267"/>
      <c r="M386" s="898">
        <v>46073</v>
      </c>
      <c r="N386" s="899" t="s">
        <v>666</v>
      </c>
      <c r="O386" s="822">
        <v>35</v>
      </c>
      <c r="P386" s="810"/>
      <c r="Q386" s="1"/>
      <c r="R386" s="1"/>
      <c r="S386" s="1"/>
      <c r="T386" s="1"/>
    </row>
    <row r="387" spans="1:20" ht="17.55" customHeight="1" x14ac:dyDescent="0.35">
      <c r="A387" s="1"/>
      <c r="B387" s="877">
        <f t="shared" si="7"/>
        <v>44</v>
      </c>
      <c r="C387" s="906" t="s">
        <v>408</v>
      </c>
      <c r="D387" s="675" t="s">
        <v>87</v>
      </c>
      <c r="E387" s="675" t="s">
        <v>542</v>
      </c>
      <c r="F387" s="675"/>
      <c r="G387" s="836">
        <v>46069</v>
      </c>
      <c r="H387" s="896">
        <v>35.088999999999999</v>
      </c>
      <c r="I387" s="1266" t="s">
        <v>667</v>
      </c>
      <c r="J387" s="1267"/>
      <c r="K387" s="1267"/>
      <c r="L387" s="1267"/>
      <c r="M387" s="898">
        <v>46073</v>
      </c>
      <c r="N387" s="891" t="s">
        <v>694</v>
      </c>
      <c r="O387" s="810">
        <v>45</v>
      </c>
      <c r="P387" s="810"/>
      <c r="Q387" s="1"/>
      <c r="R387" s="1"/>
      <c r="S387" s="1"/>
      <c r="T387" s="1"/>
    </row>
    <row r="388" spans="1:20" ht="17.55" customHeight="1" x14ac:dyDescent="0.35">
      <c r="A388" s="1"/>
      <c r="B388" s="877">
        <f t="shared" si="7"/>
        <v>45</v>
      </c>
      <c r="C388" s="810" t="s">
        <v>418</v>
      </c>
      <c r="D388" s="675" t="s">
        <v>686</v>
      </c>
      <c r="E388" s="674" t="s">
        <v>92</v>
      </c>
      <c r="F388" s="810"/>
      <c r="G388" s="814">
        <v>46070</v>
      </c>
      <c r="H388" s="896">
        <v>54.72</v>
      </c>
      <c r="I388" s="1266" t="s">
        <v>667</v>
      </c>
      <c r="J388" s="1267"/>
      <c r="K388" s="1267"/>
      <c r="L388" s="1267"/>
      <c r="M388" s="814">
        <v>46074</v>
      </c>
      <c r="N388" s="891" t="s">
        <v>692</v>
      </c>
      <c r="O388" s="810">
        <v>35</v>
      </c>
      <c r="P388" s="810"/>
      <c r="Q388" s="1"/>
      <c r="R388" s="1"/>
      <c r="S388" s="1"/>
      <c r="T388" s="1"/>
    </row>
    <row r="389" spans="1:20" ht="17.55" customHeight="1" x14ac:dyDescent="0.35">
      <c r="A389" s="1"/>
      <c r="B389" s="877">
        <f t="shared" si="7"/>
        <v>46</v>
      </c>
      <c r="C389" s="894" t="s">
        <v>623</v>
      </c>
      <c r="D389" s="675" t="s">
        <v>87</v>
      </c>
      <c r="E389" s="674" t="s">
        <v>92</v>
      </c>
      <c r="F389" s="810"/>
      <c r="G389" s="814">
        <v>46073</v>
      </c>
      <c r="H389" s="896">
        <v>35.088999999999999</v>
      </c>
      <c r="I389" s="1266" t="s">
        <v>667</v>
      </c>
      <c r="J389" s="1267"/>
      <c r="K389" s="1267"/>
      <c r="L389" s="1267"/>
      <c r="M389" s="814">
        <v>46075</v>
      </c>
      <c r="N389" s="891" t="s">
        <v>695</v>
      </c>
      <c r="O389" s="810">
        <v>32</v>
      </c>
      <c r="P389" s="810"/>
      <c r="Q389" s="1"/>
      <c r="R389" s="1"/>
      <c r="S389" s="1"/>
      <c r="T389" s="1"/>
    </row>
    <row r="390" spans="1:20" ht="17.55" customHeight="1" x14ac:dyDescent="0.35">
      <c r="A390" s="1"/>
      <c r="B390" s="877">
        <f t="shared" si="7"/>
        <v>47</v>
      </c>
      <c r="C390" s="894" t="s">
        <v>404</v>
      </c>
      <c r="D390" s="675" t="s">
        <v>87</v>
      </c>
      <c r="E390" s="674" t="s">
        <v>92</v>
      </c>
      <c r="F390" s="810"/>
      <c r="G390" s="814">
        <v>46061</v>
      </c>
      <c r="H390" s="896">
        <v>35.088999999999999</v>
      </c>
      <c r="I390" s="1266" t="s">
        <v>667</v>
      </c>
      <c r="J390" s="1267"/>
      <c r="K390" s="1267"/>
      <c r="L390" s="1267"/>
      <c r="M390" s="814">
        <v>46077</v>
      </c>
      <c r="N390" s="891" t="s">
        <v>694</v>
      </c>
      <c r="O390" s="810">
        <v>45</v>
      </c>
      <c r="P390" s="810"/>
      <c r="Q390" s="1"/>
      <c r="R390" s="1"/>
      <c r="S390" s="1"/>
      <c r="T390" s="1"/>
    </row>
    <row r="391" spans="1:20" ht="17.55" customHeight="1" x14ac:dyDescent="0.35">
      <c r="A391" s="1"/>
      <c r="B391" s="877">
        <f t="shared" si="7"/>
        <v>48</v>
      </c>
      <c r="C391" s="907" t="s">
        <v>624</v>
      </c>
      <c r="D391" s="675" t="s">
        <v>87</v>
      </c>
      <c r="E391" s="674" t="s">
        <v>92</v>
      </c>
      <c r="F391" s="810"/>
      <c r="G391" s="814">
        <v>46075</v>
      </c>
      <c r="H391" s="896">
        <v>35.088999999999999</v>
      </c>
      <c r="I391" s="1266" t="s">
        <v>667</v>
      </c>
      <c r="J391" s="1267"/>
      <c r="K391" s="1267"/>
      <c r="L391" s="1267"/>
      <c r="M391" s="814">
        <v>46077</v>
      </c>
      <c r="N391" s="891" t="s">
        <v>695</v>
      </c>
      <c r="O391" s="810">
        <v>32</v>
      </c>
      <c r="P391" s="810"/>
      <c r="Q391" s="1"/>
      <c r="R391" s="1"/>
      <c r="S391" s="1"/>
      <c r="T391" s="1"/>
    </row>
    <row r="392" spans="1:20" ht="17.55" customHeight="1" x14ac:dyDescent="0.35">
      <c r="A392" s="1"/>
      <c r="B392" s="877">
        <f t="shared" si="7"/>
        <v>49</v>
      </c>
      <c r="C392" s="683" t="s">
        <v>242</v>
      </c>
      <c r="D392" s="681" t="s">
        <v>91</v>
      </c>
      <c r="E392" s="680" t="s">
        <v>92</v>
      </c>
      <c r="F392" s="810"/>
      <c r="G392" s="908">
        <v>46075</v>
      </c>
      <c r="H392" s="909">
        <v>36.771000000000001</v>
      </c>
      <c r="I392" s="1266" t="s">
        <v>667</v>
      </c>
      <c r="J392" s="1267"/>
      <c r="K392" s="1267"/>
      <c r="L392" s="1267"/>
      <c r="M392" s="908">
        <v>46078</v>
      </c>
      <c r="N392" s="910" t="s">
        <v>692</v>
      </c>
      <c r="O392" s="911">
        <v>40</v>
      </c>
      <c r="P392" s="911"/>
      <c r="Q392" s="1"/>
      <c r="R392" s="1"/>
      <c r="S392" s="1"/>
      <c r="T392" s="1"/>
    </row>
    <row r="393" spans="1:20" ht="17.55" customHeight="1" x14ac:dyDescent="0.35">
      <c r="A393" s="1"/>
      <c r="B393" s="877">
        <f t="shared" si="7"/>
        <v>50</v>
      </c>
      <c r="C393" s="683" t="s">
        <v>254</v>
      </c>
      <c r="D393" s="675" t="s">
        <v>91</v>
      </c>
      <c r="E393" s="674" t="s">
        <v>542</v>
      </c>
      <c r="F393" s="705"/>
      <c r="G393" s="814">
        <v>46073</v>
      </c>
      <c r="H393" s="892">
        <v>36.771000000000001</v>
      </c>
      <c r="I393" s="1266" t="s">
        <v>667</v>
      </c>
      <c r="J393" s="1267"/>
      <c r="K393" s="1267"/>
      <c r="L393" s="1267"/>
      <c r="M393" s="814">
        <v>46079</v>
      </c>
      <c r="N393" s="899" t="s">
        <v>666</v>
      </c>
      <c r="O393" s="822">
        <v>30</v>
      </c>
      <c r="P393" s="810"/>
      <c r="Q393" s="1"/>
      <c r="R393" s="1"/>
      <c r="S393" s="1"/>
      <c r="T393" s="1"/>
    </row>
    <row r="394" spans="1:20" ht="17.55" customHeight="1" x14ac:dyDescent="0.35">
      <c r="A394" s="1"/>
      <c r="B394" s="877">
        <f t="shared" si="7"/>
        <v>51</v>
      </c>
      <c r="C394" s="894" t="s">
        <v>622</v>
      </c>
      <c r="D394" s="684" t="s">
        <v>87</v>
      </c>
      <c r="E394" s="674" t="s">
        <v>92</v>
      </c>
      <c r="F394" s="810"/>
      <c r="G394" s="814">
        <v>46077</v>
      </c>
      <c r="H394" s="896">
        <v>35.088999999999999</v>
      </c>
      <c r="I394" s="1266" t="s">
        <v>667</v>
      </c>
      <c r="J394" s="1267"/>
      <c r="K394" s="1267"/>
      <c r="L394" s="1267"/>
      <c r="M394" s="814">
        <v>46080</v>
      </c>
      <c r="N394" s="891" t="s">
        <v>695</v>
      </c>
      <c r="O394" s="810">
        <v>32</v>
      </c>
      <c r="P394" s="810"/>
      <c r="Q394" s="1"/>
      <c r="R394" s="1"/>
      <c r="S394" s="1"/>
      <c r="T394" s="1"/>
    </row>
    <row r="395" spans="1:20" ht="17.55" customHeight="1" x14ac:dyDescent="0.35">
      <c r="A395" s="1"/>
      <c r="B395" s="877">
        <f t="shared" si="7"/>
        <v>52</v>
      </c>
      <c r="C395" s="810" t="s">
        <v>327</v>
      </c>
      <c r="D395" s="684" t="s">
        <v>87</v>
      </c>
      <c r="E395" s="674" t="s">
        <v>92</v>
      </c>
      <c r="F395" s="810"/>
      <c r="G395" s="814">
        <v>46077</v>
      </c>
      <c r="H395" s="896">
        <v>35.088999999999999</v>
      </c>
      <c r="I395" s="1266" t="s">
        <v>667</v>
      </c>
      <c r="J395" s="1267"/>
      <c r="K395" s="1267"/>
      <c r="L395" s="1267"/>
      <c r="M395" s="814">
        <v>46081</v>
      </c>
      <c r="N395" s="843" t="s">
        <v>734</v>
      </c>
      <c r="O395" s="810">
        <v>24</v>
      </c>
      <c r="P395" s="810"/>
      <c r="Q395" s="1"/>
      <c r="R395" s="1"/>
      <c r="S395" s="1"/>
      <c r="T395" s="1"/>
    </row>
    <row r="396" spans="1:20" ht="17.55" customHeight="1" x14ac:dyDescent="0.35">
      <c r="A396" s="1"/>
      <c r="B396" s="877">
        <f t="shared" si="7"/>
        <v>53</v>
      </c>
      <c r="C396" s="839" t="s">
        <v>243</v>
      </c>
      <c r="D396" s="675" t="s">
        <v>87</v>
      </c>
      <c r="E396" s="674" t="s">
        <v>542</v>
      </c>
      <c r="F396" s="705"/>
      <c r="G396" s="814">
        <v>46078</v>
      </c>
      <c r="H396" s="896">
        <v>35.088999999999999</v>
      </c>
      <c r="I396" s="1266" t="s">
        <v>667</v>
      </c>
      <c r="J396" s="1267"/>
      <c r="K396" s="1267"/>
      <c r="L396" s="1267"/>
      <c r="M396" s="814">
        <v>46081</v>
      </c>
      <c r="N396" s="843" t="s">
        <v>692</v>
      </c>
      <c r="O396" s="810">
        <v>40</v>
      </c>
      <c r="P396" s="810"/>
      <c r="Q396" s="1"/>
      <c r="R396" s="1"/>
      <c r="S396" s="1"/>
      <c r="T396" s="1"/>
    </row>
    <row r="397" spans="1:20" ht="17.55" customHeight="1" x14ac:dyDescent="0.35">
      <c r="A397" s="1"/>
      <c r="B397" s="877">
        <f t="shared" si="7"/>
        <v>54</v>
      </c>
      <c r="C397" s="675" t="s">
        <v>616</v>
      </c>
      <c r="D397" s="675" t="s">
        <v>87</v>
      </c>
      <c r="E397" s="675" t="s">
        <v>542</v>
      </c>
      <c r="F397" s="912"/>
      <c r="G397" s="913">
        <v>46080</v>
      </c>
      <c r="H397" s="914">
        <v>35.088999999999999</v>
      </c>
      <c r="I397" s="1275" t="s">
        <v>667</v>
      </c>
      <c r="J397" s="1276"/>
      <c r="K397" s="1276"/>
      <c r="L397" s="1276"/>
      <c r="M397" s="913">
        <v>46083</v>
      </c>
      <c r="N397" s="915" t="s">
        <v>695</v>
      </c>
      <c r="O397" s="916">
        <v>32</v>
      </c>
      <c r="P397" s="810"/>
      <c r="Q397" s="1"/>
      <c r="R397" s="1"/>
      <c r="S397" s="1"/>
      <c r="T397" s="1"/>
    </row>
    <row r="398" spans="1:20" ht="17.55" customHeight="1" x14ac:dyDescent="0.35">
      <c r="A398" s="1"/>
      <c r="B398" s="877">
        <f t="shared" si="7"/>
        <v>55</v>
      </c>
      <c r="C398" s="675" t="s">
        <v>482</v>
      </c>
      <c r="D398" s="675" t="s">
        <v>558</v>
      </c>
      <c r="E398" s="674" t="s">
        <v>542</v>
      </c>
      <c r="F398" s="852"/>
      <c r="G398" s="814">
        <v>46073</v>
      </c>
      <c r="H398" s="896">
        <v>54.72</v>
      </c>
      <c r="I398" s="1266" t="s">
        <v>667</v>
      </c>
      <c r="J398" s="1267"/>
      <c r="K398" s="1267"/>
      <c r="L398" s="1267"/>
      <c r="M398" s="814">
        <v>46084</v>
      </c>
      <c r="N398" s="891" t="s">
        <v>694</v>
      </c>
      <c r="O398" s="810">
        <v>45</v>
      </c>
      <c r="P398" s="810"/>
      <c r="Q398" s="1"/>
      <c r="R398" s="1"/>
      <c r="S398" s="1"/>
      <c r="T398" s="1"/>
    </row>
    <row r="399" spans="1:20" ht="17.55" customHeight="1" x14ac:dyDescent="0.35">
      <c r="A399" s="1"/>
      <c r="B399" s="877">
        <f t="shared" si="7"/>
        <v>56</v>
      </c>
      <c r="C399" s="675" t="s">
        <v>235</v>
      </c>
      <c r="D399" s="810" t="s">
        <v>91</v>
      </c>
      <c r="E399" s="674" t="s">
        <v>92</v>
      </c>
      <c r="F399" s="810"/>
      <c r="G399" s="749">
        <v>46081</v>
      </c>
      <c r="H399" s="892">
        <v>36.771000000000001</v>
      </c>
      <c r="I399" s="1266" t="s">
        <v>667</v>
      </c>
      <c r="J399" s="1267"/>
      <c r="K399" s="1267"/>
      <c r="L399" s="1267"/>
      <c r="M399" s="814">
        <v>46086</v>
      </c>
      <c r="N399" s="843" t="s">
        <v>692</v>
      </c>
      <c r="O399" s="810">
        <v>40</v>
      </c>
      <c r="P399" s="810"/>
      <c r="Q399" s="1"/>
      <c r="R399" s="1"/>
      <c r="S399" s="1"/>
      <c r="T399" s="1"/>
    </row>
    <row r="400" spans="1:20" ht="17.55" customHeight="1" x14ac:dyDescent="0.35">
      <c r="A400" s="1"/>
      <c r="B400" s="877">
        <f t="shared" si="7"/>
        <v>57</v>
      </c>
      <c r="C400" s="675" t="s">
        <v>255</v>
      </c>
      <c r="D400" s="677" t="s">
        <v>87</v>
      </c>
      <c r="E400" s="676" t="s">
        <v>92</v>
      </c>
      <c r="F400" s="852"/>
      <c r="G400" s="898">
        <v>46078</v>
      </c>
      <c r="H400" s="905">
        <v>35.088999999999999</v>
      </c>
      <c r="I400" s="1266" t="s">
        <v>667</v>
      </c>
      <c r="J400" s="1267"/>
      <c r="K400" s="1267"/>
      <c r="L400" s="1267"/>
      <c r="M400" s="898">
        <v>46088</v>
      </c>
      <c r="N400" s="899" t="s">
        <v>666</v>
      </c>
      <c r="O400" s="822">
        <v>30</v>
      </c>
      <c r="P400" s="822"/>
      <c r="Q400" s="1"/>
      <c r="R400" s="1"/>
      <c r="S400" s="1"/>
      <c r="T400" s="1"/>
    </row>
    <row r="401" spans="1:20" ht="17.55" customHeight="1" x14ac:dyDescent="0.35">
      <c r="A401" s="1"/>
      <c r="B401" s="877">
        <f t="shared" si="7"/>
        <v>58</v>
      </c>
      <c r="C401" s="675" t="s">
        <v>340</v>
      </c>
      <c r="D401" s="684" t="s">
        <v>87</v>
      </c>
      <c r="E401" s="674" t="s">
        <v>92</v>
      </c>
      <c r="F401" s="810"/>
      <c r="G401" s="814">
        <v>46077</v>
      </c>
      <c r="H401" s="896">
        <v>35.088999999999999</v>
      </c>
      <c r="I401" s="1266" t="s">
        <v>667</v>
      </c>
      <c r="J401" s="1267"/>
      <c r="K401" s="1267"/>
      <c r="L401" s="1267"/>
      <c r="M401" s="814">
        <v>46090</v>
      </c>
      <c r="N401" s="843" t="s">
        <v>734</v>
      </c>
      <c r="O401" s="810">
        <v>24</v>
      </c>
      <c r="P401" s="810"/>
      <c r="Q401" s="1"/>
      <c r="R401" s="1"/>
      <c r="S401" s="1"/>
      <c r="T401" s="1"/>
    </row>
    <row r="402" spans="1:20" ht="17.55" customHeight="1" x14ac:dyDescent="0.35">
      <c r="A402" s="1"/>
      <c r="B402" s="877">
        <f t="shared" si="7"/>
        <v>59</v>
      </c>
      <c r="C402" s="675" t="s">
        <v>346</v>
      </c>
      <c r="D402" s="675" t="s">
        <v>109</v>
      </c>
      <c r="E402" s="674" t="s">
        <v>664</v>
      </c>
      <c r="F402" s="810"/>
      <c r="G402" s="814">
        <v>46089</v>
      </c>
      <c r="H402" s="896">
        <v>43.575000000000003</v>
      </c>
      <c r="I402" s="1266" t="s">
        <v>667</v>
      </c>
      <c r="J402" s="1267"/>
      <c r="K402" s="1267"/>
      <c r="L402" s="1267"/>
      <c r="M402" s="814">
        <v>46092</v>
      </c>
      <c r="N402" s="843" t="s">
        <v>692</v>
      </c>
      <c r="O402" s="810">
        <v>40</v>
      </c>
      <c r="P402" s="810"/>
      <c r="Q402" s="1"/>
      <c r="R402" s="1"/>
      <c r="S402" s="1"/>
      <c r="T402" s="1"/>
    </row>
    <row r="403" spans="1:20" ht="17.55" customHeight="1" x14ac:dyDescent="0.35">
      <c r="A403" s="1"/>
      <c r="B403" s="877">
        <f t="shared" si="7"/>
        <v>60</v>
      </c>
      <c r="C403" s="675" t="s">
        <v>405</v>
      </c>
      <c r="D403" s="675" t="s">
        <v>87</v>
      </c>
      <c r="E403" s="674" t="s">
        <v>92</v>
      </c>
      <c r="F403" s="810"/>
      <c r="G403" s="814">
        <v>46091</v>
      </c>
      <c r="H403" s="896">
        <v>35.088999999999999</v>
      </c>
      <c r="I403" s="1266" t="s">
        <v>667</v>
      </c>
      <c r="J403" s="1267"/>
      <c r="K403" s="1267"/>
      <c r="L403" s="1267"/>
      <c r="M403" s="814">
        <v>46097</v>
      </c>
      <c r="N403" s="843" t="s">
        <v>734</v>
      </c>
      <c r="O403" s="810">
        <v>24</v>
      </c>
      <c r="P403" s="810"/>
      <c r="Q403" s="1"/>
      <c r="R403" s="1"/>
      <c r="S403" s="1"/>
      <c r="T403" s="1"/>
    </row>
    <row r="404" spans="1:20" ht="17.55" customHeight="1" x14ac:dyDescent="0.35">
      <c r="A404" s="1"/>
      <c r="B404" s="877">
        <f t="shared" si="7"/>
        <v>61</v>
      </c>
      <c r="C404" s="675" t="s">
        <v>617</v>
      </c>
      <c r="D404" s="675" t="s">
        <v>87</v>
      </c>
      <c r="E404" s="674" t="s">
        <v>92</v>
      </c>
      <c r="F404" s="810"/>
      <c r="G404" s="814">
        <v>46094</v>
      </c>
      <c r="H404" s="896">
        <v>35.088999999999999</v>
      </c>
      <c r="I404" s="1266" t="s">
        <v>667</v>
      </c>
      <c r="J404" s="1267"/>
      <c r="K404" s="1267"/>
      <c r="L404" s="1267"/>
      <c r="M404" s="814">
        <v>46097</v>
      </c>
      <c r="N404" s="843" t="s">
        <v>692</v>
      </c>
      <c r="O404" s="810">
        <v>40</v>
      </c>
      <c r="P404" s="822"/>
      <c r="Q404" s="1"/>
      <c r="R404" s="1"/>
      <c r="S404" s="1"/>
      <c r="T404" s="1"/>
    </row>
    <row r="405" spans="1:20" ht="17.55" customHeight="1" x14ac:dyDescent="0.35">
      <c r="A405" s="1"/>
      <c r="B405" s="877">
        <f t="shared" si="7"/>
        <v>62</v>
      </c>
      <c r="C405" s="675" t="s">
        <v>252</v>
      </c>
      <c r="D405" s="675" t="s">
        <v>87</v>
      </c>
      <c r="E405" s="674" t="s">
        <v>542</v>
      </c>
      <c r="F405" s="810"/>
      <c r="G405" s="814">
        <v>46092</v>
      </c>
      <c r="H405" s="896">
        <v>35.088999999999999</v>
      </c>
      <c r="I405" s="1266" t="s">
        <v>667</v>
      </c>
      <c r="J405" s="1267"/>
      <c r="K405" s="1267"/>
      <c r="L405" s="1267"/>
      <c r="M405" s="814">
        <v>46099</v>
      </c>
      <c r="N405" s="891" t="s">
        <v>666</v>
      </c>
      <c r="O405" s="810">
        <v>30</v>
      </c>
      <c r="P405" s="810"/>
      <c r="Q405" s="1"/>
      <c r="R405" s="1"/>
      <c r="S405" s="1"/>
      <c r="T405" s="1"/>
    </row>
    <row r="406" spans="1:20" ht="16.2" customHeight="1" x14ac:dyDescent="0.35">
      <c r="A406" s="1"/>
      <c r="B406" s="877">
        <f t="shared" si="7"/>
        <v>63</v>
      </c>
      <c r="C406" s="675" t="s">
        <v>618</v>
      </c>
      <c r="D406" s="687" t="s">
        <v>87</v>
      </c>
      <c r="E406" s="674" t="s">
        <v>92</v>
      </c>
      <c r="F406" s="705"/>
      <c r="G406" s="814">
        <v>46097</v>
      </c>
      <c r="H406" s="896">
        <v>35.088999999999999</v>
      </c>
      <c r="I406" s="1266" t="s">
        <v>667</v>
      </c>
      <c r="J406" s="1267"/>
      <c r="K406" s="1267"/>
      <c r="L406" s="1267"/>
      <c r="M406" s="814">
        <v>46101</v>
      </c>
      <c r="N406" s="843" t="s">
        <v>692</v>
      </c>
      <c r="O406" s="810">
        <v>40</v>
      </c>
      <c r="P406" s="810"/>
      <c r="Q406" s="1"/>
      <c r="R406" s="1"/>
      <c r="S406" s="1"/>
      <c r="T406" s="1"/>
    </row>
    <row r="407" spans="1:20" ht="17.55" customHeight="1" x14ac:dyDescent="0.35">
      <c r="A407" s="1"/>
      <c r="B407" s="877">
        <f t="shared" si="7"/>
        <v>64</v>
      </c>
      <c r="C407" s="675" t="s">
        <v>406</v>
      </c>
      <c r="D407" s="675" t="s">
        <v>91</v>
      </c>
      <c r="E407" s="674" t="s">
        <v>92</v>
      </c>
      <c r="F407" s="705"/>
      <c r="G407" s="814">
        <v>46097</v>
      </c>
      <c r="H407" s="892">
        <v>36.771000000000001</v>
      </c>
      <c r="I407" s="1266" t="s">
        <v>667</v>
      </c>
      <c r="J407" s="1267"/>
      <c r="K407" s="1267"/>
      <c r="L407" s="1267"/>
      <c r="M407" s="814">
        <v>46104</v>
      </c>
      <c r="N407" s="843" t="s">
        <v>734</v>
      </c>
      <c r="O407" s="810">
        <v>24</v>
      </c>
      <c r="P407" s="810"/>
      <c r="Q407" s="1"/>
      <c r="R407" s="1"/>
      <c r="S407" s="1"/>
      <c r="T407" s="1"/>
    </row>
    <row r="408" spans="1:20" ht="17.55" customHeight="1" x14ac:dyDescent="0.35">
      <c r="A408" s="1"/>
      <c r="B408" s="877">
        <f t="shared" si="7"/>
        <v>65</v>
      </c>
      <c r="C408" s="675" t="s">
        <v>256</v>
      </c>
      <c r="D408" s="675" t="s">
        <v>91</v>
      </c>
      <c r="E408" s="810" t="s">
        <v>664</v>
      </c>
      <c r="F408" s="852"/>
      <c r="G408" s="814">
        <v>46099</v>
      </c>
      <c r="H408" s="892">
        <v>36.771000000000001</v>
      </c>
      <c r="I408" s="1266" t="s">
        <v>667</v>
      </c>
      <c r="J408" s="1267"/>
      <c r="K408" s="1267"/>
      <c r="L408" s="1267"/>
      <c r="M408" s="814">
        <v>46106</v>
      </c>
      <c r="N408" s="891" t="s">
        <v>666</v>
      </c>
      <c r="O408" s="810">
        <v>30</v>
      </c>
      <c r="P408" s="810"/>
      <c r="Q408" s="1"/>
      <c r="R408" s="1"/>
      <c r="S408" s="1"/>
      <c r="T408" s="1"/>
    </row>
    <row r="409" spans="1:20" ht="17.55" customHeight="1" x14ac:dyDescent="0.35">
      <c r="A409" s="1"/>
      <c r="B409" s="877">
        <f t="shared" ref="B409:B463" si="8">B408+1</f>
        <v>66</v>
      </c>
      <c r="C409" s="831" t="s">
        <v>403</v>
      </c>
      <c r="D409" s="677" t="s">
        <v>87</v>
      </c>
      <c r="E409" s="676" t="s">
        <v>92</v>
      </c>
      <c r="F409" s="917"/>
      <c r="G409" s="918">
        <v>46101</v>
      </c>
      <c r="H409" s="919">
        <v>35.088999999999999</v>
      </c>
      <c r="I409" s="1275" t="s">
        <v>667</v>
      </c>
      <c r="J409" s="1276"/>
      <c r="K409" s="1276"/>
      <c r="L409" s="1276"/>
      <c r="M409" s="918">
        <v>46110</v>
      </c>
      <c r="N409" s="920" t="s">
        <v>734</v>
      </c>
      <c r="O409" s="921">
        <v>24</v>
      </c>
      <c r="P409" s="822"/>
      <c r="Q409" s="1"/>
      <c r="R409" s="1"/>
      <c r="S409" s="1"/>
      <c r="T409" s="1"/>
    </row>
    <row r="410" spans="1:20" ht="17.55" customHeight="1" x14ac:dyDescent="0.35">
      <c r="A410" s="1"/>
      <c r="B410" s="877">
        <f t="shared" si="8"/>
        <v>67</v>
      </c>
      <c r="C410" s="810" t="s">
        <v>245</v>
      </c>
      <c r="D410" s="675" t="s">
        <v>87</v>
      </c>
      <c r="E410" s="810" t="s">
        <v>664</v>
      </c>
      <c r="F410" s="810"/>
      <c r="G410" s="814">
        <v>46107</v>
      </c>
      <c r="H410" s="896">
        <v>35.088999999999999</v>
      </c>
      <c r="I410" s="1266" t="s">
        <v>667</v>
      </c>
      <c r="J410" s="1267"/>
      <c r="K410" s="1267"/>
      <c r="L410" s="1267"/>
      <c r="M410" s="814">
        <v>46113</v>
      </c>
      <c r="N410" s="891" t="s">
        <v>666</v>
      </c>
      <c r="O410" s="810">
        <v>30</v>
      </c>
      <c r="P410" s="810"/>
      <c r="Q410" s="1"/>
      <c r="R410" s="1"/>
      <c r="S410" s="1"/>
      <c r="T410" s="1"/>
    </row>
    <row r="411" spans="1:20" ht="17.55" customHeight="1" x14ac:dyDescent="0.35">
      <c r="A411" s="1"/>
      <c r="B411" s="877">
        <f t="shared" si="8"/>
        <v>68</v>
      </c>
      <c r="C411" s="676" t="s">
        <v>407</v>
      </c>
      <c r="D411" s="677" t="s">
        <v>87</v>
      </c>
      <c r="E411" s="676" t="s">
        <v>92</v>
      </c>
      <c r="F411" s="852"/>
      <c r="G411" s="898">
        <v>46111</v>
      </c>
      <c r="H411" s="905">
        <v>35.088999999999999</v>
      </c>
      <c r="I411" s="1266" t="s">
        <v>667</v>
      </c>
      <c r="J411" s="1267"/>
      <c r="K411" s="1267"/>
      <c r="L411" s="1267"/>
      <c r="M411" s="898">
        <v>46116</v>
      </c>
      <c r="N411" s="845" t="s">
        <v>734</v>
      </c>
      <c r="O411" s="822">
        <v>24</v>
      </c>
      <c r="P411" s="822"/>
      <c r="Q411" s="1"/>
      <c r="R411" s="1"/>
      <c r="S411" s="1"/>
      <c r="T411" s="1"/>
    </row>
    <row r="412" spans="1:20" ht="17.55" customHeight="1" x14ac:dyDescent="0.35">
      <c r="A412" s="1"/>
      <c r="B412" s="877">
        <f t="shared" si="8"/>
        <v>69</v>
      </c>
      <c r="C412" s="894" t="s">
        <v>246</v>
      </c>
      <c r="D412" s="675" t="s">
        <v>87</v>
      </c>
      <c r="E412" s="674" t="s">
        <v>542</v>
      </c>
      <c r="F412" s="922"/>
      <c r="G412" s="814" t="s">
        <v>764</v>
      </c>
      <c r="H412" s="896">
        <v>35.088999999999999</v>
      </c>
      <c r="I412" s="1266" t="s">
        <v>667</v>
      </c>
      <c r="J412" s="1267"/>
      <c r="K412" s="1267"/>
      <c r="L412" s="1267"/>
      <c r="M412" s="814">
        <v>46119</v>
      </c>
      <c r="N412" s="891" t="s">
        <v>666</v>
      </c>
      <c r="O412" s="810">
        <v>30</v>
      </c>
      <c r="P412" s="810"/>
      <c r="Q412" s="1"/>
      <c r="R412" s="1"/>
      <c r="S412" s="1"/>
      <c r="T412" s="1"/>
    </row>
    <row r="413" spans="1:20" ht="17.55" customHeight="1" x14ac:dyDescent="0.35">
      <c r="A413" s="1"/>
      <c r="B413" s="877">
        <f t="shared" si="8"/>
        <v>70</v>
      </c>
      <c r="C413" s="923" t="s">
        <v>481</v>
      </c>
      <c r="D413" s="691" t="s">
        <v>686</v>
      </c>
      <c r="E413" s="674" t="s">
        <v>92</v>
      </c>
      <c r="F413" s="852"/>
      <c r="G413" s="814">
        <v>46117</v>
      </c>
      <c r="H413" s="896">
        <v>54.72</v>
      </c>
      <c r="I413" s="1266" t="s">
        <v>667</v>
      </c>
      <c r="J413" s="1267"/>
      <c r="K413" s="1267"/>
      <c r="L413" s="1267"/>
      <c r="M413" s="814">
        <v>46124</v>
      </c>
      <c r="N413" s="843" t="s">
        <v>734</v>
      </c>
      <c r="O413" s="810">
        <v>24</v>
      </c>
      <c r="P413" s="810"/>
      <c r="Q413" s="1"/>
      <c r="R413" s="1"/>
      <c r="S413" s="1"/>
      <c r="T413" s="1"/>
    </row>
    <row r="414" spans="1:20" ht="17.55" customHeight="1" x14ac:dyDescent="0.35">
      <c r="A414" s="1"/>
      <c r="B414" s="877">
        <f t="shared" si="8"/>
        <v>71</v>
      </c>
      <c r="C414" s="1069" t="s">
        <v>430</v>
      </c>
      <c r="D414" s="924" t="s">
        <v>686</v>
      </c>
      <c r="E414" s="925" t="s">
        <v>92</v>
      </c>
      <c r="F414" s="926"/>
      <c r="G414" s="927">
        <v>46147</v>
      </c>
      <c r="H414" s="928">
        <v>54.72</v>
      </c>
      <c r="I414" s="1270" t="s">
        <v>667</v>
      </c>
      <c r="J414" s="1271"/>
      <c r="K414" s="1271"/>
      <c r="L414" s="1271"/>
      <c r="M414" s="898">
        <v>46160</v>
      </c>
      <c r="N414" s="845" t="s">
        <v>666</v>
      </c>
      <c r="O414" s="822">
        <v>24</v>
      </c>
      <c r="P414" s="822"/>
      <c r="Q414" s="1"/>
      <c r="R414" s="1"/>
      <c r="S414" s="1"/>
      <c r="T414" s="1"/>
    </row>
    <row r="415" spans="1:20" ht="17.55" customHeight="1" x14ac:dyDescent="0.35">
      <c r="A415" s="1"/>
      <c r="B415" s="877">
        <f t="shared" si="8"/>
        <v>72</v>
      </c>
      <c r="C415" s="929" t="s">
        <v>429</v>
      </c>
      <c r="D415" s="929" t="s">
        <v>669</v>
      </c>
      <c r="E415" s="930" t="s">
        <v>92</v>
      </c>
      <c r="F415" s="929"/>
      <c r="G415" s="931">
        <v>46161</v>
      </c>
      <c r="H415" s="929">
        <v>62.500999999999998</v>
      </c>
      <c r="I415" s="1270" t="s">
        <v>667</v>
      </c>
      <c r="J415" s="1271"/>
      <c r="K415" s="1271"/>
      <c r="L415" s="1271"/>
      <c r="M415" s="814">
        <v>46175</v>
      </c>
      <c r="N415" s="843" t="s">
        <v>904</v>
      </c>
      <c r="O415" s="810">
        <v>24</v>
      </c>
      <c r="P415" s="810"/>
      <c r="Q415" s="1"/>
      <c r="R415" s="1"/>
      <c r="S415" s="1"/>
      <c r="T415" s="1"/>
    </row>
    <row r="416" spans="1:20" ht="17.55" customHeight="1" x14ac:dyDescent="0.35">
      <c r="A416" s="1"/>
      <c r="B416" s="877">
        <f t="shared" si="8"/>
        <v>73</v>
      </c>
      <c r="C416" s="929" t="s">
        <v>219</v>
      </c>
      <c r="D416" s="929" t="s">
        <v>87</v>
      </c>
      <c r="E416" s="930" t="s">
        <v>92</v>
      </c>
      <c r="F416" s="926"/>
      <c r="G416" s="931">
        <v>46179</v>
      </c>
      <c r="H416" s="929">
        <v>35.088999999999999</v>
      </c>
      <c r="I416" s="1270" t="s">
        <v>667</v>
      </c>
      <c r="J416" s="1271"/>
      <c r="K416" s="1271"/>
      <c r="L416" s="1271"/>
      <c r="M416" s="814">
        <v>46185</v>
      </c>
      <c r="N416" s="843" t="s">
        <v>906</v>
      </c>
      <c r="O416" s="810">
        <v>30</v>
      </c>
      <c r="P416" s="810"/>
      <c r="Q416" s="1"/>
      <c r="R416" s="1"/>
      <c r="S416" s="1"/>
      <c r="T416" s="1"/>
    </row>
    <row r="417" spans="1:20" ht="17.55" customHeight="1" x14ac:dyDescent="0.35">
      <c r="A417" s="1"/>
      <c r="B417" s="877">
        <f t="shared" si="8"/>
        <v>74</v>
      </c>
      <c r="C417" s="694" t="s">
        <v>277</v>
      </c>
      <c r="D417" s="675" t="s">
        <v>95</v>
      </c>
      <c r="E417" s="674" t="s">
        <v>542</v>
      </c>
      <c r="F417" s="705"/>
      <c r="G417" s="814">
        <v>46176</v>
      </c>
      <c r="H417" s="892">
        <v>41.88</v>
      </c>
      <c r="I417" s="1270" t="s">
        <v>667</v>
      </c>
      <c r="J417" s="1271"/>
      <c r="K417" s="1271"/>
      <c r="L417" s="1271"/>
      <c r="M417" s="814">
        <v>46186</v>
      </c>
      <c r="N417" s="843" t="s">
        <v>904</v>
      </c>
      <c r="O417" s="810">
        <v>30</v>
      </c>
      <c r="P417" s="810"/>
      <c r="Q417" s="1"/>
      <c r="R417" s="1"/>
      <c r="S417" s="1"/>
      <c r="T417" s="1"/>
    </row>
    <row r="418" spans="1:20" ht="17.55" customHeight="1" x14ac:dyDescent="0.35">
      <c r="A418" s="1"/>
      <c r="B418" s="877">
        <f t="shared" si="8"/>
        <v>75</v>
      </c>
      <c r="C418" s="688" t="s">
        <v>236</v>
      </c>
      <c r="D418" s="691" t="s">
        <v>87</v>
      </c>
      <c r="E418" s="674" t="s">
        <v>664</v>
      </c>
      <c r="F418" s="705"/>
      <c r="G418" s="814">
        <v>46182</v>
      </c>
      <c r="H418" s="896">
        <v>35.088999999999999</v>
      </c>
      <c r="I418" s="1270" t="s">
        <v>667</v>
      </c>
      <c r="J418" s="1271"/>
      <c r="K418" s="1271"/>
      <c r="L418" s="1271"/>
      <c r="M418" s="814">
        <v>46189</v>
      </c>
      <c r="N418" s="843" t="s">
        <v>908</v>
      </c>
      <c r="O418" s="810">
        <v>30</v>
      </c>
      <c r="P418" s="810"/>
      <c r="Q418" s="1"/>
      <c r="R418" s="1"/>
      <c r="S418" s="1"/>
      <c r="T418" s="1"/>
    </row>
    <row r="419" spans="1:20" ht="17.55" customHeight="1" x14ac:dyDescent="0.35">
      <c r="A419" s="1"/>
      <c r="B419" s="877">
        <f t="shared" si="8"/>
        <v>76</v>
      </c>
      <c r="C419" s="688" t="s">
        <v>221</v>
      </c>
      <c r="D419" s="675" t="s">
        <v>87</v>
      </c>
      <c r="E419" s="674" t="s">
        <v>92</v>
      </c>
      <c r="F419" s="705"/>
      <c r="G419" s="814">
        <v>46181</v>
      </c>
      <c r="H419" s="896">
        <v>35.088999999999999</v>
      </c>
      <c r="I419" s="1270" t="s">
        <v>667</v>
      </c>
      <c r="J419" s="1271"/>
      <c r="K419" s="1271"/>
      <c r="L419" s="1271"/>
      <c r="M419" s="814">
        <v>46191</v>
      </c>
      <c r="N419" s="843" t="s">
        <v>907</v>
      </c>
      <c r="O419" s="810">
        <v>30</v>
      </c>
      <c r="P419" s="810"/>
      <c r="Q419" s="1"/>
      <c r="R419" s="1"/>
      <c r="S419" s="1"/>
      <c r="T419" s="1"/>
    </row>
    <row r="420" spans="1:20" ht="17.55" customHeight="1" x14ac:dyDescent="0.35">
      <c r="A420" s="1"/>
      <c r="B420" s="877">
        <f t="shared" si="8"/>
        <v>77</v>
      </c>
      <c r="C420" s="932" t="s">
        <v>297</v>
      </c>
      <c r="D420" s="840" t="s">
        <v>95</v>
      </c>
      <c r="E420" s="676" t="s">
        <v>92</v>
      </c>
      <c r="F420" s="852"/>
      <c r="G420" s="898">
        <v>46183</v>
      </c>
      <c r="H420" s="905">
        <v>35.088999999999999</v>
      </c>
      <c r="I420" s="1270" t="s">
        <v>667</v>
      </c>
      <c r="J420" s="1271"/>
      <c r="K420" s="1271"/>
      <c r="L420" s="1271"/>
      <c r="M420" s="898">
        <v>46192</v>
      </c>
      <c r="N420" s="845" t="s">
        <v>692</v>
      </c>
      <c r="O420" s="810">
        <v>30</v>
      </c>
      <c r="P420" s="822"/>
      <c r="Q420" s="1"/>
      <c r="R420" s="1"/>
      <c r="S420" s="1"/>
      <c r="T420" s="1"/>
    </row>
    <row r="421" spans="1:20" ht="17.55" customHeight="1" x14ac:dyDescent="0.35">
      <c r="A421" s="1"/>
      <c r="B421" s="877">
        <f t="shared" si="8"/>
        <v>78</v>
      </c>
      <c r="C421" s="688" t="s">
        <v>222</v>
      </c>
      <c r="D421" s="687" t="s">
        <v>87</v>
      </c>
      <c r="E421" s="674" t="s">
        <v>541</v>
      </c>
      <c r="F421" s="810"/>
      <c r="G421" s="814">
        <v>46186</v>
      </c>
      <c r="H421" s="896">
        <v>35.088999999999999</v>
      </c>
      <c r="I421" s="1270" t="s">
        <v>667</v>
      </c>
      <c r="J421" s="1271"/>
      <c r="K421" s="1271"/>
      <c r="L421" s="1271"/>
      <c r="M421" s="898">
        <v>46192</v>
      </c>
      <c r="N421" s="843" t="s">
        <v>906</v>
      </c>
      <c r="O421" s="810">
        <v>30</v>
      </c>
      <c r="P421" s="810"/>
      <c r="Q421" s="1"/>
      <c r="R421" s="1"/>
      <c r="S421" s="1"/>
      <c r="T421" s="1"/>
    </row>
    <row r="422" spans="1:20" ht="17.55" customHeight="1" x14ac:dyDescent="0.35">
      <c r="A422" s="1"/>
      <c r="B422" s="877">
        <f t="shared" si="8"/>
        <v>79</v>
      </c>
      <c r="C422" s="695" t="s">
        <v>257</v>
      </c>
      <c r="D422" s="691" t="s">
        <v>91</v>
      </c>
      <c r="E422" s="674" t="s">
        <v>88</v>
      </c>
      <c r="F422" s="810"/>
      <c r="G422" s="814">
        <v>46187</v>
      </c>
      <c r="H422" s="892">
        <v>36.771000000000001</v>
      </c>
      <c r="I422" s="1270" t="s">
        <v>667</v>
      </c>
      <c r="J422" s="1271"/>
      <c r="K422" s="1271"/>
      <c r="L422" s="1271"/>
      <c r="M422" s="814">
        <v>46193</v>
      </c>
      <c r="N422" s="843" t="s">
        <v>904</v>
      </c>
      <c r="O422" s="810">
        <v>30</v>
      </c>
      <c r="P422" s="810"/>
      <c r="Q422" s="1"/>
      <c r="R422" s="1"/>
      <c r="S422" s="1"/>
      <c r="T422" s="1"/>
    </row>
    <row r="423" spans="1:20" ht="17.55" customHeight="1" x14ac:dyDescent="0.35">
      <c r="A423" s="1"/>
      <c r="B423" s="877">
        <f t="shared" si="8"/>
        <v>80</v>
      </c>
      <c r="C423" s="688" t="s">
        <v>234</v>
      </c>
      <c r="D423" s="691" t="s">
        <v>87</v>
      </c>
      <c r="E423" s="674" t="s">
        <v>92</v>
      </c>
      <c r="F423" s="705"/>
      <c r="G423" s="814">
        <v>46189</v>
      </c>
      <c r="H423" s="896">
        <v>35.088999999999999</v>
      </c>
      <c r="I423" s="1270" t="s">
        <v>667</v>
      </c>
      <c r="J423" s="1271"/>
      <c r="K423" s="1271"/>
      <c r="L423" s="1271"/>
      <c r="M423" s="814">
        <v>46196</v>
      </c>
      <c r="N423" s="843" t="s">
        <v>908</v>
      </c>
      <c r="O423" s="810">
        <v>30</v>
      </c>
      <c r="P423" s="810"/>
      <c r="Q423" s="1"/>
      <c r="R423" s="1"/>
      <c r="S423" s="1"/>
      <c r="T423" s="1"/>
    </row>
    <row r="424" spans="1:20" ht="17.55" customHeight="1" x14ac:dyDescent="0.35">
      <c r="A424" s="1"/>
      <c r="B424" s="877">
        <f t="shared" si="8"/>
        <v>81</v>
      </c>
      <c r="C424" s="695" t="s">
        <v>295</v>
      </c>
      <c r="D424" s="691" t="s">
        <v>87</v>
      </c>
      <c r="E424" s="674" t="s">
        <v>92</v>
      </c>
      <c r="F424" s="810"/>
      <c r="G424" s="814">
        <v>46192</v>
      </c>
      <c r="H424" s="896">
        <v>35.088999999999999</v>
      </c>
      <c r="I424" s="1270" t="s">
        <v>667</v>
      </c>
      <c r="J424" s="1271"/>
      <c r="K424" s="1271"/>
      <c r="L424" s="1271"/>
      <c r="M424" s="814">
        <v>46196</v>
      </c>
      <c r="N424" s="843" t="s">
        <v>692</v>
      </c>
      <c r="O424" s="810">
        <v>30</v>
      </c>
      <c r="P424" s="810"/>
      <c r="Q424" s="1"/>
      <c r="R424" s="1"/>
      <c r="S424" s="1"/>
      <c r="T424" s="1"/>
    </row>
    <row r="425" spans="1:20" ht="17.55" customHeight="1" x14ac:dyDescent="0.35">
      <c r="A425" s="1"/>
      <c r="B425" s="877">
        <f t="shared" si="8"/>
        <v>82</v>
      </c>
      <c r="C425" s="694" t="s">
        <v>224</v>
      </c>
      <c r="D425" s="687" t="s">
        <v>87</v>
      </c>
      <c r="E425" s="683" t="s">
        <v>664</v>
      </c>
      <c r="F425" s="15"/>
      <c r="G425" s="937">
        <v>46193</v>
      </c>
      <c r="H425" s="941">
        <v>35.088999999999999</v>
      </c>
      <c r="I425" s="1270" t="s">
        <v>667</v>
      </c>
      <c r="J425" s="1271"/>
      <c r="K425" s="1271"/>
      <c r="L425" s="1271"/>
      <c r="M425" s="937">
        <v>46198</v>
      </c>
      <c r="N425" s="843" t="s">
        <v>906</v>
      </c>
      <c r="O425" s="810">
        <v>30</v>
      </c>
      <c r="P425" s="810"/>
      <c r="Q425" s="1"/>
      <c r="R425" s="1"/>
      <c r="S425" s="1"/>
      <c r="T425" s="1"/>
    </row>
    <row r="426" spans="1:20" ht="17.399999999999999" x14ac:dyDescent="0.35">
      <c r="A426" s="1"/>
      <c r="B426" s="877">
        <f t="shared" si="8"/>
        <v>83</v>
      </c>
      <c r="C426" s="695" t="s">
        <v>225</v>
      </c>
      <c r="D426" s="840" t="s">
        <v>91</v>
      </c>
      <c r="E426" s="676" t="s">
        <v>92</v>
      </c>
      <c r="F426" s="280"/>
      <c r="G426" s="942">
        <v>46192</v>
      </c>
      <c r="H426" s="943">
        <v>36.771000000000001</v>
      </c>
      <c r="I426" s="1270" t="s">
        <v>667</v>
      </c>
      <c r="J426" s="1271"/>
      <c r="K426" s="1271"/>
      <c r="L426" s="1271"/>
      <c r="M426" s="937">
        <v>46198</v>
      </c>
      <c r="N426" s="845" t="s">
        <v>907</v>
      </c>
      <c r="O426" s="810">
        <v>30</v>
      </c>
      <c r="P426" s="810"/>
      <c r="Q426" s="1"/>
      <c r="R426" s="1"/>
      <c r="S426" s="1"/>
      <c r="T426" s="1"/>
    </row>
    <row r="427" spans="1:20" ht="17.55" customHeight="1" x14ac:dyDescent="0.35">
      <c r="A427" s="1"/>
      <c r="B427" s="877">
        <f t="shared" si="8"/>
        <v>84</v>
      </c>
      <c r="C427" s="695" t="s">
        <v>305</v>
      </c>
      <c r="D427" s="693" t="s">
        <v>95</v>
      </c>
      <c r="E427" s="694" t="s">
        <v>92</v>
      </c>
      <c r="F427" s="705"/>
      <c r="G427" s="937">
        <v>46188</v>
      </c>
      <c r="H427" s="944">
        <v>41.88</v>
      </c>
      <c r="I427" s="1270" t="s">
        <v>667</v>
      </c>
      <c r="J427" s="1271"/>
      <c r="K427" s="1271"/>
      <c r="L427" s="1271"/>
      <c r="M427" s="937">
        <v>46200</v>
      </c>
      <c r="N427" s="933" t="s">
        <v>913</v>
      </c>
      <c r="O427" s="810">
        <v>30</v>
      </c>
      <c r="P427" s="810"/>
      <c r="Q427" s="1"/>
      <c r="R427" s="1"/>
      <c r="S427" s="1"/>
      <c r="T427" s="1"/>
    </row>
    <row r="428" spans="1:20" ht="17.55" customHeight="1" x14ac:dyDescent="0.35">
      <c r="A428" s="1"/>
      <c r="B428" s="877">
        <f t="shared" si="8"/>
        <v>85</v>
      </c>
      <c r="C428" s="695" t="s">
        <v>306</v>
      </c>
      <c r="D428" s="691" t="s">
        <v>109</v>
      </c>
      <c r="E428" s="674" t="s">
        <v>92</v>
      </c>
      <c r="F428" s="705"/>
      <c r="G428" s="937">
        <v>46188</v>
      </c>
      <c r="H428" s="941">
        <v>43.575000000000003</v>
      </c>
      <c r="I428" s="1266" t="s">
        <v>667</v>
      </c>
      <c r="J428" s="1267"/>
      <c r="K428" s="1267"/>
      <c r="L428" s="1267"/>
      <c r="M428" s="937">
        <v>46201</v>
      </c>
      <c r="N428" s="934" t="s">
        <v>912</v>
      </c>
      <c r="O428" s="810">
        <v>30</v>
      </c>
      <c r="P428" s="810"/>
      <c r="Q428" s="1"/>
      <c r="R428" s="1"/>
      <c r="S428" s="1"/>
      <c r="T428" s="1"/>
    </row>
    <row r="429" spans="1:20" ht="17.399999999999999" customHeight="1" x14ac:dyDescent="0.35">
      <c r="A429" s="1"/>
      <c r="B429" s="877">
        <f t="shared" si="8"/>
        <v>86</v>
      </c>
      <c r="C429" s="695" t="s">
        <v>262</v>
      </c>
      <c r="D429" s="691" t="s">
        <v>87</v>
      </c>
      <c r="E429" s="674" t="s">
        <v>92</v>
      </c>
      <c r="F429" s="281"/>
      <c r="G429" s="937">
        <v>46194</v>
      </c>
      <c r="H429" s="941">
        <v>35.088999999999999</v>
      </c>
      <c r="I429" s="1266" t="s">
        <v>667</v>
      </c>
      <c r="J429" s="1267"/>
      <c r="K429" s="1267"/>
      <c r="L429" s="1267"/>
      <c r="M429" s="937">
        <v>46201</v>
      </c>
      <c r="N429" s="843" t="s">
        <v>904</v>
      </c>
      <c r="O429" s="810">
        <v>30</v>
      </c>
      <c r="P429" s="281"/>
      <c r="Q429" s="1"/>
      <c r="R429" s="1"/>
      <c r="S429" s="1"/>
      <c r="T429" s="1"/>
    </row>
    <row r="430" spans="1:20" ht="17.399999999999999" customHeight="1" x14ac:dyDescent="0.35">
      <c r="A430" s="1"/>
      <c r="B430" s="877">
        <f t="shared" si="8"/>
        <v>87</v>
      </c>
      <c r="C430" s="695" t="s">
        <v>439</v>
      </c>
      <c r="D430" s="691" t="s">
        <v>237</v>
      </c>
      <c r="E430" s="674" t="s">
        <v>92</v>
      </c>
      <c r="F430" s="15"/>
      <c r="G430" s="937">
        <v>46197</v>
      </c>
      <c r="H430" s="945">
        <v>54.72</v>
      </c>
      <c r="I430" s="1266" t="s">
        <v>667</v>
      </c>
      <c r="J430" s="1267"/>
      <c r="K430" s="1267"/>
      <c r="L430" s="1267"/>
      <c r="M430" s="937">
        <v>46201</v>
      </c>
      <c r="N430" s="843" t="s">
        <v>692</v>
      </c>
      <c r="O430" s="810">
        <v>30</v>
      </c>
      <c r="P430" s="281"/>
      <c r="Q430" s="1"/>
      <c r="R430" s="1"/>
      <c r="S430" s="1"/>
      <c r="T430" s="1"/>
    </row>
    <row r="431" spans="1:20" ht="17.399999999999999" customHeight="1" x14ac:dyDescent="0.35">
      <c r="A431" s="1"/>
      <c r="B431" s="675">
        <f t="shared" si="8"/>
        <v>88</v>
      </c>
      <c r="C431" s="695" t="s">
        <v>238</v>
      </c>
      <c r="D431" s="840" t="s">
        <v>109</v>
      </c>
      <c r="E431" s="676" t="s">
        <v>92</v>
      </c>
      <c r="F431" s="280"/>
      <c r="G431" s="937">
        <v>46197</v>
      </c>
      <c r="H431" s="941">
        <v>43.575000000000003</v>
      </c>
      <c r="I431" s="1266" t="s">
        <v>667</v>
      </c>
      <c r="J431" s="1267"/>
      <c r="K431" s="1267"/>
      <c r="L431" s="1267"/>
      <c r="M431" s="937">
        <v>46203</v>
      </c>
      <c r="N431" s="843" t="s">
        <v>908</v>
      </c>
      <c r="O431" s="810">
        <v>30</v>
      </c>
      <c r="P431" s="281"/>
      <c r="Q431" s="1"/>
      <c r="R431" s="1"/>
      <c r="S431" s="1"/>
      <c r="T431" s="1"/>
    </row>
    <row r="432" spans="1:20" s="486" customFormat="1" ht="17.399999999999999" customHeight="1" x14ac:dyDescent="0.35">
      <c r="A432" s="487"/>
      <c r="B432" s="695">
        <f t="shared" si="8"/>
        <v>89</v>
      </c>
      <c r="C432" s="695" t="s">
        <v>202</v>
      </c>
      <c r="D432" s="693" t="s">
        <v>95</v>
      </c>
      <c r="E432" s="694" t="s">
        <v>92</v>
      </c>
      <c r="F432" s="1054"/>
      <c r="G432" s="1055">
        <v>46199</v>
      </c>
      <c r="H432" s="1056">
        <v>41.88</v>
      </c>
      <c r="I432" s="1266" t="s">
        <v>667</v>
      </c>
      <c r="J432" s="1267"/>
      <c r="K432" s="1267"/>
      <c r="L432" s="1267"/>
      <c r="M432" s="1055">
        <v>46206</v>
      </c>
      <c r="N432" s="1057" t="s">
        <v>907</v>
      </c>
      <c r="O432" s="819">
        <v>30</v>
      </c>
      <c r="P432" s="1058"/>
      <c r="Q432" s="487"/>
      <c r="R432" s="487"/>
      <c r="S432" s="487"/>
      <c r="T432" s="487"/>
    </row>
    <row r="433" spans="1:20" s="486" customFormat="1" ht="17.399999999999999" customHeight="1" x14ac:dyDescent="0.35">
      <c r="A433" s="487"/>
      <c r="B433" s="695">
        <f t="shared" si="8"/>
        <v>90</v>
      </c>
      <c r="C433" s="695" t="s">
        <v>443</v>
      </c>
      <c r="D433" s="693" t="s">
        <v>668</v>
      </c>
      <c r="E433" s="694" t="s">
        <v>664</v>
      </c>
      <c r="F433" s="1059"/>
      <c r="G433" s="1060">
        <v>46200</v>
      </c>
      <c r="H433" s="1103">
        <v>64.67</v>
      </c>
      <c r="I433" s="1266" t="s">
        <v>667</v>
      </c>
      <c r="J433" s="1267"/>
      <c r="K433" s="1267"/>
      <c r="L433" s="1267"/>
      <c r="M433" s="1055">
        <v>46207</v>
      </c>
      <c r="N433" s="933" t="s">
        <v>913</v>
      </c>
      <c r="O433" s="819">
        <v>30</v>
      </c>
      <c r="P433" s="1058"/>
      <c r="Q433" s="487"/>
      <c r="R433" s="487"/>
      <c r="S433" s="487"/>
      <c r="T433" s="487"/>
    </row>
    <row r="434" spans="1:20" s="486" customFormat="1" ht="17.399999999999999" customHeight="1" x14ac:dyDescent="0.35">
      <c r="A434" s="487"/>
      <c r="B434" s="695">
        <f t="shared" si="8"/>
        <v>91</v>
      </c>
      <c r="C434" s="695" t="s">
        <v>264</v>
      </c>
      <c r="D434" s="693" t="s">
        <v>87</v>
      </c>
      <c r="E434" s="694" t="s">
        <v>88</v>
      </c>
      <c r="F434" s="1062"/>
      <c r="G434" s="1055">
        <v>46202</v>
      </c>
      <c r="H434" s="1063">
        <v>35.088999999999999</v>
      </c>
      <c r="I434" s="1266" t="s">
        <v>667</v>
      </c>
      <c r="J434" s="1267"/>
      <c r="K434" s="1267"/>
      <c r="L434" s="1267"/>
      <c r="M434" s="1055">
        <v>46208</v>
      </c>
      <c r="N434" s="1057" t="s">
        <v>904</v>
      </c>
      <c r="O434" s="819">
        <v>30</v>
      </c>
      <c r="P434" s="1058"/>
      <c r="Q434" s="487"/>
      <c r="R434" s="487"/>
      <c r="S434" s="487"/>
      <c r="T434" s="487"/>
    </row>
    <row r="435" spans="1:20" s="486" customFormat="1" ht="17.399999999999999" customHeight="1" x14ac:dyDescent="0.35">
      <c r="A435" s="487"/>
      <c r="B435" s="695">
        <f t="shared" si="8"/>
        <v>92</v>
      </c>
      <c r="C435" s="695" t="s">
        <v>440</v>
      </c>
      <c r="D435" s="693" t="s">
        <v>579</v>
      </c>
      <c r="E435" s="694" t="s">
        <v>92</v>
      </c>
      <c r="F435" s="1062"/>
      <c r="G435" s="1055">
        <v>46202</v>
      </c>
      <c r="H435" s="1061">
        <v>75.191000000000003</v>
      </c>
      <c r="I435" s="1266" t="s">
        <v>667</v>
      </c>
      <c r="J435" s="1267"/>
      <c r="K435" s="1267"/>
      <c r="L435" s="1267"/>
      <c r="M435" s="1055">
        <v>46208</v>
      </c>
      <c r="N435" s="1057" t="s">
        <v>692</v>
      </c>
      <c r="O435" s="819">
        <v>30</v>
      </c>
      <c r="P435" s="1058"/>
      <c r="Q435" s="487"/>
      <c r="R435" s="487"/>
      <c r="S435" s="487"/>
      <c r="T435" s="487"/>
    </row>
    <row r="436" spans="1:20" s="486" customFormat="1" ht="17.399999999999999" customHeight="1" x14ac:dyDescent="0.35">
      <c r="A436" s="487"/>
      <c r="B436" s="695">
        <f t="shared" si="8"/>
        <v>93</v>
      </c>
      <c r="C436" s="688" t="s">
        <v>232</v>
      </c>
      <c r="D436" s="693" t="s">
        <v>91</v>
      </c>
      <c r="E436" s="694" t="s">
        <v>92</v>
      </c>
      <c r="F436" s="1062"/>
      <c r="G436" s="1055">
        <v>46204</v>
      </c>
      <c r="H436" s="1056">
        <v>36.771000000000001</v>
      </c>
      <c r="I436" s="1266" t="s">
        <v>667</v>
      </c>
      <c r="J436" s="1267"/>
      <c r="K436" s="1267"/>
      <c r="L436" s="1267"/>
      <c r="M436" s="1055">
        <v>46209</v>
      </c>
      <c r="N436" s="1057" t="s">
        <v>908</v>
      </c>
      <c r="O436" s="819">
        <v>30</v>
      </c>
      <c r="P436" s="1058"/>
      <c r="Q436" s="487"/>
      <c r="R436" s="487"/>
      <c r="S436" s="487"/>
      <c r="T436" s="487"/>
    </row>
    <row r="437" spans="1:20" s="486" customFormat="1" ht="17.399999999999999" x14ac:dyDescent="0.35">
      <c r="A437" s="487"/>
      <c r="B437" s="695">
        <f t="shared" si="8"/>
        <v>94</v>
      </c>
      <c r="C437" s="688" t="s">
        <v>416</v>
      </c>
      <c r="D437" s="693" t="s">
        <v>756</v>
      </c>
      <c r="E437" s="930" t="s">
        <v>541</v>
      </c>
      <c r="F437" s="1058"/>
      <c r="G437" s="1055">
        <v>45834</v>
      </c>
      <c r="H437" s="1061">
        <v>62.500999999999998</v>
      </c>
      <c r="I437" s="1266" t="s">
        <v>667</v>
      </c>
      <c r="J437" s="1267"/>
      <c r="K437" s="1267"/>
      <c r="L437" s="1267"/>
      <c r="M437" s="1055">
        <v>46209</v>
      </c>
      <c r="N437" s="1057" t="s">
        <v>906</v>
      </c>
      <c r="O437" s="819">
        <v>30</v>
      </c>
      <c r="P437" s="1058"/>
      <c r="Q437" s="487"/>
      <c r="R437" s="487"/>
      <c r="S437" s="487"/>
      <c r="T437" s="487"/>
    </row>
    <row r="438" spans="1:20" s="486" customFormat="1" ht="17.399999999999999" customHeight="1" x14ac:dyDescent="0.35">
      <c r="A438" s="487"/>
      <c r="B438" s="695">
        <f t="shared" si="8"/>
        <v>95</v>
      </c>
      <c r="C438" s="695" t="s">
        <v>201</v>
      </c>
      <c r="D438" s="693" t="s">
        <v>87</v>
      </c>
      <c r="E438" s="694" t="s">
        <v>92</v>
      </c>
      <c r="F438" s="1062"/>
      <c r="G438" s="1055">
        <v>46207</v>
      </c>
      <c r="H438" s="1063">
        <v>35.088999999999999</v>
      </c>
      <c r="I438" s="1266" t="s">
        <v>667</v>
      </c>
      <c r="J438" s="1267"/>
      <c r="K438" s="1267"/>
      <c r="L438" s="1267"/>
      <c r="M438" s="1055">
        <v>46211</v>
      </c>
      <c r="N438" s="1057" t="s">
        <v>907</v>
      </c>
      <c r="O438" s="819">
        <v>30</v>
      </c>
      <c r="P438" s="1058"/>
      <c r="Q438" s="487"/>
      <c r="R438" s="487"/>
      <c r="S438" s="487"/>
      <c r="T438" s="487"/>
    </row>
    <row r="439" spans="1:20" s="486" customFormat="1" ht="17.399999999999999" x14ac:dyDescent="0.35">
      <c r="A439" s="487"/>
      <c r="B439" s="695">
        <f t="shared" si="8"/>
        <v>96</v>
      </c>
      <c r="C439" s="695" t="s">
        <v>307</v>
      </c>
      <c r="D439" s="693" t="s">
        <v>87</v>
      </c>
      <c r="E439" s="694" t="s">
        <v>92</v>
      </c>
      <c r="F439" s="1062"/>
      <c r="G439" s="1055">
        <v>46202</v>
      </c>
      <c r="H439" s="1063">
        <v>35.088999999999999</v>
      </c>
      <c r="I439" s="1266" t="s">
        <v>667</v>
      </c>
      <c r="J439" s="1267"/>
      <c r="K439" s="1267"/>
      <c r="L439" s="1267"/>
      <c r="M439" s="1055">
        <v>46212</v>
      </c>
      <c r="N439" s="933" t="s">
        <v>912</v>
      </c>
      <c r="O439" s="819">
        <v>30</v>
      </c>
      <c r="P439" s="1058"/>
      <c r="Q439" s="487"/>
      <c r="R439" s="487"/>
      <c r="S439" s="487"/>
      <c r="T439" s="487"/>
    </row>
    <row r="440" spans="1:20" s="486" customFormat="1" ht="17.399999999999999" x14ac:dyDescent="0.35">
      <c r="A440" s="487"/>
      <c r="B440" s="695">
        <f t="shared" si="8"/>
        <v>97</v>
      </c>
      <c r="C440" s="688" t="s">
        <v>233</v>
      </c>
      <c r="D440" s="693" t="s">
        <v>213</v>
      </c>
      <c r="E440" s="694" t="s">
        <v>92</v>
      </c>
      <c r="F440" s="1062"/>
      <c r="G440" s="1055">
        <v>46210</v>
      </c>
      <c r="H440" s="1064">
        <v>36.771000000000001</v>
      </c>
      <c r="I440" s="1266" t="s">
        <v>667</v>
      </c>
      <c r="J440" s="1267"/>
      <c r="K440" s="1267"/>
      <c r="L440" s="1267"/>
      <c r="M440" s="1065">
        <v>46214</v>
      </c>
      <c r="N440" s="1057" t="s">
        <v>908</v>
      </c>
      <c r="O440" s="819">
        <v>30</v>
      </c>
      <c r="P440" s="1058"/>
      <c r="Q440" s="487"/>
      <c r="R440" s="487"/>
      <c r="S440" s="487"/>
      <c r="T440" s="487"/>
    </row>
    <row r="441" spans="1:20" s="486" customFormat="1" ht="17.399999999999999" x14ac:dyDescent="0.35">
      <c r="A441" s="487"/>
      <c r="B441" s="695">
        <f t="shared" si="8"/>
        <v>98</v>
      </c>
      <c r="C441" s="695" t="s">
        <v>263</v>
      </c>
      <c r="D441" s="693" t="s">
        <v>87</v>
      </c>
      <c r="E441" s="694" t="s">
        <v>664</v>
      </c>
      <c r="F441" s="1054"/>
      <c r="G441" s="1055">
        <v>46209</v>
      </c>
      <c r="H441" s="902">
        <v>35.088999999999999</v>
      </c>
      <c r="I441" s="1266" t="s">
        <v>667</v>
      </c>
      <c r="J441" s="1267"/>
      <c r="K441" s="1267"/>
      <c r="L441" s="1267"/>
      <c r="M441" s="1065">
        <v>46214</v>
      </c>
      <c r="N441" s="1057" t="s">
        <v>904</v>
      </c>
      <c r="O441" s="819">
        <v>30</v>
      </c>
      <c r="P441" s="1058"/>
      <c r="Q441" s="487"/>
      <c r="R441" s="487"/>
      <c r="S441" s="487"/>
      <c r="T441" s="487"/>
    </row>
    <row r="442" spans="1:20" s="486" customFormat="1" ht="17.399999999999999" x14ac:dyDescent="0.35">
      <c r="A442" s="487"/>
      <c r="B442" s="695">
        <f t="shared" si="8"/>
        <v>99</v>
      </c>
      <c r="C442" s="1066" t="s">
        <v>480</v>
      </c>
      <c r="D442" s="1066" t="s">
        <v>669</v>
      </c>
      <c r="E442" s="819" t="s">
        <v>92</v>
      </c>
      <c r="F442" s="1058"/>
      <c r="G442" s="1055">
        <v>46212</v>
      </c>
      <c r="H442" s="1061">
        <v>62.500999999999998</v>
      </c>
      <c r="I442" s="1266" t="s">
        <v>667</v>
      </c>
      <c r="J442" s="1267"/>
      <c r="K442" s="1267"/>
      <c r="L442" s="1267"/>
      <c r="M442" s="1065">
        <v>46215</v>
      </c>
      <c r="N442" s="1057" t="s">
        <v>692</v>
      </c>
      <c r="O442" s="819">
        <v>30</v>
      </c>
      <c r="P442" s="1058"/>
      <c r="Q442" s="487"/>
      <c r="R442" s="487"/>
      <c r="S442" s="487"/>
      <c r="T442" s="487"/>
    </row>
    <row r="443" spans="1:20" s="486" customFormat="1" ht="17.399999999999999" x14ac:dyDescent="0.35">
      <c r="A443" s="487"/>
      <c r="B443" s="695">
        <f t="shared" si="8"/>
        <v>100</v>
      </c>
      <c r="C443" s="1066" t="s">
        <v>390</v>
      </c>
      <c r="D443" s="1066" t="s">
        <v>91</v>
      </c>
      <c r="E443" s="819" t="s">
        <v>88</v>
      </c>
      <c r="F443" s="1058"/>
      <c r="G443" s="1055">
        <v>46210</v>
      </c>
      <c r="H443" s="1056">
        <v>36.771000000000001</v>
      </c>
      <c r="I443" s="1266" t="s">
        <v>667</v>
      </c>
      <c r="J443" s="1267"/>
      <c r="K443" s="1267"/>
      <c r="L443" s="1267"/>
      <c r="M443" s="1065">
        <v>46215</v>
      </c>
      <c r="N443" s="933" t="s">
        <v>913</v>
      </c>
      <c r="O443" s="819">
        <v>30</v>
      </c>
      <c r="P443" s="1058"/>
      <c r="Q443" s="487"/>
      <c r="R443" s="487"/>
      <c r="S443" s="487"/>
      <c r="T443" s="487"/>
    </row>
    <row r="444" spans="1:20" s="486" customFormat="1" ht="17.399999999999999" x14ac:dyDescent="0.35">
      <c r="A444" s="487"/>
      <c r="B444" s="695">
        <f t="shared" si="8"/>
        <v>101</v>
      </c>
      <c r="C444" s="695" t="s">
        <v>207</v>
      </c>
      <c r="D444" s="693" t="s">
        <v>87</v>
      </c>
      <c r="E444" s="694" t="s">
        <v>92</v>
      </c>
      <c r="F444" s="1062"/>
      <c r="G444" s="1055">
        <v>46210</v>
      </c>
      <c r="H444" s="1063">
        <v>35.088999999999999</v>
      </c>
      <c r="I444" s="1266" t="s">
        <v>667</v>
      </c>
      <c r="J444" s="1267"/>
      <c r="K444" s="1267"/>
      <c r="L444" s="1267"/>
      <c r="M444" s="1055">
        <v>46216</v>
      </c>
      <c r="N444" s="1057" t="s">
        <v>906</v>
      </c>
      <c r="O444" s="819">
        <v>30</v>
      </c>
      <c r="P444" s="1058"/>
      <c r="Q444" s="487"/>
      <c r="R444" s="487"/>
      <c r="S444" s="487"/>
      <c r="T444" s="487"/>
    </row>
    <row r="445" spans="1:20" s="486" customFormat="1" ht="17.399999999999999" x14ac:dyDescent="0.35">
      <c r="A445" s="487"/>
      <c r="B445" s="695">
        <f t="shared" si="8"/>
        <v>102</v>
      </c>
      <c r="C445" s="695" t="s">
        <v>227</v>
      </c>
      <c r="D445" s="693" t="s">
        <v>91</v>
      </c>
      <c r="E445" s="694" t="s">
        <v>92</v>
      </c>
      <c r="F445" s="1062"/>
      <c r="G445" s="1055">
        <v>46212</v>
      </c>
      <c r="H445" s="1056">
        <v>36.771000000000001</v>
      </c>
      <c r="I445" s="1266" t="s">
        <v>667</v>
      </c>
      <c r="J445" s="1267"/>
      <c r="K445" s="1267"/>
      <c r="L445" s="1267"/>
      <c r="M445" s="1055">
        <v>46217</v>
      </c>
      <c r="N445" s="1057" t="s">
        <v>907</v>
      </c>
      <c r="O445" s="819">
        <v>30</v>
      </c>
      <c r="P445" s="1058"/>
      <c r="Q445" s="487"/>
      <c r="R445" s="487"/>
      <c r="S445" s="487"/>
      <c r="T445" s="487"/>
    </row>
    <row r="446" spans="1:20" s="486" customFormat="1" ht="17.399999999999999" x14ac:dyDescent="0.35">
      <c r="A446" s="487"/>
      <c r="B446" s="695">
        <f t="shared" si="8"/>
        <v>103</v>
      </c>
      <c r="C446" s="695" t="s">
        <v>388</v>
      </c>
      <c r="D446" s="693" t="s">
        <v>87</v>
      </c>
      <c r="E446" s="694" t="s">
        <v>92</v>
      </c>
      <c r="F446" s="1062"/>
      <c r="G446" s="1055">
        <v>46216</v>
      </c>
      <c r="H446" s="1063">
        <v>35.088999999999999</v>
      </c>
      <c r="I446" s="1266" t="s">
        <v>667</v>
      </c>
      <c r="J446" s="1267"/>
      <c r="K446" s="1267"/>
      <c r="L446" s="1267"/>
      <c r="M446" s="1055">
        <v>46219</v>
      </c>
      <c r="N446" s="1057" t="s">
        <v>692</v>
      </c>
      <c r="O446" s="819">
        <v>30</v>
      </c>
      <c r="P446" s="1058"/>
      <c r="Q446" s="487"/>
      <c r="R446" s="487"/>
      <c r="S446" s="487"/>
      <c r="T446" s="487"/>
    </row>
    <row r="447" spans="1:20" s="486" customFormat="1" ht="17.399999999999999" x14ac:dyDescent="0.35">
      <c r="A447" s="487"/>
      <c r="B447" s="695">
        <f t="shared" si="8"/>
        <v>104</v>
      </c>
      <c r="C447" s="688" t="s">
        <v>389</v>
      </c>
      <c r="D447" s="693" t="s">
        <v>87</v>
      </c>
      <c r="E447" s="694" t="s">
        <v>92</v>
      </c>
      <c r="F447" s="1062"/>
      <c r="G447" s="1055">
        <v>46216</v>
      </c>
      <c r="H447" s="1063">
        <v>35.088999999999999</v>
      </c>
      <c r="I447" s="1266" t="s">
        <v>667</v>
      </c>
      <c r="J447" s="1267"/>
      <c r="K447" s="1267"/>
      <c r="L447" s="1267"/>
      <c r="M447" s="1055">
        <v>46219</v>
      </c>
      <c r="N447" s="933" t="s">
        <v>913</v>
      </c>
      <c r="O447" s="819">
        <v>30</v>
      </c>
      <c r="P447" s="1058"/>
      <c r="Q447" s="487"/>
      <c r="R447" s="487"/>
      <c r="S447" s="487"/>
      <c r="T447" s="487"/>
    </row>
    <row r="448" spans="1:20" s="486" customFormat="1" ht="17.399999999999999" x14ac:dyDescent="0.35">
      <c r="A448" s="487"/>
      <c r="B448" s="695">
        <f t="shared" si="8"/>
        <v>105</v>
      </c>
      <c r="C448" s="695" t="s">
        <v>208</v>
      </c>
      <c r="D448" s="693" t="s">
        <v>87</v>
      </c>
      <c r="E448" s="694" t="s">
        <v>92</v>
      </c>
      <c r="F448" s="1062"/>
      <c r="G448" s="1055">
        <v>46217</v>
      </c>
      <c r="H448" s="1063">
        <v>35.088999999999999</v>
      </c>
      <c r="I448" s="1266" t="s">
        <v>667</v>
      </c>
      <c r="J448" s="1267"/>
      <c r="K448" s="1267"/>
      <c r="L448" s="1267"/>
      <c r="M448" s="1055">
        <v>46222</v>
      </c>
      <c r="N448" s="933" t="s">
        <v>906</v>
      </c>
      <c r="O448" s="819">
        <v>30</v>
      </c>
      <c r="P448" s="1058"/>
      <c r="Q448" s="487"/>
      <c r="R448" s="487"/>
      <c r="S448" s="487"/>
      <c r="T448" s="487"/>
    </row>
    <row r="449" spans="1:20" s="486" customFormat="1" ht="17.399999999999999" x14ac:dyDescent="0.35">
      <c r="A449" s="487"/>
      <c r="B449" s="695">
        <f t="shared" si="8"/>
        <v>106</v>
      </c>
      <c r="C449" s="695" t="s">
        <v>228</v>
      </c>
      <c r="D449" s="693" t="s">
        <v>87</v>
      </c>
      <c r="E449" s="694" t="s">
        <v>92</v>
      </c>
      <c r="F449" s="1062"/>
      <c r="G449" s="1055">
        <v>46218</v>
      </c>
      <c r="H449" s="1063">
        <v>35.088999999999999</v>
      </c>
      <c r="I449" s="1266" t="s">
        <v>667</v>
      </c>
      <c r="J449" s="1267"/>
      <c r="K449" s="1267"/>
      <c r="L449" s="1267"/>
      <c r="M449" s="1055">
        <v>46222</v>
      </c>
      <c r="N449" s="933" t="s">
        <v>907</v>
      </c>
      <c r="O449" s="819">
        <v>30</v>
      </c>
      <c r="P449" s="1058"/>
      <c r="Q449" s="487"/>
      <c r="R449" s="487"/>
      <c r="S449" s="487"/>
      <c r="T449" s="487"/>
    </row>
    <row r="450" spans="1:20" s="486" customFormat="1" ht="17.399999999999999" x14ac:dyDescent="0.35">
      <c r="A450" s="487"/>
      <c r="B450" s="695">
        <f t="shared" si="8"/>
        <v>107</v>
      </c>
      <c r="C450" s="695" t="s">
        <v>421</v>
      </c>
      <c r="D450" s="693" t="s">
        <v>757</v>
      </c>
      <c r="E450" s="694" t="s">
        <v>765</v>
      </c>
      <c r="F450" s="1062"/>
      <c r="G450" s="1055">
        <v>46215</v>
      </c>
      <c r="H450" s="1058">
        <v>57.484000000000002</v>
      </c>
      <c r="I450" s="1266" t="s">
        <v>667</v>
      </c>
      <c r="J450" s="1267"/>
      <c r="K450" s="1267"/>
      <c r="L450" s="1267"/>
      <c r="M450" s="1055">
        <v>46222</v>
      </c>
      <c r="N450" s="933" t="s">
        <v>908</v>
      </c>
      <c r="O450" s="819">
        <v>30</v>
      </c>
      <c r="P450" s="1058"/>
      <c r="Q450" s="487"/>
      <c r="R450" s="487"/>
      <c r="S450" s="487"/>
      <c r="T450" s="487"/>
    </row>
    <row r="451" spans="1:20" s="486" customFormat="1" ht="17.399999999999999" x14ac:dyDescent="0.35">
      <c r="A451" s="487"/>
      <c r="B451" s="695">
        <f t="shared" si="8"/>
        <v>108</v>
      </c>
      <c r="C451" s="695" t="s">
        <v>384</v>
      </c>
      <c r="D451" s="693" t="s">
        <v>87</v>
      </c>
      <c r="E451" s="694" t="s">
        <v>92</v>
      </c>
      <c r="F451" s="1062"/>
      <c r="G451" s="1101">
        <v>46220</v>
      </c>
      <c r="H451" s="1063">
        <v>35.088999999999999</v>
      </c>
      <c r="I451" s="1266" t="s">
        <v>667</v>
      </c>
      <c r="J451" s="1267"/>
      <c r="K451" s="1267"/>
      <c r="L451" s="1267"/>
      <c r="M451" s="1101">
        <v>46223</v>
      </c>
      <c r="N451" s="1057" t="s">
        <v>692</v>
      </c>
      <c r="O451" s="819">
        <v>30</v>
      </c>
      <c r="P451" s="1058"/>
      <c r="Q451" s="487"/>
      <c r="R451" s="487"/>
      <c r="S451" s="487"/>
      <c r="T451" s="487"/>
    </row>
    <row r="452" spans="1:20" s="486" customFormat="1" ht="17.399999999999999" x14ac:dyDescent="0.35">
      <c r="A452" s="487"/>
      <c r="B452" s="695">
        <f t="shared" si="8"/>
        <v>109</v>
      </c>
      <c r="C452" s="695" t="s">
        <v>424</v>
      </c>
      <c r="D452" s="693" t="s">
        <v>686</v>
      </c>
      <c r="E452" s="694" t="s">
        <v>92</v>
      </c>
      <c r="F452" s="1062"/>
      <c r="G452" s="1101">
        <v>46215</v>
      </c>
      <c r="H452" s="945">
        <v>54.72</v>
      </c>
      <c r="I452" s="1266" t="s">
        <v>667</v>
      </c>
      <c r="J452" s="1267"/>
      <c r="K452" s="1267"/>
      <c r="L452" s="1267"/>
      <c r="M452" s="1101">
        <v>46224</v>
      </c>
      <c r="N452" s="1057" t="s">
        <v>904</v>
      </c>
      <c r="O452" s="819">
        <v>30</v>
      </c>
      <c r="P452" s="1058"/>
      <c r="Q452" s="487"/>
      <c r="R452" s="487"/>
      <c r="S452" s="487"/>
      <c r="T452" s="487"/>
    </row>
    <row r="453" spans="1:20" s="486" customFormat="1" ht="17.399999999999999" x14ac:dyDescent="0.35">
      <c r="A453" s="487"/>
      <c r="B453" s="695">
        <f t="shared" si="8"/>
        <v>110</v>
      </c>
      <c r="C453" s="695" t="s">
        <v>391</v>
      </c>
      <c r="D453" s="693" t="s">
        <v>91</v>
      </c>
      <c r="E453" s="694" t="s">
        <v>92</v>
      </c>
      <c r="F453" s="1062"/>
      <c r="G453" s="1101">
        <v>46220</v>
      </c>
      <c r="H453" s="1056">
        <v>36.771000000000001</v>
      </c>
      <c r="I453" s="1266" t="s">
        <v>667</v>
      </c>
      <c r="J453" s="1267"/>
      <c r="K453" s="1267"/>
      <c r="L453" s="1267"/>
      <c r="M453" s="1101">
        <v>46224</v>
      </c>
      <c r="N453" s="933" t="s">
        <v>913</v>
      </c>
      <c r="O453" s="819">
        <v>30</v>
      </c>
      <c r="P453" s="1058"/>
      <c r="Q453" s="487"/>
      <c r="R453" s="487"/>
      <c r="S453" s="487"/>
      <c r="T453" s="487"/>
    </row>
    <row r="454" spans="1:20" s="486" customFormat="1" ht="17.399999999999999" x14ac:dyDescent="0.35">
      <c r="A454" s="487"/>
      <c r="B454" s="695">
        <f t="shared" si="8"/>
        <v>111</v>
      </c>
      <c r="C454" s="695" t="s">
        <v>392</v>
      </c>
      <c r="D454" s="693" t="s">
        <v>87</v>
      </c>
      <c r="E454" s="694" t="s">
        <v>92</v>
      </c>
      <c r="F454" s="1062"/>
      <c r="G454" s="1101">
        <v>46224</v>
      </c>
      <c r="H454" s="1063">
        <v>35.088999999999999</v>
      </c>
      <c r="I454" s="1266" t="s">
        <v>667</v>
      </c>
      <c r="J454" s="1267"/>
      <c r="K454" s="1267"/>
      <c r="L454" s="1267"/>
      <c r="M454" s="1101">
        <v>46226</v>
      </c>
      <c r="N454" s="1057" t="s">
        <v>692</v>
      </c>
      <c r="O454" s="819">
        <v>30</v>
      </c>
      <c r="P454" s="1058"/>
      <c r="Q454" s="487"/>
      <c r="R454" s="487"/>
      <c r="S454" s="487"/>
      <c r="T454" s="487"/>
    </row>
    <row r="455" spans="1:20" s="486" customFormat="1" ht="17.399999999999999" x14ac:dyDescent="0.35">
      <c r="A455" s="487"/>
      <c r="B455" s="932">
        <f t="shared" si="8"/>
        <v>112</v>
      </c>
      <c r="C455" s="932" t="s">
        <v>385</v>
      </c>
      <c r="D455" s="1208" t="s">
        <v>87</v>
      </c>
      <c r="E455" s="1100" t="s">
        <v>92</v>
      </c>
      <c r="F455" s="1054"/>
      <c r="G455" s="1102">
        <v>46225</v>
      </c>
      <c r="H455" s="1072">
        <v>35.088999999999999</v>
      </c>
      <c r="I455" s="1270" t="s">
        <v>667</v>
      </c>
      <c r="J455" s="1271"/>
      <c r="K455" s="1271"/>
      <c r="L455" s="1271"/>
      <c r="M455" s="1102">
        <v>46228</v>
      </c>
      <c r="N455" s="1073" t="s">
        <v>913</v>
      </c>
      <c r="O455" s="1074">
        <v>30</v>
      </c>
      <c r="P455" s="1209"/>
      <c r="Q455" s="487"/>
      <c r="R455" s="487"/>
      <c r="S455" s="487"/>
      <c r="T455" s="487"/>
    </row>
    <row r="456" spans="1:20" s="486" customFormat="1" ht="17.399999999999999" x14ac:dyDescent="0.35">
      <c r="A456" s="487"/>
      <c r="B456" s="695">
        <f t="shared" si="8"/>
        <v>113</v>
      </c>
      <c r="C456" s="695" t="s">
        <v>239</v>
      </c>
      <c r="D456" s="693" t="s">
        <v>87</v>
      </c>
      <c r="E456" s="694" t="s">
        <v>88</v>
      </c>
      <c r="F456" s="1058"/>
      <c r="G456" s="1101">
        <v>46223</v>
      </c>
      <c r="H456" s="1063">
        <v>35.088999999999999</v>
      </c>
      <c r="I456" s="1266" t="s">
        <v>667</v>
      </c>
      <c r="J456" s="1267"/>
      <c r="K456" s="1267"/>
      <c r="L456" s="1267"/>
      <c r="M456" s="1101">
        <v>46230</v>
      </c>
      <c r="N456" s="1075" t="s">
        <v>934</v>
      </c>
      <c r="O456" s="819">
        <v>30</v>
      </c>
      <c r="P456" s="1058"/>
      <c r="Q456" s="487"/>
      <c r="R456" s="487"/>
      <c r="S456" s="487"/>
      <c r="T456" s="487"/>
    </row>
    <row r="457" spans="1:20" s="486" customFormat="1" ht="17.399999999999999" x14ac:dyDescent="0.35">
      <c r="A457" s="487"/>
      <c r="B457" s="695">
        <f t="shared" si="8"/>
        <v>114</v>
      </c>
      <c r="C457" s="695" t="s">
        <v>386</v>
      </c>
      <c r="D457" s="693" t="s">
        <v>87</v>
      </c>
      <c r="E457" s="694" t="s">
        <v>92</v>
      </c>
      <c r="F457" s="1058"/>
      <c r="G457" s="1101">
        <v>46213</v>
      </c>
      <c r="H457" s="1063">
        <v>35.088999999999999</v>
      </c>
      <c r="I457" s="1266" t="s">
        <v>667</v>
      </c>
      <c r="J457" s="1267"/>
      <c r="K457" s="1267"/>
      <c r="L457" s="1267"/>
      <c r="M457" s="1101">
        <v>46230</v>
      </c>
      <c r="N457" s="1075" t="s">
        <v>926</v>
      </c>
      <c r="O457" s="819">
        <v>30</v>
      </c>
      <c r="P457" s="1058"/>
      <c r="Q457" s="487"/>
      <c r="R457" s="487"/>
      <c r="S457" s="487"/>
      <c r="T457" s="487"/>
    </row>
    <row r="458" spans="1:20" s="486" customFormat="1" ht="17.399999999999999" x14ac:dyDescent="0.35">
      <c r="A458" s="487"/>
      <c r="B458" s="695">
        <f t="shared" si="8"/>
        <v>115</v>
      </c>
      <c r="C458" s="695" t="s">
        <v>387</v>
      </c>
      <c r="D458" s="693" t="s">
        <v>95</v>
      </c>
      <c r="E458" s="694" t="s">
        <v>88</v>
      </c>
      <c r="F458" s="1058"/>
      <c r="G458" s="1101">
        <v>46227</v>
      </c>
      <c r="H458" s="1056">
        <v>41.88</v>
      </c>
      <c r="I458" s="1266" t="s">
        <v>667</v>
      </c>
      <c r="J458" s="1267"/>
      <c r="K458" s="1267"/>
      <c r="L458" s="1267"/>
      <c r="M458" s="1101">
        <v>46230</v>
      </c>
      <c r="N458" s="1075" t="s">
        <v>692</v>
      </c>
      <c r="O458" s="819">
        <v>30</v>
      </c>
      <c r="P458" s="1058"/>
      <c r="Q458" s="487"/>
      <c r="R458" s="487"/>
      <c r="S458" s="487"/>
      <c r="T458" s="487"/>
    </row>
    <row r="459" spans="1:20" s="486" customFormat="1" ht="17.399999999999999" x14ac:dyDescent="0.35">
      <c r="A459" s="487"/>
      <c r="B459" s="695">
        <f t="shared" si="8"/>
        <v>116</v>
      </c>
      <c r="C459" s="695" t="s">
        <v>417</v>
      </c>
      <c r="D459" s="693" t="s">
        <v>756</v>
      </c>
      <c r="E459" s="694" t="s">
        <v>92</v>
      </c>
      <c r="F459" s="354"/>
      <c r="G459" s="734">
        <v>46223</v>
      </c>
      <c r="H459" s="1061">
        <v>62.500999999999998</v>
      </c>
      <c r="I459" s="1266" t="s">
        <v>667</v>
      </c>
      <c r="J459" s="1267"/>
      <c r="K459" s="1267"/>
      <c r="L459" s="1267"/>
      <c r="M459" s="1101">
        <v>46231</v>
      </c>
      <c r="N459" s="933" t="s">
        <v>907</v>
      </c>
      <c r="O459" s="819">
        <v>30</v>
      </c>
      <c r="P459" s="1058"/>
      <c r="Q459" s="487"/>
      <c r="R459" s="487"/>
      <c r="S459" s="487"/>
      <c r="T459" s="487"/>
    </row>
    <row r="460" spans="1:20" s="486" customFormat="1" ht="17.399999999999999" x14ac:dyDescent="0.35">
      <c r="A460" s="487"/>
      <c r="B460" s="695">
        <f t="shared" si="8"/>
        <v>117</v>
      </c>
      <c r="C460" s="695" t="s">
        <v>220</v>
      </c>
      <c r="D460" s="693" t="s">
        <v>87</v>
      </c>
      <c r="E460" s="694" t="s">
        <v>92</v>
      </c>
      <c r="F460" s="1062"/>
      <c r="G460" s="734">
        <v>46223</v>
      </c>
      <c r="H460" s="1063">
        <v>35.088999999999999</v>
      </c>
      <c r="I460" s="1266" t="s">
        <v>667</v>
      </c>
      <c r="J460" s="1267"/>
      <c r="K460" s="1267"/>
      <c r="L460" s="1267"/>
      <c r="M460" s="1101">
        <v>46232</v>
      </c>
      <c r="N460" s="933" t="s">
        <v>906</v>
      </c>
      <c r="O460" s="819">
        <v>30</v>
      </c>
      <c r="P460" s="1058"/>
      <c r="Q460" s="487"/>
      <c r="R460" s="487"/>
      <c r="S460" s="487"/>
      <c r="T460" s="487"/>
    </row>
    <row r="461" spans="1:20" s="486" customFormat="1" ht="13.5" customHeight="1" x14ac:dyDescent="0.35">
      <c r="A461" s="487"/>
      <c r="B461" s="695">
        <f t="shared" si="8"/>
        <v>118</v>
      </c>
      <c r="C461" s="695" t="s">
        <v>383</v>
      </c>
      <c r="D461" s="693" t="s">
        <v>91</v>
      </c>
      <c r="E461" s="694" t="s">
        <v>92</v>
      </c>
      <c r="F461" s="1062"/>
      <c r="G461" s="1101">
        <v>46231</v>
      </c>
      <c r="H461" s="1056">
        <v>36.771000000000001</v>
      </c>
      <c r="I461" s="1266" t="s">
        <v>667</v>
      </c>
      <c r="J461" s="1267"/>
      <c r="K461" s="1267"/>
      <c r="L461" s="1267"/>
      <c r="M461" s="1101">
        <v>46234</v>
      </c>
      <c r="N461" s="1075" t="s">
        <v>692</v>
      </c>
      <c r="O461" s="819">
        <v>30</v>
      </c>
      <c r="P461" s="1058"/>
      <c r="Q461" s="487"/>
      <c r="R461" s="487"/>
      <c r="S461" s="487"/>
      <c r="T461" s="487"/>
    </row>
    <row r="462" spans="1:20" ht="13.5" customHeight="1" x14ac:dyDescent="0.35">
      <c r="A462" s="1"/>
      <c r="B462" s="695">
        <f t="shared" si="8"/>
        <v>119</v>
      </c>
      <c r="C462" s="675" t="s">
        <v>427</v>
      </c>
      <c r="D462" s="691" t="s">
        <v>917</v>
      </c>
      <c r="E462" s="674" t="s">
        <v>92</v>
      </c>
      <c r="F462" s="15"/>
      <c r="G462" s="1068">
        <v>46225</v>
      </c>
      <c r="H462" s="281"/>
      <c r="I462" s="1266" t="s">
        <v>667</v>
      </c>
      <c r="J462" s="1267"/>
      <c r="K462" s="1267"/>
      <c r="L462" s="1267"/>
      <c r="M462" s="1068">
        <v>46237</v>
      </c>
      <c r="N462" s="1057" t="s">
        <v>904</v>
      </c>
      <c r="O462" s="819">
        <v>30</v>
      </c>
      <c r="P462" s="281"/>
      <c r="Q462" s="1"/>
      <c r="R462" s="1"/>
      <c r="S462" s="1"/>
      <c r="T462" s="1"/>
    </row>
    <row r="463" spans="1:20" ht="17.399999999999999" x14ac:dyDescent="0.35">
      <c r="A463" s="1"/>
      <c r="B463" s="695">
        <f t="shared" si="8"/>
        <v>120</v>
      </c>
      <c r="C463" s="675" t="s">
        <v>450</v>
      </c>
      <c r="D463" s="691" t="s">
        <v>668</v>
      </c>
      <c r="E463" s="674" t="s">
        <v>92</v>
      </c>
      <c r="F463" s="15"/>
      <c r="G463" s="1068">
        <v>46229</v>
      </c>
      <c r="H463" s="281"/>
      <c r="I463" s="1266" t="s">
        <v>667</v>
      </c>
      <c r="J463" s="1267"/>
      <c r="K463" s="1267"/>
      <c r="L463" s="1267"/>
      <c r="M463" s="1068">
        <v>46240</v>
      </c>
      <c r="N463" s="933" t="s">
        <v>913</v>
      </c>
      <c r="O463" s="819">
        <v>30</v>
      </c>
      <c r="P463" s="281"/>
      <c r="Q463" s="1"/>
      <c r="R463" s="1"/>
      <c r="S463" s="1"/>
      <c r="T463" s="1"/>
    </row>
    <row r="464" spans="1:20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</row>
    <row r="465" spans="1:20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</row>
    <row r="466" spans="1:20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</row>
    <row r="467" spans="1:20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</row>
    <row r="468" spans="1:20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</row>
    <row r="469" spans="1:20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8" x14ac:dyDescent="0.3"/>
    <row r="512" spans="1:20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</sheetData>
  <autoFilter ref="A343:CX463" xr:uid="{00000000-0001-0000-0100-000000000000}">
    <filterColumn colId="8" showButton="0"/>
    <filterColumn colId="9" showButton="0"/>
    <filterColumn colId="10" showButton="0"/>
  </autoFilter>
  <mergeCells count="360">
    <mergeCell ref="I441:L441"/>
    <mergeCell ref="I103:L103"/>
    <mergeCell ref="I460:L460"/>
    <mergeCell ref="I456:L456"/>
    <mergeCell ref="I457:L457"/>
    <mergeCell ref="I458:L458"/>
    <mergeCell ref="H332:K332"/>
    <mergeCell ref="I430:L430"/>
    <mergeCell ref="H331:K331"/>
    <mergeCell ref="I455:L455"/>
    <mergeCell ref="I388:L388"/>
    <mergeCell ref="I452:L452"/>
    <mergeCell ref="I453:L453"/>
    <mergeCell ref="I445:L445"/>
    <mergeCell ref="I431:L431"/>
    <mergeCell ref="I419:L419"/>
    <mergeCell ref="I392:L392"/>
    <mergeCell ref="I418:L418"/>
    <mergeCell ref="I408:L408"/>
    <mergeCell ref="I402:L402"/>
    <mergeCell ref="I416:L416"/>
    <mergeCell ref="I407:L407"/>
    <mergeCell ref="I410:L410"/>
    <mergeCell ref="I398:L398"/>
    <mergeCell ref="I440:L440"/>
    <mergeCell ref="I433:L433"/>
    <mergeCell ref="I405:L405"/>
    <mergeCell ref="I404:L404"/>
    <mergeCell ref="I425:L425"/>
    <mergeCell ref="I399:L399"/>
    <mergeCell ref="I393:L393"/>
    <mergeCell ref="I411:L411"/>
    <mergeCell ref="I100:L100"/>
    <mergeCell ref="H202:K202"/>
    <mergeCell ref="I199:L199"/>
    <mergeCell ref="I104:L104"/>
    <mergeCell ref="H247:K247"/>
    <mergeCell ref="H248:K248"/>
    <mergeCell ref="H258:K258"/>
    <mergeCell ref="H257:K257"/>
    <mergeCell ref="I353:L353"/>
    <mergeCell ref="I343:L343"/>
    <mergeCell ref="H264:K264"/>
    <mergeCell ref="H290:K290"/>
    <mergeCell ref="H270:K270"/>
    <mergeCell ref="H271:K271"/>
    <mergeCell ref="H272:K272"/>
    <mergeCell ref="H268:K268"/>
    <mergeCell ref="H318:K318"/>
    <mergeCell ref="I381:L381"/>
    <mergeCell ref="I420:L420"/>
    <mergeCell ref="I429:L429"/>
    <mergeCell ref="I427:L427"/>
    <mergeCell ref="I428:L428"/>
    <mergeCell ref="I424:L424"/>
    <mergeCell ref="I422:L422"/>
    <mergeCell ref="I421:L421"/>
    <mergeCell ref="I417:L417"/>
    <mergeCell ref="I382:L382"/>
    <mergeCell ref="I413:L413"/>
    <mergeCell ref="I426:L426"/>
    <mergeCell ref="I97:L97"/>
    <mergeCell ref="H291:K291"/>
    <mergeCell ref="H292:K292"/>
    <mergeCell ref="H293:K293"/>
    <mergeCell ref="H204:K204"/>
    <mergeCell ref="H231:K231"/>
    <mergeCell ref="H235:K235"/>
    <mergeCell ref="H237:K237"/>
    <mergeCell ref="H205:K205"/>
    <mergeCell ref="H261:K261"/>
    <mergeCell ref="H250:K250"/>
    <mergeCell ref="H273:K273"/>
    <mergeCell ref="H277:K277"/>
    <mergeCell ref="H276:K276"/>
    <mergeCell ref="H275:K275"/>
    <mergeCell ref="H259:K259"/>
    <mergeCell ref="H255:K255"/>
    <mergeCell ref="H263:K263"/>
    <mergeCell ref="H269:K269"/>
    <mergeCell ref="H252:K252"/>
    <mergeCell ref="H253:K253"/>
    <mergeCell ref="H256:K256"/>
    <mergeCell ref="H219:K219"/>
    <mergeCell ref="H234:K234"/>
    <mergeCell ref="I94:L94"/>
    <mergeCell ref="H203:K203"/>
    <mergeCell ref="I98:L98"/>
    <mergeCell ref="I99:L99"/>
    <mergeCell ref="I198:L198"/>
    <mergeCell ref="H206:K206"/>
    <mergeCell ref="H216:K216"/>
    <mergeCell ref="H233:K233"/>
    <mergeCell ref="H232:K232"/>
    <mergeCell ref="H211:K211"/>
    <mergeCell ref="H207:K207"/>
    <mergeCell ref="H210:K210"/>
    <mergeCell ref="H209:K209"/>
    <mergeCell ref="H218:K218"/>
    <mergeCell ref="H220:K220"/>
    <mergeCell ref="H225:K225"/>
    <mergeCell ref="H227:K227"/>
    <mergeCell ref="H217:K217"/>
    <mergeCell ref="H230:K230"/>
    <mergeCell ref="H226:K226"/>
    <mergeCell ref="H223:K223"/>
    <mergeCell ref="H212:K212"/>
    <mergeCell ref="H213:K213"/>
    <mergeCell ref="H214:K214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17:L17"/>
    <mergeCell ref="I36:L36"/>
    <mergeCell ref="I38:L38"/>
    <mergeCell ref="I197:L197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58:L58"/>
    <mergeCell ref="I67:L67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H208:K208"/>
    <mergeCell ref="H240:K240"/>
    <mergeCell ref="H244:K244"/>
    <mergeCell ref="H246:K246"/>
    <mergeCell ref="H245:K245"/>
    <mergeCell ref="H241:K241"/>
    <mergeCell ref="H239:K239"/>
    <mergeCell ref="H221:K221"/>
    <mergeCell ref="H224:K224"/>
    <mergeCell ref="H222:K222"/>
    <mergeCell ref="H228:K228"/>
    <mergeCell ref="H229:K229"/>
    <mergeCell ref="H242:K242"/>
    <mergeCell ref="H215:K215"/>
    <mergeCell ref="H243:K243"/>
    <mergeCell ref="H238:K238"/>
    <mergeCell ref="B342:D342"/>
    <mergeCell ref="H236:K236"/>
    <mergeCell ref="H254:K254"/>
    <mergeCell ref="H274:K274"/>
    <mergeCell ref="H267:K267"/>
    <mergeCell ref="H281:K281"/>
    <mergeCell ref="H282:K282"/>
    <mergeCell ref="H283:K283"/>
    <mergeCell ref="H284:K284"/>
    <mergeCell ref="H251:K251"/>
    <mergeCell ref="H260:K260"/>
    <mergeCell ref="H265:K265"/>
    <mergeCell ref="H266:K266"/>
    <mergeCell ref="H262:K262"/>
    <mergeCell ref="H294:K294"/>
    <mergeCell ref="H295:K295"/>
    <mergeCell ref="H296:K296"/>
    <mergeCell ref="H313:K313"/>
    <mergeCell ref="H249:K249"/>
    <mergeCell ref="H278:K278"/>
    <mergeCell ref="H279:K279"/>
    <mergeCell ref="H326:K326"/>
    <mergeCell ref="I345:L345"/>
    <mergeCell ref="H297:K297"/>
    <mergeCell ref="H298:K298"/>
    <mergeCell ref="H299:K299"/>
    <mergeCell ref="H300:K300"/>
    <mergeCell ref="H306:K306"/>
    <mergeCell ref="H307:K307"/>
    <mergeCell ref="H315:K315"/>
    <mergeCell ref="H314:K314"/>
    <mergeCell ref="H321:K321"/>
    <mergeCell ref="H320:K320"/>
    <mergeCell ref="H289:K289"/>
    <mergeCell ref="H316:K316"/>
    <mergeCell ref="H327:K327"/>
    <mergeCell ref="H319:K319"/>
    <mergeCell ref="H328:K328"/>
    <mergeCell ref="H329:K329"/>
    <mergeCell ref="H324:K324"/>
    <mergeCell ref="H325:K325"/>
    <mergeCell ref="H333:K333"/>
    <mergeCell ref="H317:K317"/>
    <mergeCell ref="H305:K305"/>
    <mergeCell ref="H303:K303"/>
    <mergeCell ref="H280:K280"/>
    <mergeCell ref="H310:K310"/>
    <mergeCell ref="H302:K302"/>
    <mergeCell ref="I423:L423"/>
    <mergeCell ref="I346:L346"/>
    <mergeCell ref="H286:K286"/>
    <mergeCell ref="H288:K288"/>
    <mergeCell ref="H287:K287"/>
    <mergeCell ref="H285:K285"/>
    <mergeCell ref="H322:K322"/>
    <mergeCell ref="H312:K312"/>
    <mergeCell ref="H308:K308"/>
    <mergeCell ref="H309:K309"/>
    <mergeCell ref="H311:K311"/>
    <mergeCell ref="H301:K301"/>
    <mergeCell ref="H304:K304"/>
    <mergeCell ref="H323:K323"/>
    <mergeCell ref="I362:L362"/>
    <mergeCell ref="I377:L377"/>
    <mergeCell ref="I401:L401"/>
    <mergeCell ref="I390:L390"/>
    <mergeCell ref="I444:L444"/>
    <mergeCell ref="I356:L356"/>
    <mergeCell ref="I370:L370"/>
    <mergeCell ref="I387:L387"/>
    <mergeCell ref="I383:L383"/>
    <mergeCell ref="I384:L384"/>
    <mergeCell ref="I360:L360"/>
    <mergeCell ref="I364:L364"/>
    <mergeCell ref="I368:L368"/>
    <mergeCell ref="I372:L372"/>
    <mergeCell ref="I366:L366"/>
    <mergeCell ref="I373:L373"/>
    <mergeCell ref="I371:L371"/>
    <mergeCell ref="I358:L358"/>
    <mergeCell ref="I357:L357"/>
    <mergeCell ref="I365:L365"/>
    <mergeCell ref="I443:L443"/>
    <mergeCell ref="I380:L380"/>
    <mergeCell ref="I439:L439"/>
    <mergeCell ref="I436:L436"/>
    <mergeCell ref="I437:L437"/>
    <mergeCell ref="I432:L432"/>
    <mergeCell ref="I391:L391"/>
    <mergeCell ref="I378:L378"/>
    <mergeCell ref="I375:L375"/>
    <mergeCell ref="I446:L446"/>
    <mergeCell ref="I447:L447"/>
    <mergeCell ref="I354:L354"/>
    <mergeCell ref="I347:L347"/>
    <mergeCell ref="I350:L350"/>
    <mergeCell ref="I352:L352"/>
    <mergeCell ref="I348:L348"/>
    <mergeCell ref="I344:L344"/>
    <mergeCell ref="I351:L351"/>
    <mergeCell ref="I412:L412"/>
    <mergeCell ref="I406:L406"/>
    <mergeCell ref="I396:L396"/>
    <mergeCell ref="I400:L400"/>
    <mergeCell ref="I409:L409"/>
    <mergeCell ref="I394:L394"/>
    <mergeCell ref="I397:L397"/>
    <mergeCell ref="I385:L385"/>
    <mergeCell ref="I379:L379"/>
    <mergeCell ref="I386:L386"/>
    <mergeCell ref="I363:L363"/>
    <mergeCell ref="I442:L442"/>
    <mergeCell ref="I361:L361"/>
    <mergeCell ref="I359:L359"/>
    <mergeCell ref="I463:L463"/>
    <mergeCell ref="I462:L462"/>
    <mergeCell ref="I461:L461"/>
    <mergeCell ref="I459:L459"/>
    <mergeCell ref="I454:L454"/>
    <mergeCell ref="I451:L451"/>
    <mergeCell ref="H330:K330"/>
    <mergeCell ref="I448:L448"/>
    <mergeCell ref="I449:L449"/>
    <mergeCell ref="I450:L450"/>
    <mergeCell ref="I367:L367"/>
    <mergeCell ref="I349:L349"/>
    <mergeCell ref="I355:L355"/>
    <mergeCell ref="I376:L376"/>
    <mergeCell ref="I389:L389"/>
    <mergeCell ref="I414:L414"/>
    <mergeCell ref="I403:L403"/>
    <mergeCell ref="I395:L395"/>
    <mergeCell ref="I438:L438"/>
    <mergeCell ref="I434:L434"/>
    <mergeCell ref="I435:L435"/>
    <mergeCell ref="I415:L415"/>
    <mergeCell ref="I369:L369"/>
    <mergeCell ref="I374:L374"/>
  </mergeCells>
  <phoneticPr fontId="56" type="noConversion"/>
  <conditionalFormatting sqref="C13:C199">
    <cfRule type="duplicateValues" dxfId="149" priority="343"/>
  </conditionalFormatting>
  <conditionalFormatting sqref="C266">
    <cfRule type="duplicateValues" dxfId="148" priority="123"/>
  </conditionalFormatting>
  <conditionalFormatting sqref="C267">
    <cfRule type="duplicateValues" dxfId="147" priority="122"/>
  </conditionalFormatting>
  <conditionalFormatting sqref="C268:C269">
    <cfRule type="duplicateValues" dxfId="146" priority="121"/>
  </conditionalFormatting>
  <conditionalFormatting sqref="C270:C272 C274:C276 C278:C281">
    <cfRule type="duplicateValues" dxfId="145" priority="179"/>
  </conditionalFormatting>
  <conditionalFormatting sqref="C273">
    <cfRule type="duplicateValues" dxfId="144" priority="108"/>
  </conditionalFormatting>
  <conditionalFormatting sqref="C277">
    <cfRule type="duplicateValues" dxfId="143" priority="107"/>
  </conditionalFormatting>
  <conditionalFormatting sqref="C282">
    <cfRule type="duplicateValues" dxfId="142" priority="111"/>
  </conditionalFormatting>
  <conditionalFormatting sqref="C283">
    <cfRule type="duplicateValues" dxfId="141" priority="110"/>
  </conditionalFormatting>
  <conditionalFormatting sqref="C284">
    <cfRule type="duplicateValues" dxfId="140" priority="109"/>
  </conditionalFormatting>
  <conditionalFormatting sqref="C285">
    <cfRule type="duplicateValues" dxfId="139" priority="106"/>
  </conditionalFormatting>
  <conditionalFormatting sqref="C286">
    <cfRule type="duplicateValues" dxfId="138" priority="105"/>
  </conditionalFormatting>
  <conditionalFormatting sqref="C287">
    <cfRule type="duplicateValues" dxfId="137" priority="104"/>
  </conditionalFormatting>
  <conditionalFormatting sqref="C288">
    <cfRule type="duplicateValues" dxfId="136" priority="103"/>
  </conditionalFormatting>
  <conditionalFormatting sqref="C289">
    <cfRule type="duplicateValues" dxfId="135" priority="102"/>
  </conditionalFormatting>
  <conditionalFormatting sqref="C290">
    <cfRule type="duplicateValues" dxfId="134" priority="101"/>
  </conditionalFormatting>
  <conditionalFormatting sqref="C291">
    <cfRule type="duplicateValues" dxfId="133" priority="100"/>
  </conditionalFormatting>
  <conditionalFormatting sqref="C292">
    <cfRule type="duplicateValues" dxfId="132" priority="99"/>
  </conditionalFormatting>
  <conditionalFormatting sqref="C293 C295">
    <cfRule type="duplicateValues" dxfId="131" priority="98"/>
  </conditionalFormatting>
  <conditionalFormatting sqref="C294">
    <cfRule type="duplicateValues" dxfId="130" priority="96"/>
  </conditionalFormatting>
  <conditionalFormatting sqref="C296">
    <cfRule type="duplicateValues" dxfId="129" priority="95"/>
  </conditionalFormatting>
  <conditionalFormatting sqref="C298">
    <cfRule type="duplicateValues" dxfId="128" priority="94"/>
  </conditionalFormatting>
  <conditionalFormatting sqref="C299">
    <cfRule type="duplicateValues" dxfId="127" priority="93"/>
  </conditionalFormatting>
  <conditionalFormatting sqref="C300">
    <cfRule type="duplicateValues" dxfId="126" priority="92"/>
  </conditionalFormatting>
  <conditionalFormatting sqref="C301">
    <cfRule type="duplicateValues" dxfId="125" priority="91"/>
  </conditionalFormatting>
  <conditionalFormatting sqref="C302">
    <cfRule type="duplicateValues" dxfId="124" priority="90"/>
  </conditionalFormatting>
  <conditionalFormatting sqref="C303">
    <cfRule type="duplicateValues" dxfId="123" priority="89"/>
  </conditionalFormatting>
  <conditionalFormatting sqref="C304">
    <cfRule type="duplicateValues" dxfId="122" priority="88"/>
  </conditionalFormatting>
  <conditionalFormatting sqref="C305">
    <cfRule type="duplicateValues" dxfId="121" priority="86"/>
  </conditionalFormatting>
  <conditionalFormatting sqref="C306">
    <cfRule type="duplicateValues" dxfId="120" priority="83"/>
  </conditionalFormatting>
  <conditionalFormatting sqref="C307">
    <cfRule type="duplicateValues" dxfId="119" priority="77"/>
  </conditionalFormatting>
  <conditionalFormatting sqref="C308">
    <cfRule type="duplicateValues" dxfId="118" priority="63"/>
  </conditionalFormatting>
  <conditionalFormatting sqref="C309">
    <cfRule type="duplicateValues" dxfId="117" priority="262"/>
  </conditionalFormatting>
  <conditionalFormatting sqref="C310">
    <cfRule type="duplicateValues" dxfId="116" priority="54"/>
  </conditionalFormatting>
  <conditionalFormatting sqref="C311">
    <cfRule type="duplicateValues" dxfId="115" priority="55"/>
  </conditionalFormatting>
  <conditionalFormatting sqref="C312">
    <cfRule type="duplicateValues" dxfId="114" priority="52"/>
  </conditionalFormatting>
  <conditionalFormatting sqref="C313 C315">
    <cfRule type="duplicateValues" dxfId="113" priority="51"/>
  </conditionalFormatting>
  <conditionalFormatting sqref="C314">
    <cfRule type="duplicateValues" dxfId="112" priority="42"/>
  </conditionalFormatting>
  <conditionalFormatting sqref="C316">
    <cfRule type="duplicateValues" dxfId="111" priority="40"/>
  </conditionalFormatting>
  <conditionalFormatting sqref="C317">
    <cfRule type="duplicateValues" dxfId="110" priority="37"/>
  </conditionalFormatting>
  <conditionalFormatting sqref="C318">
    <cfRule type="duplicateValues" dxfId="109" priority="36"/>
  </conditionalFormatting>
  <conditionalFormatting sqref="C319">
    <cfRule type="duplicateValues" dxfId="108" priority="35"/>
  </conditionalFormatting>
  <conditionalFormatting sqref="C320">
    <cfRule type="duplicateValues" dxfId="107" priority="34"/>
  </conditionalFormatting>
  <conditionalFormatting sqref="C321 C334">
    <cfRule type="duplicateValues" dxfId="106" priority="292"/>
  </conditionalFormatting>
  <conditionalFormatting sqref="C322">
    <cfRule type="duplicateValues" dxfId="105" priority="32"/>
  </conditionalFormatting>
  <conditionalFormatting sqref="C323">
    <cfRule type="duplicateValues" dxfId="104" priority="31"/>
  </conditionalFormatting>
  <conditionalFormatting sqref="C324">
    <cfRule type="duplicateValues" dxfId="103" priority="30"/>
  </conditionalFormatting>
  <conditionalFormatting sqref="C325">
    <cfRule type="duplicateValues" dxfId="102" priority="28"/>
  </conditionalFormatting>
  <conditionalFormatting sqref="C326">
    <cfRule type="duplicateValues" dxfId="101" priority="27"/>
  </conditionalFormatting>
  <conditionalFormatting sqref="C327">
    <cfRule type="duplicateValues" dxfId="100" priority="23"/>
  </conditionalFormatting>
  <conditionalFormatting sqref="C328">
    <cfRule type="duplicateValues" dxfId="99" priority="22"/>
  </conditionalFormatting>
  <conditionalFormatting sqref="C329">
    <cfRule type="duplicateValues" dxfId="98" priority="21"/>
  </conditionalFormatting>
  <conditionalFormatting sqref="C330:C331">
    <cfRule type="duplicateValues" dxfId="97" priority="20"/>
  </conditionalFormatting>
  <conditionalFormatting sqref="C332">
    <cfRule type="duplicateValues" dxfId="96" priority="7"/>
  </conditionalFormatting>
  <conditionalFormatting sqref="C333">
    <cfRule type="duplicateValues" dxfId="95" priority="6"/>
  </conditionalFormatting>
  <conditionalFormatting sqref="C413">
    <cfRule type="duplicateValues" dxfId="94" priority="119"/>
  </conditionalFormatting>
  <conditionalFormatting sqref="C414">
    <cfRule type="duplicateValues" dxfId="93" priority="97"/>
  </conditionalFormatting>
  <conditionalFormatting sqref="C417">
    <cfRule type="duplicateValues" dxfId="92" priority="87"/>
  </conditionalFormatting>
  <conditionalFormatting sqref="C418">
    <cfRule type="duplicateValues" dxfId="91" priority="74"/>
  </conditionalFormatting>
  <conditionalFormatting sqref="C419">
    <cfRule type="duplicateValues" dxfId="90" priority="84"/>
  </conditionalFormatting>
  <conditionalFormatting sqref="C420">
    <cfRule type="duplicateValues" dxfId="89" priority="216"/>
  </conditionalFormatting>
  <conditionalFormatting sqref="C421">
    <cfRule type="duplicateValues" dxfId="88" priority="80"/>
  </conditionalFormatting>
  <conditionalFormatting sqref="C422">
    <cfRule type="duplicateValues" dxfId="87" priority="78"/>
  </conditionalFormatting>
  <conditionalFormatting sqref="C423">
    <cfRule type="duplicateValues" dxfId="86" priority="68"/>
  </conditionalFormatting>
  <conditionalFormatting sqref="C424">
    <cfRule type="duplicateValues" dxfId="85" priority="79"/>
  </conditionalFormatting>
  <conditionalFormatting sqref="C425">
    <cfRule type="duplicateValues" dxfId="84" priority="66"/>
  </conditionalFormatting>
  <conditionalFormatting sqref="C426">
    <cfRule type="duplicateValues" dxfId="83" priority="65"/>
  </conditionalFormatting>
  <conditionalFormatting sqref="C427">
    <cfRule type="duplicateValues" dxfId="82" priority="75"/>
  </conditionalFormatting>
  <conditionalFormatting sqref="C428">
    <cfRule type="duplicateValues" dxfId="81" priority="76"/>
  </conditionalFormatting>
  <conditionalFormatting sqref="C429">
    <cfRule type="duplicateValues" dxfId="80" priority="70"/>
  </conditionalFormatting>
  <conditionalFormatting sqref="C430">
    <cfRule type="duplicateValues" dxfId="79" priority="69"/>
  </conditionalFormatting>
  <conditionalFormatting sqref="C431">
    <cfRule type="duplicateValues" dxfId="78" priority="67"/>
  </conditionalFormatting>
  <conditionalFormatting sqref="C432">
    <cfRule type="duplicateValues" dxfId="77" priority="50"/>
  </conditionalFormatting>
  <conditionalFormatting sqref="C433">
    <cfRule type="duplicateValues" dxfId="76" priority="49"/>
  </conditionalFormatting>
  <conditionalFormatting sqref="C434">
    <cfRule type="duplicateValues" dxfId="75" priority="45"/>
  </conditionalFormatting>
  <conditionalFormatting sqref="C435">
    <cfRule type="duplicateValues" dxfId="74" priority="44"/>
  </conditionalFormatting>
  <conditionalFormatting sqref="C436">
    <cfRule type="duplicateValues" dxfId="73" priority="41"/>
  </conditionalFormatting>
  <conditionalFormatting sqref="C437">
    <cfRule type="duplicateValues" dxfId="72" priority="272"/>
  </conditionalFormatting>
  <conditionalFormatting sqref="C438">
    <cfRule type="duplicateValues" dxfId="71" priority="38"/>
  </conditionalFormatting>
  <conditionalFormatting sqref="C439">
    <cfRule type="duplicateValues" dxfId="70" priority="58"/>
  </conditionalFormatting>
  <conditionalFormatting sqref="C440">
    <cfRule type="duplicateValues" dxfId="69" priority="47"/>
  </conditionalFormatting>
  <conditionalFormatting sqref="C441">
    <cfRule type="duplicateValues" dxfId="68" priority="46"/>
  </conditionalFormatting>
  <conditionalFormatting sqref="C444">
    <cfRule type="duplicateValues" dxfId="67" priority="29"/>
  </conditionalFormatting>
  <conditionalFormatting sqref="C445">
    <cfRule type="duplicateValues" dxfId="66" priority="26"/>
  </conditionalFormatting>
  <conditionalFormatting sqref="C446">
    <cfRule type="duplicateValues" dxfId="65" priority="25"/>
  </conditionalFormatting>
  <conditionalFormatting sqref="C447">
    <cfRule type="duplicateValues" dxfId="64" priority="24"/>
  </conditionalFormatting>
  <conditionalFormatting sqref="C448">
    <cfRule type="duplicateValues" dxfId="63" priority="19"/>
  </conditionalFormatting>
  <conditionalFormatting sqref="C449">
    <cfRule type="duplicateValues" dxfId="62" priority="18"/>
  </conditionalFormatting>
  <conditionalFormatting sqref="C450">
    <cfRule type="duplicateValues" dxfId="61" priority="17"/>
  </conditionalFormatting>
  <conditionalFormatting sqref="C451">
    <cfRule type="duplicateValues" dxfId="60" priority="16"/>
  </conditionalFormatting>
  <conditionalFormatting sqref="C452">
    <cfRule type="duplicateValues" dxfId="59" priority="15"/>
  </conditionalFormatting>
  <conditionalFormatting sqref="C453">
    <cfRule type="duplicateValues" dxfId="58" priority="14"/>
  </conditionalFormatting>
  <conditionalFormatting sqref="C454">
    <cfRule type="duplicateValues" dxfId="57" priority="13"/>
  </conditionalFormatting>
  <conditionalFormatting sqref="C455">
    <cfRule type="duplicateValues" dxfId="56" priority="12"/>
  </conditionalFormatting>
  <conditionalFormatting sqref="C456">
    <cfRule type="duplicateValues" dxfId="55" priority="11"/>
  </conditionalFormatting>
  <conditionalFormatting sqref="C457">
    <cfRule type="duplicateValues" dxfId="54" priority="10"/>
  </conditionalFormatting>
  <conditionalFormatting sqref="C458">
    <cfRule type="duplicateValues" dxfId="53" priority="9"/>
  </conditionalFormatting>
  <conditionalFormatting sqref="C459">
    <cfRule type="duplicateValues" dxfId="52" priority="5"/>
  </conditionalFormatting>
  <conditionalFormatting sqref="C460">
    <cfRule type="duplicateValues" dxfId="51" priority="4"/>
  </conditionalFormatting>
  <conditionalFormatting sqref="C461">
    <cfRule type="duplicateValues" dxfId="50" priority="3"/>
  </conditionalFormatting>
  <conditionalFormatting sqref="C462">
    <cfRule type="duplicateValues" dxfId="49" priority="2"/>
  </conditionalFormatting>
  <conditionalFormatting sqref="C463">
    <cfRule type="duplicateValues" dxfId="48" priority="1"/>
  </conditionalFormatting>
  <conditionalFormatting sqref="D315">
    <cfRule type="duplicateValues" dxfId="47" priority="43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99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2"/>
  <sheetViews>
    <sheetView topLeftCell="A110" zoomScale="87" workbookViewId="0">
      <selection activeCell="G134" sqref="G134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41"/>
      <c r="E1" s="1342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120">
        <v>1</v>
      </c>
      <c r="B3" s="1121" t="s">
        <v>259</v>
      </c>
      <c r="C3" s="1122" t="s">
        <v>87</v>
      </c>
      <c r="D3" s="1122" t="s">
        <v>92</v>
      </c>
      <c r="E3" s="1123">
        <v>46006</v>
      </c>
      <c r="F3" s="1124">
        <v>35.088999999999999</v>
      </c>
      <c r="G3" s="1125" t="s">
        <v>667</v>
      </c>
      <c r="H3" s="1123">
        <v>46011</v>
      </c>
      <c r="I3" s="1126" t="s">
        <v>666</v>
      </c>
      <c r="J3" s="1122">
        <v>35</v>
      </c>
    </row>
    <row r="4" spans="1:10" s="284" customFormat="1" ht="13.5" customHeight="1" x14ac:dyDescent="0.3">
      <c r="A4" s="1120">
        <f>A3+1</f>
        <v>2</v>
      </c>
      <c r="B4" s="1120" t="s">
        <v>271</v>
      </c>
      <c r="C4" s="1122" t="s">
        <v>87</v>
      </c>
      <c r="D4" s="1120" t="s">
        <v>542</v>
      </c>
      <c r="E4" s="1127">
        <v>46013</v>
      </c>
      <c r="F4" s="1124">
        <v>35.088999999999999</v>
      </c>
      <c r="G4" s="1125" t="s">
        <v>667</v>
      </c>
      <c r="H4" s="1128">
        <v>46018</v>
      </c>
      <c r="I4" s="1126" t="s">
        <v>666</v>
      </c>
      <c r="J4" s="1122">
        <v>35</v>
      </c>
    </row>
    <row r="5" spans="1:10" s="284" customFormat="1" ht="13.5" customHeight="1" x14ac:dyDescent="0.3">
      <c r="A5" s="1120">
        <f t="shared" ref="A5:A68" si="0">A4+1</f>
        <v>3</v>
      </c>
      <c r="B5" s="1121" t="s">
        <v>321</v>
      </c>
      <c r="C5" s="1122" t="s">
        <v>87</v>
      </c>
      <c r="D5" s="1122" t="s">
        <v>92</v>
      </c>
      <c r="E5" s="1123">
        <v>46013</v>
      </c>
      <c r="F5" s="1124">
        <v>35.088999999999999</v>
      </c>
      <c r="G5" s="1125" t="s">
        <v>667</v>
      </c>
      <c r="H5" s="1129">
        <v>46022</v>
      </c>
      <c r="I5" s="1126" t="s">
        <v>693</v>
      </c>
      <c r="J5" s="1122">
        <v>49</v>
      </c>
    </row>
    <row r="6" spans="1:10" s="284" customFormat="1" ht="13.5" customHeight="1" x14ac:dyDescent="0.3">
      <c r="A6" s="1120">
        <f t="shared" si="0"/>
        <v>4</v>
      </c>
      <c r="B6" s="1130" t="s">
        <v>266</v>
      </c>
      <c r="C6" s="1122" t="s">
        <v>87</v>
      </c>
      <c r="D6" s="1120" t="s">
        <v>542</v>
      </c>
      <c r="E6" s="1131">
        <v>46016</v>
      </c>
      <c r="F6" s="1124">
        <v>35.088999999999999</v>
      </c>
      <c r="G6" s="1125" t="s">
        <v>667</v>
      </c>
      <c r="H6" s="1131">
        <v>46032</v>
      </c>
      <c r="I6" s="1126" t="s">
        <v>666</v>
      </c>
      <c r="J6" s="1122">
        <v>35</v>
      </c>
    </row>
    <row r="7" spans="1:10" s="284" customFormat="1" ht="13.2" customHeight="1" x14ac:dyDescent="0.3">
      <c r="A7" s="1120">
        <f t="shared" si="0"/>
        <v>5</v>
      </c>
      <c r="B7" s="1130" t="s">
        <v>320</v>
      </c>
      <c r="C7" s="1122" t="s">
        <v>87</v>
      </c>
      <c r="D7" s="1120" t="s">
        <v>542</v>
      </c>
      <c r="E7" s="1132">
        <v>46016</v>
      </c>
      <c r="F7" s="1124">
        <v>35.088999999999999</v>
      </c>
      <c r="G7" s="1125" t="s">
        <v>667</v>
      </c>
      <c r="H7" s="1131">
        <v>46030</v>
      </c>
      <c r="I7" s="1126" t="s">
        <v>693</v>
      </c>
      <c r="J7" s="1122">
        <v>49</v>
      </c>
    </row>
    <row r="8" spans="1:10" s="284" customFormat="1" ht="13.2" customHeight="1" x14ac:dyDescent="0.3">
      <c r="A8" s="1120">
        <f t="shared" si="0"/>
        <v>6</v>
      </c>
      <c r="B8" s="1130" t="s">
        <v>265</v>
      </c>
      <c r="C8" s="1130" t="s">
        <v>95</v>
      </c>
      <c r="D8" s="1120" t="s">
        <v>542</v>
      </c>
      <c r="E8" s="1132">
        <v>46024</v>
      </c>
      <c r="F8" s="1133">
        <v>41.88</v>
      </c>
      <c r="G8" s="1125" t="s">
        <v>667</v>
      </c>
      <c r="H8" s="1131">
        <v>46032</v>
      </c>
      <c r="I8" s="1126" t="s">
        <v>666</v>
      </c>
      <c r="J8" s="1122">
        <v>35</v>
      </c>
    </row>
    <row r="9" spans="1:10" s="284" customFormat="1" ht="13.5" customHeight="1" x14ac:dyDescent="0.3">
      <c r="A9" s="1120">
        <f t="shared" si="0"/>
        <v>7</v>
      </c>
      <c r="B9" s="1130" t="s">
        <v>318</v>
      </c>
      <c r="C9" s="1122" t="s">
        <v>87</v>
      </c>
      <c r="D9" s="1120" t="s">
        <v>542</v>
      </c>
      <c r="E9" s="1132">
        <v>46023</v>
      </c>
      <c r="F9" s="1124">
        <v>35.088999999999999</v>
      </c>
      <c r="G9" s="1125" t="s">
        <v>667</v>
      </c>
      <c r="H9" s="1131">
        <v>46035</v>
      </c>
      <c r="I9" s="1126" t="s">
        <v>693</v>
      </c>
      <c r="J9" s="1122">
        <v>49</v>
      </c>
    </row>
    <row r="10" spans="1:10" s="284" customFormat="1" ht="13.5" customHeight="1" x14ac:dyDescent="0.3">
      <c r="A10" s="1120">
        <f t="shared" si="0"/>
        <v>8</v>
      </c>
      <c r="B10" s="1130" t="s">
        <v>267</v>
      </c>
      <c r="C10" s="1122" t="s">
        <v>87</v>
      </c>
      <c r="D10" s="1120" t="s">
        <v>542</v>
      </c>
      <c r="E10" s="1132">
        <v>46031</v>
      </c>
      <c r="F10" s="1124">
        <v>35.088999999999999</v>
      </c>
      <c r="G10" s="1125" t="s">
        <v>667</v>
      </c>
      <c r="H10" s="1131">
        <v>46036</v>
      </c>
      <c r="I10" s="1126" t="s">
        <v>666</v>
      </c>
      <c r="J10" s="1122">
        <v>35</v>
      </c>
    </row>
    <row r="11" spans="1:10" s="284" customFormat="1" ht="13.2" customHeight="1" x14ac:dyDescent="0.3">
      <c r="A11" s="1120">
        <f t="shared" si="0"/>
        <v>9</v>
      </c>
      <c r="B11" s="1130" t="s">
        <v>322</v>
      </c>
      <c r="C11" s="1122" t="s">
        <v>87</v>
      </c>
      <c r="D11" s="1120" t="s">
        <v>542</v>
      </c>
      <c r="E11" s="1132">
        <v>46029</v>
      </c>
      <c r="F11" s="1124">
        <v>35.088999999999999</v>
      </c>
      <c r="G11" s="1125" t="s">
        <v>667</v>
      </c>
      <c r="H11" s="1131">
        <v>46038</v>
      </c>
      <c r="I11" s="1134" t="s">
        <v>670</v>
      </c>
      <c r="J11" s="1130">
        <v>21</v>
      </c>
    </row>
    <row r="12" spans="1:10" s="284" customFormat="1" ht="13.5" customHeight="1" x14ac:dyDescent="0.3">
      <c r="A12" s="1120">
        <f t="shared" si="0"/>
        <v>10</v>
      </c>
      <c r="B12" s="1130" t="s">
        <v>86</v>
      </c>
      <c r="C12" s="1122" t="s">
        <v>87</v>
      </c>
      <c r="D12" s="1130" t="s">
        <v>88</v>
      </c>
      <c r="E12" s="1135">
        <v>46033</v>
      </c>
      <c r="F12" s="1124">
        <v>35.088999999999999</v>
      </c>
      <c r="G12" s="1125" t="s">
        <v>667</v>
      </c>
      <c r="H12" s="1131">
        <v>46038</v>
      </c>
      <c r="I12" s="1134" t="s">
        <v>692</v>
      </c>
      <c r="J12" s="1130">
        <v>31</v>
      </c>
    </row>
    <row r="13" spans="1:10" s="284" customFormat="1" ht="13.2" customHeight="1" x14ac:dyDescent="0.3">
      <c r="A13" s="1120">
        <f t="shared" si="0"/>
        <v>11</v>
      </c>
      <c r="B13" s="1130" t="s">
        <v>96</v>
      </c>
      <c r="C13" s="1130" t="s">
        <v>87</v>
      </c>
      <c r="D13" s="1130" t="s">
        <v>691</v>
      </c>
      <c r="E13" s="1135">
        <v>46037</v>
      </c>
      <c r="F13" s="1124">
        <v>35.088999999999999</v>
      </c>
      <c r="G13" s="1125" t="s">
        <v>667</v>
      </c>
      <c r="H13" s="1131">
        <v>46042</v>
      </c>
      <c r="I13" s="1134" t="s">
        <v>692</v>
      </c>
      <c r="J13" s="1130">
        <v>31</v>
      </c>
    </row>
    <row r="14" spans="1:10" s="284" customFormat="1" ht="13.5" customHeight="1" x14ac:dyDescent="0.3">
      <c r="A14" s="1120">
        <f t="shared" si="0"/>
        <v>12</v>
      </c>
      <c r="B14" s="1130" t="s">
        <v>273</v>
      </c>
      <c r="C14" s="1130" t="s">
        <v>95</v>
      </c>
      <c r="D14" s="1130" t="s">
        <v>542</v>
      </c>
      <c r="E14" s="1132">
        <v>46037</v>
      </c>
      <c r="F14" s="1133">
        <v>41.88</v>
      </c>
      <c r="G14" s="1125" t="s">
        <v>667</v>
      </c>
      <c r="H14" s="1131">
        <v>46043</v>
      </c>
      <c r="I14" s="1126" t="s">
        <v>666</v>
      </c>
      <c r="J14" s="1122">
        <v>35</v>
      </c>
    </row>
    <row r="15" spans="1:10" s="284" customFormat="1" ht="13.5" customHeight="1" x14ac:dyDescent="0.3">
      <c r="A15" s="1120">
        <f t="shared" si="0"/>
        <v>13</v>
      </c>
      <c r="B15" s="1130" t="s">
        <v>325</v>
      </c>
      <c r="C15" s="1130" t="s">
        <v>87</v>
      </c>
      <c r="D15" s="1130" t="s">
        <v>92</v>
      </c>
      <c r="E15" s="1135">
        <v>46039</v>
      </c>
      <c r="F15" s="1124">
        <v>35.088999999999999</v>
      </c>
      <c r="G15" s="1125" t="s">
        <v>667</v>
      </c>
      <c r="H15" s="1131">
        <v>46043</v>
      </c>
      <c r="I15" s="1134" t="s">
        <v>670</v>
      </c>
      <c r="J15" s="1130">
        <v>21</v>
      </c>
    </row>
    <row r="16" spans="1:10" s="284" customFormat="1" ht="13.5" customHeight="1" x14ac:dyDescent="0.3">
      <c r="A16" s="1120">
        <f t="shared" si="0"/>
        <v>14</v>
      </c>
      <c r="B16" s="1130" t="s">
        <v>342</v>
      </c>
      <c r="C16" s="1130" t="s">
        <v>87</v>
      </c>
      <c r="D16" s="1130" t="s">
        <v>542</v>
      </c>
      <c r="E16" s="1135">
        <v>46038</v>
      </c>
      <c r="F16" s="1124">
        <v>35.088999999999999</v>
      </c>
      <c r="G16" s="1125" t="s">
        <v>667</v>
      </c>
      <c r="H16" s="1131">
        <v>46043</v>
      </c>
      <c r="I16" s="1134" t="s">
        <v>695</v>
      </c>
      <c r="J16" s="1130">
        <v>32</v>
      </c>
    </row>
    <row r="17" spans="1:10" s="284" customFormat="1" ht="13.5" customHeight="1" x14ac:dyDescent="0.3">
      <c r="A17" s="1120">
        <f t="shared" si="0"/>
        <v>15</v>
      </c>
      <c r="B17" s="1130" t="s">
        <v>398</v>
      </c>
      <c r="C17" s="1130" t="s">
        <v>87</v>
      </c>
      <c r="D17" s="1130" t="s">
        <v>92</v>
      </c>
      <c r="E17" s="1135">
        <v>46039</v>
      </c>
      <c r="F17" s="1124">
        <v>35.088999999999999</v>
      </c>
      <c r="G17" s="1125" t="s">
        <v>667</v>
      </c>
      <c r="H17" s="1131">
        <v>46043</v>
      </c>
      <c r="I17" s="1136" t="s">
        <v>694</v>
      </c>
      <c r="J17" s="1130">
        <v>45</v>
      </c>
    </row>
    <row r="18" spans="1:10" s="284" customFormat="1" ht="13.5" customHeight="1" x14ac:dyDescent="0.3">
      <c r="A18" s="1120">
        <f t="shared" si="0"/>
        <v>16</v>
      </c>
      <c r="B18" s="1130" t="s">
        <v>343</v>
      </c>
      <c r="C18" s="1122" t="s">
        <v>87</v>
      </c>
      <c r="D18" s="1130" t="s">
        <v>542</v>
      </c>
      <c r="E18" s="1135">
        <v>46041</v>
      </c>
      <c r="F18" s="1124">
        <v>35.088999999999999</v>
      </c>
      <c r="G18" s="1125" t="s">
        <v>667</v>
      </c>
      <c r="H18" s="1131">
        <v>46046</v>
      </c>
      <c r="I18" s="1134" t="s">
        <v>695</v>
      </c>
      <c r="J18" s="1130">
        <v>32</v>
      </c>
    </row>
    <row r="19" spans="1:10" s="284" customFormat="1" ht="13.5" customHeight="1" x14ac:dyDescent="0.3">
      <c r="A19" s="1120">
        <f t="shared" si="0"/>
        <v>17</v>
      </c>
      <c r="B19" s="1130" t="s">
        <v>94</v>
      </c>
      <c r="C19" s="1130" t="s">
        <v>95</v>
      </c>
      <c r="D19" s="1130" t="s">
        <v>541</v>
      </c>
      <c r="E19" s="1135">
        <v>46041</v>
      </c>
      <c r="F19" s="1133">
        <v>41.88</v>
      </c>
      <c r="G19" s="1125" t="s">
        <v>667</v>
      </c>
      <c r="H19" s="1131">
        <v>46047</v>
      </c>
      <c r="I19" s="1134" t="s">
        <v>692</v>
      </c>
      <c r="J19" s="1130">
        <v>31</v>
      </c>
    </row>
    <row r="20" spans="1:10" s="284" customFormat="1" ht="13.5" customHeight="1" x14ac:dyDescent="0.3">
      <c r="A20" s="1120">
        <f t="shared" si="0"/>
        <v>18</v>
      </c>
      <c r="B20" s="1130" t="s">
        <v>274</v>
      </c>
      <c r="C20" s="1122" t="s">
        <v>87</v>
      </c>
      <c r="D20" s="1130" t="s">
        <v>542</v>
      </c>
      <c r="E20" s="1132">
        <v>46044</v>
      </c>
      <c r="F20" s="1124">
        <v>35.088999999999999</v>
      </c>
      <c r="G20" s="1125" t="s">
        <v>667</v>
      </c>
      <c r="H20" s="1131">
        <v>46049</v>
      </c>
      <c r="I20" s="1134" t="s">
        <v>666</v>
      </c>
      <c r="J20" s="1122">
        <v>35</v>
      </c>
    </row>
    <row r="21" spans="1:10" s="284" customFormat="1" ht="13.5" customHeight="1" x14ac:dyDescent="0.3">
      <c r="A21" s="1120">
        <f t="shared" si="0"/>
        <v>19</v>
      </c>
      <c r="B21" s="1130" t="s">
        <v>397</v>
      </c>
      <c r="C21" s="1130" t="s">
        <v>87</v>
      </c>
      <c r="D21" s="1130" t="s">
        <v>92</v>
      </c>
      <c r="E21" s="1135">
        <v>46045</v>
      </c>
      <c r="F21" s="1124">
        <v>35.088999999999999</v>
      </c>
      <c r="G21" s="1125" t="s">
        <v>667</v>
      </c>
      <c r="H21" s="1131">
        <v>46049</v>
      </c>
      <c r="I21" s="1136" t="s">
        <v>694</v>
      </c>
      <c r="J21" s="1130">
        <v>45</v>
      </c>
    </row>
    <row r="22" spans="1:10" s="284" customFormat="1" ht="13.5" customHeight="1" x14ac:dyDescent="0.3">
      <c r="A22" s="1120">
        <f t="shared" si="0"/>
        <v>20</v>
      </c>
      <c r="B22" s="1130" t="s">
        <v>341</v>
      </c>
      <c r="C22" s="1130" t="s">
        <v>95</v>
      </c>
      <c r="D22" s="1130" t="s">
        <v>542</v>
      </c>
      <c r="E22" s="1135">
        <v>46047</v>
      </c>
      <c r="F22" s="1133">
        <v>41.88</v>
      </c>
      <c r="G22" s="1125" t="s">
        <v>667</v>
      </c>
      <c r="H22" s="1131">
        <v>46050</v>
      </c>
      <c r="I22" s="1134" t="s">
        <v>695</v>
      </c>
      <c r="J22" s="1130">
        <v>32</v>
      </c>
    </row>
    <row r="23" spans="1:10" s="284" customFormat="1" ht="13.5" customHeight="1" x14ac:dyDescent="0.3">
      <c r="A23" s="1120">
        <f t="shared" si="0"/>
        <v>21</v>
      </c>
      <c r="B23" s="1130" t="s">
        <v>394</v>
      </c>
      <c r="C23" s="1122" t="s">
        <v>87</v>
      </c>
      <c r="D23" s="1120" t="s">
        <v>542</v>
      </c>
      <c r="E23" s="1132">
        <v>46034</v>
      </c>
      <c r="F23" s="1124">
        <v>35.088999999999999</v>
      </c>
      <c r="G23" s="1125" t="s">
        <v>667</v>
      </c>
      <c r="H23" s="1131">
        <v>46051</v>
      </c>
      <c r="I23" s="1126" t="s">
        <v>693</v>
      </c>
      <c r="J23" s="1122">
        <v>49</v>
      </c>
    </row>
    <row r="24" spans="1:10" s="284" customFormat="1" ht="13.5" customHeight="1" x14ac:dyDescent="0.3">
      <c r="A24" s="1120">
        <f t="shared" si="0"/>
        <v>22</v>
      </c>
      <c r="B24" s="1130" t="s">
        <v>328</v>
      </c>
      <c r="C24" s="1130" t="s">
        <v>91</v>
      </c>
      <c r="D24" s="1130" t="s">
        <v>542</v>
      </c>
      <c r="E24" s="1135">
        <v>46048</v>
      </c>
      <c r="F24" s="1133">
        <v>36.771000000000001</v>
      </c>
      <c r="G24" s="1125" t="s">
        <v>667</v>
      </c>
      <c r="H24" s="1131">
        <v>46052</v>
      </c>
      <c r="I24" s="1134" t="s">
        <v>670</v>
      </c>
      <c r="J24" s="1130">
        <v>21</v>
      </c>
    </row>
    <row r="25" spans="1:10" s="284" customFormat="1" ht="13.5" customHeight="1" x14ac:dyDescent="0.3">
      <c r="A25" s="1120">
        <f t="shared" si="0"/>
        <v>23</v>
      </c>
      <c r="B25" s="1130" t="s">
        <v>333</v>
      </c>
      <c r="C25" s="1130" t="s">
        <v>95</v>
      </c>
      <c r="D25" s="1130" t="s">
        <v>92</v>
      </c>
      <c r="E25" s="1135">
        <v>46049</v>
      </c>
      <c r="F25" s="1133">
        <v>41.88</v>
      </c>
      <c r="G25" s="1125" t="s">
        <v>667</v>
      </c>
      <c r="H25" s="1131">
        <v>46053</v>
      </c>
      <c r="I25" s="1134" t="s">
        <v>692</v>
      </c>
      <c r="J25" s="1130">
        <v>31</v>
      </c>
    </row>
    <row r="26" spans="1:10" s="284" customFormat="1" ht="14.4" customHeight="1" x14ac:dyDescent="0.3">
      <c r="A26" s="1120">
        <f t="shared" si="0"/>
        <v>24</v>
      </c>
      <c r="B26" s="1130" t="s">
        <v>401</v>
      </c>
      <c r="C26" s="1130" t="s">
        <v>91</v>
      </c>
      <c r="D26" s="1130" t="s">
        <v>92</v>
      </c>
      <c r="E26" s="1132">
        <v>46049</v>
      </c>
      <c r="F26" s="1133">
        <v>36.771000000000001</v>
      </c>
      <c r="G26" s="1125" t="s">
        <v>667</v>
      </c>
      <c r="H26" s="1131">
        <v>46053</v>
      </c>
      <c r="I26" s="1126" t="s">
        <v>694</v>
      </c>
      <c r="J26" s="1130">
        <v>45</v>
      </c>
    </row>
    <row r="27" spans="1:10" s="284" customFormat="1" ht="13.5" customHeight="1" x14ac:dyDescent="0.3">
      <c r="A27" s="1120">
        <f t="shared" si="0"/>
        <v>25</v>
      </c>
      <c r="B27" s="1130" t="s">
        <v>276</v>
      </c>
      <c r="C27" s="1130" t="s">
        <v>87</v>
      </c>
      <c r="D27" s="1130" t="s">
        <v>92</v>
      </c>
      <c r="E27" s="1132">
        <v>46049</v>
      </c>
      <c r="F27" s="1124">
        <v>35.088999999999999</v>
      </c>
      <c r="G27" s="1125" t="s">
        <v>667</v>
      </c>
      <c r="H27" s="1131">
        <v>46055</v>
      </c>
      <c r="I27" s="1126" t="s">
        <v>666</v>
      </c>
      <c r="J27" s="1122">
        <v>35</v>
      </c>
    </row>
    <row r="28" spans="1:10" s="284" customFormat="1" ht="13.5" customHeight="1" x14ac:dyDescent="0.3">
      <c r="A28" s="1120">
        <f t="shared" si="0"/>
        <v>26</v>
      </c>
      <c r="B28" s="1130" t="s">
        <v>395</v>
      </c>
      <c r="C28" s="1130" t="s">
        <v>87</v>
      </c>
      <c r="D28" s="1130" t="s">
        <v>92</v>
      </c>
      <c r="E28" s="1132">
        <v>46052</v>
      </c>
      <c r="F28" s="1124">
        <v>35.088999999999999</v>
      </c>
      <c r="G28" s="1125" t="s">
        <v>667</v>
      </c>
      <c r="H28" s="1131">
        <v>46056</v>
      </c>
      <c r="I28" s="1126" t="s">
        <v>693</v>
      </c>
      <c r="J28" s="1122">
        <v>49</v>
      </c>
    </row>
    <row r="29" spans="1:10" s="284" customFormat="1" ht="13.5" customHeight="1" x14ac:dyDescent="0.3">
      <c r="A29" s="1120">
        <f t="shared" si="0"/>
        <v>27</v>
      </c>
      <c r="B29" s="1137" t="s">
        <v>347</v>
      </c>
      <c r="C29" s="1120" t="s">
        <v>87</v>
      </c>
      <c r="D29" s="1137" t="s">
        <v>685</v>
      </c>
      <c r="E29" s="1132">
        <v>46053</v>
      </c>
      <c r="F29" s="1124">
        <v>35.088999999999999</v>
      </c>
      <c r="G29" s="1125" t="s">
        <v>667</v>
      </c>
      <c r="H29" s="1131">
        <v>46056</v>
      </c>
      <c r="I29" s="1134" t="s">
        <v>695</v>
      </c>
      <c r="J29" s="1130">
        <v>32</v>
      </c>
    </row>
    <row r="30" spans="1:10" s="284" customFormat="1" ht="13.5" customHeight="1" x14ac:dyDescent="0.3">
      <c r="A30" s="1120">
        <f t="shared" si="0"/>
        <v>28</v>
      </c>
      <c r="B30" s="1137" t="s">
        <v>334</v>
      </c>
      <c r="C30" s="1120" t="s">
        <v>109</v>
      </c>
      <c r="D30" s="1137" t="s">
        <v>92</v>
      </c>
      <c r="E30" s="1132">
        <v>46054</v>
      </c>
      <c r="F30" s="1124">
        <v>43.575000000000003</v>
      </c>
      <c r="G30" s="1125" t="s">
        <v>667</v>
      </c>
      <c r="H30" s="1131">
        <v>46057</v>
      </c>
      <c r="I30" s="1134" t="s">
        <v>692</v>
      </c>
      <c r="J30" s="1130">
        <v>31</v>
      </c>
    </row>
    <row r="31" spans="1:10" s="284" customFormat="1" ht="13.5" customHeight="1" x14ac:dyDescent="0.3">
      <c r="A31" s="1120">
        <f t="shared" si="0"/>
        <v>29</v>
      </c>
      <c r="B31" s="1130" t="s">
        <v>344</v>
      </c>
      <c r="C31" s="1130" t="s">
        <v>109</v>
      </c>
      <c r="D31" s="1130" t="s">
        <v>542</v>
      </c>
      <c r="E31" s="1132">
        <v>46050</v>
      </c>
      <c r="F31" s="1124">
        <v>43.575000000000003</v>
      </c>
      <c r="G31" s="1125" t="s">
        <v>667</v>
      </c>
      <c r="H31" s="1131">
        <v>46058</v>
      </c>
      <c r="I31" s="1134" t="s">
        <v>695</v>
      </c>
      <c r="J31" s="1130">
        <v>32</v>
      </c>
    </row>
    <row r="32" spans="1:10" s="284" customFormat="1" ht="13.2" customHeight="1" x14ac:dyDescent="0.3">
      <c r="A32" s="1120">
        <f t="shared" si="0"/>
        <v>30</v>
      </c>
      <c r="B32" s="1137" t="s">
        <v>400</v>
      </c>
      <c r="C32" s="1120" t="s">
        <v>91</v>
      </c>
      <c r="D32" s="1137" t="s">
        <v>541</v>
      </c>
      <c r="E32" s="1132">
        <v>46052</v>
      </c>
      <c r="F32" s="1133">
        <v>36.771000000000001</v>
      </c>
      <c r="G32" s="1125" t="s">
        <v>667</v>
      </c>
      <c r="H32" s="1131">
        <v>46058</v>
      </c>
      <c r="I32" s="1126" t="s">
        <v>694</v>
      </c>
      <c r="J32" s="1130">
        <v>45</v>
      </c>
    </row>
    <row r="33" spans="1:10" s="284" customFormat="1" ht="13.5" customHeight="1" x14ac:dyDescent="0.3">
      <c r="A33" s="1120">
        <f t="shared" si="0"/>
        <v>31</v>
      </c>
      <c r="B33" s="1138" t="s">
        <v>260</v>
      </c>
      <c r="C33" s="1120" t="s">
        <v>87</v>
      </c>
      <c r="D33" s="1137" t="s">
        <v>88</v>
      </c>
      <c r="E33" s="1132">
        <v>46059</v>
      </c>
      <c r="F33" s="1124">
        <v>35.088999999999999</v>
      </c>
      <c r="G33" s="1125" t="s">
        <v>667</v>
      </c>
      <c r="H33" s="1131">
        <v>46062</v>
      </c>
      <c r="I33" s="1134" t="s">
        <v>692</v>
      </c>
      <c r="J33" s="1130">
        <v>35</v>
      </c>
    </row>
    <row r="34" spans="1:10" s="284" customFormat="1" ht="13.2" customHeight="1" x14ac:dyDescent="0.3">
      <c r="A34" s="1120">
        <f t="shared" si="0"/>
        <v>32</v>
      </c>
      <c r="B34" s="1130" t="s">
        <v>393</v>
      </c>
      <c r="C34" s="1130" t="s">
        <v>87</v>
      </c>
      <c r="D34" s="1130" t="s">
        <v>92</v>
      </c>
      <c r="E34" s="1132">
        <v>46361</v>
      </c>
      <c r="F34" s="1124">
        <v>35.088999999999999</v>
      </c>
      <c r="G34" s="1125" t="s">
        <v>667</v>
      </c>
      <c r="H34" s="1131">
        <v>46062</v>
      </c>
      <c r="I34" s="1126" t="s">
        <v>693</v>
      </c>
      <c r="J34" s="1122">
        <v>49</v>
      </c>
    </row>
    <row r="35" spans="1:10" s="284" customFormat="1" ht="13.5" customHeight="1" x14ac:dyDescent="0.3">
      <c r="A35" s="1120">
        <f t="shared" si="0"/>
        <v>33</v>
      </c>
      <c r="B35" s="1130" t="s">
        <v>464</v>
      </c>
      <c r="C35" s="1130" t="s">
        <v>558</v>
      </c>
      <c r="D35" s="1137" t="s">
        <v>92</v>
      </c>
      <c r="E35" s="1132">
        <v>46058</v>
      </c>
      <c r="F35" s="1124">
        <v>54.72</v>
      </c>
      <c r="G35" s="1125" t="s">
        <v>667</v>
      </c>
      <c r="H35" s="1131">
        <v>46063</v>
      </c>
      <c r="I35" s="1134" t="s">
        <v>695</v>
      </c>
      <c r="J35" s="1130">
        <v>32</v>
      </c>
    </row>
    <row r="36" spans="1:10" s="284" customFormat="1" ht="13.5" customHeight="1" x14ac:dyDescent="0.3">
      <c r="A36" s="1120">
        <f t="shared" si="0"/>
        <v>34</v>
      </c>
      <c r="B36" s="1130" t="s">
        <v>258</v>
      </c>
      <c r="C36" s="1122" t="s">
        <v>87</v>
      </c>
      <c r="D36" s="1139" t="s">
        <v>542</v>
      </c>
      <c r="E36" s="1132">
        <v>46056</v>
      </c>
      <c r="F36" s="1124">
        <v>35.088999999999999</v>
      </c>
      <c r="G36" s="1125" t="s">
        <v>667</v>
      </c>
      <c r="H36" s="1131">
        <v>46064</v>
      </c>
      <c r="I36" s="1126" t="s">
        <v>666</v>
      </c>
      <c r="J36" s="1122">
        <v>35</v>
      </c>
    </row>
    <row r="37" spans="1:10" s="284" customFormat="1" ht="13.5" customHeight="1" x14ac:dyDescent="0.3">
      <c r="A37" s="1120">
        <f t="shared" si="0"/>
        <v>35</v>
      </c>
      <c r="B37" s="1138" t="s">
        <v>409</v>
      </c>
      <c r="C37" s="1120" t="s">
        <v>87</v>
      </c>
      <c r="D37" s="1137" t="s">
        <v>92</v>
      </c>
      <c r="E37" s="1132">
        <v>46058</v>
      </c>
      <c r="F37" s="1124">
        <v>35.088999999999999</v>
      </c>
      <c r="G37" s="1125" t="s">
        <v>667</v>
      </c>
      <c r="H37" s="1131">
        <v>46065</v>
      </c>
      <c r="I37" s="1126" t="s">
        <v>694</v>
      </c>
      <c r="J37" s="1130">
        <v>45</v>
      </c>
    </row>
    <row r="38" spans="1:10" s="284" customFormat="1" ht="13.5" customHeight="1" x14ac:dyDescent="0.3">
      <c r="A38" s="1120">
        <f t="shared" si="0"/>
        <v>36</v>
      </c>
      <c r="B38" s="1130" t="s">
        <v>261</v>
      </c>
      <c r="C38" s="1130" t="s">
        <v>95</v>
      </c>
      <c r="D38" s="1130" t="s">
        <v>542</v>
      </c>
      <c r="E38" s="1132">
        <v>46063</v>
      </c>
      <c r="F38" s="1133">
        <v>41.88</v>
      </c>
      <c r="G38" s="1125" t="s">
        <v>667</v>
      </c>
      <c r="H38" s="1131">
        <v>46066</v>
      </c>
      <c r="I38" s="1134" t="s">
        <v>692</v>
      </c>
      <c r="J38" s="1130">
        <v>31</v>
      </c>
    </row>
    <row r="39" spans="1:10" s="284" customFormat="1" ht="13.5" customHeight="1" x14ac:dyDescent="0.3">
      <c r="A39" s="1120">
        <f t="shared" si="0"/>
        <v>37</v>
      </c>
      <c r="B39" s="1130" t="s">
        <v>93</v>
      </c>
      <c r="C39" s="1120" t="s">
        <v>87</v>
      </c>
      <c r="D39" s="1137" t="s">
        <v>92</v>
      </c>
      <c r="E39" s="1132">
        <v>46063</v>
      </c>
      <c r="F39" s="1124">
        <v>35.088999999999999</v>
      </c>
      <c r="G39" s="1125" t="s">
        <v>667</v>
      </c>
      <c r="H39" s="1131">
        <v>46066</v>
      </c>
      <c r="I39" s="1134" t="s">
        <v>695</v>
      </c>
      <c r="J39" s="1130">
        <v>32</v>
      </c>
    </row>
    <row r="40" spans="1:10" s="284" customFormat="1" ht="13.5" customHeight="1" x14ac:dyDescent="0.3">
      <c r="A40" s="1120">
        <f t="shared" si="0"/>
        <v>38</v>
      </c>
      <c r="B40" s="1137" t="s">
        <v>396</v>
      </c>
      <c r="C40" s="1120" t="s">
        <v>87</v>
      </c>
      <c r="D40" s="1137" t="s">
        <v>542</v>
      </c>
      <c r="E40" s="1132">
        <v>46053</v>
      </c>
      <c r="F40" s="1124">
        <v>35.088999999999999</v>
      </c>
      <c r="G40" s="1125" t="s">
        <v>667</v>
      </c>
      <c r="H40" s="1131">
        <v>46069</v>
      </c>
      <c r="I40" s="1126" t="s">
        <v>693</v>
      </c>
      <c r="J40" s="1130">
        <v>49</v>
      </c>
    </row>
    <row r="41" spans="1:10" s="284" customFormat="1" ht="13.5" customHeight="1" x14ac:dyDescent="0.3">
      <c r="A41" s="1120">
        <f t="shared" si="0"/>
        <v>39</v>
      </c>
      <c r="B41" s="1130" t="s">
        <v>614</v>
      </c>
      <c r="C41" s="1120" t="s">
        <v>87</v>
      </c>
      <c r="D41" s="1137" t="s">
        <v>542</v>
      </c>
      <c r="E41" s="1132">
        <v>46065</v>
      </c>
      <c r="F41" s="1124">
        <v>35.088999999999999</v>
      </c>
      <c r="G41" s="1125" t="s">
        <v>667</v>
      </c>
      <c r="H41" s="1131">
        <v>46069</v>
      </c>
      <c r="I41" s="1126" t="s">
        <v>694</v>
      </c>
      <c r="J41" s="1130">
        <v>45</v>
      </c>
    </row>
    <row r="42" spans="1:10" s="284" customFormat="1" ht="13.5" customHeight="1" x14ac:dyDescent="0.3">
      <c r="A42" s="1120">
        <f t="shared" si="0"/>
        <v>40</v>
      </c>
      <c r="B42" s="1120" t="s">
        <v>625</v>
      </c>
      <c r="C42" s="1120" t="s">
        <v>87</v>
      </c>
      <c r="D42" s="1120" t="s">
        <v>92</v>
      </c>
      <c r="E42" s="1127">
        <v>46067</v>
      </c>
      <c r="F42" s="1124">
        <v>35.088999999999999</v>
      </c>
      <c r="G42" s="1125" t="s">
        <v>667</v>
      </c>
      <c r="H42" s="1131">
        <v>46070</v>
      </c>
      <c r="I42" s="1126" t="s">
        <v>695</v>
      </c>
      <c r="J42" s="1130">
        <v>32</v>
      </c>
    </row>
    <row r="43" spans="1:10" s="284" customFormat="1" ht="13.5" customHeight="1" x14ac:dyDescent="0.3">
      <c r="A43" s="1120">
        <f t="shared" si="0"/>
        <v>41</v>
      </c>
      <c r="B43" s="1130" t="s">
        <v>250</v>
      </c>
      <c r="C43" s="1120" t="s">
        <v>87</v>
      </c>
      <c r="D43" s="1137" t="s">
        <v>542</v>
      </c>
      <c r="E43" s="1132">
        <v>46067</v>
      </c>
      <c r="F43" s="1124">
        <v>35.088999999999999</v>
      </c>
      <c r="G43" s="1125" t="s">
        <v>667</v>
      </c>
      <c r="H43" s="1131">
        <v>46070</v>
      </c>
      <c r="I43" s="1126" t="s">
        <v>692</v>
      </c>
      <c r="J43" s="1130">
        <v>35</v>
      </c>
    </row>
    <row r="44" spans="1:10" s="284" customFormat="1" ht="13.5" customHeight="1" x14ac:dyDescent="0.3">
      <c r="A44" s="1120">
        <f t="shared" si="0"/>
        <v>42</v>
      </c>
      <c r="B44" s="1130" t="s">
        <v>626</v>
      </c>
      <c r="C44" s="1120" t="s">
        <v>87</v>
      </c>
      <c r="D44" s="1137" t="s">
        <v>541</v>
      </c>
      <c r="E44" s="1132">
        <v>46068</v>
      </c>
      <c r="F44" s="1124">
        <v>35.088999999999999</v>
      </c>
      <c r="G44" s="1125" t="s">
        <v>667</v>
      </c>
      <c r="H44" s="1131">
        <v>46072</v>
      </c>
      <c r="I44" s="1126" t="s">
        <v>695</v>
      </c>
      <c r="J44" s="1130">
        <v>32</v>
      </c>
    </row>
    <row r="45" spans="1:10" s="284" customFormat="1" ht="13.5" customHeight="1" x14ac:dyDescent="0.3">
      <c r="A45" s="1120">
        <f t="shared" si="0"/>
        <v>43</v>
      </c>
      <c r="B45" s="1130" t="s">
        <v>259</v>
      </c>
      <c r="C45" s="1120" t="s">
        <v>558</v>
      </c>
      <c r="D45" s="1137" t="s">
        <v>542</v>
      </c>
      <c r="E45" s="1132">
        <v>46065</v>
      </c>
      <c r="F45" s="1124">
        <v>54.72</v>
      </c>
      <c r="G45" s="1125" t="s">
        <v>667</v>
      </c>
      <c r="H45" s="1131">
        <v>46073</v>
      </c>
      <c r="I45" s="1126" t="s">
        <v>666</v>
      </c>
      <c r="J45" s="1130">
        <v>35</v>
      </c>
    </row>
    <row r="46" spans="1:10" s="284" customFormat="1" ht="13.5" customHeight="1" x14ac:dyDescent="0.3">
      <c r="A46" s="1120">
        <f t="shared" si="0"/>
        <v>44</v>
      </c>
      <c r="B46" s="1120" t="s">
        <v>408</v>
      </c>
      <c r="C46" s="1120" t="s">
        <v>87</v>
      </c>
      <c r="D46" s="1120" t="s">
        <v>542</v>
      </c>
      <c r="E46" s="1127">
        <v>46069</v>
      </c>
      <c r="F46" s="1124">
        <v>35.088999999999999</v>
      </c>
      <c r="G46" s="1125" t="s">
        <v>667</v>
      </c>
      <c r="H46" s="1131">
        <v>46073</v>
      </c>
      <c r="I46" s="1126" t="s">
        <v>694</v>
      </c>
      <c r="J46" s="1130">
        <v>45</v>
      </c>
    </row>
    <row r="47" spans="1:10" s="284" customFormat="1" ht="13.5" customHeight="1" x14ac:dyDescent="0.3">
      <c r="A47" s="1120">
        <f t="shared" si="0"/>
        <v>45</v>
      </c>
      <c r="B47" s="1130" t="s">
        <v>418</v>
      </c>
      <c r="C47" s="1120" t="s">
        <v>686</v>
      </c>
      <c r="D47" s="1137" t="s">
        <v>92</v>
      </c>
      <c r="E47" s="1132">
        <v>46070</v>
      </c>
      <c r="F47" s="1124">
        <v>54.72</v>
      </c>
      <c r="G47" s="1125" t="s">
        <v>667</v>
      </c>
      <c r="H47" s="1131">
        <v>46074</v>
      </c>
      <c r="I47" s="1126" t="s">
        <v>692</v>
      </c>
      <c r="J47" s="1130">
        <v>35</v>
      </c>
    </row>
    <row r="48" spans="1:10" s="284" customFormat="1" ht="13.5" customHeight="1" x14ac:dyDescent="0.3">
      <c r="A48" s="1120">
        <f t="shared" si="0"/>
        <v>46</v>
      </c>
      <c r="B48" s="1130" t="s">
        <v>623</v>
      </c>
      <c r="C48" s="1120" t="s">
        <v>87</v>
      </c>
      <c r="D48" s="1137" t="s">
        <v>92</v>
      </c>
      <c r="E48" s="1132">
        <v>46073</v>
      </c>
      <c r="F48" s="1124">
        <v>35.088999999999999</v>
      </c>
      <c r="G48" s="1125" t="s">
        <v>667</v>
      </c>
      <c r="H48" s="1131">
        <v>46075</v>
      </c>
      <c r="I48" s="1126" t="s">
        <v>695</v>
      </c>
      <c r="J48" s="1130">
        <v>32</v>
      </c>
    </row>
    <row r="49" spans="1:10" s="284" customFormat="1" ht="13.5" customHeight="1" x14ac:dyDescent="0.3">
      <c r="A49" s="1120">
        <f t="shared" si="0"/>
        <v>47</v>
      </c>
      <c r="B49" s="1130" t="s">
        <v>404</v>
      </c>
      <c r="C49" s="1120" t="s">
        <v>87</v>
      </c>
      <c r="D49" s="1137" t="s">
        <v>92</v>
      </c>
      <c r="E49" s="1132">
        <v>46061</v>
      </c>
      <c r="F49" s="1124">
        <v>35.088999999999999</v>
      </c>
      <c r="G49" s="1125" t="s">
        <v>667</v>
      </c>
      <c r="H49" s="1131">
        <v>46077</v>
      </c>
      <c r="I49" s="1126" t="s">
        <v>694</v>
      </c>
      <c r="J49" s="1130">
        <v>45</v>
      </c>
    </row>
    <row r="50" spans="1:10" s="284" customFormat="1" ht="13.5" customHeight="1" x14ac:dyDescent="0.3">
      <c r="A50" s="1120">
        <f t="shared" si="0"/>
        <v>48</v>
      </c>
      <c r="B50" s="1140" t="s">
        <v>624</v>
      </c>
      <c r="C50" s="1120" t="s">
        <v>87</v>
      </c>
      <c r="D50" s="1137" t="s">
        <v>92</v>
      </c>
      <c r="E50" s="1132">
        <v>46075</v>
      </c>
      <c r="F50" s="1124">
        <v>35.088999999999999</v>
      </c>
      <c r="G50" s="1125" t="s">
        <v>667</v>
      </c>
      <c r="H50" s="1131">
        <v>46077</v>
      </c>
      <c r="I50" s="1126" t="s">
        <v>695</v>
      </c>
      <c r="J50" s="1130">
        <v>32</v>
      </c>
    </row>
    <row r="51" spans="1:10" s="284" customFormat="1" ht="13.5" customHeight="1" x14ac:dyDescent="0.3">
      <c r="A51" s="1120">
        <f t="shared" si="0"/>
        <v>49</v>
      </c>
      <c r="B51" s="1140" t="s">
        <v>242</v>
      </c>
      <c r="C51" s="1120" t="s">
        <v>213</v>
      </c>
      <c r="D51" s="1137" t="s">
        <v>92</v>
      </c>
      <c r="E51" s="1132">
        <v>46075</v>
      </c>
      <c r="F51" s="1133">
        <v>36.771000000000001</v>
      </c>
      <c r="G51" s="1125" t="s">
        <v>667</v>
      </c>
      <c r="H51" s="1131">
        <v>46078</v>
      </c>
      <c r="I51" s="1126" t="s">
        <v>692</v>
      </c>
      <c r="J51" s="1130">
        <v>40</v>
      </c>
    </row>
    <row r="52" spans="1:10" s="284" customFormat="1" ht="13.5" customHeight="1" x14ac:dyDescent="0.3">
      <c r="A52" s="1120">
        <f t="shared" si="0"/>
        <v>50</v>
      </c>
      <c r="B52" s="1140" t="s">
        <v>254</v>
      </c>
      <c r="C52" s="1120" t="s">
        <v>91</v>
      </c>
      <c r="D52" s="1137" t="s">
        <v>542</v>
      </c>
      <c r="E52" s="1132">
        <v>46073</v>
      </c>
      <c r="F52" s="1133">
        <v>36.771000000000001</v>
      </c>
      <c r="G52" s="1125" t="s">
        <v>667</v>
      </c>
      <c r="H52" s="1141">
        <v>46079</v>
      </c>
      <c r="I52" s="1142" t="s">
        <v>666</v>
      </c>
      <c r="J52" s="1143">
        <v>30</v>
      </c>
    </row>
    <row r="53" spans="1:10" s="284" customFormat="1" ht="13.5" customHeight="1" x14ac:dyDescent="0.3">
      <c r="A53" s="1120">
        <f t="shared" si="0"/>
        <v>51</v>
      </c>
      <c r="B53" s="1130" t="s">
        <v>622</v>
      </c>
      <c r="C53" s="1144" t="s">
        <v>87</v>
      </c>
      <c r="D53" s="1137" t="s">
        <v>92</v>
      </c>
      <c r="E53" s="1132">
        <v>46077</v>
      </c>
      <c r="F53" s="1124">
        <v>35.088999999999999</v>
      </c>
      <c r="G53" s="1145" t="s">
        <v>667</v>
      </c>
      <c r="H53" s="1131">
        <v>46080</v>
      </c>
      <c r="I53" s="1126" t="s">
        <v>695</v>
      </c>
      <c r="J53" s="1130">
        <v>32</v>
      </c>
    </row>
    <row r="54" spans="1:10" ht="15.6" x14ac:dyDescent="0.3">
      <c r="A54" s="1120">
        <f t="shared" si="0"/>
        <v>52</v>
      </c>
      <c r="B54" s="1130" t="s">
        <v>327</v>
      </c>
      <c r="C54" s="1144" t="s">
        <v>87</v>
      </c>
      <c r="D54" s="1137" t="s">
        <v>92</v>
      </c>
      <c r="E54" s="1132">
        <v>46077</v>
      </c>
      <c r="F54" s="1124">
        <v>35.088999999999999</v>
      </c>
      <c r="G54" s="1145" t="s">
        <v>667</v>
      </c>
      <c r="H54" s="1131">
        <v>46081</v>
      </c>
      <c r="I54" s="1134" t="s">
        <v>734</v>
      </c>
      <c r="J54" s="1130">
        <v>24</v>
      </c>
    </row>
    <row r="55" spans="1:10" ht="15.6" x14ac:dyDescent="0.3">
      <c r="A55" s="1120">
        <f t="shared" si="0"/>
        <v>53</v>
      </c>
      <c r="B55" s="1146" t="s">
        <v>243</v>
      </c>
      <c r="C55" s="1120" t="s">
        <v>87</v>
      </c>
      <c r="D55" s="1137" t="s">
        <v>542</v>
      </c>
      <c r="E55" s="1132">
        <v>46078</v>
      </c>
      <c r="F55" s="1124">
        <v>35.088999999999999</v>
      </c>
      <c r="G55" s="1145" t="s">
        <v>667</v>
      </c>
      <c r="H55" s="1131">
        <v>46081</v>
      </c>
      <c r="I55" s="1134" t="s">
        <v>692</v>
      </c>
      <c r="J55" s="1130">
        <v>40</v>
      </c>
    </row>
    <row r="56" spans="1:10" ht="13.8" customHeight="1" x14ac:dyDescent="0.3">
      <c r="A56" s="1120">
        <f t="shared" si="0"/>
        <v>54</v>
      </c>
      <c r="B56" s="1120" t="s">
        <v>616</v>
      </c>
      <c r="C56" s="1120" t="s">
        <v>87</v>
      </c>
      <c r="D56" s="1120" t="s">
        <v>542</v>
      </c>
      <c r="E56" s="1147">
        <v>46080</v>
      </c>
      <c r="F56" s="1124">
        <v>35.088999999999999</v>
      </c>
      <c r="G56" s="1145" t="s">
        <v>667</v>
      </c>
      <c r="H56" s="1147">
        <v>46083</v>
      </c>
      <c r="I56" s="1126" t="s">
        <v>695</v>
      </c>
      <c r="J56" s="1130">
        <v>32</v>
      </c>
    </row>
    <row r="57" spans="1:10" ht="13.8" customHeight="1" x14ac:dyDescent="0.3">
      <c r="A57" s="1120">
        <f t="shared" si="0"/>
        <v>55</v>
      </c>
      <c r="B57" s="1146" t="s">
        <v>482</v>
      </c>
      <c r="C57" s="1120" t="s">
        <v>558</v>
      </c>
      <c r="D57" s="1137" t="s">
        <v>542</v>
      </c>
      <c r="E57" s="1131">
        <v>46073</v>
      </c>
      <c r="F57" s="1124">
        <v>54.72</v>
      </c>
      <c r="G57" s="1145" t="s">
        <v>667</v>
      </c>
      <c r="H57" s="1131">
        <v>46084</v>
      </c>
      <c r="I57" s="1126" t="s">
        <v>694</v>
      </c>
      <c r="J57" s="1130">
        <v>45</v>
      </c>
    </row>
    <row r="58" spans="1:10" ht="13.8" customHeight="1" x14ac:dyDescent="0.3">
      <c r="A58" s="1148">
        <f t="shared" si="0"/>
        <v>56</v>
      </c>
      <c r="B58" s="1143" t="s">
        <v>235</v>
      </c>
      <c r="C58" s="1143" t="s">
        <v>91</v>
      </c>
      <c r="D58" s="1149" t="s">
        <v>92</v>
      </c>
      <c r="E58" s="1150">
        <v>46081</v>
      </c>
      <c r="F58" s="1151">
        <v>36.771000000000001</v>
      </c>
      <c r="G58" s="1152" t="s">
        <v>667</v>
      </c>
      <c r="H58" s="1141">
        <v>46086</v>
      </c>
      <c r="I58" s="1153" t="s">
        <v>692</v>
      </c>
      <c r="J58" s="1143">
        <v>40</v>
      </c>
    </row>
    <row r="59" spans="1:10" ht="15.6" x14ac:dyDescent="0.3">
      <c r="A59" s="1120">
        <f t="shared" si="0"/>
        <v>57</v>
      </c>
      <c r="B59" s="1137" t="s">
        <v>255</v>
      </c>
      <c r="C59" s="1120" t="s">
        <v>87</v>
      </c>
      <c r="D59" s="1137" t="s">
        <v>92</v>
      </c>
      <c r="E59" s="1131">
        <v>46078</v>
      </c>
      <c r="F59" s="1124">
        <v>35.088999999999999</v>
      </c>
      <c r="G59" s="1152" t="s">
        <v>667</v>
      </c>
      <c r="H59" s="1131">
        <v>46089</v>
      </c>
      <c r="I59" s="1126" t="s">
        <v>666</v>
      </c>
      <c r="J59" s="1130">
        <v>30</v>
      </c>
    </row>
    <row r="60" spans="1:10" ht="13.8" customHeight="1" x14ac:dyDescent="0.3">
      <c r="A60" s="1120">
        <f t="shared" si="0"/>
        <v>58</v>
      </c>
      <c r="B60" s="1130" t="s">
        <v>340</v>
      </c>
      <c r="C60" s="1144" t="s">
        <v>87</v>
      </c>
      <c r="D60" s="1137" t="s">
        <v>92</v>
      </c>
      <c r="E60" s="1131">
        <v>46077</v>
      </c>
      <c r="F60" s="1124">
        <v>35.088999999999999</v>
      </c>
      <c r="G60" s="1125" t="s">
        <v>667</v>
      </c>
      <c r="H60" s="1131">
        <v>46090</v>
      </c>
      <c r="I60" s="1134" t="s">
        <v>734</v>
      </c>
      <c r="J60" s="1130">
        <v>24</v>
      </c>
    </row>
    <row r="61" spans="1:10" ht="13.8" customHeight="1" x14ac:dyDescent="0.3">
      <c r="A61" s="1120">
        <f t="shared" si="0"/>
        <v>59</v>
      </c>
      <c r="B61" s="1130" t="s">
        <v>346</v>
      </c>
      <c r="C61" s="1120" t="s">
        <v>109</v>
      </c>
      <c r="D61" s="1137" t="s">
        <v>664</v>
      </c>
      <c r="E61" s="1131">
        <v>46089</v>
      </c>
      <c r="F61" s="1124">
        <v>43.575000000000003</v>
      </c>
      <c r="G61" s="1125" t="s">
        <v>667</v>
      </c>
      <c r="H61" s="1131">
        <v>46092</v>
      </c>
      <c r="I61" s="1134" t="s">
        <v>692</v>
      </c>
      <c r="J61" s="1130">
        <v>40</v>
      </c>
    </row>
    <row r="62" spans="1:10" ht="13.8" customHeight="1" x14ac:dyDescent="0.3">
      <c r="A62" s="1120">
        <f t="shared" si="0"/>
        <v>60</v>
      </c>
      <c r="B62" s="1130" t="s">
        <v>405</v>
      </c>
      <c r="C62" s="1120" t="s">
        <v>87</v>
      </c>
      <c r="D62" s="1137" t="s">
        <v>92</v>
      </c>
      <c r="E62" s="1131">
        <v>46091</v>
      </c>
      <c r="F62" s="1124">
        <v>35.088999999999999</v>
      </c>
      <c r="G62" s="1125" t="s">
        <v>667</v>
      </c>
      <c r="H62" s="1131">
        <v>46097</v>
      </c>
      <c r="I62" s="1134" t="s">
        <v>734</v>
      </c>
      <c r="J62" s="1130">
        <v>24</v>
      </c>
    </row>
    <row r="63" spans="1:10" ht="13.8" customHeight="1" x14ac:dyDescent="0.3">
      <c r="A63" s="1120">
        <f t="shared" si="0"/>
        <v>61</v>
      </c>
      <c r="B63" s="1130" t="s">
        <v>617</v>
      </c>
      <c r="C63" s="1120" t="s">
        <v>87</v>
      </c>
      <c r="D63" s="1137" t="s">
        <v>92</v>
      </c>
      <c r="E63" s="1131">
        <v>46094</v>
      </c>
      <c r="F63" s="1124">
        <v>35.088999999999999</v>
      </c>
      <c r="G63" s="1125" t="s">
        <v>667</v>
      </c>
      <c r="H63" s="1131">
        <v>46097</v>
      </c>
      <c r="I63" s="1134" t="s">
        <v>692</v>
      </c>
      <c r="J63" s="1130">
        <v>40</v>
      </c>
    </row>
    <row r="64" spans="1:10" ht="13.8" customHeight="1" x14ac:dyDescent="0.3">
      <c r="A64" s="1120">
        <f t="shared" si="0"/>
        <v>62</v>
      </c>
      <c r="B64" s="1137" t="s">
        <v>252</v>
      </c>
      <c r="C64" s="1120" t="s">
        <v>87</v>
      </c>
      <c r="D64" s="1137" t="s">
        <v>542</v>
      </c>
      <c r="E64" s="1131">
        <v>46092</v>
      </c>
      <c r="F64" s="1124">
        <v>35.088999999999999</v>
      </c>
      <c r="G64" s="1125" t="s">
        <v>667</v>
      </c>
      <c r="H64" s="1131">
        <v>46099</v>
      </c>
      <c r="I64" s="1126" t="s">
        <v>666</v>
      </c>
      <c r="J64" s="1130">
        <v>30</v>
      </c>
    </row>
    <row r="65" spans="1:10" ht="15.6" x14ac:dyDescent="0.3">
      <c r="A65" s="1120">
        <f t="shared" si="0"/>
        <v>63</v>
      </c>
      <c r="B65" s="1154" t="s">
        <v>618</v>
      </c>
      <c r="C65" s="1155" t="s">
        <v>87</v>
      </c>
      <c r="D65" s="1137" t="s">
        <v>92</v>
      </c>
      <c r="E65" s="1131">
        <v>46097</v>
      </c>
      <c r="F65" s="1124">
        <v>35.088999999999999</v>
      </c>
      <c r="G65" s="1125" t="s">
        <v>667</v>
      </c>
      <c r="H65" s="1131">
        <v>46101</v>
      </c>
      <c r="I65" s="1134" t="s">
        <v>692</v>
      </c>
      <c r="J65" s="1130">
        <v>40</v>
      </c>
    </row>
    <row r="66" spans="1:10" ht="13.8" customHeight="1" x14ac:dyDescent="0.3">
      <c r="A66" s="1120">
        <f t="shared" si="0"/>
        <v>64</v>
      </c>
      <c r="B66" s="1154" t="s">
        <v>406</v>
      </c>
      <c r="C66" s="1120" t="s">
        <v>91</v>
      </c>
      <c r="D66" s="1137" t="s">
        <v>92</v>
      </c>
      <c r="E66" s="1131">
        <v>46097</v>
      </c>
      <c r="F66" s="1133">
        <v>36.771000000000001</v>
      </c>
      <c r="G66" s="1125" t="s">
        <v>667</v>
      </c>
      <c r="H66" s="1131">
        <v>45739</v>
      </c>
      <c r="I66" s="1134" t="s">
        <v>734</v>
      </c>
      <c r="J66" s="1143">
        <v>24</v>
      </c>
    </row>
    <row r="67" spans="1:10" ht="15.6" x14ac:dyDescent="0.3">
      <c r="A67" s="1120">
        <f t="shared" si="0"/>
        <v>65</v>
      </c>
      <c r="B67" s="1156" t="s">
        <v>256</v>
      </c>
      <c r="C67" s="1120" t="s">
        <v>91</v>
      </c>
      <c r="D67" s="1130" t="s">
        <v>664</v>
      </c>
      <c r="E67" s="1131">
        <v>46099</v>
      </c>
      <c r="F67" s="1133">
        <v>36.771000000000001</v>
      </c>
      <c r="G67" s="1125" t="s">
        <v>667</v>
      </c>
      <c r="H67" s="1131">
        <v>46106</v>
      </c>
      <c r="I67" s="1126" t="s">
        <v>666</v>
      </c>
      <c r="J67" s="1143">
        <v>24</v>
      </c>
    </row>
    <row r="68" spans="1:10" ht="13.8" customHeight="1" x14ac:dyDescent="0.3">
      <c r="A68" s="1120">
        <f t="shared" si="0"/>
        <v>66</v>
      </c>
      <c r="B68" s="1138" t="s">
        <v>403</v>
      </c>
      <c r="C68" s="1120" t="s">
        <v>87</v>
      </c>
      <c r="D68" s="1137" t="s">
        <v>92</v>
      </c>
      <c r="E68" s="1131">
        <v>46101</v>
      </c>
      <c r="F68" s="1124">
        <v>35.088999999999999</v>
      </c>
      <c r="G68" s="1125" t="s">
        <v>667</v>
      </c>
      <c r="H68" s="1131">
        <v>46110</v>
      </c>
      <c r="I68" s="1134" t="s">
        <v>734</v>
      </c>
      <c r="J68" s="1130">
        <v>24</v>
      </c>
    </row>
    <row r="69" spans="1:10" ht="13.8" customHeight="1" x14ac:dyDescent="0.3">
      <c r="A69" s="1120">
        <f t="shared" ref="A69:A122" si="1">A68+1</f>
        <v>67</v>
      </c>
      <c r="B69" s="1130" t="s">
        <v>245</v>
      </c>
      <c r="C69" s="1120" t="s">
        <v>87</v>
      </c>
      <c r="D69" s="1130" t="s">
        <v>664</v>
      </c>
      <c r="E69" s="1131">
        <v>46107</v>
      </c>
      <c r="F69" s="1124">
        <v>35.088999999999999</v>
      </c>
      <c r="G69" s="1125" t="s">
        <v>667</v>
      </c>
      <c r="H69" s="1131">
        <v>46113</v>
      </c>
      <c r="I69" s="1126" t="s">
        <v>666</v>
      </c>
      <c r="J69" s="1143">
        <v>30</v>
      </c>
    </row>
    <row r="70" spans="1:10" ht="13.8" customHeight="1" x14ac:dyDescent="0.3">
      <c r="A70" s="1120">
        <f t="shared" si="1"/>
        <v>68</v>
      </c>
      <c r="B70" s="1137" t="s">
        <v>407</v>
      </c>
      <c r="C70" s="1120" t="s">
        <v>87</v>
      </c>
      <c r="D70" s="1137" t="s">
        <v>92</v>
      </c>
      <c r="E70" s="1131">
        <v>46111</v>
      </c>
      <c r="F70" s="1124">
        <v>35.088999999999999</v>
      </c>
      <c r="G70" s="1125" t="s">
        <v>667</v>
      </c>
      <c r="H70" s="1131">
        <v>46085</v>
      </c>
      <c r="I70" s="1157" t="s">
        <v>734</v>
      </c>
      <c r="J70" s="1130">
        <v>24</v>
      </c>
    </row>
    <row r="71" spans="1:10" ht="13.8" customHeight="1" x14ac:dyDescent="0.3">
      <c r="A71" s="1120">
        <f t="shared" si="1"/>
        <v>69</v>
      </c>
      <c r="B71" s="1130" t="s">
        <v>246</v>
      </c>
      <c r="C71" s="1120" t="s">
        <v>87</v>
      </c>
      <c r="D71" s="1137" t="s">
        <v>542</v>
      </c>
      <c r="E71" s="1131" t="s">
        <v>764</v>
      </c>
      <c r="F71" s="1124">
        <v>35.088999999999999</v>
      </c>
      <c r="G71" s="1125" t="s">
        <v>667</v>
      </c>
      <c r="H71" s="1131">
        <v>46119</v>
      </c>
      <c r="I71" s="1158" t="s">
        <v>666</v>
      </c>
      <c r="J71" s="1130">
        <v>30</v>
      </c>
    </row>
    <row r="72" spans="1:10" ht="13.8" customHeight="1" x14ac:dyDescent="0.3">
      <c r="A72" s="1120">
        <f t="shared" si="1"/>
        <v>70</v>
      </c>
      <c r="B72" s="1159" t="s">
        <v>481</v>
      </c>
      <c r="C72" s="1160" t="s">
        <v>686</v>
      </c>
      <c r="D72" s="1149" t="s">
        <v>92</v>
      </c>
      <c r="E72" s="1141">
        <v>46117</v>
      </c>
      <c r="F72" s="1161">
        <v>54.72</v>
      </c>
      <c r="G72" s="1162" t="s">
        <v>667</v>
      </c>
      <c r="H72" s="1141">
        <v>46124</v>
      </c>
      <c r="I72" s="1163" t="s">
        <v>734</v>
      </c>
      <c r="J72" s="1143">
        <v>24</v>
      </c>
    </row>
    <row r="73" spans="1:10" ht="13.8" customHeight="1" x14ac:dyDescent="0.3">
      <c r="A73" s="1164">
        <f t="shared" si="1"/>
        <v>71</v>
      </c>
      <c r="B73" s="1120" t="s">
        <v>430</v>
      </c>
      <c r="C73" s="1165" t="s">
        <v>686</v>
      </c>
      <c r="D73" s="1166" t="s">
        <v>92</v>
      </c>
      <c r="E73" s="1131">
        <v>46147</v>
      </c>
      <c r="F73" s="1124">
        <v>54.72</v>
      </c>
      <c r="G73" s="1125" t="s">
        <v>667</v>
      </c>
      <c r="H73" s="1131">
        <v>46160</v>
      </c>
      <c r="I73" s="1134" t="s">
        <v>666</v>
      </c>
      <c r="J73" s="1130">
        <v>24</v>
      </c>
    </row>
    <row r="74" spans="1:10" ht="13.8" customHeight="1" x14ac:dyDescent="0.3">
      <c r="A74" s="1164">
        <f t="shared" si="1"/>
        <v>72</v>
      </c>
      <c r="B74" s="1167" t="s">
        <v>429</v>
      </c>
      <c r="C74" s="1167" t="s">
        <v>669</v>
      </c>
      <c r="D74" s="1168" t="s">
        <v>92</v>
      </c>
      <c r="E74" s="1169">
        <v>46161</v>
      </c>
      <c r="F74" s="1167">
        <v>62.500999999999998</v>
      </c>
      <c r="G74" s="1125" t="s">
        <v>667</v>
      </c>
      <c r="H74" s="1131">
        <v>46175</v>
      </c>
      <c r="I74" s="1134" t="s">
        <v>666</v>
      </c>
      <c r="J74" s="1143">
        <v>24</v>
      </c>
    </row>
    <row r="75" spans="1:10" ht="13.8" customHeight="1" x14ac:dyDescent="0.3">
      <c r="A75" s="1164">
        <f t="shared" si="1"/>
        <v>73</v>
      </c>
      <c r="B75" s="1167" t="s">
        <v>219</v>
      </c>
      <c r="C75" s="1167" t="s">
        <v>87</v>
      </c>
      <c r="D75" s="1168" t="s">
        <v>92</v>
      </c>
      <c r="E75" s="1169">
        <v>46179</v>
      </c>
      <c r="F75" s="1167">
        <v>35.088999999999999</v>
      </c>
      <c r="G75" s="1125" t="s">
        <v>667</v>
      </c>
      <c r="H75" s="1131">
        <v>46185</v>
      </c>
      <c r="I75" s="1157" t="s">
        <v>906</v>
      </c>
      <c r="J75" s="1130">
        <v>30</v>
      </c>
    </row>
    <row r="76" spans="1:10" ht="15.6" x14ac:dyDescent="0.3">
      <c r="A76" s="1164">
        <f t="shared" si="1"/>
        <v>74</v>
      </c>
      <c r="B76" s="1137" t="s">
        <v>277</v>
      </c>
      <c r="C76" s="1120" t="s">
        <v>95</v>
      </c>
      <c r="D76" s="1137" t="s">
        <v>542</v>
      </c>
      <c r="E76" s="1131">
        <v>46176</v>
      </c>
      <c r="F76" s="1133">
        <v>41.88</v>
      </c>
      <c r="G76" s="1125" t="s">
        <v>667</v>
      </c>
      <c r="H76" s="1170">
        <v>46186</v>
      </c>
      <c r="I76" s="1134" t="s">
        <v>904</v>
      </c>
      <c r="J76" s="1130">
        <v>31</v>
      </c>
    </row>
    <row r="77" spans="1:10" ht="15.6" x14ac:dyDescent="0.3">
      <c r="A77" s="1164">
        <f t="shared" si="1"/>
        <v>75</v>
      </c>
      <c r="B77" s="1154" t="s">
        <v>236</v>
      </c>
      <c r="C77" s="1171" t="s">
        <v>87</v>
      </c>
      <c r="D77" s="1137" t="s">
        <v>664</v>
      </c>
      <c r="E77" s="1131">
        <v>46182</v>
      </c>
      <c r="F77" s="1124">
        <v>35.088999999999999</v>
      </c>
      <c r="G77" s="1125" t="s">
        <v>667</v>
      </c>
      <c r="H77" s="1172">
        <v>46189</v>
      </c>
      <c r="I77" s="1134" t="s">
        <v>908</v>
      </c>
      <c r="J77" s="1130">
        <v>32</v>
      </c>
    </row>
    <row r="78" spans="1:10" ht="17.399999999999999" customHeight="1" x14ac:dyDescent="0.3">
      <c r="A78" s="1120">
        <f t="shared" si="1"/>
        <v>76</v>
      </c>
      <c r="B78" s="1154" t="s">
        <v>221</v>
      </c>
      <c r="C78" s="1120" t="s">
        <v>87</v>
      </c>
      <c r="D78" s="1137" t="s">
        <v>92</v>
      </c>
      <c r="E78" s="1131">
        <v>46181</v>
      </c>
      <c r="F78" s="1124">
        <v>35.088999999999999</v>
      </c>
      <c r="G78" s="1125" t="s">
        <v>667</v>
      </c>
      <c r="H78" s="1131">
        <v>46181</v>
      </c>
      <c r="I78" s="1134" t="s">
        <v>907</v>
      </c>
      <c r="J78" s="1130">
        <v>30</v>
      </c>
    </row>
    <row r="79" spans="1:10" ht="15.6" x14ac:dyDescent="0.3">
      <c r="A79" s="1120">
        <f t="shared" si="1"/>
        <v>77</v>
      </c>
      <c r="B79" s="1173" t="s">
        <v>297</v>
      </c>
      <c r="C79" s="1171" t="s">
        <v>95</v>
      </c>
      <c r="D79" s="1137" t="s">
        <v>92</v>
      </c>
      <c r="E79" s="1131">
        <v>46183</v>
      </c>
      <c r="F79" s="1124">
        <v>35.088999999999999</v>
      </c>
      <c r="G79" s="1125" t="s">
        <v>667</v>
      </c>
      <c r="H79" s="1131">
        <v>46192</v>
      </c>
      <c r="I79" s="1134" t="s">
        <v>692</v>
      </c>
      <c r="J79" s="1130">
        <v>30</v>
      </c>
    </row>
    <row r="80" spans="1:10" ht="15.6" x14ac:dyDescent="0.3">
      <c r="A80" s="1120">
        <f t="shared" si="1"/>
        <v>78</v>
      </c>
      <c r="B80" s="1154" t="s">
        <v>222</v>
      </c>
      <c r="C80" s="1155" t="s">
        <v>87</v>
      </c>
      <c r="D80" s="1137" t="s">
        <v>541</v>
      </c>
      <c r="E80" s="1131">
        <v>46186</v>
      </c>
      <c r="F80" s="1124">
        <v>35.088999999999999</v>
      </c>
      <c r="G80" s="1125" t="s">
        <v>667</v>
      </c>
      <c r="H80" s="1131">
        <v>46192</v>
      </c>
      <c r="I80" s="1134" t="s">
        <v>906</v>
      </c>
      <c r="J80" s="1130">
        <v>30</v>
      </c>
    </row>
    <row r="81" spans="1:10" ht="15.6" x14ac:dyDescent="0.3">
      <c r="A81" s="1120">
        <f t="shared" si="1"/>
        <v>79</v>
      </c>
      <c r="B81" s="1120" t="s">
        <v>257</v>
      </c>
      <c r="C81" s="1171" t="s">
        <v>91</v>
      </c>
      <c r="D81" s="1137" t="s">
        <v>88</v>
      </c>
      <c r="E81" s="1131">
        <v>46187</v>
      </c>
      <c r="F81" s="1133">
        <v>36.771000000000001</v>
      </c>
      <c r="G81" s="1125" t="s">
        <v>667</v>
      </c>
      <c r="H81" s="1131">
        <v>46193</v>
      </c>
      <c r="I81" s="1134" t="s">
        <v>904</v>
      </c>
      <c r="J81" s="1130">
        <v>30</v>
      </c>
    </row>
    <row r="82" spans="1:10" ht="15.6" x14ac:dyDescent="0.3">
      <c r="A82" s="1120">
        <f t="shared" si="1"/>
        <v>80</v>
      </c>
      <c r="B82" s="1154" t="s">
        <v>234</v>
      </c>
      <c r="C82" s="1171" t="s">
        <v>87</v>
      </c>
      <c r="D82" s="1137" t="s">
        <v>92</v>
      </c>
      <c r="E82" s="1131">
        <v>46189</v>
      </c>
      <c r="F82" s="1124">
        <v>35.088999999999999</v>
      </c>
      <c r="G82" s="1125" t="s">
        <v>667</v>
      </c>
      <c r="H82" s="1172">
        <v>46196</v>
      </c>
      <c r="I82" s="1134" t="s">
        <v>908</v>
      </c>
      <c r="J82" s="1130">
        <v>32</v>
      </c>
    </row>
    <row r="83" spans="1:10" ht="15.6" x14ac:dyDescent="0.3">
      <c r="A83" s="1120">
        <f t="shared" si="1"/>
        <v>81</v>
      </c>
      <c r="B83" s="1173" t="s">
        <v>295</v>
      </c>
      <c r="C83" s="1171" t="s">
        <v>87</v>
      </c>
      <c r="D83" s="1137" t="s">
        <v>92</v>
      </c>
      <c r="E83" s="1131">
        <v>46192</v>
      </c>
      <c r="F83" s="1124">
        <v>35.088999999999999</v>
      </c>
      <c r="G83" s="1125" t="s">
        <v>667</v>
      </c>
      <c r="H83" s="1172">
        <v>46196</v>
      </c>
      <c r="I83" s="1134" t="s">
        <v>692</v>
      </c>
      <c r="J83" s="1130">
        <v>30</v>
      </c>
    </row>
    <row r="84" spans="1:10" ht="15.6" x14ac:dyDescent="0.3">
      <c r="A84" s="1120">
        <f t="shared" si="1"/>
        <v>82</v>
      </c>
      <c r="B84" s="1137" t="s">
        <v>224</v>
      </c>
      <c r="C84" s="1174" t="s">
        <v>87</v>
      </c>
      <c r="D84" s="1175" t="s">
        <v>664</v>
      </c>
      <c r="E84" s="1141">
        <v>46193</v>
      </c>
      <c r="F84" s="1161">
        <v>35.088999999999999</v>
      </c>
      <c r="G84" s="1162" t="s">
        <v>667</v>
      </c>
      <c r="H84" s="1176">
        <v>46198</v>
      </c>
      <c r="I84" s="1153" t="s">
        <v>906</v>
      </c>
      <c r="J84" s="1130">
        <v>30</v>
      </c>
    </row>
    <row r="85" spans="1:10" ht="15.6" x14ac:dyDescent="0.3">
      <c r="A85" s="1120">
        <f t="shared" si="1"/>
        <v>83</v>
      </c>
      <c r="B85" s="1120" t="s">
        <v>225</v>
      </c>
      <c r="C85" s="1171" t="s">
        <v>91</v>
      </c>
      <c r="D85" s="1137" t="s">
        <v>92</v>
      </c>
      <c r="E85" s="1131">
        <v>46192</v>
      </c>
      <c r="F85" s="1133">
        <v>36.771000000000001</v>
      </c>
      <c r="G85" s="1125" t="s">
        <v>667</v>
      </c>
      <c r="H85" s="1170">
        <v>46198</v>
      </c>
      <c r="I85" s="1134" t="s">
        <v>907</v>
      </c>
      <c r="J85" s="1130">
        <v>30</v>
      </c>
    </row>
    <row r="86" spans="1:10" ht="15.6" x14ac:dyDescent="0.3">
      <c r="A86" s="1177">
        <f t="shared" si="1"/>
        <v>84</v>
      </c>
      <c r="B86" s="1178" t="s">
        <v>305</v>
      </c>
      <c r="C86" s="1179" t="s">
        <v>95</v>
      </c>
      <c r="D86" s="1180" t="s">
        <v>92</v>
      </c>
      <c r="E86" s="1181">
        <v>46188</v>
      </c>
      <c r="F86" s="1182">
        <v>41.88</v>
      </c>
      <c r="G86" s="1183" t="s">
        <v>667</v>
      </c>
      <c r="H86" s="1184">
        <v>46199</v>
      </c>
      <c r="I86" s="1185" t="s">
        <v>913</v>
      </c>
      <c r="J86" s="1186">
        <v>30</v>
      </c>
    </row>
    <row r="87" spans="1:10" ht="15.6" x14ac:dyDescent="0.3">
      <c r="A87" s="1177">
        <f t="shared" si="1"/>
        <v>85</v>
      </c>
      <c r="B87" s="1177" t="s">
        <v>306</v>
      </c>
      <c r="C87" s="1187" t="s">
        <v>109</v>
      </c>
      <c r="D87" s="1188" t="s">
        <v>92</v>
      </c>
      <c r="E87" s="1181">
        <v>46188</v>
      </c>
      <c r="F87" s="1182">
        <v>43.575000000000003</v>
      </c>
      <c r="G87" s="1183" t="s">
        <v>667</v>
      </c>
      <c r="H87" s="1181">
        <v>46201</v>
      </c>
      <c r="I87" s="1189" t="s">
        <v>912</v>
      </c>
      <c r="J87" s="1190">
        <v>30</v>
      </c>
    </row>
    <row r="88" spans="1:10" ht="15.6" x14ac:dyDescent="0.3">
      <c r="A88" s="1177">
        <f t="shared" si="1"/>
        <v>86</v>
      </c>
      <c r="B88" s="1177" t="s">
        <v>262</v>
      </c>
      <c r="C88" s="1187" t="s">
        <v>87</v>
      </c>
      <c r="D88" s="1188" t="s">
        <v>92</v>
      </c>
      <c r="E88" s="1181">
        <v>46194</v>
      </c>
      <c r="F88" s="1182">
        <v>35.088999999999999</v>
      </c>
      <c r="G88" s="1183" t="s">
        <v>667</v>
      </c>
      <c r="H88" s="1181">
        <v>46201</v>
      </c>
      <c r="I88" s="1191" t="s">
        <v>904</v>
      </c>
      <c r="J88" s="1190">
        <v>30</v>
      </c>
    </row>
    <row r="89" spans="1:10" ht="15.6" x14ac:dyDescent="0.3">
      <c r="A89" s="1177">
        <f t="shared" si="1"/>
        <v>87</v>
      </c>
      <c r="B89" s="1177" t="s">
        <v>439</v>
      </c>
      <c r="C89" s="1187" t="s">
        <v>237</v>
      </c>
      <c r="D89" s="1188" t="s">
        <v>92</v>
      </c>
      <c r="E89" s="1181">
        <v>46197</v>
      </c>
      <c r="F89" s="1192">
        <v>54.72</v>
      </c>
      <c r="G89" s="1183" t="s">
        <v>667</v>
      </c>
      <c r="H89" s="1181">
        <v>46201</v>
      </c>
      <c r="I89" s="1191" t="s">
        <v>692</v>
      </c>
      <c r="J89" s="1190">
        <v>30</v>
      </c>
    </row>
    <row r="90" spans="1:10" ht="15.6" x14ac:dyDescent="0.3">
      <c r="A90" s="1177">
        <f t="shared" si="1"/>
        <v>88</v>
      </c>
      <c r="B90" s="1173" t="s">
        <v>238</v>
      </c>
      <c r="C90" s="1171" t="s">
        <v>109</v>
      </c>
      <c r="D90" s="1137" t="s">
        <v>92</v>
      </c>
      <c r="E90" s="1131">
        <v>46197</v>
      </c>
      <c r="F90" s="1124">
        <v>43.575000000000003</v>
      </c>
      <c r="G90" s="1183" t="s">
        <v>667</v>
      </c>
      <c r="H90" s="1131">
        <v>46203</v>
      </c>
      <c r="I90" s="1134" t="s">
        <v>908</v>
      </c>
      <c r="J90" s="1130">
        <v>30</v>
      </c>
    </row>
    <row r="91" spans="1:10" ht="15.6" x14ac:dyDescent="0.3">
      <c r="A91" s="1177">
        <f t="shared" si="1"/>
        <v>89</v>
      </c>
      <c r="B91" s="1120" t="s">
        <v>202</v>
      </c>
      <c r="C91" s="1171" t="s">
        <v>95</v>
      </c>
      <c r="D91" s="1137" t="s">
        <v>92</v>
      </c>
      <c r="E91" s="1131">
        <v>46199</v>
      </c>
      <c r="F91" s="1133">
        <v>41.88</v>
      </c>
      <c r="G91" s="1183" t="s">
        <v>667</v>
      </c>
      <c r="H91" s="1131">
        <v>46206</v>
      </c>
      <c r="I91" s="1134" t="s">
        <v>907</v>
      </c>
      <c r="J91" s="1130">
        <v>30</v>
      </c>
    </row>
    <row r="92" spans="1:10" ht="15.6" x14ac:dyDescent="0.3">
      <c r="A92" s="1177">
        <f t="shared" si="1"/>
        <v>90</v>
      </c>
      <c r="B92" s="1173" t="s">
        <v>443</v>
      </c>
      <c r="C92" s="1165" t="s">
        <v>668</v>
      </c>
      <c r="D92" s="1166" t="s">
        <v>664</v>
      </c>
      <c r="E92" s="1193">
        <v>46200</v>
      </c>
      <c r="F92" s="1130"/>
      <c r="G92" s="1183" t="s">
        <v>667</v>
      </c>
      <c r="H92" s="1131">
        <v>46207</v>
      </c>
      <c r="I92" s="1075" t="s">
        <v>913</v>
      </c>
      <c r="J92" s="1130">
        <v>30</v>
      </c>
    </row>
    <row r="93" spans="1:10" ht="15.6" x14ac:dyDescent="0.3">
      <c r="A93" s="1120">
        <f t="shared" si="1"/>
        <v>91</v>
      </c>
      <c r="B93" s="1120" t="s">
        <v>264</v>
      </c>
      <c r="C93" s="1171" t="s">
        <v>87</v>
      </c>
      <c r="D93" s="1137" t="s">
        <v>88</v>
      </c>
      <c r="E93" s="1123">
        <v>46202</v>
      </c>
      <c r="F93" s="1124">
        <v>35.088999999999999</v>
      </c>
      <c r="G93" s="1194" t="s">
        <v>667</v>
      </c>
      <c r="H93" s="1172">
        <v>46208</v>
      </c>
      <c r="I93" s="1126" t="s">
        <v>904</v>
      </c>
      <c r="J93" s="1122">
        <v>30</v>
      </c>
    </row>
    <row r="94" spans="1:10" ht="15.6" x14ac:dyDescent="0.3">
      <c r="A94" s="1120">
        <f t="shared" si="1"/>
        <v>92</v>
      </c>
      <c r="B94" s="1173" t="s">
        <v>440</v>
      </c>
      <c r="C94" s="1171" t="s">
        <v>579</v>
      </c>
      <c r="D94" s="1137" t="s">
        <v>92</v>
      </c>
      <c r="E94" s="1123">
        <v>46202</v>
      </c>
      <c r="F94" s="1195">
        <v>75.19</v>
      </c>
      <c r="G94" s="1194" t="s">
        <v>667</v>
      </c>
      <c r="H94" s="1172">
        <v>46208</v>
      </c>
      <c r="I94" s="1196" t="s">
        <v>692</v>
      </c>
      <c r="J94" s="1122">
        <v>30</v>
      </c>
    </row>
    <row r="95" spans="1:10" ht="15.6" x14ac:dyDescent="0.3">
      <c r="A95" s="1120">
        <f t="shared" si="1"/>
        <v>93</v>
      </c>
      <c r="B95" s="1154" t="s">
        <v>232</v>
      </c>
      <c r="C95" s="1171" t="s">
        <v>91</v>
      </c>
      <c r="D95" s="1137" t="s">
        <v>92</v>
      </c>
      <c r="E95" s="1123">
        <v>46204</v>
      </c>
      <c r="F95" s="1124">
        <v>36.771000000000001</v>
      </c>
      <c r="G95" s="1194" t="s">
        <v>667</v>
      </c>
      <c r="H95" s="1172">
        <v>46209</v>
      </c>
      <c r="I95" s="1126" t="s">
        <v>908</v>
      </c>
      <c r="J95" s="1122">
        <v>30</v>
      </c>
    </row>
    <row r="96" spans="1:10" ht="15.6" x14ac:dyDescent="0.3">
      <c r="A96" s="1120">
        <f t="shared" si="1"/>
        <v>94</v>
      </c>
      <c r="B96" s="1154" t="s">
        <v>416</v>
      </c>
      <c r="C96" s="1171" t="s">
        <v>756</v>
      </c>
      <c r="D96" s="1197" t="s">
        <v>541</v>
      </c>
      <c r="E96" s="1123">
        <v>45834</v>
      </c>
      <c r="F96" s="1122">
        <v>62.500999999999998</v>
      </c>
      <c r="G96" s="1194" t="s">
        <v>667</v>
      </c>
      <c r="H96" s="1172">
        <v>46209</v>
      </c>
      <c r="I96" s="1126" t="s">
        <v>906</v>
      </c>
      <c r="J96" s="1122">
        <v>30</v>
      </c>
    </row>
    <row r="97" spans="1:10" ht="17.399999999999999" customHeight="1" x14ac:dyDescent="0.3">
      <c r="A97" s="1120">
        <f t="shared" si="1"/>
        <v>95</v>
      </c>
      <c r="B97" s="1120" t="s">
        <v>201</v>
      </c>
      <c r="C97" s="1171" t="s">
        <v>87</v>
      </c>
      <c r="D97" s="1137" t="s">
        <v>92</v>
      </c>
      <c r="E97" s="1131">
        <v>46207</v>
      </c>
      <c r="F97" s="1124">
        <v>35.088999999999999</v>
      </c>
      <c r="G97" s="1194" t="s">
        <v>667</v>
      </c>
      <c r="H97" s="1131">
        <v>46211</v>
      </c>
      <c r="I97" s="1134" t="s">
        <v>907</v>
      </c>
      <c r="J97" s="1130">
        <v>30</v>
      </c>
    </row>
    <row r="98" spans="1:10" ht="15.6" x14ac:dyDescent="0.3">
      <c r="A98" s="1120">
        <f t="shared" si="1"/>
        <v>96</v>
      </c>
      <c r="B98" s="1173" t="s">
        <v>307</v>
      </c>
      <c r="C98" s="1171" t="s">
        <v>87</v>
      </c>
      <c r="D98" s="1137" t="s">
        <v>92</v>
      </c>
      <c r="E98" s="1131">
        <v>46202</v>
      </c>
      <c r="F98" s="1124">
        <v>35.088999999999999</v>
      </c>
      <c r="G98" s="1194" t="s">
        <v>667</v>
      </c>
      <c r="H98" s="1131">
        <v>46212</v>
      </c>
      <c r="I98" s="1198" t="s">
        <v>912</v>
      </c>
      <c r="J98" s="1130">
        <v>30</v>
      </c>
    </row>
    <row r="99" spans="1:10" ht="15.6" x14ac:dyDescent="0.3">
      <c r="A99" s="1120">
        <f t="shared" si="1"/>
        <v>97</v>
      </c>
      <c r="B99" s="1154" t="s">
        <v>233</v>
      </c>
      <c r="C99" s="1171" t="s">
        <v>213</v>
      </c>
      <c r="D99" s="1137" t="s">
        <v>92</v>
      </c>
      <c r="E99" s="1131">
        <v>46210</v>
      </c>
      <c r="F99" s="1151">
        <v>36.771000000000001</v>
      </c>
      <c r="G99" s="1194" t="s">
        <v>667</v>
      </c>
      <c r="H99" s="1131">
        <v>46214</v>
      </c>
      <c r="I99" s="1134" t="s">
        <v>908</v>
      </c>
      <c r="J99" s="1130">
        <v>30</v>
      </c>
    </row>
    <row r="100" spans="1:10" ht="15.6" x14ac:dyDescent="0.3">
      <c r="A100" s="1120">
        <f t="shared" si="1"/>
        <v>98</v>
      </c>
      <c r="B100" s="1120" t="s">
        <v>263</v>
      </c>
      <c r="C100" s="1171" t="s">
        <v>87</v>
      </c>
      <c r="D100" s="1137" t="s">
        <v>664</v>
      </c>
      <c r="E100" s="1131">
        <v>46209</v>
      </c>
      <c r="F100" s="1124">
        <v>35.088999999999999</v>
      </c>
      <c r="G100" s="1194" t="s">
        <v>667</v>
      </c>
      <c r="H100" s="1131">
        <v>46214</v>
      </c>
      <c r="I100" s="1134" t="s">
        <v>904</v>
      </c>
      <c r="J100" s="1130">
        <v>30</v>
      </c>
    </row>
    <row r="101" spans="1:10" ht="15.6" x14ac:dyDescent="0.3">
      <c r="A101" s="1120">
        <f t="shared" si="1"/>
        <v>99</v>
      </c>
      <c r="B101" s="1199" t="s">
        <v>480</v>
      </c>
      <c r="C101" s="1199" t="s">
        <v>669</v>
      </c>
      <c r="D101" s="1130" t="s">
        <v>92</v>
      </c>
      <c r="E101" s="1131">
        <v>46212</v>
      </c>
      <c r="F101" s="1130">
        <v>62.500999999999998</v>
      </c>
      <c r="G101" s="1194" t="s">
        <v>667</v>
      </c>
      <c r="H101" s="1123">
        <v>46215</v>
      </c>
      <c r="I101" s="1134" t="s">
        <v>692</v>
      </c>
      <c r="J101" s="1130">
        <v>30</v>
      </c>
    </row>
    <row r="102" spans="1:10" ht="15.6" x14ac:dyDescent="0.3">
      <c r="A102" s="1120">
        <f t="shared" si="1"/>
        <v>100</v>
      </c>
      <c r="B102" s="1199" t="s">
        <v>390</v>
      </c>
      <c r="C102" s="1199" t="s">
        <v>91</v>
      </c>
      <c r="D102" s="1130" t="s">
        <v>88</v>
      </c>
      <c r="E102" s="1131">
        <v>46210</v>
      </c>
      <c r="F102" s="1133">
        <v>36.771000000000001</v>
      </c>
      <c r="G102" s="1194" t="s">
        <v>667</v>
      </c>
      <c r="H102" s="1123">
        <v>46215</v>
      </c>
      <c r="I102" s="1075" t="s">
        <v>913</v>
      </c>
      <c r="J102" s="1130">
        <v>30</v>
      </c>
    </row>
    <row r="103" spans="1:10" ht="15.6" x14ac:dyDescent="0.3">
      <c r="A103" s="1120">
        <f t="shared" si="1"/>
        <v>101</v>
      </c>
      <c r="B103" s="1199" t="s">
        <v>207</v>
      </c>
      <c r="C103" s="1199" t="s">
        <v>87</v>
      </c>
      <c r="D103" s="1199" t="s">
        <v>92</v>
      </c>
      <c r="E103" s="1200">
        <v>46210</v>
      </c>
      <c r="F103" s="1199">
        <v>35.088999999999999</v>
      </c>
      <c r="G103" s="1194" t="s">
        <v>667</v>
      </c>
      <c r="H103" s="1200">
        <v>46216</v>
      </c>
      <c r="I103" s="1075" t="s">
        <v>906</v>
      </c>
      <c r="J103" s="1199">
        <v>30</v>
      </c>
    </row>
    <row r="104" spans="1:10" ht="15.6" x14ac:dyDescent="0.3">
      <c r="A104" s="1120">
        <f t="shared" si="1"/>
        <v>102</v>
      </c>
      <c r="B104" s="1199" t="s">
        <v>227</v>
      </c>
      <c r="C104" s="1199" t="s">
        <v>91</v>
      </c>
      <c r="D104" s="1199" t="s">
        <v>92</v>
      </c>
      <c r="E104" s="1200">
        <v>46212</v>
      </c>
      <c r="F104" s="1199">
        <v>36.771000000000001</v>
      </c>
      <c r="G104" s="1194" t="s">
        <v>667</v>
      </c>
      <c r="H104" s="1200">
        <v>46217</v>
      </c>
      <c r="I104" s="1075" t="s">
        <v>907</v>
      </c>
      <c r="J104" s="1199">
        <v>30</v>
      </c>
    </row>
    <row r="105" spans="1:10" ht="15.6" x14ac:dyDescent="0.3">
      <c r="A105" s="1120">
        <f t="shared" si="1"/>
        <v>103</v>
      </c>
      <c r="B105" s="1199" t="s">
        <v>388</v>
      </c>
      <c r="C105" s="1199" t="s">
        <v>87</v>
      </c>
      <c r="D105" s="1199" t="s">
        <v>92</v>
      </c>
      <c r="E105" s="1200">
        <v>46216</v>
      </c>
      <c r="F105" s="1199">
        <v>35.088999999999999</v>
      </c>
      <c r="G105" s="1194" t="s">
        <v>667</v>
      </c>
      <c r="H105" s="1200">
        <v>46219</v>
      </c>
      <c r="I105" s="1075" t="s">
        <v>692</v>
      </c>
      <c r="J105" s="1199">
        <v>30</v>
      </c>
    </row>
    <row r="106" spans="1:10" ht="15.6" x14ac:dyDescent="0.3">
      <c r="A106" s="1120">
        <f t="shared" si="1"/>
        <v>104</v>
      </c>
      <c r="B106" s="1199" t="s">
        <v>389</v>
      </c>
      <c r="C106" s="1199" t="s">
        <v>87</v>
      </c>
      <c r="D106" s="1199" t="s">
        <v>92</v>
      </c>
      <c r="E106" s="1200">
        <v>46216</v>
      </c>
      <c r="F106" s="1199">
        <v>35.088999999999999</v>
      </c>
      <c r="G106" s="1194" t="s">
        <v>667</v>
      </c>
      <c r="H106" s="1200">
        <v>46219</v>
      </c>
      <c r="I106" s="1075" t="s">
        <v>913</v>
      </c>
      <c r="J106" s="1199">
        <v>30</v>
      </c>
    </row>
    <row r="107" spans="1:10" ht="17.399999999999999" customHeight="1" x14ac:dyDescent="0.3">
      <c r="A107" s="1120">
        <f t="shared" si="1"/>
        <v>105</v>
      </c>
      <c r="B107" s="1201" t="s">
        <v>208</v>
      </c>
      <c r="C107" s="1202" t="s">
        <v>87</v>
      </c>
      <c r="D107" s="1203" t="s">
        <v>92</v>
      </c>
      <c r="E107" s="937">
        <v>46217</v>
      </c>
      <c r="F107" s="1063">
        <v>35.088999999999999</v>
      </c>
      <c r="G107" s="1194" t="s">
        <v>667</v>
      </c>
      <c r="H107" s="937">
        <v>46222</v>
      </c>
      <c r="I107" s="1075" t="s">
        <v>906</v>
      </c>
      <c r="J107" s="1061">
        <v>30</v>
      </c>
    </row>
    <row r="108" spans="1:10" ht="17.399999999999999" customHeight="1" x14ac:dyDescent="0.3">
      <c r="A108" s="1120">
        <f t="shared" si="1"/>
        <v>106</v>
      </c>
      <c r="B108" s="1204" t="s">
        <v>228</v>
      </c>
      <c r="C108" s="1202" t="s">
        <v>87</v>
      </c>
      <c r="D108" s="1203" t="s">
        <v>92</v>
      </c>
      <c r="E108" s="937">
        <v>46218</v>
      </c>
      <c r="F108" s="1063">
        <v>35.088999999999999</v>
      </c>
      <c r="G108" s="1194" t="s">
        <v>667</v>
      </c>
      <c r="H108" s="937">
        <v>46222</v>
      </c>
      <c r="I108" s="1075" t="s">
        <v>907</v>
      </c>
      <c r="J108" s="1061">
        <v>30</v>
      </c>
    </row>
    <row r="109" spans="1:10" ht="17.399999999999999" customHeight="1" x14ac:dyDescent="0.3">
      <c r="A109" s="1120">
        <f t="shared" si="1"/>
        <v>107</v>
      </c>
      <c r="B109" s="1201" t="s">
        <v>421</v>
      </c>
      <c r="C109" s="1202" t="s">
        <v>757</v>
      </c>
      <c r="D109" s="1203" t="s">
        <v>765</v>
      </c>
      <c r="E109" s="937">
        <v>46215</v>
      </c>
      <c r="F109" s="1205"/>
      <c r="G109" s="1194" t="s">
        <v>667</v>
      </c>
      <c r="H109" s="937">
        <v>46222</v>
      </c>
      <c r="I109" s="1075" t="s">
        <v>908</v>
      </c>
      <c r="J109" s="1061">
        <v>30</v>
      </c>
    </row>
    <row r="110" spans="1:10" ht="17.399999999999999" customHeight="1" x14ac:dyDescent="0.3">
      <c r="A110" s="1120">
        <f t="shared" si="1"/>
        <v>108</v>
      </c>
      <c r="B110" s="1204" t="s">
        <v>384</v>
      </c>
      <c r="C110" s="1202" t="s">
        <v>87</v>
      </c>
      <c r="D110" s="1203" t="s">
        <v>92</v>
      </c>
      <c r="E110" s="937">
        <v>46220</v>
      </c>
      <c r="F110" s="1063">
        <v>35.088999999999999</v>
      </c>
      <c r="G110" s="1194" t="s">
        <v>667</v>
      </c>
      <c r="H110" s="937">
        <v>46223</v>
      </c>
      <c r="I110" s="1206" t="s">
        <v>692</v>
      </c>
      <c r="J110" s="1061">
        <v>30</v>
      </c>
    </row>
    <row r="111" spans="1:10" ht="17.399999999999999" customHeight="1" x14ac:dyDescent="0.3">
      <c r="A111" s="1120">
        <f t="shared" si="1"/>
        <v>109</v>
      </c>
      <c r="B111" s="1201" t="s">
        <v>424</v>
      </c>
      <c r="C111" s="1202" t="s">
        <v>686</v>
      </c>
      <c r="D111" s="1203" t="s">
        <v>92</v>
      </c>
      <c r="E111" s="937">
        <v>46215</v>
      </c>
      <c r="F111" s="945">
        <v>54.72</v>
      </c>
      <c r="G111" s="1194" t="s">
        <v>667</v>
      </c>
      <c r="H111" s="937">
        <v>46224</v>
      </c>
      <c r="I111" s="1206" t="s">
        <v>904</v>
      </c>
      <c r="J111" s="1061">
        <v>30</v>
      </c>
    </row>
    <row r="112" spans="1:10" ht="17.399999999999999" customHeight="1" x14ac:dyDescent="0.3">
      <c r="A112" s="1120">
        <f t="shared" si="1"/>
        <v>110</v>
      </c>
      <c r="B112" s="1201" t="s">
        <v>391</v>
      </c>
      <c r="C112" s="1202" t="s">
        <v>91</v>
      </c>
      <c r="D112" s="1203" t="s">
        <v>92</v>
      </c>
      <c r="E112" s="937">
        <v>46220</v>
      </c>
      <c r="F112" s="1056">
        <v>36.771000000000001</v>
      </c>
      <c r="G112" s="1194" t="s">
        <v>667</v>
      </c>
      <c r="H112" s="937">
        <v>46224</v>
      </c>
      <c r="I112" s="1075" t="s">
        <v>913</v>
      </c>
      <c r="J112" s="1061">
        <v>30</v>
      </c>
    </row>
    <row r="113" spans="1:10" ht="17.399999999999999" customHeight="1" x14ac:dyDescent="0.3">
      <c r="A113" s="1201">
        <f t="shared" si="1"/>
        <v>111</v>
      </c>
      <c r="B113" s="1204" t="s">
        <v>392</v>
      </c>
      <c r="C113" s="1202" t="s">
        <v>87</v>
      </c>
      <c r="D113" s="1203" t="s">
        <v>92</v>
      </c>
      <c r="E113" s="937">
        <v>46224</v>
      </c>
      <c r="F113" s="1199">
        <v>35.088999999999999</v>
      </c>
      <c r="G113" s="1194" t="s">
        <v>667</v>
      </c>
      <c r="H113" s="937">
        <v>46226</v>
      </c>
      <c r="I113" s="1206" t="s">
        <v>692</v>
      </c>
      <c r="J113" s="1061">
        <v>30</v>
      </c>
    </row>
    <row r="114" spans="1:10" ht="17.399999999999999" customHeight="1" x14ac:dyDescent="0.3">
      <c r="A114" s="1201">
        <f t="shared" si="1"/>
        <v>112</v>
      </c>
      <c r="B114" s="1204" t="s">
        <v>385</v>
      </c>
      <c r="C114" s="1202" t="s">
        <v>87</v>
      </c>
      <c r="D114" s="1203" t="s">
        <v>92</v>
      </c>
      <c r="E114" s="937">
        <v>46225</v>
      </c>
      <c r="F114" s="1063">
        <v>35.088999999999999</v>
      </c>
      <c r="G114" s="1194" t="s">
        <v>667</v>
      </c>
      <c r="H114" s="937">
        <v>46228</v>
      </c>
      <c r="I114" s="1075" t="s">
        <v>913</v>
      </c>
      <c r="J114" s="1061">
        <v>30</v>
      </c>
    </row>
    <row r="115" spans="1:10" ht="17.399999999999999" customHeight="1" x14ac:dyDescent="0.3">
      <c r="A115" s="1201">
        <f t="shared" si="1"/>
        <v>113</v>
      </c>
      <c r="B115" s="1204" t="s">
        <v>239</v>
      </c>
      <c r="C115" s="1202" t="s">
        <v>87</v>
      </c>
      <c r="D115" s="1203" t="s">
        <v>88</v>
      </c>
      <c r="E115" s="937">
        <v>46223</v>
      </c>
      <c r="F115" s="1063">
        <v>35.088999999999999</v>
      </c>
      <c r="G115" s="1194" t="s">
        <v>667</v>
      </c>
      <c r="H115" s="937">
        <v>46230</v>
      </c>
      <c r="I115" s="1075" t="s">
        <v>934</v>
      </c>
      <c r="J115" s="1061">
        <v>30</v>
      </c>
    </row>
    <row r="116" spans="1:10" ht="17.399999999999999" customHeight="1" x14ac:dyDescent="0.3">
      <c r="A116" s="1201">
        <f t="shared" si="1"/>
        <v>114</v>
      </c>
      <c r="B116" s="1204" t="s">
        <v>386</v>
      </c>
      <c r="C116" s="1202" t="s">
        <v>87</v>
      </c>
      <c r="D116" s="1203" t="s">
        <v>92</v>
      </c>
      <c r="E116" s="937">
        <v>46213</v>
      </c>
      <c r="F116" s="1063">
        <v>35.088999999999999</v>
      </c>
      <c r="G116" s="1194" t="s">
        <v>667</v>
      </c>
      <c r="H116" s="937">
        <v>46230</v>
      </c>
      <c r="I116" s="1075" t="s">
        <v>926</v>
      </c>
      <c r="J116" s="1061">
        <v>30</v>
      </c>
    </row>
    <row r="117" spans="1:10" ht="17.399999999999999" customHeight="1" x14ac:dyDescent="0.3">
      <c r="A117" s="1201">
        <f t="shared" si="1"/>
        <v>115</v>
      </c>
      <c r="B117" s="1204" t="s">
        <v>387</v>
      </c>
      <c r="C117" s="1202" t="s">
        <v>95</v>
      </c>
      <c r="D117" s="1203" t="s">
        <v>88</v>
      </c>
      <c r="E117" s="937">
        <v>46227</v>
      </c>
      <c r="F117" s="1056">
        <v>41.88</v>
      </c>
      <c r="G117" s="1194" t="s">
        <v>667</v>
      </c>
      <c r="H117" s="937">
        <v>46230</v>
      </c>
      <c r="I117" s="1075" t="s">
        <v>692</v>
      </c>
      <c r="J117" s="1061">
        <v>30</v>
      </c>
    </row>
    <row r="118" spans="1:10" ht="17.399999999999999" customHeight="1" x14ac:dyDescent="0.3">
      <c r="A118" s="1201">
        <f t="shared" si="1"/>
        <v>116</v>
      </c>
      <c r="B118" s="1204" t="s">
        <v>417</v>
      </c>
      <c r="C118" s="1202" t="s">
        <v>756</v>
      </c>
      <c r="D118" s="1203" t="s">
        <v>92</v>
      </c>
      <c r="E118" s="1207">
        <v>46223</v>
      </c>
      <c r="F118" s="1061">
        <v>62.500999999999998</v>
      </c>
      <c r="G118" s="1194" t="s">
        <v>667</v>
      </c>
      <c r="H118" s="937">
        <v>46231</v>
      </c>
      <c r="I118" s="1075" t="s">
        <v>907</v>
      </c>
      <c r="J118" s="1061">
        <v>30</v>
      </c>
    </row>
    <row r="119" spans="1:10" ht="17.399999999999999" customHeight="1" x14ac:dyDescent="0.3">
      <c r="A119" s="1201">
        <f t="shared" si="1"/>
        <v>117</v>
      </c>
      <c r="B119" s="1201" t="s">
        <v>220</v>
      </c>
      <c r="C119" s="1202" t="s">
        <v>87</v>
      </c>
      <c r="D119" s="1203" t="s">
        <v>92</v>
      </c>
      <c r="E119" s="1207">
        <v>46223</v>
      </c>
      <c r="F119" s="1063">
        <v>35.088999999999999</v>
      </c>
      <c r="G119" s="1194" t="s">
        <v>667</v>
      </c>
      <c r="H119" s="937">
        <v>46232</v>
      </c>
      <c r="I119" s="1075" t="s">
        <v>906</v>
      </c>
      <c r="J119" s="1061">
        <v>30</v>
      </c>
    </row>
    <row r="120" spans="1:10" ht="17.399999999999999" customHeight="1" x14ac:dyDescent="0.3">
      <c r="A120" s="1201">
        <f t="shared" si="1"/>
        <v>118</v>
      </c>
      <c r="B120" s="1204" t="s">
        <v>383</v>
      </c>
      <c r="C120" s="1202" t="s">
        <v>91</v>
      </c>
      <c r="D120" s="1203" t="s">
        <v>92</v>
      </c>
      <c r="E120" s="937">
        <v>46231</v>
      </c>
      <c r="F120" s="1056">
        <v>36.771000000000001</v>
      </c>
      <c r="G120" s="1194" t="s">
        <v>667</v>
      </c>
      <c r="H120" s="937">
        <v>46234</v>
      </c>
      <c r="I120" s="1075" t="s">
        <v>692</v>
      </c>
      <c r="J120" s="1061">
        <v>30</v>
      </c>
    </row>
    <row r="121" spans="1:10" ht="17.399999999999999" customHeight="1" x14ac:dyDescent="0.3">
      <c r="A121" s="1201">
        <f t="shared" si="1"/>
        <v>119</v>
      </c>
      <c r="B121" s="1204" t="s">
        <v>427</v>
      </c>
      <c r="C121" s="1202" t="s">
        <v>917</v>
      </c>
      <c r="D121" s="1203" t="s">
        <v>92</v>
      </c>
      <c r="E121" s="937">
        <v>46225</v>
      </c>
      <c r="F121" s="937"/>
      <c r="G121" s="1194" t="s">
        <v>667</v>
      </c>
      <c r="H121" s="937">
        <v>46237</v>
      </c>
      <c r="I121" s="1206" t="s">
        <v>904</v>
      </c>
      <c r="J121" s="1061">
        <v>30</v>
      </c>
    </row>
    <row r="122" spans="1:10" ht="17.399999999999999" customHeight="1" x14ac:dyDescent="0.35">
      <c r="A122" s="1201">
        <f t="shared" si="1"/>
        <v>120</v>
      </c>
      <c r="B122" s="675" t="s">
        <v>450</v>
      </c>
      <c r="C122" s="691" t="s">
        <v>668</v>
      </c>
      <c r="D122" s="674" t="s">
        <v>92</v>
      </c>
      <c r="E122" s="1068">
        <v>46229</v>
      </c>
      <c r="F122" s="1068">
        <v>46229</v>
      </c>
      <c r="G122" s="1194" t="s">
        <v>667</v>
      </c>
      <c r="H122" s="1068">
        <v>46240</v>
      </c>
      <c r="I122" s="933" t="s">
        <v>913</v>
      </c>
      <c r="J122" s="819">
        <v>30</v>
      </c>
    </row>
  </sheetData>
  <mergeCells count="1">
    <mergeCell ref="D1:E1"/>
  </mergeCells>
  <conditionalFormatting sqref="B54:B55">
    <cfRule type="duplicateValues" dxfId="46" priority="48"/>
  </conditionalFormatting>
  <conditionalFormatting sqref="B72">
    <cfRule type="duplicateValues" dxfId="45" priority="47"/>
  </conditionalFormatting>
  <conditionalFormatting sqref="B73">
    <cfRule type="duplicateValues" dxfId="44" priority="46"/>
  </conditionalFormatting>
  <conditionalFormatting sqref="B76">
    <cfRule type="duplicateValues" dxfId="43" priority="45"/>
  </conditionalFormatting>
  <conditionalFormatting sqref="B77">
    <cfRule type="duplicateValues" dxfId="42" priority="44"/>
  </conditionalFormatting>
  <conditionalFormatting sqref="B78">
    <cfRule type="duplicateValues" dxfId="41" priority="43"/>
  </conditionalFormatting>
  <conditionalFormatting sqref="B79">
    <cfRule type="duplicateValues" dxfId="40" priority="42"/>
  </conditionalFormatting>
  <conditionalFormatting sqref="B80">
    <cfRule type="duplicateValues" dxfId="39" priority="41"/>
  </conditionalFormatting>
  <conditionalFormatting sqref="B81">
    <cfRule type="duplicateValues" dxfId="38" priority="40"/>
  </conditionalFormatting>
  <conditionalFormatting sqref="B82">
    <cfRule type="duplicateValues" dxfId="37" priority="38"/>
  </conditionalFormatting>
  <conditionalFormatting sqref="B83">
    <cfRule type="duplicateValues" dxfId="36" priority="39"/>
  </conditionalFormatting>
  <conditionalFormatting sqref="B84">
    <cfRule type="duplicateValues" dxfId="35" priority="37"/>
  </conditionalFormatting>
  <conditionalFormatting sqref="B85">
    <cfRule type="duplicateValues" dxfId="34" priority="36"/>
  </conditionalFormatting>
  <conditionalFormatting sqref="B86">
    <cfRule type="duplicateValues" dxfId="33" priority="35"/>
  </conditionalFormatting>
  <conditionalFormatting sqref="B87">
    <cfRule type="duplicateValues" dxfId="32" priority="34"/>
  </conditionalFormatting>
  <conditionalFormatting sqref="B88">
    <cfRule type="duplicateValues" dxfId="31" priority="33"/>
  </conditionalFormatting>
  <conditionalFormatting sqref="B89">
    <cfRule type="duplicateValues" dxfId="30" priority="32"/>
  </conditionalFormatting>
  <conditionalFormatting sqref="B90">
    <cfRule type="duplicateValues" dxfId="29" priority="31"/>
  </conditionalFormatting>
  <conditionalFormatting sqref="B91">
    <cfRule type="duplicateValues" dxfId="28" priority="30"/>
  </conditionalFormatting>
  <conditionalFormatting sqref="B92">
    <cfRule type="duplicateValues" dxfId="27" priority="29"/>
  </conditionalFormatting>
  <conditionalFormatting sqref="B93">
    <cfRule type="duplicateValues" dxfId="26" priority="28"/>
  </conditionalFormatting>
  <conditionalFormatting sqref="B94">
    <cfRule type="duplicateValues" dxfId="25" priority="27"/>
  </conditionalFormatting>
  <conditionalFormatting sqref="B95">
    <cfRule type="duplicateValues" dxfId="24" priority="25"/>
  </conditionalFormatting>
  <conditionalFormatting sqref="B96">
    <cfRule type="duplicateValues" dxfId="23" priority="26"/>
  </conditionalFormatting>
  <conditionalFormatting sqref="B97">
    <cfRule type="duplicateValues" dxfId="22" priority="24"/>
  </conditionalFormatting>
  <conditionalFormatting sqref="B98">
    <cfRule type="duplicateValues" dxfId="21" priority="23"/>
  </conditionalFormatting>
  <conditionalFormatting sqref="B99">
    <cfRule type="duplicateValues" dxfId="20" priority="22"/>
  </conditionalFormatting>
  <conditionalFormatting sqref="B100">
    <cfRule type="duplicateValues" dxfId="19" priority="21"/>
  </conditionalFormatting>
  <conditionalFormatting sqref="B107">
    <cfRule type="duplicateValues" dxfId="18" priority="16"/>
  </conditionalFormatting>
  <conditionalFormatting sqref="B108">
    <cfRule type="duplicateValues" dxfId="17" priority="15"/>
  </conditionalFormatting>
  <conditionalFormatting sqref="B109">
    <cfRule type="duplicateValues" dxfId="16" priority="14"/>
  </conditionalFormatting>
  <conditionalFormatting sqref="B110">
    <cfRule type="duplicateValues" dxfId="15" priority="13"/>
  </conditionalFormatting>
  <conditionalFormatting sqref="B111">
    <cfRule type="duplicateValues" dxfId="14" priority="12"/>
  </conditionalFormatting>
  <conditionalFormatting sqref="B112">
    <cfRule type="duplicateValues" dxfId="13" priority="11"/>
  </conditionalFormatting>
  <conditionalFormatting sqref="B113">
    <cfRule type="duplicateValues" dxfId="12" priority="10"/>
  </conditionalFormatting>
  <conditionalFormatting sqref="B114">
    <cfRule type="duplicateValues" dxfId="11" priority="9"/>
  </conditionalFormatting>
  <conditionalFormatting sqref="B115">
    <cfRule type="duplicateValues" dxfId="10" priority="8"/>
  </conditionalFormatting>
  <conditionalFormatting sqref="B116">
    <cfRule type="duplicateValues" dxfId="9" priority="7"/>
  </conditionalFormatting>
  <conditionalFormatting sqref="B117">
    <cfRule type="duplicateValues" dxfId="8" priority="6"/>
  </conditionalFormatting>
  <conditionalFormatting sqref="B118">
    <cfRule type="duplicateValues" dxfId="7" priority="5"/>
  </conditionalFormatting>
  <conditionalFormatting sqref="B119">
    <cfRule type="duplicateValues" dxfId="6" priority="4"/>
  </conditionalFormatting>
  <conditionalFormatting sqref="B120">
    <cfRule type="duplicateValues" dxfId="5" priority="3"/>
  </conditionalFormatting>
  <conditionalFormatting sqref="B121">
    <cfRule type="duplicateValues" dxfId="4" priority="2"/>
  </conditionalFormatting>
  <conditionalFormatting sqref="B122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8"/>
      <c r="B1" s="1360" t="s">
        <v>111</v>
      </c>
      <c r="C1" s="1349"/>
      <c r="D1" s="1349"/>
      <c r="E1" s="1349"/>
      <c r="F1" s="1349"/>
      <c r="G1" s="1349"/>
      <c r="H1" s="1349"/>
      <c r="I1" s="1350"/>
      <c r="J1" s="639"/>
      <c r="K1" s="949"/>
      <c r="L1" s="949"/>
      <c r="M1" s="949"/>
      <c r="N1" s="948"/>
      <c r="O1" s="948"/>
      <c r="P1" s="948"/>
      <c r="Q1" s="948"/>
      <c r="R1" s="948"/>
      <c r="S1" s="948"/>
      <c r="T1" s="948"/>
      <c r="U1" s="948"/>
      <c r="V1" s="948"/>
      <c r="W1" s="948"/>
      <c r="X1" s="948"/>
      <c r="Y1" s="948"/>
      <c r="Z1" s="948"/>
    </row>
    <row r="2" spans="1:26" ht="18" customHeight="1" thickBot="1" x14ac:dyDescent="0.4">
      <c r="A2" s="948"/>
      <c r="B2" s="1351" t="s">
        <v>112</v>
      </c>
      <c r="C2" s="1361"/>
      <c r="D2" s="1361"/>
      <c r="E2" s="1361"/>
      <c r="F2" s="1361"/>
      <c r="G2" s="1361"/>
      <c r="H2" s="1361"/>
      <c r="I2" s="1362"/>
      <c r="J2" s="639"/>
      <c r="K2" s="949"/>
      <c r="L2" s="949"/>
      <c r="M2" s="949"/>
      <c r="N2" s="948"/>
      <c r="O2" s="948"/>
      <c r="P2" s="948"/>
      <c r="Q2" s="948"/>
      <c r="R2" s="948"/>
      <c r="S2" s="948"/>
      <c r="T2" s="948"/>
      <c r="U2" s="948"/>
      <c r="V2" s="948"/>
      <c r="W2" s="948"/>
      <c r="X2" s="948"/>
      <c r="Y2" s="948"/>
      <c r="Z2" s="948"/>
    </row>
    <row r="3" spans="1:26" ht="18" customHeight="1" thickBot="1" x14ac:dyDescent="0.4">
      <c r="A3" s="948"/>
      <c r="B3" s="1029" t="s">
        <v>113</v>
      </c>
      <c r="C3" s="1043" t="s">
        <v>114</v>
      </c>
      <c r="D3" s="1019" t="s">
        <v>23</v>
      </c>
      <c r="E3" s="1019" t="s">
        <v>115</v>
      </c>
      <c r="F3" s="1019" t="s">
        <v>116</v>
      </c>
      <c r="G3" s="1042" t="s">
        <v>57</v>
      </c>
      <c r="H3" s="1019"/>
      <c r="I3" s="1041"/>
      <c r="J3" s="639"/>
      <c r="K3" s="949"/>
      <c r="L3" s="949"/>
      <c r="M3" s="949"/>
      <c r="N3" s="948"/>
      <c r="O3" s="948"/>
      <c r="P3" s="948"/>
      <c r="Q3" s="948"/>
      <c r="R3" s="948"/>
      <c r="S3" s="948"/>
      <c r="T3" s="948"/>
      <c r="U3" s="948"/>
      <c r="V3" s="948"/>
      <c r="W3" s="948"/>
      <c r="X3" s="948"/>
      <c r="Y3" s="948"/>
      <c r="Z3" s="948"/>
    </row>
    <row r="4" spans="1:26" ht="18" customHeight="1" x14ac:dyDescent="0.35">
      <c r="A4" s="948"/>
      <c r="B4" s="1039">
        <v>1</v>
      </c>
      <c r="C4" s="1005" t="s">
        <v>117</v>
      </c>
      <c r="D4" s="1005" t="s">
        <v>64</v>
      </c>
      <c r="E4" s="1005"/>
      <c r="F4" s="1038">
        <v>208</v>
      </c>
      <c r="G4" s="1037"/>
      <c r="H4" s="1005"/>
      <c r="I4" s="1036"/>
      <c r="J4" s="1040"/>
      <c r="K4" s="949"/>
      <c r="L4" s="949"/>
      <c r="M4" s="949"/>
      <c r="N4" s="948"/>
      <c r="O4" s="948"/>
      <c r="P4" s="948"/>
      <c r="Q4" s="948"/>
      <c r="R4" s="948"/>
      <c r="S4" s="948"/>
      <c r="T4" s="948"/>
      <c r="U4" s="948"/>
      <c r="V4" s="948"/>
      <c r="W4" s="948"/>
      <c r="X4" s="948"/>
      <c r="Y4" s="948"/>
      <c r="Z4" s="948"/>
    </row>
    <row r="5" spans="1:26" ht="18" customHeight="1" x14ac:dyDescent="0.35">
      <c r="A5" s="948"/>
      <c r="B5" s="1039">
        <v>2</v>
      </c>
      <c r="C5" s="1005" t="s">
        <v>118</v>
      </c>
      <c r="D5" s="1005" t="s">
        <v>64</v>
      </c>
      <c r="E5" s="1005"/>
      <c r="F5" s="1038">
        <v>37</v>
      </c>
      <c r="G5" s="1037"/>
      <c r="H5" s="1005"/>
      <c r="I5" s="1036"/>
      <c r="J5" s="1040"/>
      <c r="K5" s="949"/>
      <c r="L5" s="949"/>
      <c r="M5" s="949"/>
      <c r="N5" s="948"/>
      <c r="O5" s="948"/>
      <c r="P5" s="948"/>
      <c r="Q5" s="948"/>
      <c r="R5" s="948"/>
      <c r="S5" s="948"/>
      <c r="T5" s="948"/>
      <c r="U5" s="948"/>
      <c r="V5" s="948"/>
      <c r="W5" s="948"/>
      <c r="X5" s="948"/>
      <c r="Y5" s="948"/>
      <c r="Z5" s="948"/>
    </row>
    <row r="6" spans="1:26" ht="18" customHeight="1" x14ac:dyDescent="0.35">
      <c r="A6" s="948"/>
      <c r="B6" s="1039">
        <v>3</v>
      </c>
      <c r="C6" s="1005" t="s">
        <v>119</v>
      </c>
      <c r="D6" s="1005" t="s">
        <v>64</v>
      </c>
      <c r="E6" s="1005"/>
      <c r="F6" s="1038">
        <v>20</v>
      </c>
      <c r="G6" s="1037"/>
      <c r="H6" s="1005"/>
      <c r="I6" s="1036"/>
      <c r="J6" s="1040"/>
      <c r="K6" s="949"/>
      <c r="L6" s="949"/>
      <c r="M6" s="949"/>
      <c r="N6" s="948"/>
      <c r="O6" s="948"/>
      <c r="P6" s="948"/>
      <c r="Q6" s="948"/>
      <c r="R6" s="948"/>
      <c r="S6" s="948"/>
      <c r="T6" s="948"/>
      <c r="U6" s="948"/>
      <c r="V6" s="948"/>
      <c r="W6" s="948"/>
      <c r="X6" s="948"/>
      <c r="Y6" s="948"/>
      <c r="Z6" s="948"/>
    </row>
    <row r="7" spans="1:26" ht="18" customHeight="1" x14ac:dyDescent="0.35">
      <c r="A7" s="948"/>
      <c r="B7" s="1039">
        <v>4</v>
      </c>
      <c r="C7" s="1005" t="s">
        <v>120</v>
      </c>
      <c r="D7" s="1005" t="s">
        <v>64</v>
      </c>
      <c r="E7" s="1005"/>
      <c r="F7" s="1038">
        <v>8</v>
      </c>
      <c r="G7" s="1037"/>
      <c r="H7" s="1005"/>
      <c r="I7" s="1036"/>
      <c r="J7" s="1040"/>
      <c r="K7" s="949"/>
      <c r="L7" s="949"/>
      <c r="M7" s="949"/>
      <c r="N7" s="948"/>
      <c r="O7" s="948"/>
      <c r="P7" s="948"/>
      <c r="Q7" s="948"/>
      <c r="R7" s="948"/>
      <c r="S7" s="948"/>
      <c r="T7" s="948"/>
      <c r="U7" s="948"/>
      <c r="V7" s="948"/>
      <c r="W7" s="948"/>
      <c r="X7" s="948"/>
      <c r="Y7" s="948"/>
      <c r="Z7" s="948"/>
    </row>
    <row r="8" spans="1:26" ht="18" customHeight="1" x14ac:dyDescent="0.35">
      <c r="A8" s="948"/>
      <c r="B8" s="1039">
        <v>5</v>
      </c>
      <c r="C8" s="1005" t="s">
        <v>121</v>
      </c>
      <c r="D8" s="1005" t="s">
        <v>64</v>
      </c>
      <c r="E8" s="1005"/>
      <c r="F8" s="1038">
        <v>4</v>
      </c>
      <c r="G8" s="1037"/>
      <c r="H8" s="1005"/>
      <c r="I8" s="1036"/>
      <c r="J8" s="1035"/>
      <c r="K8" s="949"/>
      <c r="L8" s="949"/>
      <c r="M8" s="949"/>
      <c r="N8" s="948"/>
      <c r="O8" s="948"/>
      <c r="P8" s="948"/>
      <c r="Q8" s="948"/>
      <c r="R8" s="948"/>
      <c r="S8" s="948"/>
      <c r="T8" s="948"/>
      <c r="U8" s="948"/>
      <c r="V8" s="948"/>
      <c r="W8" s="948"/>
      <c r="X8" s="948"/>
      <c r="Y8" s="948"/>
      <c r="Z8" s="948"/>
    </row>
    <row r="9" spans="1:26" ht="18" customHeight="1" thickBot="1" x14ac:dyDescent="0.4">
      <c r="A9" s="948"/>
      <c r="B9" s="1034"/>
      <c r="C9" s="1031" t="s">
        <v>122</v>
      </c>
      <c r="D9" s="1031" t="s">
        <v>64</v>
      </c>
      <c r="E9" s="1031">
        <f>SUM(E4:E8)</f>
        <v>0</v>
      </c>
      <c r="F9" s="1033">
        <f>SUM(F4:F8)</f>
        <v>277</v>
      </c>
      <c r="G9" s="1032">
        <f>SUM(G4:G8)</f>
        <v>0</v>
      </c>
      <c r="H9" s="1031">
        <f>SUM(H4:H8)</f>
        <v>0</v>
      </c>
      <c r="I9" s="1031">
        <f>SUM(I4:I8)</f>
        <v>0</v>
      </c>
      <c r="J9" s="639"/>
      <c r="K9" s="949"/>
      <c r="L9" s="949"/>
      <c r="M9" s="949"/>
      <c r="N9" s="948"/>
      <c r="O9" s="948"/>
      <c r="P9" s="948"/>
      <c r="Q9" s="948"/>
      <c r="R9" s="948"/>
      <c r="S9" s="948"/>
      <c r="T9" s="948"/>
      <c r="U9" s="948"/>
      <c r="V9" s="948"/>
      <c r="W9" s="948"/>
      <c r="X9" s="948"/>
      <c r="Y9" s="948"/>
      <c r="Z9" s="948"/>
    </row>
    <row r="10" spans="1:26" ht="18" customHeight="1" thickBot="1" x14ac:dyDescent="0.4">
      <c r="A10" s="948"/>
      <c r="B10" s="639"/>
      <c r="C10" s="639"/>
      <c r="D10" s="639"/>
      <c r="E10" s="639"/>
      <c r="F10" s="639"/>
      <c r="G10" s="639"/>
      <c r="H10" s="1030"/>
      <c r="I10" s="1030"/>
      <c r="J10" s="639"/>
      <c r="K10" s="949"/>
      <c r="L10" s="949"/>
      <c r="M10" s="949"/>
      <c r="N10" s="948"/>
      <c r="O10" s="948"/>
      <c r="P10" s="948"/>
      <c r="Q10" s="948"/>
      <c r="R10" s="948"/>
      <c r="S10" s="948"/>
      <c r="T10" s="948"/>
      <c r="U10" s="948"/>
      <c r="V10" s="948"/>
      <c r="W10" s="948"/>
      <c r="X10" s="948"/>
      <c r="Y10" s="948"/>
      <c r="Z10" s="948"/>
    </row>
    <row r="11" spans="1:26" ht="18" customHeight="1" thickBot="1" x14ac:dyDescent="0.4">
      <c r="A11" s="948"/>
      <c r="B11" s="1359" t="s">
        <v>123</v>
      </c>
      <c r="C11" s="1349"/>
      <c r="D11" s="1349"/>
      <c r="E11" s="1349"/>
      <c r="F11" s="1349"/>
      <c r="G11" s="1349"/>
      <c r="H11" s="1349"/>
      <c r="I11" s="1349"/>
      <c r="J11" s="1350"/>
      <c r="K11" s="949"/>
      <c r="L11" s="949"/>
      <c r="M11" s="949"/>
      <c r="N11" s="948"/>
      <c r="O11" s="948"/>
      <c r="P11" s="948"/>
      <c r="Q11" s="948"/>
      <c r="R11" s="948"/>
      <c r="S11" s="948"/>
      <c r="T11" s="948"/>
      <c r="U11" s="948"/>
      <c r="V11" s="948"/>
      <c r="W11" s="948"/>
      <c r="X11" s="948"/>
      <c r="Y11" s="948"/>
      <c r="Z11" s="948"/>
    </row>
    <row r="12" spans="1:26" ht="18" customHeight="1" thickBot="1" x14ac:dyDescent="0.4">
      <c r="A12" s="948"/>
      <c r="B12" s="983" t="s">
        <v>113</v>
      </c>
      <c r="C12" s="1029" t="s">
        <v>124</v>
      </c>
      <c r="D12" s="1028" t="s">
        <v>114</v>
      </c>
      <c r="E12" s="1028" t="s">
        <v>115</v>
      </c>
      <c r="F12" s="1028" t="s">
        <v>116</v>
      </c>
      <c r="G12" s="1028" t="s">
        <v>125</v>
      </c>
      <c r="H12" s="1028"/>
      <c r="I12" s="1028"/>
      <c r="J12" s="1027" t="s">
        <v>85</v>
      </c>
      <c r="K12" s="949"/>
      <c r="L12" s="949"/>
      <c r="M12" s="949"/>
      <c r="N12" s="948"/>
      <c r="O12" s="948"/>
      <c r="P12" s="948"/>
      <c r="Q12" s="948"/>
      <c r="R12" s="948"/>
      <c r="S12" s="948"/>
      <c r="T12" s="948"/>
      <c r="U12" s="948"/>
      <c r="V12" s="948"/>
      <c r="W12" s="948"/>
      <c r="X12" s="948"/>
      <c r="Y12" s="948"/>
      <c r="Z12" s="948"/>
    </row>
    <row r="13" spans="1:26" ht="18" customHeight="1" x14ac:dyDescent="0.35">
      <c r="A13" s="948"/>
      <c r="B13" s="1351">
        <v>1</v>
      </c>
      <c r="C13" s="1354" t="s">
        <v>126</v>
      </c>
      <c r="D13" s="1019" t="s">
        <v>127</v>
      </c>
      <c r="E13" s="1021"/>
      <c r="F13" s="1020">
        <v>216</v>
      </c>
      <c r="G13" s="1019"/>
      <c r="H13" s="1019"/>
      <c r="I13" s="1023"/>
      <c r="J13" s="1026"/>
      <c r="K13" s="949"/>
      <c r="L13" s="949"/>
      <c r="M13" s="949"/>
      <c r="N13" s="948"/>
      <c r="O13" s="948"/>
      <c r="P13" s="948"/>
      <c r="Q13" s="948"/>
      <c r="R13" s="948"/>
      <c r="S13" s="948"/>
      <c r="T13" s="948"/>
      <c r="U13" s="948"/>
      <c r="V13" s="948"/>
      <c r="W13" s="948"/>
      <c r="X13" s="948"/>
      <c r="Y13" s="948"/>
      <c r="Z13" s="948"/>
    </row>
    <row r="14" spans="1:26" ht="18" customHeight="1" x14ac:dyDescent="0.35">
      <c r="A14" s="948"/>
      <c r="B14" s="1352"/>
      <c r="C14" s="1355"/>
      <c r="D14" s="1007" t="s">
        <v>128</v>
      </c>
      <c r="E14" s="1006"/>
      <c r="F14" s="1008">
        <v>168</v>
      </c>
      <c r="G14" s="1005"/>
      <c r="H14" s="1005"/>
      <c r="I14" s="1016"/>
      <c r="J14" s="1025"/>
      <c r="K14" s="949"/>
      <c r="L14" s="949"/>
      <c r="M14" s="949"/>
      <c r="N14" s="948"/>
      <c r="O14" s="948"/>
      <c r="P14" s="948"/>
      <c r="Q14" s="948"/>
      <c r="R14" s="948"/>
      <c r="S14" s="948"/>
      <c r="T14" s="948"/>
      <c r="U14" s="948"/>
      <c r="V14" s="948"/>
      <c r="W14" s="948"/>
      <c r="X14" s="948"/>
      <c r="Y14" s="948"/>
      <c r="Z14" s="948"/>
    </row>
    <row r="15" spans="1:26" ht="18" customHeight="1" x14ac:dyDescent="0.35">
      <c r="A15" s="948"/>
      <c r="B15" s="1352"/>
      <c r="C15" s="1355"/>
      <c r="D15" s="1007" t="s">
        <v>129</v>
      </c>
      <c r="E15" s="1006"/>
      <c r="F15" s="1008">
        <v>48</v>
      </c>
      <c r="G15" s="1005"/>
      <c r="H15" s="1005"/>
      <c r="I15" s="1016"/>
      <c r="J15" s="1025"/>
      <c r="K15" s="949"/>
      <c r="L15" s="949"/>
      <c r="M15" s="949"/>
      <c r="N15" s="948"/>
      <c r="O15" s="948"/>
      <c r="P15" s="948"/>
      <c r="Q15" s="948"/>
      <c r="R15" s="948"/>
      <c r="S15" s="948"/>
      <c r="T15" s="948"/>
      <c r="U15" s="948"/>
      <c r="V15" s="948"/>
      <c r="W15" s="948"/>
      <c r="X15" s="948"/>
      <c r="Y15" s="948"/>
      <c r="Z15" s="948"/>
    </row>
    <row r="16" spans="1:26" ht="18" customHeight="1" x14ac:dyDescent="0.35">
      <c r="A16" s="948"/>
      <c r="B16" s="1352"/>
      <c r="C16" s="1355"/>
      <c r="D16" s="1007" t="s">
        <v>130</v>
      </c>
      <c r="E16" s="1006"/>
      <c r="F16" s="1008">
        <v>21</v>
      </c>
      <c r="G16" s="1005"/>
      <c r="H16" s="1005"/>
      <c r="I16" s="1016"/>
      <c r="J16" s="1025"/>
      <c r="K16" s="949"/>
      <c r="L16" s="949"/>
      <c r="M16" s="949"/>
      <c r="N16" s="948"/>
      <c r="O16" s="948"/>
      <c r="P16" s="948"/>
      <c r="Q16" s="948"/>
      <c r="R16" s="948"/>
      <c r="S16" s="948"/>
      <c r="T16" s="948"/>
      <c r="U16" s="948"/>
      <c r="V16" s="948"/>
      <c r="W16" s="948"/>
      <c r="X16" s="948"/>
      <c r="Y16" s="948"/>
      <c r="Z16" s="948"/>
    </row>
    <row r="17" spans="1:26" ht="18" customHeight="1" thickBot="1" x14ac:dyDescent="0.4">
      <c r="A17" s="948"/>
      <c r="B17" s="1353"/>
      <c r="C17" s="1363"/>
      <c r="D17" s="1007" t="s">
        <v>131</v>
      </c>
      <c r="E17" s="1006"/>
      <c r="F17" s="1008">
        <v>12</v>
      </c>
      <c r="G17" s="1005"/>
      <c r="H17" s="1005"/>
      <c r="I17" s="1016"/>
      <c r="J17" s="1025"/>
      <c r="K17" s="949"/>
      <c r="L17" s="949"/>
      <c r="M17" s="949"/>
      <c r="N17" s="948"/>
      <c r="O17" s="948"/>
      <c r="P17" s="948"/>
      <c r="Q17" s="948"/>
      <c r="R17" s="948"/>
      <c r="S17" s="948"/>
      <c r="T17" s="948"/>
      <c r="U17" s="948"/>
      <c r="V17" s="948"/>
      <c r="W17" s="948"/>
      <c r="X17" s="948"/>
      <c r="Y17" s="948"/>
      <c r="Z17" s="948"/>
    </row>
    <row r="18" spans="1:26" ht="18" customHeight="1" thickBot="1" x14ac:dyDescent="0.4">
      <c r="A18" s="948"/>
      <c r="B18" s="1351">
        <v>2</v>
      </c>
      <c r="C18" s="1354" t="s">
        <v>132</v>
      </c>
      <c r="D18" s="1019" t="s">
        <v>127</v>
      </c>
      <c r="E18" s="1021"/>
      <c r="F18" s="1020">
        <v>38</v>
      </c>
      <c r="G18" s="1019"/>
      <c r="H18" s="1019"/>
      <c r="I18" s="1023"/>
      <c r="J18" s="1018"/>
      <c r="K18" s="1343"/>
      <c r="L18" s="639"/>
      <c r="M18" s="949"/>
      <c r="N18" s="948"/>
      <c r="O18" s="948"/>
      <c r="P18" s="948"/>
      <c r="Q18" s="948"/>
      <c r="R18" s="948"/>
      <c r="S18" s="948"/>
      <c r="T18" s="948"/>
      <c r="U18" s="948"/>
      <c r="V18" s="948"/>
      <c r="W18" s="948"/>
      <c r="X18" s="948"/>
      <c r="Y18" s="948"/>
      <c r="Z18" s="948"/>
    </row>
    <row r="19" spans="1:26" ht="18" customHeight="1" x14ac:dyDescent="0.35">
      <c r="A19" s="948"/>
      <c r="B19" s="1352"/>
      <c r="C19" s="1355"/>
      <c r="D19" s="1007" t="s">
        <v>128</v>
      </c>
      <c r="E19" s="1006"/>
      <c r="F19" s="1020">
        <v>33</v>
      </c>
      <c r="G19" s="1005"/>
      <c r="H19" s="1005"/>
      <c r="I19" s="1016"/>
      <c r="J19" s="1015"/>
      <c r="K19" s="1344"/>
      <c r="L19" s="639"/>
      <c r="M19" s="949"/>
      <c r="N19" s="948"/>
      <c r="O19" s="948"/>
      <c r="P19" s="948"/>
      <c r="Q19" s="948"/>
      <c r="R19" s="948"/>
      <c r="S19" s="948"/>
      <c r="T19" s="948"/>
      <c r="U19" s="948"/>
      <c r="V19" s="948"/>
      <c r="W19" s="948"/>
      <c r="X19" s="948"/>
      <c r="Y19" s="948"/>
      <c r="Z19" s="948"/>
    </row>
    <row r="20" spans="1:26" ht="18" customHeight="1" x14ac:dyDescent="0.35">
      <c r="A20" s="948"/>
      <c r="B20" s="1352"/>
      <c r="C20" s="1355"/>
      <c r="D20" s="1007" t="s">
        <v>129</v>
      </c>
      <c r="E20" s="1024"/>
      <c r="F20" s="1008">
        <v>5</v>
      </c>
      <c r="G20" s="1005"/>
      <c r="H20" s="1005"/>
      <c r="I20" s="1016"/>
      <c r="J20" s="1015"/>
      <c r="K20" s="1344"/>
      <c r="L20" s="639"/>
      <c r="M20" s="949"/>
      <c r="N20" s="948"/>
      <c r="O20" s="948"/>
      <c r="P20" s="948"/>
      <c r="Q20" s="948"/>
      <c r="R20" s="948"/>
      <c r="S20" s="948"/>
      <c r="T20" s="948"/>
      <c r="U20" s="948"/>
      <c r="V20" s="948"/>
      <c r="W20" s="948"/>
      <c r="X20" s="948"/>
      <c r="Y20" s="948"/>
      <c r="Z20" s="948"/>
    </row>
    <row r="21" spans="1:26" ht="18" customHeight="1" x14ac:dyDescent="0.35">
      <c r="A21" s="948"/>
      <c r="B21" s="1352"/>
      <c r="C21" s="1355"/>
      <c r="D21" s="1007" t="s">
        <v>130</v>
      </c>
      <c r="E21" s="1006"/>
      <c r="F21" s="1008">
        <v>5</v>
      </c>
      <c r="G21" s="1005"/>
      <c r="H21" s="1005"/>
      <c r="I21" s="1016"/>
      <c r="J21" s="1015"/>
      <c r="K21" s="1344"/>
      <c r="L21" s="639"/>
      <c r="M21" s="949"/>
      <c r="N21" s="948"/>
      <c r="O21" s="948"/>
      <c r="P21" s="948"/>
      <c r="Q21" s="948"/>
      <c r="R21" s="948"/>
      <c r="S21" s="948"/>
      <c r="T21" s="948"/>
      <c r="U21" s="948"/>
      <c r="V21" s="948"/>
      <c r="W21" s="948"/>
      <c r="X21" s="948"/>
      <c r="Y21" s="948"/>
      <c r="Z21" s="948"/>
    </row>
    <row r="22" spans="1:26" ht="18" customHeight="1" thickBot="1" x14ac:dyDescent="0.4">
      <c r="A22" s="948"/>
      <c r="B22" s="1353"/>
      <c r="C22" s="1363"/>
      <c r="D22" s="1007" t="s">
        <v>131</v>
      </c>
      <c r="E22" s="1006"/>
      <c r="F22" s="1008">
        <v>10</v>
      </c>
      <c r="G22" s="1005"/>
      <c r="H22" s="1005"/>
      <c r="I22" s="1016"/>
      <c r="J22" s="1015"/>
      <c r="K22" s="1344"/>
      <c r="L22" s="639"/>
      <c r="M22" s="949"/>
      <c r="N22" s="948"/>
      <c r="O22" s="948"/>
      <c r="P22" s="948"/>
      <c r="Q22" s="948"/>
      <c r="R22" s="948"/>
      <c r="S22" s="948"/>
      <c r="T22" s="948"/>
      <c r="U22" s="948"/>
      <c r="V22" s="948"/>
      <c r="W22" s="948"/>
      <c r="X22" s="948"/>
      <c r="Y22" s="948"/>
      <c r="Z22" s="948"/>
    </row>
    <row r="23" spans="1:26" ht="18" customHeight="1" x14ac:dyDescent="0.35">
      <c r="A23" s="948"/>
      <c r="B23" s="1351">
        <v>3</v>
      </c>
      <c r="C23" s="1354" t="s">
        <v>133</v>
      </c>
      <c r="D23" s="1019" t="s">
        <v>127</v>
      </c>
      <c r="E23" s="1021"/>
      <c r="F23" s="1020">
        <v>21</v>
      </c>
      <c r="G23" s="1019"/>
      <c r="H23" s="1019"/>
      <c r="I23" s="1023"/>
      <c r="J23" s="1018"/>
      <c r="K23" s="1344"/>
      <c r="L23" s="639"/>
      <c r="M23" s="949"/>
      <c r="N23" s="948"/>
      <c r="O23" s="948"/>
      <c r="P23" s="948"/>
      <c r="Q23" s="948"/>
      <c r="R23" s="948"/>
      <c r="S23" s="948"/>
      <c r="T23" s="948"/>
      <c r="U23" s="948"/>
      <c r="V23" s="948"/>
      <c r="W23" s="948"/>
      <c r="X23" s="948"/>
      <c r="Y23" s="948"/>
      <c r="Z23" s="948"/>
    </row>
    <row r="24" spans="1:26" ht="18" customHeight="1" x14ac:dyDescent="0.35">
      <c r="A24" s="948"/>
      <c r="B24" s="1352"/>
      <c r="C24" s="1355"/>
      <c r="D24" s="1007" t="s">
        <v>128</v>
      </c>
      <c r="E24" s="1006"/>
      <c r="F24" s="1008">
        <v>18</v>
      </c>
      <c r="G24" s="1005"/>
      <c r="H24" s="1005"/>
      <c r="I24" s="1016"/>
      <c r="J24" s="1015"/>
      <c r="K24" s="1344"/>
      <c r="L24" s="639"/>
      <c r="M24" s="949"/>
      <c r="N24" s="948"/>
      <c r="O24" s="948"/>
      <c r="P24" s="948"/>
      <c r="Q24" s="948"/>
      <c r="R24" s="948"/>
      <c r="S24" s="948"/>
      <c r="T24" s="948"/>
      <c r="U24" s="948"/>
      <c r="V24" s="948"/>
      <c r="W24" s="948"/>
      <c r="X24" s="948"/>
      <c r="Y24" s="948"/>
      <c r="Z24" s="948"/>
    </row>
    <row r="25" spans="1:26" ht="18" customHeight="1" x14ac:dyDescent="0.35">
      <c r="A25" s="948"/>
      <c r="B25" s="1352"/>
      <c r="C25" s="1355"/>
      <c r="D25" s="1007" t="s">
        <v>129</v>
      </c>
      <c r="E25" s="1006"/>
      <c r="F25" s="1008">
        <v>3</v>
      </c>
      <c r="G25" s="1005"/>
      <c r="H25" s="1005"/>
      <c r="I25" s="1016"/>
      <c r="J25" s="1015"/>
      <c r="K25" s="1344"/>
      <c r="L25" s="639"/>
      <c r="M25" s="949"/>
      <c r="N25" s="948"/>
      <c r="O25" s="948"/>
      <c r="P25" s="948"/>
      <c r="Q25" s="948"/>
      <c r="R25" s="948"/>
      <c r="S25" s="948"/>
      <c r="T25" s="948"/>
      <c r="U25" s="948"/>
      <c r="V25" s="948"/>
      <c r="W25" s="948"/>
      <c r="X25" s="948"/>
      <c r="Y25" s="948"/>
      <c r="Z25" s="948"/>
    </row>
    <row r="26" spans="1:26" ht="18" customHeight="1" x14ac:dyDescent="0.35">
      <c r="A26" s="948"/>
      <c r="B26" s="1352"/>
      <c r="C26" s="1355"/>
      <c r="D26" s="1007" t="s">
        <v>130</v>
      </c>
      <c r="E26" s="1006"/>
      <c r="F26" s="1008">
        <v>2</v>
      </c>
      <c r="G26" s="1005"/>
      <c r="H26" s="1005"/>
      <c r="I26" s="1016"/>
      <c r="J26" s="1015"/>
      <c r="K26" s="1344"/>
      <c r="L26" s="1022"/>
      <c r="M26" s="949"/>
      <c r="N26" s="948"/>
      <c r="O26" s="948"/>
      <c r="P26" s="948"/>
      <c r="Q26" s="948"/>
      <c r="R26" s="948"/>
      <c r="S26" s="948"/>
      <c r="T26" s="948"/>
      <c r="U26" s="948"/>
      <c r="V26" s="948"/>
      <c r="W26" s="948"/>
      <c r="X26" s="948"/>
      <c r="Y26" s="948"/>
      <c r="Z26" s="948"/>
    </row>
    <row r="27" spans="1:26" ht="18" customHeight="1" thickBot="1" x14ac:dyDescent="0.4">
      <c r="A27" s="948"/>
      <c r="B27" s="1352"/>
      <c r="C27" s="1355"/>
      <c r="D27" s="1007" t="s">
        <v>131</v>
      </c>
      <c r="E27" s="1006"/>
      <c r="F27" s="1008">
        <v>3</v>
      </c>
      <c r="G27" s="1005"/>
      <c r="H27" s="1005"/>
      <c r="I27" s="1016"/>
      <c r="J27" s="1015"/>
      <c r="K27" s="1344"/>
      <c r="L27" s="639"/>
      <c r="M27" s="949"/>
      <c r="N27" s="948"/>
      <c r="O27" s="948"/>
      <c r="P27" s="948"/>
      <c r="Q27" s="948"/>
      <c r="R27" s="948"/>
      <c r="S27" s="948"/>
      <c r="T27" s="948"/>
      <c r="U27" s="948"/>
      <c r="V27" s="948"/>
      <c r="W27" s="948"/>
      <c r="X27" s="948"/>
      <c r="Y27" s="948"/>
      <c r="Z27" s="948"/>
    </row>
    <row r="28" spans="1:26" ht="18" customHeight="1" x14ac:dyDescent="0.35">
      <c r="A28" s="948"/>
      <c r="B28" s="1351">
        <v>4</v>
      </c>
      <c r="C28" s="1354" t="s">
        <v>134</v>
      </c>
      <c r="D28" s="1019" t="s">
        <v>127</v>
      </c>
      <c r="E28" s="1021"/>
      <c r="F28" s="1020">
        <v>7</v>
      </c>
      <c r="G28" s="1019"/>
      <c r="H28" s="1019"/>
      <c r="I28" s="1018"/>
      <c r="J28" s="1018"/>
      <c r="K28" s="1345"/>
      <c r="L28" s="1344"/>
      <c r="M28" s="949"/>
      <c r="N28" s="948"/>
      <c r="O28" s="948"/>
      <c r="P28" s="948"/>
      <c r="Q28" s="948"/>
      <c r="R28" s="948"/>
      <c r="S28" s="948"/>
      <c r="T28" s="948"/>
      <c r="U28" s="948"/>
      <c r="V28" s="948"/>
      <c r="W28" s="948"/>
      <c r="X28" s="948"/>
      <c r="Y28" s="948"/>
      <c r="Z28" s="948"/>
    </row>
    <row r="29" spans="1:26" ht="18" customHeight="1" x14ac:dyDescent="0.35">
      <c r="A29" s="948"/>
      <c r="B29" s="1352"/>
      <c r="C29" s="1355"/>
      <c r="D29" s="1007" t="s">
        <v>128</v>
      </c>
      <c r="E29" s="1006"/>
      <c r="F29" s="1017">
        <v>6</v>
      </c>
      <c r="G29" s="1005"/>
      <c r="H29" s="1005"/>
      <c r="I29" s="1015"/>
      <c r="J29" s="1015"/>
      <c r="K29" s="1346"/>
      <c r="L29" s="1347"/>
      <c r="M29" s="949"/>
      <c r="N29" s="948"/>
      <c r="O29" s="948"/>
      <c r="P29" s="948"/>
      <c r="Q29" s="948"/>
      <c r="R29" s="948"/>
      <c r="S29" s="948"/>
      <c r="T29" s="948"/>
      <c r="U29" s="948"/>
      <c r="V29" s="948"/>
      <c r="W29" s="948"/>
      <c r="X29" s="948"/>
      <c r="Y29" s="948"/>
      <c r="Z29" s="948"/>
    </row>
    <row r="30" spans="1:26" ht="18" x14ac:dyDescent="0.35">
      <c r="A30" s="948"/>
      <c r="B30" s="1352"/>
      <c r="C30" s="1355"/>
      <c r="D30" s="1007" t="s">
        <v>129</v>
      </c>
      <c r="E30" s="1006"/>
      <c r="F30" s="1008">
        <v>1</v>
      </c>
      <c r="G30" s="1005"/>
      <c r="H30" s="1005"/>
      <c r="I30" s="1016"/>
      <c r="J30" s="1015"/>
      <c r="K30" s="1344"/>
      <c r="L30" s="1344"/>
      <c r="M30" s="949"/>
      <c r="N30" s="948"/>
      <c r="O30" s="948"/>
      <c r="P30" s="948"/>
      <c r="Q30" s="948"/>
      <c r="R30" s="948"/>
      <c r="S30" s="948"/>
      <c r="T30" s="948"/>
      <c r="U30" s="948"/>
      <c r="V30" s="948"/>
      <c r="W30" s="948"/>
      <c r="X30" s="948"/>
      <c r="Y30" s="948"/>
      <c r="Z30" s="948"/>
    </row>
    <row r="31" spans="1:26" ht="18" customHeight="1" x14ac:dyDescent="0.35">
      <c r="A31" s="948"/>
      <c r="B31" s="1352"/>
      <c r="C31" s="1355"/>
      <c r="D31" s="1007" t="s">
        <v>130</v>
      </c>
      <c r="E31" s="1006"/>
      <c r="F31" s="1008">
        <v>0</v>
      </c>
      <c r="G31" s="1005"/>
      <c r="H31" s="1005"/>
      <c r="I31" s="1016"/>
      <c r="J31" s="1015"/>
      <c r="K31" s="1344"/>
      <c r="L31" s="1344"/>
      <c r="M31" s="949"/>
      <c r="N31" s="948"/>
      <c r="O31" s="948"/>
      <c r="P31" s="948"/>
      <c r="Q31" s="948"/>
      <c r="R31" s="948"/>
      <c r="S31" s="948"/>
      <c r="T31" s="948"/>
      <c r="U31" s="948"/>
      <c r="V31" s="948"/>
      <c r="W31" s="948"/>
      <c r="X31" s="948"/>
      <c r="Y31" s="948"/>
      <c r="Z31" s="948"/>
    </row>
    <row r="32" spans="1:26" ht="18" customHeight="1" x14ac:dyDescent="0.35">
      <c r="A32" s="948"/>
      <c r="B32" s="1352"/>
      <c r="C32" s="1355"/>
      <c r="D32" s="1014" t="s">
        <v>131</v>
      </c>
      <c r="E32" s="1013"/>
      <c r="F32" s="1012">
        <v>4</v>
      </c>
      <c r="G32" s="1009"/>
      <c r="H32" s="1009"/>
      <c r="I32" s="1011"/>
      <c r="J32" s="1010"/>
      <c r="K32" s="376"/>
      <c r="L32" s="376"/>
      <c r="M32" s="949"/>
      <c r="N32" s="948"/>
      <c r="O32" s="948"/>
      <c r="P32" s="948"/>
      <c r="Q32" s="948"/>
      <c r="R32" s="948"/>
      <c r="S32" s="948"/>
      <c r="T32" s="948"/>
      <c r="U32" s="948"/>
      <c r="V32" s="948"/>
      <c r="W32" s="948"/>
      <c r="X32" s="948"/>
      <c r="Y32" s="948"/>
      <c r="Z32" s="948"/>
    </row>
    <row r="33" spans="1:26" ht="18" customHeight="1" x14ac:dyDescent="0.35">
      <c r="A33" s="948"/>
      <c r="B33" s="1356">
        <v>5</v>
      </c>
      <c r="C33" s="1356" t="s">
        <v>135</v>
      </c>
      <c r="D33" s="1005" t="s">
        <v>127</v>
      </c>
      <c r="E33" s="1006"/>
      <c r="F33" s="1008">
        <v>2</v>
      </c>
      <c r="G33" s="1005"/>
      <c r="H33" s="1005"/>
      <c r="I33" s="1005"/>
      <c r="J33" s="961"/>
      <c r="K33" s="376"/>
      <c r="L33" s="376"/>
      <c r="M33" s="949"/>
      <c r="N33" s="948"/>
      <c r="O33" s="948"/>
      <c r="P33" s="948"/>
      <c r="Q33" s="948"/>
      <c r="R33" s="948"/>
      <c r="S33" s="948"/>
      <c r="T33" s="948"/>
      <c r="U33" s="948"/>
      <c r="V33" s="948"/>
      <c r="W33" s="948"/>
      <c r="X33" s="948"/>
      <c r="Y33" s="948"/>
      <c r="Z33" s="948"/>
    </row>
    <row r="34" spans="1:26" ht="18" customHeight="1" x14ac:dyDescent="0.35">
      <c r="A34" s="948"/>
      <c r="B34" s="1357"/>
      <c r="C34" s="1357"/>
      <c r="D34" s="1007" t="s">
        <v>128</v>
      </c>
      <c r="E34" s="1006"/>
      <c r="F34" s="1005">
        <v>2</v>
      </c>
      <c r="G34" s="1005"/>
      <c r="H34" s="1005"/>
      <c r="I34" s="1005"/>
      <c r="J34" s="961"/>
      <c r="K34" s="376"/>
      <c r="L34" s="376"/>
      <c r="M34" s="949"/>
      <c r="N34" s="948"/>
      <c r="O34" s="948"/>
      <c r="P34" s="948"/>
      <c r="Q34" s="948"/>
      <c r="R34" s="948"/>
      <c r="S34" s="948"/>
      <c r="T34" s="948"/>
      <c r="U34" s="948"/>
      <c r="V34" s="948"/>
      <c r="W34" s="948"/>
      <c r="X34" s="948"/>
      <c r="Y34" s="948"/>
      <c r="Z34" s="948"/>
    </row>
    <row r="35" spans="1:26" ht="18" customHeight="1" x14ac:dyDescent="0.35">
      <c r="A35" s="948"/>
      <c r="B35" s="1357"/>
      <c r="C35" s="1357"/>
      <c r="D35" s="1007" t="s">
        <v>129</v>
      </c>
      <c r="E35" s="1006"/>
      <c r="F35" s="1005">
        <v>0</v>
      </c>
      <c r="G35" s="1005"/>
      <c r="H35" s="1005"/>
      <c r="I35" s="1005"/>
      <c r="J35" s="961"/>
      <c r="K35" s="376"/>
      <c r="L35" s="376"/>
      <c r="M35" s="949"/>
      <c r="N35" s="948"/>
      <c r="O35" s="948"/>
      <c r="P35" s="948"/>
      <c r="Q35" s="948"/>
      <c r="R35" s="948"/>
      <c r="S35" s="948"/>
      <c r="T35" s="948"/>
      <c r="U35" s="948"/>
      <c r="V35" s="948"/>
      <c r="W35" s="948"/>
      <c r="X35" s="948"/>
      <c r="Y35" s="948"/>
      <c r="Z35" s="948"/>
    </row>
    <row r="36" spans="1:26" ht="18" customHeight="1" x14ac:dyDescent="0.35">
      <c r="A36" s="948"/>
      <c r="B36" s="1357"/>
      <c r="C36" s="1357"/>
      <c r="D36" s="1007" t="s">
        <v>130</v>
      </c>
      <c r="E36" s="1006"/>
      <c r="F36" s="1005">
        <v>0</v>
      </c>
      <c r="G36" s="1005"/>
      <c r="H36" s="1005"/>
      <c r="I36" s="1005"/>
      <c r="J36" s="961"/>
      <c r="K36" s="376"/>
      <c r="L36" s="376"/>
      <c r="M36" s="949"/>
      <c r="N36" s="948"/>
      <c r="O36" s="948"/>
      <c r="P36" s="948"/>
      <c r="Q36" s="948"/>
      <c r="R36" s="948"/>
      <c r="S36" s="948"/>
      <c r="T36" s="948"/>
      <c r="U36" s="948"/>
      <c r="V36" s="948"/>
      <c r="W36" s="948"/>
      <c r="X36" s="948"/>
      <c r="Y36" s="948"/>
      <c r="Z36" s="948"/>
    </row>
    <row r="37" spans="1:26" ht="18" customHeight="1" x14ac:dyDescent="0.35">
      <c r="A37" s="948"/>
      <c r="B37" s="1358"/>
      <c r="C37" s="1358"/>
      <c r="D37" s="1007" t="s">
        <v>131</v>
      </c>
      <c r="E37" s="1006"/>
      <c r="F37" s="1005">
        <v>0</v>
      </c>
      <c r="G37" s="1005"/>
      <c r="H37" s="1005"/>
      <c r="I37" s="1005"/>
      <c r="J37" s="961"/>
      <c r="K37" s="376"/>
      <c r="L37" s="376"/>
      <c r="M37" s="949"/>
      <c r="N37" s="948"/>
      <c r="O37" s="948"/>
      <c r="P37" s="948"/>
      <c r="Q37" s="948"/>
      <c r="R37" s="948"/>
      <c r="S37" s="948"/>
      <c r="T37" s="948"/>
      <c r="U37" s="948"/>
      <c r="V37" s="948"/>
      <c r="W37" s="948"/>
      <c r="X37" s="948"/>
      <c r="Y37" s="948"/>
      <c r="Z37" s="948"/>
    </row>
    <row r="38" spans="1:26" ht="18" customHeight="1" x14ac:dyDescent="0.35">
      <c r="A38" s="948"/>
      <c r="B38" s="1001"/>
      <c r="C38" s="1001"/>
      <c r="D38" s="1004"/>
      <c r="E38" s="1004"/>
      <c r="F38" s="1004"/>
      <c r="G38" s="1004"/>
      <c r="H38" s="1004"/>
      <c r="I38" s="1003"/>
      <c r="J38" s="1002"/>
      <c r="K38" s="376"/>
      <c r="L38" s="376"/>
      <c r="M38" s="949"/>
      <c r="N38" s="948"/>
      <c r="O38" s="948"/>
      <c r="P38" s="948"/>
      <c r="Q38" s="948"/>
      <c r="R38" s="948"/>
      <c r="S38" s="948"/>
      <c r="T38" s="948"/>
      <c r="U38" s="948"/>
      <c r="V38" s="948"/>
      <c r="W38" s="948"/>
      <c r="X38" s="948"/>
      <c r="Y38" s="948"/>
      <c r="Z38" s="948"/>
    </row>
    <row r="39" spans="1:26" ht="18" customHeight="1" x14ac:dyDescent="0.35">
      <c r="A39" s="948"/>
      <c r="B39" s="1001"/>
      <c r="C39" s="1001"/>
      <c r="D39" s="999" t="s">
        <v>122</v>
      </c>
      <c r="E39" s="999"/>
      <c r="F39" s="1000">
        <f>F13+F18+F23+F28+F33</f>
        <v>284</v>
      </c>
      <c r="G39" s="999"/>
      <c r="H39" s="999"/>
      <c r="I39" s="998"/>
      <c r="J39" s="997"/>
      <c r="K39" s="949"/>
      <c r="L39" s="949"/>
      <c r="M39" s="949"/>
      <c r="N39" s="948"/>
      <c r="O39" s="948"/>
      <c r="P39" s="948"/>
      <c r="Q39" s="948"/>
      <c r="R39" s="948"/>
      <c r="S39" s="948"/>
      <c r="T39" s="948"/>
      <c r="U39" s="948"/>
      <c r="V39" s="948"/>
      <c r="W39" s="948"/>
      <c r="X39" s="948"/>
      <c r="Y39" s="948"/>
      <c r="Z39" s="948"/>
    </row>
    <row r="40" spans="1:26" ht="18" customHeight="1" x14ac:dyDescent="0.35">
      <c r="A40" s="948"/>
      <c r="B40" s="996"/>
      <c r="C40" s="996"/>
      <c r="D40" s="376"/>
      <c r="E40" s="376"/>
      <c r="F40" s="376"/>
      <c r="G40" s="376"/>
      <c r="H40" s="376"/>
      <c r="I40" s="376"/>
      <c r="J40" s="376"/>
      <c r="K40" s="949"/>
      <c r="L40" s="949"/>
      <c r="M40" s="949"/>
      <c r="N40" s="948"/>
      <c r="O40" s="948"/>
      <c r="P40" s="948"/>
      <c r="Q40" s="948"/>
      <c r="R40" s="948"/>
      <c r="S40" s="948"/>
      <c r="T40" s="948"/>
      <c r="U40" s="948"/>
      <c r="V40" s="948"/>
      <c r="W40" s="948"/>
      <c r="X40" s="948"/>
      <c r="Y40" s="948"/>
      <c r="Z40" s="948"/>
    </row>
    <row r="41" spans="1:26" ht="18" customHeight="1" x14ac:dyDescent="0.35">
      <c r="A41" s="948"/>
      <c r="B41" s="996"/>
      <c r="C41" s="996"/>
      <c r="D41" s="376"/>
      <c r="E41" s="376"/>
      <c r="F41" s="376"/>
      <c r="G41" s="376"/>
      <c r="H41" s="376"/>
      <c r="I41" s="376"/>
      <c r="J41" s="376"/>
      <c r="K41" s="949"/>
      <c r="L41" s="949"/>
      <c r="M41" s="949"/>
      <c r="N41" s="948"/>
      <c r="O41" s="948"/>
      <c r="P41" s="948"/>
      <c r="Q41" s="948"/>
      <c r="R41" s="948"/>
      <c r="S41" s="948"/>
      <c r="T41" s="948"/>
      <c r="U41" s="948"/>
      <c r="V41" s="948"/>
      <c r="W41" s="948"/>
      <c r="X41" s="948"/>
      <c r="Y41" s="948"/>
      <c r="Z41" s="948"/>
    </row>
    <row r="42" spans="1:26" ht="18" customHeight="1" thickBot="1" x14ac:dyDescent="0.4">
      <c r="A42" s="948"/>
      <c r="B42" s="996"/>
      <c r="C42" s="996"/>
      <c r="D42" s="376"/>
      <c r="E42" s="376"/>
      <c r="F42" s="376"/>
      <c r="G42" s="376"/>
      <c r="H42" s="376"/>
      <c r="I42" s="376"/>
      <c r="J42" s="376"/>
      <c r="K42" s="949"/>
      <c r="L42" s="949"/>
      <c r="M42" s="949"/>
      <c r="N42" s="948"/>
      <c r="O42" s="948"/>
      <c r="P42" s="948"/>
      <c r="Q42" s="948"/>
      <c r="R42" s="948"/>
      <c r="S42" s="948"/>
      <c r="T42" s="948"/>
      <c r="U42" s="948"/>
      <c r="V42" s="948"/>
      <c r="W42" s="948"/>
      <c r="X42" s="948"/>
      <c r="Y42" s="948"/>
      <c r="Z42" s="948"/>
    </row>
    <row r="43" spans="1:26" ht="18" customHeight="1" thickBot="1" x14ac:dyDescent="0.55000000000000004">
      <c r="A43" s="948"/>
      <c r="B43" s="1348"/>
      <c r="C43" s="1349"/>
      <c r="D43" s="1349"/>
      <c r="E43" s="1349"/>
      <c r="F43" s="1349"/>
      <c r="G43" s="1349"/>
      <c r="H43" s="1349"/>
      <c r="I43" s="1349"/>
      <c r="J43" s="1349"/>
      <c r="K43" s="1350"/>
      <c r="L43" s="949"/>
      <c r="M43" s="949"/>
      <c r="N43" s="948"/>
      <c r="O43" s="948"/>
      <c r="P43" s="948"/>
      <c r="Q43" s="948"/>
      <c r="R43" s="948"/>
      <c r="S43" s="948"/>
      <c r="T43" s="948"/>
      <c r="U43" s="948"/>
      <c r="V43" s="948"/>
      <c r="W43" s="948"/>
      <c r="X43" s="948"/>
      <c r="Y43" s="948"/>
      <c r="Z43" s="948"/>
    </row>
    <row r="44" spans="1:26" ht="27.6" x14ac:dyDescent="0.3">
      <c r="A44" s="948"/>
      <c r="B44" s="995" t="s">
        <v>22</v>
      </c>
      <c r="C44" s="994" t="s">
        <v>23</v>
      </c>
      <c r="D44" s="994" t="s">
        <v>24</v>
      </c>
      <c r="E44" s="994" t="s">
        <v>25</v>
      </c>
      <c r="F44" s="994" t="s">
        <v>56</v>
      </c>
      <c r="G44" s="994" t="s">
        <v>57</v>
      </c>
      <c r="H44" s="994" t="s">
        <v>58</v>
      </c>
      <c r="I44" s="994" t="s">
        <v>59</v>
      </c>
      <c r="J44" s="994" t="s">
        <v>60</v>
      </c>
      <c r="K44" s="994" t="s">
        <v>61</v>
      </c>
      <c r="L44" s="994" t="s">
        <v>62</v>
      </c>
      <c r="M44" s="993" t="s">
        <v>33</v>
      </c>
      <c r="N44" s="948"/>
      <c r="O44" s="948"/>
      <c r="P44" s="948"/>
      <c r="Q44" s="948"/>
      <c r="R44" s="948"/>
      <c r="S44" s="948"/>
      <c r="T44" s="948"/>
      <c r="U44" s="948"/>
      <c r="V44" s="948"/>
      <c r="W44" s="948"/>
      <c r="X44" s="948"/>
      <c r="Y44" s="948"/>
      <c r="Z44" s="948"/>
    </row>
    <row r="45" spans="1:26" ht="63.75" customHeight="1" x14ac:dyDescent="0.3">
      <c r="A45" s="948"/>
      <c r="B45" s="992" t="s">
        <v>63</v>
      </c>
      <c r="C45" s="991" t="s">
        <v>64</v>
      </c>
      <c r="D45" s="991">
        <f>'Master Sheet'!D45</f>
        <v>292</v>
      </c>
      <c r="E45" s="991">
        <f>'Master Sheet'!E45</f>
        <v>316</v>
      </c>
      <c r="F45" s="991">
        <f>'Master Sheet'!F45</f>
        <v>277</v>
      </c>
      <c r="G45" s="991">
        <f>'Master Sheet'!G45</f>
        <v>15</v>
      </c>
      <c r="H45" s="991">
        <f>'Master Sheet'!H45</f>
        <v>0</v>
      </c>
      <c r="I45" s="991">
        <f>'Master Sheet'!I45</f>
        <v>15</v>
      </c>
      <c r="J45" s="991">
        <f>'Master Sheet'!J45</f>
        <v>0</v>
      </c>
      <c r="K45" s="991">
        <f>'Master Sheet'!K45</f>
        <v>277</v>
      </c>
      <c r="L45" s="1113">
        <f>'Master Sheet'!L45</f>
        <v>39</v>
      </c>
      <c r="M45" s="990"/>
      <c r="N45" s="948"/>
      <c r="O45" s="948"/>
      <c r="P45" s="948"/>
      <c r="Q45" s="948"/>
      <c r="R45" s="948"/>
      <c r="S45" s="948"/>
      <c r="T45" s="948"/>
      <c r="U45" s="948"/>
      <c r="V45" s="948"/>
      <c r="W45" s="948"/>
      <c r="X45" s="948"/>
      <c r="Y45" s="948"/>
      <c r="Z45" s="948"/>
    </row>
    <row r="46" spans="1:26" ht="13.8" x14ac:dyDescent="0.3">
      <c r="A46" s="948"/>
      <c r="B46" s="989" t="s">
        <v>65</v>
      </c>
      <c r="C46" s="988" t="s">
        <v>66</v>
      </c>
      <c r="D46" s="988">
        <f>'Master Sheet'!D46</f>
        <v>292</v>
      </c>
      <c r="E46" s="988">
        <f>'Master Sheet'!E46</f>
        <v>316</v>
      </c>
      <c r="F46" s="988">
        <f>'Master Sheet'!F46</f>
        <v>284</v>
      </c>
      <c r="G46" s="988">
        <f>'Master Sheet'!G46</f>
        <v>8</v>
      </c>
      <c r="H46" s="988">
        <f>'Master Sheet'!H46</f>
        <v>0</v>
      </c>
      <c r="I46" s="988">
        <f>'Master Sheet'!I46</f>
        <v>8</v>
      </c>
      <c r="J46" s="988">
        <f>'Master Sheet'!J46</f>
        <v>0</v>
      </c>
      <c r="K46" s="988">
        <f>'Master Sheet'!K46</f>
        <v>284</v>
      </c>
      <c r="L46" s="1114">
        <f>'Master Sheet'!L46</f>
        <v>32</v>
      </c>
      <c r="M46" s="987"/>
      <c r="N46" s="948"/>
      <c r="O46" s="948"/>
      <c r="P46" s="948"/>
      <c r="Q46" s="948"/>
      <c r="R46" s="948"/>
      <c r="S46" s="948"/>
      <c r="T46" s="948"/>
      <c r="U46" s="948"/>
      <c r="V46" s="948"/>
      <c r="W46" s="948"/>
      <c r="X46" s="948"/>
      <c r="Y46" s="948"/>
      <c r="Z46" s="948"/>
    </row>
    <row r="47" spans="1:26" ht="49.2" customHeight="1" thickBot="1" x14ac:dyDescent="0.35">
      <c r="A47" s="948"/>
      <c r="B47" s="986" t="s">
        <v>543</v>
      </c>
      <c r="C47" s="985" t="s">
        <v>35</v>
      </c>
      <c r="D47" s="985">
        <f>'Master Sheet'!D47</f>
        <v>4118</v>
      </c>
      <c r="E47" s="985">
        <f>'Master Sheet'!E47</f>
        <v>3800</v>
      </c>
      <c r="F47" s="985">
        <f>'Master Sheet'!F47</f>
        <v>4109.0569999999998</v>
      </c>
      <c r="G47" s="985">
        <f>'Master Sheet'!G47</f>
        <v>8.943000000000211</v>
      </c>
      <c r="H47" s="985">
        <f>'Master Sheet'!H47</f>
        <v>514</v>
      </c>
      <c r="I47" s="985">
        <f>'Master Sheet'!I47</f>
        <v>8.943000000000211</v>
      </c>
      <c r="J47" s="985">
        <f>'Master Sheet'!J47</f>
        <v>0</v>
      </c>
      <c r="K47" s="985">
        <f>'Master Sheet'!K47</f>
        <v>4109.0569999999998</v>
      </c>
      <c r="L47" s="985">
        <f>'Master Sheet'!L47</f>
        <v>204.94300000000021</v>
      </c>
      <c r="M47" s="984"/>
      <c r="N47" s="948"/>
      <c r="O47" s="948"/>
      <c r="P47" s="948"/>
      <c r="Q47" s="948"/>
      <c r="R47" s="948"/>
      <c r="S47" s="948"/>
      <c r="T47" s="948"/>
      <c r="U47" s="948"/>
      <c r="V47" s="948"/>
      <c r="W47" s="948"/>
      <c r="X47" s="948"/>
      <c r="Y47" s="948"/>
      <c r="Z47" s="948"/>
    </row>
    <row r="48" spans="1:26" ht="18" customHeight="1" x14ac:dyDescent="0.35">
      <c r="A48" s="948"/>
      <c r="B48" s="376"/>
      <c r="C48" s="376"/>
      <c r="D48" s="376"/>
      <c r="E48" s="376"/>
      <c r="F48" s="376"/>
      <c r="G48" s="376"/>
      <c r="H48" s="376"/>
      <c r="I48" s="376"/>
      <c r="J48" s="376"/>
      <c r="K48" s="949"/>
      <c r="L48" s="949"/>
      <c r="M48" s="949"/>
      <c r="N48" s="948"/>
      <c r="O48" s="948"/>
      <c r="P48" s="948"/>
      <c r="Q48" s="948"/>
      <c r="R48" s="948"/>
      <c r="S48" s="948"/>
      <c r="T48" s="948"/>
      <c r="U48" s="948"/>
      <c r="V48" s="948"/>
      <c r="W48" s="948"/>
      <c r="X48" s="948"/>
      <c r="Y48" s="948"/>
      <c r="Z48" s="948"/>
    </row>
    <row r="49" spans="1:26" ht="18" customHeight="1" thickBot="1" x14ac:dyDescent="0.4">
      <c r="A49" s="948"/>
      <c r="B49" s="376"/>
      <c r="C49" s="376"/>
      <c r="D49" s="376"/>
      <c r="E49" s="376"/>
      <c r="F49" s="376"/>
      <c r="G49" s="376"/>
      <c r="H49" s="376"/>
      <c r="I49" s="376"/>
      <c r="J49" s="376"/>
      <c r="K49" s="949"/>
      <c r="L49" s="949"/>
      <c r="M49" s="949"/>
      <c r="N49" s="948"/>
      <c r="O49" s="948"/>
      <c r="P49" s="948"/>
      <c r="Q49" s="948"/>
      <c r="R49" s="948"/>
      <c r="S49" s="948"/>
      <c r="T49" s="948"/>
      <c r="U49" s="948"/>
      <c r="V49" s="948"/>
      <c r="W49" s="948"/>
      <c r="X49" s="948"/>
      <c r="Y49" s="948"/>
      <c r="Z49" s="948"/>
    </row>
    <row r="50" spans="1:26" ht="18" customHeight="1" thickBot="1" x14ac:dyDescent="0.35">
      <c r="A50" s="948"/>
      <c r="B50" s="1359" t="s">
        <v>136</v>
      </c>
      <c r="C50" s="1349"/>
      <c r="D50" s="1349"/>
      <c r="E50" s="1349"/>
      <c r="F50" s="1349"/>
      <c r="G50" s="1349"/>
      <c r="H50" s="1349"/>
      <c r="I50" s="1349"/>
      <c r="J50" s="1350"/>
      <c r="K50" s="982"/>
      <c r="L50" s="981"/>
      <c r="M50" s="980"/>
      <c r="N50" s="948"/>
      <c r="O50" s="948"/>
      <c r="P50" s="948"/>
      <c r="Q50" s="948"/>
      <c r="R50" s="948"/>
      <c r="S50" s="948"/>
      <c r="T50" s="948"/>
      <c r="U50" s="948"/>
      <c r="V50" s="948"/>
      <c r="W50" s="948"/>
      <c r="X50" s="948"/>
      <c r="Y50" s="948"/>
      <c r="Z50" s="948"/>
    </row>
    <row r="51" spans="1:26" ht="41.4" x14ac:dyDescent="0.3">
      <c r="A51" s="948"/>
      <c r="B51" s="979" t="s">
        <v>137</v>
      </c>
      <c r="C51" s="978" t="s">
        <v>138</v>
      </c>
      <c r="D51" s="978" t="s">
        <v>23</v>
      </c>
      <c r="E51" s="978" t="s">
        <v>139</v>
      </c>
      <c r="F51" s="978" t="s">
        <v>1057</v>
      </c>
      <c r="G51" s="978" t="s">
        <v>1058</v>
      </c>
      <c r="H51" s="978" t="s">
        <v>140</v>
      </c>
      <c r="I51" s="977" t="s">
        <v>1059</v>
      </c>
      <c r="J51" s="976" t="s">
        <v>1060</v>
      </c>
      <c r="K51" s="976" t="s">
        <v>1061</v>
      </c>
      <c r="L51" s="975" t="s">
        <v>141</v>
      </c>
      <c r="M51" s="975" t="s">
        <v>142</v>
      </c>
      <c r="N51" s="948"/>
      <c r="O51" s="948"/>
      <c r="P51" s="948"/>
      <c r="Q51" s="948"/>
      <c r="R51" s="948"/>
      <c r="S51" s="948"/>
      <c r="T51" s="948"/>
      <c r="U51" s="948"/>
      <c r="V51" s="948"/>
      <c r="W51" s="948"/>
      <c r="X51" s="948"/>
      <c r="Y51" s="948"/>
      <c r="Z51" s="948"/>
    </row>
    <row r="52" spans="1:26" ht="18" customHeight="1" x14ac:dyDescent="0.3">
      <c r="A52" s="948"/>
      <c r="B52" s="957">
        <v>1</v>
      </c>
      <c r="C52" s="961" t="s">
        <v>143</v>
      </c>
      <c r="D52" s="974" t="s">
        <v>144</v>
      </c>
      <c r="E52" s="973">
        <v>292</v>
      </c>
      <c r="F52" s="961">
        <f>'Master Sheet'!E45</f>
        <v>316</v>
      </c>
      <c r="G52" s="961">
        <f>'Master Sheet'!F45</f>
        <v>277</v>
      </c>
      <c r="H52" s="964">
        <f>'Master Sheet'!H45</f>
        <v>0</v>
      </c>
      <c r="I52" s="964">
        <f>E52-G52</f>
        <v>15</v>
      </c>
      <c r="J52" s="968">
        <v>0</v>
      </c>
      <c r="K52" s="967">
        <v>51</v>
      </c>
      <c r="L52" s="952">
        <v>277</v>
      </c>
      <c r="M52" s="963">
        <f>E52-L52</f>
        <v>15</v>
      </c>
      <c r="N52" s="948"/>
      <c r="O52" s="948"/>
      <c r="P52" s="948"/>
      <c r="Q52" s="948"/>
      <c r="R52" s="948"/>
      <c r="S52" s="948"/>
      <c r="T52" s="948"/>
      <c r="U52" s="948"/>
      <c r="V52" s="948"/>
      <c r="W52" s="948"/>
      <c r="X52" s="948"/>
      <c r="Y52" s="948"/>
      <c r="Z52" s="948"/>
    </row>
    <row r="53" spans="1:26" ht="18" customHeight="1" x14ac:dyDescent="0.3">
      <c r="A53" s="948"/>
      <c r="B53" s="957">
        <v>2</v>
      </c>
      <c r="C53" s="961" t="s">
        <v>145</v>
      </c>
      <c r="D53" s="961" t="s">
        <v>146</v>
      </c>
      <c r="E53" s="973">
        <v>292</v>
      </c>
      <c r="F53" s="961">
        <f>'Master Sheet'!E46</f>
        <v>316</v>
      </c>
      <c r="G53" s="961">
        <f>'Master Sheet'!F46</f>
        <v>284</v>
      </c>
      <c r="H53" s="969">
        <v>0</v>
      </c>
      <c r="I53" s="964">
        <f>E53-G53</f>
        <v>8</v>
      </c>
      <c r="J53" s="969">
        <v>0</v>
      </c>
      <c r="K53" s="961">
        <v>28</v>
      </c>
      <c r="L53" s="952">
        <v>284</v>
      </c>
      <c r="M53" s="963">
        <f>E53-L53</f>
        <v>8</v>
      </c>
      <c r="N53" s="948"/>
      <c r="O53" s="948"/>
      <c r="P53" s="948"/>
      <c r="Q53" s="948"/>
      <c r="R53" s="948"/>
      <c r="S53" s="948"/>
      <c r="T53" s="948"/>
      <c r="U53" s="948"/>
      <c r="V53" s="948"/>
      <c r="W53" s="948"/>
      <c r="X53" s="948"/>
      <c r="Y53" s="948"/>
      <c r="Z53" s="948"/>
    </row>
    <row r="54" spans="1:26" ht="18" customHeight="1" x14ac:dyDescent="0.3">
      <c r="A54" s="948"/>
      <c r="B54" s="957">
        <v>3</v>
      </c>
      <c r="C54" s="961" t="s">
        <v>147</v>
      </c>
      <c r="D54" s="974" t="s">
        <v>148</v>
      </c>
      <c r="E54" s="973">
        <v>114</v>
      </c>
      <c r="F54" s="965">
        <v>110</v>
      </c>
      <c r="G54" s="965">
        <v>86</v>
      </c>
      <c r="H54" s="969">
        <v>18</v>
      </c>
      <c r="I54" s="964">
        <f>E54-G54</f>
        <v>28</v>
      </c>
      <c r="J54" s="968">
        <v>0</v>
      </c>
      <c r="K54" s="967">
        <v>0</v>
      </c>
      <c r="L54" s="952">
        <v>86</v>
      </c>
      <c r="M54" s="963">
        <f>E54-L54</f>
        <v>28</v>
      </c>
      <c r="N54" s="948"/>
      <c r="O54" s="948"/>
      <c r="P54" s="948"/>
      <c r="Q54" s="948"/>
      <c r="R54" s="948"/>
      <c r="S54" s="948"/>
      <c r="T54" s="948"/>
      <c r="U54" s="948"/>
      <c r="V54" s="948"/>
      <c r="W54" s="948"/>
      <c r="X54" s="948"/>
      <c r="Y54" s="948"/>
      <c r="Z54" s="948"/>
    </row>
    <row r="55" spans="1:26" ht="18" customHeight="1" x14ac:dyDescent="0.3">
      <c r="A55" s="948"/>
      <c r="B55" s="957">
        <v>4</v>
      </c>
      <c r="C55" s="961" t="s">
        <v>149</v>
      </c>
      <c r="D55" s="974" t="s">
        <v>148</v>
      </c>
      <c r="E55" s="973">
        <v>4118</v>
      </c>
      <c r="F55" s="961">
        <f>'Master Sheet'!E47</f>
        <v>3800</v>
      </c>
      <c r="G55" s="961">
        <f>'Master Sheet'!F47</f>
        <v>4109.0569999999998</v>
      </c>
      <c r="H55" s="969">
        <v>514</v>
      </c>
      <c r="I55" s="964">
        <f>E55-G55</f>
        <v>8.943000000000211</v>
      </c>
      <c r="J55" s="968">
        <v>0</v>
      </c>
      <c r="K55" s="967">
        <v>143.66499999999999</v>
      </c>
      <c r="L55" s="952">
        <v>4109.0569999999998</v>
      </c>
      <c r="M55" s="963">
        <f>E55-L55</f>
        <v>8.943000000000211</v>
      </c>
      <c r="N55" s="948"/>
      <c r="O55" s="948"/>
      <c r="P55" s="948"/>
      <c r="Q55" s="948"/>
      <c r="R55" s="948"/>
      <c r="S55" s="948"/>
      <c r="T55" s="948"/>
      <c r="U55" s="948"/>
      <c r="V55" s="948"/>
      <c r="W55" s="948"/>
      <c r="X55" s="948"/>
      <c r="Y55" s="948"/>
      <c r="Z55" s="948"/>
    </row>
    <row r="56" spans="1:26" ht="18" customHeight="1" x14ac:dyDescent="0.3">
      <c r="A56" s="948"/>
      <c r="B56" s="957">
        <v>5</v>
      </c>
      <c r="C56" s="961" t="s">
        <v>150</v>
      </c>
      <c r="D56" s="961" t="s">
        <v>151</v>
      </c>
      <c r="E56" s="955">
        <v>1</v>
      </c>
      <c r="F56" s="953">
        <v>0.9</v>
      </c>
      <c r="G56" s="953">
        <f>F56</f>
        <v>0.9</v>
      </c>
      <c r="H56" s="953">
        <v>0.1</v>
      </c>
      <c r="I56" s="953">
        <v>0.1</v>
      </c>
      <c r="J56" s="972">
        <v>0</v>
      </c>
      <c r="K56" s="962">
        <v>0.2</v>
      </c>
      <c r="L56" s="1115">
        <v>0.9</v>
      </c>
      <c r="M56" s="951">
        <v>1</v>
      </c>
      <c r="N56" s="948"/>
      <c r="O56" s="948"/>
      <c r="P56" s="948"/>
      <c r="Q56" s="948"/>
      <c r="R56" s="948"/>
      <c r="S56" s="948"/>
      <c r="T56" s="948"/>
      <c r="U56" s="948"/>
      <c r="V56" s="948"/>
      <c r="W56" s="948"/>
      <c r="X56" s="948"/>
      <c r="Y56" s="948"/>
      <c r="Z56" s="948"/>
    </row>
    <row r="57" spans="1:26" ht="18" customHeight="1" x14ac:dyDescent="0.3">
      <c r="A57" s="948"/>
      <c r="B57" s="957">
        <v>6</v>
      </c>
      <c r="C57" s="961" t="s">
        <v>152</v>
      </c>
      <c r="D57" s="961" t="s">
        <v>146</v>
      </c>
      <c r="E57" s="971">
        <v>12384</v>
      </c>
      <c r="F57" s="970">
        <v>11869</v>
      </c>
      <c r="G57" s="965">
        <v>0</v>
      </c>
      <c r="H57" s="969">
        <v>1477</v>
      </c>
      <c r="I57" s="964">
        <f t="shared" ref="I57:I63" si="0">E57-G57</f>
        <v>12384</v>
      </c>
      <c r="J57" s="968">
        <v>0</v>
      </c>
      <c r="K57" s="967">
        <v>0</v>
      </c>
      <c r="L57" s="952">
        <f t="shared" ref="L57:L62" si="1">K57+G57</f>
        <v>0</v>
      </c>
      <c r="M57" s="963">
        <f t="shared" ref="M57:M63" si="2">E57-L57</f>
        <v>12384</v>
      </c>
      <c r="N57" s="948"/>
      <c r="O57" s="948"/>
      <c r="P57" s="948"/>
      <c r="Q57" s="948"/>
      <c r="R57" s="948"/>
      <c r="S57" s="948"/>
      <c r="T57" s="948"/>
      <c r="U57" s="948"/>
      <c r="V57" s="948"/>
      <c r="W57" s="948"/>
      <c r="X57" s="948"/>
      <c r="Y57" s="948"/>
      <c r="Z57" s="948"/>
    </row>
    <row r="58" spans="1:26" ht="18" customHeight="1" x14ac:dyDescent="0.3">
      <c r="A58" s="948"/>
      <c r="B58" s="957">
        <v>7</v>
      </c>
      <c r="C58" s="961" t="s">
        <v>153</v>
      </c>
      <c r="D58" s="961" t="s">
        <v>151</v>
      </c>
      <c r="E58" s="955">
        <v>1</v>
      </c>
      <c r="F58" s="966">
        <v>0.5</v>
      </c>
      <c r="G58" s="965">
        <v>0</v>
      </c>
      <c r="H58" s="953">
        <v>0.5</v>
      </c>
      <c r="I58" s="964">
        <f t="shared" si="0"/>
        <v>1</v>
      </c>
      <c r="J58" s="959">
        <v>0</v>
      </c>
      <c r="K58" s="959">
        <v>0</v>
      </c>
      <c r="L58" s="952">
        <f t="shared" si="1"/>
        <v>0</v>
      </c>
      <c r="M58" s="963">
        <f t="shared" si="2"/>
        <v>1</v>
      </c>
      <c r="N58" s="948"/>
      <c r="O58" s="948"/>
      <c r="P58" s="948"/>
      <c r="Q58" s="948"/>
      <c r="R58" s="948"/>
      <c r="S58" s="948"/>
      <c r="T58" s="948"/>
      <c r="U58" s="948"/>
      <c r="V58" s="948"/>
      <c r="W58" s="948"/>
      <c r="X58" s="948"/>
      <c r="Y58" s="948"/>
      <c r="Z58" s="948"/>
    </row>
    <row r="59" spans="1:26" ht="18" customHeight="1" x14ac:dyDescent="0.3">
      <c r="A59" s="948"/>
      <c r="B59" s="957">
        <v>8</v>
      </c>
      <c r="C59" s="961" t="s">
        <v>154</v>
      </c>
      <c r="D59" s="961" t="s">
        <v>151</v>
      </c>
      <c r="E59" s="955">
        <v>1</v>
      </c>
      <c r="F59" s="960">
        <v>0.5</v>
      </c>
      <c r="G59" s="953">
        <v>0</v>
      </c>
      <c r="H59" s="953">
        <v>0.5</v>
      </c>
      <c r="I59" s="953">
        <f t="shared" si="0"/>
        <v>1</v>
      </c>
      <c r="J59" s="959">
        <v>0</v>
      </c>
      <c r="K59" s="959">
        <v>0</v>
      </c>
      <c r="L59" s="952">
        <f t="shared" si="1"/>
        <v>0</v>
      </c>
      <c r="M59" s="951">
        <f t="shared" si="2"/>
        <v>1</v>
      </c>
      <c r="N59" s="948"/>
      <c r="O59" s="948"/>
      <c r="P59" s="948"/>
      <c r="Q59" s="948"/>
      <c r="R59" s="948"/>
      <c r="S59" s="948"/>
      <c r="T59" s="948"/>
      <c r="U59" s="948"/>
      <c r="V59" s="948"/>
      <c r="W59" s="948"/>
      <c r="X59" s="948"/>
      <c r="Y59" s="948"/>
      <c r="Z59" s="948"/>
    </row>
    <row r="60" spans="1:26" ht="18" customHeight="1" x14ac:dyDescent="0.3">
      <c r="A60" s="948"/>
      <c r="B60" s="957">
        <v>9</v>
      </c>
      <c r="C60" s="961" t="s">
        <v>155</v>
      </c>
      <c r="D60" s="961" t="s">
        <v>151</v>
      </c>
      <c r="E60" s="955">
        <v>1</v>
      </c>
      <c r="F60" s="953">
        <v>1</v>
      </c>
      <c r="G60" s="953">
        <v>0.92</v>
      </c>
      <c r="H60" s="953">
        <v>0</v>
      </c>
      <c r="I60" s="953">
        <f t="shared" si="0"/>
        <v>7.999999999999996E-2</v>
      </c>
      <c r="J60" s="953">
        <v>0</v>
      </c>
      <c r="K60" s="953">
        <v>0</v>
      </c>
      <c r="L60" s="962">
        <f t="shared" si="1"/>
        <v>0.92</v>
      </c>
      <c r="M60" s="951">
        <f t="shared" si="2"/>
        <v>7.999999999999996E-2</v>
      </c>
      <c r="N60" s="948"/>
      <c r="O60" s="948">
        <f>50/296</f>
        <v>0.16891891891891891</v>
      </c>
      <c r="P60" s="948"/>
      <c r="Q60" s="948"/>
      <c r="R60" s="948"/>
      <c r="S60" s="948"/>
      <c r="T60" s="948"/>
      <c r="U60" s="948"/>
      <c r="V60" s="948"/>
      <c r="W60" s="948"/>
      <c r="X60" s="948"/>
      <c r="Y60" s="948"/>
      <c r="Z60" s="948"/>
    </row>
    <row r="61" spans="1:26" ht="18" customHeight="1" x14ac:dyDescent="0.3">
      <c r="A61" s="948"/>
      <c r="B61" s="957">
        <v>10</v>
      </c>
      <c r="C61" s="961" t="s">
        <v>156</v>
      </c>
      <c r="D61" s="961" t="s">
        <v>151</v>
      </c>
      <c r="E61" s="955">
        <v>1</v>
      </c>
      <c r="F61" s="953">
        <v>0.9</v>
      </c>
      <c r="G61" s="953">
        <v>0.9</v>
      </c>
      <c r="H61" s="953">
        <v>0.1</v>
      </c>
      <c r="I61" s="953">
        <f t="shared" si="0"/>
        <v>9.9999999999999978E-2</v>
      </c>
      <c r="J61" s="960">
        <v>0</v>
      </c>
      <c r="K61" s="953">
        <v>0</v>
      </c>
      <c r="L61" s="962">
        <f t="shared" si="1"/>
        <v>0.9</v>
      </c>
      <c r="M61" s="951">
        <f t="shared" si="2"/>
        <v>9.9999999999999978E-2</v>
      </c>
      <c r="N61" s="948"/>
      <c r="O61" s="948">
        <f>132/296</f>
        <v>0.44594594594594594</v>
      </c>
      <c r="P61" s="948"/>
      <c r="Q61" s="948"/>
      <c r="R61" s="948"/>
      <c r="S61" s="948"/>
      <c r="T61" s="948"/>
      <c r="U61" s="948"/>
      <c r="V61" s="948"/>
      <c r="W61" s="948"/>
      <c r="X61" s="948"/>
      <c r="Y61" s="948"/>
      <c r="Z61" s="948"/>
    </row>
    <row r="62" spans="1:26" ht="18" customHeight="1" x14ac:dyDescent="0.3">
      <c r="A62" s="948"/>
      <c r="B62" s="957">
        <v>11</v>
      </c>
      <c r="C62" s="961" t="s">
        <v>157</v>
      </c>
      <c r="D62" s="961" t="s">
        <v>151</v>
      </c>
      <c r="E62" s="955">
        <v>1</v>
      </c>
      <c r="F62" s="960">
        <v>0.2</v>
      </c>
      <c r="G62" s="953">
        <v>0</v>
      </c>
      <c r="H62" s="959">
        <v>0</v>
      </c>
      <c r="I62" s="953">
        <f t="shared" si="0"/>
        <v>1</v>
      </c>
      <c r="J62" s="958">
        <v>0</v>
      </c>
      <c r="K62" s="953">
        <v>0</v>
      </c>
      <c r="L62" s="952">
        <f t="shared" si="1"/>
        <v>0</v>
      </c>
      <c r="M62" s="951">
        <f t="shared" si="2"/>
        <v>1</v>
      </c>
      <c r="N62" s="948"/>
      <c r="O62" s="948"/>
      <c r="P62" s="948"/>
      <c r="Q62" s="948"/>
      <c r="R62" s="948"/>
      <c r="S62" s="948"/>
      <c r="T62" s="948"/>
      <c r="U62" s="948"/>
      <c r="V62" s="948"/>
      <c r="W62" s="948"/>
      <c r="X62" s="948"/>
      <c r="Y62" s="948"/>
      <c r="Z62" s="948"/>
    </row>
    <row r="63" spans="1:26" ht="18" customHeight="1" thickBot="1" x14ac:dyDescent="0.35">
      <c r="A63" s="948"/>
      <c r="B63" s="957">
        <v>12</v>
      </c>
      <c r="C63" s="956" t="s">
        <v>158</v>
      </c>
      <c r="D63" s="956" t="s">
        <v>151</v>
      </c>
      <c r="E63" s="955">
        <v>1</v>
      </c>
      <c r="F63" s="953">
        <v>0.9</v>
      </c>
      <c r="G63" s="953">
        <v>0.9</v>
      </c>
      <c r="H63" s="953">
        <v>0.1</v>
      </c>
      <c r="I63" s="953">
        <f t="shared" si="0"/>
        <v>9.9999999999999978E-2</v>
      </c>
      <c r="J63" s="954">
        <v>0.4</v>
      </c>
      <c r="K63" s="953">
        <v>0.75</v>
      </c>
      <c r="L63" s="1115">
        <v>0.9</v>
      </c>
      <c r="M63" s="951">
        <f t="shared" si="2"/>
        <v>9.9999999999999978E-2</v>
      </c>
      <c r="N63" s="948"/>
      <c r="O63" s="948"/>
      <c r="P63" s="948"/>
      <c r="Q63" s="948"/>
      <c r="R63" s="948"/>
      <c r="S63" s="948"/>
      <c r="T63" s="948"/>
      <c r="U63" s="948"/>
      <c r="V63" s="948"/>
      <c r="W63" s="948"/>
      <c r="X63" s="948"/>
      <c r="Y63" s="948"/>
      <c r="Z63" s="948"/>
    </row>
    <row r="64" spans="1:26" ht="18" customHeight="1" x14ac:dyDescent="0.35">
      <c r="A64" s="948"/>
      <c r="B64" s="376"/>
      <c r="C64" s="376"/>
      <c r="D64" s="376"/>
      <c r="E64" s="376"/>
      <c r="F64" s="376"/>
      <c r="G64" s="376"/>
      <c r="H64" s="376"/>
      <c r="I64" s="376"/>
      <c r="J64" s="376"/>
      <c r="K64" s="949"/>
      <c r="L64" s="949"/>
      <c r="M64" s="949"/>
      <c r="N64" s="948"/>
      <c r="O64" s="948"/>
      <c r="P64" s="948"/>
      <c r="Q64" s="948"/>
      <c r="R64" s="948"/>
      <c r="S64" s="948"/>
      <c r="T64" s="948"/>
      <c r="U64" s="948"/>
      <c r="V64" s="948"/>
      <c r="W64" s="948"/>
      <c r="X64" s="948"/>
      <c r="Y64" s="948"/>
      <c r="Z64" s="948"/>
    </row>
    <row r="65" spans="1:26" ht="18" customHeight="1" x14ac:dyDescent="0.35">
      <c r="A65" s="948"/>
      <c r="B65" s="376"/>
      <c r="C65" s="376"/>
      <c r="D65" s="376"/>
      <c r="E65" s="376"/>
      <c r="F65" s="950"/>
      <c r="G65" s="376"/>
      <c r="H65" s="376"/>
      <c r="I65" s="376"/>
      <c r="J65" s="376"/>
      <c r="K65" s="949"/>
      <c r="L65" s="949"/>
      <c r="M65" s="949"/>
      <c r="N65" s="948"/>
      <c r="O65" s="948"/>
      <c r="P65" s="948"/>
      <c r="Q65" s="948"/>
      <c r="R65" s="948"/>
      <c r="S65" s="948"/>
      <c r="T65" s="948"/>
      <c r="U65" s="948"/>
      <c r="V65" s="948"/>
      <c r="W65" s="948"/>
      <c r="X65" s="948"/>
      <c r="Y65" s="948"/>
      <c r="Z65" s="948"/>
    </row>
    <row r="66" spans="1:26" ht="18" customHeight="1" x14ac:dyDescent="0.35">
      <c r="A66" s="948"/>
      <c r="B66" s="376"/>
      <c r="C66" s="376"/>
      <c r="D66" s="376"/>
      <c r="E66" s="376"/>
      <c r="F66" s="376"/>
      <c r="G66" s="376"/>
      <c r="H66" s="376"/>
      <c r="I66" s="376"/>
      <c r="J66" s="376"/>
      <c r="K66" s="949"/>
      <c r="L66" s="949"/>
      <c r="M66" s="949"/>
      <c r="N66" s="948"/>
      <c r="O66" s="948"/>
      <c r="P66" s="948"/>
      <c r="Q66" s="948"/>
      <c r="R66" s="948"/>
      <c r="S66" s="948"/>
      <c r="T66" s="948"/>
      <c r="U66" s="948"/>
      <c r="V66" s="948"/>
      <c r="W66" s="948"/>
      <c r="X66" s="948"/>
      <c r="Y66" s="948"/>
      <c r="Z66" s="948"/>
    </row>
    <row r="67" spans="1:26" ht="18" customHeight="1" x14ac:dyDescent="0.35">
      <c r="A67" s="948"/>
      <c r="B67" s="376"/>
      <c r="C67" s="376"/>
      <c r="D67" s="376"/>
      <c r="E67" s="376"/>
      <c r="F67" s="376"/>
      <c r="G67" s="376"/>
      <c r="H67" s="376"/>
      <c r="I67" s="376"/>
      <c r="J67" s="376"/>
      <c r="K67" s="949"/>
      <c r="L67" s="949"/>
      <c r="M67" s="949"/>
      <c r="N67" s="948"/>
      <c r="O67" s="948"/>
      <c r="P67" s="948"/>
      <c r="Q67" s="948"/>
      <c r="R67" s="948"/>
      <c r="S67" s="948"/>
      <c r="T67" s="948"/>
      <c r="U67" s="948"/>
      <c r="V67" s="948"/>
      <c r="W67" s="948"/>
      <c r="X67" s="948"/>
      <c r="Y67" s="948"/>
      <c r="Z67" s="948"/>
    </row>
    <row r="68" spans="1:26" ht="18" customHeight="1" x14ac:dyDescent="0.35">
      <c r="A68" s="948"/>
      <c r="B68" s="376"/>
      <c r="C68" s="376"/>
      <c r="D68" s="376"/>
      <c r="E68" s="376"/>
      <c r="F68" s="376"/>
      <c r="G68" s="376"/>
      <c r="H68" s="376"/>
      <c r="I68" s="376"/>
      <c r="J68" s="376"/>
      <c r="K68" s="949"/>
      <c r="L68" s="949"/>
      <c r="M68" s="949"/>
      <c r="N68" s="948"/>
      <c r="O68" s="948"/>
      <c r="P68" s="948"/>
      <c r="Q68" s="948"/>
      <c r="R68" s="948"/>
      <c r="S68" s="948"/>
      <c r="T68" s="948"/>
      <c r="U68" s="948"/>
      <c r="V68" s="948"/>
      <c r="W68" s="948"/>
      <c r="X68" s="948"/>
      <c r="Y68" s="948"/>
      <c r="Z68" s="948"/>
    </row>
    <row r="69" spans="1:26" ht="18" customHeight="1" x14ac:dyDescent="0.35">
      <c r="A69" s="948"/>
      <c r="B69" s="376"/>
      <c r="C69" s="376"/>
      <c r="D69" s="376"/>
      <c r="E69" s="376"/>
      <c r="F69" s="376"/>
      <c r="G69" s="376"/>
      <c r="H69" s="376"/>
      <c r="I69" s="376"/>
      <c r="J69" s="376"/>
      <c r="K69" s="949"/>
      <c r="L69" s="949"/>
      <c r="M69" s="949"/>
      <c r="N69" s="948"/>
      <c r="O69" s="948"/>
      <c r="P69" s="948"/>
      <c r="Q69" s="948"/>
      <c r="R69" s="948"/>
      <c r="S69" s="948"/>
      <c r="T69" s="948"/>
      <c r="U69" s="948"/>
      <c r="V69" s="948"/>
      <c r="W69" s="948"/>
      <c r="X69" s="948"/>
      <c r="Y69" s="948"/>
      <c r="Z69" s="948"/>
    </row>
    <row r="70" spans="1:26" ht="18" customHeight="1" x14ac:dyDescent="0.35">
      <c r="A70" s="948"/>
      <c r="B70" s="376"/>
      <c r="C70" s="376"/>
      <c r="D70" s="376"/>
      <c r="E70" s="376"/>
      <c r="F70" s="376"/>
      <c r="G70" s="376"/>
      <c r="H70" s="376"/>
      <c r="I70" s="376"/>
      <c r="J70" s="376"/>
      <c r="K70" s="949"/>
      <c r="L70" s="949"/>
      <c r="M70" s="949"/>
      <c r="N70" s="948"/>
      <c r="O70" s="948"/>
      <c r="P70" s="948"/>
      <c r="Q70" s="948"/>
      <c r="R70" s="948"/>
      <c r="S70" s="948"/>
      <c r="T70" s="948"/>
      <c r="U70" s="948"/>
      <c r="V70" s="948"/>
      <c r="W70" s="948"/>
      <c r="X70" s="948"/>
      <c r="Y70" s="948"/>
      <c r="Z70" s="948"/>
    </row>
    <row r="71" spans="1:26" ht="18" customHeight="1" x14ac:dyDescent="0.35">
      <c r="A71" s="948"/>
      <c r="B71" s="376"/>
      <c r="C71" s="376"/>
      <c r="D71" s="376"/>
      <c r="E71" s="376"/>
      <c r="F71" s="376"/>
      <c r="G71" s="376"/>
      <c r="H71" s="376"/>
      <c r="I71" s="376"/>
      <c r="J71" s="376"/>
      <c r="K71" s="949"/>
      <c r="L71" s="949"/>
      <c r="M71" s="949"/>
      <c r="N71" s="948"/>
      <c r="O71" s="948"/>
      <c r="P71" s="948"/>
      <c r="Q71" s="948"/>
      <c r="R71" s="948"/>
      <c r="S71" s="948"/>
      <c r="T71" s="948"/>
      <c r="U71" s="948"/>
      <c r="V71" s="948"/>
      <c r="W71" s="948"/>
      <c r="X71" s="948"/>
      <c r="Y71" s="948"/>
      <c r="Z71" s="948"/>
    </row>
    <row r="72" spans="1:26" ht="18" customHeight="1" x14ac:dyDescent="0.35">
      <c r="A72" s="948"/>
      <c r="B72" s="376"/>
      <c r="C72" s="376"/>
      <c r="D72" s="376"/>
      <c r="E72" s="376"/>
      <c r="F72" s="376"/>
      <c r="G72" s="376"/>
      <c r="H72" s="376"/>
      <c r="I72" s="376"/>
      <c r="J72" s="376"/>
      <c r="K72" s="949"/>
      <c r="L72" s="949"/>
      <c r="M72" s="949"/>
      <c r="N72" s="948"/>
      <c r="O72" s="948"/>
      <c r="P72" s="948"/>
      <c r="Q72" s="948"/>
      <c r="R72" s="948"/>
      <c r="S72" s="948"/>
      <c r="T72" s="948"/>
      <c r="U72" s="948"/>
      <c r="V72" s="948"/>
      <c r="W72" s="948"/>
      <c r="X72" s="948"/>
      <c r="Y72" s="948"/>
      <c r="Z72" s="948"/>
    </row>
    <row r="73" spans="1:26" ht="18" customHeight="1" x14ac:dyDescent="0.35">
      <c r="A73" s="948"/>
      <c r="B73" s="376"/>
      <c r="C73" s="376"/>
      <c r="D73" s="376"/>
      <c r="E73" s="376"/>
      <c r="F73" s="376"/>
      <c r="G73" s="376"/>
      <c r="H73" s="376"/>
      <c r="I73" s="376"/>
      <c r="J73" s="376"/>
      <c r="K73" s="949"/>
      <c r="L73" s="949"/>
      <c r="M73" s="949"/>
      <c r="N73" s="948"/>
      <c r="O73" s="948"/>
      <c r="P73" s="948"/>
      <c r="Q73" s="948"/>
      <c r="R73" s="948"/>
      <c r="S73" s="948"/>
      <c r="T73" s="948"/>
      <c r="U73" s="948"/>
      <c r="V73" s="948"/>
      <c r="W73" s="948"/>
      <c r="X73" s="948"/>
      <c r="Y73" s="948"/>
      <c r="Z73" s="948"/>
    </row>
    <row r="74" spans="1:26" ht="18" customHeight="1" x14ac:dyDescent="0.35">
      <c r="A74" s="948"/>
      <c r="B74" s="376"/>
      <c r="C74" s="376"/>
      <c r="D74" s="376"/>
      <c r="E74" s="376"/>
      <c r="F74" s="376"/>
      <c r="G74" s="376"/>
      <c r="H74" s="376"/>
      <c r="I74" s="376"/>
      <c r="J74" s="376"/>
      <c r="K74" s="949"/>
      <c r="L74" s="949"/>
      <c r="M74" s="949"/>
      <c r="N74" s="948"/>
      <c r="O74" s="948"/>
      <c r="P74" s="948"/>
      <c r="Q74" s="948"/>
      <c r="R74" s="948"/>
      <c r="S74" s="948"/>
      <c r="T74" s="948"/>
      <c r="U74" s="948"/>
      <c r="V74" s="948"/>
      <c r="W74" s="948"/>
      <c r="X74" s="948"/>
      <c r="Y74" s="948"/>
      <c r="Z74" s="948"/>
    </row>
    <row r="75" spans="1:26" ht="18" customHeight="1" x14ac:dyDescent="0.35">
      <c r="A75" s="948"/>
      <c r="B75" s="376"/>
      <c r="C75" s="376"/>
      <c r="D75" s="376"/>
      <c r="E75" s="376"/>
      <c r="F75" s="376"/>
      <c r="G75" s="376"/>
      <c r="H75" s="376"/>
      <c r="I75" s="376"/>
      <c r="J75" s="376"/>
      <c r="K75" s="949"/>
      <c r="L75" s="949"/>
      <c r="M75" s="949"/>
      <c r="N75" s="948"/>
      <c r="O75" s="948"/>
      <c r="P75" s="948"/>
      <c r="Q75" s="948"/>
      <c r="R75" s="948"/>
      <c r="S75" s="948"/>
      <c r="T75" s="948"/>
      <c r="U75" s="948"/>
      <c r="V75" s="948"/>
      <c r="W75" s="948"/>
      <c r="X75" s="948"/>
      <c r="Y75" s="948"/>
      <c r="Z75" s="948"/>
    </row>
    <row r="76" spans="1:26" ht="18" customHeight="1" x14ac:dyDescent="0.35">
      <c r="A76" s="948"/>
      <c r="B76" s="376"/>
      <c r="C76" s="376"/>
      <c r="D76" s="376"/>
      <c r="E76" s="376"/>
      <c r="F76" s="376"/>
      <c r="G76" s="376"/>
      <c r="H76" s="376"/>
      <c r="I76" s="376"/>
      <c r="J76" s="376"/>
      <c r="K76" s="949"/>
      <c r="L76" s="949"/>
      <c r="M76" s="949"/>
      <c r="N76" s="948"/>
      <c r="O76" s="948"/>
      <c r="P76" s="948"/>
      <c r="Q76" s="948"/>
      <c r="R76" s="948"/>
      <c r="S76" s="948"/>
      <c r="T76" s="948"/>
      <c r="U76" s="948"/>
      <c r="V76" s="948"/>
      <c r="W76" s="948"/>
      <c r="X76" s="948"/>
      <c r="Y76" s="948"/>
      <c r="Z76" s="948"/>
    </row>
    <row r="77" spans="1:26" ht="18" customHeight="1" x14ac:dyDescent="0.35">
      <c r="A77" s="948"/>
      <c r="B77" s="376"/>
      <c r="C77" s="376"/>
      <c r="D77" s="376"/>
      <c r="E77" s="376"/>
      <c r="F77" s="376"/>
      <c r="G77" s="376"/>
      <c r="H77" s="376"/>
      <c r="I77" s="376"/>
      <c r="J77" s="376"/>
      <c r="K77" s="949"/>
      <c r="L77" s="949"/>
      <c r="M77" s="949"/>
      <c r="N77" s="948"/>
      <c r="O77" s="948"/>
      <c r="P77" s="948"/>
      <c r="Q77" s="948"/>
      <c r="R77" s="948"/>
      <c r="S77" s="948"/>
      <c r="T77" s="948"/>
      <c r="U77" s="948"/>
      <c r="V77" s="948"/>
      <c r="W77" s="948"/>
      <c r="X77" s="948"/>
      <c r="Y77" s="948"/>
      <c r="Z77" s="948"/>
    </row>
    <row r="78" spans="1:26" ht="18" customHeight="1" x14ac:dyDescent="0.35">
      <c r="A78" s="948"/>
      <c r="B78" s="376"/>
      <c r="C78" s="376"/>
      <c r="D78" s="376"/>
      <c r="E78" s="376"/>
      <c r="F78" s="376"/>
      <c r="G78" s="376"/>
      <c r="H78" s="376"/>
      <c r="I78" s="376"/>
      <c r="J78" s="376"/>
      <c r="K78" s="949"/>
      <c r="L78" s="949"/>
      <c r="M78" s="949"/>
      <c r="N78" s="948"/>
      <c r="O78" s="948"/>
      <c r="P78" s="948"/>
      <c r="Q78" s="948"/>
      <c r="R78" s="948"/>
      <c r="S78" s="948"/>
      <c r="T78" s="948"/>
      <c r="U78" s="948"/>
      <c r="V78" s="948"/>
      <c r="W78" s="948"/>
      <c r="X78" s="948"/>
      <c r="Y78" s="948"/>
      <c r="Z78" s="948"/>
    </row>
    <row r="79" spans="1:26" ht="18" customHeight="1" x14ac:dyDescent="0.35">
      <c r="A79" s="948"/>
      <c r="B79" s="376"/>
      <c r="C79" s="376"/>
      <c r="D79" s="376"/>
      <c r="E79" s="376"/>
      <c r="F79" s="376"/>
      <c r="G79" s="376"/>
      <c r="H79" s="376"/>
      <c r="I79" s="376"/>
      <c r="J79" s="376"/>
      <c r="K79" s="949"/>
      <c r="L79" s="949"/>
      <c r="M79" s="949"/>
      <c r="N79" s="948"/>
      <c r="O79" s="948"/>
      <c r="P79" s="948"/>
      <c r="Q79" s="948"/>
      <c r="R79" s="948"/>
      <c r="S79" s="948"/>
      <c r="T79" s="948"/>
      <c r="U79" s="948"/>
      <c r="V79" s="948"/>
      <c r="W79" s="948"/>
      <c r="X79" s="948"/>
      <c r="Y79" s="948"/>
      <c r="Z79" s="948"/>
    </row>
    <row r="80" spans="1:26" ht="18" customHeight="1" x14ac:dyDescent="0.35">
      <c r="A80" s="948"/>
      <c r="B80" s="376"/>
      <c r="C80" s="376"/>
      <c r="D80" s="376"/>
      <c r="E80" s="376"/>
      <c r="F80" s="376"/>
      <c r="G80" s="376"/>
      <c r="H80" s="376"/>
      <c r="I80" s="376"/>
      <c r="J80" s="376"/>
      <c r="K80" s="949"/>
      <c r="L80" s="949"/>
      <c r="M80" s="949"/>
      <c r="N80" s="948"/>
      <c r="O80" s="948"/>
      <c r="P80" s="948"/>
      <c r="Q80" s="948"/>
      <c r="R80" s="948"/>
      <c r="S80" s="948"/>
      <c r="T80" s="948"/>
      <c r="U80" s="948"/>
      <c r="V80" s="948"/>
      <c r="W80" s="948"/>
      <c r="X80" s="948"/>
      <c r="Y80" s="948"/>
      <c r="Z80" s="948"/>
    </row>
    <row r="81" spans="1:26" ht="18" customHeight="1" x14ac:dyDescent="0.35">
      <c r="A81" s="948"/>
      <c r="B81" s="376"/>
      <c r="C81" s="376"/>
      <c r="D81" s="376"/>
      <c r="E81" s="376"/>
      <c r="F81" s="376"/>
      <c r="G81" s="376"/>
      <c r="H81" s="376"/>
      <c r="I81" s="376"/>
      <c r="J81" s="376"/>
      <c r="K81" s="949"/>
      <c r="L81" s="949"/>
      <c r="M81" s="949"/>
      <c r="N81" s="948"/>
      <c r="O81" s="948"/>
      <c r="P81" s="948"/>
      <c r="Q81" s="948"/>
      <c r="R81" s="948"/>
      <c r="S81" s="948"/>
      <c r="T81" s="948"/>
      <c r="U81" s="948"/>
      <c r="V81" s="948"/>
      <c r="W81" s="948"/>
      <c r="X81" s="948"/>
      <c r="Y81" s="948"/>
      <c r="Z81" s="948"/>
    </row>
    <row r="82" spans="1:26" ht="18" customHeight="1" x14ac:dyDescent="0.35">
      <c r="A82" s="948"/>
      <c r="B82" s="376"/>
      <c r="C82" s="376"/>
      <c r="D82" s="376"/>
      <c r="E82" s="376"/>
      <c r="F82" s="376"/>
      <c r="G82" s="376"/>
      <c r="H82" s="376"/>
      <c r="I82" s="376"/>
      <c r="J82" s="376"/>
      <c r="K82" s="949"/>
      <c r="L82" s="949"/>
      <c r="M82" s="949"/>
      <c r="N82" s="948"/>
      <c r="O82" s="948"/>
      <c r="P82" s="948"/>
      <c r="Q82" s="948"/>
      <c r="R82" s="948"/>
      <c r="S82" s="948"/>
      <c r="T82" s="948"/>
      <c r="U82" s="948"/>
      <c r="V82" s="948"/>
      <c r="W82" s="948"/>
      <c r="X82" s="948"/>
      <c r="Y82" s="948"/>
      <c r="Z82" s="948"/>
    </row>
    <row r="83" spans="1:26" ht="18" customHeight="1" x14ac:dyDescent="0.35">
      <c r="A83" s="948"/>
      <c r="B83" s="376"/>
      <c r="C83" s="376"/>
      <c r="D83" s="376"/>
      <c r="E83" s="376"/>
      <c r="F83" s="376"/>
      <c r="G83" s="376"/>
      <c r="H83" s="376"/>
      <c r="I83" s="376"/>
      <c r="J83" s="376"/>
      <c r="K83" s="949"/>
      <c r="L83" s="949"/>
      <c r="M83" s="949"/>
      <c r="N83" s="948"/>
      <c r="O83" s="948"/>
      <c r="P83" s="948"/>
      <c r="Q83" s="948"/>
      <c r="R83" s="948"/>
      <c r="S83" s="948"/>
      <c r="T83" s="948"/>
      <c r="U83" s="948"/>
      <c r="V83" s="948"/>
      <c r="W83" s="948"/>
      <c r="X83" s="948"/>
      <c r="Y83" s="948"/>
      <c r="Z83" s="948"/>
    </row>
    <row r="84" spans="1:26" ht="18" customHeight="1" x14ac:dyDescent="0.35">
      <c r="A84" s="948"/>
      <c r="B84" s="376"/>
      <c r="C84" s="376"/>
      <c r="D84" s="376"/>
      <c r="E84" s="376"/>
      <c r="F84" s="376"/>
      <c r="G84" s="376"/>
      <c r="H84" s="376"/>
      <c r="I84" s="376"/>
      <c r="J84" s="376"/>
      <c r="K84" s="949"/>
      <c r="L84" s="949"/>
      <c r="M84" s="949"/>
      <c r="N84" s="948"/>
      <c r="O84" s="948"/>
      <c r="P84" s="948"/>
      <c r="Q84" s="948"/>
      <c r="R84" s="948"/>
      <c r="S84" s="948"/>
      <c r="T84" s="948"/>
      <c r="U84" s="948"/>
      <c r="V84" s="948"/>
      <c r="W84" s="948"/>
      <c r="X84" s="948"/>
      <c r="Y84" s="948"/>
      <c r="Z84" s="948"/>
    </row>
    <row r="85" spans="1:26" ht="18" customHeight="1" x14ac:dyDescent="0.35">
      <c r="A85" s="948"/>
      <c r="B85" s="376"/>
      <c r="C85" s="376"/>
      <c r="D85" s="376"/>
      <c r="E85" s="376"/>
      <c r="F85" s="376"/>
      <c r="G85" s="376"/>
      <c r="H85" s="376"/>
      <c r="I85" s="376"/>
      <c r="J85" s="376"/>
      <c r="K85" s="949"/>
      <c r="L85" s="949"/>
      <c r="M85" s="949"/>
      <c r="N85" s="948"/>
      <c r="O85" s="948"/>
      <c r="P85" s="948"/>
      <c r="Q85" s="948"/>
      <c r="R85" s="948"/>
      <c r="S85" s="948"/>
      <c r="T85" s="948"/>
      <c r="U85" s="948"/>
      <c r="V85" s="948"/>
      <c r="W85" s="948"/>
      <c r="X85" s="948"/>
      <c r="Y85" s="948"/>
      <c r="Z85" s="948"/>
    </row>
    <row r="86" spans="1:26" ht="18" customHeight="1" x14ac:dyDescent="0.35">
      <c r="A86" s="948"/>
      <c r="B86" s="376"/>
      <c r="C86" s="376"/>
      <c r="D86" s="376"/>
      <c r="E86" s="376"/>
      <c r="F86" s="376"/>
      <c r="G86" s="376"/>
      <c r="H86" s="376"/>
      <c r="I86" s="376"/>
      <c r="J86" s="376"/>
      <c r="K86" s="949"/>
      <c r="L86" s="949"/>
      <c r="M86" s="949"/>
      <c r="N86" s="948"/>
      <c r="O86" s="948"/>
      <c r="P86" s="948"/>
      <c r="Q86" s="948"/>
      <c r="R86" s="948"/>
      <c r="S86" s="948"/>
      <c r="T86" s="948"/>
      <c r="U86" s="948"/>
      <c r="V86" s="948"/>
      <c r="W86" s="948"/>
      <c r="X86" s="948"/>
      <c r="Y86" s="948"/>
      <c r="Z86" s="948"/>
    </row>
    <row r="87" spans="1:26" ht="18" customHeight="1" x14ac:dyDescent="0.35">
      <c r="A87" s="948"/>
      <c r="B87" s="376"/>
      <c r="C87" s="376"/>
      <c r="D87" s="376"/>
      <c r="E87" s="376"/>
      <c r="F87" s="376"/>
      <c r="G87" s="376"/>
      <c r="H87" s="376"/>
      <c r="I87" s="376"/>
      <c r="J87" s="376"/>
      <c r="K87" s="949"/>
      <c r="L87" s="949"/>
      <c r="M87" s="949"/>
      <c r="N87" s="948"/>
      <c r="O87" s="948"/>
      <c r="P87" s="948"/>
      <c r="Q87" s="948"/>
      <c r="R87" s="948"/>
      <c r="S87" s="948"/>
      <c r="T87" s="948"/>
      <c r="U87" s="948"/>
      <c r="V87" s="948"/>
      <c r="W87" s="948"/>
      <c r="X87" s="948"/>
      <c r="Y87" s="948"/>
      <c r="Z87" s="948"/>
    </row>
    <row r="88" spans="1:26" ht="18" customHeight="1" x14ac:dyDescent="0.35">
      <c r="A88" s="948"/>
      <c r="B88" s="376"/>
      <c r="C88" s="376"/>
      <c r="D88" s="376"/>
      <c r="E88" s="376"/>
      <c r="F88" s="376"/>
      <c r="G88" s="376"/>
      <c r="H88" s="376"/>
      <c r="I88" s="376"/>
      <c r="J88" s="376"/>
      <c r="K88" s="949"/>
      <c r="L88" s="949"/>
      <c r="M88" s="949"/>
      <c r="N88" s="948"/>
      <c r="O88" s="948"/>
      <c r="P88" s="948"/>
      <c r="Q88" s="948"/>
      <c r="R88" s="948"/>
      <c r="S88" s="948"/>
      <c r="T88" s="948"/>
      <c r="U88" s="948"/>
      <c r="V88" s="948"/>
      <c r="W88" s="948"/>
      <c r="X88" s="948"/>
      <c r="Y88" s="948"/>
      <c r="Z88" s="948"/>
    </row>
    <row r="89" spans="1:26" ht="18" customHeight="1" x14ac:dyDescent="0.35">
      <c r="A89" s="948"/>
      <c r="B89" s="376"/>
      <c r="C89" s="376"/>
      <c r="D89" s="376"/>
      <c r="E89" s="376"/>
      <c r="F89" s="376"/>
      <c r="G89" s="376"/>
      <c r="H89" s="376"/>
      <c r="I89" s="376"/>
      <c r="J89" s="376"/>
      <c r="K89" s="949"/>
      <c r="L89" s="949"/>
      <c r="M89" s="949"/>
      <c r="N89" s="948"/>
      <c r="O89" s="948"/>
      <c r="P89" s="948"/>
      <c r="Q89" s="948"/>
      <c r="R89" s="948"/>
      <c r="S89" s="948"/>
      <c r="T89" s="948"/>
      <c r="U89" s="948"/>
      <c r="V89" s="948"/>
      <c r="W89" s="948"/>
      <c r="X89" s="948"/>
      <c r="Y89" s="948"/>
      <c r="Z89" s="948"/>
    </row>
    <row r="90" spans="1:26" ht="18" customHeight="1" x14ac:dyDescent="0.35">
      <c r="A90" s="948"/>
      <c r="B90" s="376"/>
      <c r="C90" s="376"/>
      <c r="D90" s="376"/>
      <c r="E90" s="376"/>
      <c r="F90" s="376"/>
      <c r="G90" s="376"/>
      <c r="H90" s="376"/>
      <c r="I90" s="376"/>
      <c r="J90" s="376"/>
      <c r="K90" s="949"/>
      <c r="L90" s="949"/>
      <c r="M90" s="949"/>
      <c r="N90" s="948"/>
      <c r="O90" s="948"/>
      <c r="P90" s="948"/>
      <c r="Q90" s="948"/>
      <c r="R90" s="948"/>
      <c r="S90" s="948"/>
      <c r="T90" s="948"/>
      <c r="U90" s="948"/>
      <c r="V90" s="948"/>
      <c r="W90" s="948"/>
      <c r="X90" s="948"/>
      <c r="Y90" s="948"/>
      <c r="Z90" s="948"/>
    </row>
    <row r="91" spans="1:26" ht="18" customHeight="1" x14ac:dyDescent="0.35">
      <c r="A91" s="948"/>
      <c r="B91" s="376"/>
      <c r="C91" s="376"/>
      <c r="D91" s="376"/>
      <c r="E91" s="376"/>
      <c r="F91" s="376"/>
      <c r="G91" s="376"/>
      <c r="H91" s="376"/>
      <c r="I91" s="376"/>
      <c r="J91" s="376"/>
      <c r="K91" s="949"/>
      <c r="L91" s="949"/>
      <c r="M91" s="949"/>
      <c r="N91" s="948"/>
      <c r="O91" s="948"/>
      <c r="P91" s="948"/>
      <c r="Q91" s="948"/>
      <c r="R91" s="948"/>
      <c r="S91" s="948"/>
      <c r="T91" s="948"/>
      <c r="U91" s="948"/>
      <c r="V91" s="948"/>
      <c r="W91" s="948"/>
      <c r="X91" s="948"/>
      <c r="Y91" s="948"/>
      <c r="Z91" s="948"/>
    </row>
    <row r="92" spans="1:26" ht="18" customHeight="1" x14ac:dyDescent="0.35">
      <c r="A92" s="948"/>
      <c r="B92" s="376"/>
      <c r="C92" s="376"/>
      <c r="D92" s="376"/>
      <c r="E92" s="376"/>
      <c r="F92" s="376"/>
      <c r="G92" s="376"/>
      <c r="H92" s="376"/>
      <c r="I92" s="376"/>
      <c r="J92" s="376"/>
      <c r="K92" s="949"/>
      <c r="L92" s="949"/>
      <c r="M92" s="949"/>
      <c r="N92" s="948"/>
      <c r="O92" s="948"/>
      <c r="P92" s="948"/>
      <c r="Q92" s="948"/>
      <c r="R92" s="948"/>
      <c r="S92" s="948"/>
      <c r="T92" s="948"/>
      <c r="U92" s="948"/>
      <c r="V92" s="948"/>
      <c r="W92" s="948"/>
      <c r="X92" s="948"/>
      <c r="Y92" s="948"/>
      <c r="Z92" s="948"/>
    </row>
    <row r="93" spans="1:26" ht="18" customHeight="1" x14ac:dyDescent="0.35">
      <c r="A93" s="948"/>
      <c r="B93" s="376"/>
      <c r="C93" s="376"/>
      <c r="D93" s="376"/>
      <c r="E93" s="376"/>
      <c r="F93" s="376"/>
      <c r="G93" s="376"/>
      <c r="H93" s="376"/>
      <c r="I93" s="376"/>
      <c r="J93" s="376"/>
      <c r="K93" s="949"/>
      <c r="L93" s="949"/>
      <c r="M93" s="949"/>
      <c r="N93" s="948"/>
      <c r="O93" s="948"/>
      <c r="P93" s="948"/>
      <c r="Q93" s="948"/>
      <c r="R93" s="948"/>
      <c r="S93" s="948"/>
      <c r="T93" s="948"/>
      <c r="U93" s="948"/>
      <c r="V93" s="948"/>
      <c r="W93" s="948"/>
      <c r="X93" s="948"/>
      <c r="Y93" s="948"/>
      <c r="Z93" s="948"/>
    </row>
    <row r="94" spans="1:26" ht="18" customHeight="1" x14ac:dyDescent="0.35">
      <c r="A94" s="948"/>
      <c r="B94" s="376"/>
      <c r="C94" s="376"/>
      <c r="D94" s="376"/>
      <c r="E94" s="376"/>
      <c r="F94" s="376"/>
      <c r="G94" s="376"/>
      <c r="H94" s="376"/>
      <c r="I94" s="376"/>
      <c r="J94" s="376"/>
      <c r="K94" s="949"/>
      <c r="L94" s="949"/>
      <c r="M94" s="949"/>
      <c r="N94" s="948"/>
      <c r="O94" s="948"/>
      <c r="P94" s="948"/>
      <c r="Q94" s="948"/>
      <c r="R94" s="948"/>
      <c r="S94" s="948"/>
      <c r="T94" s="948"/>
      <c r="U94" s="948"/>
      <c r="V94" s="948"/>
      <c r="W94" s="948"/>
      <c r="X94" s="948"/>
      <c r="Y94" s="948"/>
      <c r="Z94" s="948"/>
    </row>
    <row r="95" spans="1:26" ht="18" customHeight="1" x14ac:dyDescent="0.35">
      <c r="A95" s="948"/>
      <c r="B95" s="376"/>
      <c r="C95" s="376"/>
      <c r="D95" s="376"/>
      <c r="E95" s="376"/>
      <c r="F95" s="376"/>
      <c r="G95" s="376"/>
      <c r="H95" s="376"/>
      <c r="I95" s="376"/>
      <c r="J95" s="376"/>
      <c r="K95" s="949"/>
      <c r="L95" s="949"/>
      <c r="M95" s="949"/>
      <c r="N95" s="948"/>
      <c r="O95" s="948"/>
      <c r="P95" s="948"/>
      <c r="Q95" s="948"/>
      <c r="R95" s="948"/>
      <c r="S95" s="948"/>
      <c r="T95" s="948"/>
      <c r="U95" s="948"/>
      <c r="V95" s="948"/>
      <c r="W95" s="948"/>
      <c r="X95" s="948"/>
      <c r="Y95" s="948"/>
      <c r="Z95" s="948"/>
    </row>
    <row r="96" spans="1:26" ht="18" customHeight="1" x14ac:dyDescent="0.35">
      <c r="A96" s="948"/>
      <c r="B96" s="376"/>
      <c r="C96" s="376"/>
      <c r="D96" s="376"/>
      <c r="E96" s="376"/>
      <c r="F96" s="376"/>
      <c r="G96" s="376"/>
      <c r="H96" s="376"/>
      <c r="I96" s="376"/>
      <c r="J96" s="376"/>
      <c r="K96" s="949"/>
      <c r="L96" s="949"/>
      <c r="M96" s="949"/>
      <c r="N96" s="948"/>
      <c r="O96" s="948"/>
      <c r="P96" s="948"/>
      <c r="Q96" s="948"/>
      <c r="R96" s="948"/>
      <c r="S96" s="948"/>
      <c r="T96" s="948"/>
      <c r="U96" s="948"/>
      <c r="V96" s="948"/>
      <c r="W96" s="948"/>
      <c r="X96" s="948"/>
      <c r="Y96" s="948"/>
      <c r="Z96" s="948"/>
    </row>
    <row r="97" spans="1:26" ht="18" customHeight="1" x14ac:dyDescent="0.35">
      <c r="A97" s="948"/>
      <c r="B97" s="376"/>
      <c r="C97" s="376"/>
      <c r="D97" s="376"/>
      <c r="E97" s="376"/>
      <c r="F97" s="376"/>
      <c r="G97" s="376"/>
      <c r="H97" s="376"/>
      <c r="I97" s="376"/>
      <c r="J97" s="376"/>
      <c r="K97" s="949"/>
      <c r="L97" s="949"/>
      <c r="M97" s="949"/>
      <c r="N97" s="948"/>
      <c r="O97" s="948"/>
      <c r="P97" s="948"/>
      <c r="Q97" s="948"/>
      <c r="R97" s="948"/>
      <c r="S97" s="948"/>
      <c r="T97" s="948"/>
      <c r="U97" s="948"/>
      <c r="V97" s="948"/>
      <c r="W97" s="948"/>
      <c r="X97" s="948"/>
      <c r="Y97" s="948"/>
      <c r="Z97" s="948"/>
    </row>
    <row r="98" spans="1:26" ht="18" customHeight="1" x14ac:dyDescent="0.35">
      <c r="A98" s="948"/>
      <c r="B98" s="376"/>
      <c r="C98" s="376"/>
      <c r="D98" s="376"/>
      <c r="E98" s="376"/>
      <c r="F98" s="376"/>
      <c r="G98" s="376"/>
      <c r="H98" s="376"/>
      <c r="I98" s="376"/>
      <c r="J98" s="376"/>
      <c r="K98" s="949"/>
      <c r="L98" s="949"/>
      <c r="M98" s="949"/>
      <c r="N98" s="948"/>
      <c r="O98" s="948"/>
      <c r="P98" s="948"/>
      <c r="Q98" s="948"/>
      <c r="R98" s="948"/>
      <c r="S98" s="948"/>
      <c r="T98" s="948"/>
      <c r="U98" s="948"/>
      <c r="V98" s="948"/>
      <c r="W98" s="948"/>
      <c r="X98" s="948"/>
      <c r="Y98" s="948"/>
      <c r="Z98" s="948"/>
    </row>
    <row r="99" spans="1:26" ht="18" customHeight="1" x14ac:dyDescent="0.35">
      <c r="A99" s="948"/>
      <c r="B99" s="376"/>
      <c r="C99" s="376"/>
      <c r="D99" s="376"/>
      <c r="E99" s="376"/>
      <c r="F99" s="376"/>
      <c r="G99" s="376"/>
      <c r="H99" s="376"/>
      <c r="I99" s="376"/>
      <c r="J99" s="376"/>
      <c r="K99" s="949"/>
      <c r="L99" s="949"/>
      <c r="M99" s="949"/>
      <c r="N99" s="948"/>
      <c r="O99" s="948"/>
      <c r="P99" s="948"/>
      <c r="Q99" s="948"/>
      <c r="R99" s="948"/>
      <c r="S99" s="948"/>
      <c r="T99" s="948"/>
      <c r="U99" s="948"/>
      <c r="V99" s="948"/>
      <c r="W99" s="948"/>
      <c r="X99" s="948"/>
      <c r="Y99" s="948"/>
      <c r="Z99" s="948"/>
    </row>
    <row r="100" spans="1:26" ht="18" customHeight="1" x14ac:dyDescent="0.35">
      <c r="A100" s="948"/>
      <c r="B100" s="376"/>
      <c r="C100" s="376"/>
      <c r="D100" s="376"/>
      <c r="E100" s="376"/>
      <c r="F100" s="376"/>
      <c r="G100" s="376"/>
      <c r="H100" s="376"/>
      <c r="I100" s="376"/>
      <c r="J100" s="376"/>
      <c r="K100" s="949"/>
      <c r="L100" s="949"/>
      <c r="M100" s="949"/>
      <c r="N100" s="948"/>
      <c r="O100" s="948"/>
      <c r="P100" s="948"/>
      <c r="Q100" s="948"/>
      <c r="R100" s="948"/>
      <c r="S100" s="948"/>
      <c r="T100" s="948"/>
      <c r="U100" s="948"/>
      <c r="V100" s="948"/>
      <c r="W100" s="948"/>
      <c r="X100" s="948"/>
      <c r="Y100" s="948"/>
      <c r="Z100" s="948"/>
    </row>
    <row r="101" spans="1:26" ht="18" customHeight="1" x14ac:dyDescent="0.35">
      <c r="A101" s="948"/>
      <c r="B101" s="376"/>
      <c r="C101" s="376"/>
      <c r="D101" s="376"/>
      <c r="E101" s="376"/>
      <c r="F101" s="376"/>
      <c r="G101" s="376"/>
      <c r="H101" s="376"/>
      <c r="I101" s="376"/>
      <c r="J101" s="376"/>
      <c r="K101" s="949"/>
      <c r="L101" s="949"/>
      <c r="M101" s="949"/>
      <c r="N101" s="948"/>
      <c r="O101" s="948"/>
      <c r="P101" s="948"/>
      <c r="Q101" s="948"/>
      <c r="R101" s="948"/>
      <c r="S101" s="948"/>
      <c r="T101" s="948"/>
      <c r="U101" s="948"/>
      <c r="V101" s="948"/>
      <c r="W101" s="948"/>
      <c r="X101" s="948"/>
      <c r="Y101" s="948"/>
      <c r="Z101" s="948"/>
    </row>
    <row r="102" spans="1:26" ht="18" customHeight="1" x14ac:dyDescent="0.35">
      <c r="A102" s="948"/>
      <c r="B102" s="376"/>
      <c r="C102" s="376"/>
      <c r="D102" s="376"/>
      <c r="E102" s="376"/>
      <c r="F102" s="376"/>
      <c r="G102" s="376"/>
      <c r="H102" s="376"/>
      <c r="I102" s="376"/>
      <c r="J102" s="376"/>
      <c r="K102" s="949"/>
      <c r="L102" s="949"/>
      <c r="M102" s="949"/>
      <c r="N102" s="948"/>
      <c r="O102" s="948"/>
      <c r="P102" s="948"/>
      <c r="Q102" s="948"/>
      <c r="R102" s="948"/>
      <c r="S102" s="948"/>
      <c r="T102" s="948"/>
      <c r="U102" s="948"/>
      <c r="V102" s="948"/>
      <c r="W102" s="948"/>
      <c r="X102" s="948"/>
      <c r="Y102" s="948"/>
      <c r="Z102" s="948"/>
    </row>
    <row r="103" spans="1:26" ht="18" customHeight="1" x14ac:dyDescent="0.35">
      <c r="A103" s="948"/>
      <c r="B103" s="376"/>
      <c r="C103" s="376"/>
      <c r="D103" s="376"/>
      <c r="E103" s="376"/>
      <c r="F103" s="376"/>
      <c r="G103" s="376"/>
      <c r="H103" s="376"/>
      <c r="I103" s="376"/>
      <c r="J103" s="376"/>
      <c r="K103" s="949"/>
      <c r="L103" s="949"/>
      <c r="M103" s="949"/>
      <c r="N103" s="948"/>
      <c r="O103" s="948"/>
      <c r="P103" s="948"/>
      <c r="Q103" s="948"/>
      <c r="R103" s="948"/>
      <c r="S103" s="948"/>
      <c r="T103" s="948"/>
      <c r="U103" s="948"/>
      <c r="V103" s="948"/>
      <c r="W103" s="948"/>
      <c r="X103" s="948"/>
      <c r="Y103" s="948"/>
      <c r="Z103" s="948"/>
    </row>
    <row r="104" spans="1:26" ht="18" customHeight="1" x14ac:dyDescent="0.35">
      <c r="A104" s="948"/>
      <c r="B104" s="376"/>
      <c r="C104" s="376"/>
      <c r="D104" s="376"/>
      <c r="E104" s="376"/>
      <c r="F104" s="376"/>
      <c r="G104" s="376"/>
      <c r="H104" s="376"/>
      <c r="I104" s="376"/>
      <c r="J104" s="376"/>
      <c r="K104" s="949"/>
      <c r="L104" s="949"/>
      <c r="M104" s="949"/>
      <c r="N104" s="948"/>
      <c r="O104" s="948"/>
      <c r="P104" s="948"/>
      <c r="Q104" s="948"/>
      <c r="R104" s="948"/>
      <c r="S104" s="948"/>
      <c r="T104" s="948"/>
      <c r="U104" s="948"/>
      <c r="V104" s="948"/>
      <c r="W104" s="948"/>
      <c r="X104" s="948"/>
      <c r="Y104" s="948"/>
      <c r="Z104" s="948"/>
    </row>
    <row r="105" spans="1:26" ht="18" customHeight="1" x14ac:dyDescent="0.35">
      <c r="A105" s="948"/>
      <c r="B105" s="376"/>
      <c r="C105" s="376"/>
      <c r="D105" s="376"/>
      <c r="E105" s="376"/>
      <c r="F105" s="376"/>
      <c r="G105" s="376"/>
      <c r="H105" s="376"/>
      <c r="I105" s="376"/>
      <c r="J105" s="376"/>
      <c r="K105" s="949"/>
      <c r="L105" s="949"/>
      <c r="M105" s="949"/>
      <c r="N105" s="948"/>
      <c r="O105" s="948"/>
      <c r="P105" s="948"/>
      <c r="Q105" s="948"/>
      <c r="R105" s="948"/>
      <c r="S105" s="948"/>
      <c r="T105" s="948"/>
      <c r="U105" s="948"/>
      <c r="V105" s="948"/>
      <c r="W105" s="948"/>
      <c r="X105" s="948"/>
      <c r="Y105" s="948"/>
      <c r="Z105" s="948"/>
    </row>
    <row r="106" spans="1:26" ht="18" customHeight="1" x14ac:dyDescent="0.35">
      <c r="A106" s="948"/>
      <c r="B106" s="376"/>
      <c r="C106" s="376"/>
      <c r="D106" s="376"/>
      <c r="E106" s="376"/>
      <c r="F106" s="376"/>
      <c r="G106" s="376"/>
      <c r="H106" s="376"/>
      <c r="I106" s="376"/>
      <c r="J106" s="376"/>
      <c r="K106" s="949"/>
      <c r="L106" s="949"/>
      <c r="M106" s="949"/>
      <c r="N106" s="948"/>
      <c r="O106" s="948"/>
      <c r="P106" s="948"/>
      <c r="Q106" s="948"/>
      <c r="R106" s="948"/>
      <c r="S106" s="948"/>
      <c r="T106" s="948"/>
      <c r="U106" s="948"/>
      <c r="V106" s="948"/>
      <c r="W106" s="948"/>
      <c r="X106" s="948"/>
      <c r="Y106" s="948"/>
      <c r="Z106" s="948"/>
    </row>
    <row r="107" spans="1:26" ht="18" customHeight="1" x14ac:dyDescent="0.35">
      <c r="A107" s="948"/>
      <c r="B107" s="376"/>
      <c r="C107" s="376"/>
      <c r="D107" s="376"/>
      <c r="E107" s="376"/>
      <c r="F107" s="376"/>
      <c r="G107" s="376"/>
      <c r="H107" s="376"/>
      <c r="I107" s="376"/>
      <c r="J107" s="376"/>
      <c r="K107" s="949"/>
      <c r="L107" s="949"/>
      <c r="M107" s="949"/>
      <c r="N107" s="948"/>
      <c r="O107" s="948"/>
      <c r="P107" s="948"/>
      <c r="Q107" s="948"/>
      <c r="R107" s="948"/>
      <c r="S107" s="948"/>
      <c r="T107" s="948"/>
      <c r="U107" s="948"/>
      <c r="V107" s="948"/>
      <c r="W107" s="948"/>
      <c r="X107" s="948"/>
      <c r="Y107" s="948"/>
      <c r="Z107" s="948"/>
    </row>
    <row r="108" spans="1:26" ht="18" customHeight="1" x14ac:dyDescent="0.35">
      <c r="A108" s="948"/>
      <c r="B108" s="376"/>
      <c r="C108" s="376"/>
      <c r="D108" s="376"/>
      <c r="E108" s="376"/>
      <c r="F108" s="376"/>
      <c r="G108" s="376"/>
      <c r="H108" s="376"/>
      <c r="I108" s="376"/>
      <c r="J108" s="376"/>
      <c r="K108" s="949"/>
      <c r="L108" s="949"/>
      <c r="M108" s="949"/>
      <c r="N108" s="948"/>
      <c r="O108" s="948"/>
      <c r="P108" s="948"/>
      <c r="Q108" s="948"/>
      <c r="R108" s="948"/>
      <c r="S108" s="948"/>
      <c r="T108" s="948"/>
      <c r="U108" s="948"/>
      <c r="V108" s="948"/>
      <c r="W108" s="948"/>
      <c r="X108" s="948"/>
      <c r="Y108" s="948"/>
      <c r="Z108" s="948"/>
    </row>
    <row r="109" spans="1:26" ht="18" customHeight="1" x14ac:dyDescent="0.35">
      <c r="A109" s="948"/>
      <c r="B109" s="376"/>
      <c r="C109" s="376"/>
      <c r="D109" s="376"/>
      <c r="E109" s="376"/>
      <c r="F109" s="376"/>
      <c r="G109" s="376"/>
      <c r="H109" s="376"/>
      <c r="I109" s="376"/>
      <c r="J109" s="376"/>
      <c r="K109" s="949"/>
      <c r="L109" s="949"/>
      <c r="M109" s="949"/>
      <c r="N109" s="948"/>
      <c r="O109" s="948"/>
      <c r="P109" s="948"/>
      <c r="Q109" s="948"/>
      <c r="R109" s="948"/>
      <c r="S109" s="948"/>
      <c r="T109" s="948"/>
      <c r="U109" s="948"/>
      <c r="V109" s="948"/>
      <c r="W109" s="948"/>
      <c r="X109" s="948"/>
      <c r="Y109" s="948"/>
      <c r="Z109" s="948"/>
    </row>
    <row r="110" spans="1:26" ht="18" customHeight="1" x14ac:dyDescent="0.35">
      <c r="A110" s="948"/>
      <c r="B110" s="376"/>
      <c r="C110" s="376"/>
      <c r="D110" s="376"/>
      <c r="E110" s="376"/>
      <c r="F110" s="376"/>
      <c r="G110" s="376"/>
      <c r="H110" s="376"/>
      <c r="I110" s="376"/>
      <c r="J110" s="376"/>
      <c r="K110" s="949"/>
      <c r="L110" s="949"/>
      <c r="M110" s="949"/>
      <c r="N110" s="948"/>
      <c r="O110" s="948"/>
      <c r="P110" s="948"/>
      <c r="Q110" s="948"/>
      <c r="R110" s="948"/>
      <c r="S110" s="948"/>
      <c r="T110" s="948"/>
      <c r="U110" s="948"/>
      <c r="V110" s="948"/>
      <c r="W110" s="948"/>
      <c r="X110" s="948"/>
      <c r="Y110" s="948"/>
      <c r="Z110" s="948"/>
    </row>
    <row r="111" spans="1:26" ht="18" customHeight="1" x14ac:dyDescent="0.35">
      <c r="A111" s="948"/>
      <c r="B111" s="376"/>
      <c r="C111" s="376"/>
      <c r="D111" s="376"/>
      <c r="E111" s="376"/>
      <c r="F111" s="376"/>
      <c r="G111" s="376"/>
      <c r="H111" s="376"/>
      <c r="I111" s="376"/>
      <c r="J111" s="376"/>
      <c r="K111" s="949"/>
      <c r="L111" s="949"/>
      <c r="M111" s="949"/>
      <c r="N111" s="948"/>
      <c r="O111" s="948"/>
      <c r="P111" s="948"/>
      <c r="Q111" s="948"/>
      <c r="R111" s="948"/>
      <c r="S111" s="948"/>
      <c r="T111" s="948"/>
      <c r="U111" s="948"/>
      <c r="V111" s="948"/>
      <c r="W111" s="948"/>
      <c r="X111" s="948"/>
      <c r="Y111" s="948"/>
      <c r="Z111" s="948"/>
    </row>
    <row r="112" spans="1:26" ht="18" customHeight="1" x14ac:dyDescent="0.35">
      <c r="A112" s="948"/>
      <c r="B112" s="376"/>
      <c r="C112" s="376"/>
      <c r="D112" s="376"/>
      <c r="E112" s="376"/>
      <c r="F112" s="376"/>
      <c r="G112" s="376"/>
      <c r="H112" s="376"/>
      <c r="I112" s="376"/>
      <c r="J112" s="376"/>
      <c r="K112" s="949"/>
      <c r="L112" s="949"/>
      <c r="M112" s="949"/>
      <c r="N112" s="948"/>
      <c r="O112" s="948"/>
      <c r="P112" s="948"/>
      <c r="Q112" s="948"/>
      <c r="R112" s="948"/>
      <c r="S112" s="948"/>
      <c r="T112" s="948"/>
      <c r="U112" s="948"/>
      <c r="V112" s="948"/>
      <c r="W112" s="948"/>
      <c r="X112" s="948"/>
      <c r="Y112" s="948"/>
      <c r="Z112" s="948"/>
    </row>
    <row r="113" spans="1:26" ht="18" customHeight="1" x14ac:dyDescent="0.35">
      <c r="A113" s="948"/>
      <c r="B113" s="376"/>
      <c r="C113" s="376"/>
      <c r="D113" s="376"/>
      <c r="E113" s="376"/>
      <c r="F113" s="376"/>
      <c r="G113" s="376"/>
      <c r="H113" s="376"/>
      <c r="I113" s="376"/>
      <c r="J113" s="376"/>
      <c r="K113" s="949"/>
      <c r="L113" s="949"/>
      <c r="M113" s="949"/>
      <c r="N113" s="948"/>
      <c r="O113" s="948"/>
      <c r="P113" s="948"/>
      <c r="Q113" s="948"/>
      <c r="R113" s="948"/>
      <c r="S113" s="948"/>
      <c r="T113" s="948"/>
      <c r="U113" s="948"/>
      <c r="V113" s="948"/>
      <c r="W113" s="948"/>
      <c r="X113" s="948"/>
      <c r="Y113" s="948"/>
      <c r="Z113" s="948"/>
    </row>
    <row r="114" spans="1:26" ht="18" customHeight="1" x14ac:dyDescent="0.35">
      <c r="A114" s="948"/>
      <c r="B114" s="376"/>
      <c r="C114" s="376"/>
      <c r="D114" s="376"/>
      <c r="E114" s="376"/>
      <c r="F114" s="376"/>
      <c r="G114" s="376"/>
      <c r="H114" s="376"/>
      <c r="I114" s="376"/>
      <c r="J114" s="376"/>
      <c r="K114" s="949"/>
      <c r="L114" s="949"/>
      <c r="M114" s="949"/>
      <c r="N114" s="948"/>
      <c r="O114" s="948"/>
      <c r="P114" s="948"/>
      <c r="Q114" s="948"/>
      <c r="R114" s="948"/>
      <c r="S114" s="948"/>
      <c r="T114" s="948"/>
      <c r="U114" s="948"/>
      <c r="V114" s="948"/>
      <c r="W114" s="948"/>
      <c r="X114" s="948"/>
      <c r="Y114" s="948"/>
      <c r="Z114" s="948"/>
    </row>
    <row r="115" spans="1:26" ht="18" customHeight="1" x14ac:dyDescent="0.35">
      <c r="A115" s="948"/>
      <c r="B115" s="376"/>
      <c r="C115" s="376"/>
      <c r="D115" s="376"/>
      <c r="E115" s="376"/>
      <c r="F115" s="376"/>
      <c r="G115" s="376"/>
      <c r="H115" s="376"/>
      <c r="I115" s="376"/>
      <c r="J115" s="376"/>
      <c r="K115" s="949"/>
      <c r="L115" s="949"/>
      <c r="M115" s="949"/>
      <c r="N115" s="948"/>
      <c r="O115" s="948"/>
      <c r="P115" s="948"/>
      <c r="Q115" s="948"/>
      <c r="R115" s="948"/>
      <c r="S115" s="948"/>
      <c r="T115" s="948"/>
      <c r="U115" s="948"/>
      <c r="V115" s="948"/>
      <c r="W115" s="948"/>
      <c r="X115" s="948"/>
      <c r="Y115" s="948"/>
      <c r="Z115" s="948"/>
    </row>
    <row r="116" spans="1:26" ht="18" customHeight="1" x14ac:dyDescent="0.35">
      <c r="A116" s="948"/>
      <c r="B116" s="376"/>
      <c r="C116" s="376"/>
      <c r="D116" s="376"/>
      <c r="E116" s="376"/>
      <c r="F116" s="376"/>
      <c r="G116" s="376"/>
      <c r="H116" s="376"/>
      <c r="I116" s="376"/>
      <c r="J116" s="376"/>
      <c r="K116" s="949"/>
      <c r="L116" s="949"/>
      <c r="M116" s="949"/>
      <c r="N116" s="948"/>
      <c r="O116" s="948"/>
      <c r="P116" s="948"/>
      <c r="Q116" s="948"/>
      <c r="R116" s="948"/>
      <c r="S116" s="948"/>
      <c r="T116" s="948"/>
      <c r="U116" s="948"/>
      <c r="V116" s="948"/>
      <c r="W116" s="948"/>
      <c r="X116" s="948"/>
      <c r="Y116" s="948"/>
      <c r="Z116" s="948"/>
    </row>
    <row r="117" spans="1:26" ht="18" customHeight="1" x14ac:dyDescent="0.35">
      <c r="A117" s="948"/>
      <c r="B117" s="376"/>
      <c r="C117" s="376"/>
      <c r="D117" s="376"/>
      <c r="E117" s="376"/>
      <c r="F117" s="376"/>
      <c r="G117" s="376"/>
      <c r="H117" s="376"/>
      <c r="I117" s="376"/>
      <c r="J117" s="376"/>
      <c r="K117" s="949"/>
      <c r="L117" s="949"/>
      <c r="M117" s="949"/>
      <c r="N117" s="948"/>
      <c r="O117" s="948"/>
      <c r="P117" s="948"/>
      <c r="Q117" s="948"/>
      <c r="R117" s="948"/>
      <c r="S117" s="948"/>
      <c r="T117" s="948"/>
      <c r="U117" s="948"/>
      <c r="V117" s="948"/>
      <c r="W117" s="948"/>
      <c r="X117" s="948"/>
      <c r="Y117" s="948"/>
      <c r="Z117" s="948"/>
    </row>
    <row r="118" spans="1:26" ht="18" customHeight="1" x14ac:dyDescent="0.35">
      <c r="A118" s="948"/>
      <c r="B118" s="376"/>
      <c r="C118" s="376"/>
      <c r="D118" s="376"/>
      <c r="E118" s="376"/>
      <c r="F118" s="376"/>
      <c r="G118" s="376"/>
      <c r="H118" s="376"/>
      <c r="I118" s="376"/>
      <c r="J118" s="376"/>
      <c r="K118" s="949"/>
      <c r="L118" s="949"/>
      <c r="M118" s="949"/>
      <c r="N118" s="948"/>
      <c r="O118" s="948"/>
      <c r="P118" s="948"/>
      <c r="Q118" s="948"/>
      <c r="R118" s="948"/>
      <c r="S118" s="948"/>
      <c r="T118" s="948"/>
      <c r="U118" s="948"/>
      <c r="V118" s="948"/>
      <c r="W118" s="948"/>
      <c r="X118" s="948"/>
      <c r="Y118" s="948"/>
      <c r="Z118" s="948"/>
    </row>
    <row r="119" spans="1:26" ht="18" customHeight="1" x14ac:dyDescent="0.35">
      <c r="A119" s="948"/>
      <c r="B119" s="376"/>
      <c r="C119" s="376"/>
      <c r="D119" s="376"/>
      <c r="E119" s="376"/>
      <c r="F119" s="376"/>
      <c r="G119" s="376"/>
      <c r="H119" s="376"/>
      <c r="I119" s="376"/>
      <c r="J119" s="376"/>
      <c r="K119" s="949"/>
      <c r="L119" s="949"/>
      <c r="M119" s="949"/>
      <c r="N119" s="948"/>
      <c r="O119" s="948"/>
      <c r="P119" s="948"/>
      <c r="Q119" s="948"/>
      <c r="R119" s="948"/>
      <c r="S119" s="948"/>
      <c r="T119" s="948"/>
      <c r="U119" s="948"/>
      <c r="V119" s="948"/>
      <c r="W119" s="948"/>
      <c r="X119" s="948"/>
      <c r="Y119" s="948"/>
      <c r="Z119" s="948"/>
    </row>
    <row r="120" spans="1:26" ht="18" customHeight="1" x14ac:dyDescent="0.35">
      <c r="A120" s="948"/>
      <c r="B120" s="376"/>
      <c r="C120" s="376"/>
      <c r="D120" s="376"/>
      <c r="E120" s="376"/>
      <c r="F120" s="376"/>
      <c r="G120" s="376"/>
      <c r="H120" s="376"/>
      <c r="I120" s="376"/>
      <c r="J120" s="376"/>
      <c r="K120" s="949"/>
      <c r="L120" s="949"/>
      <c r="M120" s="949"/>
      <c r="N120" s="948"/>
      <c r="O120" s="948"/>
      <c r="P120" s="948"/>
      <c r="Q120" s="948"/>
      <c r="R120" s="948"/>
      <c r="S120" s="948"/>
      <c r="T120" s="948"/>
      <c r="U120" s="948"/>
      <c r="V120" s="948"/>
      <c r="W120" s="948"/>
      <c r="X120" s="948"/>
      <c r="Y120" s="948"/>
      <c r="Z120" s="948"/>
    </row>
    <row r="121" spans="1:26" ht="18" customHeight="1" x14ac:dyDescent="0.35">
      <c r="A121" s="948"/>
      <c r="B121" s="376"/>
      <c r="C121" s="376"/>
      <c r="D121" s="376"/>
      <c r="E121" s="376"/>
      <c r="F121" s="376"/>
      <c r="G121" s="376"/>
      <c r="H121" s="376"/>
      <c r="I121" s="376"/>
      <c r="J121" s="376"/>
      <c r="K121" s="949"/>
      <c r="L121" s="949"/>
      <c r="M121" s="949"/>
      <c r="N121" s="948"/>
      <c r="O121" s="948"/>
      <c r="P121" s="948"/>
      <c r="Q121" s="948"/>
      <c r="R121" s="948"/>
      <c r="S121" s="948"/>
      <c r="T121" s="948"/>
      <c r="U121" s="948"/>
      <c r="V121" s="948"/>
      <c r="W121" s="948"/>
      <c r="X121" s="948"/>
      <c r="Y121" s="948"/>
      <c r="Z121" s="948"/>
    </row>
    <row r="122" spans="1:26" ht="18" customHeight="1" x14ac:dyDescent="0.35">
      <c r="A122" s="948"/>
      <c r="B122" s="376"/>
      <c r="C122" s="376"/>
      <c r="D122" s="376"/>
      <c r="E122" s="376"/>
      <c r="F122" s="376"/>
      <c r="G122" s="376"/>
      <c r="H122" s="376"/>
      <c r="I122" s="376"/>
      <c r="J122" s="376"/>
      <c r="K122" s="949"/>
      <c r="L122" s="949"/>
      <c r="M122" s="949"/>
      <c r="N122" s="948"/>
      <c r="O122" s="948"/>
      <c r="P122" s="948"/>
      <c r="Q122" s="948"/>
      <c r="R122" s="948"/>
      <c r="S122" s="948"/>
      <c r="T122" s="948"/>
      <c r="U122" s="948"/>
      <c r="V122" s="948"/>
      <c r="W122" s="948"/>
      <c r="X122" s="948"/>
      <c r="Y122" s="948"/>
      <c r="Z122" s="948"/>
    </row>
    <row r="123" spans="1:26" ht="18" customHeight="1" x14ac:dyDescent="0.35">
      <c r="A123" s="948"/>
      <c r="B123" s="376"/>
      <c r="C123" s="376"/>
      <c r="D123" s="376"/>
      <c r="E123" s="376"/>
      <c r="F123" s="376"/>
      <c r="G123" s="376"/>
      <c r="H123" s="376"/>
      <c r="I123" s="376"/>
      <c r="J123" s="376"/>
      <c r="K123" s="949"/>
      <c r="L123" s="949"/>
      <c r="M123" s="949"/>
      <c r="N123" s="948"/>
      <c r="O123" s="948"/>
      <c r="P123" s="948"/>
      <c r="Q123" s="948"/>
      <c r="R123" s="948"/>
      <c r="S123" s="948"/>
      <c r="T123" s="948"/>
      <c r="U123" s="948"/>
      <c r="V123" s="948"/>
      <c r="W123" s="948"/>
      <c r="X123" s="948"/>
      <c r="Y123" s="948"/>
      <c r="Z123" s="948"/>
    </row>
    <row r="124" spans="1:26" ht="18" customHeight="1" x14ac:dyDescent="0.35">
      <c r="A124" s="948"/>
      <c r="B124" s="376"/>
      <c r="C124" s="376"/>
      <c r="D124" s="376"/>
      <c r="E124" s="376"/>
      <c r="F124" s="376"/>
      <c r="G124" s="376"/>
      <c r="H124" s="376"/>
      <c r="I124" s="376"/>
      <c r="J124" s="376"/>
      <c r="K124" s="949"/>
      <c r="L124" s="949"/>
      <c r="M124" s="949"/>
      <c r="N124" s="948"/>
      <c r="O124" s="948"/>
      <c r="P124" s="948"/>
      <c r="Q124" s="948"/>
      <c r="R124" s="948"/>
      <c r="S124" s="948"/>
      <c r="T124" s="948"/>
      <c r="U124" s="948"/>
      <c r="V124" s="948"/>
      <c r="W124" s="948"/>
      <c r="X124" s="948"/>
      <c r="Y124" s="948"/>
      <c r="Z124" s="948"/>
    </row>
    <row r="125" spans="1:26" ht="18" customHeight="1" x14ac:dyDescent="0.35">
      <c r="A125" s="948"/>
      <c r="B125" s="376"/>
      <c r="C125" s="376"/>
      <c r="D125" s="376"/>
      <c r="E125" s="376"/>
      <c r="F125" s="376"/>
      <c r="G125" s="376"/>
      <c r="H125" s="376"/>
      <c r="I125" s="376"/>
      <c r="J125" s="376"/>
      <c r="K125" s="949"/>
      <c r="L125" s="949"/>
      <c r="M125" s="949"/>
      <c r="N125" s="948"/>
      <c r="O125" s="948"/>
      <c r="P125" s="948"/>
      <c r="Q125" s="948"/>
      <c r="R125" s="948"/>
      <c r="S125" s="948"/>
      <c r="T125" s="948"/>
      <c r="U125" s="948"/>
      <c r="V125" s="948"/>
      <c r="W125" s="948"/>
      <c r="X125" s="948"/>
      <c r="Y125" s="948"/>
      <c r="Z125" s="948"/>
    </row>
    <row r="126" spans="1:26" ht="18" customHeight="1" x14ac:dyDescent="0.35">
      <c r="A126" s="948"/>
      <c r="B126" s="376"/>
      <c r="C126" s="376"/>
      <c r="D126" s="376"/>
      <c r="E126" s="376"/>
      <c r="F126" s="376"/>
      <c r="G126" s="376"/>
      <c r="H126" s="376"/>
      <c r="I126" s="376"/>
      <c r="J126" s="376"/>
      <c r="K126" s="949"/>
      <c r="L126" s="949"/>
      <c r="M126" s="949"/>
      <c r="N126" s="948"/>
      <c r="O126" s="948"/>
      <c r="P126" s="948"/>
      <c r="Q126" s="948"/>
      <c r="R126" s="948"/>
      <c r="S126" s="948"/>
      <c r="T126" s="948"/>
      <c r="U126" s="948"/>
      <c r="V126" s="948"/>
      <c r="W126" s="948"/>
      <c r="X126" s="948"/>
      <c r="Y126" s="948"/>
      <c r="Z126" s="948"/>
    </row>
    <row r="127" spans="1:26" ht="18" customHeight="1" x14ac:dyDescent="0.35">
      <c r="A127" s="948"/>
      <c r="B127" s="376"/>
      <c r="C127" s="376"/>
      <c r="D127" s="376"/>
      <c r="E127" s="376"/>
      <c r="F127" s="376"/>
      <c r="G127" s="376"/>
      <c r="H127" s="376"/>
      <c r="I127" s="376"/>
      <c r="J127" s="376"/>
      <c r="K127" s="949"/>
      <c r="L127" s="949"/>
      <c r="M127" s="949"/>
      <c r="N127" s="948"/>
      <c r="O127" s="948"/>
      <c r="P127" s="948"/>
      <c r="Q127" s="948"/>
      <c r="R127" s="948"/>
      <c r="S127" s="948"/>
      <c r="T127" s="948"/>
      <c r="U127" s="948"/>
      <c r="V127" s="948"/>
      <c r="W127" s="948"/>
      <c r="X127" s="948"/>
      <c r="Y127" s="948"/>
      <c r="Z127" s="948"/>
    </row>
    <row r="128" spans="1:26" ht="18" customHeight="1" x14ac:dyDescent="0.35">
      <c r="A128" s="948"/>
      <c r="B128" s="376"/>
      <c r="C128" s="376"/>
      <c r="D128" s="376"/>
      <c r="E128" s="376"/>
      <c r="F128" s="376"/>
      <c r="G128" s="376"/>
      <c r="H128" s="376"/>
      <c r="I128" s="376"/>
      <c r="J128" s="376"/>
      <c r="K128" s="949"/>
      <c r="L128" s="949"/>
      <c r="M128" s="949"/>
      <c r="N128" s="948"/>
      <c r="O128" s="948"/>
      <c r="P128" s="948"/>
      <c r="Q128" s="948"/>
      <c r="R128" s="948"/>
      <c r="S128" s="948"/>
      <c r="T128" s="948"/>
      <c r="U128" s="948"/>
      <c r="V128" s="948"/>
      <c r="W128" s="948"/>
      <c r="X128" s="948"/>
      <c r="Y128" s="948"/>
      <c r="Z128" s="948"/>
    </row>
    <row r="129" spans="1:26" ht="18" customHeight="1" x14ac:dyDescent="0.35">
      <c r="A129" s="948"/>
      <c r="B129" s="376"/>
      <c r="C129" s="376"/>
      <c r="D129" s="376"/>
      <c r="E129" s="376"/>
      <c r="F129" s="376"/>
      <c r="G129" s="376"/>
      <c r="H129" s="376"/>
      <c r="I129" s="376"/>
      <c r="J129" s="376"/>
      <c r="K129" s="949"/>
      <c r="L129" s="949"/>
      <c r="M129" s="949"/>
      <c r="N129" s="948"/>
      <c r="O129" s="948"/>
      <c r="P129" s="948"/>
      <c r="Q129" s="948"/>
      <c r="R129" s="948"/>
      <c r="S129" s="948"/>
      <c r="T129" s="948"/>
      <c r="U129" s="948"/>
      <c r="V129" s="948"/>
      <c r="W129" s="948"/>
      <c r="X129" s="948"/>
      <c r="Y129" s="948"/>
      <c r="Z129" s="948"/>
    </row>
    <row r="130" spans="1:26" ht="18" customHeight="1" x14ac:dyDescent="0.35">
      <c r="A130" s="948"/>
      <c r="B130" s="376"/>
      <c r="C130" s="376"/>
      <c r="D130" s="376"/>
      <c r="E130" s="376"/>
      <c r="F130" s="376"/>
      <c r="G130" s="376"/>
      <c r="H130" s="376"/>
      <c r="I130" s="376"/>
      <c r="J130" s="376"/>
      <c r="K130" s="949"/>
      <c r="L130" s="949"/>
      <c r="M130" s="949"/>
      <c r="N130" s="948"/>
      <c r="O130" s="948"/>
      <c r="P130" s="948"/>
      <c r="Q130" s="948"/>
      <c r="R130" s="948"/>
      <c r="S130" s="948"/>
      <c r="T130" s="948"/>
      <c r="U130" s="948"/>
      <c r="V130" s="948"/>
      <c r="W130" s="948"/>
      <c r="X130" s="948"/>
      <c r="Y130" s="948"/>
      <c r="Z130" s="948"/>
    </row>
    <row r="131" spans="1:26" ht="18" customHeight="1" x14ac:dyDescent="0.35">
      <c r="A131" s="948"/>
      <c r="B131" s="376"/>
      <c r="C131" s="376"/>
      <c r="D131" s="376"/>
      <c r="E131" s="376"/>
      <c r="F131" s="376"/>
      <c r="G131" s="376"/>
      <c r="H131" s="376"/>
      <c r="I131" s="376"/>
      <c r="J131" s="376"/>
      <c r="K131" s="949"/>
      <c r="L131" s="949"/>
      <c r="M131" s="949"/>
      <c r="N131" s="948"/>
      <c r="O131" s="948"/>
      <c r="P131" s="948"/>
      <c r="Q131" s="948"/>
      <c r="R131" s="948"/>
      <c r="S131" s="948"/>
      <c r="T131" s="948"/>
      <c r="U131" s="948"/>
      <c r="V131" s="948"/>
      <c r="W131" s="948"/>
      <c r="X131" s="948"/>
      <c r="Y131" s="948"/>
      <c r="Z131" s="948"/>
    </row>
    <row r="132" spans="1:26" ht="18" customHeight="1" x14ac:dyDescent="0.35">
      <c r="A132" s="948"/>
      <c r="B132" s="376"/>
      <c r="C132" s="376"/>
      <c r="D132" s="376"/>
      <c r="E132" s="376"/>
      <c r="F132" s="376"/>
      <c r="G132" s="376"/>
      <c r="H132" s="376"/>
      <c r="I132" s="376"/>
      <c r="J132" s="376"/>
      <c r="K132" s="949"/>
      <c r="L132" s="949"/>
      <c r="M132" s="949"/>
      <c r="N132" s="948"/>
      <c r="O132" s="948"/>
      <c r="P132" s="948"/>
      <c r="Q132" s="948"/>
      <c r="R132" s="948"/>
      <c r="S132" s="948"/>
      <c r="T132" s="948"/>
      <c r="U132" s="948"/>
      <c r="V132" s="948"/>
      <c r="W132" s="948"/>
      <c r="X132" s="948"/>
      <c r="Y132" s="948"/>
      <c r="Z132" s="948"/>
    </row>
    <row r="133" spans="1:26" ht="18" customHeight="1" x14ac:dyDescent="0.35">
      <c r="A133" s="948"/>
      <c r="B133" s="376"/>
      <c r="C133" s="376"/>
      <c r="D133" s="376"/>
      <c r="E133" s="376"/>
      <c r="F133" s="376"/>
      <c r="G133" s="376"/>
      <c r="H133" s="376"/>
      <c r="I133" s="376"/>
      <c r="J133" s="376"/>
      <c r="K133" s="949"/>
      <c r="L133" s="949"/>
      <c r="M133" s="949"/>
      <c r="N133" s="948"/>
      <c r="O133" s="948"/>
      <c r="P133" s="948"/>
      <c r="Q133" s="948"/>
      <c r="R133" s="948"/>
      <c r="S133" s="948"/>
      <c r="T133" s="948"/>
      <c r="U133" s="948"/>
      <c r="V133" s="948"/>
      <c r="W133" s="948"/>
      <c r="X133" s="948"/>
      <c r="Y133" s="948"/>
      <c r="Z133" s="948"/>
    </row>
    <row r="134" spans="1:26" ht="18" customHeight="1" x14ac:dyDescent="0.35">
      <c r="A134" s="948"/>
      <c r="B134" s="376"/>
      <c r="C134" s="376"/>
      <c r="D134" s="376"/>
      <c r="E134" s="376"/>
      <c r="F134" s="376"/>
      <c r="G134" s="376"/>
      <c r="H134" s="376"/>
      <c r="I134" s="376"/>
      <c r="J134" s="376"/>
      <c r="K134" s="949"/>
      <c r="L134" s="949"/>
      <c r="M134" s="949"/>
      <c r="N134" s="948"/>
      <c r="O134" s="948"/>
      <c r="P134" s="948"/>
      <c r="Q134" s="948"/>
      <c r="R134" s="948"/>
      <c r="S134" s="948"/>
      <c r="T134" s="948"/>
      <c r="U134" s="948"/>
      <c r="V134" s="948"/>
      <c r="W134" s="948"/>
      <c r="X134" s="948"/>
      <c r="Y134" s="948"/>
      <c r="Z134" s="948"/>
    </row>
    <row r="135" spans="1:26" ht="18" customHeight="1" x14ac:dyDescent="0.35">
      <c r="A135" s="948"/>
      <c r="B135" s="376"/>
      <c r="C135" s="376"/>
      <c r="D135" s="376"/>
      <c r="E135" s="376"/>
      <c r="F135" s="376"/>
      <c r="G135" s="376"/>
      <c r="H135" s="376"/>
      <c r="I135" s="376"/>
      <c r="J135" s="376"/>
      <c r="K135" s="949"/>
      <c r="L135" s="949"/>
      <c r="M135" s="949"/>
      <c r="N135" s="948"/>
      <c r="O135" s="948"/>
      <c r="P135" s="948"/>
      <c r="Q135" s="948"/>
      <c r="R135" s="948"/>
      <c r="S135" s="948"/>
      <c r="T135" s="948"/>
      <c r="U135" s="948"/>
      <c r="V135" s="948"/>
      <c r="W135" s="948"/>
      <c r="X135" s="948"/>
      <c r="Y135" s="948"/>
      <c r="Z135" s="948"/>
    </row>
    <row r="136" spans="1:26" ht="18" customHeight="1" x14ac:dyDescent="0.35">
      <c r="A136" s="948"/>
      <c r="B136" s="376"/>
      <c r="C136" s="376"/>
      <c r="D136" s="376"/>
      <c r="E136" s="376"/>
      <c r="F136" s="376"/>
      <c r="G136" s="376"/>
      <c r="H136" s="376"/>
      <c r="I136" s="376"/>
      <c r="J136" s="376"/>
      <c r="K136" s="949"/>
      <c r="L136" s="949"/>
      <c r="M136" s="949"/>
      <c r="N136" s="948"/>
      <c r="O136" s="948"/>
      <c r="P136" s="948"/>
      <c r="Q136" s="948"/>
      <c r="R136" s="948"/>
      <c r="S136" s="948"/>
      <c r="T136" s="948"/>
      <c r="U136" s="948"/>
      <c r="V136" s="948"/>
      <c r="W136" s="948"/>
      <c r="X136" s="948"/>
      <c r="Y136" s="948"/>
      <c r="Z136" s="948"/>
    </row>
    <row r="137" spans="1:26" ht="18" customHeight="1" x14ac:dyDescent="0.35">
      <c r="A137" s="948"/>
      <c r="B137" s="376"/>
      <c r="C137" s="376"/>
      <c r="D137" s="376"/>
      <c r="E137" s="376"/>
      <c r="F137" s="376"/>
      <c r="G137" s="376"/>
      <c r="H137" s="376"/>
      <c r="I137" s="376"/>
      <c r="J137" s="376"/>
      <c r="K137" s="949"/>
      <c r="L137" s="949"/>
      <c r="M137" s="949"/>
      <c r="N137" s="948"/>
      <c r="O137" s="948"/>
      <c r="P137" s="948"/>
      <c r="Q137" s="948"/>
      <c r="R137" s="948"/>
      <c r="S137" s="948"/>
      <c r="T137" s="948"/>
      <c r="U137" s="948"/>
      <c r="V137" s="948"/>
      <c r="W137" s="948"/>
      <c r="X137" s="948"/>
      <c r="Y137" s="948"/>
      <c r="Z137" s="948"/>
    </row>
    <row r="138" spans="1:26" ht="18" customHeight="1" x14ac:dyDescent="0.35">
      <c r="A138" s="948"/>
      <c r="B138" s="376"/>
      <c r="C138" s="376"/>
      <c r="D138" s="376"/>
      <c r="E138" s="376"/>
      <c r="F138" s="376"/>
      <c r="G138" s="376"/>
      <c r="H138" s="376"/>
      <c r="I138" s="376"/>
      <c r="J138" s="376"/>
      <c r="K138" s="949"/>
      <c r="L138" s="949"/>
      <c r="M138" s="949"/>
      <c r="N138" s="948"/>
      <c r="O138" s="948"/>
      <c r="P138" s="948"/>
      <c r="Q138" s="948"/>
      <c r="R138" s="948"/>
      <c r="S138" s="948"/>
      <c r="T138" s="948"/>
      <c r="U138" s="948"/>
      <c r="V138" s="948"/>
      <c r="W138" s="948"/>
      <c r="X138" s="948"/>
      <c r="Y138" s="948"/>
      <c r="Z138" s="948"/>
    </row>
    <row r="139" spans="1:26" ht="18" customHeight="1" x14ac:dyDescent="0.35">
      <c r="A139" s="948"/>
      <c r="B139" s="376"/>
      <c r="C139" s="376"/>
      <c r="D139" s="376"/>
      <c r="E139" s="376"/>
      <c r="F139" s="376"/>
      <c r="G139" s="376"/>
      <c r="H139" s="376"/>
      <c r="I139" s="376"/>
      <c r="J139" s="376"/>
      <c r="K139" s="949"/>
      <c r="L139" s="949"/>
      <c r="M139" s="949"/>
      <c r="N139" s="948"/>
      <c r="O139" s="948"/>
      <c r="P139" s="948"/>
      <c r="Q139" s="948"/>
      <c r="R139" s="948"/>
      <c r="S139" s="948"/>
      <c r="T139" s="948"/>
      <c r="U139" s="948"/>
      <c r="V139" s="948"/>
      <c r="W139" s="948"/>
      <c r="X139" s="948"/>
      <c r="Y139" s="948"/>
      <c r="Z139" s="948"/>
    </row>
    <row r="140" spans="1:26" ht="18" customHeight="1" x14ac:dyDescent="0.35">
      <c r="A140" s="948"/>
      <c r="B140" s="376"/>
      <c r="C140" s="376"/>
      <c r="D140" s="376"/>
      <c r="E140" s="376"/>
      <c r="F140" s="376"/>
      <c r="G140" s="376"/>
      <c r="H140" s="376"/>
      <c r="I140" s="376"/>
      <c r="J140" s="376"/>
      <c r="K140" s="949"/>
      <c r="L140" s="949"/>
      <c r="M140" s="949"/>
      <c r="N140" s="948"/>
      <c r="O140" s="948"/>
      <c r="P140" s="948"/>
      <c r="Q140" s="948"/>
      <c r="R140" s="948"/>
      <c r="S140" s="948"/>
      <c r="T140" s="948"/>
      <c r="U140" s="948"/>
      <c r="V140" s="948"/>
      <c r="W140" s="948"/>
      <c r="X140" s="948"/>
      <c r="Y140" s="948"/>
      <c r="Z140" s="948"/>
    </row>
    <row r="141" spans="1:26" ht="18" customHeight="1" x14ac:dyDescent="0.35">
      <c r="A141" s="948"/>
      <c r="B141" s="376"/>
      <c r="C141" s="376"/>
      <c r="D141" s="376"/>
      <c r="E141" s="376"/>
      <c r="F141" s="376"/>
      <c r="G141" s="376"/>
      <c r="H141" s="376"/>
      <c r="I141" s="376"/>
      <c r="J141" s="376"/>
      <c r="K141" s="949"/>
      <c r="L141" s="949"/>
      <c r="M141" s="949"/>
      <c r="N141" s="948"/>
      <c r="O141" s="948"/>
      <c r="P141" s="948"/>
      <c r="Q141" s="948"/>
      <c r="R141" s="948"/>
      <c r="S141" s="948"/>
      <c r="T141" s="948"/>
      <c r="U141" s="948"/>
      <c r="V141" s="948"/>
      <c r="W141" s="948"/>
      <c r="X141" s="948"/>
      <c r="Y141" s="948"/>
      <c r="Z141" s="948"/>
    </row>
    <row r="142" spans="1:26" ht="18" customHeight="1" x14ac:dyDescent="0.35">
      <c r="A142" s="948"/>
      <c r="B142" s="376"/>
      <c r="C142" s="376"/>
      <c r="D142" s="376"/>
      <c r="E142" s="376"/>
      <c r="F142" s="376"/>
      <c r="G142" s="376"/>
      <c r="H142" s="376"/>
      <c r="I142" s="376"/>
      <c r="J142" s="376"/>
      <c r="K142" s="949"/>
      <c r="L142" s="949"/>
      <c r="M142" s="949"/>
      <c r="N142" s="948"/>
      <c r="O142" s="948"/>
      <c r="P142" s="948"/>
      <c r="Q142" s="948"/>
      <c r="R142" s="948"/>
      <c r="S142" s="948"/>
      <c r="T142" s="948"/>
      <c r="U142" s="948"/>
      <c r="V142" s="948"/>
      <c r="W142" s="948"/>
      <c r="X142" s="948"/>
      <c r="Y142" s="948"/>
      <c r="Z142" s="948"/>
    </row>
    <row r="143" spans="1:26" ht="18" customHeight="1" x14ac:dyDescent="0.35">
      <c r="A143" s="948"/>
      <c r="B143" s="376"/>
      <c r="C143" s="376"/>
      <c r="D143" s="376"/>
      <c r="E143" s="376"/>
      <c r="F143" s="376"/>
      <c r="G143" s="376"/>
      <c r="H143" s="376"/>
      <c r="I143" s="376"/>
      <c r="J143" s="376"/>
      <c r="K143" s="949"/>
      <c r="L143" s="949"/>
      <c r="M143" s="949"/>
      <c r="N143" s="948"/>
      <c r="O143" s="948"/>
      <c r="P143" s="948"/>
      <c r="Q143" s="948"/>
      <c r="R143" s="948"/>
      <c r="S143" s="948"/>
      <c r="T143" s="948"/>
      <c r="U143" s="948"/>
      <c r="V143" s="948"/>
      <c r="W143" s="948"/>
      <c r="X143" s="948"/>
      <c r="Y143" s="948"/>
      <c r="Z143" s="948"/>
    </row>
    <row r="144" spans="1:26" ht="18" customHeight="1" x14ac:dyDescent="0.35">
      <c r="A144" s="948"/>
      <c r="B144" s="376"/>
      <c r="C144" s="376"/>
      <c r="D144" s="376"/>
      <c r="E144" s="376"/>
      <c r="F144" s="376"/>
      <c r="G144" s="376"/>
      <c r="H144" s="376"/>
      <c r="I144" s="376"/>
      <c r="J144" s="376"/>
      <c r="K144" s="949"/>
      <c r="L144" s="949"/>
      <c r="M144" s="949"/>
      <c r="N144" s="948"/>
      <c r="O144" s="948"/>
      <c r="P144" s="948"/>
      <c r="Q144" s="948"/>
      <c r="R144" s="948"/>
      <c r="S144" s="948"/>
      <c r="T144" s="948"/>
      <c r="U144" s="948"/>
      <c r="V144" s="948"/>
      <c r="W144" s="948"/>
      <c r="X144" s="948"/>
      <c r="Y144" s="948"/>
      <c r="Z144" s="948"/>
    </row>
    <row r="145" spans="1:26" ht="18" customHeight="1" x14ac:dyDescent="0.35">
      <c r="A145" s="948"/>
      <c r="B145" s="376"/>
      <c r="C145" s="376"/>
      <c r="D145" s="376"/>
      <c r="E145" s="376"/>
      <c r="F145" s="376"/>
      <c r="G145" s="376"/>
      <c r="H145" s="376"/>
      <c r="I145" s="376"/>
      <c r="J145" s="376"/>
      <c r="K145" s="949"/>
      <c r="L145" s="949"/>
      <c r="M145" s="949"/>
      <c r="N145" s="948"/>
      <c r="O145" s="948"/>
      <c r="P145" s="948"/>
      <c r="Q145" s="948"/>
      <c r="R145" s="948"/>
      <c r="S145" s="948"/>
      <c r="T145" s="948"/>
      <c r="U145" s="948"/>
      <c r="V145" s="948"/>
      <c r="W145" s="948"/>
      <c r="X145" s="948"/>
      <c r="Y145" s="948"/>
      <c r="Z145" s="948"/>
    </row>
    <row r="146" spans="1:26" ht="18" customHeight="1" x14ac:dyDescent="0.35">
      <c r="A146" s="948"/>
      <c r="B146" s="376"/>
      <c r="C146" s="376"/>
      <c r="D146" s="376"/>
      <c r="E146" s="376"/>
      <c r="F146" s="376"/>
      <c r="G146" s="376"/>
      <c r="H146" s="376"/>
      <c r="I146" s="376"/>
      <c r="J146" s="376"/>
      <c r="K146" s="949"/>
      <c r="L146" s="949"/>
      <c r="M146" s="949"/>
      <c r="N146" s="948"/>
      <c r="O146" s="948"/>
      <c r="P146" s="948"/>
      <c r="Q146" s="948"/>
      <c r="R146" s="948"/>
      <c r="S146" s="948"/>
      <c r="T146" s="948"/>
      <c r="U146" s="948"/>
      <c r="V146" s="948"/>
      <c r="W146" s="948"/>
      <c r="X146" s="948"/>
      <c r="Y146" s="948"/>
      <c r="Z146" s="948"/>
    </row>
    <row r="147" spans="1:26" ht="18" customHeight="1" x14ac:dyDescent="0.35">
      <c r="A147" s="948"/>
      <c r="B147" s="376"/>
      <c r="C147" s="376"/>
      <c r="D147" s="376"/>
      <c r="E147" s="376"/>
      <c r="F147" s="376"/>
      <c r="G147" s="376"/>
      <c r="H147" s="376"/>
      <c r="I147" s="376"/>
      <c r="J147" s="376"/>
      <c r="K147" s="949"/>
      <c r="L147" s="949"/>
      <c r="M147" s="949"/>
      <c r="N147" s="948"/>
      <c r="O147" s="948"/>
      <c r="P147" s="948"/>
      <c r="Q147" s="948"/>
      <c r="R147" s="948"/>
      <c r="S147" s="948"/>
      <c r="T147" s="948"/>
      <c r="U147" s="948"/>
      <c r="V147" s="948"/>
      <c r="W147" s="948"/>
      <c r="X147" s="948"/>
      <c r="Y147" s="948"/>
      <c r="Z147" s="948"/>
    </row>
    <row r="148" spans="1:26" ht="18" customHeight="1" x14ac:dyDescent="0.35">
      <c r="A148" s="948"/>
      <c r="B148" s="376"/>
      <c r="C148" s="376"/>
      <c r="D148" s="376"/>
      <c r="E148" s="376"/>
      <c r="F148" s="376"/>
      <c r="G148" s="376"/>
      <c r="H148" s="376"/>
      <c r="I148" s="376"/>
      <c r="J148" s="376"/>
      <c r="K148" s="949"/>
      <c r="L148" s="949"/>
      <c r="M148" s="949"/>
      <c r="N148" s="948"/>
      <c r="O148" s="948"/>
      <c r="P148" s="948"/>
      <c r="Q148" s="948"/>
      <c r="R148" s="948"/>
      <c r="S148" s="948"/>
      <c r="T148" s="948"/>
      <c r="U148" s="948"/>
      <c r="V148" s="948"/>
      <c r="W148" s="948"/>
      <c r="X148" s="948"/>
      <c r="Y148" s="948"/>
      <c r="Z148" s="948"/>
    </row>
    <row r="149" spans="1:26" ht="18" customHeight="1" x14ac:dyDescent="0.35">
      <c r="A149" s="948"/>
      <c r="B149" s="376"/>
      <c r="C149" s="376"/>
      <c r="D149" s="376"/>
      <c r="E149" s="376"/>
      <c r="F149" s="376"/>
      <c r="G149" s="376"/>
      <c r="H149" s="376"/>
      <c r="I149" s="376"/>
      <c r="J149" s="376"/>
      <c r="K149" s="949"/>
      <c r="L149" s="949"/>
      <c r="M149" s="949"/>
      <c r="N149" s="948"/>
      <c r="O149" s="948"/>
      <c r="P149" s="948"/>
      <c r="Q149" s="948"/>
      <c r="R149" s="948"/>
      <c r="S149" s="948"/>
      <c r="T149" s="948"/>
      <c r="U149" s="948"/>
      <c r="V149" s="948"/>
      <c r="W149" s="948"/>
      <c r="X149" s="948"/>
      <c r="Y149" s="948"/>
      <c r="Z149" s="948"/>
    </row>
    <row r="150" spans="1:26" ht="18" customHeight="1" x14ac:dyDescent="0.35">
      <c r="A150" s="948"/>
      <c r="B150" s="376"/>
      <c r="C150" s="376"/>
      <c r="D150" s="376"/>
      <c r="E150" s="376"/>
      <c r="F150" s="376"/>
      <c r="G150" s="376"/>
      <c r="H150" s="376"/>
      <c r="I150" s="376"/>
      <c r="J150" s="376"/>
      <c r="K150" s="949"/>
      <c r="L150" s="949"/>
      <c r="M150" s="949"/>
      <c r="N150" s="948"/>
      <c r="O150" s="948"/>
      <c r="P150" s="948"/>
      <c r="Q150" s="948"/>
      <c r="R150" s="948"/>
      <c r="S150" s="948"/>
      <c r="T150" s="948"/>
      <c r="U150" s="948"/>
      <c r="V150" s="948"/>
      <c r="W150" s="948"/>
      <c r="X150" s="948"/>
      <c r="Y150" s="948"/>
      <c r="Z150" s="948"/>
    </row>
    <row r="151" spans="1:26" ht="18" customHeight="1" x14ac:dyDescent="0.35">
      <c r="A151" s="948"/>
      <c r="B151" s="376"/>
      <c r="C151" s="376"/>
      <c r="D151" s="376"/>
      <c r="E151" s="376"/>
      <c r="F151" s="376"/>
      <c r="G151" s="376"/>
      <c r="H151" s="376"/>
      <c r="I151" s="376"/>
      <c r="J151" s="376"/>
      <c r="K151" s="949"/>
      <c r="L151" s="949"/>
      <c r="M151" s="949"/>
      <c r="N151" s="948"/>
      <c r="O151" s="948"/>
      <c r="P151" s="948"/>
      <c r="Q151" s="948"/>
      <c r="R151" s="948"/>
      <c r="S151" s="948"/>
      <c r="T151" s="948"/>
      <c r="U151" s="948"/>
      <c r="V151" s="948"/>
      <c r="W151" s="948"/>
      <c r="X151" s="948"/>
      <c r="Y151" s="948"/>
      <c r="Z151" s="948"/>
    </row>
    <row r="152" spans="1:26" ht="18" customHeight="1" x14ac:dyDescent="0.35">
      <c r="A152" s="948"/>
      <c r="B152" s="376"/>
      <c r="C152" s="376"/>
      <c r="D152" s="376"/>
      <c r="E152" s="376"/>
      <c r="F152" s="376"/>
      <c r="G152" s="376"/>
      <c r="H152" s="376"/>
      <c r="I152" s="376"/>
      <c r="J152" s="376"/>
      <c r="K152" s="949"/>
      <c r="L152" s="949"/>
      <c r="M152" s="949"/>
      <c r="N152" s="948"/>
      <c r="O152" s="948"/>
      <c r="P152" s="948"/>
      <c r="Q152" s="948"/>
      <c r="R152" s="948"/>
      <c r="S152" s="948"/>
      <c r="T152" s="948"/>
      <c r="U152" s="948"/>
      <c r="V152" s="948"/>
      <c r="W152" s="948"/>
      <c r="X152" s="948"/>
      <c r="Y152" s="948"/>
      <c r="Z152" s="948"/>
    </row>
    <row r="153" spans="1:26" ht="18" customHeight="1" x14ac:dyDescent="0.35">
      <c r="A153" s="948"/>
      <c r="B153" s="376"/>
      <c r="C153" s="376"/>
      <c r="D153" s="376"/>
      <c r="E153" s="376"/>
      <c r="F153" s="376"/>
      <c r="G153" s="376"/>
      <c r="H153" s="376"/>
      <c r="I153" s="376"/>
      <c r="J153" s="376"/>
      <c r="K153" s="949"/>
      <c r="L153" s="949"/>
      <c r="M153" s="949"/>
      <c r="N153" s="948"/>
      <c r="O153" s="948"/>
      <c r="P153" s="948"/>
      <c r="Q153" s="948"/>
      <c r="R153" s="948"/>
      <c r="S153" s="948"/>
      <c r="T153" s="948"/>
      <c r="U153" s="948"/>
      <c r="V153" s="948"/>
      <c r="W153" s="948"/>
      <c r="X153" s="948"/>
      <c r="Y153" s="948"/>
      <c r="Z153" s="948"/>
    </row>
    <row r="154" spans="1:26" ht="18" customHeight="1" x14ac:dyDescent="0.35">
      <c r="A154" s="948"/>
      <c r="B154" s="376"/>
      <c r="C154" s="376"/>
      <c r="D154" s="376"/>
      <c r="E154" s="376"/>
      <c r="F154" s="376"/>
      <c r="G154" s="376"/>
      <c r="H154" s="376"/>
      <c r="I154" s="376"/>
      <c r="J154" s="376"/>
      <c r="K154" s="949"/>
      <c r="L154" s="949"/>
      <c r="M154" s="949"/>
      <c r="N154" s="948"/>
      <c r="O154" s="948"/>
      <c r="P154" s="948"/>
      <c r="Q154" s="948"/>
      <c r="R154" s="948"/>
      <c r="S154" s="948"/>
      <c r="T154" s="948"/>
      <c r="U154" s="948"/>
      <c r="V154" s="948"/>
      <c r="W154" s="948"/>
      <c r="X154" s="948"/>
      <c r="Y154" s="948"/>
      <c r="Z154" s="948"/>
    </row>
    <row r="155" spans="1:26" ht="18" customHeight="1" x14ac:dyDescent="0.35">
      <c r="A155" s="948"/>
      <c r="B155" s="376"/>
      <c r="C155" s="376"/>
      <c r="D155" s="376"/>
      <c r="E155" s="376"/>
      <c r="F155" s="376"/>
      <c r="G155" s="376"/>
      <c r="H155" s="376"/>
      <c r="I155" s="376"/>
      <c r="J155" s="376"/>
      <c r="K155" s="949"/>
      <c r="L155" s="949"/>
      <c r="M155" s="949"/>
      <c r="N155" s="948"/>
      <c r="O155" s="948"/>
      <c r="P155" s="948"/>
      <c r="Q155" s="948"/>
      <c r="R155" s="948"/>
      <c r="S155" s="948"/>
      <c r="T155" s="948"/>
      <c r="U155" s="948"/>
      <c r="V155" s="948"/>
      <c r="W155" s="948"/>
      <c r="X155" s="948"/>
      <c r="Y155" s="948"/>
      <c r="Z155" s="948"/>
    </row>
    <row r="156" spans="1:26" ht="18" customHeight="1" x14ac:dyDescent="0.35">
      <c r="A156" s="948"/>
      <c r="B156" s="376"/>
      <c r="C156" s="376"/>
      <c r="D156" s="376"/>
      <c r="E156" s="376"/>
      <c r="F156" s="376"/>
      <c r="G156" s="376"/>
      <c r="H156" s="376"/>
      <c r="I156" s="376"/>
      <c r="J156" s="376"/>
      <c r="K156" s="949"/>
      <c r="L156" s="949"/>
      <c r="M156" s="949"/>
      <c r="N156" s="948"/>
      <c r="O156" s="948"/>
      <c r="P156" s="948"/>
      <c r="Q156" s="948"/>
      <c r="R156" s="948"/>
      <c r="S156" s="948"/>
      <c r="T156" s="948"/>
      <c r="U156" s="948"/>
      <c r="V156" s="948"/>
      <c r="W156" s="948"/>
      <c r="X156" s="948"/>
      <c r="Y156" s="948"/>
      <c r="Z156" s="948"/>
    </row>
    <row r="157" spans="1:26" ht="18" customHeight="1" x14ac:dyDescent="0.35">
      <c r="A157" s="948"/>
      <c r="B157" s="376"/>
      <c r="C157" s="376"/>
      <c r="D157" s="376"/>
      <c r="E157" s="376"/>
      <c r="F157" s="376"/>
      <c r="G157" s="376"/>
      <c r="H157" s="376"/>
      <c r="I157" s="376"/>
      <c r="J157" s="376"/>
      <c r="K157" s="949"/>
      <c r="L157" s="949"/>
      <c r="M157" s="949"/>
      <c r="N157" s="948"/>
      <c r="O157" s="948"/>
      <c r="P157" s="948"/>
      <c r="Q157" s="948"/>
      <c r="R157" s="948"/>
      <c r="S157" s="948"/>
      <c r="T157" s="948"/>
      <c r="U157" s="948"/>
      <c r="V157" s="948"/>
      <c r="W157" s="948"/>
      <c r="X157" s="948"/>
      <c r="Y157" s="948"/>
      <c r="Z157" s="948"/>
    </row>
    <row r="158" spans="1:26" ht="18" customHeight="1" x14ac:dyDescent="0.35">
      <c r="A158" s="948"/>
      <c r="B158" s="376"/>
      <c r="C158" s="376"/>
      <c r="D158" s="376"/>
      <c r="E158" s="376"/>
      <c r="F158" s="376"/>
      <c r="G158" s="376"/>
      <c r="H158" s="376"/>
      <c r="I158" s="376"/>
      <c r="J158" s="376"/>
      <c r="K158" s="949"/>
      <c r="L158" s="949"/>
      <c r="M158" s="949"/>
      <c r="N158" s="948"/>
      <c r="O158" s="948"/>
      <c r="P158" s="948"/>
      <c r="Q158" s="948"/>
      <c r="R158" s="948"/>
      <c r="S158" s="948"/>
      <c r="T158" s="948"/>
      <c r="U158" s="948"/>
      <c r="V158" s="948"/>
      <c r="W158" s="948"/>
      <c r="X158" s="948"/>
      <c r="Y158" s="948"/>
      <c r="Z158" s="948"/>
    </row>
    <row r="159" spans="1:26" ht="18" customHeight="1" x14ac:dyDescent="0.35">
      <c r="A159" s="948"/>
      <c r="B159" s="376"/>
      <c r="C159" s="376"/>
      <c r="D159" s="376"/>
      <c r="E159" s="376"/>
      <c r="F159" s="376"/>
      <c r="G159" s="376"/>
      <c r="H159" s="376"/>
      <c r="I159" s="376"/>
      <c r="J159" s="376"/>
      <c r="K159" s="949"/>
      <c r="L159" s="949"/>
      <c r="M159" s="949"/>
      <c r="N159" s="948"/>
      <c r="O159" s="948"/>
      <c r="P159" s="948"/>
      <c r="Q159" s="948"/>
      <c r="R159" s="948"/>
      <c r="S159" s="948"/>
      <c r="T159" s="948"/>
      <c r="U159" s="948"/>
      <c r="V159" s="948"/>
      <c r="W159" s="948"/>
      <c r="X159" s="948"/>
      <c r="Y159" s="948"/>
      <c r="Z159" s="948"/>
    </row>
    <row r="160" spans="1:26" ht="18" customHeight="1" x14ac:dyDescent="0.35">
      <c r="A160" s="948"/>
      <c r="B160" s="376"/>
      <c r="C160" s="376"/>
      <c r="D160" s="376"/>
      <c r="E160" s="376"/>
      <c r="F160" s="376"/>
      <c r="G160" s="376"/>
      <c r="H160" s="376"/>
      <c r="I160" s="376"/>
      <c r="J160" s="376"/>
      <c r="K160" s="949"/>
      <c r="L160" s="949"/>
      <c r="M160" s="949"/>
      <c r="N160" s="948"/>
      <c r="O160" s="948"/>
      <c r="P160" s="948"/>
      <c r="Q160" s="948"/>
      <c r="R160" s="948"/>
      <c r="S160" s="948"/>
      <c r="T160" s="948"/>
      <c r="U160" s="948"/>
      <c r="V160" s="948"/>
      <c r="W160" s="948"/>
      <c r="X160" s="948"/>
      <c r="Y160" s="948"/>
      <c r="Z160" s="948"/>
    </row>
    <row r="161" spans="1:26" ht="18" customHeight="1" x14ac:dyDescent="0.35">
      <c r="A161" s="948"/>
      <c r="B161" s="376"/>
      <c r="C161" s="376"/>
      <c r="D161" s="376"/>
      <c r="E161" s="376"/>
      <c r="F161" s="376"/>
      <c r="G161" s="376"/>
      <c r="H161" s="376"/>
      <c r="I161" s="376"/>
      <c r="J161" s="376"/>
      <c r="K161" s="949"/>
      <c r="L161" s="949"/>
      <c r="M161" s="949"/>
      <c r="N161" s="948"/>
      <c r="O161" s="948"/>
      <c r="P161" s="948"/>
      <c r="Q161" s="948"/>
      <c r="R161" s="948"/>
      <c r="S161" s="948"/>
      <c r="T161" s="948"/>
      <c r="U161" s="948"/>
      <c r="V161" s="948"/>
      <c r="W161" s="948"/>
      <c r="X161" s="948"/>
      <c r="Y161" s="948"/>
      <c r="Z161" s="948"/>
    </row>
    <row r="162" spans="1:26" ht="18" customHeight="1" x14ac:dyDescent="0.35">
      <c r="A162" s="948"/>
      <c r="B162" s="376"/>
      <c r="C162" s="376"/>
      <c r="D162" s="376"/>
      <c r="E162" s="376"/>
      <c r="F162" s="376"/>
      <c r="G162" s="376"/>
      <c r="H162" s="376"/>
      <c r="I162" s="376"/>
      <c r="J162" s="376"/>
      <c r="K162" s="949"/>
      <c r="L162" s="949"/>
      <c r="M162" s="949"/>
      <c r="N162" s="948"/>
      <c r="O162" s="948"/>
      <c r="P162" s="948"/>
      <c r="Q162" s="948"/>
      <c r="R162" s="948"/>
      <c r="S162" s="948"/>
      <c r="T162" s="948"/>
      <c r="U162" s="948"/>
      <c r="V162" s="948"/>
      <c r="W162" s="948"/>
      <c r="X162" s="948"/>
      <c r="Y162" s="948"/>
      <c r="Z162" s="948"/>
    </row>
    <row r="163" spans="1:26" ht="18" customHeight="1" x14ac:dyDescent="0.35">
      <c r="A163" s="948"/>
      <c r="B163" s="376"/>
      <c r="C163" s="376"/>
      <c r="D163" s="376"/>
      <c r="E163" s="376"/>
      <c r="F163" s="376"/>
      <c r="G163" s="376"/>
      <c r="H163" s="376"/>
      <c r="I163" s="376"/>
      <c r="J163" s="376"/>
      <c r="K163" s="949"/>
      <c r="L163" s="949"/>
      <c r="M163" s="949"/>
      <c r="N163" s="948"/>
      <c r="O163" s="948"/>
      <c r="P163" s="948"/>
      <c r="Q163" s="948"/>
      <c r="R163" s="948"/>
      <c r="S163" s="948"/>
      <c r="T163" s="948"/>
      <c r="U163" s="948"/>
      <c r="V163" s="948"/>
      <c r="W163" s="948"/>
      <c r="X163" s="948"/>
      <c r="Y163" s="948"/>
      <c r="Z163" s="948"/>
    </row>
    <row r="164" spans="1:26" ht="18" customHeight="1" x14ac:dyDescent="0.35">
      <c r="A164" s="948"/>
      <c r="B164" s="376"/>
      <c r="C164" s="376"/>
      <c r="D164" s="376"/>
      <c r="E164" s="376"/>
      <c r="F164" s="376"/>
      <c r="G164" s="376"/>
      <c r="H164" s="376"/>
      <c r="I164" s="376"/>
      <c r="J164" s="376"/>
      <c r="K164" s="949"/>
      <c r="L164" s="949"/>
      <c r="M164" s="949"/>
      <c r="N164" s="948"/>
      <c r="O164" s="948"/>
      <c r="P164" s="948"/>
      <c r="Q164" s="948"/>
      <c r="R164" s="948"/>
      <c r="S164" s="948"/>
      <c r="T164" s="948"/>
      <c r="U164" s="948"/>
      <c r="V164" s="948"/>
      <c r="W164" s="948"/>
      <c r="X164" s="948"/>
      <c r="Y164" s="948"/>
      <c r="Z164" s="948"/>
    </row>
    <row r="165" spans="1:26" ht="18" customHeight="1" x14ac:dyDescent="0.35">
      <c r="A165" s="948"/>
      <c r="B165" s="376"/>
      <c r="C165" s="376"/>
      <c r="D165" s="376"/>
      <c r="E165" s="376"/>
      <c r="F165" s="376"/>
      <c r="G165" s="376"/>
      <c r="H165" s="376"/>
      <c r="I165" s="376"/>
      <c r="J165" s="376"/>
      <c r="K165" s="949"/>
      <c r="L165" s="949"/>
      <c r="M165" s="949"/>
      <c r="N165" s="948"/>
      <c r="O165" s="948"/>
      <c r="P165" s="948"/>
      <c r="Q165" s="948"/>
      <c r="R165" s="948"/>
      <c r="S165" s="948"/>
      <c r="T165" s="948"/>
      <c r="U165" s="948"/>
      <c r="V165" s="948"/>
      <c r="W165" s="948"/>
      <c r="X165" s="948"/>
      <c r="Y165" s="948"/>
      <c r="Z165" s="948"/>
    </row>
    <row r="166" spans="1:26" ht="18" customHeight="1" x14ac:dyDescent="0.35">
      <c r="A166" s="948"/>
      <c r="B166" s="376"/>
      <c r="C166" s="376"/>
      <c r="D166" s="376"/>
      <c r="E166" s="376"/>
      <c r="F166" s="376"/>
      <c r="G166" s="376"/>
      <c r="H166" s="376"/>
      <c r="I166" s="376"/>
      <c r="J166" s="376"/>
      <c r="K166" s="949"/>
      <c r="L166" s="949"/>
      <c r="M166" s="949"/>
      <c r="N166" s="948"/>
      <c r="O166" s="948"/>
      <c r="P166" s="948"/>
      <c r="Q166" s="948"/>
      <c r="R166" s="948"/>
      <c r="S166" s="948"/>
      <c r="T166" s="948"/>
      <c r="U166" s="948"/>
      <c r="V166" s="948"/>
      <c r="W166" s="948"/>
      <c r="X166" s="948"/>
      <c r="Y166" s="948"/>
      <c r="Z166" s="948"/>
    </row>
    <row r="167" spans="1:26" ht="18" customHeight="1" x14ac:dyDescent="0.35">
      <c r="A167" s="948"/>
      <c r="B167" s="376"/>
      <c r="C167" s="376"/>
      <c r="D167" s="376"/>
      <c r="E167" s="376"/>
      <c r="F167" s="376"/>
      <c r="G167" s="376"/>
      <c r="H167" s="376"/>
      <c r="I167" s="376"/>
      <c r="J167" s="376"/>
      <c r="K167" s="949"/>
      <c r="L167" s="949"/>
      <c r="M167" s="949"/>
      <c r="N167" s="948"/>
      <c r="O167" s="948"/>
      <c r="P167" s="948"/>
      <c r="Q167" s="948"/>
      <c r="R167" s="948"/>
      <c r="S167" s="948"/>
      <c r="T167" s="948"/>
      <c r="U167" s="948"/>
      <c r="V167" s="948"/>
      <c r="W167" s="948"/>
      <c r="X167" s="948"/>
      <c r="Y167" s="948"/>
      <c r="Z167" s="948"/>
    </row>
    <row r="168" spans="1:26" ht="18" customHeight="1" x14ac:dyDescent="0.35">
      <c r="A168" s="948"/>
      <c r="B168" s="376"/>
      <c r="C168" s="376"/>
      <c r="D168" s="376"/>
      <c r="E168" s="376"/>
      <c r="F168" s="376"/>
      <c r="G168" s="376"/>
      <c r="H168" s="376"/>
      <c r="I168" s="376"/>
      <c r="J168" s="376"/>
      <c r="K168" s="949"/>
      <c r="L168" s="949"/>
      <c r="M168" s="949"/>
      <c r="N168" s="948"/>
      <c r="O168" s="948"/>
      <c r="P168" s="948"/>
      <c r="Q168" s="948"/>
      <c r="R168" s="948"/>
      <c r="S168" s="948"/>
      <c r="T168" s="948"/>
      <c r="U168" s="948"/>
      <c r="V168" s="948"/>
      <c r="W168" s="948"/>
      <c r="X168" s="948"/>
      <c r="Y168" s="948"/>
      <c r="Z168" s="948"/>
    </row>
    <row r="169" spans="1:26" ht="18" customHeight="1" x14ac:dyDescent="0.35">
      <c r="A169" s="948"/>
      <c r="B169" s="376"/>
      <c r="C169" s="376"/>
      <c r="D169" s="376"/>
      <c r="E169" s="376"/>
      <c r="F169" s="376"/>
      <c r="G169" s="376"/>
      <c r="H169" s="376"/>
      <c r="I169" s="376"/>
      <c r="J169" s="376"/>
      <c r="K169" s="949"/>
      <c r="L169" s="949"/>
      <c r="M169" s="949"/>
      <c r="N169" s="948"/>
      <c r="O169" s="948"/>
      <c r="P169" s="948"/>
      <c r="Q169" s="948"/>
      <c r="R169" s="948"/>
      <c r="S169" s="948"/>
      <c r="T169" s="948"/>
      <c r="U169" s="948"/>
      <c r="V169" s="948"/>
      <c r="W169" s="948"/>
      <c r="X169" s="948"/>
      <c r="Y169" s="948"/>
      <c r="Z169" s="948"/>
    </row>
    <row r="170" spans="1:26" ht="18" customHeight="1" x14ac:dyDescent="0.35">
      <c r="A170" s="948"/>
      <c r="B170" s="376"/>
      <c r="C170" s="376"/>
      <c r="D170" s="376"/>
      <c r="E170" s="376"/>
      <c r="F170" s="376"/>
      <c r="G170" s="376"/>
      <c r="H170" s="376"/>
      <c r="I170" s="376"/>
      <c r="J170" s="376"/>
      <c r="K170" s="949"/>
      <c r="L170" s="949"/>
      <c r="M170" s="949"/>
      <c r="N170" s="948"/>
      <c r="O170" s="948"/>
      <c r="P170" s="948"/>
      <c r="Q170" s="948"/>
      <c r="R170" s="948"/>
      <c r="S170" s="948"/>
      <c r="T170" s="948"/>
      <c r="U170" s="948"/>
      <c r="V170" s="948"/>
      <c r="W170" s="948"/>
      <c r="X170" s="948"/>
      <c r="Y170" s="948"/>
      <c r="Z170" s="948"/>
    </row>
    <row r="171" spans="1:26" ht="18" customHeight="1" x14ac:dyDescent="0.35">
      <c r="A171" s="948"/>
      <c r="B171" s="376"/>
      <c r="C171" s="376"/>
      <c r="D171" s="376"/>
      <c r="E171" s="376"/>
      <c r="F171" s="376"/>
      <c r="G171" s="376"/>
      <c r="H171" s="376"/>
      <c r="I171" s="376"/>
      <c r="J171" s="376"/>
      <c r="K171" s="949"/>
      <c r="L171" s="949"/>
      <c r="M171" s="949"/>
      <c r="N171" s="948"/>
      <c r="O171" s="948"/>
      <c r="P171" s="948"/>
      <c r="Q171" s="948"/>
      <c r="R171" s="948"/>
      <c r="S171" s="948"/>
      <c r="T171" s="948"/>
      <c r="U171" s="948"/>
      <c r="V171" s="948"/>
      <c r="W171" s="948"/>
      <c r="X171" s="948"/>
      <c r="Y171" s="948"/>
      <c r="Z171" s="948"/>
    </row>
    <row r="172" spans="1:26" ht="18" customHeight="1" x14ac:dyDescent="0.35">
      <c r="A172" s="948"/>
      <c r="B172" s="376"/>
      <c r="C172" s="376"/>
      <c r="D172" s="376"/>
      <c r="E172" s="376"/>
      <c r="F172" s="376"/>
      <c r="G172" s="376"/>
      <c r="H172" s="376"/>
      <c r="I172" s="376"/>
      <c r="J172" s="376"/>
      <c r="K172" s="949"/>
      <c r="L172" s="949"/>
      <c r="M172" s="949"/>
      <c r="N172" s="948"/>
      <c r="O172" s="948"/>
      <c r="P172" s="948"/>
      <c r="Q172" s="948"/>
      <c r="R172" s="948"/>
      <c r="S172" s="948"/>
      <c r="T172" s="948"/>
      <c r="U172" s="948"/>
      <c r="V172" s="948"/>
      <c r="W172" s="948"/>
      <c r="X172" s="948"/>
      <c r="Y172" s="948"/>
      <c r="Z172" s="948"/>
    </row>
    <row r="173" spans="1:26" ht="18" customHeight="1" x14ac:dyDescent="0.35">
      <c r="A173" s="948"/>
      <c r="B173" s="376"/>
      <c r="C173" s="376"/>
      <c r="D173" s="376"/>
      <c r="E173" s="376"/>
      <c r="F173" s="376"/>
      <c r="G173" s="376"/>
      <c r="H173" s="376"/>
      <c r="I173" s="376"/>
      <c r="J173" s="376"/>
      <c r="K173" s="949"/>
      <c r="L173" s="949"/>
      <c r="M173" s="949"/>
      <c r="N173" s="948"/>
      <c r="O173" s="948"/>
      <c r="P173" s="948"/>
      <c r="Q173" s="948"/>
      <c r="R173" s="948"/>
      <c r="S173" s="948"/>
      <c r="T173" s="948"/>
      <c r="U173" s="948"/>
      <c r="V173" s="948"/>
      <c r="W173" s="948"/>
      <c r="X173" s="948"/>
      <c r="Y173" s="948"/>
      <c r="Z173" s="948"/>
    </row>
    <row r="174" spans="1:26" ht="18" customHeight="1" x14ac:dyDescent="0.35">
      <c r="A174" s="948"/>
      <c r="B174" s="376"/>
      <c r="C174" s="376"/>
      <c r="D174" s="376"/>
      <c r="E174" s="376"/>
      <c r="F174" s="376"/>
      <c r="G174" s="376"/>
      <c r="H174" s="376"/>
      <c r="I174" s="376"/>
      <c r="J174" s="376"/>
      <c r="K174" s="949"/>
      <c r="L174" s="949"/>
      <c r="M174" s="949"/>
      <c r="N174" s="948"/>
      <c r="O174" s="948"/>
      <c r="P174" s="948"/>
      <c r="Q174" s="948"/>
      <c r="R174" s="948"/>
      <c r="S174" s="948"/>
      <c r="T174" s="948"/>
      <c r="U174" s="948"/>
      <c r="V174" s="948"/>
      <c r="W174" s="948"/>
      <c r="X174" s="948"/>
      <c r="Y174" s="948"/>
      <c r="Z174" s="948"/>
    </row>
    <row r="175" spans="1:26" ht="18" customHeight="1" x14ac:dyDescent="0.35">
      <c r="A175" s="948"/>
      <c r="B175" s="376"/>
      <c r="C175" s="376"/>
      <c r="D175" s="376"/>
      <c r="E175" s="376"/>
      <c r="F175" s="376"/>
      <c r="G175" s="376"/>
      <c r="H175" s="376"/>
      <c r="I175" s="376"/>
      <c r="J175" s="376"/>
      <c r="K175" s="949"/>
      <c r="L175" s="949"/>
      <c r="M175" s="949"/>
      <c r="N175" s="948"/>
      <c r="O175" s="948"/>
      <c r="P175" s="948"/>
      <c r="Q175" s="948"/>
      <c r="R175" s="948"/>
      <c r="S175" s="948"/>
      <c r="T175" s="948"/>
      <c r="U175" s="948"/>
      <c r="V175" s="948"/>
      <c r="W175" s="948"/>
      <c r="X175" s="948"/>
      <c r="Y175" s="948"/>
      <c r="Z175" s="948"/>
    </row>
    <row r="176" spans="1:26" ht="18" customHeight="1" x14ac:dyDescent="0.35">
      <c r="A176" s="948"/>
      <c r="B176" s="376"/>
      <c r="C176" s="376"/>
      <c r="D176" s="376"/>
      <c r="E176" s="376"/>
      <c r="F176" s="376"/>
      <c r="G176" s="376"/>
      <c r="H176" s="376"/>
      <c r="I176" s="376"/>
      <c r="J176" s="376"/>
      <c r="K176" s="949"/>
      <c r="L176" s="949"/>
      <c r="M176" s="949"/>
      <c r="N176" s="948"/>
      <c r="O176" s="948"/>
      <c r="P176" s="948"/>
      <c r="Q176" s="948"/>
      <c r="R176" s="948"/>
      <c r="S176" s="948"/>
      <c r="T176" s="948"/>
      <c r="U176" s="948"/>
      <c r="V176" s="948"/>
      <c r="W176" s="948"/>
      <c r="X176" s="948"/>
      <c r="Y176" s="948"/>
      <c r="Z176" s="948"/>
    </row>
    <row r="177" spans="1:26" ht="18" customHeight="1" x14ac:dyDescent="0.35">
      <c r="A177" s="948"/>
      <c r="B177" s="376"/>
      <c r="C177" s="376"/>
      <c r="D177" s="376"/>
      <c r="E177" s="376"/>
      <c r="F177" s="376"/>
      <c r="G177" s="376"/>
      <c r="H177" s="376"/>
      <c r="I177" s="376"/>
      <c r="J177" s="376"/>
      <c r="K177" s="949"/>
      <c r="L177" s="949"/>
      <c r="M177" s="949"/>
      <c r="N177" s="948"/>
      <c r="O177" s="948"/>
      <c r="P177" s="948"/>
      <c r="Q177" s="948"/>
      <c r="R177" s="948"/>
      <c r="S177" s="948"/>
      <c r="T177" s="948"/>
      <c r="U177" s="948"/>
      <c r="V177" s="948"/>
      <c r="W177" s="948"/>
      <c r="X177" s="948"/>
      <c r="Y177" s="948"/>
      <c r="Z177" s="948"/>
    </row>
    <row r="178" spans="1:26" ht="18" customHeight="1" x14ac:dyDescent="0.35">
      <c r="A178" s="948"/>
      <c r="B178" s="376"/>
      <c r="C178" s="376"/>
      <c r="D178" s="376"/>
      <c r="E178" s="376"/>
      <c r="F178" s="376"/>
      <c r="G178" s="376"/>
      <c r="H178" s="376"/>
      <c r="I178" s="376"/>
      <c r="J178" s="376"/>
      <c r="K178" s="949"/>
      <c r="L178" s="949"/>
      <c r="M178" s="949"/>
      <c r="N178" s="948"/>
      <c r="O178" s="948"/>
      <c r="P178" s="948"/>
      <c r="Q178" s="948"/>
      <c r="R178" s="948"/>
      <c r="S178" s="948"/>
      <c r="T178" s="948"/>
      <c r="U178" s="948"/>
      <c r="V178" s="948"/>
      <c r="W178" s="948"/>
      <c r="X178" s="948"/>
      <c r="Y178" s="948"/>
      <c r="Z178" s="948"/>
    </row>
    <row r="179" spans="1:26" ht="18" customHeight="1" x14ac:dyDescent="0.35">
      <c r="A179" s="948"/>
      <c r="B179" s="376"/>
      <c r="C179" s="376"/>
      <c r="D179" s="376"/>
      <c r="E179" s="376"/>
      <c r="F179" s="376"/>
      <c r="G179" s="376"/>
      <c r="H179" s="376"/>
      <c r="I179" s="376"/>
      <c r="J179" s="376"/>
      <c r="K179" s="949"/>
      <c r="L179" s="949"/>
      <c r="M179" s="949"/>
      <c r="N179" s="948"/>
      <c r="O179" s="948"/>
      <c r="P179" s="948"/>
      <c r="Q179" s="948"/>
      <c r="R179" s="948"/>
      <c r="S179" s="948"/>
      <c r="T179" s="948"/>
      <c r="U179" s="948"/>
      <c r="V179" s="948"/>
      <c r="W179" s="948"/>
      <c r="X179" s="948"/>
      <c r="Y179" s="948"/>
      <c r="Z179" s="948"/>
    </row>
    <row r="180" spans="1:26" ht="18" customHeight="1" x14ac:dyDescent="0.35">
      <c r="A180" s="948"/>
      <c r="B180" s="376"/>
      <c r="C180" s="376"/>
      <c r="D180" s="376"/>
      <c r="E180" s="376"/>
      <c r="F180" s="376"/>
      <c r="G180" s="376"/>
      <c r="H180" s="376"/>
      <c r="I180" s="376"/>
      <c r="J180" s="376"/>
      <c r="K180" s="949"/>
      <c r="L180" s="949"/>
      <c r="M180" s="949"/>
      <c r="N180" s="948"/>
      <c r="O180" s="948"/>
      <c r="P180" s="948"/>
      <c r="Q180" s="948"/>
      <c r="R180" s="948"/>
      <c r="S180" s="948"/>
      <c r="T180" s="948"/>
      <c r="U180" s="948"/>
      <c r="V180" s="948"/>
      <c r="W180" s="948"/>
      <c r="X180" s="948"/>
      <c r="Y180" s="948"/>
      <c r="Z180" s="948"/>
    </row>
    <row r="181" spans="1:26" ht="18" customHeight="1" x14ac:dyDescent="0.35">
      <c r="A181" s="948"/>
      <c r="B181" s="376"/>
      <c r="C181" s="376"/>
      <c r="D181" s="376"/>
      <c r="E181" s="376"/>
      <c r="F181" s="376"/>
      <c r="G181" s="376"/>
      <c r="H181" s="376"/>
      <c r="I181" s="376"/>
      <c r="J181" s="376"/>
      <c r="K181" s="949"/>
      <c r="L181" s="949"/>
      <c r="M181" s="949"/>
      <c r="N181" s="948"/>
      <c r="O181" s="948"/>
      <c r="P181" s="948"/>
      <c r="Q181" s="948"/>
      <c r="R181" s="948"/>
      <c r="S181" s="948"/>
      <c r="T181" s="948"/>
      <c r="U181" s="948"/>
      <c r="V181" s="948"/>
      <c r="W181" s="948"/>
      <c r="X181" s="948"/>
      <c r="Y181" s="948"/>
      <c r="Z181" s="948"/>
    </row>
    <row r="182" spans="1:26" ht="18" customHeight="1" x14ac:dyDescent="0.35">
      <c r="A182" s="948"/>
      <c r="B182" s="376"/>
      <c r="C182" s="376"/>
      <c r="D182" s="376"/>
      <c r="E182" s="376"/>
      <c r="F182" s="376"/>
      <c r="G182" s="376"/>
      <c r="H182" s="376"/>
      <c r="I182" s="376"/>
      <c r="J182" s="376"/>
      <c r="K182" s="949"/>
      <c r="L182" s="949"/>
      <c r="M182" s="949"/>
      <c r="N182" s="948"/>
      <c r="O182" s="948"/>
      <c r="P182" s="948"/>
      <c r="Q182" s="948"/>
      <c r="R182" s="948"/>
      <c r="S182" s="948"/>
      <c r="T182" s="948"/>
      <c r="U182" s="948"/>
      <c r="V182" s="948"/>
      <c r="W182" s="948"/>
      <c r="X182" s="948"/>
      <c r="Y182" s="948"/>
      <c r="Z182" s="948"/>
    </row>
    <row r="183" spans="1:26" ht="18" customHeight="1" x14ac:dyDescent="0.35">
      <c r="A183" s="948"/>
      <c r="B183" s="376"/>
      <c r="C183" s="376"/>
      <c r="D183" s="376"/>
      <c r="E183" s="376"/>
      <c r="F183" s="376"/>
      <c r="G183" s="376"/>
      <c r="H183" s="376"/>
      <c r="I183" s="376"/>
      <c r="J183" s="376"/>
      <c r="K183" s="949"/>
      <c r="L183" s="949"/>
      <c r="M183" s="949"/>
      <c r="N183" s="948"/>
      <c r="O183" s="948"/>
      <c r="P183" s="948"/>
      <c r="Q183" s="948"/>
      <c r="R183" s="948"/>
      <c r="S183" s="948"/>
      <c r="T183" s="948"/>
      <c r="U183" s="948"/>
      <c r="V183" s="948"/>
      <c r="W183" s="948"/>
      <c r="X183" s="948"/>
      <c r="Y183" s="948"/>
      <c r="Z183" s="948"/>
    </row>
    <row r="184" spans="1:26" ht="18" customHeight="1" x14ac:dyDescent="0.35">
      <c r="A184" s="948"/>
      <c r="B184" s="376"/>
      <c r="C184" s="376"/>
      <c r="D184" s="376"/>
      <c r="E184" s="376"/>
      <c r="F184" s="376"/>
      <c r="G184" s="376"/>
      <c r="H184" s="376"/>
      <c r="I184" s="376"/>
      <c r="J184" s="376"/>
      <c r="K184" s="949"/>
      <c r="L184" s="949"/>
      <c r="M184" s="949"/>
      <c r="N184" s="948"/>
      <c r="O184" s="948"/>
      <c r="P184" s="948"/>
      <c r="Q184" s="948"/>
      <c r="R184" s="948"/>
      <c r="S184" s="948"/>
      <c r="T184" s="948"/>
      <c r="U184" s="948"/>
      <c r="V184" s="948"/>
      <c r="W184" s="948"/>
      <c r="X184" s="948"/>
      <c r="Y184" s="948"/>
      <c r="Z184" s="948"/>
    </row>
    <row r="185" spans="1:26" ht="18" customHeight="1" x14ac:dyDescent="0.35">
      <c r="A185" s="948"/>
      <c r="B185" s="376"/>
      <c r="C185" s="376"/>
      <c r="D185" s="376"/>
      <c r="E185" s="376"/>
      <c r="F185" s="376"/>
      <c r="G185" s="376"/>
      <c r="H185" s="376"/>
      <c r="I185" s="376"/>
      <c r="J185" s="376"/>
      <c r="K185" s="949"/>
      <c r="L185" s="949"/>
      <c r="M185" s="949"/>
      <c r="N185" s="948"/>
      <c r="O185" s="948"/>
      <c r="P185" s="948"/>
      <c r="Q185" s="948"/>
      <c r="R185" s="948"/>
      <c r="S185" s="948"/>
      <c r="T185" s="948"/>
      <c r="U185" s="948"/>
      <c r="V185" s="948"/>
      <c r="W185" s="948"/>
      <c r="X185" s="948"/>
      <c r="Y185" s="948"/>
      <c r="Z185" s="948"/>
    </row>
    <row r="186" spans="1:26" ht="18" customHeight="1" x14ac:dyDescent="0.35">
      <c r="A186" s="948"/>
      <c r="B186" s="376"/>
      <c r="C186" s="376"/>
      <c r="D186" s="376"/>
      <c r="E186" s="376"/>
      <c r="F186" s="376"/>
      <c r="G186" s="376"/>
      <c r="H186" s="376"/>
      <c r="I186" s="376"/>
      <c r="J186" s="376"/>
      <c r="K186" s="949"/>
      <c r="L186" s="949"/>
      <c r="M186" s="949"/>
      <c r="N186" s="948"/>
      <c r="O186" s="948"/>
      <c r="P186" s="948"/>
      <c r="Q186" s="948"/>
      <c r="R186" s="948"/>
      <c r="S186" s="948"/>
      <c r="T186" s="948"/>
      <c r="U186" s="948"/>
      <c r="V186" s="948"/>
      <c r="W186" s="948"/>
      <c r="X186" s="948"/>
      <c r="Y186" s="948"/>
      <c r="Z186" s="948"/>
    </row>
    <row r="187" spans="1:26" ht="18" customHeight="1" x14ac:dyDescent="0.35">
      <c r="A187" s="948"/>
      <c r="B187" s="376"/>
      <c r="C187" s="376"/>
      <c r="D187" s="376"/>
      <c r="E187" s="376"/>
      <c r="F187" s="376"/>
      <c r="G187" s="376"/>
      <c r="H187" s="376"/>
      <c r="I187" s="376"/>
      <c r="J187" s="376"/>
      <c r="K187" s="949"/>
      <c r="L187" s="949"/>
      <c r="M187" s="949"/>
      <c r="N187" s="948"/>
      <c r="O187" s="948"/>
      <c r="P187" s="948"/>
      <c r="Q187" s="948"/>
      <c r="R187" s="948"/>
      <c r="S187" s="948"/>
      <c r="T187" s="948"/>
      <c r="U187" s="948"/>
      <c r="V187" s="948"/>
      <c r="W187" s="948"/>
      <c r="X187" s="948"/>
      <c r="Y187" s="948"/>
      <c r="Z187" s="948"/>
    </row>
    <row r="188" spans="1:26" ht="18" customHeight="1" x14ac:dyDescent="0.35">
      <c r="A188" s="948"/>
      <c r="B188" s="376"/>
      <c r="C188" s="376"/>
      <c r="D188" s="376"/>
      <c r="E188" s="376"/>
      <c r="F188" s="376"/>
      <c r="G188" s="376"/>
      <c r="H188" s="376"/>
      <c r="I188" s="376"/>
      <c r="J188" s="376"/>
      <c r="K188" s="949"/>
      <c r="L188" s="949"/>
      <c r="M188" s="949"/>
      <c r="N188" s="948"/>
      <c r="O188" s="948"/>
      <c r="P188" s="948"/>
      <c r="Q188" s="948"/>
      <c r="R188" s="948"/>
      <c r="S188" s="948"/>
      <c r="T188" s="948"/>
      <c r="U188" s="948"/>
      <c r="V188" s="948"/>
      <c r="W188" s="948"/>
      <c r="X188" s="948"/>
      <c r="Y188" s="948"/>
      <c r="Z188" s="948"/>
    </row>
    <row r="189" spans="1:26" ht="18" customHeight="1" x14ac:dyDescent="0.35">
      <c r="A189" s="948"/>
      <c r="B189" s="376"/>
      <c r="C189" s="376"/>
      <c r="D189" s="376"/>
      <c r="E189" s="376"/>
      <c r="F189" s="376"/>
      <c r="G189" s="376"/>
      <c r="H189" s="376"/>
      <c r="I189" s="376"/>
      <c r="J189" s="376"/>
      <c r="K189" s="949"/>
      <c r="L189" s="949"/>
      <c r="M189" s="949"/>
      <c r="N189" s="948"/>
      <c r="O189" s="948"/>
      <c r="P189" s="948"/>
      <c r="Q189" s="948"/>
      <c r="R189" s="948"/>
      <c r="S189" s="948"/>
      <c r="T189" s="948"/>
      <c r="U189" s="948"/>
      <c r="V189" s="948"/>
      <c r="W189" s="948"/>
      <c r="X189" s="948"/>
      <c r="Y189" s="948"/>
      <c r="Z189" s="948"/>
    </row>
    <row r="190" spans="1:26" ht="18" customHeight="1" x14ac:dyDescent="0.35">
      <c r="A190" s="948"/>
      <c r="B190" s="376"/>
      <c r="C190" s="376"/>
      <c r="D190" s="376"/>
      <c r="E190" s="376"/>
      <c r="F190" s="376"/>
      <c r="G190" s="376"/>
      <c r="H190" s="376"/>
      <c r="I190" s="376"/>
      <c r="J190" s="376"/>
      <c r="K190" s="949"/>
      <c r="L190" s="949"/>
      <c r="M190" s="949"/>
      <c r="N190" s="948"/>
      <c r="O190" s="948"/>
      <c r="P190" s="948"/>
      <c r="Q190" s="948"/>
      <c r="R190" s="948"/>
      <c r="S190" s="948"/>
      <c r="T190" s="948"/>
      <c r="U190" s="948"/>
      <c r="V190" s="948"/>
      <c r="W190" s="948"/>
      <c r="X190" s="948"/>
      <c r="Y190" s="948"/>
      <c r="Z190" s="948"/>
    </row>
    <row r="191" spans="1:26" ht="18" customHeight="1" x14ac:dyDescent="0.35">
      <c r="A191" s="948"/>
      <c r="B191" s="376"/>
      <c r="C191" s="376"/>
      <c r="D191" s="376"/>
      <c r="E191" s="376"/>
      <c r="F191" s="376"/>
      <c r="G191" s="376"/>
      <c r="H191" s="376"/>
      <c r="I191" s="376"/>
      <c r="J191" s="376"/>
      <c r="K191" s="949"/>
      <c r="L191" s="949"/>
      <c r="M191" s="949"/>
      <c r="N191" s="948"/>
      <c r="O191" s="948"/>
      <c r="P191" s="948"/>
      <c r="Q191" s="948"/>
      <c r="R191" s="948"/>
      <c r="S191" s="948"/>
      <c r="T191" s="948"/>
      <c r="U191" s="948"/>
      <c r="V191" s="948"/>
      <c r="W191" s="948"/>
      <c r="X191" s="948"/>
      <c r="Y191" s="948"/>
      <c r="Z191" s="948"/>
    </row>
    <row r="192" spans="1:26" ht="18" customHeight="1" x14ac:dyDescent="0.35">
      <c r="A192" s="948"/>
      <c r="B192" s="376"/>
      <c r="C192" s="376"/>
      <c r="D192" s="376"/>
      <c r="E192" s="376"/>
      <c r="F192" s="376"/>
      <c r="G192" s="376"/>
      <c r="H192" s="376"/>
      <c r="I192" s="376"/>
      <c r="J192" s="376"/>
      <c r="K192" s="949"/>
      <c r="L192" s="949"/>
      <c r="M192" s="949"/>
      <c r="N192" s="948"/>
      <c r="O192" s="948"/>
      <c r="P192" s="948"/>
      <c r="Q192" s="948"/>
      <c r="R192" s="948"/>
      <c r="S192" s="948"/>
      <c r="T192" s="948"/>
      <c r="U192" s="948"/>
      <c r="V192" s="948"/>
      <c r="W192" s="948"/>
      <c r="X192" s="948"/>
      <c r="Y192" s="948"/>
      <c r="Z192" s="948"/>
    </row>
    <row r="193" spans="1:26" ht="18" customHeight="1" x14ac:dyDescent="0.35">
      <c r="A193" s="948"/>
      <c r="B193" s="376"/>
      <c r="C193" s="376"/>
      <c r="D193" s="376"/>
      <c r="E193" s="376"/>
      <c r="F193" s="376"/>
      <c r="G193" s="376"/>
      <c r="H193" s="376"/>
      <c r="I193" s="376"/>
      <c r="J193" s="376"/>
      <c r="K193" s="949"/>
      <c r="L193" s="949"/>
      <c r="M193" s="949"/>
      <c r="N193" s="948"/>
      <c r="O193" s="948"/>
      <c r="P193" s="948"/>
      <c r="Q193" s="948"/>
      <c r="R193" s="948"/>
      <c r="S193" s="948"/>
      <c r="T193" s="948"/>
      <c r="U193" s="948"/>
      <c r="V193" s="948"/>
      <c r="W193" s="948"/>
      <c r="X193" s="948"/>
      <c r="Y193" s="948"/>
      <c r="Z193" s="948"/>
    </row>
    <row r="194" spans="1:26" ht="18" customHeight="1" x14ac:dyDescent="0.35">
      <c r="A194" s="948"/>
      <c r="B194" s="376"/>
      <c r="C194" s="376"/>
      <c r="D194" s="376"/>
      <c r="E194" s="376"/>
      <c r="F194" s="376"/>
      <c r="G194" s="376"/>
      <c r="H194" s="376"/>
      <c r="I194" s="376"/>
      <c r="J194" s="376"/>
      <c r="K194" s="949"/>
      <c r="L194" s="949"/>
      <c r="M194" s="949"/>
      <c r="N194" s="948"/>
      <c r="O194" s="948"/>
      <c r="P194" s="948"/>
      <c r="Q194" s="948"/>
      <c r="R194" s="948"/>
      <c r="S194" s="948"/>
      <c r="T194" s="948"/>
      <c r="U194" s="948"/>
      <c r="V194" s="948"/>
      <c r="W194" s="948"/>
      <c r="X194" s="948"/>
      <c r="Y194" s="948"/>
      <c r="Z194" s="948"/>
    </row>
    <row r="195" spans="1:26" ht="18" customHeight="1" x14ac:dyDescent="0.35">
      <c r="A195" s="948"/>
      <c r="B195" s="376"/>
      <c r="C195" s="376"/>
      <c r="D195" s="376"/>
      <c r="E195" s="376"/>
      <c r="F195" s="376"/>
      <c r="G195" s="376"/>
      <c r="H195" s="376"/>
      <c r="I195" s="376"/>
      <c r="J195" s="376"/>
      <c r="K195" s="949"/>
      <c r="L195" s="949"/>
      <c r="M195" s="949"/>
      <c r="N195" s="948"/>
      <c r="O195" s="948"/>
      <c r="P195" s="948"/>
      <c r="Q195" s="948"/>
      <c r="R195" s="948"/>
      <c r="S195" s="948"/>
      <c r="T195" s="948"/>
      <c r="U195" s="948"/>
      <c r="V195" s="948"/>
      <c r="W195" s="948"/>
      <c r="X195" s="948"/>
      <c r="Y195" s="948"/>
      <c r="Z195" s="948"/>
    </row>
    <row r="196" spans="1:26" ht="18" customHeight="1" x14ac:dyDescent="0.35">
      <c r="A196" s="948"/>
      <c r="B196" s="376"/>
      <c r="C196" s="376"/>
      <c r="D196" s="376"/>
      <c r="E196" s="376"/>
      <c r="F196" s="376"/>
      <c r="G196" s="376"/>
      <c r="H196" s="376"/>
      <c r="I196" s="376"/>
      <c r="J196" s="376"/>
      <c r="K196" s="949"/>
      <c r="L196" s="949"/>
      <c r="M196" s="949"/>
      <c r="N196" s="948"/>
      <c r="O196" s="948"/>
      <c r="P196" s="948"/>
      <c r="Q196" s="948"/>
      <c r="R196" s="948"/>
      <c r="S196" s="948"/>
      <c r="T196" s="948"/>
      <c r="U196" s="948"/>
      <c r="V196" s="948"/>
      <c r="W196" s="948"/>
      <c r="X196" s="948"/>
      <c r="Y196" s="948"/>
      <c r="Z196" s="948"/>
    </row>
    <row r="197" spans="1:26" ht="18" customHeight="1" x14ac:dyDescent="0.35">
      <c r="A197" s="948"/>
      <c r="B197" s="376"/>
      <c r="C197" s="376"/>
      <c r="D197" s="376"/>
      <c r="E197" s="376"/>
      <c r="F197" s="376"/>
      <c r="G197" s="376"/>
      <c r="H197" s="376"/>
      <c r="I197" s="376"/>
      <c r="J197" s="376"/>
      <c r="K197" s="949"/>
      <c r="L197" s="949"/>
      <c r="M197" s="949"/>
      <c r="N197" s="948"/>
      <c r="O197" s="948"/>
      <c r="P197" s="948"/>
      <c r="Q197" s="948"/>
      <c r="R197" s="948"/>
      <c r="S197" s="948"/>
      <c r="T197" s="948"/>
      <c r="U197" s="948"/>
      <c r="V197" s="948"/>
      <c r="W197" s="948"/>
      <c r="X197" s="948"/>
      <c r="Y197" s="948"/>
      <c r="Z197" s="948"/>
    </row>
    <row r="198" spans="1:26" ht="18" customHeight="1" x14ac:dyDescent="0.35">
      <c r="A198" s="948"/>
      <c r="B198" s="376"/>
      <c r="C198" s="376"/>
      <c r="D198" s="376"/>
      <c r="E198" s="376"/>
      <c r="F198" s="376"/>
      <c r="G198" s="376"/>
      <c r="H198" s="376"/>
      <c r="I198" s="376"/>
      <c r="J198" s="376"/>
      <c r="K198" s="949"/>
      <c r="L198" s="949"/>
      <c r="M198" s="949"/>
      <c r="N198" s="948"/>
      <c r="O198" s="948"/>
      <c r="P198" s="948"/>
      <c r="Q198" s="948"/>
      <c r="R198" s="948"/>
      <c r="S198" s="948"/>
      <c r="T198" s="948"/>
      <c r="U198" s="948"/>
      <c r="V198" s="948"/>
      <c r="W198" s="948"/>
      <c r="X198" s="948"/>
      <c r="Y198" s="948"/>
      <c r="Z198" s="948"/>
    </row>
    <row r="199" spans="1:26" ht="18" customHeight="1" x14ac:dyDescent="0.35">
      <c r="A199" s="948"/>
      <c r="B199" s="376"/>
      <c r="C199" s="376"/>
      <c r="D199" s="376"/>
      <c r="E199" s="376"/>
      <c r="F199" s="376"/>
      <c r="G199" s="376"/>
      <c r="H199" s="376"/>
      <c r="I199" s="376"/>
      <c r="J199" s="376"/>
      <c r="K199" s="949"/>
      <c r="L199" s="949"/>
      <c r="M199" s="949"/>
      <c r="N199" s="948"/>
      <c r="O199" s="948"/>
      <c r="P199" s="948"/>
      <c r="Q199" s="948"/>
      <c r="R199" s="948"/>
      <c r="S199" s="948"/>
      <c r="T199" s="948"/>
      <c r="U199" s="948"/>
      <c r="V199" s="948"/>
      <c r="W199" s="948"/>
      <c r="X199" s="948"/>
      <c r="Y199" s="948"/>
      <c r="Z199" s="948"/>
    </row>
    <row r="200" spans="1:26" ht="18" customHeight="1" x14ac:dyDescent="0.35">
      <c r="A200" s="948"/>
      <c r="B200" s="376"/>
      <c r="C200" s="376"/>
      <c r="D200" s="376"/>
      <c r="E200" s="376"/>
      <c r="F200" s="376"/>
      <c r="G200" s="376"/>
      <c r="H200" s="376"/>
      <c r="I200" s="376"/>
      <c r="J200" s="376"/>
      <c r="K200" s="949"/>
      <c r="L200" s="949"/>
      <c r="M200" s="949"/>
      <c r="N200" s="948"/>
      <c r="O200" s="948"/>
      <c r="P200" s="948"/>
      <c r="Q200" s="948"/>
      <c r="R200" s="948"/>
      <c r="S200" s="948"/>
      <c r="T200" s="948"/>
      <c r="U200" s="948"/>
      <c r="V200" s="948"/>
      <c r="W200" s="948"/>
      <c r="X200" s="948"/>
      <c r="Y200" s="948"/>
      <c r="Z200" s="948"/>
    </row>
    <row r="201" spans="1:26" ht="18" customHeight="1" x14ac:dyDescent="0.35">
      <c r="A201" s="948"/>
      <c r="B201" s="376"/>
      <c r="C201" s="376"/>
      <c r="D201" s="376"/>
      <c r="E201" s="376"/>
      <c r="F201" s="376"/>
      <c r="G201" s="376"/>
      <c r="H201" s="376"/>
      <c r="I201" s="376"/>
      <c r="J201" s="376"/>
      <c r="K201" s="949"/>
      <c r="L201" s="949"/>
      <c r="M201" s="949"/>
      <c r="N201" s="948"/>
      <c r="O201" s="948"/>
      <c r="P201" s="948"/>
      <c r="Q201" s="948"/>
      <c r="R201" s="948"/>
      <c r="S201" s="948"/>
      <c r="T201" s="948"/>
      <c r="U201" s="948"/>
      <c r="V201" s="948"/>
      <c r="W201" s="948"/>
      <c r="X201" s="948"/>
      <c r="Y201" s="948"/>
      <c r="Z201" s="948"/>
    </row>
    <row r="202" spans="1:26" ht="18" customHeight="1" x14ac:dyDescent="0.35">
      <c r="A202" s="948"/>
      <c r="B202" s="376"/>
      <c r="C202" s="376"/>
      <c r="D202" s="376"/>
      <c r="E202" s="376"/>
      <c r="F202" s="376"/>
      <c r="G202" s="376"/>
      <c r="H202" s="376"/>
      <c r="I202" s="376"/>
      <c r="J202" s="376"/>
      <c r="K202" s="949"/>
      <c r="L202" s="949"/>
      <c r="M202" s="949"/>
      <c r="N202" s="948"/>
      <c r="O202" s="948"/>
      <c r="P202" s="948"/>
      <c r="Q202" s="948"/>
      <c r="R202" s="948"/>
      <c r="S202" s="948"/>
      <c r="T202" s="948"/>
      <c r="U202" s="948"/>
      <c r="V202" s="948"/>
      <c r="W202" s="948"/>
      <c r="X202" s="948"/>
      <c r="Y202" s="948"/>
      <c r="Z202" s="948"/>
    </row>
    <row r="203" spans="1:26" ht="18" customHeight="1" x14ac:dyDescent="0.35">
      <c r="A203" s="948"/>
      <c r="B203" s="376"/>
      <c r="C203" s="376"/>
      <c r="D203" s="376"/>
      <c r="E203" s="376"/>
      <c r="F203" s="376"/>
      <c r="G203" s="376"/>
      <c r="H203" s="376"/>
      <c r="I203" s="376"/>
      <c r="J203" s="376"/>
      <c r="K203" s="949"/>
      <c r="L203" s="949"/>
      <c r="M203" s="949"/>
      <c r="N203" s="948"/>
      <c r="O203" s="948"/>
      <c r="P203" s="948"/>
      <c r="Q203" s="948"/>
      <c r="R203" s="948"/>
      <c r="S203" s="948"/>
      <c r="T203" s="948"/>
      <c r="U203" s="948"/>
      <c r="V203" s="948"/>
      <c r="W203" s="948"/>
      <c r="X203" s="948"/>
      <c r="Y203" s="948"/>
      <c r="Z203" s="948"/>
    </row>
    <row r="204" spans="1:26" ht="18" customHeight="1" x14ac:dyDescent="0.35">
      <c r="A204" s="948"/>
      <c r="B204" s="376"/>
      <c r="C204" s="376"/>
      <c r="D204" s="376"/>
      <c r="E204" s="376"/>
      <c r="F204" s="376"/>
      <c r="G204" s="376"/>
      <c r="H204" s="376"/>
      <c r="I204" s="376"/>
      <c r="J204" s="376"/>
      <c r="K204" s="949"/>
      <c r="L204" s="949"/>
      <c r="M204" s="949"/>
      <c r="N204" s="948"/>
      <c r="O204" s="948"/>
      <c r="P204" s="948"/>
      <c r="Q204" s="948"/>
      <c r="R204" s="948"/>
      <c r="S204" s="948"/>
      <c r="T204" s="948"/>
      <c r="U204" s="948"/>
      <c r="V204" s="948"/>
      <c r="W204" s="948"/>
      <c r="X204" s="948"/>
      <c r="Y204" s="948"/>
      <c r="Z204" s="948"/>
    </row>
    <row r="205" spans="1:26" ht="18" customHeight="1" x14ac:dyDescent="0.35">
      <c r="A205" s="948"/>
      <c r="B205" s="376"/>
      <c r="C205" s="376"/>
      <c r="D205" s="376"/>
      <c r="E205" s="376"/>
      <c r="F205" s="376"/>
      <c r="G205" s="376"/>
      <c r="H205" s="376"/>
      <c r="I205" s="376"/>
      <c r="J205" s="376"/>
      <c r="K205" s="949"/>
      <c r="L205" s="949"/>
      <c r="M205" s="949"/>
      <c r="N205" s="948"/>
      <c r="O205" s="948"/>
      <c r="P205" s="948"/>
      <c r="Q205" s="948"/>
      <c r="R205" s="948"/>
      <c r="S205" s="948"/>
      <c r="T205" s="948"/>
      <c r="U205" s="948"/>
      <c r="V205" s="948"/>
      <c r="W205" s="948"/>
      <c r="X205" s="948"/>
      <c r="Y205" s="948"/>
      <c r="Z205" s="948"/>
    </row>
    <row r="206" spans="1:26" ht="18" customHeight="1" x14ac:dyDescent="0.35">
      <c r="A206" s="948"/>
      <c r="B206" s="376"/>
      <c r="C206" s="376"/>
      <c r="D206" s="376"/>
      <c r="E206" s="376"/>
      <c r="F206" s="376"/>
      <c r="G206" s="376"/>
      <c r="H206" s="376"/>
      <c r="I206" s="376"/>
      <c r="J206" s="376"/>
      <c r="K206" s="949"/>
      <c r="L206" s="949"/>
      <c r="M206" s="949"/>
      <c r="N206" s="948"/>
      <c r="O206" s="948"/>
      <c r="P206" s="948"/>
      <c r="Q206" s="948"/>
      <c r="R206" s="948"/>
      <c r="S206" s="948"/>
      <c r="T206" s="948"/>
      <c r="U206" s="948"/>
      <c r="V206" s="948"/>
      <c r="W206" s="948"/>
      <c r="X206" s="948"/>
      <c r="Y206" s="948"/>
      <c r="Z206" s="948"/>
    </row>
    <row r="207" spans="1:26" ht="18" customHeight="1" x14ac:dyDescent="0.35">
      <c r="A207" s="948"/>
      <c r="B207" s="376"/>
      <c r="C207" s="376"/>
      <c r="D207" s="376"/>
      <c r="E207" s="376"/>
      <c r="F207" s="376"/>
      <c r="G207" s="376"/>
      <c r="H207" s="376"/>
      <c r="I207" s="376"/>
      <c r="J207" s="376"/>
      <c r="K207" s="949"/>
      <c r="L207" s="949"/>
      <c r="M207" s="949"/>
      <c r="N207" s="948"/>
      <c r="O207" s="948"/>
      <c r="P207" s="948"/>
      <c r="Q207" s="948"/>
      <c r="R207" s="948"/>
      <c r="S207" s="948"/>
      <c r="T207" s="948"/>
      <c r="U207" s="948"/>
      <c r="V207" s="948"/>
      <c r="W207" s="948"/>
      <c r="X207" s="948"/>
      <c r="Y207" s="948"/>
      <c r="Z207" s="948"/>
    </row>
    <row r="208" spans="1:26" ht="18" customHeight="1" x14ac:dyDescent="0.35">
      <c r="A208" s="948"/>
      <c r="B208" s="376"/>
      <c r="C208" s="376"/>
      <c r="D208" s="376"/>
      <c r="E208" s="376"/>
      <c r="F208" s="376"/>
      <c r="G208" s="376"/>
      <c r="H208" s="376"/>
      <c r="I208" s="376"/>
      <c r="J208" s="376"/>
      <c r="K208" s="949"/>
      <c r="L208" s="949"/>
      <c r="M208" s="949"/>
      <c r="N208" s="948"/>
      <c r="O208" s="948"/>
      <c r="P208" s="948"/>
      <c r="Q208" s="948"/>
      <c r="R208" s="948"/>
      <c r="S208" s="948"/>
      <c r="T208" s="948"/>
      <c r="U208" s="948"/>
      <c r="V208" s="948"/>
      <c r="W208" s="948"/>
      <c r="X208" s="948"/>
      <c r="Y208" s="948"/>
      <c r="Z208" s="948"/>
    </row>
    <row r="209" spans="1:26" ht="18" customHeight="1" x14ac:dyDescent="0.35">
      <c r="A209" s="948"/>
      <c r="B209" s="376"/>
      <c r="C209" s="376"/>
      <c r="D209" s="376"/>
      <c r="E209" s="376"/>
      <c r="F209" s="376"/>
      <c r="G209" s="376"/>
      <c r="H209" s="376"/>
      <c r="I209" s="376"/>
      <c r="J209" s="376"/>
      <c r="K209" s="949"/>
      <c r="L209" s="949"/>
      <c r="M209" s="949"/>
      <c r="N209" s="948"/>
      <c r="O209" s="948"/>
      <c r="P209" s="948"/>
      <c r="Q209" s="948"/>
      <c r="R209" s="948"/>
      <c r="S209" s="948"/>
      <c r="T209" s="948"/>
      <c r="U209" s="948"/>
      <c r="V209" s="948"/>
      <c r="W209" s="948"/>
      <c r="X209" s="948"/>
      <c r="Y209" s="948"/>
      <c r="Z209" s="948"/>
    </row>
    <row r="210" spans="1:26" ht="18" customHeight="1" x14ac:dyDescent="0.35">
      <c r="A210" s="948"/>
      <c r="B210" s="376"/>
      <c r="C210" s="376"/>
      <c r="D210" s="376"/>
      <c r="E210" s="376"/>
      <c r="F210" s="376"/>
      <c r="G210" s="376"/>
      <c r="H210" s="376"/>
      <c r="I210" s="376"/>
      <c r="J210" s="376"/>
      <c r="K210" s="949"/>
      <c r="L210" s="949"/>
      <c r="M210" s="949"/>
      <c r="N210" s="948"/>
      <c r="O210" s="948"/>
      <c r="P210" s="948"/>
      <c r="Q210" s="948"/>
      <c r="R210" s="948"/>
      <c r="S210" s="948"/>
      <c r="T210" s="948"/>
      <c r="U210" s="948"/>
      <c r="V210" s="948"/>
      <c r="W210" s="948"/>
      <c r="X210" s="948"/>
      <c r="Y210" s="948"/>
      <c r="Z210" s="948"/>
    </row>
    <row r="211" spans="1:26" ht="18" customHeight="1" x14ac:dyDescent="0.35">
      <c r="A211" s="948"/>
      <c r="B211" s="376"/>
      <c r="C211" s="376"/>
      <c r="D211" s="376"/>
      <c r="E211" s="376"/>
      <c r="F211" s="376"/>
      <c r="G211" s="376"/>
      <c r="H211" s="376"/>
      <c r="I211" s="376"/>
      <c r="J211" s="376"/>
      <c r="K211" s="949"/>
      <c r="L211" s="949"/>
      <c r="M211" s="949"/>
      <c r="N211" s="948"/>
      <c r="O211" s="948"/>
      <c r="P211" s="948"/>
      <c r="Q211" s="948"/>
      <c r="R211" s="948"/>
      <c r="S211" s="948"/>
      <c r="T211" s="948"/>
      <c r="U211" s="948"/>
      <c r="V211" s="948"/>
      <c r="W211" s="948"/>
      <c r="X211" s="948"/>
      <c r="Y211" s="948"/>
      <c r="Z211" s="948"/>
    </row>
    <row r="212" spans="1:26" ht="18" customHeight="1" x14ac:dyDescent="0.35">
      <c r="A212" s="948"/>
      <c r="B212" s="376"/>
      <c r="C212" s="376"/>
      <c r="D212" s="376"/>
      <c r="E212" s="376"/>
      <c r="F212" s="376"/>
      <c r="G212" s="376"/>
      <c r="H212" s="376"/>
      <c r="I212" s="376"/>
      <c r="J212" s="376"/>
      <c r="K212" s="949"/>
      <c r="L212" s="949"/>
      <c r="M212" s="949"/>
      <c r="N212" s="948"/>
      <c r="O212" s="948"/>
      <c r="P212" s="948"/>
      <c r="Q212" s="948"/>
      <c r="R212" s="948"/>
      <c r="S212" s="948"/>
      <c r="T212" s="948"/>
      <c r="U212" s="948"/>
      <c r="V212" s="948"/>
      <c r="W212" s="948"/>
      <c r="X212" s="948"/>
      <c r="Y212" s="948"/>
      <c r="Z212" s="948"/>
    </row>
    <row r="213" spans="1:26" ht="18" customHeight="1" x14ac:dyDescent="0.35">
      <c r="A213" s="948"/>
      <c r="B213" s="376"/>
      <c r="C213" s="376"/>
      <c r="D213" s="376"/>
      <c r="E213" s="376"/>
      <c r="F213" s="376"/>
      <c r="G213" s="376"/>
      <c r="H213" s="376"/>
      <c r="I213" s="376"/>
      <c r="J213" s="376"/>
      <c r="K213" s="949"/>
      <c r="L213" s="949"/>
      <c r="M213" s="949"/>
      <c r="N213" s="948"/>
      <c r="O213" s="948"/>
      <c r="P213" s="948"/>
      <c r="Q213" s="948"/>
      <c r="R213" s="948"/>
      <c r="S213" s="948"/>
      <c r="T213" s="948"/>
      <c r="U213" s="948"/>
      <c r="V213" s="948"/>
      <c r="W213" s="948"/>
      <c r="X213" s="948"/>
      <c r="Y213" s="948"/>
      <c r="Z213" s="948"/>
    </row>
    <row r="214" spans="1:26" ht="18" customHeight="1" x14ac:dyDescent="0.35">
      <c r="A214" s="948"/>
      <c r="B214" s="376"/>
      <c r="C214" s="376"/>
      <c r="D214" s="376"/>
      <c r="E214" s="376"/>
      <c r="F214" s="376"/>
      <c r="G214" s="376"/>
      <c r="H214" s="376"/>
      <c r="I214" s="376"/>
      <c r="J214" s="376"/>
      <c r="K214" s="949"/>
      <c r="L214" s="949"/>
      <c r="M214" s="949"/>
      <c r="N214" s="948"/>
      <c r="O214" s="948"/>
      <c r="P214" s="948"/>
      <c r="Q214" s="948"/>
      <c r="R214" s="948"/>
      <c r="S214" s="948"/>
      <c r="T214" s="948"/>
      <c r="U214" s="948"/>
      <c r="V214" s="948"/>
      <c r="W214" s="948"/>
      <c r="X214" s="948"/>
      <c r="Y214" s="948"/>
      <c r="Z214" s="948"/>
    </row>
    <row r="215" spans="1:26" ht="18" customHeight="1" x14ac:dyDescent="0.35">
      <c r="A215" s="948"/>
      <c r="B215" s="376"/>
      <c r="C215" s="376"/>
      <c r="D215" s="376"/>
      <c r="E215" s="376"/>
      <c r="F215" s="376"/>
      <c r="G215" s="376"/>
      <c r="H215" s="376"/>
      <c r="I215" s="376"/>
      <c r="J215" s="376"/>
      <c r="K215" s="949"/>
      <c r="L215" s="949"/>
      <c r="M215" s="949"/>
      <c r="N215" s="948"/>
      <c r="O215" s="948"/>
      <c r="P215" s="948"/>
      <c r="Q215" s="948"/>
      <c r="R215" s="948"/>
      <c r="S215" s="948"/>
      <c r="T215" s="948"/>
      <c r="U215" s="948"/>
      <c r="V215" s="948"/>
      <c r="W215" s="948"/>
      <c r="X215" s="948"/>
      <c r="Y215" s="948"/>
      <c r="Z215" s="948"/>
    </row>
    <row r="216" spans="1:26" ht="18" customHeight="1" x14ac:dyDescent="0.35">
      <c r="A216" s="948"/>
      <c r="B216" s="376"/>
      <c r="C216" s="376"/>
      <c r="D216" s="376"/>
      <c r="E216" s="376"/>
      <c r="F216" s="376"/>
      <c r="G216" s="376"/>
      <c r="H216" s="376"/>
      <c r="I216" s="376"/>
      <c r="J216" s="376"/>
      <c r="K216" s="949"/>
      <c r="L216" s="949"/>
      <c r="M216" s="949"/>
      <c r="N216" s="948"/>
      <c r="O216" s="948"/>
      <c r="P216" s="948"/>
      <c r="Q216" s="948"/>
      <c r="R216" s="948"/>
      <c r="S216" s="948"/>
      <c r="T216" s="948"/>
      <c r="U216" s="948"/>
      <c r="V216" s="948"/>
      <c r="W216" s="948"/>
      <c r="X216" s="948"/>
      <c r="Y216" s="948"/>
      <c r="Z216" s="948"/>
    </row>
    <row r="217" spans="1:26" ht="18" customHeight="1" x14ac:dyDescent="0.35">
      <c r="A217" s="948"/>
      <c r="B217" s="376"/>
      <c r="C217" s="376"/>
      <c r="D217" s="376"/>
      <c r="E217" s="376"/>
      <c r="F217" s="376"/>
      <c r="G217" s="376"/>
      <c r="H217" s="376"/>
      <c r="I217" s="376"/>
      <c r="J217" s="376"/>
      <c r="K217" s="949"/>
      <c r="L217" s="949"/>
      <c r="M217" s="949"/>
      <c r="N217" s="948"/>
      <c r="O217" s="948"/>
      <c r="P217" s="948"/>
      <c r="Q217" s="948"/>
      <c r="R217" s="948"/>
      <c r="S217" s="948"/>
      <c r="T217" s="948"/>
      <c r="U217" s="948"/>
      <c r="V217" s="948"/>
      <c r="W217" s="948"/>
      <c r="X217" s="948"/>
      <c r="Y217" s="948"/>
      <c r="Z217" s="948"/>
    </row>
    <row r="218" spans="1:26" ht="18" customHeight="1" x14ac:dyDescent="0.35">
      <c r="A218" s="948"/>
      <c r="B218" s="376"/>
      <c r="C218" s="376"/>
      <c r="D218" s="376"/>
      <c r="E218" s="376"/>
      <c r="F218" s="376"/>
      <c r="G218" s="376"/>
      <c r="H218" s="376"/>
      <c r="I218" s="376"/>
      <c r="J218" s="376"/>
      <c r="K218" s="949"/>
      <c r="L218" s="949"/>
      <c r="M218" s="949"/>
      <c r="N218" s="948"/>
      <c r="O218" s="948"/>
      <c r="P218" s="948"/>
      <c r="Q218" s="948"/>
      <c r="R218" s="948"/>
      <c r="S218" s="948"/>
      <c r="T218" s="948"/>
      <c r="U218" s="948"/>
      <c r="V218" s="948"/>
      <c r="W218" s="948"/>
      <c r="X218" s="948"/>
      <c r="Y218" s="948"/>
      <c r="Z218" s="948"/>
    </row>
    <row r="219" spans="1:26" ht="18" customHeight="1" x14ac:dyDescent="0.35">
      <c r="A219" s="948"/>
      <c r="B219" s="376"/>
      <c r="C219" s="376"/>
      <c r="D219" s="376"/>
      <c r="E219" s="376"/>
      <c r="F219" s="376"/>
      <c r="G219" s="376"/>
      <c r="H219" s="376"/>
      <c r="I219" s="376"/>
      <c r="J219" s="376"/>
      <c r="K219" s="949"/>
      <c r="L219" s="949"/>
      <c r="M219" s="949"/>
      <c r="N219" s="948"/>
      <c r="O219" s="948"/>
      <c r="P219" s="948"/>
      <c r="Q219" s="948"/>
      <c r="R219" s="948"/>
      <c r="S219" s="948"/>
      <c r="T219" s="948"/>
      <c r="U219" s="948"/>
      <c r="V219" s="948"/>
      <c r="W219" s="948"/>
      <c r="X219" s="948"/>
      <c r="Y219" s="948"/>
      <c r="Z219" s="948"/>
    </row>
    <row r="220" spans="1:26" ht="18" customHeight="1" x14ac:dyDescent="0.35">
      <c r="A220" s="948"/>
      <c r="B220" s="376"/>
      <c r="C220" s="376"/>
      <c r="D220" s="376"/>
      <c r="E220" s="376"/>
      <c r="F220" s="376"/>
      <c r="G220" s="376"/>
      <c r="H220" s="376"/>
      <c r="I220" s="376"/>
      <c r="J220" s="376"/>
      <c r="K220" s="949"/>
      <c r="L220" s="949"/>
      <c r="M220" s="949"/>
      <c r="N220" s="948"/>
      <c r="O220" s="948"/>
      <c r="P220" s="948"/>
      <c r="Q220" s="948"/>
      <c r="R220" s="948"/>
      <c r="S220" s="948"/>
      <c r="T220" s="948"/>
      <c r="U220" s="948"/>
      <c r="V220" s="948"/>
      <c r="W220" s="948"/>
      <c r="X220" s="948"/>
      <c r="Y220" s="948"/>
      <c r="Z220" s="948"/>
    </row>
    <row r="221" spans="1:26" ht="18" customHeight="1" x14ac:dyDescent="0.35">
      <c r="A221" s="948"/>
      <c r="B221" s="376"/>
      <c r="C221" s="376"/>
      <c r="D221" s="376"/>
      <c r="E221" s="376"/>
      <c r="F221" s="376"/>
      <c r="G221" s="376"/>
      <c r="H221" s="376"/>
      <c r="I221" s="376"/>
      <c r="J221" s="376"/>
      <c r="K221" s="949"/>
      <c r="L221" s="949"/>
      <c r="M221" s="949"/>
      <c r="N221" s="948"/>
      <c r="O221" s="948"/>
      <c r="P221" s="948"/>
      <c r="Q221" s="948"/>
      <c r="R221" s="948"/>
      <c r="S221" s="948"/>
      <c r="T221" s="948"/>
      <c r="U221" s="948"/>
      <c r="V221" s="948"/>
      <c r="W221" s="948"/>
      <c r="X221" s="948"/>
      <c r="Y221" s="948"/>
      <c r="Z221" s="948"/>
    </row>
    <row r="222" spans="1:26" ht="18" customHeight="1" x14ac:dyDescent="0.35">
      <c r="A222" s="948"/>
      <c r="B222" s="376"/>
      <c r="C222" s="376"/>
      <c r="D222" s="376"/>
      <c r="E222" s="376"/>
      <c r="F222" s="376"/>
      <c r="G222" s="376"/>
      <c r="H222" s="376"/>
      <c r="I222" s="376"/>
      <c r="J222" s="376"/>
      <c r="K222" s="949"/>
      <c r="L222" s="949"/>
      <c r="M222" s="949"/>
      <c r="N222" s="948"/>
      <c r="O222" s="948"/>
      <c r="P222" s="948"/>
      <c r="Q222" s="948"/>
      <c r="R222" s="948"/>
      <c r="S222" s="948"/>
      <c r="T222" s="948"/>
      <c r="U222" s="948"/>
      <c r="V222" s="948"/>
      <c r="W222" s="948"/>
      <c r="X222" s="948"/>
      <c r="Y222" s="948"/>
      <c r="Z222" s="948"/>
    </row>
    <row r="223" spans="1:26" ht="18" customHeight="1" x14ac:dyDescent="0.35">
      <c r="A223" s="948"/>
      <c r="B223" s="376"/>
      <c r="C223" s="376"/>
      <c r="D223" s="376"/>
      <c r="E223" s="376"/>
      <c r="F223" s="376"/>
      <c r="G223" s="376"/>
      <c r="H223" s="376"/>
      <c r="I223" s="376"/>
      <c r="J223" s="376"/>
      <c r="K223" s="949"/>
      <c r="L223" s="949"/>
      <c r="M223" s="949"/>
      <c r="N223" s="948"/>
      <c r="O223" s="948"/>
      <c r="P223" s="948"/>
      <c r="Q223" s="948"/>
      <c r="R223" s="948"/>
      <c r="S223" s="948"/>
      <c r="T223" s="948"/>
      <c r="U223" s="948"/>
      <c r="V223" s="948"/>
      <c r="W223" s="948"/>
      <c r="X223" s="948"/>
      <c r="Y223" s="948"/>
      <c r="Z223" s="948"/>
    </row>
    <row r="224" spans="1:26" ht="18" customHeight="1" x14ac:dyDescent="0.35">
      <c r="A224" s="948"/>
      <c r="B224" s="376"/>
      <c r="C224" s="376"/>
      <c r="D224" s="376"/>
      <c r="E224" s="376"/>
      <c r="F224" s="376"/>
      <c r="G224" s="376"/>
      <c r="H224" s="376"/>
      <c r="I224" s="376"/>
      <c r="J224" s="376"/>
      <c r="K224" s="949"/>
      <c r="L224" s="949"/>
      <c r="M224" s="949"/>
      <c r="N224" s="948"/>
      <c r="O224" s="948"/>
      <c r="P224" s="948"/>
      <c r="Q224" s="948"/>
      <c r="R224" s="948"/>
      <c r="S224" s="948"/>
      <c r="T224" s="948"/>
      <c r="U224" s="948"/>
      <c r="V224" s="948"/>
      <c r="W224" s="948"/>
      <c r="X224" s="948"/>
      <c r="Y224" s="948"/>
      <c r="Z224" s="948"/>
    </row>
    <row r="225" spans="1:26" ht="18" customHeight="1" x14ac:dyDescent="0.35">
      <c r="A225" s="948"/>
      <c r="B225" s="376"/>
      <c r="C225" s="376"/>
      <c r="D225" s="376"/>
      <c r="E225" s="376"/>
      <c r="F225" s="376"/>
      <c r="G225" s="376"/>
      <c r="H225" s="376"/>
      <c r="I225" s="376"/>
      <c r="J225" s="376"/>
      <c r="K225" s="949"/>
      <c r="L225" s="949"/>
      <c r="M225" s="949"/>
      <c r="N225" s="948"/>
      <c r="O225" s="948"/>
      <c r="P225" s="948"/>
      <c r="Q225" s="948"/>
      <c r="R225" s="948"/>
      <c r="S225" s="948"/>
      <c r="T225" s="948"/>
      <c r="U225" s="948"/>
      <c r="V225" s="948"/>
      <c r="W225" s="948"/>
      <c r="X225" s="948"/>
      <c r="Y225" s="948"/>
      <c r="Z225" s="948"/>
    </row>
    <row r="226" spans="1:26" ht="18" customHeight="1" x14ac:dyDescent="0.35">
      <c r="A226" s="948"/>
      <c r="B226" s="376"/>
      <c r="C226" s="376"/>
      <c r="D226" s="376"/>
      <c r="E226" s="376"/>
      <c r="F226" s="376"/>
      <c r="G226" s="376"/>
      <c r="H226" s="376"/>
      <c r="I226" s="376"/>
      <c r="J226" s="376"/>
      <c r="K226" s="949"/>
      <c r="L226" s="949"/>
      <c r="M226" s="949"/>
      <c r="N226" s="948"/>
      <c r="O226" s="948"/>
      <c r="P226" s="948"/>
      <c r="Q226" s="948"/>
      <c r="R226" s="948"/>
      <c r="S226" s="948"/>
      <c r="T226" s="948"/>
      <c r="U226" s="948"/>
      <c r="V226" s="948"/>
      <c r="W226" s="948"/>
      <c r="X226" s="948"/>
      <c r="Y226" s="948"/>
      <c r="Z226" s="948"/>
    </row>
    <row r="227" spans="1:26" ht="18" customHeight="1" x14ac:dyDescent="0.35">
      <c r="A227" s="948"/>
      <c r="B227" s="376"/>
      <c r="C227" s="376"/>
      <c r="D227" s="376"/>
      <c r="E227" s="376"/>
      <c r="F227" s="376"/>
      <c r="G227" s="376"/>
      <c r="H227" s="376"/>
      <c r="I227" s="376"/>
      <c r="J227" s="376"/>
      <c r="K227" s="949"/>
      <c r="L227" s="949"/>
      <c r="M227" s="949"/>
      <c r="N227" s="948"/>
      <c r="O227" s="948"/>
      <c r="P227" s="948"/>
      <c r="Q227" s="948"/>
      <c r="R227" s="948"/>
      <c r="S227" s="948"/>
      <c r="T227" s="948"/>
      <c r="U227" s="948"/>
      <c r="V227" s="948"/>
      <c r="W227" s="948"/>
      <c r="X227" s="948"/>
      <c r="Y227" s="948"/>
      <c r="Z227" s="948"/>
    </row>
    <row r="228" spans="1:26" ht="18" customHeight="1" x14ac:dyDescent="0.35">
      <c r="A228" s="948"/>
      <c r="B228" s="376"/>
      <c r="C228" s="376"/>
      <c r="D228" s="376"/>
      <c r="E228" s="376"/>
      <c r="F228" s="376"/>
      <c r="G228" s="376"/>
      <c r="H228" s="376"/>
      <c r="I228" s="376"/>
      <c r="J228" s="376"/>
      <c r="K228" s="949"/>
      <c r="L228" s="949"/>
      <c r="M228" s="949"/>
      <c r="N228" s="948"/>
      <c r="O228" s="948"/>
      <c r="P228" s="948"/>
      <c r="Q228" s="948"/>
      <c r="R228" s="948"/>
      <c r="S228" s="948"/>
      <c r="T228" s="948"/>
      <c r="U228" s="948"/>
      <c r="V228" s="948"/>
      <c r="W228" s="948"/>
      <c r="X228" s="948"/>
      <c r="Y228" s="948"/>
      <c r="Z228" s="948"/>
    </row>
    <row r="229" spans="1:26" ht="18" customHeight="1" x14ac:dyDescent="0.35">
      <c r="A229" s="948"/>
      <c r="B229" s="376"/>
      <c r="C229" s="376"/>
      <c r="D229" s="376"/>
      <c r="E229" s="376"/>
      <c r="F229" s="376"/>
      <c r="G229" s="376"/>
      <c r="H229" s="376"/>
      <c r="I229" s="376"/>
      <c r="J229" s="376"/>
      <c r="K229" s="949"/>
      <c r="L229" s="949"/>
      <c r="M229" s="949"/>
      <c r="N229" s="948"/>
      <c r="O229" s="948"/>
      <c r="P229" s="948"/>
      <c r="Q229" s="948"/>
      <c r="R229" s="948"/>
      <c r="S229" s="948"/>
      <c r="T229" s="948"/>
      <c r="U229" s="948"/>
      <c r="V229" s="948"/>
      <c r="W229" s="948"/>
      <c r="X229" s="948"/>
      <c r="Y229" s="948"/>
      <c r="Z229" s="948"/>
    </row>
    <row r="230" spans="1:26" ht="18" customHeight="1" x14ac:dyDescent="0.35">
      <c r="A230" s="948"/>
      <c r="B230" s="376"/>
      <c r="C230" s="376"/>
      <c r="D230" s="376"/>
      <c r="E230" s="376"/>
      <c r="F230" s="376"/>
      <c r="G230" s="376"/>
      <c r="H230" s="376"/>
      <c r="I230" s="376"/>
      <c r="J230" s="376"/>
      <c r="K230" s="949"/>
      <c r="L230" s="949"/>
      <c r="M230" s="949"/>
      <c r="N230" s="948"/>
      <c r="O230" s="948"/>
      <c r="P230" s="948"/>
      <c r="Q230" s="948"/>
      <c r="R230" s="948"/>
      <c r="S230" s="948"/>
      <c r="T230" s="948"/>
      <c r="U230" s="948"/>
      <c r="V230" s="948"/>
      <c r="W230" s="948"/>
      <c r="X230" s="948"/>
      <c r="Y230" s="948"/>
      <c r="Z230" s="948"/>
    </row>
    <row r="231" spans="1:26" ht="18" customHeight="1" x14ac:dyDescent="0.35">
      <c r="A231" s="948"/>
      <c r="B231" s="376"/>
      <c r="C231" s="376"/>
      <c r="D231" s="376"/>
      <c r="E231" s="376"/>
      <c r="F231" s="376"/>
      <c r="G231" s="376"/>
      <c r="H231" s="376"/>
      <c r="I231" s="376"/>
      <c r="J231" s="376"/>
      <c r="K231" s="949"/>
      <c r="L231" s="949"/>
      <c r="M231" s="949"/>
      <c r="N231" s="948"/>
      <c r="O231" s="948"/>
      <c r="P231" s="948"/>
      <c r="Q231" s="948"/>
      <c r="R231" s="948"/>
      <c r="S231" s="948"/>
      <c r="T231" s="948"/>
      <c r="U231" s="948"/>
      <c r="V231" s="948"/>
      <c r="W231" s="948"/>
      <c r="X231" s="948"/>
      <c r="Y231" s="948"/>
      <c r="Z231" s="948"/>
    </row>
    <row r="232" spans="1:26" ht="18" customHeight="1" x14ac:dyDescent="0.35">
      <c r="A232" s="948"/>
      <c r="B232" s="376"/>
      <c r="C232" s="376"/>
      <c r="D232" s="376"/>
      <c r="E232" s="376"/>
      <c r="F232" s="376"/>
      <c r="G232" s="376"/>
      <c r="H232" s="376"/>
      <c r="I232" s="376"/>
      <c r="J232" s="376"/>
      <c r="K232" s="949"/>
      <c r="L232" s="949"/>
      <c r="M232" s="949"/>
      <c r="N232" s="948"/>
      <c r="O232" s="948"/>
      <c r="P232" s="948"/>
      <c r="Q232" s="948"/>
      <c r="R232" s="948"/>
      <c r="S232" s="948"/>
      <c r="T232" s="948"/>
      <c r="U232" s="948"/>
      <c r="V232" s="948"/>
      <c r="W232" s="948"/>
      <c r="X232" s="948"/>
      <c r="Y232" s="948"/>
      <c r="Z232" s="948"/>
    </row>
    <row r="233" spans="1:26" ht="18" customHeight="1" x14ac:dyDescent="0.35">
      <c r="A233" s="948"/>
      <c r="B233" s="376"/>
      <c r="C233" s="376"/>
      <c r="D233" s="376"/>
      <c r="E233" s="376"/>
      <c r="F233" s="376"/>
      <c r="G233" s="376"/>
      <c r="H233" s="376"/>
      <c r="I233" s="376"/>
      <c r="J233" s="376"/>
      <c r="K233" s="949"/>
      <c r="L233" s="949"/>
      <c r="M233" s="949"/>
      <c r="N233" s="948"/>
      <c r="O233" s="948"/>
      <c r="P233" s="948"/>
      <c r="Q233" s="948"/>
      <c r="R233" s="948"/>
      <c r="S233" s="948"/>
      <c r="T233" s="948"/>
      <c r="U233" s="948"/>
      <c r="V233" s="948"/>
      <c r="W233" s="948"/>
      <c r="X233" s="948"/>
      <c r="Y233" s="948"/>
      <c r="Z233" s="948"/>
    </row>
    <row r="234" spans="1:26" ht="18" customHeight="1" x14ac:dyDescent="0.35">
      <c r="A234" s="948"/>
      <c r="B234" s="376"/>
      <c r="C234" s="376"/>
      <c r="D234" s="376"/>
      <c r="E234" s="376"/>
      <c r="F234" s="376"/>
      <c r="G234" s="376"/>
      <c r="H234" s="376"/>
      <c r="I234" s="376"/>
      <c r="J234" s="376"/>
      <c r="K234" s="949"/>
      <c r="L234" s="949"/>
      <c r="M234" s="949"/>
      <c r="N234" s="948"/>
      <c r="O234" s="948"/>
      <c r="P234" s="948"/>
      <c r="Q234" s="948"/>
      <c r="R234" s="948"/>
      <c r="S234" s="948"/>
      <c r="T234" s="948"/>
      <c r="U234" s="948"/>
      <c r="V234" s="948"/>
      <c r="W234" s="948"/>
      <c r="X234" s="948"/>
      <c r="Y234" s="948"/>
      <c r="Z234" s="948"/>
    </row>
    <row r="235" spans="1:26" ht="18" customHeight="1" x14ac:dyDescent="0.35">
      <c r="A235" s="948"/>
      <c r="B235" s="376"/>
      <c r="C235" s="376"/>
      <c r="D235" s="376"/>
      <c r="E235" s="376"/>
      <c r="F235" s="376"/>
      <c r="G235" s="376"/>
      <c r="H235" s="376"/>
      <c r="I235" s="376"/>
      <c r="J235" s="376"/>
      <c r="K235" s="949"/>
      <c r="L235" s="949"/>
      <c r="M235" s="949"/>
      <c r="N235" s="948"/>
      <c r="O235" s="948"/>
      <c r="P235" s="948"/>
      <c r="Q235" s="948"/>
      <c r="R235" s="948"/>
      <c r="S235" s="948"/>
      <c r="T235" s="948"/>
      <c r="U235" s="948"/>
      <c r="V235" s="948"/>
      <c r="W235" s="948"/>
      <c r="X235" s="948"/>
      <c r="Y235" s="948"/>
      <c r="Z235" s="948"/>
    </row>
    <row r="236" spans="1:26" ht="18" customHeight="1" x14ac:dyDescent="0.35">
      <c r="A236" s="948"/>
      <c r="B236" s="376"/>
      <c r="C236" s="376"/>
      <c r="D236" s="376"/>
      <c r="E236" s="376"/>
      <c r="F236" s="376"/>
      <c r="G236" s="376"/>
      <c r="H236" s="376"/>
      <c r="I236" s="376"/>
      <c r="J236" s="376"/>
      <c r="K236" s="949"/>
      <c r="L236" s="949"/>
      <c r="M236" s="949"/>
      <c r="N236" s="948"/>
      <c r="O236" s="948"/>
      <c r="P236" s="948"/>
      <c r="Q236" s="948"/>
      <c r="R236" s="948"/>
      <c r="S236" s="948"/>
      <c r="T236" s="948"/>
      <c r="U236" s="948"/>
      <c r="V236" s="948"/>
      <c r="W236" s="948"/>
      <c r="X236" s="948"/>
      <c r="Y236" s="948"/>
      <c r="Z236" s="948"/>
    </row>
    <row r="237" spans="1:26" ht="18" customHeight="1" x14ac:dyDescent="0.35">
      <c r="A237" s="948"/>
      <c r="B237" s="376"/>
      <c r="C237" s="376"/>
      <c r="D237" s="376"/>
      <c r="E237" s="376"/>
      <c r="F237" s="376"/>
      <c r="G237" s="376"/>
      <c r="H237" s="376"/>
      <c r="I237" s="376"/>
      <c r="J237" s="376"/>
      <c r="K237" s="949"/>
      <c r="L237" s="949"/>
      <c r="M237" s="949"/>
      <c r="N237" s="948"/>
      <c r="O237" s="948"/>
      <c r="P237" s="948"/>
      <c r="Q237" s="948"/>
      <c r="R237" s="948"/>
      <c r="S237" s="948"/>
      <c r="T237" s="948"/>
      <c r="U237" s="948"/>
      <c r="V237" s="948"/>
      <c r="W237" s="948"/>
      <c r="X237" s="948"/>
      <c r="Y237" s="948"/>
      <c r="Z237" s="948"/>
    </row>
    <row r="238" spans="1:26" ht="18" customHeight="1" x14ac:dyDescent="0.35">
      <c r="A238" s="948"/>
      <c r="B238" s="376"/>
      <c r="C238" s="376"/>
      <c r="D238" s="376"/>
      <c r="E238" s="376"/>
      <c r="F238" s="376"/>
      <c r="G238" s="376"/>
      <c r="H238" s="376"/>
      <c r="I238" s="376"/>
      <c r="J238" s="376"/>
      <c r="K238" s="949"/>
      <c r="L238" s="949"/>
      <c r="M238" s="949"/>
      <c r="N238" s="948"/>
      <c r="O238" s="948"/>
      <c r="P238" s="948"/>
      <c r="Q238" s="948"/>
      <c r="R238" s="948"/>
      <c r="S238" s="948"/>
      <c r="T238" s="948"/>
      <c r="U238" s="948"/>
      <c r="V238" s="948"/>
      <c r="W238" s="948"/>
      <c r="X238" s="948"/>
      <c r="Y238" s="948"/>
      <c r="Z238" s="948"/>
    </row>
    <row r="239" spans="1:26" ht="18" customHeight="1" x14ac:dyDescent="0.35">
      <c r="A239" s="948"/>
      <c r="B239" s="376"/>
      <c r="C239" s="376"/>
      <c r="D239" s="376"/>
      <c r="E239" s="376"/>
      <c r="F239" s="376"/>
      <c r="G239" s="376"/>
      <c r="H239" s="376"/>
      <c r="I239" s="376"/>
      <c r="J239" s="376"/>
      <c r="K239" s="949"/>
      <c r="L239" s="949"/>
      <c r="M239" s="949"/>
      <c r="N239" s="948"/>
      <c r="O239" s="948"/>
      <c r="P239" s="948"/>
      <c r="Q239" s="948"/>
      <c r="R239" s="948"/>
      <c r="S239" s="948"/>
      <c r="T239" s="948"/>
      <c r="U239" s="948"/>
      <c r="V239" s="948"/>
      <c r="W239" s="948"/>
      <c r="X239" s="948"/>
      <c r="Y239" s="948"/>
      <c r="Z239" s="948"/>
    </row>
    <row r="240" spans="1:26" ht="18" customHeight="1" x14ac:dyDescent="0.35">
      <c r="A240" s="948"/>
      <c r="B240" s="376"/>
      <c r="C240" s="376"/>
      <c r="D240" s="376"/>
      <c r="E240" s="376"/>
      <c r="F240" s="376"/>
      <c r="G240" s="376"/>
      <c r="H240" s="376"/>
      <c r="I240" s="376"/>
      <c r="J240" s="376"/>
      <c r="K240" s="949"/>
      <c r="L240" s="949"/>
      <c r="M240" s="949"/>
      <c r="N240" s="948"/>
      <c r="O240" s="948"/>
      <c r="P240" s="948"/>
      <c r="Q240" s="948"/>
      <c r="R240" s="948"/>
      <c r="S240" s="948"/>
      <c r="T240" s="948"/>
      <c r="U240" s="948"/>
      <c r="V240" s="948"/>
      <c r="W240" s="948"/>
      <c r="X240" s="948"/>
      <c r="Y240" s="948"/>
      <c r="Z240" s="948"/>
    </row>
    <row r="241" spans="1:26" ht="18" customHeight="1" x14ac:dyDescent="0.35">
      <c r="A241" s="948"/>
      <c r="B241" s="376"/>
      <c r="C241" s="376"/>
      <c r="D241" s="376"/>
      <c r="E241" s="376"/>
      <c r="F241" s="376"/>
      <c r="G241" s="376"/>
      <c r="H241" s="376"/>
      <c r="I241" s="376"/>
      <c r="J241" s="376"/>
      <c r="K241" s="949"/>
      <c r="L241" s="949"/>
      <c r="M241" s="949"/>
      <c r="N241" s="948"/>
      <c r="O241" s="948"/>
      <c r="P241" s="948"/>
      <c r="Q241" s="948"/>
      <c r="R241" s="948"/>
      <c r="S241" s="948"/>
      <c r="T241" s="948"/>
      <c r="U241" s="948"/>
      <c r="V241" s="948"/>
      <c r="W241" s="948"/>
      <c r="X241" s="948"/>
      <c r="Y241" s="948"/>
      <c r="Z241" s="948"/>
    </row>
    <row r="242" spans="1:26" ht="18" customHeight="1" x14ac:dyDescent="0.35">
      <c r="A242" s="948"/>
      <c r="B242" s="376"/>
      <c r="C242" s="376"/>
      <c r="D242" s="376"/>
      <c r="E242" s="376"/>
      <c r="F242" s="376"/>
      <c r="G242" s="376"/>
      <c r="H242" s="376"/>
      <c r="I242" s="376"/>
      <c r="J242" s="376"/>
      <c r="K242" s="949"/>
      <c r="L242" s="949"/>
      <c r="M242" s="949"/>
      <c r="N242" s="948"/>
      <c r="O242" s="948"/>
      <c r="P242" s="948"/>
      <c r="Q242" s="948"/>
      <c r="R242" s="948"/>
      <c r="S242" s="948"/>
      <c r="T242" s="948"/>
      <c r="U242" s="948"/>
      <c r="V242" s="948"/>
      <c r="W242" s="948"/>
      <c r="X242" s="948"/>
      <c r="Y242" s="948"/>
      <c r="Z242" s="948"/>
    </row>
    <row r="243" spans="1:26" ht="18" customHeight="1" x14ac:dyDescent="0.35">
      <c r="A243" s="948"/>
      <c r="B243" s="376"/>
      <c r="C243" s="376"/>
      <c r="D243" s="376"/>
      <c r="E243" s="376"/>
      <c r="F243" s="376"/>
      <c r="G243" s="376"/>
      <c r="H243" s="376"/>
      <c r="I243" s="376"/>
      <c r="J243" s="376"/>
      <c r="K243" s="949"/>
      <c r="L243" s="949"/>
      <c r="M243" s="949"/>
      <c r="N243" s="948"/>
      <c r="O243" s="948"/>
      <c r="P243" s="948"/>
      <c r="Q243" s="948"/>
      <c r="R243" s="948"/>
      <c r="S243" s="948"/>
      <c r="T243" s="948"/>
      <c r="U243" s="948"/>
      <c r="V243" s="948"/>
      <c r="W243" s="948"/>
      <c r="X243" s="948"/>
      <c r="Y243" s="948"/>
      <c r="Z243" s="948"/>
    </row>
    <row r="244" spans="1:26" ht="18" customHeight="1" x14ac:dyDescent="0.35">
      <c r="A244" s="948"/>
      <c r="B244" s="376"/>
      <c r="C244" s="376"/>
      <c r="D244" s="376"/>
      <c r="E244" s="376"/>
      <c r="F244" s="376"/>
      <c r="G244" s="376"/>
      <c r="H244" s="376"/>
      <c r="I244" s="376"/>
      <c r="J244" s="376"/>
      <c r="K244" s="949"/>
      <c r="L244" s="949"/>
      <c r="M244" s="949"/>
      <c r="N244" s="948"/>
      <c r="O244" s="948"/>
      <c r="P244" s="948"/>
      <c r="Q244" s="948"/>
      <c r="R244" s="948"/>
      <c r="S244" s="948"/>
      <c r="T244" s="948"/>
      <c r="U244" s="948"/>
      <c r="V244" s="948"/>
      <c r="W244" s="948"/>
      <c r="X244" s="948"/>
      <c r="Y244" s="948"/>
      <c r="Z244" s="948"/>
    </row>
    <row r="245" spans="1:26" ht="18" customHeight="1" x14ac:dyDescent="0.35">
      <c r="A245" s="948"/>
      <c r="B245" s="376"/>
      <c r="C245" s="376"/>
      <c r="D245" s="376"/>
      <c r="E245" s="376"/>
      <c r="F245" s="376"/>
      <c r="G245" s="376"/>
      <c r="H245" s="376"/>
      <c r="I245" s="376"/>
      <c r="J245" s="376"/>
      <c r="K245" s="949"/>
      <c r="L245" s="949"/>
      <c r="M245" s="949"/>
      <c r="N245" s="948"/>
      <c r="O245" s="948"/>
      <c r="P245" s="948"/>
      <c r="Q245" s="948"/>
      <c r="R245" s="948"/>
      <c r="S245" s="948"/>
      <c r="T245" s="948"/>
      <c r="U245" s="948"/>
      <c r="V245" s="948"/>
      <c r="W245" s="948"/>
      <c r="X245" s="948"/>
      <c r="Y245" s="948"/>
      <c r="Z245" s="948"/>
    </row>
    <row r="246" spans="1:26" ht="18" customHeight="1" x14ac:dyDescent="0.35">
      <c r="A246" s="948"/>
      <c r="B246" s="376"/>
      <c r="C246" s="376"/>
      <c r="D246" s="376"/>
      <c r="E246" s="376"/>
      <c r="F246" s="376"/>
      <c r="G246" s="376"/>
      <c r="H246" s="376"/>
      <c r="I246" s="376"/>
      <c r="J246" s="376"/>
      <c r="K246" s="949"/>
      <c r="L246" s="949"/>
      <c r="M246" s="949"/>
      <c r="N246" s="948"/>
      <c r="O246" s="948"/>
      <c r="P246" s="948"/>
      <c r="Q246" s="948"/>
      <c r="R246" s="948"/>
      <c r="S246" s="948"/>
      <c r="T246" s="948"/>
      <c r="U246" s="948"/>
      <c r="V246" s="948"/>
      <c r="W246" s="948"/>
      <c r="X246" s="948"/>
      <c r="Y246" s="948"/>
      <c r="Z246" s="948"/>
    </row>
    <row r="247" spans="1:26" ht="18" customHeight="1" x14ac:dyDescent="0.35">
      <c r="A247" s="948"/>
      <c r="B247" s="376"/>
      <c r="C247" s="376"/>
      <c r="D247" s="376"/>
      <c r="E247" s="376"/>
      <c r="F247" s="376"/>
      <c r="G247" s="376"/>
      <c r="H247" s="376"/>
      <c r="I247" s="376"/>
      <c r="J247" s="376"/>
      <c r="K247" s="949"/>
      <c r="L247" s="949"/>
      <c r="M247" s="949"/>
      <c r="N247" s="948"/>
      <c r="O247" s="948"/>
      <c r="P247" s="948"/>
      <c r="Q247" s="948"/>
      <c r="R247" s="948"/>
      <c r="S247" s="948"/>
      <c r="T247" s="948"/>
      <c r="U247" s="948"/>
      <c r="V247" s="948"/>
      <c r="W247" s="948"/>
      <c r="X247" s="948"/>
      <c r="Y247" s="948"/>
      <c r="Z247" s="948"/>
    </row>
    <row r="248" spans="1:26" ht="18" customHeight="1" x14ac:dyDescent="0.35">
      <c r="A248" s="948"/>
      <c r="B248" s="376"/>
      <c r="C248" s="376"/>
      <c r="D248" s="376"/>
      <c r="E248" s="376"/>
      <c r="F248" s="376"/>
      <c r="G248" s="376"/>
      <c r="H248" s="376"/>
      <c r="I248" s="376"/>
      <c r="J248" s="376"/>
      <c r="K248" s="949"/>
      <c r="L248" s="949"/>
      <c r="M248" s="949"/>
      <c r="N248" s="948"/>
      <c r="O248" s="948"/>
      <c r="P248" s="948"/>
      <c r="Q248" s="948"/>
      <c r="R248" s="948"/>
      <c r="S248" s="948"/>
      <c r="T248" s="948"/>
      <c r="U248" s="948"/>
      <c r="V248" s="948"/>
      <c r="W248" s="948"/>
      <c r="X248" s="948"/>
      <c r="Y248" s="948"/>
      <c r="Z248" s="948"/>
    </row>
    <row r="249" spans="1:26" ht="18" customHeight="1" x14ac:dyDescent="0.35">
      <c r="A249" s="948"/>
      <c r="B249" s="376"/>
      <c r="C249" s="376"/>
      <c r="D249" s="376"/>
      <c r="E249" s="376"/>
      <c r="F249" s="376"/>
      <c r="G249" s="376"/>
      <c r="H249" s="376"/>
      <c r="I249" s="376"/>
      <c r="J249" s="376"/>
      <c r="K249" s="949"/>
      <c r="L249" s="949"/>
      <c r="M249" s="949"/>
      <c r="N249" s="948"/>
      <c r="O249" s="948"/>
      <c r="P249" s="948"/>
      <c r="Q249" s="948"/>
      <c r="R249" s="948"/>
      <c r="S249" s="948"/>
      <c r="T249" s="948"/>
      <c r="U249" s="948"/>
      <c r="V249" s="948"/>
      <c r="W249" s="948"/>
      <c r="X249" s="948"/>
      <c r="Y249" s="948"/>
      <c r="Z249" s="948"/>
    </row>
    <row r="250" spans="1:26" ht="18" customHeight="1" x14ac:dyDescent="0.35">
      <c r="A250" s="948"/>
      <c r="B250" s="376"/>
      <c r="C250" s="376"/>
      <c r="D250" s="376"/>
      <c r="E250" s="376"/>
      <c r="F250" s="376"/>
      <c r="G250" s="376"/>
      <c r="H250" s="376"/>
      <c r="I250" s="376"/>
      <c r="J250" s="376"/>
      <c r="K250" s="949"/>
      <c r="L250" s="949"/>
      <c r="M250" s="949"/>
      <c r="N250" s="948"/>
      <c r="O250" s="948"/>
      <c r="P250" s="948"/>
      <c r="Q250" s="948"/>
      <c r="R250" s="948"/>
      <c r="S250" s="948"/>
      <c r="T250" s="948"/>
      <c r="U250" s="948"/>
      <c r="V250" s="948"/>
      <c r="W250" s="948"/>
      <c r="X250" s="948"/>
      <c r="Y250" s="948"/>
      <c r="Z250" s="948"/>
    </row>
    <row r="251" spans="1:26" ht="18" customHeight="1" x14ac:dyDescent="0.35">
      <c r="A251" s="948"/>
      <c r="B251" s="376"/>
      <c r="C251" s="376"/>
      <c r="D251" s="376"/>
      <c r="E251" s="376"/>
      <c r="F251" s="376"/>
      <c r="G251" s="376"/>
      <c r="H251" s="376"/>
      <c r="I251" s="376"/>
      <c r="J251" s="376"/>
      <c r="K251" s="949"/>
      <c r="L251" s="949"/>
      <c r="M251" s="949"/>
      <c r="N251" s="948"/>
      <c r="O251" s="948"/>
      <c r="P251" s="948"/>
      <c r="Q251" s="948"/>
      <c r="R251" s="948"/>
      <c r="S251" s="948"/>
      <c r="T251" s="948"/>
      <c r="U251" s="948"/>
      <c r="V251" s="948"/>
      <c r="W251" s="948"/>
      <c r="X251" s="948"/>
      <c r="Y251" s="948"/>
      <c r="Z251" s="948"/>
    </row>
    <row r="252" spans="1:26" ht="18" customHeight="1" x14ac:dyDescent="0.35">
      <c r="A252" s="948"/>
      <c r="B252" s="376"/>
      <c r="C252" s="376"/>
      <c r="D252" s="376"/>
      <c r="E252" s="376"/>
      <c r="F252" s="376"/>
      <c r="G252" s="376"/>
      <c r="H252" s="376"/>
      <c r="I252" s="376"/>
      <c r="J252" s="376"/>
      <c r="K252" s="949"/>
      <c r="L252" s="949"/>
      <c r="M252" s="949"/>
      <c r="N252" s="948"/>
      <c r="O252" s="948"/>
      <c r="P252" s="948"/>
      <c r="Q252" s="948"/>
      <c r="R252" s="948"/>
      <c r="S252" s="948"/>
      <c r="T252" s="948"/>
      <c r="U252" s="948"/>
      <c r="V252" s="948"/>
      <c r="W252" s="948"/>
      <c r="X252" s="948"/>
      <c r="Y252" s="948"/>
      <c r="Z252" s="948"/>
    </row>
    <row r="253" spans="1:26" ht="18" customHeight="1" x14ac:dyDescent="0.35">
      <c r="A253" s="948"/>
      <c r="B253" s="376"/>
      <c r="C253" s="376"/>
      <c r="D253" s="376"/>
      <c r="E253" s="376"/>
      <c r="F253" s="376"/>
      <c r="G253" s="376"/>
      <c r="H253" s="376"/>
      <c r="I253" s="376"/>
      <c r="J253" s="376"/>
      <c r="K253" s="949"/>
      <c r="L253" s="949"/>
      <c r="M253" s="949"/>
      <c r="N253" s="948"/>
      <c r="O253" s="948"/>
      <c r="P253" s="948"/>
      <c r="Q253" s="948"/>
      <c r="R253" s="948"/>
      <c r="S253" s="948"/>
      <c r="T253" s="948"/>
      <c r="U253" s="948"/>
      <c r="V253" s="948"/>
      <c r="W253" s="948"/>
      <c r="X253" s="948"/>
      <c r="Y253" s="948"/>
      <c r="Z253" s="948"/>
    </row>
    <row r="254" spans="1:26" ht="18" customHeight="1" x14ac:dyDescent="0.35">
      <c r="A254" s="948"/>
      <c r="B254" s="376"/>
      <c r="C254" s="376"/>
      <c r="D254" s="376"/>
      <c r="E254" s="376"/>
      <c r="F254" s="376"/>
      <c r="G254" s="376"/>
      <c r="H254" s="376"/>
      <c r="I254" s="376"/>
      <c r="J254" s="376"/>
      <c r="K254" s="949"/>
      <c r="L254" s="949"/>
      <c r="M254" s="949"/>
      <c r="N254" s="948"/>
      <c r="O254" s="948"/>
      <c r="P254" s="948"/>
      <c r="Q254" s="948"/>
      <c r="R254" s="948"/>
      <c r="S254" s="948"/>
      <c r="T254" s="948"/>
      <c r="U254" s="948"/>
      <c r="V254" s="948"/>
      <c r="W254" s="948"/>
      <c r="X254" s="948"/>
      <c r="Y254" s="948"/>
      <c r="Z254" s="948"/>
    </row>
    <row r="255" spans="1:26" ht="18" customHeight="1" x14ac:dyDescent="0.35">
      <c r="A255" s="948"/>
      <c r="B255" s="376"/>
      <c r="C255" s="376"/>
      <c r="D255" s="376"/>
      <c r="E255" s="376"/>
      <c r="F255" s="376"/>
      <c r="G255" s="376"/>
      <c r="H255" s="376"/>
      <c r="I255" s="376"/>
      <c r="J255" s="376"/>
      <c r="K255" s="949"/>
      <c r="L255" s="949"/>
      <c r="M255" s="949"/>
      <c r="N255" s="948"/>
      <c r="O255" s="948"/>
      <c r="P255" s="948"/>
      <c r="Q255" s="948"/>
      <c r="R255" s="948"/>
      <c r="S255" s="948"/>
      <c r="T255" s="948"/>
      <c r="U255" s="948"/>
      <c r="V255" s="948"/>
      <c r="W255" s="948"/>
      <c r="X255" s="948"/>
      <c r="Y255" s="948"/>
      <c r="Z255" s="948"/>
    </row>
    <row r="256" spans="1:26" ht="18" customHeight="1" x14ac:dyDescent="0.35">
      <c r="A256" s="948"/>
      <c r="B256" s="376"/>
      <c r="C256" s="376"/>
      <c r="D256" s="376"/>
      <c r="E256" s="376"/>
      <c r="F256" s="376"/>
      <c r="G256" s="376"/>
      <c r="H256" s="376"/>
      <c r="I256" s="376"/>
      <c r="J256" s="376"/>
      <c r="K256" s="949"/>
      <c r="L256" s="949"/>
      <c r="M256" s="949"/>
      <c r="N256" s="948"/>
      <c r="O256" s="948"/>
      <c r="P256" s="948"/>
      <c r="Q256" s="948"/>
      <c r="R256" s="948"/>
      <c r="S256" s="948"/>
      <c r="T256" s="948"/>
      <c r="U256" s="948"/>
      <c r="V256" s="948"/>
      <c r="W256" s="948"/>
      <c r="X256" s="948"/>
      <c r="Y256" s="948"/>
      <c r="Z256" s="948"/>
    </row>
    <row r="257" spans="1:26" ht="18" customHeight="1" x14ac:dyDescent="0.35">
      <c r="A257" s="948"/>
      <c r="B257" s="376"/>
      <c r="C257" s="376"/>
      <c r="D257" s="376"/>
      <c r="E257" s="376"/>
      <c r="F257" s="376"/>
      <c r="G257" s="376"/>
      <c r="H257" s="376"/>
      <c r="I257" s="376"/>
      <c r="J257" s="376"/>
      <c r="K257" s="949"/>
      <c r="L257" s="949"/>
      <c r="M257" s="949"/>
      <c r="N257" s="948"/>
      <c r="O257" s="948"/>
      <c r="P257" s="948"/>
      <c r="Q257" s="948"/>
      <c r="R257" s="948"/>
      <c r="S257" s="948"/>
      <c r="T257" s="948"/>
      <c r="U257" s="948"/>
      <c r="V257" s="948"/>
      <c r="W257" s="948"/>
      <c r="X257" s="948"/>
      <c r="Y257" s="948"/>
      <c r="Z257" s="948"/>
    </row>
    <row r="258" spans="1:26" ht="18" customHeight="1" x14ac:dyDescent="0.35">
      <c r="A258" s="948"/>
      <c r="B258" s="376"/>
      <c r="C258" s="376"/>
      <c r="D258" s="376"/>
      <c r="E258" s="376"/>
      <c r="F258" s="376"/>
      <c r="G258" s="376"/>
      <c r="H258" s="376"/>
      <c r="I258" s="376"/>
      <c r="J258" s="376"/>
      <c r="K258" s="949"/>
      <c r="L258" s="949"/>
      <c r="M258" s="949"/>
      <c r="N258" s="948"/>
      <c r="O258" s="948"/>
      <c r="P258" s="948"/>
      <c r="Q258" s="948"/>
      <c r="R258" s="948"/>
      <c r="S258" s="948"/>
      <c r="T258" s="948"/>
      <c r="U258" s="948"/>
      <c r="V258" s="948"/>
      <c r="W258" s="948"/>
      <c r="X258" s="948"/>
      <c r="Y258" s="948"/>
      <c r="Z258" s="948"/>
    </row>
    <row r="259" spans="1:26" ht="18" customHeight="1" x14ac:dyDescent="0.35">
      <c r="A259" s="948"/>
      <c r="B259" s="376"/>
      <c r="C259" s="376"/>
      <c r="D259" s="376"/>
      <c r="E259" s="376"/>
      <c r="F259" s="376"/>
      <c r="G259" s="376"/>
      <c r="H259" s="376"/>
      <c r="I259" s="376"/>
      <c r="J259" s="376"/>
      <c r="K259" s="949"/>
      <c r="L259" s="949"/>
      <c r="M259" s="949"/>
      <c r="N259" s="948"/>
      <c r="O259" s="948"/>
      <c r="P259" s="948"/>
      <c r="Q259" s="948"/>
      <c r="R259" s="948"/>
      <c r="S259" s="948"/>
      <c r="T259" s="948"/>
      <c r="U259" s="948"/>
      <c r="V259" s="948"/>
      <c r="W259" s="948"/>
      <c r="X259" s="948"/>
      <c r="Y259" s="948"/>
      <c r="Z259" s="948"/>
    </row>
    <row r="260" spans="1:26" ht="18" customHeight="1" x14ac:dyDescent="0.35">
      <c r="A260" s="948"/>
      <c r="B260" s="376"/>
      <c r="C260" s="376"/>
      <c r="D260" s="376"/>
      <c r="E260" s="376"/>
      <c r="F260" s="376"/>
      <c r="G260" s="376"/>
      <c r="H260" s="376"/>
      <c r="I260" s="376"/>
      <c r="J260" s="376"/>
      <c r="K260" s="949"/>
      <c r="L260" s="949"/>
      <c r="M260" s="949"/>
      <c r="N260" s="948"/>
      <c r="O260" s="948"/>
      <c r="P260" s="948"/>
      <c r="Q260" s="948"/>
      <c r="R260" s="948"/>
      <c r="S260" s="948"/>
      <c r="T260" s="948"/>
      <c r="U260" s="948"/>
      <c r="V260" s="948"/>
      <c r="W260" s="948"/>
      <c r="X260" s="948"/>
      <c r="Y260" s="948"/>
      <c r="Z260" s="948"/>
    </row>
    <row r="261" spans="1:26" ht="18" customHeight="1" x14ac:dyDescent="0.35">
      <c r="A261" s="948"/>
      <c r="B261" s="376"/>
      <c r="C261" s="376"/>
      <c r="D261" s="376"/>
      <c r="E261" s="376"/>
      <c r="F261" s="376"/>
      <c r="G261" s="376"/>
      <c r="H261" s="376"/>
      <c r="I261" s="376"/>
      <c r="J261" s="376"/>
      <c r="K261" s="949"/>
      <c r="L261" s="949"/>
      <c r="M261" s="949"/>
      <c r="N261" s="948"/>
      <c r="O261" s="948"/>
      <c r="P261" s="948"/>
      <c r="Q261" s="948"/>
      <c r="R261" s="948"/>
      <c r="S261" s="948"/>
      <c r="T261" s="948"/>
      <c r="U261" s="948"/>
      <c r="V261" s="948"/>
      <c r="W261" s="948"/>
      <c r="X261" s="948"/>
      <c r="Y261" s="948"/>
      <c r="Z261" s="948"/>
    </row>
    <row r="262" spans="1:26" ht="18" customHeight="1" x14ac:dyDescent="0.35">
      <c r="A262" s="948"/>
      <c r="B262" s="376"/>
      <c r="C262" s="376"/>
      <c r="D262" s="376"/>
      <c r="E262" s="376"/>
      <c r="F262" s="376"/>
      <c r="G262" s="376"/>
      <c r="H262" s="376"/>
      <c r="I262" s="376"/>
      <c r="J262" s="376"/>
      <c r="K262" s="949"/>
      <c r="L262" s="949"/>
      <c r="M262" s="949"/>
      <c r="N262" s="948"/>
      <c r="O262" s="948"/>
      <c r="P262" s="948"/>
      <c r="Q262" s="948"/>
      <c r="R262" s="948"/>
      <c r="S262" s="948"/>
      <c r="T262" s="948"/>
      <c r="U262" s="948"/>
      <c r="V262" s="948"/>
      <c r="W262" s="948"/>
      <c r="X262" s="948"/>
      <c r="Y262" s="948"/>
      <c r="Z262" s="948"/>
    </row>
    <row r="263" spans="1:26" ht="18" customHeight="1" x14ac:dyDescent="0.35">
      <c r="A263" s="948"/>
      <c r="B263" s="376"/>
      <c r="C263" s="376"/>
      <c r="D263" s="376"/>
      <c r="E263" s="376"/>
      <c r="F263" s="376"/>
      <c r="G263" s="376"/>
      <c r="H263" s="376"/>
      <c r="I263" s="376"/>
      <c r="J263" s="376"/>
      <c r="K263" s="949"/>
      <c r="L263" s="949"/>
      <c r="M263" s="949"/>
      <c r="N263" s="948"/>
      <c r="O263" s="948"/>
      <c r="P263" s="948"/>
      <c r="Q263" s="948"/>
      <c r="R263" s="948"/>
      <c r="S263" s="948"/>
      <c r="T263" s="948"/>
      <c r="U263" s="948"/>
      <c r="V263" s="948"/>
      <c r="W263" s="948"/>
      <c r="X263" s="948"/>
      <c r="Y263" s="948"/>
      <c r="Z263" s="948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3" sqref="F33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4" t="s">
        <v>483</v>
      </c>
      <c r="C2" s="1365"/>
      <c r="D2" s="1365"/>
      <c r="E2" s="1365"/>
      <c r="F2" s="1365"/>
      <c r="G2" s="1365"/>
      <c r="H2" s="1365"/>
      <c r="I2" s="1365"/>
      <c r="J2" s="1365"/>
      <c r="K2" s="1366"/>
    </row>
    <row r="3" spans="2:11" ht="14.25" customHeight="1" x14ac:dyDescent="0.3">
      <c r="B3" s="1367"/>
      <c r="C3" s="1214"/>
      <c r="D3" s="1214"/>
      <c r="E3" s="1214"/>
      <c r="F3" s="1214"/>
      <c r="G3" s="1214"/>
      <c r="H3" s="1215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68" t="s">
        <v>494</v>
      </c>
      <c r="C12" s="1369"/>
      <c r="D12" s="1369"/>
      <c r="E12" s="1369"/>
      <c r="F12" s="1369"/>
      <c r="G12" s="1369"/>
      <c r="H12" s="1369"/>
      <c r="I12" s="1370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910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910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910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910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910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910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696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68" activePane="bottomRight" state="frozen"/>
      <selection pane="topRight" activeCell="E1" sqref="E1"/>
      <selection pane="bottomLeft" activeCell="A2" sqref="A2"/>
      <selection pane="bottomRight" activeCell="L32" sqref="L32"/>
    </sheetView>
  </sheetViews>
  <sheetFormatPr defaultColWidth="8.77734375" defaultRowHeight="13.8" x14ac:dyDescent="0.3"/>
  <cols>
    <col min="1" max="1" width="5.21875" style="1080" customWidth="1"/>
    <col min="2" max="2" width="8" style="1080" customWidth="1"/>
    <col min="3" max="3" width="6.33203125" style="1080" customWidth="1"/>
    <col min="4" max="4" width="8.21875" style="1080" bestFit="1" customWidth="1"/>
    <col min="5" max="5" width="8.77734375" style="1080" customWidth="1"/>
    <col min="6" max="6" width="7.109375" style="1080" customWidth="1"/>
    <col min="7" max="7" width="6.6640625" style="1080" customWidth="1"/>
    <col min="8" max="8" width="9.33203125" style="1080" customWidth="1"/>
    <col min="9" max="9" width="7.33203125" style="1080" customWidth="1"/>
    <col min="10" max="10" width="6.6640625" style="1080" customWidth="1"/>
    <col min="11" max="11" width="7" style="1080" customWidth="1"/>
    <col min="12" max="12" width="7.21875" style="1108" customWidth="1"/>
    <col min="13" max="13" width="7.109375" style="1080" customWidth="1"/>
    <col min="14" max="14" width="7.5546875" style="1080" customWidth="1"/>
    <col min="15" max="17" width="8.6640625" style="1080" customWidth="1"/>
    <col min="18" max="18" width="10.77734375" style="1080" bestFit="1" customWidth="1"/>
    <col min="19" max="19" width="11.33203125" style="1087" customWidth="1"/>
    <col min="20" max="22" width="8.6640625" style="1080" customWidth="1"/>
    <col min="23" max="23" width="12.21875" style="1080" customWidth="1"/>
    <col min="24" max="24" width="8.77734375" style="1080"/>
    <col min="25" max="25" width="8.6640625" style="1080" bestFit="1" customWidth="1"/>
    <col min="26" max="26" width="13.109375" style="1080" bestFit="1" customWidth="1"/>
    <col min="27" max="27" width="11.88671875" style="1080" bestFit="1" customWidth="1"/>
    <col min="28" max="29" width="13.109375" style="1080" bestFit="1" customWidth="1"/>
    <col min="30" max="30" width="13.109375" style="1080" customWidth="1"/>
    <col min="31" max="31" width="11.88671875" style="1080" bestFit="1" customWidth="1"/>
    <col min="32" max="16384" width="8.77734375" style="1080"/>
  </cols>
  <sheetData>
    <row r="1" spans="1:23" ht="46.95" customHeight="1" x14ac:dyDescent="0.3">
      <c r="A1" s="1078" t="s">
        <v>945</v>
      </c>
      <c r="B1" s="1079" t="s">
        <v>813</v>
      </c>
      <c r="C1" s="1079" t="s">
        <v>814</v>
      </c>
      <c r="D1" s="1079"/>
      <c r="E1" s="1079" t="s">
        <v>946</v>
      </c>
      <c r="F1" s="1079" t="s">
        <v>947</v>
      </c>
      <c r="G1" s="1079" t="s">
        <v>948</v>
      </c>
      <c r="H1" s="1079" t="s">
        <v>949</v>
      </c>
      <c r="I1" s="1079" t="s">
        <v>950</v>
      </c>
      <c r="J1" s="1079" t="s">
        <v>815</v>
      </c>
      <c r="K1" s="1079" t="s">
        <v>951</v>
      </c>
      <c r="L1" s="1079" t="s">
        <v>927</v>
      </c>
      <c r="M1" s="1079" t="s">
        <v>952</v>
      </c>
      <c r="N1" s="1079" t="s">
        <v>816</v>
      </c>
      <c r="O1" s="1079" t="s">
        <v>953</v>
      </c>
      <c r="P1" s="1079" t="s">
        <v>954</v>
      </c>
      <c r="Q1" s="1079" t="s">
        <v>955</v>
      </c>
      <c r="R1" s="1078" t="s">
        <v>817</v>
      </c>
      <c r="S1" s="1079" t="s">
        <v>956</v>
      </c>
      <c r="T1" s="1078" t="s">
        <v>957</v>
      </c>
      <c r="U1" s="1078" t="s">
        <v>818</v>
      </c>
      <c r="V1" s="1078" t="s">
        <v>819</v>
      </c>
      <c r="W1" s="1079" t="s">
        <v>958</v>
      </c>
    </row>
    <row r="2" spans="1:23" s="1108" customFormat="1" ht="19.95" customHeight="1" x14ac:dyDescent="0.3">
      <c r="A2" s="1104">
        <v>1</v>
      </c>
      <c r="B2" s="1104" t="s">
        <v>820</v>
      </c>
      <c r="C2" s="1104" t="s">
        <v>821</v>
      </c>
      <c r="D2" s="1104" t="s">
        <v>959</v>
      </c>
      <c r="E2" s="1104">
        <v>3.3140000000000001</v>
      </c>
      <c r="F2" s="1104" t="s">
        <v>828</v>
      </c>
      <c r="G2" s="1104">
        <v>8</v>
      </c>
      <c r="H2" s="1104">
        <v>4</v>
      </c>
      <c r="I2" s="1104">
        <f>G2-H2</f>
        <v>4</v>
      </c>
      <c r="J2" s="1104">
        <v>0</v>
      </c>
      <c r="K2" s="1104">
        <f>G2</f>
        <v>8</v>
      </c>
      <c r="L2" s="1104">
        <v>2</v>
      </c>
      <c r="M2" s="1104">
        <f>K2-L2</f>
        <v>6</v>
      </c>
      <c r="N2" s="1104">
        <v>0</v>
      </c>
      <c r="O2" s="1104"/>
      <c r="P2" s="1104"/>
      <c r="Q2" s="1104"/>
      <c r="R2" s="1104" t="s">
        <v>823</v>
      </c>
      <c r="S2" s="1105"/>
      <c r="T2" s="1106">
        <v>7</v>
      </c>
      <c r="U2" s="1106">
        <v>1</v>
      </c>
      <c r="V2" s="1107">
        <v>0</v>
      </c>
      <c r="W2" s="1104"/>
    </row>
    <row r="3" spans="1:23" s="1108" customFormat="1" ht="19.95" customHeight="1" x14ac:dyDescent="0.3">
      <c r="A3" s="1104">
        <f>A2+1</f>
        <v>2</v>
      </c>
      <c r="B3" s="1104" t="str">
        <f>C2</f>
        <v>AP49</v>
      </c>
      <c r="C3" s="1104" t="s">
        <v>824</v>
      </c>
      <c r="D3" s="1104" t="s">
        <v>960</v>
      </c>
      <c r="E3" s="1104">
        <v>4.5819999999999999</v>
      </c>
      <c r="F3" s="1104" t="s">
        <v>828</v>
      </c>
      <c r="G3" s="1104">
        <v>12</v>
      </c>
      <c r="H3" s="1104">
        <v>9</v>
      </c>
      <c r="I3" s="1104">
        <f t="shared" ref="I3:I66" si="0">G3-H3</f>
        <v>3</v>
      </c>
      <c r="J3" s="1104">
        <v>3</v>
      </c>
      <c r="K3" s="1104">
        <f t="shared" ref="K3:K66" si="1">G3</f>
        <v>12</v>
      </c>
      <c r="L3" s="1104">
        <v>6</v>
      </c>
      <c r="M3" s="1104">
        <f t="shared" ref="M3:M66" si="2">K3-L3</f>
        <v>6</v>
      </c>
      <c r="N3" s="1104">
        <v>2</v>
      </c>
      <c r="O3" s="1104"/>
      <c r="P3" s="1104"/>
      <c r="Q3" s="1104"/>
      <c r="R3" s="1104" t="s">
        <v>823</v>
      </c>
      <c r="S3" s="1105"/>
      <c r="T3" s="1106">
        <v>2</v>
      </c>
      <c r="U3" s="1107">
        <v>0</v>
      </c>
      <c r="V3" s="1107">
        <v>0</v>
      </c>
      <c r="W3" s="1104"/>
    </row>
    <row r="4" spans="1:23" s="1108" customFormat="1" ht="19.5" customHeight="1" x14ac:dyDescent="0.3">
      <c r="A4" s="1104">
        <f t="shared" ref="A4:A67" si="3">A3+1</f>
        <v>3</v>
      </c>
      <c r="B4" s="1104" t="str">
        <f>C3</f>
        <v>AP50</v>
      </c>
      <c r="C4" s="1104" t="s">
        <v>825</v>
      </c>
      <c r="D4" s="1104" t="s">
        <v>961</v>
      </c>
      <c r="E4" s="1104">
        <v>1.5189999999999999</v>
      </c>
      <c r="F4" s="1104" t="s">
        <v>828</v>
      </c>
      <c r="G4" s="1104">
        <v>4</v>
      </c>
      <c r="H4" s="1104">
        <v>4</v>
      </c>
      <c r="I4" s="1104">
        <f t="shared" si="0"/>
        <v>0</v>
      </c>
      <c r="J4" s="1104">
        <v>0</v>
      </c>
      <c r="K4" s="1104">
        <f t="shared" si="1"/>
        <v>4</v>
      </c>
      <c r="L4" s="1104">
        <v>3</v>
      </c>
      <c r="M4" s="1104">
        <f t="shared" si="2"/>
        <v>1</v>
      </c>
      <c r="N4" s="1104">
        <v>0</v>
      </c>
      <c r="O4" s="1104"/>
      <c r="P4" s="1104"/>
      <c r="Q4" s="1104"/>
      <c r="R4" s="1104" t="s">
        <v>823</v>
      </c>
      <c r="S4" s="1105"/>
      <c r="T4" s="1106">
        <v>1</v>
      </c>
      <c r="U4" s="1106">
        <v>2</v>
      </c>
      <c r="V4" s="1107">
        <v>0</v>
      </c>
      <c r="W4" s="1104"/>
    </row>
    <row r="5" spans="1:23" s="1108" customFormat="1" ht="19.95" customHeight="1" x14ac:dyDescent="0.3">
      <c r="A5" s="1104">
        <f t="shared" si="3"/>
        <v>4</v>
      </c>
      <c r="B5" s="1104" t="str">
        <f t="shared" ref="B5:B68" si="4">C4</f>
        <v>AP51</v>
      </c>
      <c r="C5" s="1104" t="s">
        <v>826</v>
      </c>
      <c r="D5" s="1104" t="s">
        <v>962</v>
      </c>
      <c r="E5" s="1104">
        <v>4.3010000000000002</v>
      </c>
      <c r="F5" s="1104" t="s">
        <v>828</v>
      </c>
      <c r="G5" s="1104">
        <v>11</v>
      </c>
      <c r="H5" s="1104">
        <v>11</v>
      </c>
      <c r="I5" s="1104">
        <f t="shared" si="0"/>
        <v>0</v>
      </c>
      <c r="J5" s="1104">
        <v>0</v>
      </c>
      <c r="K5" s="1104">
        <f t="shared" si="1"/>
        <v>11</v>
      </c>
      <c r="L5" s="1104">
        <v>8</v>
      </c>
      <c r="M5" s="1104">
        <f t="shared" si="2"/>
        <v>3</v>
      </c>
      <c r="N5" s="1104">
        <v>0</v>
      </c>
      <c r="O5" s="1104"/>
      <c r="P5" s="1104"/>
      <c r="Q5" s="1104"/>
      <c r="R5" s="1104" t="s">
        <v>823</v>
      </c>
      <c r="S5" s="1105"/>
      <c r="T5" s="1106">
        <v>5</v>
      </c>
      <c r="U5" s="1106">
        <v>9</v>
      </c>
      <c r="V5" s="1106">
        <v>1</v>
      </c>
      <c r="W5" s="1104"/>
    </row>
    <row r="6" spans="1:23" s="1108" customFormat="1" ht="19.95" customHeight="1" x14ac:dyDescent="0.3">
      <c r="A6" s="1104">
        <f t="shared" si="3"/>
        <v>5</v>
      </c>
      <c r="B6" s="1104" t="str">
        <f t="shared" si="4"/>
        <v>AP52</v>
      </c>
      <c r="C6" s="1104" t="s">
        <v>827</v>
      </c>
      <c r="D6" s="1104" t="s">
        <v>963</v>
      </c>
      <c r="E6" s="1104">
        <v>1.9970000000000001</v>
      </c>
      <c r="F6" s="1104" t="s">
        <v>828</v>
      </c>
      <c r="G6" s="1104">
        <v>5</v>
      </c>
      <c r="H6" s="1104">
        <v>5</v>
      </c>
      <c r="I6" s="1104">
        <f t="shared" si="0"/>
        <v>0</v>
      </c>
      <c r="J6" s="1104">
        <v>0</v>
      </c>
      <c r="K6" s="1104">
        <f t="shared" si="1"/>
        <v>5</v>
      </c>
      <c r="L6" s="1104">
        <v>3</v>
      </c>
      <c r="M6" s="1104">
        <f t="shared" si="2"/>
        <v>2</v>
      </c>
      <c r="N6" s="1104">
        <v>0</v>
      </c>
      <c r="O6" s="1104"/>
      <c r="P6" s="1104"/>
      <c r="Q6" s="1104"/>
      <c r="R6" s="1104" t="s">
        <v>823</v>
      </c>
      <c r="S6" s="1105"/>
      <c r="T6" s="1106">
        <v>6</v>
      </c>
      <c r="U6" s="1106">
        <v>2</v>
      </c>
      <c r="V6" s="1107">
        <v>0</v>
      </c>
      <c r="W6" s="1104"/>
    </row>
    <row r="7" spans="1:23" s="1108" customFormat="1" ht="19.95" customHeight="1" x14ac:dyDescent="0.3">
      <c r="A7" s="1104">
        <f t="shared" si="3"/>
        <v>6</v>
      </c>
      <c r="B7" s="1104" t="str">
        <f t="shared" si="4"/>
        <v>AP53</v>
      </c>
      <c r="C7" s="1104" t="s">
        <v>503</v>
      </c>
      <c r="D7" s="1104" t="s">
        <v>964</v>
      </c>
      <c r="E7" s="1104">
        <v>2.7610000000000001</v>
      </c>
      <c r="F7" s="1104" t="s">
        <v>828</v>
      </c>
      <c r="G7" s="1104">
        <v>7</v>
      </c>
      <c r="H7" s="1104">
        <v>7</v>
      </c>
      <c r="I7" s="1104">
        <f t="shared" si="0"/>
        <v>0</v>
      </c>
      <c r="J7" s="1104">
        <v>0</v>
      </c>
      <c r="K7" s="1104">
        <f t="shared" si="1"/>
        <v>7</v>
      </c>
      <c r="L7" s="1104">
        <v>5</v>
      </c>
      <c r="M7" s="1104">
        <f t="shared" si="2"/>
        <v>2</v>
      </c>
      <c r="N7" s="1104">
        <v>0</v>
      </c>
      <c r="O7" s="1104"/>
      <c r="P7" s="1104"/>
      <c r="Q7" s="1104"/>
      <c r="R7" s="1104" t="s">
        <v>823</v>
      </c>
      <c r="S7" s="1105"/>
      <c r="T7" s="1106">
        <v>1</v>
      </c>
      <c r="U7" s="1106">
        <v>1</v>
      </c>
      <c r="V7" s="1106">
        <v>1</v>
      </c>
      <c r="W7" s="1104"/>
    </row>
    <row r="8" spans="1:23" s="1108" customFormat="1" ht="19.95" customHeight="1" x14ac:dyDescent="0.3">
      <c r="A8" s="1104">
        <f t="shared" si="3"/>
        <v>7</v>
      </c>
      <c r="B8" s="1104" t="str">
        <f t="shared" si="4"/>
        <v>AP54</v>
      </c>
      <c r="C8" s="1104" t="s">
        <v>504</v>
      </c>
      <c r="D8" s="1104" t="s">
        <v>965</v>
      </c>
      <c r="E8" s="1109">
        <v>0.23</v>
      </c>
      <c r="F8" s="1104" t="s">
        <v>822</v>
      </c>
      <c r="G8" s="1104">
        <v>1</v>
      </c>
      <c r="H8" s="1104">
        <v>1</v>
      </c>
      <c r="I8" s="1104">
        <f t="shared" si="0"/>
        <v>0</v>
      </c>
      <c r="J8" s="1104">
        <v>0</v>
      </c>
      <c r="K8" s="1104">
        <f t="shared" si="1"/>
        <v>1</v>
      </c>
      <c r="L8" s="1104">
        <v>0</v>
      </c>
      <c r="M8" s="1104">
        <f t="shared" si="2"/>
        <v>1</v>
      </c>
      <c r="N8" s="1104">
        <v>1</v>
      </c>
      <c r="O8" s="1104"/>
      <c r="P8" s="1104"/>
      <c r="Q8" s="1104"/>
      <c r="R8" s="1104" t="s">
        <v>823</v>
      </c>
      <c r="S8" s="1105" t="s">
        <v>966</v>
      </c>
      <c r="T8" s="1107">
        <v>0</v>
      </c>
      <c r="U8" s="1107">
        <v>0</v>
      </c>
      <c r="V8" s="1107">
        <v>0</v>
      </c>
      <c r="W8" s="1104"/>
    </row>
    <row r="9" spans="1:23" s="1108" customFormat="1" ht="19.95" customHeight="1" x14ac:dyDescent="0.3">
      <c r="A9" s="1104">
        <f t="shared" si="3"/>
        <v>8</v>
      </c>
      <c r="B9" s="1104" t="str">
        <f t="shared" si="4"/>
        <v>AP55</v>
      </c>
      <c r="C9" s="1104" t="s">
        <v>829</v>
      </c>
      <c r="D9" s="1104" t="s">
        <v>967</v>
      </c>
      <c r="E9" s="1104">
        <v>1.4530000000000001</v>
      </c>
      <c r="F9" s="1104" t="s">
        <v>828</v>
      </c>
      <c r="G9" s="1104">
        <v>4</v>
      </c>
      <c r="H9" s="1104">
        <v>2</v>
      </c>
      <c r="I9" s="1104">
        <f t="shared" si="0"/>
        <v>2</v>
      </c>
      <c r="J9" s="1104">
        <v>1</v>
      </c>
      <c r="K9" s="1104">
        <f t="shared" si="1"/>
        <v>4</v>
      </c>
      <c r="L9" s="1104">
        <v>2</v>
      </c>
      <c r="M9" s="1104">
        <f t="shared" si="2"/>
        <v>2</v>
      </c>
      <c r="N9" s="1104">
        <v>0</v>
      </c>
      <c r="O9" s="1104"/>
      <c r="P9" s="1104"/>
      <c r="Q9" s="1104"/>
      <c r="R9" s="1104" t="s">
        <v>823</v>
      </c>
      <c r="S9" s="1105"/>
      <c r="T9" s="1106">
        <v>1</v>
      </c>
      <c r="U9" s="1106">
        <v>1</v>
      </c>
      <c r="V9" s="1107">
        <v>0</v>
      </c>
      <c r="W9" s="1104"/>
    </row>
    <row r="10" spans="1:23" s="1108" customFormat="1" ht="19.95" customHeight="1" x14ac:dyDescent="0.3">
      <c r="A10" s="1104">
        <f t="shared" si="3"/>
        <v>9</v>
      </c>
      <c r="B10" s="1104" t="str">
        <f t="shared" si="4"/>
        <v>AP56</v>
      </c>
      <c r="C10" s="1104" t="s">
        <v>259</v>
      </c>
      <c r="D10" s="1104" t="s">
        <v>968</v>
      </c>
      <c r="E10" s="1104">
        <v>2.7570000000000001</v>
      </c>
      <c r="F10" s="1104" t="s">
        <v>828</v>
      </c>
      <c r="G10" s="1104">
        <v>7</v>
      </c>
      <c r="H10" s="1104">
        <v>7</v>
      </c>
      <c r="I10" s="1104">
        <f t="shared" si="0"/>
        <v>0</v>
      </c>
      <c r="J10" s="1104">
        <v>0</v>
      </c>
      <c r="K10" s="1104">
        <f t="shared" si="1"/>
        <v>7</v>
      </c>
      <c r="L10" s="1104">
        <v>6</v>
      </c>
      <c r="M10" s="1104">
        <f t="shared" si="2"/>
        <v>1</v>
      </c>
      <c r="N10" s="1104">
        <v>0</v>
      </c>
      <c r="O10" s="1104"/>
      <c r="P10" s="1104"/>
      <c r="Q10" s="1104"/>
      <c r="R10" s="1104" t="s">
        <v>823</v>
      </c>
      <c r="S10" s="1105"/>
      <c r="T10" s="1106">
        <v>3</v>
      </c>
      <c r="U10" s="1106">
        <v>5</v>
      </c>
      <c r="V10" s="1106">
        <v>1</v>
      </c>
      <c r="W10" s="1104"/>
    </row>
    <row r="11" spans="1:23" s="1108" customFormat="1" ht="19.95" customHeight="1" x14ac:dyDescent="0.3">
      <c r="A11" s="1104">
        <f t="shared" si="3"/>
        <v>10</v>
      </c>
      <c r="B11" s="1104" t="str">
        <f t="shared" si="4"/>
        <v>56/7</v>
      </c>
      <c r="C11" s="1104" t="s">
        <v>506</v>
      </c>
      <c r="D11" s="1104" t="s">
        <v>969</v>
      </c>
      <c r="E11" s="1104">
        <v>2.476</v>
      </c>
      <c r="F11" s="1104" t="s">
        <v>828</v>
      </c>
      <c r="G11" s="1104">
        <v>6</v>
      </c>
      <c r="H11" s="1104">
        <v>6</v>
      </c>
      <c r="I11" s="1104">
        <f t="shared" si="0"/>
        <v>0</v>
      </c>
      <c r="J11" s="1104">
        <v>0</v>
      </c>
      <c r="K11" s="1104">
        <f t="shared" si="1"/>
        <v>6</v>
      </c>
      <c r="L11" s="1104">
        <v>6</v>
      </c>
      <c r="M11" s="1104">
        <f t="shared" si="2"/>
        <v>0</v>
      </c>
      <c r="N11" s="1104">
        <v>0</v>
      </c>
      <c r="O11" s="1104"/>
      <c r="P11" s="1104"/>
      <c r="Q11" s="1104"/>
      <c r="R11" s="1104" t="s">
        <v>823</v>
      </c>
      <c r="S11" s="1105"/>
      <c r="T11" s="1106">
        <v>2</v>
      </c>
      <c r="U11" s="1107">
        <v>0</v>
      </c>
      <c r="V11" s="1107">
        <v>0</v>
      </c>
      <c r="W11" s="1104"/>
    </row>
    <row r="12" spans="1:23" s="1108" customFormat="1" ht="19.95" customHeight="1" x14ac:dyDescent="0.3">
      <c r="A12" s="1104">
        <f t="shared" si="3"/>
        <v>11</v>
      </c>
      <c r="B12" s="1104" t="str">
        <f t="shared" si="4"/>
        <v>AP57</v>
      </c>
      <c r="C12" s="1104" t="s">
        <v>507</v>
      </c>
      <c r="D12" s="1104" t="s">
        <v>970</v>
      </c>
      <c r="E12" s="1104">
        <v>0.215</v>
      </c>
      <c r="F12" s="1104" t="s">
        <v>822</v>
      </c>
      <c r="G12" s="1104">
        <v>1</v>
      </c>
      <c r="H12" s="1104">
        <v>1</v>
      </c>
      <c r="I12" s="1104">
        <f t="shared" si="0"/>
        <v>0</v>
      </c>
      <c r="J12" s="1104">
        <v>0</v>
      </c>
      <c r="K12" s="1104">
        <f t="shared" si="1"/>
        <v>1</v>
      </c>
      <c r="L12" s="1104">
        <v>1</v>
      </c>
      <c r="M12" s="1110">
        <v>1</v>
      </c>
      <c r="N12" s="1104">
        <v>1</v>
      </c>
      <c r="O12" s="1104"/>
      <c r="P12" s="1104"/>
      <c r="Q12" s="1104"/>
      <c r="R12" s="1104" t="s">
        <v>823</v>
      </c>
      <c r="S12" s="1105" t="s">
        <v>971</v>
      </c>
      <c r="T12" s="1107">
        <v>0</v>
      </c>
      <c r="U12" s="1107">
        <v>0</v>
      </c>
      <c r="V12" s="1107">
        <v>0</v>
      </c>
      <c r="W12" s="1104"/>
    </row>
    <row r="13" spans="1:23" s="1108" customFormat="1" ht="19.95" customHeight="1" x14ac:dyDescent="0.3">
      <c r="A13" s="1104">
        <f t="shared" si="3"/>
        <v>12</v>
      </c>
      <c r="B13" s="1104" t="str">
        <f t="shared" si="4"/>
        <v>AP58</v>
      </c>
      <c r="C13" s="1104" t="s">
        <v>830</v>
      </c>
      <c r="D13" s="1104" t="s">
        <v>972</v>
      </c>
      <c r="E13" s="1104">
        <v>1.5880000000000001</v>
      </c>
      <c r="F13" s="1104" t="s">
        <v>828</v>
      </c>
      <c r="G13" s="1104">
        <v>4</v>
      </c>
      <c r="H13" s="1104">
        <v>4</v>
      </c>
      <c r="I13" s="1104">
        <f t="shared" si="0"/>
        <v>0</v>
      </c>
      <c r="J13" s="1104">
        <v>0</v>
      </c>
      <c r="K13" s="1104">
        <f t="shared" si="1"/>
        <v>4</v>
      </c>
      <c r="L13" s="1104">
        <v>3</v>
      </c>
      <c r="M13" s="1104">
        <f t="shared" si="2"/>
        <v>1</v>
      </c>
      <c r="N13" s="1104">
        <v>0</v>
      </c>
      <c r="O13" s="1104"/>
      <c r="P13" s="1104"/>
      <c r="Q13" s="1104"/>
      <c r="R13" s="1104" t="s">
        <v>823</v>
      </c>
      <c r="S13" s="1105"/>
      <c r="T13" s="1107">
        <v>0</v>
      </c>
      <c r="U13" s="1106">
        <v>2</v>
      </c>
      <c r="V13" s="1107">
        <v>0</v>
      </c>
      <c r="W13" s="1104"/>
    </row>
    <row r="14" spans="1:23" s="1108" customFormat="1" ht="19.95" customHeight="1" x14ac:dyDescent="0.3">
      <c r="A14" s="1104">
        <f t="shared" si="3"/>
        <v>13</v>
      </c>
      <c r="B14" s="1104" t="str">
        <f t="shared" si="4"/>
        <v>AP59</v>
      </c>
      <c r="C14" s="1104" t="s">
        <v>831</v>
      </c>
      <c r="D14" s="1104" t="s">
        <v>973</v>
      </c>
      <c r="E14" s="1104">
        <v>2.3159999999999998</v>
      </c>
      <c r="F14" s="1104" t="s">
        <v>828</v>
      </c>
      <c r="G14" s="1104">
        <v>6</v>
      </c>
      <c r="H14" s="1104">
        <v>5</v>
      </c>
      <c r="I14" s="1104">
        <f t="shared" si="0"/>
        <v>1</v>
      </c>
      <c r="J14" s="1104">
        <v>0</v>
      </c>
      <c r="K14" s="1104">
        <f t="shared" si="1"/>
        <v>6</v>
      </c>
      <c r="L14" s="1104">
        <v>5</v>
      </c>
      <c r="M14" s="1104">
        <f t="shared" si="2"/>
        <v>1</v>
      </c>
      <c r="N14" s="1104">
        <v>0</v>
      </c>
      <c r="O14" s="1104"/>
      <c r="P14" s="1104"/>
      <c r="Q14" s="1104"/>
      <c r="R14" s="1104" t="s">
        <v>823</v>
      </c>
      <c r="S14" s="1105"/>
      <c r="T14" s="1106">
        <v>5</v>
      </c>
      <c r="U14" s="1106">
        <v>1</v>
      </c>
      <c r="V14" s="1107">
        <v>0</v>
      </c>
      <c r="W14" s="1104"/>
    </row>
    <row r="15" spans="1:23" s="1108" customFormat="1" ht="19.95" customHeight="1" x14ac:dyDescent="0.3">
      <c r="A15" s="1104">
        <f t="shared" si="3"/>
        <v>14</v>
      </c>
      <c r="B15" s="1104" t="str">
        <f t="shared" si="4"/>
        <v>AP60</v>
      </c>
      <c r="C15" s="1104" t="s">
        <v>279</v>
      </c>
      <c r="D15" s="1104" t="s">
        <v>974</v>
      </c>
      <c r="E15" s="1104">
        <v>1.9870000000000001</v>
      </c>
      <c r="F15" s="1104" t="s">
        <v>828</v>
      </c>
      <c r="G15" s="1104">
        <v>5</v>
      </c>
      <c r="H15" s="1104">
        <v>4</v>
      </c>
      <c r="I15" s="1104">
        <f t="shared" si="0"/>
        <v>1</v>
      </c>
      <c r="J15" s="1104">
        <v>0</v>
      </c>
      <c r="K15" s="1104">
        <f t="shared" si="1"/>
        <v>5</v>
      </c>
      <c r="L15" s="1104">
        <v>3</v>
      </c>
      <c r="M15" s="1104">
        <f t="shared" si="2"/>
        <v>2</v>
      </c>
      <c r="N15" s="1104">
        <v>0</v>
      </c>
      <c r="O15" s="1104"/>
      <c r="P15" s="1104"/>
      <c r="Q15" s="1104"/>
      <c r="R15" s="1104" t="s">
        <v>823</v>
      </c>
      <c r="S15" s="1105"/>
      <c r="T15" s="1106">
        <v>4</v>
      </c>
      <c r="U15" s="1106">
        <v>2</v>
      </c>
      <c r="V15" s="1107">
        <v>0</v>
      </c>
      <c r="W15" s="1104"/>
    </row>
    <row r="16" spans="1:23" s="1108" customFormat="1" ht="19.95" customHeight="1" x14ac:dyDescent="0.3">
      <c r="A16" s="1104">
        <f t="shared" si="3"/>
        <v>15</v>
      </c>
      <c r="B16" s="1104" t="str">
        <f t="shared" si="4"/>
        <v>60/5</v>
      </c>
      <c r="C16" s="1104" t="s">
        <v>280</v>
      </c>
      <c r="D16" s="1104" t="s">
        <v>975</v>
      </c>
      <c r="E16" s="1109">
        <v>0.48</v>
      </c>
      <c r="F16" s="1104" t="s">
        <v>822</v>
      </c>
      <c r="G16" s="1104">
        <v>1</v>
      </c>
      <c r="H16" s="1104">
        <v>0</v>
      </c>
      <c r="I16" s="1104">
        <f t="shared" si="0"/>
        <v>1</v>
      </c>
      <c r="J16" s="1104">
        <v>0</v>
      </c>
      <c r="K16" s="1104">
        <f t="shared" si="1"/>
        <v>1</v>
      </c>
      <c r="L16" s="1104">
        <v>0</v>
      </c>
      <c r="M16" s="1104">
        <f t="shared" si="2"/>
        <v>1</v>
      </c>
      <c r="N16" s="1104">
        <v>0</v>
      </c>
      <c r="O16" s="1104"/>
      <c r="P16" s="1104"/>
      <c r="Q16" s="1104"/>
      <c r="R16" s="1104" t="s">
        <v>823</v>
      </c>
      <c r="S16" s="1105"/>
      <c r="T16" s="1106">
        <v>2</v>
      </c>
      <c r="U16" s="1106">
        <v>2</v>
      </c>
      <c r="V16" s="1107">
        <v>0</v>
      </c>
      <c r="W16" s="1104"/>
    </row>
    <row r="17" spans="1:23" s="1108" customFormat="1" ht="19.95" customHeight="1" x14ac:dyDescent="0.3">
      <c r="A17" s="1104">
        <f t="shared" si="3"/>
        <v>16</v>
      </c>
      <c r="B17" s="1104" t="str">
        <f t="shared" si="4"/>
        <v>60/6</v>
      </c>
      <c r="C17" s="1104" t="s">
        <v>281</v>
      </c>
      <c r="D17" s="1104" t="s">
        <v>976</v>
      </c>
      <c r="E17" s="1109">
        <v>0.53500000000000003</v>
      </c>
      <c r="F17" s="1104" t="s">
        <v>822</v>
      </c>
      <c r="G17" s="1104">
        <v>1</v>
      </c>
      <c r="H17" s="1104">
        <v>0</v>
      </c>
      <c r="I17" s="1104">
        <f t="shared" si="0"/>
        <v>1</v>
      </c>
      <c r="J17" s="1104">
        <v>0</v>
      </c>
      <c r="K17" s="1104">
        <f t="shared" si="1"/>
        <v>1</v>
      </c>
      <c r="L17" s="1104">
        <v>0</v>
      </c>
      <c r="M17" s="1104">
        <f t="shared" si="2"/>
        <v>1</v>
      </c>
      <c r="N17" s="1104">
        <v>0</v>
      </c>
      <c r="O17" s="1104"/>
      <c r="P17" s="1104"/>
      <c r="Q17" s="1104"/>
      <c r="R17" s="1104" t="s">
        <v>823</v>
      </c>
      <c r="S17" s="1105"/>
      <c r="T17" s="1107">
        <v>0</v>
      </c>
      <c r="U17" s="1106">
        <v>1</v>
      </c>
      <c r="V17" s="1107">
        <v>0</v>
      </c>
      <c r="W17" s="1104"/>
    </row>
    <row r="18" spans="1:23" s="1108" customFormat="1" ht="19.95" customHeight="1" x14ac:dyDescent="0.3">
      <c r="A18" s="1104">
        <f t="shared" si="3"/>
        <v>17</v>
      </c>
      <c r="B18" s="1104" t="str">
        <f t="shared" si="4"/>
        <v>60/7</v>
      </c>
      <c r="C18" s="1104" t="s">
        <v>510</v>
      </c>
      <c r="D18" s="1104" t="s">
        <v>977</v>
      </c>
      <c r="E18" s="1104">
        <v>0.84299999999999997</v>
      </c>
      <c r="F18" s="1104" t="s">
        <v>822</v>
      </c>
      <c r="G18" s="1104">
        <v>2</v>
      </c>
      <c r="H18" s="1104">
        <v>1</v>
      </c>
      <c r="I18" s="1104">
        <f t="shared" si="0"/>
        <v>1</v>
      </c>
      <c r="J18" s="1104">
        <v>1</v>
      </c>
      <c r="K18" s="1104">
        <f t="shared" si="1"/>
        <v>2</v>
      </c>
      <c r="L18" s="1104">
        <v>0</v>
      </c>
      <c r="M18" s="1104">
        <f t="shared" si="2"/>
        <v>2</v>
      </c>
      <c r="N18" s="1104">
        <v>0</v>
      </c>
      <c r="O18" s="1104"/>
      <c r="P18" s="1104"/>
      <c r="Q18" s="1104"/>
      <c r="R18" s="1104" t="s">
        <v>823</v>
      </c>
      <c r="S18" s="1105"/>
      <c r="T18" s="1106">
        <v>3</v>
      </c>
      <c r="U18" s="1106">
        <v>1</v>
      </c>
      <c r="V18" s="1107">
        <v>0</v>
      </c>
      <c r="W18" s="1104"/>
    </row>
    <row r="19" spans="1:23" s="1108" customFormat="1" ht="19.95" customHeight="1" x14ac:dyDescent="0.3">
      <c r="A19" s="1104">
        <f t="shared" si="3"/>
        <v>18</v>
      </c>
      <c r="B19" s="1104" t="str">
        <f t="shared" si="4"/>
        <v>AP61</v>
      </c>
      <c r="C19" s="1104" t="s">
        <v>511</v>
      </c>
      <c r="D19" s="1104" t="s">
        <v>978</v>
      </c>
      <c r="E19" s="1104">
        <v>0.247</v>
      </c>
      <c r="F19" s="1104" t="s">
        <v>822</v>
      </c>
      <c r="G19" s="1104">
        <v>1</v>
      </c>
      <c r="H19" s="1104">
        <v>0</v>
      </c>
      <c r="I19" s="1104">
        <f t="shared" si="0"/>
        <v>1</v>
      </c>
      <c r="J19" s="1104">
        <v>0</v>
      </c>
      <c r="K19" s="1104">
        <f t="shared" si="1"/>
        <v>1</v>
      </c>
      <c r="L19" s="1104">
        <v>0</v>
      </c>
      <c r="M19" s="1104">
        <f t="shared" si="2"/>
        <v>1</v>
      </c>
      <c r="N19" s="1104">
        <v>0</v>
      </c>
      <c r="O19" s="1104"/>
      <c r="P19" s="1104"/>
      <c r="Q19" s="1104"/>
      <c r="R19" s="1104" t="s">
        <v>823</v>
      </c>
      <c r="S19" s="1105" t="s">
        <v>979</v>
      </c>
      <c r="T19" s="1107">
        <v>0</v>
      </c>
      <c r="U19" s="1107">
        <v>0</v>
      </c>
      <c r="V19" s="1106">
        <v>2</v>
      </c>
      <c r="W19" s="1104"/>
    </row>
    <row r="20" spans="1:23" s="1108" customFormat="1" ht="19.95" customHeight="1" x14ac:dyDescent="0.3">
      <c r="A20" s="1104">
        <f t="shared" si="3"/>
        <v>19</v>
      </c>
      <c r="B20" s="1104" t="str">
        <f t="shared" si="4"/>
        <v>AP62</v>
      </c>
      <c r="C20" s="1104" t="s">
        <v>832</v>
      </c>
      <c r="D20" s="1104" t="s">
        <v>980</v>
      </c>
      <c r="E20" s="1104">
        <v>1.82</v>
      </c>
      <c r="F20" s="1104" t="s">
        <v>828</v>
      </c>
      <c r="G20" s="1104">
        <v>5</v>
      </c>
      <c r="H20" s="1104">
        <v>0</v>
      </c>
      <c r="I20" s="1104">
        <f t="shared" si="0"/>
        <v>5</v>
      </c>
      <c r="J20" s="1104">
        <v>0</v>
      </c>
      <c r="K20" s="1104">
        <f t="shared" si="1"/>
        <v>5</v>
      </c>
      <c r="L20" s="1104">
        <v>0</v>
      </c>
      <c r="M20" s="1104">
        <f t="shared" si="2"/>
        <v>5</v>
      </c>
      <c r="N20" s="1104">
        <v>0</v>
      </c>
      <c r="O20" s="1104"/>
      <c r="P20" s="1104"/>
      <c r="Q20" s="1104"/>
      <c r="R20" s="1104" t="s">
        <v>823</v>
      </c>
      <c r="S20" s="1105"/>
      <c r="T20" s="1106">
        <v>1</v>
      </c>
      <c r="U20" s="1106">
        <v>1</v>
      </c>
      <c r="V20" s="1106"/>
      <c r="W20" s="1104"/>
    </row>
    <row r="21" spans="1:23" s="1108" customFormat="1" ht="19.95" customHeight="1" x14ac:dyDescent="0.3">
      <c r="A21" s="1104">
        <f t="shared" si="3"/>
        <v>20</v>
      </c>
      <c r="B21" s="1104" t="str">
        <f t="shared" si="4"/>
        <v>AP63</v>
      </c>
      <c r="C21" s="1104" t="s">
        <v>833</v>
      </c>
      <c r="D21" s="1104" t="s">
        <v>981</v>
      </c>
      <c r="E21" s="1104">
        <v>1.6120000000000001</v>
      </c>
      <c r="F21" s="1104" t="s">
        <v>828</v>
      </c>
      <c r="G21" s="1104">
        <v>4</v>
      </c>
      <c r="H21" s="1104">
        <v>2</v>
      </c>
      <c r="I21" s="1104">
        <f t="shared" si="0"/>
        <v>2</v>
      </c>
      <c r="J21" s="1104">
        <v>1</v>
      </c>
      <c r="K21" s="1104">
        <f t="shared" si="1"/>
        <v>4</v>
      </c>
      <c r="L21" s="1104">
        <v>0</v>
      </c>
      <c r="M21" s="1104">
        <f t="shared" si="2"/>
        <v>4</v>
      </c>
      <c r="N21" s="1104">
        <v>0</v>
      </c>
      <c r="O21" s="1104"/>
      <c r="P21" s="1104"/>
      <c r="Q21" s="1104"/>
      <c r="R21" s="1104" t="s">
        <v>823</v>
      </c>
      <c r="S21" s="1105"/>
      <c r="T21" s="1106">
        <v>2</v>
      </c>
      <c r="U21" s="1106">
        <v>1</v>
      </c>
      <c r="V21" s="1107">
        <v>0</v>
      </c>
      <c r="W21" s="1104"/>
    </row>
    <row r="22" spans="1:23" s="1108" customFormat="1" ht="19.95" customHeight="1" x14ac:dyDescent="0.3">
      <c r="A22" s="1104">
        <f t="shared" si="3"/>
        <v>21</v>
      </c>
      <c r="B22" s="1104" t="str">
        <f t="shared" si="4"/>
        <v>AP64</v>
      </c>
      <c r="C22" s="1104" t="s">
        <v>834</v>
      </c>
      <c r="D22" s="1104" t="s">
        <v>982</v>
      </c>
      <c r="E22" s="1104">
        <v>0.439</v>
      </c>
      <c r="F22" s="1104" t="s">
        <v>822</v>
      </c>
      <c r="G22" s="1104">
        <v>1</v>
      </c>
      <c r="H22" s="1104">
        <v>0</v>
      </c>
      <c r="I22" s="1104">
        <f t="shared" si="0"/>
        <v>1</v>
      </c>
      <c r="J22" s="1104">
        <v>0</v>
      </c>
      <c r="K22" s="1104">
        <f t="shared" si="1"/>
        <v>1</v>
      </c>
      <c r="L22" s="1104">
        <v>0</v>
      </c>
      <c r="M22" s="1104">
        <f t="shared" si="2"/>
        <v>1</v>
      </c>
      <c r="N22" s="1104">
        <v>0</v>
      </c>
      <c r="O22" s="1104"/>
      <c r="P22" s="1104"/>
      <c r="Q22" s="1104"/>
      <c r="R22" s="1104" t="s">
        <v>823</v>
      </c>
      <c r="S22" s="1105"/>
      <c r="T22" s="1106">
        <v>1</v>
      </c>
      <c r="U22" s="1107">
        <v>0</v>
      </c>
      <c r="V22" s="1107">
        <v>0</v>
      </c>
      <c r="W22" s="1104"/>
    </row>
    <row r="23" spans="1:23" s="1108" customFormat="1" ht="19.95" customHeight="1" x14ac:dyDescent="0.3">
      <c r="A23" s="1104">
        <f t="shared" si="3"/>
        <v>22</v>
      </c>
      <c r="B23" s="1104" t="str">
        <f t="shared" si="4"/>
        <v>AP65</v>
      </c>
      <c r="C23" s="1104" t="s">
        <v>835</v>
      </c>
      <c r="D23" s="1104" t="s">
        <v>983</v>
      </c>
      <c r="E23" s="1104">
        <v>1.399</v>
      </c>
      <c r="F23" s="1104" t="s">
        <v>828</v>
      </c>
      <c r="G23" s="1104">
        <v>4</v>
      </c>
      <c r="H23" s="1104">
        <v>2</v>
      </c>
      <c r="I23" s="1104">
        <f t="shared" si="0"/>
        <v>2</v>
      </c>
      <c r="J23" s="1104">
        <v>0</v>
      </c>
      <c r="K23" s="1104">
        <f t="shared" si="1"/>
        <v>4</v>
      </c>
      <c r="L23" s="1104">
        <v>1</v>
      </c>
      <c r="M23" s="1104">
        <f t="shared" si="2"/>
        <v>3</v>
      </c>
      <c r="N23" s="1104">
        <v>0</v>
      </c>
      <c r="O23" s="1104"/>
      <c r="P23" s="1104"/>
      <c r="Q23" s="1104"/>
      <c r="R23" s="1104" t="s">
        <v>823</v>
      </c>
      <c r="S23" s="1105"/>
      <c r="T23" s="1106">
        <v>4</v>
      </c>
      <c r="U23" s="1106">
        <v>1</v>
      </c>
      <c r="V23" s="1107">
        <v>0</v>
      </c>
      <c r="W23" s="1104"/>
    </row>
    <row r="24" spans="1:23" s="1108" customFormat="1" ht="19.95" customHeight="1" x14ac:dyDescent="0.3">
      <c r="A24" s="1104">
        <f t="shared" si="3"/>
        <v>23</v>
      </c>
      <c r="B24" s="1104" t="str">
        <f t="shared" si="4"/>
        <v>AP66</v>
      </c>
      <c r="C24" s="1104" t="s">
        <v>296</v>
      </c>
      <c r="D24" s="1104" t="s">
        <v>984</v>
      </c>
      <c r="E24" s="1104">
        <v>0.42099999999999999</v>
      </c>
      <c r="F24" s="1104" t="s">
        <v>822</v>
      </c>
      <c r="G24" s="1104">
        <v>1</v>
      </c>
      <c r="H24" s="1104">
        <v>1</v>
      </c>
      <c r="I24" s="1104">
        <f t="shared" si="0"/>
        <v>0</v>
      </c>
      <c r="J24" s="1104">
        <v>0</v>
      </c>
      <c r="K24" s="1104">
        <f t="shared" si="1"/>
        <v>1</v>
      </c>
      <c r="L24" s="1104">
        <v>1</v>
      </c>
      <c r="M24" s="1104">
        <f t="shared" si="2"/>
        <v>0</v>
      </c>
      <c r="N24" s="1104">
        <v>0</v>
      </c>
      <c r="O24" s="1104"/>
      <c r="P24" s="1104"/>
      <c r="Q24" s="1104"/>
      <c r="R24" s="1104" t="s">
        <v>823</v>
      </c>
      <c r="S24" s="1105"/>
      <c r="T24" s="1106">
        <v>1</v>
      </c>
      <c r="U24" s="1106">
        <v>2</v>
      </c>
      <c r="V24" s="1107">
        <v>0</v>
      </c>
      <c r="W24" s="1104"/>
    </row>
    <row r="25" spans="1:23" s="1108" customFormat="1" ht="19.95" customHeight="1" x14ac:dyDescent="0.3">
      <c r="A25" s="1104">
        <f t="shared" si="3"/>
        <v>24</v>
      </c>
      <c r="B25" s="1104" t="str">
        <f t="shared" si="4"/>
        <v>66/1</v>
      </c>
      <c r="C25" s="1104" t="s">
        <v>836</v>
      </c>
      <c r="D25" s="1104" t="s">
        <v>985</v>
      </c>
      <c r="E25" s="1104">
        <v>0.46600000000000003</v>
      </c>
      <c r="F25" s="1104" t="s">
        <v>822</v>
      </c>
      <c r="G25" s="1104">
        <v>1</v>
      </c>
      <c r="H25" s="1104">
        <v>1</v>
      </c>
      <c r="I25" s="1104">
        <f t="shared" si="0"/>
        <v>0</v>
      </c>
      <c r="J25" s="1104">
        <v>0</v>
      </c>
      <c r="K25" s="1104">
        <f t="shared" si="1"/>
        <v>1</v>
      </c>
      <c r="L25" s="1104">
        <v>0</v>
      </c>
      <c r="M25" s="1104">
        <f t="shared" si="2"/>
        <v>1</v>
      </c>
      <c r="N25" s="1104">
        <v>0</v>
      </c>
      <c r="O25" s="1104"/>
      <c r="P25" s="1104"/>
      <c r="Q25" s="1104"/>
      <c r="R25" s="1104" t="s">
        <v>823</v>
      </c>
      <c r="S25" s="1105"/>
      <c r="T25" s="1106">
        <v>1</v>
      </c>
      <c r="U25" s="1107">
        <v>0</v>
      </c>
      <c r="V25" s="1107">
        <v>0</v>
      </c>
      <c r="W25" s="1104"/>
    </row>
    <row r="26" spans="1:23" s="1108" customFormat="1" ht="19.95" customHeight="1" x14ac:dyDescent="0.3">
      <c r="A26" s="1104">
        <f t="shared" si="3"/>
        <v>25</v>
      </c>
      <c r="B26" s="1104" t="str">
        <f t="shared" si="4"/>
        <v>AP67</v>
      </c>
      <c r="C26" s="1104" t="s">
        <v>837</v>
      </c>
      <c r="D26" s="1104" t="s">
        <v>986</v>
      </c>
      <c r="E26" s="1104">
        <v>1.841</v>
      </c>
      <c r="F26" s="1104" t="s">
        <v>828</v>
      </c>
      <c r="G26" s="1104">
        <v>5</v>
      </c>
      <c r="H26" s="1104">
        <v>2</v>
      </c>
      <c r="I26" s="1104">
        <f t="shared" si="0"/>
        <v>3</v>
      </c>
      <c r="J26" s="1104">
        <v>0</v>
      </c>
      <c r="K26" s="1104">
        <f t="shared" si="1"/>
        <v>5</v>
      </c>
      <c r="L26" s="1104">
        <v>2</v>
      </c>
      <c r="M26" s="1104">
        <f t="shared" si="2"/>
        <v>3</v>
      </c>
      <c r="N26" s="1104">
        <v>0</v>
      </c>
      <c r="O26" s="1104"/>
      <c r="P26" s="1104"/>
      <c r="Q26" s="1104"/>
      <c r="R26" s="1104" t="s">
        <v>823</v>
      </c>
      <c r="S26" s="1105"/>
      <c r="T26" s="1106">
        <v>2</v>
      </c>
      <c r="U26" s="1106">
        <v>1</v>
      </c>
      <c r="V26" s="1107">
        <v>0</v>
      </c>
      <c r="W26" s="1104"/>
    </row>
    <row r="27" spans="1:23" s="1108" customFormat="1" ht="19.95" customHeight="1" x14ac:dyDescent="0.3">
      <c r="A27" s="1104">
        <f t="shared" si="3"/>
        <v>26</v>
      </c>
      <c r="B27" s="1104" t="str">
        <f t="shared" si="4"/>
        <v>AP68</v>
      </c>
      <c r="C27" s="1104" t="s">
        <v>838</v>
      </c>
      <c r="D27" s="1104" t="s">
        <v>987</v>
      </c>
      <c r="E27" s="1104">
        <v>1.161</v>
      </c>
      <c r="F27" s="1104" t="s">
        <v>828</v>
      </c>
      <c r="G27" s="1104">
        <v>3</v>
      </c>
      <c r="H27" s="1104">
        <v>2</v>
      </c>
      <c r="I27" s="1104">
        <f t="shared" si="0"/>
        <v>1</v>
      </c>
      <c r="J27" s="1104">
        <v>0</v>
      </c>
      <c r="K27" s="1104">
        <f t="shared" si="1"/>
        <v>3</v>
      </c>
      <c r="L27" s="1104">
        <v>0</v>
      </c>
      <c r="M27" s="1104">
        <f t="shared" si="2"/>
        <v>3</v>
      </c>
      <c r="N27" s="1104">
        <v>0</v>
      </c>
      <c r="O27" s="1104"/>
      <c r="P27" s="1104"/>
      <c r="Q27" s="1104"/>
      <c r="R27" s="1104" t="s">
        <v>823</v>
      </c>
      <c r="S27" s="1105"/>
      <c r="T27" s="1106">
        <v>4</v>
      </c>
      <c r="U27" s="1106">
        <v>1</v>
      </c>
      <c r="V27" s="1107">
        <v>0</v>
      </c>
      <c r="W27" s="1104"/>
    </row>
    <row r="28" spans="1:23" s="1108" customFormat="1" ht="19.95" customHeight="1" x14ac:dyDescent="0.3">
      <c r="A28" s="1104">
        <f t="shared" si="3"/>
        <v>27</v>
      </c>
      <c r="B28" s="1104" t="str">
        <f t="shared" si="4"/>
        <v>AP69</v>
      </c>
      <c r="C28" s="1104" t="s">
        <v>839</v>
      </c>
      <c r="D28" s="1104" t="s">
        <v>988</v>
      </c>
      <c r="E28" s="1104">
        <v>1.262</v>
      </c>
      <c r="F28" s="1104" t="s">
        <v>828</v>
      </c>
      <c r="G28" s="1104">
        <v>3</v>
      </c>
      <c r="H28" s="1104">
        <v>3</v>
      </c>
      <c r="I28" s="1104">
        <f t="shared" si="0"/>
        <v>0</v>
      </c>
      <c r="J28" s="1104">
        <v>0</v>
      </c>
      <c r="K28" s="1104">
        <f t="shared" si="1"/>
        <v>3</v>
      </c>
      <c r="L28" s="1104">
        <v>2</v>
      </c>
      <c r="M28" s="1104">
        <f t="shared" si="2"/>
        <v>1</v>
      </c>
      <c r="N28" s="1104">
        <v>0</v>
      </c>
      <c r="O28" s="1104"/>
      <c r="P28" s="1104"/>
      <c r="Q28" s="1104"/>
      <c r="R28" s="1104" t="s">
        <v>823</v>
      </c>
      <c r="S28" s="1105"/>
      <c r="T28" s="1106">
        <v>2</v>
      </c>
      <c r="U28" s="1106">
        <v>1</v>
      </c>
      <c r="V28" s="1107">
        <v>0</v>
      </c>
      <c r="W28" s="1104"/>
    </row>
    <row r="29" spans="1:23" s="1108" customFormat="1" ht="19.95" customHeight="1" x14ac:dyDescent="0.3">
      <c r="A29" s="1104">
        <f t="shared" si="3"/>
        <v>28</v>
      </c>
      <c r="B29" s="1104" t="str">
        <f t="shared" si="4"/>
        <v>AP70</v>
      </c>
      <c r="C29" s="1104" t="s">
        <v>514</v>
      </c>
      <c r="D29" s="1104" t="s">
        <v>989</v>
      </c>
      <c r="E29" s="1104">
        <v>1.9670000000000001</v>
      </c>
      <c r="F29" s="1104" t="s">
        <v>828</v>
      </c>
      <c r="G29" s="1104">
        <v>5</v>
      </c>
      <c r="H29" s="1104">
        <v>4</v>
      </c>
      <c r="I29" s="1104">
        <f t="shared" si="0"/>
        <v>1</v>
      </c>
      <c r="J29" s="1104">
        <v>0</v>
      </c>
      <c r="K29" s="1104">
        <f t="shared" si="1"/>
        <v>5</v>
      </c>
      <c r="L29" s="1104">
        <v>2</v>
      </c>
      <c r="M29" s="1104">
        <f t="shared" si="2"/>
        <v>3</v>
      </c>
      <c r="N29" s="1104">
        <v>0</v>
      </c>
      <c r="O29" s="1104"/>
      <c r="P29" s="1104"/>
      <c r="Q29" s="1104"/>
      <c r="R29" s="1104" t="s">
        <v>990</v>
      </c>
      <c r="S29" s="1105"/>
      <c r="T29" s="1106">
        <v>3</v>
      </c>
      <c r="U29" s="1106">
        <v>2</v>
      </c>
      <c r="V29" s="1107">
        <v>0</v>
      </c>
      <c r="W29" s="1104"/>
    </row>
    <row r="30" spans="1:23" s="1108" customFormat="1" ht="19.95" customHeight="1" x14ac:dyDescent="0.3">
      <c r="A30" s="1104">
        <f t="shared" si="3"/>
        <v>29</v>
      </c>
      <c r="B30" s="1104" t="str">
        <f t="shared" si="4"/>
        <v>AP71</v>
      </c>
      <c r="C30" s="1104" t="s">
        <v>515</v>
      </c>
      <c r="D30" s="1104" t="s">
        <v>991</v>
      </c>
      <c r="E30" s="1104">
        <v>0.249</v>
      </c>
      <c r="F30" s="1104" t="s">
        <v>822</v>
      </c>
      <c r="G30" s="1104">
        <v>1</v>
      </c>
      <c r="H30" s="1104">
        <v>1</v>
      </c>
      <c r="I30" s="1104">
        <f t="shared" si="0"/>
        <v>0</v>
      </c>
      <c r="J30" s="1104">
        <v>0</v>
      </c>
      <c r="K30" s="1104">
        <f t="shared" si="1"/>
        <v>1</v>
      </c>
      <c r="L30" s="1104">
        <v>0</v>
      </c>
      <c r="M30" s="1104">
        <f>K30-L30</f>
        <v>1</v>
      </c>
      <c r="N30" s="1104">
        <v>0</v>
      </c>
      <c r="O30" s="1104"/>
      <c r="P30" s="1104"/>
      <c r="Q30" s="1104"/>
      <c r="R30" s="1104" t="s">
        <v>990</v>
      </c>
      <c r="S30" s="1105" t="s">
        <v>992</v>
      </c>
      <c r="T30" s="1107">
        <v>0</v>
      </c>
      <c r="U30" s="1106">
        <v>2</v>
      </c>
      <c r="V30" s="1107">
        <v>0</v>
      </c>
      <c r="W30" s="1104"/>
    </row>
    <row r="31" spans="1:23" s="1108" customFormat="1" ht="19.95" customHeight="1" x14ac:dyDescent="0.3">
      <c r="A31" s="1104">
        <f t="shared" si="3"/>
        <v>30</v>
      </c>
      <c r="B31" s="1104" t="str">
        <f t="shared" si="4"/>
        <v>AP72</v>
      </c>
      <c r="C31" s="1104" t="s">
        <v>840</v>
      </c>
      <c r="D31" s="1104" t="s">
        <v>993</v>
      </c>
      <c r="E31" s="1104">
        <v>0.82799999999999996</v>
      </c>
      <c r="F31" s="1104" t="s">
        <v>822</v>
      </c>
      <c r="G31" s="1104">
        <v>2</v>
      </c>
      <c r="H31" s="1104">
        <v>2</v>
      </c>
      <c r="I31" s="1104">
        <f t="shared" si="0"/>
        <v>0</v>
      </c>
      <c r="J31" s="1104">
        <v>0</v>
      </c>
      <c r="K31" s="1104">
        <f t="shared" si="1"/>
        <v>2</v>
      </c>
      <c r="L31" s="1104">
        <v>1</v>
      </c>
      <c r="M31" s="1104">
        <f t="shared" si="2"/>
        <v>1</v>
      </c>
      <c r="N31" s="1104">
        <v>1</v>
      </c>
      <c r="O31" s="1104"/>
      <c r="P31" s="1104"/>
      <c r="Q31" s="1104"/>
      <c r="R31" s="1104" t="s">
        <v>990</v>
      </c>
      <c r="S31" s="1105"/>
      <c r="T31" s="1106">
        <v>3</v>
      </c>
      <c r="U31" s="1106">
        <v>2</v>
      </c>
      <c r="V31" s="1107">
        <v>0</v>
      </c>
      <c r="W31" s="1104"/>
    </row>
    <row r="32" spans="1:23" s="1108" customFormat="1" ht="19.95" customHeight="1" x14ac:dyDescent="0.3">
      <c r="A32" s="1104">
        <f t="shared" si="3"/>
        <v>31</v>
      </c>
      <c r="B32" s="1104" t="str">
        <f t="shared" si="4"/>
        <v>AP73</v>
      </c>
      <c r="C32" s="1104" t="s">
        <v>517</v>
      </c>
      <c r="D32" s="1104" t="s">
        <v>994</v>
      </c>
      <c r="E32" s="1104">
        <v>1.2130000000000001</v>
      </c>
      <c r="F32" s="1104" t="s">
        <v>828</v>
      </c>
      <c r="G32" s="1104">
        <v>3</v>
      </c>
      <c r="H32" s="1104">
        <v>3</v>
      </c>
      <c r="I32" s="1104">
        <f t="shared" si="0"/>
        <v>0</v>
      </c>
      <c r="J32" s="1104">
        <v>0</v>
      </c>
      <c r="K32" s="1104">
        <f t="shared" si="1"/>
        <v>3</v>
      </c>
      <c r="L32" s="1104">
        <v>0</v>
      </c>
      <c r="M32" s="1104">
        <f t="shared" si="2"/>
        <v>3</v>
      </c>
      <c r="N32" s="1104">
        <v>0</v>
      </c>
      <c r="O32" s="1104"/>
      <c r="P32" s="1104"/>
      <c r="Q32" s="1104"/>
      <c r="R32" s="1104" t="s">
        <v>990</v>
      </c>
      <c r="S32" s="1105"/>
      <c r="T32" s="1106">
        <v>4</v>
      </c>
      <c r="U32" s="1106">
        <v>6</v>
      </c>
      <c r="V32" s="1107">
        <v>0</v>
      </c>
      <c r="W32" s="1104"/>
    </row>
    <row r="33" spans="1:23" s="1108" customFormat="1" ht="19.95" customHeight="1" x14ac:dyDescent="0.3">
      <c r="A33" s="1104">
        <f t="shared" si="3"/>
        <v>32</v>
      </c>
      <c r="B33" s="1104" t="str">
        <f t="shared" si="4"/>
        <v>AP74</v>
      </c>
      <c r="C33" s="1104" t="s">
        <v>518</v>
      </c>
      <c r="D33" s="1104" t="s">
        <v>995</v>
      </c>
      <c r="E33" s="1104">
        <v>0.25</v>
      </c>
      <c r="F33" s="1104" t="s">
        <v>822</v>
      </c>
      <c r="G33" s="1104">
        <v>1</v>
      </c>
      <c r="H33" s="1104">
        <v>0</v>
      </c>
      <c r="I33" s="1104">
        <f t="shared" si="0"/>
        <v>1</v>
      </c>
      <c r="J33" s="1104">
        <v>0</v>
      </c>
      <c r="K33" s="1104">
        <f t="shared" si="1"/>
        <v>1</v>
      </c>
      <c r="L33" s="1104">
        <v>0</v>
      </c>
      <c r="M33" s="1104">
        <f t="shared" si="2"/>
        <v>1</v>
      </c>
      <c r="N33" s="1104">
        <v>0</v>
      </c>
      <c r="O33" s="1104"/>
      <c r="P33" s="1104"/>
      <c r="Q33" s="1104"/>
      <c r="R33" s="1104" t="s">
        <v>990</v>
      </c>
      <c r="S33" s="1105" t="s">
        <v>979</v>
      </c>
      <c r="T33" s="1107">
        <v>0</v>
      </c>
      <c r="U33" s="1106">
        <v>2</v>
      </c>
      <c r="V33" s="1107">
        <v>0</v>
      </c>
      <c r="W33" s="1104"/>
    </row>
    <row r="34" spans="1:23" s="1108" customFormat="1" ht="19.95" customHeight="1" x14ac:dyDescent="0.3">
      <c r="A34" s="1104">
        <f t="shared" si="3"/>
        <v>33</v>
      </c>
      <c r="B34" s="1104" t="str">
        <f t="shared" si="4"/>
        <v>AP75</v>
      </c>
      <c r="C34" s="1104" t="s">
        <v>520</v>
      </c>
      <c r="D34" s="1104" t="s">
        <v>996</v>
      </c>
      <c r="E34" s="1104">
        <v>1.601</v>
      </c>
      <c r="F34" s="1104" t="s">
        <v>828</v>
      </c>
      <c r="G34" s="1104">
        <v>4</v>
      </c>
      <c r="H34" s="1104">
        <v>3</v>
      </c>
      <c r="I34" s="1104">
        <f t="shared" si="0"/>
        <v>1</v>
      </c>
      <c r="J34" s="1104">
        <v>0</v>
      </c>
      <c r="K34" s="1104">
        <f t="shared" si="1"/>
        <v>4</v>
      </c>
      <c r="L34" s="1104">
        <v>0</v>
      </c>
      <c r="M34" s="1104">
        <f t="shared" si="2"/>
        <v>4</v>
      </c>
      <c r="N34" s="1104">
        <v>0</v>
      </c>
      <c r="O34" s="1104"/>
      <c r="P34" s="1104"/>
      <c r="Q34" s="1104"/>
      <c r="R34" s="1104" t="s">
        <v>990</v>
      </c>
      <c r="S34" s="1105"/>
      <c r="T34" s="1106">
        <v>5</v>
      </c>
      <c r="U34" s="1106">
        <v>2</v>
      </c>
      <c r="V34" s="1107">
        <v>0</v>
      </c>
      <c r="W34" s="1104"/>
    </row>
    <row r="35" spans="1:23" s="1108" customFormat="1" ht="19.95" customHeight="1" x14ac:dyDescent="0.3">
      <c r="A35" s="1104">
        <f t="shared" si="3"/>
        <v>34</v>
      </c>
      <c r="B35" s="1104" t="str">
        <f t="shared" si="4"/>
        <v>AP76</v>
      </c>
      <c r="C35" s="1104" t="s">
        <v>521</v>
      </c>
      <c r="D35" s="1104" t="s">
        <v>997</v>
      </c>
      <c r="E35" s="1104">
        <v>0.20599999999999999</v>
      </c>
      <c r="F35" s="1104" t="s">
        <v>822</v>
      </c>
      <c r="G35" s="1104">
        <v>1</v>
      </c>
      <c r="H35" s="1104">
        <v>1</v>
      </c>
      <c r="I35" s="1104">
        <f t="shared" si="0"/>
        <v>0</v>
      </c>
      <c r="J35" s="1104">
        <v>0</v>
      </c>
      <c r="K35" s="1104">
        <f t="shared" si="1"/>
        <v>1</v>
      </c>
      <c r="L35" s="1104">
        <v>0</v>
      </c>
      <c r="M35" s="1104">
        <f t="shared" si="2"/>
        <v>1</v>
      </c>
      <c r="N35" s="1104">
        <v>0</v>
      </c>
      <c r="O35" s="1104"/>
      <c r="P35" s="1104"/>
      <c r="Q35" s="1104"/>
      <c r="R35" s="1104" t="s">
        <v>990</v>
      </c>
      <c r="S35" s="1105" t="s">
        <v>971</v>
      </c>
      <c r="T35" s="1106">
        <v>1</v>
      </c>
      <c r="U35" s="1107">
        <v>0</v>
      </c>
      <c r="V35" s="1107">
        <v>0</v>
      </c>
      <c r="W35" s="1104"/>
    </row>
    <row r="36" spans="1:23" s="1108" customFormat="1" ht="19.95" customHeight="1" x14ac:dyDescent="0.3">
      <c r="A36" s="1104">
        <f t="shared" si="3"/>
        <v>35</v>
      </c>
      <c r="B36" s="1104" t="str">
        <f t="shared" si="4"/>
        <v>AP77</v>
      </c>
      <c r="C36" s="1104" t="s">
        <v>841</v>
      </c>
      <c r="D36" s="1104" t="s">
        <v>998</v>
      </c>
      <c r="E36" s="1104">
        <v>4.2610000000000001</v>
      </c>
      <c r="F36" s="1104" t="s">
        <v>828</v>
      </c>
      <c r="G36" s="1104">
        <v>11</v>
      </c>
      <c r="H36" s="1104">
        <v>10</v>
      </c>
      <c r="I36" s="1104">
        <f t="shared" si="0"/>
        <v>1</v>
      </c>
      <c r="J36" s="1104">
        <v>0</v>
      </c>
      <c r="K36" s="1104">
        <f t="shared" si="1"/>
        <v>11</v>
      </c>
      <c r="L36" s="1104">
        <v>7</v>
      </c>
      <c r="M36" s="1104">
        <f t="shared" si="2"/>
        <v>4</v>
      </c>
      <c r="N36" s="1104">
        <v>0</v>
      </c>
      <c r="O36" s="1104"/>
      <c r="P36" s="1104"/>
      <c r="Q36" s="1104"/>
      <c r="R36" s="1104" t="s">
        <v>990</v>
      </c>
      <c r="S36" s="1105"/>
      <c r="T36" s="1106">
        <v>5</v>
      </c>
      <c r="U36" s="1106">
        <v>6</v>
      </c>
      <c r="V36" s="1106">
        <v>1</v>
      </c>
      <c r="W36" s="1104"/>
    </row>
    <row r="37" spans="1:23" s="1108" customFormat="1" ht="19.95" customHeight="1" x14ac:dyDescent="0.3">
      <c r="A37" s="1104">
        <f t="shared" si="3"/>
        <v>36</v>
      </c>
      <c r="B37" s="1104" t="str">
        <f t="shared" si="4"/>
        <v>AP78</v>
      </c>
      <c r="C37" s="1104" t="s">
        <v>842</v>
      </c>
      <c r="D37" s="1104" t="s">
        <v>999</v>
      </c>
      <c r="E37" s="1104">
        <v>1.5549999999999999</v>
      </c>
      <c r="F37" s="1104" t="s">
        <v>828</v>
      </c>
      <c r="G37" s="1104">
        <v>4</v>
      </c>
      <c r="H37" s="1104">
        <v>3</v>
      </c>
      <c r="I37" s="1104">
        <f t="shared" si="0"/>
        <v>1</v>
      </c>
      <c r="J37" s="1104">
        <v>0</v>
      </c>
      <c r="K37" s="1104">
        <f t="shared" si="1"/>
        <v>4</v>
      </c>
      <c r="L37" s="1104">
        <v>0</v>
      </c>
      <c r="M37" s="1104">
        <f t="shared" si="2"/>
        <v>4</v>
      </c>
      <c r="N37" s="1104">
        <v>0</v>
      </c>
      <c r="O37" s="1104"/>
      <c r="P37" s="1104"/>
      <c r="Q37" s="1104"/>
      <c r="R37" s="1104" t="s">
        <v>990</v>
      </c>
      <c r="S37" s="1105"/>
      <c r="T37" s="1106">
        <v>1</v>
      </c>
      <c r="U37" s="1106">
        <v>3</v>
      </c>
      <c r="V37" s="1107">
        <v>0</v>
      </c>
      <c r="W37" s="1104"/>
    </row>
    <row r="38" spans="1:23" s="1108" customFormat="1" ht="19.95" customHeight="1" x14ac:dyDescent="0.3">
      <c r="A38" s="1104">
        <f t="shared" si="3"/>
        <v>37</v>
      </c>
      <c r="B38" s="1104" t="str">
        <f t="shared" si="4"/>
        <v>AP79</v>
      </c>
      <c r="C38" s="1104" t="s">
        <v>843</v>
      </c>
      <c r="D38" s="1104" t="s">
        <v>1000</v>
      </c>
      <c r="E38" s="1104">
        <v>1.5780000000000001</v>
      </c>
      <c r="F38" s="1104" t="s">
        <v>828</v>
      </c>
      <c r="G38" s="1104">
        <v>4</v>
      </c>
      <c r="H38" s="1104">
        <v>3</v>
      </c>
      <c r="I38" s="1104">
        <f t="shared" si="0"/>
        <v>1</v>
      </c>
      <c r="J38" s="1104">
        <v>0</v>
      </c>
      <c r="K38" s="1104">
        <f t="shared" si="1"/>
        <v>4</v>
      </c>
      <c r="L38" s="1104">
        <v>2</v>
      </c>
      <c r="M38" s="1104">
        <f t="shared" si="2"/>
        <v>2</v>
      </c>
      <c r="N38" s="1104">
        <v>0</v>
      </c>
      <c r="O38" s="1104"/>
      <c r="P38" s="1104"/>
      <c r="Q38" s="1104"/>
      <c r="R38" s="1104" t="s">
        <v>990</v>
      </c>
      <c r="S38" s="1105"/>
      <c r="T38" s="1106">
        <v>2</v>
      </c>
      <c r="U38" s="1106">
        <v>2</v>
      </c>
      <c r="V38" s="1107">
        <v>0</v>
      </c>
      <c r="W38" s="1104"/>
    </row>
    <row r="39" spans="1:23" s="1108" customFormat="1" ht="19.95" customHeight="1" x14ac:dyDescent="0.3">
      <c r="A39" s="1104">
        <f t="shared" si="3"/>
        <v>38</v>
      </c>
      <c r="B39" s="1104" t="str">
        <f t="shared" si="4"/>
        <v>AP80</v>
      </c>
      <c r="C39" s="1104" t="s">
        <v>1001</v>
      </c>
      <c r="D39" s="1104" t="s">
        <v>1002</v>
      </c>
      <c r="E39" s="1104">
        <v>1.2829999999999999</v>
      </c>
      <c r="F39" s="1104" t="s">
        <v>828</v>
      </c>
      <c r="G39" s="1104">
        <v>3</v>
      </c>
      <c r="H39" s="1104">
        <v>2</v>
      </c>
      <c r="I39" s="1104">
        <f t="shared" si="0"/>
        <v>1</v>
      </c>
      <c r="J39" s="1104">
        <v>0</v>
      </c>
      <c r="K39" s="1104">
        <f t="shared" si="1"/>
        <v>3</v>
      </c>
      <c r="L39" s="1104">
        <v>1</v>
      </c>
      <c r="M39" s="1104">
        <f t="shared" si="2"/>
        <v>2</v>
      </c>
      <c r="N39" s="1104">
        <v>0</v>
      </c>
      <c r="O39" s="1104"/>
      <c r="P39" s="1104"/>
      <c r="Q39" s="1104"/>
      <c r="R39" s="1104" t="s">
        <v>990</v>
      </c>
      <c r="S39" s="1105"/>
      <c r="T39" s="1106">
        <v>2</v>
      </c>
      <c r="U39" s="1106">
        <v>1</v>
      </c>
      <c r="V39" s="1107">
        <v>0</v>
      </c>
      <c r="W39" s="1104"/>
    </row>
    <row r="40" spans="1:23" s="1108" customFormat="1" ht="19.95" customHeight="1" x14ac:dyDescent="0.3">
      <c r="A40" s="1104">
        <f t="shared" si="3"/>
        <v>39</v>
      </c>
      <c r="B40" s="1104" t="str">
        <f t="shared" si="4"/>
        <v>AP80/3</v>
      </c>
      <c r="C40" s="1104" t="s">
        <v>844</v>
      </c>
      <c r="D40" s="1104" t="s">
        <v>1003</v>
      </c>
      <c r="E40" s="1104">
        <v>1.2130000000000001</v>
      </c>
      <c r="F40" s="1104" t="s">
        <v>828</v>
      </c>
      <c r="G40" s="1104">
        <v>3</v>
      </c>
      <c r="H40" s="1104">
        <v>2</v>
      </c>
      <c r="I40" s="1104">
        <f t="shared" si="0"/>
        <v>1</v>
      </c>
      <c r="J40" s="1104">
        <v>1</v>
      </c>
      <c r="K40" s="1104">
        <f t="shared" si="1"/>
        <v>3</v>
      </c>
      <c r="L40" s="1104">
        <v>1</v>
      </c>
      <c r="M40" s="1104">
        <f t="shared" si="2"/>
        <v>2</v>
      </c>
      <c r="N40" s="1104">
        <v>0</v>
      </c>
      <c r="O40" s="1104"/>
      <c r="P40" s="1104"/>
      <c r="Q40" s="1104"/>
      <c r="R40" s="1104" t="s">
        <v>990</v>
      </c>
      <c r="S40" s="1105"/>
      <c r="T40" s="1106">
        <v>3</v>
      </c>
      <c r="U40" s="1106">
        <v>2</v>
      </c>
      <c r="V40" s="1106">
        <v>1</v>
      </c>
      <c r="W40" s="1104"/>
    </row>
    <row r="41" spans="1:23" s="1108" customFormat="1" ht="19.95" customHeight="1" x14ac:dyDescent="0.3">
      <c r="A41" s="1104">
        <f t="shared" si="3"/>
        <v>40</v>
      </c>
      <c r="B41" s="1104" t="str">
        <f t="shared" si="4"/>
        <v>AP81</v>
      </c>
      <c r="C41" s="1104" t="s">
        <v>845</v>
      </c>
      <c r="D41" s="1104" t="s">
        <v>1004</v>
      </c>
      <c r="E41" s="1104">
        <v>1.6439999999999999</v>
      </c>
      <c r="F41" s="1104" t="s">
        <v>828</v>
      </c>
      <c r="G41" s="1104">
        <v>4</v>
      </c>
      <c r="H41" s="1104">
        <v>2</v>
      </c>
      <c r="I41" s="1104">
        <f t="shared" si="0"/>
        <v>2</v>
      </c>
      <c r="J41" s="1104">
        <v>0</v>
      </c>
      <c r="K41" s="1104">
        <f t="shared" si="1"/>
        <v>4</v>
      </c>
      <c r="L41" s="1104">
        <v>1</v>
      </c>
      <c r="M41" s="1104">
        <f t="shared" si="2"/>
        <v>3</v>
      </c>
      <c r="N41" s="1104">
        <v>0</v>
      </c>
      <c r="O41" s="1104"/>
      <c r="P41" s="1104"/>
      <c r="Q41" s="1104"/>
      <c r="R41" s="1104" t="s">
        <v>990</v>
      </c>
      <c r="S41" s="1105"/>
      <c r="T41" s="1106">
        <v>4</v>
      </c>
      <c r="U41" s="1106">
        <v>3</v>
      </c>
      <c r="V41" s="1107">
        <v>0</v>
      </c>
      <c r="W41" s="1104"/>
    </row>
    <row r="42" spans="1:23" s="1108" customFormat="1" ht="19.95" customHeight="1" x14ac:dyDescent="0.3">
      <c r="A42" s="1104">
        <f t="shared" si="3"/>
        <v>41</v>
      </c>
      <c r="B42" s="1104" t="str">
        <f t="shared" si="4"/>
        <v>AP82</v>
      </c>
      <c r="C42" s="1104" t="s">
        <v>846</v>
      </c>
      <c r="D42" s="1104" t="s">
        <v>1005</v>
      </c>
      <c r="E42" s="1104">
        <v>1.2809999999999999</v>
      </c>
      <c r="F42" s="1104" t="s">
        <v>828</v>
      </c>
      <c r="G42" s="1104">
        <v>3</v>
      </c>
      <c r="H42" s="1104">
        <v>2</v>
      </c>
      <c r="I42" s="1104">
        <f t="shared" si="0"/>
        <v>1</v>
      </c>
      <c r="J42" s="1104">
        <v>1</v>
      </c>
      <c r="K42" s="1104">
        <f t="shared" si="1"/>
        <v>3</v>
      </c>
      <c r="L42" s="1104">
        <v>1</v>
      </c>
      <c r="M42" s="1104">
        <f t="shared" si="2"/>
        <v>2</v>
      </c>
      <c r="N42" s="1104">
        <v>0</v>
      </c>
      <c r="O42" s="1104"/>
      <c r="P42" s="1104"/>
      <c r="Q42" s="1104"/>
      <c r="R42" s="1104" t="s">
        <v>990</v>
      </c>
      <c r="S42" s="1105"/>
      <c r="T42" s="1106">
        <v>1</v>
      </c>
      <c r="U42" s="1106">
        <v>2</v>
      </c>
      <c r="V42" s="1107">
        <v>0</v>
      </c>
      <c r="W42" s="1104"/>
    </row>
    <row r="43" spans="1:23" s="1108" customFormat="1" ht="19.95" customHeight="1" x14ac:dyDescent="0.3">
      <c r="A43" s="1104">
        <f t="shared" si="3"/>
        <v>42</v>
      </c>
      <c r="B43" s="1104" t="str">
        <f t="shared" si="4"/>
        <v>AP83</v>
      </c>
      <c r="C43" s="1104" t="s">
        <v>847</v>
      </c>
      <c r="D43" s="1104" t="s">
        <v>1006</v>
      </c>
      <c r="E43" s="1104">
        <v>1.153</v>
      </c>
      <c r="F43" s="1104" t="s">
        <v>828</v>
      </c>
      <c r="G43" s="1104">
        <v>3</v>
      </c>
      <c r="H43" s="1104">
        <v>2</v>
      </c>
      <c r="I43" s="1104">
        <f t="shared" si="0"/>
        <v>1</v>
      </c>
      <c r="J43" s="1104">
        <v>0</v>
      </c>
      <c r="K43" s="1104">
        <f t="shared" si="1"/>
        <v>3</v>
      </c>
      <c r="L43" s="1104">
        <v>1</v>
      </c>
      <c r="M43" s="1104">
        <f t="shared" si="2"/>
        <v>2</v>
      </c>
      <c r="N43" s="1104">
        <v>0</v>
      </c>
      <c r="O43" s="1104"/>
      <c r="P43" s="1104"/>
      <c r="Q43" s="1104"/>
      <c r="R43" s="1104" t="s">
        <v>990</v>
      </c>
      <c r="S43" s="1105"/>
      <c r="T43" s="1106">
        <v>1</v>
      </c>
      <c r="U43" s="1106">
        <v>2</v>
      </c>
      <c r="V43" s="1107">
        <v>0</v>
      </c>
      <c r="W43" s="1104"/>
    </row>
    <row r="44" spans="1:23" s="1108" customFormat="1" ht="19.95" customHeight="1" x14ac:dyDescent="0.3">
      <c r="A44" s="1104">
        <f t="shared" si="3"/>
        <v>43</v>
      </c>
      <c r="B44" s="1104" t="str">
        <f t="shared" si="4"/>
        <v>AP84</v>
      </c>
      <c r="C44" s="1104" t="s">
        <v>848</v>
      </c>
      <c r="D44" s="1104" t="s">
        <v>1007</v>
      </c>
      <c r="E44" s="1104">
        <v>2.7389999999999999</v>
      </c>
      <c r="F44" s="1104" t="s">
        <v>828</v>
      </c>
      <c r="G44" s="1104">
        <v>7</v>
      </c>
      <c r="H44" s="1104">
        <v>6</v>
      </c>
      <c r="I44" s="1104">
        <f t="shared" si="0"/>
        <v>1</v>
      </c>
      <c r="J44" s="1104">
        <v>0</v>
      </c>
      <c r="K44" s="1104">
        <f t="shared" si="1"/>
        <v>7</v>
      </c>
      <c r="L44" s="1104">
        <v>5</v>
      </c>
      <c r="M44" s="1104">
        <f t="shared" si="2"/>
        <v>2</v>
      </c>
      <c r="N44" s="1104">
        <v>0</v>
      </c>
      <c r="O44" s="1104"/>
      <c r="P44" s="1104"/>
      <c r="Q44" s="1104"/>
      <c r="R44" s="1104" t="s">
        <v>990</v>
      </c>
      <c r="S44" s="1105"/>
      <c r="T44" s="1106">
        <v>2</v>
      </c>
      <c r="U44" s="1106">
        <v>3</v>
      </c>
      <c r="V44" s="1107">
        <v>0</v>
      </c>
      <c r="W44" s="1104"/>
    </row>
    <row r="45" spans="1:23" s="1108" customFormat="1" ht="19.95" customHeight="1" x14ac:dyDescent="0.3">
      <c r="A45" s="1104">
        <f t="shared" si="3"/>
        <v>44</v>
      </c>
      <c r="B45" s="1104" t="str">
        <f t="shared" si="4"/>
        <v>AP85</v>
      </c>
      <c r="C45" s="1104" t="s">
        <v>849</v>
      </c>
      <c r="D45" s="1104" t="s">
        <v>1008</v>
      </c>
      <c r="E45" s="1104">
        <v>1.8149999999999999</v>
      </c>
      <c r="F45" s="1104" t="s">
        <v>828</v>
      </c>
      <c r="G45" s="1104">
        <v>5</v>
      </c>
      <c r="H45" s="1104">
        <v>2</v>
      </c>
      <c r="I45" s="1104">
        <f t="shared" si="0"/>
        <v>3</v>
      </c>
      <c r="J45" s="1104">
        <v>0</v>
      </c>
      <c r="K45" s="1104">
        <f t="shared" si="1"/>
        <v>5</v>
      </c>
      <c r="L45" s="1104">
        <v>2</v>
      </c>
      <c r="M45" s="1104">
        <f t="shared" si="2"/>
        <v>3</v>
      </c>
      <c r="N45" s="1104">
        <v>0</v>
      </c>
      <c r="O45" s="1104"/>
      <c r="P45" s="1104"/>
      <c r="Q45" s="1104"/>
      <c r="R45" s="1104" t="s">
        <v>990</v>
      </c>
      <c r="S45" s="1105"/>
      <c r="T45" s="1106">
        <v>2</v>
      </c>
      <c r="U45" s="1106">
        <v>4</v>
      </c>
      <c r="V45" s="1106">
        <v>1</v>
      </c>
      <c r="W45" s="1104"/>
    </row>
    <row r="46" spans="1:23" s="1108" customFormat="1" ht="19.95" customHeight="1" x14ac:dyDescent="0.3">
      <c r="A46" s="1104">
        <f t="shared" si="3"/>
        <v>45</v>
      </c>
      <c r="B46" s="1104" t="str">
        <f t="shared" si="4"/>
        <v>AP86</v>
      </c>
      <c r="C46" s="1104" t="s">
        <v>850</v>
      </c>
      <c r="D46" s="1104" t="s">
        <v>1009</v>
      </c>
      <c r="E46" s="1104">
        <v>0.75900000000000001</v>
      </c>
      <c r="F46" s="1104" t="s">
        <v>822</v>
      </c>
      <c r="G46" s="1104">
        <v>2</v>
      </c>
      <c r="H46" s="1104">
        <v>0</v>
      </c>
      <c r="I46" s="1104">
        <f t="shared" si="0"/>
        <v>2</v>
      </c>
      <c r="J46" s="1104">
        <v>0</v>
      </c>
      <c r="K46" s="1104">
        <f t="shared" si="1"/>
        <v>2</v>
      </c>
      <c r="L46" s="1104">
        <v>0</v>
      </c>
      <c r="M46" s="1104">
        <f>K46-L46</f>
        <v>2</v>
      </c>
      <c r="N46" s="1104">
        <v>0</v>
      </c>
      <c r="O46" s="1104"/>
      <c r="P46" s="1104"/>
      <c r="Q46" s="1104"/>
      <c r="R46" s="1104" t="s">
        <v>990</v>
      </c>
      <c r="S46" s="1105"/>
      <c r="T46" s="1106">
        <v>2</v>
      </c>
      <c r="U46" s="1106">
        <v>1</v>
      </c>
      <c r="V46" s="1107">
        <v>0</v>
      </c>
      <c r="W46" s="1104"/>
    </row>
    <row r="47" spans="1:23" s="1108" customFormat="1" ht="19.95" customHeight="1" x14ac:dyDescent="0.3">
      <c r="A47" s="1104">
        <f t="shared" si="3"/>
        <v>46</v>
      </c>
      <c r="B47" s="1104" t="str">
        <f t="shared" si="4"/>
        <v>AP87</v>
      </c>
      <c r="C47" s="1104" t="s">
        <v>523</v>
      </c>
      <c r="D47" s="1104" t="s">
        <v>1010</v>
      </c>
      <c r="E47" s="1104">
        <v>0.46800000000000003</v>
      </c>
      <c r="F47" s="1104" t="s">
        <v>822</v>
      </c>
      <c r="G47" s="1104">
        <v>1</v>
      </c>
      <c r="H47" s="1104">
        <v>0</v>
      </c>
      <c r="I47" s="1104">
        <f t="shared" si="0"/>
        <v>1</v>
      </c>
      <c r="J47" s="1104">
        <v>0</v>
      </c>
      <c r="K47" s="1104">
        <f t="shared" si="1"/>
        <v>1</v>
      </c>
      <c r="L47" s="1104">
        <v>0</v>
      </c>
      <c r="M47" s="1104">
        <f t="shared" si="2"/>
        <v>1</v>
      </c>
      <c r="N47" s="1104">
        <v>0</v>
      </c>
      <c r="O47" s="1104"/>
      <c r="P47" s="1104"/>
      <c r="Q47" s="1104"/>
      <c r="R47" s="1104" t="s">
        <v>990</v>
      </c>
      <c r="S47" s="1105"/>
      <c r="T47" s="1106">
        <v>2</v>
      </c>
      <c r="U47" s="1107">
        <v>0</v>
      </c>
      <c r="V47" s="1107">
        <v>0</v>
      </c>
      <c r="W47" s="1104"/>
    </row>
    <row r="48" spans="1:23" s="1108" customFormat="1" ht="19.95" customHeight="1" x14ac:dyDescent="0.3">
      <c r="A48" s="1104">
        <f t="shared" si="3"/>
        <v>47</v>
      </c>
      <c r="B48" s="1104" t="str">
        <f t="shared" si="4"/>
        <v>AP88</v>
      </c>
      <c r="C48" s="1104" t="s">
        <v>524</v>
      </c>
      <c r="D48" s="1104" t="s">
        <v>1011</v>
      </c>
      <c r="E48" s="1104">
        <v>0.28699999999999998</v>
      </c>
      <c r="F48" s="1104" t="s">
        <v>822</v>
      </c>
      <c r="G48" s="1104">
        <v>1</v>
      </c>
      <c r="H48" s="1104">
        <v>0</v>
      </c>
      <c r="I48" s="1104">
        <f t="shared" si="0"/>
        <v>1</v>
      </c>
      <c r="J48" s="1104">
        <v>0</v>
      </c>
      <c r="K48" s="1104">
        <f t="shared" si="1"/>
        <v>1</v>
      </c>
      <c r="L48" s="1104">
        <v>0</v>
      </c>
      <c r="M48" s="1104">
        <f t="shared" si="2"/>
        <v>1</v>
      </c>
      <c r="N48" s="1104">
        <v>0</v>
      </c>
      <c r="O48" s="1104"/>
      <c r="P48" s="1104"/>
      <c r="Q48" s="1104"/>
      <c r="R48" s="1104" t="s">
        <v>990</v>
      </c>
      <c r="S48" s="1105" t="s">
        <v>1012</v>
      </c>
      <c r="T48" s="1107">
        <v>0</v>
      </c>
      <c r="U48" s="1106">
        <v>1</v>
      </c>
      <c r="V48" s="1107">
        <v>0</v>
      </c>
      <c r="W48" s="1104"/>
    </row>
    <row r="49" spans="1:23" s="1108" customFormat="1" ht="19.95" customHeight="1" x14ac:dyDescent="0.3">
      <c r="A49" s="1104">
        <f t="shared" si="3"/>
        <v>48</v>
      </c>
      <c r="B49" s="1104" t="str">
        <f t="shared" si="4"/>
        <v>AP89</v>
      </c>
      <c r="C49" s="1104" t="s">
        <v>851</v>
      </c>
      <c r="D49" s="1104" t="s">
        <v>1013</v>
      </c>
      <c r="E49" s="1104">
        <v>0.76800000000000002</v>
      </c>
      <c r="F49" s="1104" t="s">
        <v>822</v>
      </c>
      <c r="G49" s="1104">
        <v>2</v>
      </c>
      <c r="H49" s="1104">
        <v>1</v>
      </c>
      <c r="I49" s="1104">
        <f t="shared" si="0"/>
        <v>1</v>
      </c>
      <c r="J49" s="1104">
        <v>0</v>
      </c>
      <c r="K49" s="1104">
        <f t="shared" si="1"/>
        <v>2</v>
      </c>
      <c r="L49" s="1104">
        <v>0</v>
      </c>
      <c r="M49" s="1104">
        <f t="shared" si="2"/>
        <v>2</v>
      </c>
      <c r="N49" s="1104">
        <v>0</v>
      </c>
      <c r="O49" s="1104"/>
      <c r="P49" s="1104"/>
      <c r="Q49" s="1104"/>
      <c r="R49" s="1104" t="s">
        <v>990</v>
      </c>
      <c r="S49" s="1105"/>
      <c r="T49" s="1106">
        <v>2</v>
      </c>
      <c r="U49" s="1106">
        <v>2</v>
      </c>
      <c r="V49" s="1107">
        <v>0</v>
      </c>
      <c r="W49" s="1104"/>
    </row>
    <row r="50" spans="1:23" s="1108" customFormat="1" ht="19.95" customHeight="1" x14ac:dyDescent="0.3">
      <c r="A50" s="1104">
        <f t="shared" si="3"/>
        <v>49</v>
      </c>
      <c r="B50" s="1104" t="str">
        <f t="shared" si="4"/>
        <v>AP90</v>
      </c>
      <c r="C50" s="1104" t="s">
        <v>1014</v>
      </c>
      <c r="D50" s="1104" t="s">
        <v>1015</v>
      </c>
      <c r="E50" s="1104">
        <v>1.9790000000000001</v>
      </c>
      <c r="F50" s="1104" t="s">
        <v>828</v>
      </c>
      <c r="G50" s="1104">
        <v>5</v>
      </c>
      <c r="H50" s="1104">
        <v>1</v>
      </c>
      <c r="I50" s="1104">
        <f t="shared" si="0"/>
        <v>4</v>
      </c>
      <c r="J50" s="1104">
        <v>0</v>
      </c>
      <c r="K50" s="1104">
        <f t="shared" si="1"/>
        <v>5</v>
      </c>
      <c r="L50" s="1104">
        <v>0</v>
      </c>
      <c r="M50" s="1104">
        <f t="shared" si="2"/>
        <v>5</v>
      </c>
      <c r="N50" s="1104">
        <v>0</v>
      </c>
      <c r="O50" s="1104"/>
      <c r="P50" s="1104"/>
      <c r="Q50" s="1104"/>
      <c r="R50" s="1104" t="s">
        <v>990</v>
      </c>
      <c r="S50" s="1105"/>
      <c r="T50" s="1106">
        <v>1</v>
      </c>
      <c r="U50" s="1106">
        <v>4</v>
      </c>
      <c r="V50" s="1107">
        <v>0</v>
      </c>
      <c r="W50" s="1104"/>
    </row>
    <row r="51" spans="1:23" s="1108" customFormat="1" ht="19.95" customHeight="1" x14ac:dyDescent="0.3">
      <c r="A51" s="1104">
        <f t="shared" si="3"/>
        <v>50</v>
      </c>
      <c r="B51" s="1104" t="str">
        <f t="shared" si="4"/>
        <v>AP90/5</v>
      </c>
      <c r="C51" s="1104" t="s">
        <v>852</v>
      </c>
      <c r="D51" s="1104" t="s">
        <v>1016</v>
      </c>
      <c r="E51" s="1104">
        <v>0.48</v>
      </c>
      <c r="F51" s="1104" t="s">
        <v>822</v>
      </c>
      <c r="G51" s="1104">
        <v>1</v>
      </c>
      <c r="H51" s="1104">
        <v>0</v>
      </c>
      <c r="I51" s="1104">
        <f t="shared" si="0"/>
        <v>1</v>
      </c>
      <c r="J51" s="1104">
        <v>0</v>
      </c>
      <c r="K51" s="1104">
        <f t="shared" si="1"/>
        <v>1</v>
      </c>
      <c r="L51" s="1104">
        <v>0</v>
      </c>
      <c r="M51" s="1104">
        <f t="shared" si="2"/>
        <v>1</v>
      </c>
      <c r="N51" s="1104">
        <v>0</v>
      </c>
      <c r="O51" s="1104"/>
      <c r="P51" s="1104"/>
      <c r="Q51" s="1104"/>
      <c r="R51" s="1104" t="s">
        <v>990</v>
      </c>
      <c r="S51" s="1105"/>
      <c r="T51" s="1107">
        <v>0</v>
      </c>
      <c r="U51" s="1106">
        <v>2</v>
      </c>
      <c r="V51" s="1106">
        <v>1</v>
      </c>
      <c r="W51" s="1104"/>
    </row>
    <row r="52" spans="1:23" s="1108" customFormat="1" ht="19.95" customHeight="1" x14ac:dyDescent="0.3">
      <c r="A52" s="1104">
        <f t="shared" si="3"/>
        <v>51</v>
      </c>
      <c r="B52" s="1104" t="str">
        <f t="shared" si="4"/>
        <v>AP91</v>
      </c>
      <c r="C52" s="1104" t="s">
        <v>853</v>
      </c>
      <c r="D52" s="1104" t="s">
        <v>1017</v>
      </c>
      <c r="E52" s="1104">
        <v>1.1419999999999999</v>
      </c>
      <c r="F52" s="1104" t="s">
        <v>828</v>
      </c>
      <c r="G52" s="1104">
        <v>3</v>
      </c>
      <c r="H52" s="1104">
        <v>0</v>
      </c>
      <c r="I52" s="1104">
        <f t="shared" si="0"/>
        <v>3</v>
      </c>
      <c r="J52" s="1104">
        <v>0</v>
      </c>
      <c r="K52" s="1104">
        <f t="shared" si="1"/>
        <v>3</v>
      </c>
      <c r="L52" s="1104">
        <v>0</v>
      </c>
      <c r="M52" s="1104">
        <f t="shared" si="2"/>
        <v>3</v>
      </c>
      <c r="N52" s="1104">
        <v>0</v>
      </c>
      <c r="O52" s="1104"/>
      <c r="P52" s="1104"/>
      <c r="Q52" s="1104"/>
      <c r="R52" s="1104" t="s">
        <v>990</v>
      </c>
      <c r="S52" s="1105"/>
      <c r="T52" s="1106">
        <v>1</v>
      </c>
      <c r="U52" s="1106">
        <v>1</v>
      </c>
      <c r="V52" s="1107">
        <v>0</v>
      </c>
      <c r="W52" s="1104"/>
    </row>
    <row r="53" spans="1:23" s="1108" customFormat="1" ht="19.95" customHeight="1" x14ac:dyDescent="0.3">
      <c r="A53" s="1104">
        <f t="shared" si="3"/>
        <v>52</v>
      </c>
      <c r="B53" s="1104" t="str">
        <f t="shared" si="4"/>
        <v>AP92</v>
      </c>
      <c r="C53" s="1104" t="s">
        <v>1018</v>
      </c>
      <c r="D53" s="1104" t="s">
        <v>1019</v>
      </c>
      <c r="E53" s="1104">
        <v>0.46700000000000003</v>
      </c>
      <c r="F53" s="1104" t="s">
        <v>822</v>
      </c>
      <c r="G53" s="1104">
        <v>1</v>
      </c>
      <c r="H53" s="1104">
        <v>0</v>
      </c>
      <c r="I53" s="1104">
        <f t="shared" si="0"/>
        <v>1</v>
      </c>
      <c r="J53" s="1104">
        <v>0</v>
      </c>
      <c r="K53" s="1104">
        <f t="shared" si="1"/>
        <v>1</v>
      </c>
      <c r="L53" s="1104">
        <v>0</v>
      </c>
      <c r="M53" s="1104">
        <f t="shared" si="2"/>
        <v>1</v>
      </c>
      <c r="N53" s="1104">
        <v>0</v>
      </c>
      <c r="O53" s="1104"/>
      <c r="P53" s="1104"/>
      <c r="Q53" s="1104"/>
      <c r="R53" s="1104" t="s">
        <v>990</v>
      </c>
      <c r="S53" s="1105"/>
      <c r="T53" s="1106">
        <v>1</v>
      </c>
      <c r="U53" s="1107">
        <v>0</v>
      </c>
      <c r="V53" s="1107">
        <v>0</v>
      </c>
      <c r="W53" s="1104"/>
    </row>
    <row r="54" spans="1:23" s="1108" customFormat="1" ht="19.95" customHeight="1" x14ac:dyDescent="0.3">
      <c r="A54" s="1104">
        <f t="shared" si="3"/>
        <v>53</v>
      </c>
      <c r="B54" s="1104" t="str">
        <f t="shared" si="4"/>
        <v>AP92/1</v>
      </c>
      <c r="C54" s="1104" t="s">
        <v>854</v>
      </c>
      <c r="D54" s="1104" t="s">
        <v>1020</v>
      </c>
      <c r="E54" s="1104">
        <v>0.754</v>
      </c>
      <c r="F54" s="1104" t="s">
        <v>822</v>
      </c>
      <c r="G54" s="1104">
        <v>2</v>
      </c>
      <c r="H54" s="1104">
        <v>0</v>
      </c>
      <c r="I54" s="1104">
        <f t="shared" si="0"/>
        <v>2</v>
      </c>
      <c r="J54" s="1104">
        <v>0</v>
      </c>
      <c r="K54" s="1104">
        <f t="shared" si="1"/>
        <v>2</v>
      </c>
      <c r="L54" s="1104">
        <v>0</v>
      </c>
      <c r="M54" s="1104">
        <f t="shared" si="2"/>
        <v>2</v>
      </c>
      <c r="N54" s="1104" t="s">
        <v>1021</v>
      </c>
      <c r="O54" s="1104"/>
      <c r="P54" s="1104"/>
      <c r="Q54" s="1104"/>
      <c r="R54" s="1104" t="s">
        <v>990</v>
      </c>
      <c r="S54" s="1105"/>
      <c r="T54" s="1106">
        <v>1</v>
      </c>
      <c r="U54" s="1107">
        <v>0</v>
      </c>
      <c r="V54" s="1107">
        <v>0</v>
      </c>
      <c r="W54" s="1104"/>
    </row>
    <row r="55" spans="1:23" s="1108" customFormat="1" ht="19.95" customHeight="1" x14ac:dyDescent="0.3">
      <c r="A55" s="1104">
        <f t="shared" si="3"/>
        <v>54</v>
      </c>
      <c r="B55" s="1104" t="str">
        <f t="shared" si="4"/>
        <v>AP93</v>
      </c>
      <c r="C55" s="1104" t="s">
        <v>1022</v>
      </c>
      <c r="D55" s="1104" t="s">
        <v>1023</v>
      </c>
      <c r="E55" s="1104">
        <v>1.306</v>
      </c>
      <c r="F55" s="1104" t="s">
        <v>828</v>
      </c>
      <c r="G55" s="1104">
        <v>3</v>
      </c>
      <c r="H55" s="1104">
        <v>0</v>
      </c>
      <c r="I55" s="1104">
        <f t="shared" si="0"/>
        <v>3</v>
      </c>
      <c r="J55" s="1104">
        <v>0</v>
      </c>
      <c r="K55" s="1104">
        <f t="shared" si="1"/>
        <v>3</v>
      </c>
      <c r="L55" s="1104">
        <v>0</v>
      </c>
      <c r="M55" s="1104">
        <f t="shared" si="2"/>
        <v>3</v>
      </c>
      <c r="N55" s="1104">
        <v>0</v>
      </c>
      <c r="O55" s="1104"/>
      <c r="P55" s="1104"/>
      <c r="Q55" s="1104"/>
      <c r="R55" s="1104" t="s">
        <v>990</v>
      </c>
      <c r="S55" s="1105"/>
      <c r="T55" s="1111">
        <v>3</v>
      </c>
      <c r="U55" s="1111">
        <v>1</v>
      </c>
      <c r="V55" s="1107">
        <v>0</v>
      </c>
      <c r="W55" s="1104"/>
    </row>
    <row r="56" spans="1:23" s="1108" customFormat="1" ht="19.95" customHeight="1" x14ac:dyDescent="0.3">
      <c r="A56" s="1104">
        <f t="shared" si="3"/>
        <v>55</v>
      </c>
      <c r="B56" s="1104" t="str">
        <f t="shared" si="4"/>
        <v>AP93/3</v>
      </c>
      <c r="C56" s="1104" t="s">
        <v>855</v>
      </c>
      <c r="D56" s="1104" t="s">
        <v>1024</v>
      </c>
      <c r="E56" s="1104">
        <v>0.42099999999999999</v>
      </c>
      <c r="F56" s="1104" t="s">
        <v>822</v>
      </c>
      <c r="G56" s="1104">
        <v>1</v>
      </c>
      <c r="H56" s="1104">
        <v>0</v>
      </c>
      <c r="I56" s="1104">
        <f t="shared" si="0"/>
        <v>1</v>
      </c>
      <c r="J56" s="1104">
        <v>0</v>
      </c>
      <c r="K56" s="1104">
        <f t="shared" si="1"/>
        <v>1</v>
      </c>
      <c r="L56" s="1104">
        <v>0</v>
      </c>
      <c r="M56" s="1104">
        <f t="shared" si="2"/>
        <v>1</v>
      </c>
      <c r="N56" s="1104">
        <v>0</v>
      </c>
      <c r="O56" s="1104"/>
      <c r="P56" s="1104"/>
      <c r="Q56" s="1104"/>
      <c r="R56" s="1104" t="s">
        <v>990</v>
      </c>
      <c r="S56" s="1105"/>
      <c r="T56" s="1107">
        <v>0</v>
      </c>
      <c r="U56" s="1107">
        <v>0</v>
      </c>
      <c r="V56" s="1107">
        <v>0</v>
      </c>
      <c r="W56" s="1104"/>
    </row>
    <row r="57" spans="1:23" s="1108" customFormat="1" ht="19.95" customHeight="1" x14ac:dyDescent="0.3">
      <c r="A57" s="1104">
        <f t="shared" si="3"/>
        <v>56</v>
      </c>
      <c r="B57" s="1104" t="str">
        <f t="shared" si="4"/>
        <v>AP94</v>
      </c>
      <c r="C57" s="1104" t="s">
        <v>1025</v>
      </c>
      <c r="D57" s="1104" t="s">
        <v>1026</v>
      </c>
      <c r="E57" s="1104">
        <v>1.262</v>
      </c>
      <c r="F57" s="1104" t="s">
        <v>828</v>
      </c>
      <c r="G57" s="1104">
        <v>3</v>
      </c>
      <c r="H57" s="1104">
        <v>1</v>
      </c>
      <c r="I57" s="1104">
        <f t="shared" si="0"/>
        <v>2</v>
      </c>
      <c r="J57" s="1104">
        <v>0</v>
      </c>
      <c r="K57" s="1104">
        <f t="shared" si="1"/>
        <v>3</v>
      </c>
      <c r="L57" s="1104">
        <v>0</v>
      </c>
      <c r="M57" s="1104">
        <f t="shared" si="2"/>
        <v>3</v>
      </c>
      <c r="N57" s="1104">
        <v>0</v>
      </c>
      <c r="O57" s="1104"/>
      <c r="P57" s="1104"/>
      <c r="Q57" s="1104"/>
      <c r="R57" s="1104" t="s">
        <v>990</v>
      </c>
      <c r="S57" s="1105"/>
      <c r="T57" s="1106">
        <v>2</v>
      </c>
      <c r="U57" s="1106">
        <v>4</v>
      </c>
      <c r="V57" s="1107">
        <v>0</v>
      </c>
      <c r="W57" s="1104"/>
    </row>
    <row r="58" spans="1:23" s="1108" customFormat="1" ht="19.95" customHeight="1" x14ac:dyDescent="0.3">
      <c r="A58" s="1104">
        <f t="shared" si="3"/>
        <v>57</v>
      </c>
      <c r="B58" s="1104" t="str">
        <f t="shared" si="4"/>
        <v>AP94/3</v>
      </c>
      <c r="C58" s="1104" t="s">
        <v>526</v>
      </c>
      <c r="D58" s="1104" t="s">
        <v>1027</v>
      </c>
      <c r="E58" s="1104">
        <v>0.53300000000000003</v>
      </c>
      <c r="F58" s="1104" t="s">
        <v>822</v>
      </c>
      <c r="G58" s="1104">
        <v>1</v>
      </c>
      <c r="H58" s="1104">
        <v>0</v>
      </c>
      <c r="I58" s="1104">
        <f t="shared" si="0"/>
        <v>1</v>
      </c>
      <c r="J58" s="1104">
        <v>0</v>
      </c>
      <c r="K58" s="1104">
        <f t="shared" si="1"/>
        <v>1</v>
      </c>
      <c r="L58" s="1104">
        <v>0</v>
      </c>
      <c r="M58" s="1104">
        <f t="shared" si="2"/>
        <v>1</v>
      </c>
      <c r="N58" s="1104">
        <v>0</v>
      </c>
      <c r="O58" s="1104"/>
      <c r="P58" s="1104"/>
      <c r="Q58" s="1104"/>
      <c r="R58" s="1104" t="s">
        <v>990</v>
      </c>
      <c r="S58" s="1105"/>
      <c r="T58" s="1107">
        <v>0</v>
      </c>
      <c r="U58" s="1107">
        <v>0</v>
      </c>
      <c r="V58" s="1107">
        <v>0</v>
      </c>
      <c r="W58" s="1104"/>
    </row>
    <row r="59" spans="1:23" s="1108" customFormat="1" ht="19.95" customHeight="1" x14ac:dyDescent="0.3">
      <c r="A59" s="1104">
        <f t="shared" si="3"/>
        <v>58</v>
      </c>
      <c r="B59" s="1104" t="str">
        <f t="shared" si="4"/>
        <v>AP95</v>
      </c>
      <c r="C59" s="1104" t="s">
        <v>527</v>
      </c>
      <c r="D59" s="1104" t="s">
        <v>1028</v>
      </c>
      <c r="E59" s="1104">
        <v>0.26500000000000001</v>
      </c>
      <c r="F59" s="1104" t="s">
        <v>822</v>
      </c>
      <c r="G59" s="1104">
        <v>1</v>
      </c>
      <c r="H59" s="1104">
        <v>0</v>
      </c>
      <c r="I59" s="1104">
        <f t="shared" si="0"/>
        <v>1</v>
      </c>
      <c r="J59" s="1104">
        <v>0</v>
      </c>
      <c r="K59" s="1104">
        <f t="shared" si="1"/>
        <v>1</v>
      </c>
      <c r="L59" s="1104">
        <v>0</v>
      </c>
      <c r="M59" s="1104">
        <f t="shared" si="2"/>
        <v>1</v>
      </c>
      <c r="N59" s="1104">
        <v>0</v>
      </c>
      <c r="O59" s="1104"/>
      <c r="P59" s="1104"/>
      <c r="Q59" s="1104"/>
      <c r="R59" s="1104" t="s">
        <v>990</v>
      </c>
      <c r="S59" s="1105" t="s">
        <v>1012</v>
      </c>
      <c r="T59" s="1107">
        <v>0</v>
      </c>
      <c r="U59" s="1107">
        <v>0</v>
      </c>
      <c r="V59" s="1107">
        <v>0</v>
      </c>
      <c r="W59" s="1104"/>
    </row>
    <row r="60" spans="1:23" s="1108" customFormat="1" ht="19.95" customHeight="1" x14ac:dyDescent="0.3">
      <c r="A60" s="1104">
        <f t="shared" si="3"/>
        <v>59</v>
      </c>
      <c r="B60" s="1104" t="str">
        <f t="shared" si="4"/>
        <v>AP96</v>
      </c>
      <c r="C60" s="1104" t="s">
        <v>1029</v>
      </c>
      <c r="D60" s="1104" t="s">
        <v>1030</v>
      </c>
      <c r="E60" s="1104">
        <v>0.48399999999999999</v>
      </c>
      <c r="F60" s="1104" t="s">
        <v>822</v>
      </c>
      <c r="G60" s="1104">
        <v>1</v>
      </c>
      <c r="H60" s="1104">
        <v>0</v>
      </c>
      <c r="I60" s="1104">
        <f t="shared" si="0"/>
        <v>1</v>
      </c>
      <c r="J60" s="1104">
        <v>0</v>
      </c>
      <c r="K60" s="1104">
        <f t="shared" si="1"/>
        <v>1</v>
      </c>
      <c r="L60" s="1104">
        <v>0</v>
      </c>
      <c r="M60" s="1104">
        <f t="shared" si="2"/>
        <v>1</v>
      </c>
      <c r="N60" s="1104">
        <v>0</v>
      </c>
      <c r="O60" s="1104"/>
      <c r="P60" s="1104"/>
      <c r="Q60" s="1104"/>
      <c r="R60" s="1104" t="s">
        <v>990</v>
      </c>
      <c r="S60" s="1105"/>
      <c r="T60" s="1107">
        <v>0</v>
      </c>
      <c r="U60" s="1107">
        <v>0</v>
      </c>
      <c r="V60" s="1107">
        <v>0</v>
      </c>
      <c r="W60" s="1104"/>
    </row>
    <row r="61" spans="1:23" s="1108" customFormat="1" ht="19.95" customHeight="1" x14ac:dyDescent="0.3">
      <c r="A61" s="1104">
        <f t="shared" si="3"/>
        <v>60</v>
      </c>
      <c r="B61" s="1104" t="str">
        <f t="shared" si="4"/>
        <v>AP96/1</v>
      </c>
      <c r="C61" s="1104" t="s">
        <v>1031</v>
      </c>
      <c r="D61" s="1104" t="s">
        <v>1032</v>
      </c>
      <c r="E61" s="1104">
        <v>0.61099999999999999</v>
      </c>
      <c r="F61" s="1104" t="s">
        <v>822</v>
      </c>
      <c r="G61" s="1104">
        <v>1</v>
      </c>
      <c r="H61" s="1104">
        <v>0</v>
      </c>
      <c r="I61" s="1104">
        <f t="shared" si="0"/>
        <v>1</v>
      </c>
      <c r="J61" s="1104">
        <v>0</v>
      </c>
      <c r="K61" s="1104">
        <f t="shared" si="1"/>
        <v>1</v>
      </c>
      <c r="L61" s="1104">
        <v>0</v>
      </c>
      <c r="M61" s="1104">
        <f t="shared" si="2"/>
        <v>1</v>
      </c>
      <c r="N61" s="1104">
        <v>0</v>
      </c>
      <c r="O61" s="1104"/>
      <c r="P61" s="1104"/>
      <c r="Q61" s="1104"/>
      <c r="R61" s="1104" t="s">
        <v>990</v>
      </c>
      <c r="S61" s="1105"/>
      <c r="T61" s="1106">
        <v>1</v>
      </c>
      <c r="U61" s="1107">
        <v>0</v>
      </c>
      <c r="V61" s="1107">
        <v>0</v>
      </c>
      <c r="W61" s="1104"/>
    </row>
    <row r="62" spans="1:23" s="1108" customFormat="1" ht="19.95" customHeight="1" x14ac:dyDescent="0.3">
      <c r="A62" s="1104">
        <f t="shared" si="3"/>
        <v>61</v>
      </c>
      <c r="B62" s="1104" t="str">
        <f t="shared" si="4"/>
        <v>AP96/2</v>
      </c>
      <c r="C62" s="1104" t="s">
        <v>856</v>
      </c>
      <c r="D62" s="1104" t="s">
        <v>1033</v>
      </c>
      <c r="E62" s="1104">
        <v>2.5619999999999998</v>
      </c>
      <c r="F62" s="1104" t="s">
        <v>828</v>
      </c>
      <c r="G62" s="1104">
        <v>7</v>
      </c>
      <c r="H62" s="1104">
        <v>3</v>
      </c>
      <c r="I62" s="1104">
        <f t="shared" si="0"/>
        <v>4</v>
      </c>
      <c r="J62" s="1104">
        <v>1</v>
      </c>
      <c r="K62" s="1104">
        <f t="shared" si="1"/>
        <v>7</v>
      </c>
      <c r="L62" s="1104">
        <v>0</v>
      </c>
      <c r="M62" s="1104">
        <f t="shared" si="2"/>
        <v>7</v>
      </c>
      <c r="N62" s="1104">
        <v>0</v>
      </c>
      <c r="O62" s="1104"/>
      <c r="P62" s="1104"/>
      <c r="Q62" s="1104"/>
      <c r="R62" s="1104" t="s">
        <v>990</v>
      </c>
      <c r="S62" s="1105"/>
      <c r="T62" s="1111">
        <v>4</v>
      </c>
      <c r="U62" s="1111">
        <v>1</v>
      </c>
      <c r="V62" s="1107">
        <v>0</v>
      </c>
      <c r="W62" s="1104"/>
    </row>
    <row r="63" spans="1:23" s="1108" customFormat="1" ht="19.95" customHeight="1" x14ac:dyDescent="0.3">
      <c r="A63" s="1104">
        <f t="shared" si="3"/>
        <v>62</v>
      </c>
      <c r="B63" s="1104" t="str">
        <f t="shared" si="4"/>
        <v>AP97</v>
      </c>
      <c r="C63" s="1104" t="s">
        <v>529</v>
      </c>
      <c r="D63" s="1104" t="s">
        <v>1034</v>
      </c>
      <c r="E63" s="1104">
        <v>1.9379999999999999</v>
      </c>
      <c r="F63" s="1104" t="s">
        <v>828</v>
      </c>
      <c r="G63" s="1104">
        <v>5</v>
      </c>
      <c r="H63" s="1104">
        <v>3</v>
      </c>
      <c r="I63" s="1104">
        <f t="shared" si="0"/>
        <v>2</v>
      </c>
      <c r="J63" s="1104">
        <v>1</v>
      </c>
      <c r="K63" s="1104">
        <f t="shared" si="1"/>
        <v>5</v>
      </c>
      <c r="L63" s="1104">
        <v>0</v>
      </c>
      <c r="M63" s="1104">
        <f t="shared" si="2"/>
        <v>5</v>
      </c>
      <c r="N63" s="1104">
        <v>1</v>
      </c>
      <c r="O63" s="1104"/>
      <c r="P63" s="1104"/>
      <c r="Q63" s="1104"/>
      <c r="R63" s="1104" t="s">
        <v>990</v>
      </c>
      <c r="S63" s="1105"/>
      <c r="T63" s="1106">
        <v>4</v>
      </c>
      <c r="U63" s="1106">
        <v>2</v>
      </c>
      <c r="V63" s="1107">
        <v>0</v>
      </c>
      <c r="W63" s="1104"/>
    </row>
    <row r="64" spans="1:23" s="1108" customFormat="1" ht="19.95" customHeight="1" x14ac:dyDescent="0.3">
      <c r="A64" s="1104">
        <f t="shared" si="3"/>
        <v>63</v>
      </c>
      <c r="B64" s="1104" t="str">
        <f t="shared" si="4"/>
        <v>AP98</v>
      </c>
      <c r="C64" s="1104" t="s">
        <v>530</v>
      </c>
      <c r="D64" s="1104" t="s">
        <v>1035</v>
      </c>
      <c r="E64" s="1104">
        <v>2.3279999999999998</v>
      </c>
      <c r="F64" s="1104" t="s">
        <v>828</v>
      </c>
      <c r="G64" s="1104">
        <v>6</v>
      </c>
      <c r="H64" s="1104">
        <v>6</v>
      </c>
      <c r="I64" s="1104">
        <f t="shared" si="0"/>
        <v>0</v>
      </c>
      <c r="J64" s="1104">
        <v>0</v>
      </c>
      <c r="K64" s="1104">
        <f t="shared" si="1"/>
        <v>6</v>
      </c>
      <c r="L64" s="1104">
        <v>5</v>
      </c>
      <c r="M64" s="1104">
        <f t="shared" si="2"/>
        <v>1</v>
      </c>
      <c r="N64" s="1104">
        <v>0</v>
      </c>
      <c r="O64" s="1104"/>
      <c r="P64" s="1104"/>
      <c r="Q64" s="1104"/>
      <c r="R64" s="1104" t="s">
        <v>990</v>
      </c>
      <c r="S64" s="1105"/>
      <c r="T64" s="1111">
        <v>4</v>
      </c>
      <c r="U64" s="1111">
        <v>2</v>
      </c>
      <c r="V64" s="1111">
        <v>2</v>
      </c>
      <c r="W64" s="1104"/>
    </row>
    <row r="65" spans="1:31" s="1108" customFormat="1" ht="19.95" customHeight="1" x14ac:dyDescent="0.3">
      <c r="A65" s="1104">
        <f t="shared" si="3"/>
        <v>64</v>
      </c>
      <c r="B65" s="1104" t="str">
        <f t="shared" si="4"/>
        <v>AP99</v>
      </c>
      <c r="C65" s="1104" t="s">
        <v>857</v>
      </c>
      <c r="D65" s="1104" t="s">
        <v>1036</v>
      </c>
      <c r="E65" s="1104">
        <v>4.9859999999999998</v>
      </c>
      <c r="F65" s="1104" t="s">
        <v>828</v>
      </c>
      <c r="G65" s="1104">
        <v>13</v>
      </c>
      <c r="H65" s="1104">
        <v>13</v>
      </c>
      <c r="I65" s="1104">
        <f t="shared" si="0"/>
        <v>0</v>
      </c>
      <c r="J65" s="1104">
        <v>0</v>
      </c>
      <c r="K65" s="1104">
        <f t="shared" si="1"/>
        <v>13</v>
      </c>
      <c r="L65" s="1104">
        <v>12</v>
      </c>
      <c r="M65" s="1104">
        <v>1</v>
      </c>
      <c r="N65" s="1104">
        <v>0</v>
      </c>
      <c r="O65" s="1104"/>
      <c r="P65" s="1104"/>
      <c r="Q65" s="1104"/>
      <c r="R65" s="1104" t="s">
        <v>990</v>
      </c>
      <c r="S65" s="1105"/>
      <c r="T65" s="1106">
        <v>6</v>
      </c>
      <c r="U65" s="1106">
        <v>6</v>
      </c>
      <c r="V65" s="1107">
        <v>0</v>
      </c>
      <c r="W65" s="1104"/>
    </row>
    <row r="66" spans="1:31" s="1108" customFormat="1" ht="19.95" customHeight="1" x14ac:dyDescent="0.3">
      <c r="A66" s="1104">
        <f t="shared" si="3"/>
        <v>65</v>
      </c>
      <c r="B66" s="1104" t="str">
        <f t="shared" si="4"/>
        <v>AP100</v>
      </c>
      <c r="C66" s="1104" t="s">
        <v>858</v>
      </c>
      <c r="D66" s="1104" t="s">
        <v>1037</v>
      </c>
      <c r="E66" s="1104">
        <v>3.649</v>
      </c>
      <c r="F66" s="1104" t="s">
        <v>828</v>
      </c>
      <c r="G66" s="1104">
        <v>9</v>
      </c>
      <c r="H66" s="1104">
        <v>9</v>
      </c>
      <c r="I66" s="1104">
        <f t="shared" si="0"/>
        <v>0</v>
      </c>
      <c r="J66" s="1104">
        <v>0</v>
      </c>
      <c r="K66" s="1104">
        <f t="shared" si="1"/>
        <v>9</v>
      </c>
      <c r="L66" s="1104">
        <v>8</v>
      </c>
      <c r="M66" s="1104">
        <f t="shared" si="2"/>
        <v>1</v>
      </c>
      <c r="N66" s="1104">
        <v>1</v>
      </c>
      <c r="O66" s="1104"/>
      <c r="P66" s="1104"/>
      <c r="Q66" s="1104"/>
      <c r="R66" s="1104" t="s">
        <v>990</v>
      </c>
      <c r="S66" s="1105"/>
      <c r="T66" s="1111">
        <v>3</v>
      </c>
      <c r="U66" s="1111">
        <v>4</v>
      </c>
      <c r="V66" s="1107">
        <v>0</v>
      </c>
      <c r="W66" s="1104"/>
    </row>
    <row r="67" spans="1:31" s="1108" customFormat="1" ht="19.95" customHeight="1" x14ac:dyDescent="0.3">
      <c r="A67" s="1104">
        <f t="shared" si="3"/>
        <v>66</v>
      </c>
      <c r="B67" s="1104" t="str">
        <f t="shared" si="4"/>
        <v>AP101</v>
      </c>
      <c r="C67" s="1104" t="s">
        <v>859</v>
      </c>
      <c r="D67" s="1104" t="s">
        <v>1038</v>
      </c>
      <c r="E67" s="1104">
        <v>3.9239999999999999</v>
      </c>
      <c r="F67" s="1104" t="s">
        <v>828</v>
      </c>
      <c r="G67" s="1104">
        <v>10</v>
      </c>
      <c r="H67" s="1104">
        <v>9</v>
      </c>
      <c r="I67" s="1104">
        <f t="shared" ref="I67:I76" si="5">G67-H67</f>
        <v>1</v>
      </c>
      <c r="J67" s="1104">
        <v>1</v>
      </c>
      <c r="K67" s="1104">
        <f t="shared" ref="K67:K76" si="6">G67</f>
        <v>10</v>
      </c>
      <c r="L67" s="1104">
        <v>7</v>
      </c>
      <c r="M67" s="1104">
        <f t="shared" ref="M67:M76" si="7">K67-L67</f>
        <v>3</v>
      </c>
      <c r="N67" s="1104">
        <v>0</v>
      </c>
      <c r="O67" s="1104"/>
      <c r="P67" s="1104"/>
      <c r="Q67" s="1104"/>
      <c r="R67" s="1104" t="s">
        <v>990</v>
      </c>
      <c r="S67" s="1105"/>
      <c r="T67" s="1106">
        <v>3</v>
      </c>
      <c r="U67" s="1106">
        <v>2</v>
      </c>
      <c r="V67" s="1107">
        <v>0</v>
      </c>
      <c r="W67" s="1104"/>
    </row>
    <row r="68" spans="1:31" s="1108" customFormat="1" ht="19.95" customHeight="1" x14ac:dyDescent="0.3">
      <c r="A68" s="1104">
        <f t="shared" ref="A68:A76" si="8">A67+1</f>
        <v>67</v>
      </c>
      <c r="B68" s="1104" t="str">
        <f t="shared" si="4"/>
        <v>AP102</v>
      </c>
      <c r="C68" s="1104" t="s">
        <v>860</v>
      </c>
      <c r="D68" s="1104" t="s">
        <v>1039</v>
      </c>
      <c r="E68" s="1104">
        <v>2.7050000000000001</v>
      </c>
      <c r="F68" s="1104" t="s">
        <v>828</v>
      </c>
      <c r="G68" s="1104">
        <v>7</v>
      </c>
      <c r="H68" s="1104">
        <v>6</v>
      </c>
      <c r="I68" s="1104">
        <f t="shared" si="5"/>
        <v>1</v>
      </c>
      <c r="J68" s="1104">
        <v>0</v>
      </c>
      <c r="K68" s="1104">
        <f t="shared" si="6"/>
        <v>7</v>
      </c>
      <c r="L68" s="1104">
        <v>5</v>
      </c>
      <c r="M68" s="1104">
        <f t="shared" si="7"/>
        <v>2</v>
      </c>
      <c r="N68" s="1104">
        <v>0</v>
      </c>
      <c r="O68" s="1104"/>
      <c r="P68" s="1104"/>
      <c r="Q68" s="1104"/>
      <c r="R68" s="1104" t="s">
        <v>990</v>
      </c>
      <c r="S68" s="1105"/>
      <c r="T68" s="1106">
        <v>1</v>
      </c>
      <c r="U68" s="1106">
        <v>1</v>
      </c>
      <c r="V68" s="1107">
        <v>0</v>
      </c>
      <c r="W68" s="1104"/>
    </row>
    <row r="69" spans="1:31" ht="19.95" customHeight="1" x14ac:dyDescent="0.3">
      <c r="A69" s="1081">
        <f t="shared" si="8"/>
        <v>68</v>
      </c>
      <c r="B69" s="1081" t="str">
        <f t="shared" ref="B69:B76" si="9">C68</f>
        <v>AP103</v>
      </c>
      <c r="C69" s="1081" t="s">
        <v>861</v>
      </c>
      <c r="D69" s="1081" t="s">
        <v>1040</v>
      </c>
      <c r="E69" s="1081">
        <v>1.524</v>
      </c>
      <c r="F69" s="1081" t="s">
        <v>828</v>
      </c>
      <c r="G69" s="1081">
        <v>4</v>
      </c>
      <c r="H69" s="1081">
        <v>0</v>
      </c>
      <c r="I69" s="1081">
        <f t="shared" si="5"/>
        <v>4</v>
      </c>
      <c r="J69" s="1081">
        <v>0</v>
      </c>
      <c r="K69" s="1081">
        <f t="shared" si="6"/>
        <v>4</v>
      </c>
      <c r="L69" s="1104">
        <v>0</v>
      </c>
      <c r="M69" s="1081">
        <f t="shared" si="7"/>
        <v>4</v>
      </c>
      <c r="N69" s="1081">
        <v>0</v>
      </c>
      <c r="O69" s="1081"/>
      <c r="P69" s="1081"/>
      <c r="Q69" s="1081"/>
      <c r="R69" s="1081" t="s">
        <v>990</v>
      </c>
      <c r="S69" s="1082"/>
      <c r="T69" s="1083">
        <v>4</v>
      </c>
      <c r="U69" s="1083">
        <v>2</v>
      </c>
      <c r="V69" s="1083">
        <v>2</v>
      </c>
      <c r="W69" s="1081"/>
    </row>
    <row r="70" spans="1:31" ht="19.95" customHeight="1" x14ac:dyDescent="0.3">
      <c r="A70" s="1081">
        <f t="shared" si="8"/>
        <v>69</v>
      </c>
      <c r="B70" s="1081" t="str">
        <f t="shared" si="9"/>
        <v>AP104</v>
      </c>
      <c r="C70" s="1081" t="s">
        <v>862</v>
      </c>
      <c r="D70" s="1081" t="s">
        <v>1041</v>
      </c>
      <c r="E70" s="1081">
        <v>4.6980000000000004</v>
      </c>
      <c r="F70" s="1081" t="s">
        <v>828</v>
      </c>
      <c r="G70" s="1081">
        <v>12</v>
      </c>
      <c r="H70" s="1081">
        <v>0</v>
      </c>
      <c r="I70" s="1081">
        <f t="shared" si="5"/>
        <v>12</v>
      </c>
      <c r="J70" s="1081">
        <v>0</v>
      </c>
      <c r="K70" s="1081">
        <f t="shared" si="6"/>
        <v>12</v>
      </c>
      <c r="L70" s="1104">
        <v>0</v>
      </c>
      <c r="M70" s="1081">
        <f t="shared" si="7"/>
        <v>12</v>
      </c>
      <c r="N70" s="1081">
        <v>0</v>
      </c>
      <c r="O70" s="1081"/>
      <c r="P70" s="1081"/>
      <c r="Q70" s="1081"/>
      <c r="R70" s="1081" t="s">
        <v>990</v>
      </c>
      <c r="S70" s="1082"/>
      <c r="T70" s="1083">
        <v>9</v>
      </c>
      <c r="U70" s="1083">
        <v>5</v>
      </c>
      <c r="V70" s="1083">
        <v>1</v>
      </c>
      <c r="W70" s="1081"/>
    </row>
    <row r="71" spans="1:31" ht="19.95" customHeight="1" x14ac:dyDescent="0.3">
      <c r="A71" s="1081">
        <f t="shared" si="8"/>
        <v>70</v>
      </c>
      <c r="B71" s="1081" t="str">
        <f t="shared" si="9"/>
        <v>AP105</v>
      </c>
      <c r="C71" s="1081" t="s">
        <v>533</v>
      </c>
      <c r="D71" s="1081" t="s">
        <v>1042</v>
      </c>
      <c r="E71" s="1081">
        <v>1.5469999999999999</v>
      </c>
      <c r="F71" s="1081" t="s">
        <v>828</v>
      </c>
      <c r="G71" s="1081">
        <v>4</v>
      </c>
      <c r="H71" s="1081">
        <v>0</v>
      </c>
      <c r="I71" s="1081">
        <f t="shared" si="5"/>
        <v>4</v>
      </c>
      <c r="J71" s="1081">
        <v>0</v>
      </c>
      <c r="K71" s="1081">
        <f t="shared" si="6"/>
        <v>4</v>
      </c>
      <c r="L71" s="1104">
        <v>0</v>
      </c>
      <c r="M71" s="1081">
        <f t="shared" si="7"/>
        <v>4</v>
      </c>
      <c r="N71" s="1081">
        <v>0</v>
      </c>
      <c r="O71" s="1081"/>
      <c r="P71" s="1081"/>
      <c r="Q71" s="1081"/>
      <c r="R71" s="1081" t="s">
        <v>990</v>
      </c>
      <c r="S71" s="1082"/>
      <c r="T71" s="1085">
        <v>4</v>
      </c>
      <c r="U71" s="1085">
        <v>1</v>
      </c>
      <c r="V71" s="1084">
        <v>0</v>
      </c>
      <c r="W71" s="1081"/>
    </row>
    <row r="72" spans="1:31" ht="19.95" customHeight="1" x14ac:dyDescent="0.3">
      <c r="A72" s="1081">
        <f t="shared" si="8"/>
        <v>71</v>
      </c>
      <c r="B72" s="1081" t="str">
        <f t="shared" si="9"/>
        <v>AP106</v>
      </c>
      <c r="C72" s="1081" t="s">
        <v>534</v>
      </c>
      <c r="D72" s="1081" t="s">
        <v>1043</v>
      </c>
      <c r="E72" s="1081">
        <v>0.26300000000000001</v>
      </c>
      <c r="F72" s="1081" t="s">
        <v>822</v>
      </c>
      <c r="G72" s="1081">
        <v>1</v>
      </c>
      <c r="H72" s="1081">
        <v>0</v>
      </c>
      <c r="I72" s="1081">
        <f t="shared" si="5"/>
        <v>1</v>
      </c>
      <c r="J72" s="1081">
        <v>0</v>
      </c>
      <c r="K72" s="1081">
        <f t="shared" si="6"/>
        <v>1</v>
      </c>
      <c r="L72" s="1104">
        <v>0</v>
      </c>
      <c r="M72" s="1081">
        <f t="shared" si="7"/>
        <v>1</v>
      </c>
      <c r="N72" s="1081">
        <v>0</v>
      </c>
      <c r="O72" s="1081"/>
      <c r="P72" s="1081"/>
      <c r="Q72" s="1081"/>
      <c r="R72" s="1081" t="s">
        <v>990</v>
      </c>
      <c r="S72" s="1082" t="s">
        <v>1044</v>
      </c>
      <c r="T72" s="1084">
        <v>0</v>
      </c>
      <c r="U72" s="1084">
        <v>0</v>
      </c>
      <c r="V72" s="1084">
        <v>0</v>
      </c>
      <c r="W72" s="1081"/>
    </row>
    <row r="73" spans="1:31" ht="19.95" customHeight="1" x14ac:dyDescent="0.3">
      <c r="A73" s="1081">
        <f t="shared" si="8"/>
        <v>72</v>
      </c>
      <c r="B73" s="1081" t="str">
        <f t="shared" si="9"/>
        <v>AP107</v>
      </c>
      <c r="C73" s="1081" t="s">
        <v>863</v>
      </c>
      <c r="D73" s="1081" t="s">
        <v>1045</v>
      </c>
      <c r="E73" s="1081">
        <v>0.77700000000000002</v>
      </c>
      <c r="F73" s="1081" t="s">
        <v>822</v>
      </c>
      <c r="G73" s="1081">
        <v>2</v>
      </c>
      <c r="H73" s="1081">
        <v>0</v>
      </c>
      <c r="I73" s="1081">
        <f t="shared" si="5"/>
        <v>2</v>
      </c>
      <c r="J73" s="1081">
        <v>0</v>
      </c>
      <c r="K73" s="1081">
        <f t="shared" si="6"/>
        <v>2</v>
      </c>
      <c r="L73" s="1104">
        <v>0</v>
      </c>
      <c r="M73" s="1081">
        <f t="shared" si="7"/>
        <v>2</v>
      </c>
      <c r="N73" s="1081">
        <v>0</v>
      </c>
      <c r="O73" s="1081"/>
      <c r="P73" s="1081"/>
      <c r="Q73" s="1081"/>
      <c r="R73" s="1081" t="s">
        <v>990</v>
      </c>
      <c r="S73" s="1082"/>
      <c r="T73" s="1084">
        <v>0</v>
      </c>
      <c r="U73" s="1083">
        <v>2</v>
      </c>
      <c r="V73" s="1084">
        <v>0</v>
      </c>
      <c r="W73" s="1081"/>
    </row>
    <row r="74" spans="1:31" ht="19.95" customHeight="1" x14ac:dyDescent="0.3">
      <c r="A74" s="1081">
        <f t="shared" si="8"/>
        <v>73</v>
      </c>
      <c r="B74" s="1081" t="str">
        <f t="shared" si="9"/>
        <v>AP108</v>
      </c>
      <c r="C74" s="1081" t="s">
        <v>536</v>
      </c>
      <c r="D74" s="1081" t="s">
        <v>1046</v>
      </c>
      <c r="E74" s="1081">
        <v>1.127</v>
      </c>
      <c r="F74" s="1081" t="s">
        <v>828</v>
      </c>
      <c r="G74" s="1081">
        <v>3</v>
      </c>
      <c r="H74" s="1081">
        <v>0</v>
      </c>
      <c r="I74" s="1081">
        <f t="shared" si="5"/>
        <v>3</v>
      </c>
      <c r="J74" s="1081">
        <v>0</v>
      </c>
      <c r="K74" s="1081">
        <f t="shared" si="6"/>
        <v>3</v>
      </c>
      <c r="L74" s="1104">
        <v>0</v>
      </c>
      <c r="M74" s="1081">
        <f t="shared" si="7"/>
        <v>3</v>
      </c>
      <c r="N74" s="1081">
        <v>0</v>
      </c>
      <c r="O74" s="1081"/>
      <c r="P74" s="1081"/>
      <c r="Q74" s="1081"/>
      <c r="R74" s="1081" t="s">
        <v>990</v>
      </c>
      <c r="S74" s="1082"/>
      <c r="T74" s="1084">
        <v>0</v>
      </c>
      <c r="U74" s="1084">
        <v>0</v>
      </c>
      <c r="V74" s="1084">
        <v>0</v>
      </c>
      <c r="W74" s="1081"/>
    </row>
    <row r="75" spans="1:31" ht="19.95" customHeight="1" x14ac:dyDescent="0.3">
      <c r="A75" s="1081">
        <f t="shared" si="8"/>
        <v>74</v>
      </c>
      <c r="B75" s="1081" t="str">
        <f t="shared" si="9"/>
        <v>AP109</v>
      </c>
      <c r="C75" s="1081" t="s">
        <v>537</v>
      </c>
      <c r="D75" s="1081" t="s">
        <v>1047</v>
      </c>
      <c r="E75" s="1081">
        <v>0.19500000000000001</v>
      </c>
      <c r="F75" s="1081" t="s">
        <v>822</v>
      </c>
      <c r="G75" s="1081">
        <v>1</v>
      </c>
      <c r="H75" s="1081">
        <v>0</v>
      </c>
      <c r="I75" s="1081">
        <f t="shared" si="5"/>
        <v>1</v>
      </c>
      <c r="J75" s="1081">
        <v>0</v>
      </c>
      <c r="K75" s="1081">
        <f t="shared" si="6"/>
        <v>1</v>
      </c>
      <c r="L75" s="1104">
        <v>0</v>
      </c>
      <c r="M75" s="1081">
        <f t="shared" si="7"/>
        <v>1</v>
      </c>
      <c r="N75" s="1081">
        <v>0</v>
      </c>
      <c r="O75" s="1081"/>
      <c r="P75" s="1081"/>
      <c r="Q75" s="1081"/>
      <c r="R75" s="1081" t="s">
        <v>990</v>
      </c>
      <c r="S75" s="1082" t="s">
        <v>1012</v>
      </c>
      <c r="T75" s="1084">
        <v>0</v>
      </c>
      <c r="U75" s="1083">
        <v>1</v>
      </c>
      <c r="V75" s="1084">
        <v>0</v>
      </c>
      <c r="W75" s="1081"/>
    </row>
    <row r="76" spans="1:31" ht="19.95" customHeight="1" x14ac:dyDescent="0.3">
      <c r="A76" s="1081">
        <f t="shared" si="8"/>
        <v>75</v>
      </c>
      <c r="B76" s="1081" t="str">
        <f t="shared" si="9"/>
        <v>AP110</v>
      </c>
      <c r="C76" s="1081" t="s">
        <v>539</v>
      </c>
      <c r="D76" s="1081" t="s">
        <v>1048</v>
      </c>
      <c r="E76" s="1081">
        <v>0.20300000000000001</v>
      </c>
      <c r="F76" s="1081" t="s">
        <v>822</v>
      </c>
      <c r="G76" s="1081">
        <v>2</v>
      </c>
      <c r="H76" s="1081">
        <v>0</v>
      </c>
      <c r="I76" s="1081">
        <f t="shared" si="5"/>
        <v>2</v>
      </c>
      <c r="J76" s="1081">
        <v>0</v>
      </c>
      <c r="K76" s="1081">
        <f t="shared" si="6"/>
        <v>2</v>
      </c>
      <c r="L76" s="1104">
        <v>0</v>
      </c>
      <c r="M76" s="1081">
        <f t="shared" si="7"/>
        <v>2</v>
      </c>
      <c r="N76" s="1081">
        <v>0</v>
      </c>
      <c r="O76" s="1081"/>
      <c r="P76" s="1081"/>
      <c r="Q76" s="1081"/>
      <c r="R76" s="1081" t="s">
        <v>990</v>
      </c>
      <c r="S76" s="1082" t="s">
        <v>979</v>
      </c>
      <c r="T76" s="1084">
        <v>0</v>
      </c>
      <c r="U76" s="1083">
        <v>2</v>
      </c>
      <c r="V76" s="1084">
        <v>0</v>
      </c>
      <c r="W76" s="1081"/>
    </row>
    <row r="77" spans="1:31" ht="20.55" customHeight="1" x14ac:dyDescent="0.3">
      <c r="A77" s="1081"/>
      <c r="B77" s="1086"/>
      <c r="C77" s="1086" t="s">
        <v>171</v>
      </c>
      <c r="D77" s="1086"/>
      <c r="E77" s="1086">
        <f>SUM(E2:E76)</f>
        <v>113.27000000000004</v>
      </c>
      <c r="F77" s="1086"/>
      <c r="G77" s="1086">
        <f>SUM(G2:G76)</f>
        <v>292</v>
      </c>
      <c r="H77" s="1086">
        <f t="shared" ref="H77:W77" si="10">SUM(H2:H76)</f>
        <v>184</v>
      </c>
      <c r="I77" s="1086">
        <f t="shared" si="10"/>
        <v>108</v>
      </c>
      <c r="J77" s="1086">
        <f t="shared" si="10"/>
        <v>11</v>
      </c>
      <c r="K77" s="1086">
        <f t="shared" si="10"/>
        <v>292</v>
      </c>
      <c r="L77" s="1112">
        <f>SUM(L2:L76)</f>
        <v>120</v>
      </c>
      <c r="M77" s="1086">
        <f>SUM(M2:M76)</f>
        <v>173</v>
      </c>
      <c r="N77" s="1086">
        <f t="shared" si="10"/>
        <v>7</v>
      </c>
      <c r="O77" s="1086">
        <f t="shared" si="10"/>
        <v>0</v>
      </c>
      <c r="P77" s="1086">
        <f t="shared" si="10"/>
        <v>0</v>
      </c>
      <c r="Q77" s="1086">
        <f t="shared" si="10"/>
        <v>0</v>
      </c>
      <c r="R77" s="1086">
        <f t="shared" si="10"/>
        <v>0</v>
      </c>
      <c r="S77" s="1086">
        <v>11</v>
      </c>
      <c r="T77" s="1086">
        <f t="shared" si="10"/>
        <v>157</v>
      </c>
      <c r="U77" s="1086">
        <f t="shared" si="10"/>
        <v>129</v>
      </c>
      <c r="V77" s="1086">
        <f t="shared" si="10"/>
        <v>14</v>
      </c>
      <c r="W77" s="1086">
        <f t="shared" si="10"/>
        <v>0</v>
      </c>
    </row>
    <row r="80" spans="1:31" ht="15.6" x14ac:dyDescent="0.3">
      <c r="Y80" s="1371" t="s">
        <v>1049</v>
      </c>
      <c r="Z80" s="1371"/>
      <c r="AA80" s="1371"/>
      <c r="AB80" s="1371"/>
      <c r="AC80" s="1371"/>
      <c r="AD80" s="1371"/>
      <c r="AE80" s="1371"/>
    </row>
    <row r="81" spans="13:31" ht="22.5" customHeight="1" x14ac:dyDescent="0.3">
      <c r="Y81" s="1372" t="s">
        <v>101</v>
      </c>
      <c r="Z81" s="1374" t="s">
        <v>823</v>
      </c>
      <c r="AA81" s="1375"/>
      <c r="AB81" s="1376" t="s">
        <v>990</v>
      </c>
      <c r="AC81" s="1377"/>
      <c r="AD81" s="1377" t="s">
        <v>1050</v>
      </c>
      <c r="AE81" s="1377"/>
    </row>
    <row r="82" spans="13:31" ht="22.5" customHeight="1" x14ac:dyDescent="0.3">
      <c r="Y82" s="1373"/>
      <c r="Z82" s="1088" t="s">
        <v>1051</v>
      </c>
      <c r="AA82" s="1088" t="s">
        <v>1052</v>
      </c>
      <c r="AB82" s="1088" t="s">
        <v>1051</v>
      </c>
      <c r="AC82" s="1088" t="s">
        <v>1052</v>
      </c>
      <c r="AD82" s="1088" t="s">
        <v>1051</v>
      </c>
      <c r="AE82" s="1088" t="s">
        <v>1052</v>
      </c>
    </row>
    <row r="83" spans="13:31" ht="20.55" customHeight="1" x14ac:dyDescent="0.3">
      <c r="M83" s="1080">
        <f ca="1">M83</f>
        <v>0</v>
      </c>
      <c r="Y83" s="1089" t="s">
        <v>1053</v>
      </c>
      <c r="Z83" s="1090">
        <v>18</v>
      </c>
      <c r="AA83" s="1090">
        <v>40.146000000000001</v>
      </c>
      <c r="AB83" s="1090">
        <v>28</v>
      </c>
      <c r="AC83" s="1090">
        <v>59.8</v>
      </c>
      <c r="AD83" s="1090">
        <f>Z83+AB83</f>
        <v>46</v>
      </c>
      <c r="AE83" s="1090">
        <f>AA83+AC83</f>
        <v>99.945999999999998</v>
      </c>
    </row>
    <row r="84" spans="13:31" ht="20.55" customHeight="1" x14ac:dyDescent="0.3">
      <c r="Y84" s="1089" t="s">
        <v>1054</v>
      </c>
      <c r="Z84" s="1090">
        <v>9</v>
      </c>
      <c r="AA84" s="1090">
        <v>3.8759999999999999</v>
      </c>
      <c r="AB84" s="1090">
        <v>20</v>
      </c>
      <c r="AC84" s="1090">
        <v>9.2859999999999996</v>
      </c>
      <c r="AD84" s="1090">
        <f>Z84+AB84</f>
        <v>29</v>
      </c>
      <c r="AE84" s="1090">
        <f>AA84+AC84</f>
        <v>13.161999999999999</v>
      </c>
    </row>
    <row r="85" spans="13:31" ht="20.55" customHeight="1" x14ac:dyDescent="0.3">
      <c r="Y85" s="1091" t="s">
        <v>171</v>
      </c>
      <c r="Z85" s="1092">
        <f>SUBTOTAL(9,Z83:Z84)</f>
        <v>27</v>
      </c>
      <c r="AA85" s="1092">
        <f t="shared" ref="AA85:AE85" si="11">SUBTOTAL(9,AA83:AA84)</f>
        <v>44.021999999999998</v>
      </c>
      <c r="AB85" s="1092">
        <f t="shared" si="11"/>
        <v>48</v>
      </c>
      <c r="AC85" s="1092">
        <f t="shared" si="11"/>
        <v>69.085999999999999</v>
      </c>
      <c r="AD85" s="1092">
        <f t="shared" si="11"/>
        <v>75</v>
      </c>
      <c r="AE85" s="1092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topLeftCell="A108" zoomScale="78" zoomScaleNormal="78" zoomScaleSheetLayoutView="72" workbookViewId="0">
      <selection activeCell="R145" sqref="R145:R146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78" t="s">
        <v>159</v>
      </c>
      <c r="B1" s="1379"/>
      <c r="C1" s="1379"/>
      <c r="D1" s="1379"/>
      <c r="E1" s="1379"/>
      <c r="F1" s="1379"/>
      <c r="G1" s="1379"/>
      <c r="H1" s="1379"/>
      <c r="I1" s="1379"/>
      <c r="J1" s="1379"/>
      <c r="K1" s="1379"/>
      <c r="L1" s="1379"/>
      <c r="M1" s="1379"/>
      <c r="N1" s="1379"/>
      <c r="O1" s="1379"/>
      <c r="P1" s="1379"/>
      <c r="Q1" s="1379"/>
      <c r="R1" s="1379"/>
      <c r="S1" s="1379"/>
      <c r="T1" s="1379"/>
      <c r="U1" s="1379"/>
      <c r="V1" s="1379"/>
      <c r="W1" s="1379"/>
      <c r="X1" s="1379"/>
      <c r="Y1" s="1380"/>
    </row>
    <row r="2" spans="1:28" ht="15" thickBot="1" x14ac:dyDescent="0.35">
      <c r="A2" s="1381" t="s">
        <v>550</v>
      </c>
      <c r="B2" s="1382"/>
      <c r="C2" s="1382"/>
      <c r="D2" s="1382"/>
      <c r="E2" s="1382"/>
      <c r="F2" s="1382"/>
      <c r="G2" s="1382"/>
      <c r="H2" s="1382"/>
      <c r="I2" s="1382"/>
      <c r="J2" s="1382"/>
      <c r="K2" s="1382"/>
      <c r="L2" s="1382"/>
      <c r="M2" s="1382"/>
      <c r="N2" s="1382"/>
      <c r="O2" s="1382"/>
      <c r="P2" s="1382"/>
      <c r="Q2" s="1382"/>
      <c r="R2" s="1382"/>
      <c r="S2" s="1382"/>
      <c r="T2" s="1382"/>
      <c r="U2" s="1382"/>
      <c r="V2" s="1382"/>
      <c r="W2" s="1382"/>
      <c r="X2" s="1382"/>
      <c r="Y2" s="1383"/>
    </row>
    <row r="3" spans="1:28" ht="14.25" customHeight="1" thickBot="1" x14ac:dyDescent="0.35">
      <c r="A3" s="461"/>
      <c r="B3" s="1384" t="s">
        <v>160</v>
      </c>
      <c r="C3" s="1385"/>
      <c r="D3" s="520">
        <f>Z16</f>
        <v>184</v>
      </c>
      <c r="E3" s="521" t="s">
        <v>551</v>
      </c>
      <c r="F3" s="1386" t="s">
        <v>161</v>
      </c>
      <c r="G3" s="1385"/>
      <c r="H3" s="522">
        <f>AA16</f>
        <v>120</v>
      </c>
      <c r="I3" s="549" t="s">
        <v>551</v>
      </c>
      <c r="J3" s="1387" t="s">
        <v>162</v>
      </c>
      <c r="K3" s="1385"/>
      <c r="L3" s="522">
        <f>AB16</f>
        <v>131</v>
      </c>
      <c r="M3" s="524" t="s">
        <v>551</v>
      </c>
      <c r="N3" s="1386" t="s">
        <v>163</v>
      </c>
      <c r="O3" s="1385"/>
      <c r="P3" s="525" t="s">
        <v>552</v>
      </c>
      <c r="Q3" s="523">
        <v>113.292</v>
      </c>
      <c r="R3" s="1386" t="s">
        <v>164</v>
      </c>
      <c r="S3" s="1385"/>
      <c r="T3" s="520" t="s">
        <v>553</v>
      </c>
      <c r="U3" s="523">
        <v>113.292</v>
      </c>
      <c r="V3" s="526" t="s">
        <v>165</v>
      </c>
      <c r="W3" s="1388">
        <f ca="1">TODAY()</f>
        <v>46241</v>
      </c>
      <c r="X3" s="1389"/>
      <c r="Y3" s="462"/>
    </row>
    <row r="4" spans="1:28" ht="14.25" customHeight="1" x14ac:dyDescent="0.3">
      <c r="A4" s="461"/>
      <c r="B4" s="1414" t="s">
        <v>166</v>
      </c>
      <c r="C4" s="1417" t="s">
        <v>23</v>
      </c>
      <c r="D4" s="1420">
        <v>0</v>
      </c>
      <c r="E4" s="1420" t="s">
        <v>168</v>
      </c>
      <c r="F4" s="1420">
        <v>6</v>
      </c>
      <c r="G4" s="1421" t="s">
        <v>170</v>
      </c>
      <c r="H4" s="1402" t="s">
        <v>171</v>
      </c>
      <c r="I4" s="1403" t="s">
        <v>115</v>
      </c>
      <c r="J4" s="358"/>
      <c r="K4" s="358"/>
      <c r="L4" s="359"/>
      <c r="M4" s="1406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415"/>
      <c r="C5" s="1418"/>
      <c r="D5" s="1357"/>
      <c r="E5" s="1357"/>
      <c r="F5" s="1357"/>
      <c r="G5" s="1357"/>
      <c r="H5" s="1357"/>
      <c r="I5" s="1404"/>
      <c r="J5" s="595" t="s">
        <v>172</v>
      </c>
      <c r="K5" s="596"/>
      <c r="L5" s="364"/>
      <c r="M5" s="1407"/>
      <c r="N5" s="365"/>
      <c r="O5" s="364"/>
      <c r="P5" s="366" t="s">
        <v>173</v>
      </c>
      <c r="Q5" s="365"/>
      <c r="R5" s="367" t="s">
        <v>174</v>
      </c>
      <c r="S5" s="595"/>
      <c r="T5" s="596"/>
      <c r="U5" s="366"/>
      <c r="V5" s="1408"/>
      <c r="W5" s="1344"/>
      <c r="X5" s="528"/>
      <c r="Y5" s="462"/>
    </row>
    <row r="6" spans="1:28" ht="14.25" customHeight="1" thickBot="1" x14ac:dyDescent="0.35">
      <c r="A6" s="461"/>
      <c r="B6" s="1416"/>
      <c r="C6" s="1419"/>
      <c r="D6" s="1358"/>
      <c r="E6" s="1358"/>
      <c r="F6" s="1358"/>
      <c r="G6" s="1358"/>
      <c r="H6" s="1358"/>
      <c r="I6" s="1405"/>
      <c r="J6" s="548" t="s">
        <v>175</v>
      </c>
      <c r="K6" s="596"/>
      <c r="L6" s="364"/>
      <c r="M6" s="596"/>
      <c r="N6" s="365"/>
      <c r="O6" s="364"/>
      <c r="P6" s="596"/>
      <c r="Q6" s="366"/>
      <c r="R6" s="369"/>
      <c r="S6" s="597"/>
      <c r="T6" s="597"/>
      <c r="U6" s="366"/>
      <c r="V6" s="370" t="s">
        <v>176</v>
      </c>
      <c r="W6" s="597"/>
      <c r="X6" s="528"/>
      <c r="Y6" s="462"/>
    </row>
    <row r="7" spans="1:28" ht="14.25" customHeight="1" x14ac:dyDescent="0.3">
      <c r="A7" s="461"/>
      <c r="B7" s="529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409" t="s">
        <v>182</v>
      </c>
      <c r="K7" s="1411" t="s">
        <v>178</v>
      </c>
      <c r="L7" s="596"/>
      <c r="M7" s="596" t="s">
        <v>179</v>
      </c>
      <c r="N7" s="365"/>
      <c r="O7" s="364"/>
      <c r="P7" s="596"/>
      <c r="Q7" s="365"/>
      <c r="R7" s="364" t="s">
        <v>180</v>
      </c>
      <c r="S7" s="597"/>
      <c r="T7" s="597"/>
      <c r="U7" s="366"/>
      <c r="V7" s="1413"/>
      <c r="W7" s="1344"/>
      <c r="X7" s="528"/>
      <c r="Y7" s="462"/>
    </row>
    <row r="8" spans="1:28" ht="14.25" customHeight="1" x14ac:dyDescent="0.3">
      <c r="A8" s="461"/>
      <c r="B8" s="529" t="s">
        <v>181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410"/>
      <c r="K8" s="1412"/>
      <c r="L8" s="596"/>
      <c r="M8" s="596"/>
      <c r="N8" s="365"/>
      <c r="O8" s="364"/>
      <c r="P8" s="596"/>
      <c r="Q8" s="365"/>
      <c r="R8" s="369"/>
      <c r="S8" s="597"/>
      <c r="T8" s="597"/>
      <c r="U8" s="366"/>
      <c r="V8" s="369"/>
      <c r="W8" s="597"/>
      <c r="X8" s="528"/>
      <c r="Y8" s="462"/>
    </row>
    <row r="9" spans="1:28" ht="14.25" customHeight="1" x14ac:dyDescent="0.3">
      <c r="A9" s="461"/>
      <c r="B9" s="530" t="s">
        <v>183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598"/>
      <c r="K9" s="373"/>
      <c r="L9" s="596"/>
      <c r="M9" s="596"/>
      <c r="N9" s="365"/>
      <c r="O9" s="364" t="s">
        <v>184</v>
      </c>
      <c r="P9" s="596"/>
      <c r="Q9" s="365"/>
      <c r="R9" s="369"/>
      <c r="S9" s="597"/>
      <c r="T9" s="597"/>
      <c r="U9" s="366"/>
      <c r="V9" s="369"/>
      <c r="W9" s="597"/>
      <c r="X9" s="528"/>
      <c r="Y9" s="462"/>
    </row>
    <row r="10" spans="1:28" ht="14.25" customHeight="1" x14ac:dyDescent="0.3">
      <c r="A10" s="461"/>
      <c r="B10" s="531" t="s">
        <v>188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598"/>
      <c r="K10" s="599"/>
      <c r="L10" s="364"/>
      <c r="M10" s="596"/>
      <c r="N10" s="365"/>
      <c r="O10" s="364"/>
      <c r="P10" s="596"/>
      <c r="Q10" s="365"/>
      <c r="R10" s="369"/>
      <c r="S10" s="597"/>
      <c r="T10" s="597"/>
      <c r="U10" s="366"/>
      <c r="V10" s="369"/>
      <c r="W10" s="597"/>
      <c r="X10" s="528"/>
      <c r="Y10" s="462"/>
    </row>
    <row r="11" spans="1:28" ht="14.25" customHeight="1" x14ac:dyDescent="0.3">
      <c r="A11" s="461"/>
      <c r="B11" s="531" t="s">
        <v>185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00"/>
      <c r="K11" s="601"/>
      <c r="L11" s="374"/>
      <c r="M11" s="601"/>
      <c r="N11" s="375"/>
      <c r="O11" s="376"/>
      <c r="P11" s="601"/>
      <c r="Q11" s="375"/>
      <c r="R11" s="369"/>
      <c r="S11" s="597" t="s">
        <v>187</v>
      </c>
      <c r="T11" s="597"/>
      <c r="U11" s="366"/>
      <c r="V11" s="369"/>
      <c r="W11" s="597"/>
      <c r="X11" s="528"/>
      <c r="Y11" s="462"/>
    </row>
    <row r="12" spans="1:28" ht="14.25" customHeight="1" thickBot="1" x14ac:dyDescent="0.35">
      <c r="A12" s="461"/>
      <c r="B12" s="532" t="s">
        <v>186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00"/>
      <c r="K12" s="601"/>
      <c r="L12" s="374"/>
      <c r="M12" s="601"/>
      <c r="N12" s="375"/>
      <c r="O12" s="364"/>
      <c r="P12" s="601"/>
      <c r="Q12" s="366" t="s">
        <v>175</v>
      </c>
      <c r="R12" s="369"/>
      <c r="S12" s="597" t="s">
        <v>192</v>
      </c>
      <c r="T12" s="597"/>
      <c r="U12" s="366"/>
      <c r="V12" s="369"/>
      <c r="W12" s="597"/>
      <c r="X12" s="528"/>
      <c r="Y12" s="462"/>
    </row>
    <row r="13" spans="1:28" ht="14.25" customHeight="1" x14ac:dyDescent="0.3">
      <c r="A13" s="461"/>
      <c r="B13" s="529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02" t="s">
        <v>190</v>
      </c>
      <c r="K13" s="603" t="s">
        <v>191</v>
      </c>
      <c r="L13" s="369"/>
      <c r="M13" s="597"/>
      <c r="N13" s="366"/>
      <c r="O13" s="369"/>
      <c r="P13" s="596"/>
      <c r="Q13" s="365"/>
      <c r="R13" s="369"/>
      <c r="T13" s="595"/>
      <c r="U13" s="377"/>
      <c r="V13" s="1390" t="s">
        <v>697</v>
      </c>
      <c r="W13" s="1344"/>
      <c r="X13" s="533"/>
      <c r="Y13" s="462"/>
      <c r="Z13" s="1391" t="s">
        <v>45</v>
      </c>
      <c r="AA13" s="1393" t="s">
        <v>106</v>
      </c>
      <c r="AB13" s="1395" t="s">
        <v>46</v>
      </c>
    </row>
    <row r="14" spans="1:28" ht="14.25" customHeight="1" thickBot="1" x14ac:dyDescent="0.35">
      <c r="A14" s="461"/>
      <c r="B14" s="529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04" t="s">
        <v>195</v>
      </c>
      <c r="K14" s="603" t="s">
        <v>196</v>
      </c>
      <c r="L14" s="378"/>
      <c r="M14" s="605" t="s">
        <v>46</v>
      </c>
      <c r="N14" s="379"/>
      <c r="O14" s="596"/>
      <c r="P14" s="1397" t="s">
        <v>50</v>
      </c>
      <c r="Q14" s="379"/>
      <c r="R14" s="369" t="s">
        <v>67</v>
      </c>
      <c r="S14" s="597"/>
      <c r="T14" s="597"/>
      <c r="U14" s="366"/>
      <c r="V14" s="368" t="s">
        <v>197</v>
      </c>
      <c r="W14" s="597"/>
      <c r="X14" s="528"/>
      <c r="Y14" s="462"/>
      <c r="Z14" s="1392"/>
      <c r="AA14" s="1394"/>
      <c r="AB14" s="1396"/>
    </row>
    <row r="15" spans="1:28" ht="14.25" customHeight="1" thickBot="1" x14ac:dyDescent="0.35">
      <c r="A15" s="461"/>
      <c r="B15" s="534" t="s">
        <v>194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398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399" t="s">
        <v>198</v>
      </c>
      <c r="C16" s="1400"/>
      <c r="D16" s="1400"/>
      <c r="E16" s="1400"/>
      <c r="F16" s="1400"/>
      <c r="G16" s="1401"/>
      <c r="H16" s="380">
        <f>D3</f>
        <v>184</v>
      </c>
      <c r="I16" s="381">
        <f>292-H16</f>
        <v>108</v>
      </c>
      <c r="J16" s="596"/>
      <c r="K16" s="596"/>
      <c r="L16" s="596"/>
      <c r="M16" s="596"/>
      <c r="N16" s="606"/>
      <c r="O16" s="382"/>
      <c r="P16" s="599"/>
      <c r="Q16" s="596"/>
      <c r="R16" s="597"/>
      <c r="S16" s="597"/>
      <c r="T16" s="597"/>
      <c r="U16" s="597"/>
      <c r="V16" s="607"/>
      <c r="W16" s="607"/>
      <c r="X16" s="597"/>
      <c r="Y16" s="463"/>
      <c r="Z16" s="406">
        <f>SUM(Z18:Z254)</f>
        <v>184</v>
      </c>
      <c r="AA16" s="406">
        <f>SUM(AA18:AA254)</f>
        <v>120</v>
      </c>
      <c r="AB16" s="407">
        <f>SUM(AB18:AB254)</f>
        <v>131</v>
      </c>
    </row>
    <row r="17" spans="1:39" ht="14.25" customHeight="1" x14ac:dyDescent="0.3">
      <c r="A17" s="461"/>
      <c r="B17" s="608" t="s">
        <v>554</v>
      </c>
      <c r="C17" s="608"/>
      <c r="D17" s="608"/>
      <c r="E17" s="609"/>
      <c r="F17" s="609"/>
      <c r="G17" s="609"/>
      <c r="H17" s="609"/>
      <c r="I17" s="596"/>
      <c r="J17" s="596"/>
      <c r="K17" s="596"/>
      <c r="L17" s="596"/>
      <c r="M17" s="596"/>
      <c r="N17" s="606"/>
      <c r="O17" s="382"/>
      <c r="P17" s="599"/>
      <c r="Q17" s="596"/>
      <c r="R17" s="597"/>
      <c r="S17" s="597"/>
      <c r="T17" s="597"/>
      <c r="U17" s="597"/>
      <c r="V17" s="607"/>
      <c r="W17" s="607"/>
      <c r="X17" s="597"/>
      <c r="Y17" s="463"/>
      <c r="Z17" s="456"/>
      <c r="AA17" s="411"/>
      <c r="AB17" s="412"/>
    </row>
    <row r="18" spans="1:39" ht="14.25" customHeight="1" x14ac:dyDescent="0.3">
      <c r="A18" s="464" t="s">
        <v>698</v>
      </c>
      <c r="B18" s="383"/>
      <c r="C18" s="384"/>
      <c r="D18" s="608"/>
      <c r="E18" s="609"/>
      <c r="F18" s="609"/>
      <c r="G18" s="609"/>
      <c r="H18" s="609"/>
      <c r="I18" s="596"/>
      <c r="J18" s="596"/>
      <c r="K18" s="596"/>
      <c r="L18" s="596"/>
      <c r="M18" s="596"/>
      <c r="N18" s="606"/>
      <c r="O18" s="382"/>
      <c r="P18" s="599"/>
      <c r="Q18" s="596"/>
      <c r="R18" s="597"/>
      <c r="S18" s="597"/>
      <c r="T18" s="597"/>
      <c r="U18" s="597"/>
      <c r="V18" s="607"/>
      <c r="W18" s="607"/>
      <c r="X18" s="597"/>
      <c r="Y18" s="463"/>
      <c r="Z18" s="457"/>
      <c r="AA18" s="408"/>
      <c r="AB18" s="413"/>
      <c r="AD18" s="357" t="s">
        <v>699</v>
      </c>
      <c r="AE18" s="357" t="s">
        <v>700</v>
      </c>
      <c r="AF18" s="357" t="s">
        <v>701</v>
      </c>
      <c r="AG18" s="357" t="s">
        <v>702</v>
      </c>
      <c r="AH18" s="357" t="s">
        <v>703</v>
      </c>
      <c r="AI18" s="357" t="s">
        <v>704</v>
      </c>
      <c r="AJ18" s="357" t="s">
        <v>705</v>
      </c>
      <c r="AK18" s="357" t="s">
        <v>706</v>
      </c>
      <c r="AL18" s="357" t="s">
        <v>707</v>
      </c>
      <c r="AM18" s="357" t="s">
        <v>50</v>
      </c>
    </row>
    <row r="19" spans="1:39" ht="14.25" customHeight="1" x14ac:dyDescent="0.3">
      <c r="A19" s="461"/>
      <c r="B19" s="606"/>
      <c r="C19" s="385"/>
      <c r="D19" s="596"/>
      <c r="E19" s="596"/>
      <c r="F19" s="596"/>
      <c r="G19" s="382"/>
      <c r="H19" s="596"/>
      <c r="I19" s="385"/>
      <c r="J19" s="596"/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465"/>
      <c r="Z19" s="457"/>
      <c r="AA19" s="408"/>
      <c r="AB19" s="413"/>
      <c r="AC19" s="357" t="s">
        <v>708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6"/>
      <c r="C20" s="596"/>
      <c r="D20" s="610"/>
      <c r="E20" s="611"/>
      <c r="F20" s="610"/>
      <c r="G20" s="610"/>
      <c r="H20" s="610"/>
      <c r="I20" s="596"/>
      <c r="J20" s="610"/>
      <c r="K20" s="610"/>
      <c r="L20" s="610"/>
      <c r="M20" s="610"/>
      <c r="N20" s="610"/>
      <c r="O20" s="610"/>
      <c r="P20" s="610"/>
      <c r="Q20" s="612"/>
      <c r="R20" s="612"/>
      <c r="S20" s="612"/>
      <c r="T20" s="610"/>
      <c r="U20" s="612"/>
      <c r="V20" s="610"/>
      <c r="W20" s="612"/>
      <c r="X20" s="610"/>
      <c r="Y20" s="466"/>
      <c r="Z20" s="457"/>
      <c r="AA20" s="408"/>
      <c r="AB20" s="413"/>
      <c r="AC20" s="387" t="s">
        <v>709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26" t="s">
        <v>870</v>
      </c>
      <c r="C21" s="389">
        <v>411</v>
      </c>
      <c r="D21" s="1422"/>
      <c r="E21" s="390">
        <v>432</v>
      </c>
      <c r="F21" s="1424" t="s">
        <v>769</v>
      </c>
      <c r="G21" s="390">
        <v>411</v>
      </c>
      <c r="H21" s="1424" t="s">
        <v>769</v>
      </c>
      <c r="I21" s="390">
        <v>432</v>
      </c>
      <c r="J21" s="1422"/>
      <c r="K21" s="1070">
        <v>411</v>
      </c>
      <c r="L21" s="1422"/>
      <c r="M21" s="1070">
        <v>432</v>
      </c>
      <c r="N21" s="1422"/>
      <c r="O21" s="390">
        <v>411</v>
      </c>
      <c r="P21" s="1424" t="s">
        <v>769</v>
      </c>
      <c r="Q21" s="390">
        <v>374.43700000000001</v>
      </c>
      <c r="R21" s="1426" t="s">
        <v>873</v>
      </c>
      <c r="S21" s="390">
        <v>376.00299999999999</v>
      </c>
      <c r="T21" s="1424" t="s">
        <v>873</v>
      </c>
      <c r="U21" s="390">
        <v>405</v>
      </c>
      <c r="V21" s="1424" t="s">
        <v>873</v>
      </c>
      <c r="W21" s="390">
        <v>340</v>
      </c>
      <c r="X21" s="1424" t="s">
        <v>873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710</v>
      </c>
      <c r="AD21" s="391"/>
      <c r="AE21" s="391"/>
      <c r="AF21" s="391"/>
    </row>
    <row r="22" spans="1:39" ht="14.25" customHeight="1" x14ac:dyDescent="0.3">
      <c r="A22" s="461"/>
      <c r="B22" s="1427"/>
      <c r="C22" s="610"/>
      <c r="D22" s="1423"/>
      <c r="E22" s="610"/>
      <c r="F22" s="1425"/>
      <c r="G22" s="610"/>
      <c r="H22" s="1425"/>
      <c r="I22" s="610"/>
      <c r="J22" s="1423"/>
      <c r="K22" s="628"/>
      <c r="L22" s="1423"/>
      <c r="M22" s="628"/>
      <c r="N22" s="1423"/>
      <c r="O22" s="610"/>
      <c r="P22" s="1425"/>
      <c r="Q22" s="610"/>
      <c r="R22" s="1427"/>
      <c r="S22" s="610"/>
      <c r="T22" s="1425"/>
      <c r="U22" s="610"/>
      <c r="V22" s="1425"/>
      <c r="W22" s="610"/>
      <c r="X22" s="1425"/>
      <c r="Y22" s="468"/>
      <c r="Z22" s="457"/>
      <c r="AA22" s="408"/>
      <c r="AB22" s="413"/>
    </row>
    <row r="23" spans="1:39" ht="14.25" customHeight="1" x14ac:dyDescent="0.3">
      <c r="A23" s="461"/>
      <c r="B23" s="613" t="s">
        <v>556</v>
      </c>
      <c r="C23" s="392"/>
      <c r="D23" s="613" t="s">
        <v>200</v>
      </c>
      <c r="E23" s="392"/>
      <c r="F23" s="613" t="s">
        <v>201</v>
      </c>
      <c r="G23" s="392"/>
      <c r="H23" s="613" t="s">
        <v>202</v>
      </c>
      <c r="I23" s="392"/>
      <c r="J23" s="613" t="s">
        <v>203</v>
      </c>
      <c r="K23" s="392"/>
      <c r="L23" s="613" t="s">
        <v>204</v>
      </c>
      <c r="M23" s="392"/>
      <c r="N23" s="613" t="s">
        <v>205</v>
      </c>
      <c r="O23" s="392"/>
      <c r="P23" s="613" t="s">
        <v>206</v>
      </c>
      <c r="Q23" s="614"/>
      <c r="R23" s="613" t="s">
        <v>557</v>
      </c>
      <c r="S23" s="614"/>
      <c r="T23" s="613" t="s">
        <v>207</v>
      </c>
      <c r="U23" s="615"/>
      <c r="V23" s="613" t="s">
        <v>208</v>
      </c>
      <c r="W23" s="614"/>
      <c r="X23" s="613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6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875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6"/>
      <c r="R25" s="392"/>
      <c r="S25" s="385"/>
      <c r="T25" s="392"/>
      <c r="U25" s="392"/>
      <c r="V25" s="663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3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6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6"/>
      <c r="C28" s="617"/>
      <c r="D28" s="596"/>
      <c r="E28" s="617"/>
      <c r="F28" s="596"/>
      <c r="G28" s="617"/>
      <c r="H28" s="596"/>
      <c r="I28" s="617"/>
      <c r="J28" s="596"/>
      <c r="K28" s="617"/>
      <c r="L28" s="596"/>
      <c r="M28" s="617"/>
      <c r="N28" s="596"/>
      <c r="O28" s="617"/>
      <c r="P28" s="596"/>
      <c r="Q28" s="617"/>
      <c r="R28" s="596"/>
      <c r="S28" s="617"/>
      <c r="T28" s="596"/>
      <c r="U28" s="617"/>
      <c r="V28" s="596"/>
      <c r="W28" s="617"/>
      <c r="X28" s="596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10"/>
      <c r="C29" s="617"/>
      <c r="D29" s="610"/>
      <c r="E29" s="617"/>
      <c r="F29" s="610"/>
      <c r="G29" s="617"/>
      <c r="H29" s="610"/>
      <c r="I29" s="617"/>
      <c r="J29" s="610"/>
      <c r="K29" s="617"/>
      <c r="L29" s="610"/>
      <c r="M29" s="617"/>
      <c r="N29" s="610"/>
      <c r="O29" s="617"/>
      <c r="P29" s="610"/>
      <c r="Q29" s="617"/>
      <c r="R29" s="610"/>
      <c r="S29" s="617"/>
      <c r="T29" s="610"/>
      <c r="U29" s="617"/>
      <c r="V29" s="610"/>
      <c r="W29" s="617"/>
      <c r="X29" s="610"/>
      <c r="Y29" s="471"/>
      <c r="Z29" s="457"/>
      <c r="AA29" s="408"/>
      <c r="AB29" s="413"/>
    </row>
    <row r="30" spans="1:39" ht="14.25" customHeight="1" x14ac:dyDescent="0.3">
      <c r="A30" s="461"/>
      <c r="B30" s="1424" t="s">
        <v>873</v>
      </c>
      <c r="C30" s="389">
        <v>399</v>
      </c>
      <c r="D30" s="1430" t="s">
        <v>873</v>
      </c>
      <c r="E30" s="390">
        <v>393</v>
      </c>
      <c r="F30" s="1430" t="s">
        <v>873</v>
      </c>
      <c r="G30" s="390">
        <v>370</v>
      </c>
      <c r="H30" s="1430" t="s">
        <v>873</v>
      </c>
      <c r="I30" s="390">
        <v>350</v>
      </c>
      <c r="J30" s="1428" t="s">
        <v>737</v>
      </c>
      <c r="K30" s="390">
        <v>395</v>
      </c>
      <c r="L30" s="1428" t="s">
        <v>737</v>
      </c>
      <c r="M30" s="390">
        <v>413</v>
      </c>
      <c r="N30" s="1428" t="s">
        <v>737</v>
      </c>
      <c r="O30" s="390">
        <v>366</v>
      </c>
      <c r="P30" s="1428" t="s">
        <v>737</v>
      </c>
      <c r="Q30" s="390">
        <v>377.77</v>
      </c>
      <c r="R30" s="1428" t="s">
        <v>737</v>
      </c>
      <c r="S30" s="390">
        <v>300</v>
      </c>
      <c r="T30" s="1424" t="s">
        <v>712</v>
      </c>
      <c r="U30" s="390">
        <v>393</v>
      </c>
      <c r="V30" s="1424" t="s">
        <v>712</v>
      </c>
      <c r="W30" s="390">
        <v>415</v>
      </c>
      <c r="X30" s="1424" t="s">
        <v>712</v>
      </c>
      <c r="Y30" s="467">
        <v>411</v>
      </c>
      <c r="Z30" s="457">
        <v>9</v>
      </c>
      <c r="AA30" s="408">
        <v>7</v>
      </c>
      <c r="AB30" s="413">
        <v>7</v>
      </c>
    </row>
    <row r="31" spans="1:39" ht="14.25" customHeight="1" x14ac:dyDescent="0.3">
      <c r="A31" s="461"/>
      <c r="B31" s="1425"/>
      <c r="C31" s="610"/>
      <c r="D31" s="1431"/>
      <c r="E31" s="610"/>
      <c r="F31" s="1431"/>
      <c r="G31" s="610"/>
      <c r="H31" s="1431"/>
      <c r="I31" s="610"/>
      <c r="J31" s="1429"/>
      <c r="K31" s="610"/>
      <c r="L31" s="1429"/>
      <c r="M31" s="610"/>
      <c r="N31" s="1429"/>
      <c r="O31" s="610"/>
      <c r="P31" s="1429"/>
      <c r="Q31" s="610"/>
      <c r="R31" s="1429"/>
      <c r="S31" s="610"/>
      <c r="T31" s="1425"/>
      <c r="U31" s="610"/>
      <c r="V31" s="1425"/>
      <c r="W31" s="610"/>
      <c r="X31" s="1425"/>
      <c r="Y31" s="468"/>
      <c r="Z31" s="457"/>
      <c r="AA31" s="408"/>
      <c r="AB31" s="413"/>
    </row>
    <row r="32" spans="1:39" ht="14.25" customHeight="1" x14ac:dyDescent="0.3">
      <c r="A32" s="461"/>
      <c r="B32" s="613" t="s">
        <v>215</v>
      </c>
      <c r="C32" s="392"/>
      <c r="D32" s="613" t="s">
        <v>216</v>
      </c>
      <c r="E32" s="614"/>
      <c r="F32" s="613" t="s">
        <v>217</v>
      </c>
      <c r="G32" s="614"/>
      <c r="H32" s="613" t="s">
        <v>218</v>
      </c>
      <c r="I32" s="614"/>
      <c r="J32" s="613" t="s">
        <v>219</v>
      </c>
      <c r="K32" s="614"/>
      <c r="L32" s="613" t="s">
        <v>220</v>
      </c>
      <c r="M32" s="614"/>
      <c r="N32" s="613" t="s">
        <v>221</v>
      </c>
      <c r="O32" s="614"/>
      <c r="P32" s="613" t="s">
        <v>222</v>
      </c>
      <c r="Q32" s="614"/>
      <c r="R32" s="613" t="s">
        <v>559</v>
      </c>
      <c r="S32" s="614"/>
      <c r="T32" s="613" t="s">
        <v>223</v>
      </c>
      <c r="U32" s="615"/>
      <c r="V32" s="613" t="s">
        <v>224</v>
      </c>
      <c r="W32" s="614"/>
      <c r="X32" s="613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6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9"/>
      <c r="E34" s="579"/>
      <c r="F34" s="579"/>
      <c r="G34" s="579"/>
      <c r="H34" s="579"/>
      <c r="I34" s="579"/>
      <c r="J34" s="579"/>
      <c r="K34" s="392"/>
      <c r="L34" s="392"/>
      <c r="M34" s="392"/>
      <c r="N34" s="392"/>
      <c r="O34" s="392"/>
      <c r="P34" s="392"/>
      <c r="Q34" s="616"/>
      <c r="R34" s="618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6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6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9"/>
      <c r="O36" s="612"/>
      <c r="P36" s="609"/>
      <c r="Q36" s="612"/>
      <c r="R36" s="609"/>
      <c r="S36" s="610"/>
      <c r="T36" s="609"/>
      <c r="U36" s="610"/>
      <c r="V36" s="609"/>
      <c r="W36" s="610"/>
      <c r="X36" s="609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6"/>
      <c r="C37" s="617"/>
      <c r="D37" s="596"/>
      <c r="E37" s="617"/>
      <c r="F37" s="596"/>
      <c r="G37" s="617"/>
      <c r="H37" s="596"/>
      <c r="I37" s="617"/>
      <c r="J37" s="596"/>
      <c r="K37" s="617"/>
      <c r="L37" s="596"/>
      <c r="M37" s="617"/>
      <c r="N37" s="596"/>
      <c r="O37" s="617"/>
      <c r="P37" s="596"/>
      <c r="Q37" s="617"/>
      <c r="R37" s="596"/>
      <c r="S37" s="617"/>
      <c r="T37" s="596"/>
      <c r="U37" s="617"/>
      <c r="V37" s="596"/>
      <c r="W37" s="617"/>
      <c r="X37" s="617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6"/>
      <c r="C38" s="619"/>
      <c r="D38" s="615"/>
      <c r="E38" s="619"/>
      <c r="F38" s="615"/>
      <c r="G38" s="619"/>
      <c r="H38" s="615"/>
      <c r="I38" s="619"/>
      <c r="J38" s="615"/>
      <c r="K38" s="619"/>
      <c r="L38" s="615"/>
      <c r="M38" s="619"/>
      <c r="N38" s="615"/>
      <c r="O38" s="619"/>
      <c r="P38" s="615"/>
      <c r="Q38" s="619"/>
      <c r="R38" s="615"/>
      <c r="S38" s="619"/>
      <c r="T38" s="615"/>
      <c r="U38" s="619"/>
      <c r="V38" s="615"/>
      <c r="W38" s="619"/>
      <c r="X38" s="619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26" t="s">
        <v>911</v>
      </c>
      <c r="C39" s="389">
        <v>378</v>
      </c>
      <c r="D39" s="1424" t="s">
        <v>911</v>
      </c>
      <c r="E39" s="390">
        <v>370</v>
      </c>
      <c r="F39" s="1424" t="s">
        <v>911</v>
      </c>
      <c r="G39" s="390">
        <v>370</v>
      </c>
      <c r="H39" s="1424" t="s">
        <v>911</v>
      </c>
      <c r="I39" s="390">
        <v>404</v>
      </c>
      <c r="J39" s="1424" t="s">
        <v>911</v>
      </c>
      <c r="K39" s="390">
        <v>374</v>
      </c>
      <c r="L39" s="1424" t="s">
        <v>911</v>
      </c>
      <c r="M39" s="390">
        <v>416</v>
      </c>
      <c r="N39" s="1424" t="s">
        <v>712</v>
      </c>
      <c r="O39" s="390">
        <v>425</v>
      </c>
      <c r="P39" s="1424" t="s">
        <v>712</v>
      </c>
      <c r="Q39" s="390">
        <v>411</v>
      </c>
      <c r="R39" s="1424" t="s">
        <v>712</v>
      </c>
      <c r="S39" s="390">
        <v>427</v>
      </c>
      <c r="T39" s="1424" t="s">
        <v>712</v>
      </c>
      <c r="U39" s="390">
        <v>370</v>
      </c>
      <c r="V39" s="1424" t="s">
        <v>712</v>
      </c>
      <c r="W39" s="390">
        <v>356</v>
      </c>
      <c r="X39" s="1426" t="s">
        <v>732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27"/>
      <c r="C40" s="615"/>
      <c r="D40" s="1425"/>
      <c r="E40" s="615"/>
      <c r="F40" s="1425"/>
      <c r="G40" s="615"/>
      <c r="H40" s="1425"/>
      <c r="I40" s="615"/>
      <c r="J40" s="1425"/>
      <c r="K40" s="615"/>
      <c r="L40" s="1425"/>
      <c r="M40" s="615"/>
      <c r="N40" s="1425"/>
      <c r="O40" s="615"/>
      <c r="P40" s="1425"/>
      <c r="Q40" s="615"/>
      <c r="R40" s="1425"/>
      <c r="S40" s="615"/>
      <c r="T40" s="1425"/>
      <c r="U40" s="615"/>
      <c r="V40" s="1425"/>
      <c r="W40" s="615"/>
      <c r="X40" s="1432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3" t="s">
        <v>560</v>
      </c>
      <c r="C41" s="392"/>
      <c r="D41" s="613" t="s">
        <v>227</v>
      </c>
      <c r="E41" s="614"/>
      <c r="F41" s="613" t="s">
        <v>228</v>
      </c>
      <c r="G41" s="614"/>
      <c r="H41" s="613" t="s">
        <v>229</v>
      </c>
      <c r="I41" s="614"/>
      <c r="J41" s="613" t="s">
        <v>230</v>
      </c>
      <c r="K41" s="614"/>
      <c r="L41" s="613" t="s">
        <v>231</v>
      </c>
      <c r="M41" s="614"/>
      <c r="N41" s="613" t="s">
        <v>232</v>
      </c>
      <c r="O41" s="614"/>
      <c r="P41" s="613" t="s">
        <v>233</v>
      </c>
      <c r="Q41" s="614"/>
      <c r="R41" s="613" t="s">
        <v>234</v>
      </c>
      <c r="S41" s="614"/>
      <c r="T41" s="613" t="s">
        <v>235</v>
      </c>
      <c r="U41" s="615"/>
      <c r="V41" s="613" t="s">
        <v>236</v>
      </c>
      <c r="W41" s="614"/>
      <c r="X41" s="613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9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9"/>
      <c r="O43" s="579"/>
      <c r="P43" s="579"/>
      <c r="Q43" s="579"/>
      <c r="R43" s="579"/>
      <c r="S43" s="392"/>
      <c r="T43" s="392"/>
      <c r="U43" s="392"/>
      <c r="V43" s="392"/>
      <c r="W43" s="609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9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20"/>
      <c r="C45" s="621"/>
      <c r="D45" s="620"/>
      <c r="E45" s="621"/>
      <c r="F45" s="620"/>
      <c r="G45" s="620"/>
      <c r="H45" s="620"/>
      <c r="I45" s="620"/>
      <c r="J45" s="620"/>
      <c r="K45" s="621"/>
      <c r="L45" s="609"/>
      <c r="M45" s="612"/>
      <c r="N45" s="620"/>
      <c r="O45" s="621"/>
      <c r="P45" s="392"/>
      <c r="Q45" s="621"/>
      <c r="R45" s="620"/>
      <c r="S45" s="621"/>
      <c r="T45" s="620"/>
      <c r="U45" s="621"/>
      <c r="V45" s="620"/>
      <c r="W45" s="621"/>
      <c r="X45" s="620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6"/>
      <c r="C46" s="617"/>
      <c r="D46" s="596"/>
      <c r="E46" s="617"/>
      <c r="F46" s="596"/>
      <c r="G46" s="617"/>
      <c r="H46" s="596"/>
      <c r="I46" s="617"/>
      <c r="J46" s="606" t="s">
        <v>938</v>
      </c>
      <c r="K46" s="617"/>
      <c r="L46" s="596"/>
      <c r="M46" s="617"/>
      <c r="N46" s="596"/>
      <c r="O46" s="617"/>
      <c r="P46" s="596"/>
      <c r="Q46" s="617"/>
      <c r="R46" s="596"/>
      <c r="S46" s="617"/>
      <c r="T46" s="596"/>
      <c r="U46" s="617"/>
      <c r="V46" s="596"/>
      <c r="W46" s="617"/>
      <c r="X46" s="617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10"/>
      <c r="C47" s="617"/>
      <c r="D47" s="610"/>
      <c r="E47" s="617"/>
      <c r="F47" s="610"/>
      <c r="G47" s="617"/>
      <c r="H47" s="610"/>
      <c r="I47" s="617"/>
      <c r="J47" s="606"/>
      <c r="K47" s="617"/>
      <c r="L47" s="610"/>
      <c r="M47" s="617"/>
      <c r="N47" s="610"/>
      <c r="O47" s="617"/>
      <c r="P47" s="610"/>
      <c r="Q47" s="617"/>
      <c r="R47" s="610"/>
      <c r="S47" s="617"/>
      <c r="T47" s="610"/>
      <c r="U47" s="617"/>
      <c r="V47" s="610"/>
      <c r="W47" s="617"/>
      <c r="X47" s="617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24" t="s">
        <v>712</v>
      </c>
      <c r="C48" s="389">
        <v>355</v>
      </c>
      <c r="D48" s="1424" t="s">
        <v>923</v>
      </c>
      <c r="E48" s="390">
        <v>348</v>
      </c>
      <c r="F48" s="1424" t="s">
        <v>911</v>
      </c>
      <c r="G48" s="390">
        <v>434</v>
      </c>
      <c r="H48" s="1424" t="s">
        <v>911</v>
      </c>
      <c r="I48" s="390">
        <v>401</v>
      </c>
      <c r="J48" s="1426" t="s">
        <v>712</v>
      </c>
      <c r="K48" s="390">
        <v>400</v>
      </c>
      <c r="L48" s="1424" t="s">
        <v>712</v>
      </c>
      <c r="M48" s="390">
        <v>413</v>
      </c>
      <c r="N48" s="1424" t="s">
        <v>712</v>
      </c>
      <c r="O48" s="390">
        <v>406</v>
      </c>
      <c r="P48" s="1424" t="s">
        <v>712</v>
      </c>
      <c r="Q48" s="390">
        <v>390</v>
      </c>
      <c r="R48" s="1424" t="s">
        <v>712</v>
      </c>
      <c r="S48" s="390">
        <v>390</v>
      </c>
      <c r="T48" s="1424" t="s">
        <v>712</v>
      </c>
      <c r="U48" s="390">
        <v>430</v>
      </c>
      <c r="V48" s="1424" t="s">
        <v>759</v>
      </c>
      <c r="W48" s="390">
        <v>332</v>
      </c>
      <c r="X48" s="1426" t="s">
        <v>925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25"/>
      <c r="C49" s="615"/>
      <c r="D49" s="1433"/>
      <c r="E49" s="615"/>
      <c r="F49" s="1425"/>
      <c r="G49" s="615"/>
      <c r="H49" s="1433"/>
      <c r="I49" s="615"/>
      <c r="J49" s="1427"/>
      <c r="K49" s="615"/>
      <c r="L49" s="1425"/>
      <c r="M49" s="615"/>
      <c r="N49" s="1425"/>
      <c r="O49" s="615"/>
      <c r="P49" s="1425"/>
      <c r="Q49" s="615"/>
      <c r="R49" s="1425"/>
      <c r="S49" s="615"/>
      <c r="T49" s="1425"/>
      <c r="U49" s="615"/>
      <c r="V49" s="1433"/>
      <c r="W49" s="615"/>
      <c r="X49" s="1427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3" t="s">
        <v>238</v>
      </c>
      <c r="C50" s="392"/>
      <c r="D50" s="613" t="s">
        <v>239</v>
      </c>
      <c r="E50" s="614"/>
      <c r="F50" s="613" t="s">
        <v>240</v>
      </c>
      <c r="G50" s="614"/>
      <c r="H50" s="613" t="s">
        <v>241</v>
      </c>
      <c r="I50" s="614"/>
      <c r="J50" s="613" t="s">
        <v>562</v>
      </c>
      <c r="K50" s="614"/>
      <c r="L50" s="613" t="s">
        <v>242</v>
      </c>
      <c r="M50" s="614"/>
      <c r="N50" s="613" t="s">
        <v>243</v>
      </c>
      <c r="O50" s="614"/>
      <c r="P50" s="613" t="s">
        <v>244</v>
      </c>
      <c r="Q50" s="614"/>
      <c r="R50" s="613" t="s">
        <v>245</v>
      </c>
      <c r="S50" s="614"/>
      <c r="T50" s="613" t="s">
        <v>246</v>
      </c>
      <c r="U50" s="615"/>
      <c r="V50" s="613" t="s">
        <v>247</v>
      </c>
      <c r="W50" s="614"/>
      <c r="X50" s="613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9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9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9"/>
      <c r="E52" s="579"/>
      <c r="F52" s="579"/>
      <c r="G52" s="579"/>
      <c r="H52" s="579"/>
      <c r="I52" s="622"/>
      <c r="J52" s="579"/>
      <c r="K52" s="579"/>
      <c r="L52" s="579"/>
      <c r="M52" s="579"/>
      <c r="N52" s="579"/>
      <c r="O52" s="579"/>
      <c r="P52" s="579"/>
      <c r="Q52" s="579"/>
      <c r="R52" s="579"/>
      <c r="S52" s="579"/>
      <c r="T52" s="579"/>
      <c r="U52" s="579"/>
      <c r="V52" s="579"/>
      <c r="W52" s="609"/>
      <c r="X52" s="618" t="s">
        <v>711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9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9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6"/>
      <c r="C54" s="606"/>
      <c r="D54" s="609"/>
      <c r="E54" s="612"/>
      <c r="F54" s="609"/>
      <c r="G54" s="610"/>
      <c r="H54" s="609"/>
      <c r="I54" s="610"/>
      <c r="J54" s="609"/>
      <c r="K54" s="612"/>
      <c r="L54" s="609"/>
      <c r="M54" s="610"/>
      <c r="N54" s="623"/>
      <c r="O54" s="612"/>
      <c r="P54" s="623"/>
      <c r="Q54" s="610"/>
      <c r="R54" s="623"/>
      <c r="S54" s="610"/>
      <c r="T54" s="623"/>
      <c r="U54" s="610"/>
      <c r="V54" s="609"/>
      <c r="W54" s="610"/>
      <c r="X54" s="609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6"/>
      <c r="C55" s="617"/>
      <c r="D55" s="596"/>
      <c r="E55" s="617"/>
      <c r="F55" s="596"/>
      <c r="G55" s="617"/>
      <c r="H55" s="596"/>
      <c r="I55" s="617"/>
      <c r="J55" s="606"/>
      <c r="K55" s="617"/>
      <c r="L55" s="596"/>
      <c r="M55" s="617"/>
      <c r="N55" s="596"/>
      <c r="O55" s="617"/>
      <c r="P55" s="596"/>
      <c r="Q55" s="617"/>
      <c r="R55" s="596"/>
      <c r="S55" s="617"/>
      <c r="T55" s="596"/>
      <c r="U55" s="617"/>
      <c r="V55" s="596"/>
      <c r="W55" s="617"/>
      <c r="X55" s="606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6"/>
      <c r="C56" s="617"/>
      <c r="D56" s="610"/>
      <c r="E56" s="617"/>
      <c r="F56" s="610"/>
      <c r="G56" s="617"/>
      <c r="H56" s="610"/>
      <c r="I56" s="617"/>
      <c r="J56" s="606"/>
      <c r="K56" s="617"/>
      <c r="L56" s="610"/>
      <c r="M56" s="617"/>
      <c r="N56" s="610"/>
      <c r="O56" s="617"/>
      <c r="P56" s="610"/>
      <c r="Q56" s="617"/>
      <c r="R56" s="610"/>
      <c r="S56" s="617"/>
      <c r="T56" s="610"/>
      <c r="U56" s="617"/>
      <c r="V56" s="610"/>
      <c r="W56" s="617"/>
      <c r="X56" s="606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34" t="s">
        <v>925</v>
      </c>
      <c r="C57" s="389">
        <v>339</v>
      </c>
      <c r="D57" s="1424" t="s">
        <v>712</v>
      </c>
      <c r="E57" s="390">
        <v>365</v>
      </c>
      <c r="F57" s="1436" t="s">
        <v>715</v>
      </c>
      <c r="G57" s="390">
        <v>409</v>
      </c>
      <c r="H57" s="1424" t="s">
        <v>712</v>
      </c>
      <c r="I57" s="390">
        <v>340.46199999999999</v>
      </c>
      <c r="J57" s="1438" t="s">
        <v>874</v>
      </c>
      <c r="K57" s="390">
        <v>352</v>
      </c>
      <c r="L57" s="1424" t="s">
        <v>712</v>
      </c>
      <c r="M57" s="390">
        <v>419</v>
      </c>
      <c r="N57" s="1424" t="s">
        <v>712</v>
      </c>
      <c r="O57" s="390">
        <v>410</v>
      </c>
      <c r="P57" s="1424" t="s">
        <v>712</v>
      </c>
      <c r="Q57" s="390">
        <v>413</v>
      </c>
      <c r="R57" s="1424" t="s">
        <v>712</v>
      </c>
      <c r="S57" s="390">
        <v>407</v>
      </c>
      <c r="T57" s="1428" t="s">
        <v>737</v>
      </c>
      <c r="U57" s="390">
        <v>351</v>
      </c>
      <c r="V57" s="1424" t="s">
        <v>712</v>
      </c>
      <c r="W57" s="390">
        <v>405</v>
      </c>
      <c r="X57" s="1426" t="s">
        <v>712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35"/>
      <c r="C58" s="615"/>
      <c r="D58" s="1425"/>
      <c r="E58" s="615"/>
      <c r="F58" s="1437"/>
      <c r="G58" s="615"/>
      <c r="H58" s="1425"/>
      <c r="I58" s="615"/>
      <c r="J58" s="1439"/>
      <c r="K58" s="615"/>
      <c r="L58" s="1425"/>
      <c r="M58" s="615"/>
      <c r="N58" s="1425"/>
      <c r="O58" s="615"/>
      <c r="P58" s="1425"/>
      <c r="Q58" s="615"/>
      <c r="R58" s="1425"/>
      <c r="S58" s="615"/>
      <c r="T58" s="1429"/>
      <c r="U58" s="615"/>
      <c r="V58" s="1425"/>
      <c r="W58" s="615"/>
      <c r="X58" s="1427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3" t="s">
        <v>565</v>
      </c>
      <c r="C59" s="392"/>
      <c r="D59" s="613" t="s">
        <v>250</v>
      </c>
      <c r="E59" s="614"/>
      <c r="F59" s="613" t="s">
        <v>251</v>
      </c>
      <c r="G59" s="614"/>
      <c r="H59" s="613" t="s">
        <v>252</v>
      </c>
      <c r="I59" s="614"/>
      <c r="J59" s="613" t="s">
        <v>566</v>
      </c>
      <c r="K59" s="614"/>
      <c r="L59" s="613" t="s">
        <v>253</v>
      </c>
      <c r="M59" s="614"/>
      <c r="N59" s="613" t="s">
        <v>254</v>
      </c>
      <c r="O59" s="614"/>
      <c r="P59" s="613" t="s">
        <v>255</v>
      </c>
      <c r="Q59" s="614"/>
      <c r="R59" s="613" t="s">
        <v>256</v>
      </c>
      <c r="S59" s="614"/>
      <c r="T59" s="613" t="s">
        <v>257</v>
      </c>
      <c r="U59" s="615"/>
      <c r="V59" s="613" t="s">
        <v>258</v>
      </c>
      <c r="W59" s="614"/>
      <c r="X59" s="613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6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6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8" t="s">
        <v>711</v>
      </c>
      <c r="C61" s="392"/>
      <c r="D61" s="392"/>
      <c r="E61" s="392"/>
      <c r="F61" s="579"/>
      <c r="G61" s="579"/>
      <c r="H61" s="579"/>
      <c r="I61" s="624"/>
      <c r="J61" s="579"/>
      <c r="K61" s="392"/>
      <c r="L61" s="392"/>
      <c r="M61" s="392"/>
      <c r="N61" s="392"/>
      <c r="O61" s="392"/>
      <c r="P61" s="579"/>
      <c r="Q61" s="392"/>
      <c r="R61" s="392"/>
      <c r="S61" s="392"/>
      <c r="T61" s="663" t="s">
        <v>555</v>
      </c>
      <c r="U61" s="392"/>
      <c r="V61" s="392"/>
      <c r="W61" s="616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9"/>
      <c r="E62" s="579"/>
      <c r="F62" s="579"/>
      <c r="G62" s="392"/>
      <c r="H62" s="392"/>
      <c r="I62" s="616"/>
      <c r="J62" s="392"/>
      <c r="K62" s="392"/>
      <c r="L62" s="392"/>
      <c r="M62" s="392"/>
      <c r="N62" s="392"/>
      <c r="O62" s="392"/>
      <c r="P62" s="392"/>
      <c r="Q62" s="392"/>
      <c r="R62" s="618"/>
      <c r="S62" s="392"/>
      <c r="T62" s="663"/>
      <c r="U62" s="392"/>
      <c r="V62" s="618"/>
      <c r="W62" s="616"/>
      <c r="X62" s="618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9"/>
      <c r="C63" s="610"/>
      <c r="D63" s="623"/>
      <c r="E63" s="610"/>
      <c r="F63" s="623"/>
      <c r="G63" s="610"/>
      <c r="H63" s="623"/>
      <c r="I63" s="610"/>
      <c r="J63" s="609"/>
      <c r="K63" s="610"/>
      <c r="L63" s="623"/>
      <c r="M63" s="610"/>
      <c r="N63" s="609"/>
      <c r="O63" s="610"/>
      <c r="P63" s="609"/>
      <c r="Q63" s="612"/>
      <c r="R63" s="609"/>
      <c r="S63" s="610"/>
      <c r="T63" s="609"/>
      <c r="U63" s="610"/>
      <c r="V63" s="609"/>
      <c r="W63" s="612"/>
      <c r="X63" s="609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6"/>
      <c r="C64" s="617"/>
      <c r="D64" s="596"/>
      <c r="E64" s="617"/>
      <c r="F64" s="596"/>
      <c r="G64" s="617"/>
      <c r="H64" s="596"/>
      <c r="I64" s="617"/>
      <c r="J64" s="596"/>
      <c r="K64" s="617"/>
      <c r="L64" s="606"/>
      <c r="M64" s="617"/>
      <c r="N64" s="606"/>
      <c r="O64" s="617"/>
      <c r="P64" s="596"/>
      <c r="Q64" s="617"/>
      <c r="R64" s="596"/>
      <c r="S64" s="617"/>
      <c r="T64" s="596"/>
      <c r="U64" s="617"/>
      <c r="V64" s="606"/>
      <c r="W64" s="617"/>
      <c r="X64" s="596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10"/>
      <c r="C65" s="617"/>
      <c r="D65" s="610"/>
      <c r="E65" s="617"/>
      <c r="F65" s="610"/>
      <c r="G65" s="617"/>
      <c r="H65" s="610"/>
      <c r="I65" s="617"/>
      <c r="J65" s="610"/>
      <c r="K65" s="617"/>
      <c r="L65" s="606"/>
      <c r="M65" s="617"/>
      <c r="N65" s="606"/>
      <c r="O65" s="617"/>
      <c r="P65" s="610"/>
      <c r="Q65" s="617"/>
      <c r="R65" s="610"/>
      <c r="S65" s="617"/>
      <c r="T65" s="610"/>
      <c r="U65" s="617"/>
      <c r="V65" s="606"/>
      <c r="W65" s="617"/>
      <c r="X65" s="610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24" t="s">
        <v>712</v>
      </c>
      <c r="C66" s="389">
        <v>439</v>
      </c>
      <c r="D66" s="1424" t="s">
        <v>712</v>
      </c>
      <c r="E66" s="390">
        <v>398</v>
      </c>
      <c r="F66" s="1424" t="s">
        <v>737</v>
      </c>
      <c r="G66" s="390">
        <v>445</v>
      </c>
      <c r="H66" s="1424" t="s">
        <v>737</v>
      </c>
      <c r="I66" s="390">
        <v>355</v>
      </c>
      <c r="J66" s="1424" t="s">
        <v>737</v>
      </c>
      <c r="K66" s="390">
        <v>445.64499999999998</v>
      </c>
      <c r="L66" s="1426" t="s">
        <v>737</v>
      </c>
      <c r="M66" s="390">
        <v>214.74199999999999</v>
      </c>
      <c r="N66" s="1426" t="s">
        <v>737</v>
      </c>
      <c r="O66" s="390">
        <v>498</v>
      </c>
      <c r="P66" s="1424" t="s">
        <v>712</v>
      </c>
      <c r="Q66" s="390">
        <v>325</v>
      </c>
      <c r="R66" s="1424" t="s">
        <v>712</v>
      </c>
      <c r="S66" s="390">
        <v>372</v>
      </c>
      <c r="T66" s="1424" t="s">
        <v>712</v>
      </c>
      <c r="U66" s="390">
        <v>393.05399999999997</v>
      </c>
      <c r="V66" s="1426" t="s">
        <v>712</v>
      </c>
      <c r="W66" s="390">
        <v>349</v>
      </c>
      <c r="X66" s="1424" t="s">
        <v>712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25"/>
      <c r="C67" s="615"/>
      <c r="D67" s="1425"/>
      <c r="E67" s="615"/>
      <c r="F67" s="1425"/>
      <c r="G67" s="615"/>
      <c r="H67" s="1425"/>
      <c r="I67" s="615"/>
      <c r="J67" s="1425"/>
      <c r="K67" s="615"/>
      <c r="L67" s="1427"/>
      <c r="M67" s="615"/>
      <c r="N67" s="1427"/>
      <c r="O67" s="615"/>
      <c r="P67" s="1425"/>
      <c r="Q67" s="615"/>
      <c r="R67" s="1425"/>
      <c r="S67" s="615"/>
      <c r="T67" s="1425"/>
      <c r="U67" s="615" t="s">
        <v>716</v>
      </c>
      <c r="V67" s="1440"/>
      <c r="W67" s="615"/>
      <c r="X67" s="1425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3" t="s">
        <v>260</v>
      </c>
      <c r="C68" s="392"/>
      <c r="D68" s="613" t="s">
        <v>261</v>
      </c>
      <c r="E68" s="614"/>
      <c r="F68" s="613" t="s">
        <v>262</v>
      </c>
      <c r="G68" s="614"/>
      <c r="H68" s="613" t="s">
        <v>263</v>
      </c>
      <c r="I68" s="614"/>
      <c r="J68" s="613" t="s">
        <v>264</v>
      </c>
      <c r="K68" s="614"/>
      <c r="L68" s="613" t="s">
        <v>567</v>
      </c>
      <c r="M68" s="614"/>
      <c r="N68" s="613" t="s">
        <v>568</v>
      </c>
      <c r="O68" s="614"/>
      <c r="P68" s="613" t="s">
        <v>265</v>
      </c>
      <c r="Q68" s="614"/>
      <c r="R68" s="613" t="s">
        <v>266</v>
      </c>
      <c r="S68" s="614"/>
      <c r="T68" s="613" t="s">
        <v>267</v>
      </c>
      <c r="U68" s="615"/>
      <c r="V68" s="613" t="s">
        <v>569</v>
      </c>
      <c r="W68" s="614"/>
      <c r="X68" s="613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6">
        <f>(Y57+C66+E66+G66+I66+K66)/1000</f>
        <v>2.4756450000000001</v>
      </c>
      <c r="L69" s="392" t="s">
        <v>269</v>
      </c>
      <c r="M69" s="616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6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3" t="s">
        <v>555</v>
      </c>
      <c r="G70" s="392"/>
      <c r="H70" s="663" t="s">
        <v>555</v>
      </c>
      <c r="I70" s="392"/>
      <c r="K70" s="392"/>
      <c r="L70" s="625" t="s">
        <v>717</v>
      </c>
      <c r="M70" s="616"/>
      <c r="N70" s="625" t="s">
        <v>717</v>
      </c>
      <c r="O70" s="392"/>
      <c r="P70" s="392"/>
      <c r="Q70" s="392"/>
      <c r="R70" s="392"/>
      <c r="S70" s="392"/>
      <c r="T70" s="392"/>
      <c r="U70" s="616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3"/>
      <c r="G71" s="392"/>
      <c r="H71" s="663"/>
      <c r="I71" s="392"/>
      <c r="J71" s="392"/>
      <c r="K71" s="616"/>
      <c r="L71" s="625"/>
      <c r="M71" s="616"/>
      <c r="N71" s="625"/>
      <c r="O71" s="392"/>
      <c r="P71" s="392"/>
      <c r="Q71" s="392"/>
      <c r="R71" s="385"/>
      <c r="S71" s="392"/>
      <c r="T71" s="392"/>
      <c r="U71" s="616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8"/>
      <c r="C72" s="392"/>
      <c r="D72" s="618"/>
      <c r="E72" s="392"/>
      <c r="F72" s="392"/>
      <c r="G72" s="392"/>
      <c r="H72" s="392"/>
      <c r="I72" s="392"/>
      <c r="J72" s="618"/>
      <c r="K72" s="616"/>
      <c r="L72" s="385"/>
      <c r="M72" s="616"/>
      <c r="N72" s="392"/>
      <c r="O72" s="392"/>
      <c r="P72" s="392"/>
      <c r="Q72" s="392"/>
      <c r="R72" s="392"/>
      <c r="S72" s="392"/>
      <c r="T72" s="392"/>
      <c r="U72" s="616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3"/>
      <c r="C73" s="612"/>
      <c r="D73" s="620"/>
      <c r="E73" s="620"/>
      <c r="G73" s="621"/>
      <c r="H73" s="620"/>
      <c r="I73" s="620"/>
      <c r="K73" s="626"/>
      <c r="L73" s="620"/>
      <c r="M73" s="621"/>
      <c r="N73" s="620"/>
      <c r="O73" s="621"/>
      <c r="P73" s="620"/>
      <c r="Q73" s="621"/>
      <c r="R73" s="621"/>
      <c r="S73" s="621"/>
      <c r="T73" s="620"/>
      <c r="U73" s="621"/>
      <c r="V73" s="620"/>
      <c r="W73" s="621"/>
      <c r="X73" s="620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6"/>
      <c r="C74" s="617"/>
      <c r="D74" s="596"/>
      <c r="E74" s="617"/>
      <c r="F74" s="596"/>
      <c r="G74" s="617"/>
      <c r="H74" s="596"/>
      <c r="I74" s="617"/>
      <c r="J74" s="606"/>
      <c r="K74" s="617"/>
      <c r="L74" s="596"/>
      <c r="M74" s="617"/>
      <c r="N74" s="596"/>
      <c r="O74" s="617"/>
      <c r="P74" s="596"/>
      <c r="Q74" s="617"/>
      <c r="R74" s="596" t="s">
        <v>876</v>
      </c>
      <c r="S74" s="617"/>
      <c r="T74" s="596"/>
      <c r="U74" s="617"/>
      <c r="V74" s="596"/>
      <c r="W74" s="617"/>
      <c r="X74" s="596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10"/>
      <c r="C75" s="617"/>
      <c r="D75" s="610"/>
      <c r="E75" s="617"/>
      <c r="F75" s="610"/>
      <c r="G75" s="617"/>
      <c r="H75" s="610"/>
      <c r="I75" s="617"/>
      <c r="J75" s="606"/>
      <c r="K75" s="617"/>
      <c r="L75" s="610"/>
      <c r="M75" s="617"/>
      <c r="N75" s="610"/>
      <c r="O75" s="617"/>
      <c r="P75" s="610"/>
      <c r="Q75" s="617"/>
      <c r="R75" s="610"/>
      <c r="S75" s="617"/>
      <c r="T75" s="610"/>
      <c r="U75" s="617"/>
      <c r="V75" s="610"/>
      <c r="W75" s="617"/>
      <c r="X75" s="610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24" t="s">
        <v>712</v>
      </c>
      <c r="C76" s="389">
        <v>386</v>
      </c>
      <c r="D76" s="1436" t="s">
        <v>715</v>
      </c>
      <c r="E76" s="390">
        <v>429</v>
      </c>
      <c r="F76" s="1424" t="s">
        <v>712</v>
      </c>
      <c r="G76" s="390">
        <v>377</v>
      </c>
      <c r="H76" s="1424" t="s">
        <v>712</v>
      </c>
      <c r="I76" s="390">
        <v>401.83699999999999</v>
      </c>
      <c r="J76" s="1438" t="s">
        <v>760</v>
      </c>
      <c r="K76" s="390">
        <v>402</v>
      </c>
      <c r="L76" s="1449"/>
      <c r="M76" s="390">
        <v>344</v>
      </c>
      <c r="N76" s="1424" t="s">
        <v>712</v>
      </c>
      <c r="O76" s="390">
        <v>399</v>
      </c>
      <c r="P76" s="1424" t="s">
        <v>712</v>
      </c>
      <c r="Q76" s="390">
        <v>439</v>
      </c>
      <c r="R76" s="1441" t="s">
        <v>763</v>
      </c>
      <c r="S76" s="390">
        <v>403</v>
      </c>
      <c r="T76" s="1443"/>
      <c r="U76" s="390">
        <v>480</v>
      </c>
      <c r="V76" s="1445" t="s">
        <v>555</v>
      </c>
      <c r="W76" s="390">
        <v>535</v>
      </c>
      <c r="X76" s="1447" t="s">
        <v>737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25"/>
      <c r="C77" s="615"/>
      <c r="D77" s="1437"/>
      <c r="E77" s="615"/>
      <c r="F77" s="1425"/>
      <c r="G77" s="615"/>
      <c r="H77" s="1425"/>
      <c r="I77" s="615"/>
      <c r="J77" s="1439"/>
      <c r="K77" s="615"/>
      <c r="L77" s="1450"/>
      <c r="M77" s="615"/>
      <c r="N77" s="1425"/>
      <c r="O77" s="615"/>
      <c r="P77" s="1425"/>
      <c r="Q77" s="615"/>
      <c r="R77" s="1442"/>
      <c r="S77" s="615"/>
      <c r="T77" s="1444"/>
      <c r="U77" s="615"/>
      <c r="V77" s="1446"/>
      <c r="W77" s="615"/>
      <c r="X77" s="1448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3" t="s">
        <v>271</v>
      </c>
      <c r="C78" s="392"/>
      <c r="D78" s="613" t="s">
        <v>272</v>
      </c>
      <c r="E78" s="614"/>
      <c r="F78" s="613" t="s">
        <v>273</v>
      </c>
      <c r="G78" s="614"/>
      <c r="H78" s="613" t="s">
        <v>274</v>
      </c>
      <c r="I78" s="614"/>
      <c r="J78" s="613" t="s">
        <v>570</v>
      </c>
      <c r="K78" s="614"/>
      <c r="L78" s="613" t="s">
        <v>275</v>
      </c>
      <c r="M78" s="614"/>
      <c r="N78" s="613" t="s">
        <v>276</v>
      </c>
      <c r="O78" s="614"/>
      <c r="P78" s="613" t="s">
        <v>277</v>
      </c>
      <c r="Q78" s="614"/>
      <c r="R78" s="613" t="s">
        <v>278</v>
      </c>
      <c r="S78" s="614"/>
      <c r="T78" s="613" t="s">
        <v>279</v>
      </c>
      <c r="U78" s="615"/>
      <c r="V78" s="613" t="s">
        <v>280</v>
      </c>
      <c r="W78" s="614"/>
      <c r="X78" s="613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6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6">
        <f>(K76+M76+O76+Q76+S76)/1000</f>
        <v>1.9870000000000001</v>
      </c>
      <c r="T79" s="392" t="s">
        <v>282</v>
      </c>
      <c r="U79" s="616">
        <f>(U76)/1000</f>
        <v>0.48</v>
      </c>
      <c r="V79" s="392" t="s">
        <v>283</v>
      </c>
      <c r="W79" s="616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718</v>
      </c>
      <c r="E80" s="392"/>
      <c r="F80" s="392"/>
      <c r="G80" s="392"/>
      <c r="H80" s="392"/>
      <c r="I80" s="616"/>
      <c r="J80" s="392"/>
      <c r="K80" s="392"/>
      <c r="L80" s="385"/>
      <c r="M80" s="392"/>
      <c r="N80" s="392"/>
      <c r="O80" s="392"/>
      <c r="P80" s="392"/>
      <c r="Q80" s="392"/>
      <c r="R80" s="579"/>
      <c r="S80" s="624"/>
      <c r="T80" s="627"/>
      <c r="U80" s="616"/>
      <c r="V80" s="618"/>
      <c r="W80" s="616"/>
      <c r="X80" s="609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6"/>
      <c r="C81" s="606"/>
      <c r="D81" s="609"/>
      <c r="E81" s="612"/>
      <c r="F81" s="609"/>
      <c r="G81" s="610"/>
      <c r="H81" s="609"/>
      <c r="I81" s="610"/>
      <c r="J81" s="579"/>
      <c r="K81" s="610"/>
      <c r="L81" s="385"/>
      <c r="M81" s="610"/>
      <c r="N81" s="623"/>
      <c r="O81" s="610"/>
      <c r="P81" s="609"/>
      <c r="Q81" s="612"/>
      <c r="R81" s="579"/>
      <c r="S81" s="628"/>
      <c r="T81" s="579"/>
      <c r="U81" s="610"/>
      <c r="V81" s="609"/>
      <c r="W81" s="610"/>
      <c r="X81" s="610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6"/>
      <c r="C82" s="606"/>
      <c r="D82" s="609"/>
      <c r="E82" s="612"/>
      <c r="F82" s="609"/>
      <c r="G82" s="610"/>
      <c r="H82" s="609"/>
      <c r="I82" s="610"/>
      <c r="J82" s="629"/>
      <c r="K82" s="629"/>
      <c r="L82" s="629"/>
      <c r="M82" s="629"/>
      <c r="N82" s="629"/>
      <c r="O82" s="629"/>
      <c r="P82" s="629"/>
      <c r="Q82" s="629"/>
      <c r="R82" s="629"/>
      <c r="S82" s="629"/>
      <c r="T82" s="629"/>
      <c r="U82" s="629"/>
      <c r="V82" s="629"/>
      <c r="W82" s="629"/>
      <c r="X82" s="629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6"/>
      <c r="C83" s="606"/>
      <c r="D83" s="609"/>
      <c r="E83" s="612"/>
      <c r="F83" s="609"/>
      <c r="G83" s="610"/>
      <c r="H83" s="609"/>
      <c r="I83" s="610"/>
      <c r="J83" s="609"/>
      <c r="K83" s="610"/>
      <c r="L83" s="609"/>
      <c r="M83" s="610"/>
      <c r="N83" s="623"/>
      <c r="O83" s="610"/>
      <c r="P83" s="609"/>
      <c r="Q83" s="612"/>
      <c r="R83" s="609"/>
      <c r="S83" s="610"/>
      <c r="T83" s="609"/>
      <c r="U83" s="610"/>
      <c r="V83" s="609"/>
      <c r="W83" s="610"/>
      <c r="X83" s="609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6"/>
      <c r="C84" s="617"/>
      <c r="D84" s="606"/>
      <c r="E84" s="617"/>
      <c r="F84" s="606"/>
      <c r="G84" s="617"/>
      <c r="H84" s="596"/>
      <c r="I84" s="617"/>
      <c r="J84" s="596"/>
      <c r="K84" s="617"/>
      <c r="L84" s="596"/>
      <c r="M84" s="617"/>
      <c r="N84" s="596"/>
      <c r="O84" s="617"/>
      <c r="P84" s="606"/>
      <c r="Q84" s="617"/>
      <c r="R84" s="596"/>
      <c r="S84" s="617"/>
      <c r="T84" s="596"/>
      <c r="U84" s="617"/>
      <c r="V84" s="596"/>
      <c r="W84" s="617"/>
      <c r="X84" s="606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10"/>
      <c r="C85" s="617"/>
      <c r="D85" s="606"/>
      <c r="E85" s="617"/>
      <c r="F85" s="606"/>
      <c r="G85" s="617"/>
      <c r="H85" s="610"/>
      <c r="I85" s="617"/>
      <c r="J85" s="610"/>
      <c r="K85" s="617"/>
      <c r="L85" s="610"/>
      <c r="M85" s="617"/>
      <c r="N85" s="610"/>
      <c r="O85" s="617"/>
      <c r="P85" s="606"/>
      <c r="Q85" s="617"/>
      <c r="R85" s="610"/>
      <c r="S85" s="617"/>
      <c r="T85" s="610"/>
      <c r="U85" s="617"/>
      <c r="V85" s="610"/>
      <c r="W85" s="617"/>
      <c r="X85" s="606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24" t="s">
        <v>712</v>
      </c>
      <c r="C86" s="389">
        <v>454.04700000000003</v>
      </c>
      <c r="D86" s="1443"/>
      <c r="E86" s="390">
        <v>247.49199999999999</v>
      </c>
      <c r="F86" s="1453"/>
      <c r="G86" s="390">
        <v>373</v>
      </c>
      <c r="H86" s="1451" t="s">
        <v>555</v>
      </c>
      <c r="I86" s="390">
        <v>401</v>
      </c>
      <c r="J86" s="1460"/>
      <c r="K86" s="390">
        <v>388</v>
      </c>
      <c r="L86" s="1451" t="s">
        <v>555</v>
      </c>
      <c r="M86" s="390">
        <v>328</v>
      </c>
      <c r="N86" s="1451" t="s">
        <v>555</v>
      </c>
      <c r="O86" s="390">
        <v>329.98200000000003</v>
      </c>
      <c r="P86" s="1453"/>
      <c r="Q86" s="390">
        <v>433</v>
      </c>
      <c r="R86" s="1455" t="s">
        <v>919</v>
      </c>
      <c r="S86" s="390">
        <v>410</v>
      </c>
      <c r="T86" s="1455" t="s">
        <v>919</v>
      </c>
      <c r="U86" s="390">
        <v>307</v>
      </c>
      <c r="V86" s="1457" t="s">
        <v>919</v>
      </c>
      <c r="W86" s="390">
        <v>461.92700000000002</v>
      </c>
      <c r="X86" s="1445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25"/>
      <c r="C87" s="615"/>
      <c r="D87" s="1444"/>
      <c r="E87" s="615"/>
      <c r="F87" s="1459"/>
      <c r="G87" s="615"/>
      <c r="H87" s="1452"/>
      <c r="I87" s="615"/>
      <c r="J87" s="1461"/>
      <c r="K87" s="615"/>
      <c r="L87" s="1452"/>
      <c r="M87" s="615"/>
      <c r="N87" s="1452"/>
      <c r="O87" s="615"/>
      <c r="P87" s="1454"/>
      <c r="Q87" s="615"/>
      <c r="R87" s="1456"/>
      <c r="S87" s="615"/>
      <c r="T87" s="1456"/>
      <c r="U87" s="615"/>
      <c r="V87" s="1458"/>
      <c r="W87" s="615"/>
      <c r="X87" s="1446"/>
      <c r="Y87" s="468"/>
      <c r="Z87" s="458">
        <v>3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3" t="s">
        <v>284</v>
      </c>
      <c r="C88" s="392"/>
      <c r="D88" s="613" t="s">
        <v>571</v>
      </c>
      <c r="E88" s="614"/>
      <c r="F88" s="613" t="s">
        <v>572</v>
      </c>
      <c r="G88" s="614"/>
      <c r="H88" s="613" t="s">
        <v>285</v>
      </c>
      <c r="I88" s="614"/>
      <c r="J88" s="613" t="s">
        <v>286</v>
      </c>
      <c r="K88" s="614"/>
      <c r="L88" s="613" t="s">
        <v>287</v>
      </c>
      <c r="M88" s="614"/>
      <c r="N88" s="613" t="s">
        <v>288</v>
      </c>
      <c r="O88" s="614"/>
      <c r="P88" s="613" t="s">
        <v>573</v>
      </c>
      <c r="Q88" s="614"/>
      <c r="R88" s="613" t="s">
        <v>289</v>
      </c>
      <c r="S88" s="614"/>
      <c r="T88" s="613" t="s">
        <v>290</v>
      </c>
      <c r="U88" s="615"/>
      <c r="V88" s="613" t="s">
        <v>291</v>
      </c>
      <c r="W88" s="614"/>
      <c r="X88" s="613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6">
        <f>(Y76+C86)/1000</f>
        <v>0.84305099999999999</v>
      </c>
      <c r="D89" s="392" t="s">
        <v>210</v>
      </c>
      <c r="E89" s="616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6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6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6"/>
      <c r="D90" s="630" t="s">
        <v>719</v>
      </c>
      <c r="E90" s="616"/>
      <c r="F90" s="630" t="s">
        <v>719</v>
      </c>
      <c r="G90" s="392"/>
      <c r="H90" s="392"/>
      <c r="I90" s="392"/>
      <c r="J90" s="618" t="s">
        <v>715</v>
      </c>
      <c r="K90" s="579"/>
      <c r="L90" s="579"/>
      <c r="M90" s="579"/>
      <c r="N90" s="579"/>
      <c r="O90" s="624"/>
      <c r="P90" s="579"/>
      <c r="Q90" s="392"/>
      <c r="R90" s="392"/>
      <c r="S90" s="392"/>
      <c r="T90" s="1076" t="s">
        <v>555</v>
      </c>
      <c r="U90" s="392"/>
      <c r="V90" s="1076" t="s">
        <v>555</v>
      </c>
      <c r="W90" s="616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6"/>
      <c r="D91" s="630"/>
      <c r="E91" s="616"/>
      <c r="F91" s="630"/>
      <c r="G91" s="392"/>
      <c r="H91" s="392"/>
      <c r="I91" s="392"/>
      <c r="J91" s="618"/>
      <c r="K91" s="392"/>
      <c r="L91" s="392"/>
      <c r="M91" s="392"/>
      <c r="N91" s="392"/>
      <c r="O91" s="616"/>
      <c r="P91" s="392"/>
      <c r="Q91" s="392"/>
      <c r="R91" s="392"/>
      <c r="S91" s="392"/>
      <c r="T91" s="392"/>
      <c r="U91" s="392"/>
      <c r="V91" s="392"/>
      <c r="W91" s="616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31"/>
      <c r="C92" s="631"/>
      <c r="D92" s="631"/>
      <c r="E92" s="631"/>
      <c r="F92" s="631"/>
      <c r="G92" s="631"/>
      <c r="H92" s="631"/>
      <c r="I92" s="631"/>
      <c r="J92" s="631"/>
      <c r="K92" s="631"/>
      <c r="L92" s="631"/>
      <c r="M92" s="631"/>
      <c r="N92" s="631"/>
      <c r="O92" s="631"/>
      <c r="P92" s="631"/>
      <c r="Q92" s="631"/>
      <c r="R92" s="631"/>
      <c r="S92" s="631"/>
      <c r="T92" s="631"/>
      <c r="U92" s="392"/>
      <c r="V92" s="631"/>
      <c r="W92" s="631"/>
      <c r="X92" s="631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3"/>
      <c r="C93" s="610"/>
      <c r="D93" s="623"/>
      <c r="E93" s="610"/>
      <c r="F93" s="623"/>
      <c r="G93" s="610"/>
      <c r="H93" s="609"/>
      <c r="I93" s="610"/>
      <c r="J93" s="609"/>
      <c r="K93" s="610"/>
      <c r="L93" s="609"/>
      <c r="M93" s="610"/>
      <c r="N93" s="609"/>
      <c r="O93" s="610"/>
      <c r="P93" s="609"/>
      <c r="Q93" s="610"/>
      <c r="R93" s="609"/>
      <c r="S93" s="610"/>
      <c r="T93" s="609"/>
      <c r="U93" s="610"/>
      <c r="V93" s="609"/>
      <c r="W93" s="610"/>
      <c r="X93" s="609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6"/>
      <c r="C94" s="617"/>
      <c r="D94" s="596"/>
      <c r="E94" s="617"/>
      <c r="F94" s="596"/>
      <c r="G94" s="617"/>
      <c r="H94" s="596"/>
      <c r="I94" s="617"/>
      <c r="J94" s="606"/>
      <c r="K94" s="617"/>
      <c r="L94" s="606"/>
      <c r="M94" s="617"/>
      <c r="N94" s="606"/>
      <c r="O94" s="617"/>
      <c r="P94" s="596"/>
      <c r="Q94" s="617"/>
      <c r="R94" s="596"/>
      <c r="S94" s="617"/>
      <c r="T94" s="596"/>
      <c r="U94" s="617"/>
      <c r="V94" s="596"/>
      <c r="W94" s="617"/>
      <c r="X94" s="606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6"/>
      <c r="C95" s="617"/>
      <c r="D95" s="610"/>
      <c r="E95" s="617"/>
      <c r="F95" s="610"/>
      <c r="H95" s="610"/>
      <c r="I95" s="617"/>
      <c r="J95" s="606"/>
      <c r="K95" s="617"/>
      <c r="L95" s="606"/>
      <c r="M95" s="617"/>
      <c r="N95" s="606"/>
      <c r="O95" s="617"/>
      <c r="P95" s="610"/>
      <c r="Q95" s="617"/>
      <c r="R95" s="610"/>
      <c r="S95" s="617"/>
      <c r="T95" s="610"/>
      <c r="U95" s="617"/>
      <c r="V95" s="610"/>
      <c r="W95" s="617"/>
      <c r="X95" s="606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45" t="s">
        <v>555</v>
      </c>
      <c r="C96" s="389">
        <v>401</v>
      </c>
      <c r="D96" s="1449"/>
      <c r="E96" s="390">
        <v>350</v>
      </c>
      <c r="F96" s="1424" t="s">
        <v>763</v>
      </c>
      <c r="G96" s="390">
        <v>335</v>
      </c>
      <c r="H96" s="1424" t="s">
        <v>763</v>
      </c>
      <c r="I96" s="390">
        <v>313.49</v>
      </c>
      <c r="J96" s="1462" t="s">
        <v>763</v>
      </c>
      <c r="K96" s="390">
        <v>421</v>
      </c>
      <c r="L96" s="1462" t="s">
        <v>763</v>
      </c>
      <c r="M96" s="390">
        <v>465.81799999999998</v>
      </c>
      <c r="N96" s="1462" t="s">
        <v>763</v>
      </c>
      <c r="O96" s="390">
        <v>352</v>
      </c>
      <c r="P96" s="1424" t="s">
        <v>763</v>
      </c>
      <c r="Q96" s="390">
        <v>403</v>
      </c>
      <c r="R96" s="1451" t="s">
        <v>555</v>
      </c>
      <c r="S96" s="390">
        <v>373</v>
      </c>
      <c r="T96" s="1451" t="s">
        <v>555</v>
      </c>
      <c r="U96" s="390">
        <v>362</v>
      </c>
      <c r="V96" s="1451" t="s">
        <v>555</v>
      </c>
      <c r="W96" s="390">
        <v>351.24</v>
      </c>
      <c r="X96" s="1462" t="s">
        <v>763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46"/>
      <c r="C97" s="615"/>
      <c r="D97" s="1450"/>
      <c r="E97" s="615"/>
      <c r="F97" s="1425"/>
      <c r="G97" s="615"/>
      <c r="H97" s="1425"/>
      <c r="I97" s="615"/>
      <c r="J97" s="1463"/>
      <c r="K97" s="615"/>
      <c r="L97" s="1463"/>
      <c r="M97" s="615"/>
      <c r="N97" s="1463"/>
      <c r="O97" s="615"/>
      <c r="P97" s="1425"/>
      <c r="Q97" s="615"/>
      <c r="R97" s="1452"/>
      <c r="S97" s="615"/>
      <c r="T97" s="1452"/>
      <c r="U97" s="615"/>
      <c r="V97" s="1452"/>
      <c r="W97" s="615"/>
      <c r="X97" s="1464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3" t="s">
        <v>575</v>
      </c>
      <c r="C98" s="392"/>
      <c r="D98" s="613" t="s">
        <v>293</v>
      </c>
      <c r="E98" s="614"/>
      <c r="F98" s="613" t="s">
        <v>294</v>
      </c>
      <c r="G98" s="614"/>
      <c r="H98" s="613" t="s">
        <v>295</v>
      </c>
      <c r="I98" s="614"/>
      <c r="J98" s="613" t="s">
        <v>576</v>
      </c>
      <c r="K98" s="614"/>
      <c r="L98" s="613" t="s">
        <v>296</v>
      </c>
      <c r="M98" s="614"/>
      <c r="N98" s="613" t="s">
        <v>577</v>
      </c>
      <c r="O98" s="614"/>
      <c r="P98" s="613" t="s">
        <v>297</v>
      </c>
      <c r="Q98" s="614"/>
      <c r="R98" s="613" t="s">
        <v>298</v>
      </c>
      <c r="S98" s="614"/>
      <c r="T98" s="613" t="s">
        <v>299</v>
      </c>
      <c r="U98" s="615"/>
      <c r="V98" s="613" t="s">
        <v>300</v>
      </c>
      <c r="W98" s="614"/>
      <c r="X98" s="613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6">
        <f>(C96+E96+G96+I96)/1000</f>
        <v>1.3994899999999999</v>
      </c>
      <c r="J99" s="392" t="s">
        <v>237</v>
      </c>
      <c r="K99" s="616">
        <f>(K96)/1000</f>
        <v>0.42099999999999999</v>
      </c>
      <c r="L99" s="392" t="s">
        <v>283</v>
      </c>
      <c r="M99" s="616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6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31"/>
      <c r="E100" s="392"/>
      <c r="F100" s="609" t="s">
        <v>555</v>
      </c>
      <c r="G100" s="392"/>
      <c r="H100" s="631"/>
      <c r="I100" s="616"/>
      <c r="J100" s="579"/>
      <c r="K100" s="624"/>
      <c r="L100" s="627"/>
      <c r="M100" s="624"/>
      <c r="N100" s="579"/>
      <c r="O100" s="631"/>
      <c r="P100" s="631"/>
      <c r="Q100" s="392"/>
      <c r="R100" s="392"/>
      <c r="S100" s="392"/>
      <c r="T100" s="392"/>
      <c r="U100" s="392"/>
      <c r="V100" s="392"/>
      <c r="W100" s="616"/>
      <c r="X100" s="579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31"/>
      <c r="E101" s="392"/>
      <c r="F101" s="392"/>
      <c r="G101" s="392"/>
      <c r="H101" s="631"/>
      <c r="I101" s="616"/>
      <c r="J101" s="392"/>
      <c r="K101" s="616"/>
      <c r="L101" s="392"/>
      <c r="M101" s="616"/>
      <c r="N101" s="392"/>
      <c r="O101" s="631"/>
      <c r="P101" s="631"/>
      <c r="Q101" s="392"/>
      <c r="R101" s="392"/>
      <c r="S101" s="392"/>
      <c r="T101" s="392"/>
      <c r="U101" s="392"/>
      <c r="V101" s="392"/>
      <c r="W101" s="616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31"/>
      <c r="C102" s="631"/>
      <c r="D102" s="631"/>
      <c r="E102" s="631"/>
      <c r="F102" s="631"/>
      <c r="G102" s="631"/>
      <c r="H102" s="631"/>
      <c r="I102" s="631"/>
      <c r="J102" s="631"/>
      <c r="K102" s="631"/>
      <c r="L102" s="631"/>
      <c r="M102" s="631"/>
      <c r="N102" s="631"/>
      <c r="O102" s="631"/>
      <c r="P102" s="631"/>
      <c r="Q102" s="631"/>
      <c r="R102" s="631"/>
      <c r="S102" s="631"/>
      <c r="T102" s="631"/>
      <c r="U102" s="631"/>
      <c r="V102" s="631"/>
      <c r="W102" s="631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9"/>
      <c r="C103" s="610"/>
      <c r="D103" s="620"/>
      <c r="E103" s="621"/>
      <c r="F103" s="620"/>
      <c r="G103" s="621"/>
      <c r="H103" s="620"/>
      <c r="I103" s="620"/>
      <c r="J103" s="620"/>
      <c r="K103" s="621"/>
      <c r="L103" s="620"/>
      <c r="M103" s="621"/>
      <c r="N103" s="620"/>
      <c r="O103" s="621"/>
      <c r="P103" s="620"/>
      <c r="Q103" s="621"/>
      <c r="R103" s="620"/>
      <c r="S103" s="609"/>
      <c r="T103" s="632"/>
      <c r="U103" s="621"/>
      <c r="V103" s="620"/>
      <c r="W103" s="621"/>
      <c r="X103" s="620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6"/>
      <c r="C104" s="617"/>
      <c r="D104" s="596"/>
      <c r="E104" s="617"/>
      <c r="F104" s="606"/>
      <c r="G104" s="617"/>
      <c r="H104" s="596"/>
      <c r="I104" s="617"/>
      <c r="J104" s="596"/>
      <c r="K104" s="617"/>
      <c r="L104" s="606"/>
      <c r="M104" s="617"/>
      <c r="N104" s="596"/>
      <c r="O104" s="617"/>
      <c r="P104" s="596"/>
      <c r="Q104" s="617"/>
      <c r="R104" s="596"/>
      <c r="S104" s="617"/>
      <c r="T104" s="596"/>
      <c r="U104" s="617"/>
      <c r="V104" s="606"/>
      <c r="W104" s="617"/>
      <c r="X104" s="606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10"/>
      <c r="C105" s="617"/>
      <c r="D105" s="610"/>
      <c r="E105" s="617"/>
      <c r="F105" s="606"/>
      <c r="G105" s="617"/>
      <c r="H105" s="610"/>
      <c r="I105" s="617"/>
      <c r="J105" s="610"/>
      <c r="K105" s="617"/>
      <c r="L105" s="606"/>
      <c r="M105" s="617"/>
      <c r="N105" s="610"/>
      <c r="O105" s="617"/>
      <c r="P105" s="610"/>
      <c r="Q105" s="617"/>
      <c r="R105" s="610"/>
      <c r="S105" s="617"/>
      <c r="T105" s="610"/>
      <c r="U105" s="617"/>
      <c r="V105" s="606"/>
      <c r="W105" s="617"/>
      <c r="X105" s="606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51" t="s">
        <v>555</v>
      </c>
      <c r="C106" s="389">
        <v>375</v>
      </c>
      <c r="D106" s="1424" t="s">
        <v>763</v>
      </c>
      <c r="E106" s="390">
        <v>424.851</v>
      </c>
      <c r="F106" s="1426" t="s">
        <v>763</v>
      </c>
      <c r="G106" s="390">
        <v>414</v>
      </c>
      <c r="H106" s="1424" t="s">
        <v>763</v>
      </c>
      <c r="I106" s="390">
        <v>345</v>
      </c>
      <c r="J106" s="1424" t="s">
        <v>763</v>
      </c>
      <c r="K106" s="390">
        <v>502.62799999999999</v>
      </c>
      <c r="L106" s="1451" t="s">
        <v>555</v>
      </c>
      <c r="M106" s="390">
        <v>453</v>
      </c>
      <c r="N106" s="1424" t="s">
        <v>763</v>
      </c>
      <c r="O106" s="390">
        <v>388</v>
      </c>
      <c r="P106" s="1424" t="s">
        <v>763</v>
      </c>
      <c r="Q106" s="390">
        <v>317</v>
      </c>
      <c r="R106" s="1424" t="s">
        <v>763</v>
      </c>
      <c r="S106" s="390">
        <v>324</v>
      </c>
      <c r="T106" s="1424" t="s">
        <v>763</v>
      </c>
      <c r="U106" s="390">
        <v>484.98399999999998</v>
      </c>
      <c r="V106" s="1426" t="s">
        <v>920</v>
      </c>
      <c r="W106" s="390">
        <v>248.518</v>
      </c>
      <c r="X106" s="1426" t="s">
        <v>920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52"/>
      <c r="C107" s="615"/>
      <c r="D107" s="1425"/>
      <c r="E107" s="615"/>
      <c r="F107" s="1427"/>
      <c r="G107" s="615"/>
      <c r="H107" s="1425"/>
      <c r="I107" s="615"/>
      <c r="J107" s="1425"/>
      <c r="K107" s="615"/>
      <c r="L107" s="1452"/>
      <c r="M107" s="615"/>
      <c r="N107" s="1425"/>
      <c r="O107" s="615"/>
      <c r="P107" s="1425"/>
      <c r="Q107" s="615"/>
      <c r="R107" s="1425"/>
      <c r="S107" s="615"/>
      <c r="T107" s="1425"/>
      <c r="U107" s="615"/>
      <c r="V107" s="1427"/>
      <c r="W107" s="615"/>
      <c r="X107" s="1427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3" t="s">
        <v>302</v>
      </c>
      <c r="C108" s="392"/>
      <c r="D108" s="613" t="s">
        <v>303</v>
      </c>
      <c r="E108" s="614"/>
      <c r="F108" s="613" t="s">
        <v>580</v>
      </c>
      <c r="G108" s="614"/>
      <c r="H108" s="613" t="s">
        <v>304</v>
      </c>
      <c r="I108" s="614"/>
      <c r="J108" s="613" t="s">
        <v>305</v>
      </c>
      <c r="K108" s="614"/>
      <c r="L108" s="613" t="s">
        <v>581</v>
      </c>
      <c r="M108" s="614"/>
      <c r="N108" s="613" t="s">
        <v>306</v>
      </c>
      <c r="O108" s="614"/>
      <c r="P108" s="613" t="s">
        <v>307</v>
      </c>
      <c r="Q108" s="614"/>
      <c r="R108" s="613" t="s">
        <v>308</v>
      </c>
      <c r="S108" s="614"/>
      <c r="T108" s="613" t="s">
        <v>309</v>
      </c>
      <c r="U108" s="615"/>
      <c r="V108" s="613" t="s">
        <v>582</v>
      </c>
      <c r="W108" s="614"/>
      <c r="X108" s="613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6">
        <f>(Y96+C106+E106)/1000</f>
        <v>1.1608510000000001</v>
      </c>
      <c r="F109" s="392" t="s">
        <v>270</v>
      </c>
      <c r="G109" s="616"/>
      <c r="H109" s="392" t="s">
        <v>248</v>
      </c>
      <c r="I109" s="392"/>
      <c r="J109" s="392" t="s">
        <v>211</v>
      </c>
      <c r="K109" s="616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6">
        <f>(M106+O106+Q106+S106+U106)/1000</f>
        <v>1.9669839999999998</v>
      </c>
      <c r="V109" s="392" t="s">
        <v>584</v>
      </c>
      <c r="W109" s="616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9"/>
      <c r="E110" s="624"/>
      <c r="F110" s="579"/>
      <c r="G110" s="624"/>
      <c r="H110" s="579"/>
      <c r="I110" s="579"/>
      <c r="J110" s="579"/>
      <c r="K110" s="624"/>
      <c r="L110" s="579"/>
      <c r="M110" s="579"/>
      <c r="N110" s="579"/>
      <c r="O110" s="579"/>
      <c r="P110" s="579"/>
      <c r="Q110" s="579"/>
      <c r="R110" s="392" t="s">
        <v>714</v>
      </c>
      <c r="S110" s="392"/>
      <c r="T110" s="392"/>
      <c r="U110" s="616"/>
      <c r="V110" s="579" t="s">
        <v>713</v>
      </c>
      <c r="W110" s="616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65"/>
      <c r="C111" s="1465"/>
      <c r="D111" s="1465"/>
      <c r="E111" s="1465"/>
      <c r="F111" s="1465"/>
      <c r="G111" s="1465"/>
      <c r="H111" s="1465"/>
      <c r="I111" s="1465"/>
      <c r="J111" s="1465"/>
      <c r="K111" s="1465"/>
      <c r="L111" s="1465"/>
      <c r="M111" s="392"/>
      <c r="N111" s="392"/>
      <c r="O111" s="392"/>
      <c r="P111" s="392"/>
      <c r="Q111" s="392"/>
      <c r="R111" s="392"/>
      <c r="S111" s="392"/>
      <c r="T111" s="392"/>
      <c r="U111" s="616"/>
      <c r="V111" s="625" t="s">
        <v>717</v>
      </c>
      <c r="W111" s="616"/>
      <c r="X111" s="625" t="s">
        <v>717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31"/>
      <c r="C112" s="631"/>
      <c r="D112" s="631"/>
      <c r="E112" s="631"/>
      <c r="F112" s="631"/>
      <c r="G112" s="631"/>
      <c r="H112" s="631"/>
      <c r="I112" s="631"/>
      <c r="J112" s="631"/>
      <c r="K112" s="631"/>
      <c r="L112" s="1466"/>
      <c r="M112" s="1466"/>
      <c r="N112" s="1466"/>
      <c r="O112" s="1466"/>
      <c r="P112" s="1466"/>
      <c r="Q112" s="1466"/>
      <c r="R112" s="1466"/>
      <c r="S112" s="1466"/>
      <c r="T112" s="1466"/>
      <c r="U112" s="1466"/>
      <c r="V112" s="1466"/>
      <c r="W112" s="1466"/>
      <c r="X112" s="1466"/>
      <c r="Y112" s="1467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3"/>
      <c r="C113" s="634"/>
      <c r="D113" s="392"/>
      <c r="E113" s="606"/>
      <c r="F113" s="392"/>
      <c r="G113" s="635"/>
      <c r="H113" s="392"/>
      <c r="I113" s="615"/>
      <c r="J113" s="392"/>
      <c r="K113" s="615"/>
      <c r="L113" s="392"/>
      <c r="M113" s="615"/>
      <c r="N113" s="636"/>
      <c r="O113" s="615"/>
      <c r="P113" s="636"/>
      <c r="Q113" s="615"/>
      <c r="R113" s="636"/>
      <c r="S113" s="615"/>
      <c r="T113" s="636"/>
      <c r="U113" s="615"/>
      <c r="V113" s="392"/>
      <c r="W113" s="615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7"/>
      <c r="C114" s="619"/>
      <c r="D114" s="606"/>
      <c r="E114" s="619"/>
      <c r="F114" s="637"/>
      <c r="G114" s="619"/>
      <c r="H114" s="637"/>
      <c r="I114" s="619"/>
      <c r="J114" s="606"/>
      <c r="K114" s="619"/>
      <c r="L114" s="606"/>
      <c r="M114" s="619"/>
      <c r="N114" s="637"/>
      <c r="O114" s="619"/>
      <c r="P114" s="637"/>
      <c r="Q114" s="619"/>
      <c r="R114" s="637"/>
      <c r="S114" s="619"/>
      <c r="T114" s="606"/>
      <c r="U114" s="619"/>
      <c r="V114" s="606"/>
      <c r="W114" s="619"/>
      <c r="X114" s="637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5"/>
      <c r="C115" s="619"/>
      <c r="D115" s="606"/>
      <c r="E115" s="619"/>
      <c r="F115" s="615"/>
      <c r="G115" s="619"/>
      <c r="H115" s="615"/>
      <c r="I115" s="619"/>
      <c r="J115" s="606"/>
      <c r="K115" s="619"/>
      <c r="L115" s="606"/>
      <c r="M115" s="619"/>
      <c r="N115" s="615"/>
      <c r="O115" s="619"/>
      <c r="P115" s="615"/>
      <c r="Q115" s="619"/>
      <c r="R115" s="615"/>
      <c r="S115" s="619"/>
      <c r="T115" s="606"/>
      <c r="U115" s="619"/>
      <c r="V115" s="606"/>
      <c r="W115" s="619"/>
      <c r="X115" s="615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24" t="s">
        <v>763</v>
      </c>
      <c r="C116" s="389">
        <v>398.68400000000003</v>
      </c>
      <c r="D116" s="1462" t="s">
        <v>763</v>
      </c>
      <c r="E116" s="390">
        <v>435</v>
      </c>
      <c r="F116" s="1468" t="s">
        <v>720</v>
      </c>
      <c r="G116" s="390">
        <v>404</v>
      </c>
      <c r="H116" s="1470" t="s">
        <v>720</v>
      </c>
      <c r="I116" s="390">
        <v>374.35300000000001</v>
      </c>
      <c r="J116" s="1443"/>
      <c r="K116" s="390">
        <v>250.119</v>
      </c>
      <c r="L116" s="1445" t="s">
        <v>555</v>
      </c>
      <c r="M116" s="390">
        <v>398</v>
      </c>
      <c r="N116" s="1470" t="s">
        <v>763</v>
      </c>
      <c r="O116" s="390">
        <v>364</v>
      </c>
      <c r="P116" s="1470" t="s">
        <v>763</v>
      </c>
      <c r="Q116" s="390">
        <v>380</v>
      </c>
      <c r="R116" s="1470" t="s">
        <v>763</v>
      </c>
      <c r="S116" s="390">
        <v>459.27199999999999</v>
      </c>
      <c r="T116" s="1426" t="s">
        <v>920</v>
      </c>
      <c r="U116" s="390">
        <v>206.441</v>
      </c>
      <c r="V116" s="1445" t="s">
        <v>555</v>
      </c>
      <c r="W116" s="390">
        <v>385</v>
      </c>
      <c r="X116" s="1424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25"/>
      <c r="C117" s="615"/>
      <c r="D117" s="1464"/>
      <c r="E117" s="615"/>
      <c r="F117" s="1469"/>
      <c r="G117" s="615"/>
      <c r="H117" s="1471"/>
      <c r="I117" s="615"/>
      <c r="J117" s="1444"/>
      <c r="K117" s="615"/>
      <c r="L117" s="1446"/>
      <c r="M117" s="615"/>
      <c r="N117" s="1472"/>
      <c r="O117" s="615"/>
      <c r="P117" s="1472"/>
      <c r="Q117" s="615"/>
      <c r="R117" s="1472"/>
      <c r="S117" s="615"/>
      <c r="T117" s="1427"/>
      <c r="U117" s="615"/>
      <c r="V117" s="1473"/>
      <c r="W117" s="615"/>
      <c r="X117" s="1425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3" t="s">
        <v>312</v>
      </c>
      <c r="C118" s="392"/>
      <c r="D118" s="613" t="s">
        <v>585</v>
      </c>
      <c r="E118" s="614"/>
      <c r="F118" s="613" t="s">
        <v>313</v>
      </c>
      <c r="G118" s="614"/>
      <c r="H118" s="613" t="s">
        <v>314</v>
      </c>
      <c r="I118" s="614"/>
      <c r="J118" s="613" t="s">
        <v>586</v>
      </c>
      <c r="K118" s="614"/>
      <c r="L118" s="613" t="s">
        <v>587</v>
      </c>
      <c r="M118" s="614"/>
      <c r="N118" s="613" t="s">
        <v>315</v>
      </c>
      <c r="O118" s="614"/>
      <c r="P118" s="613" t="s">
        <v>316</v>
      </c>
      <c r="Q118" s="614"/>
      <c r="R118" s="613" t="s">
        <v>317</v>
      </c>
      <c r="S118" s="614"/>
      <c r="T118" s="613" t="s">
        <v>588</v>
      </c>
      <c r="U118" s="615"/>
      <c r="V118" s="613" t="s">
        <v>589</v>
      </c>
      <c r="W118" s="614"/>
      <c r="X118" s="613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6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6">
        <f>(E116+G116+I116)/1000</f>
        <v>1.2133530000000001</v>
      </c>
      <c r="J119" s="392" t="s">
        <v>214</v>
      </c>
      <c r="K119" s="616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6">
        <f>(M116+O116+Q116+S116)/1000</f>
        <v>1.601272</v>
      </c>
      <c r="T119" s="392" t="s">
        <v>269</v>
      </c>
      <c r="U119" s="616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6"/>
      <c r="D120" s="392"/>
      <c r="E120" s="392"/>
      <c r="F120" s="392"/>
      <c r="G120" s="392"/>
      <c r="H120" s="579"/>
      <c r="I120" s="616"/>
      <c r="J120" s="630" t="s">
        <v>721</v>
      </c>
      <c r="K120" s="616"/>
      <c r="L120" s="630" t="s">
        <v>721</v>
      </c>
      <c r="M120" s="392"/>
      <c r="N120" s="663" t="s">
        <v>555</v>
      </c>
      <c r="O120" s="392"/>
      <c r="P120" s="392"/>
      <c r="Q120" s="392"/>
      <c r="R120" s="392"/>
      <c r="S120" s="616"/>
      <c r="T120" s="625" t="s">
        <v>717</v>
      </c>
      <c r="U120" s="616"/>
      <c r="V120" s="625" t="s">
        <v>717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6"/>
      <c r="D121" s="392"/>
      <c r="E121" s="392"/>
      <c r="F121" s="392"/>
      <c r="G121" s="392"/>
      <c r="H121" s="392"/>
      <c r="I121" s="616"/>
      <c r="J121" s="630"/>
      <c r="K121" s="616"/>
      <c r="L121" s="630"/>
      <c r="M121" s="392"/>
      <c r="N121" s="392"/>
      <c r="O121" s="392"/>
      <c r="P121" s="392"/>
      <c r="Q121" s="392"/>
      <c r="R121" s="392"/>
      <c r="S121" s="616"/>
      <c r="T121" s="940" t="s">
        <v>555</v>
      </c>
      <c r="U121" s="616"/>
      <c r="V121" s="625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74"/>
      <c r="B122" s="1466"/>
      <c r="C122" s="1466"/>
      <c r="D122" s="1466"/>
      <c r="E122" s="1466"/>
      <c r="F122" s="1466"/>
      <c r="G122" s="1466"/>
      <c r="H122" s="1466"/>
      <c r="I122" s="1466"/>
      <c r="J122" s="1466"/>
      <c r="K122" s="1466"/>
      <c r="L122" s="1466"/>
      <c r="M122" s="1466"/>
      <c r="N122" s="1466"/>
      <c r="O122" s="1466"/>
      <c r="P122" s="1466"/>
      <c r="Q122" s="1466"/>
      <c r="R122" s="1466"/>
      <c r="S122" s="1466"/>
      <c r="T122" s="1466"/>
      <c r="U122" s="1466"/>
      <c r="V122" s="1466"/>
      <c r="W122" s="1466"/>
      <c r="X122" s="1466"/>
      <c r="Y122" s="1467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5"/>
      <c r="D123" s="638"/>
      <c r="E123" s="638"/>
      <c r="F123" s="638"/>
      <c r="G123" s="638"/>
      <c r="H123" s="392"/>
      <c r="I123" s="638"/>
      <c r="J123" s="392"/>
      <c r="K123" s="638"/>
      <c r="L123" s="392"/>
      <c r="M123" s="638"/>
      <c r="N123" s="638"/>
      <c r="O123" s="638"/>
      <c r="P123" s="638"/>
      <c r="Q123" s="638"/>
      <c r="R123" s="638"/>
      <c r="S123" s="638"/>
      <c r="T123" s="638"/>
      <c r="U123" s="638"/>
      <c r="V123" s="638"/>
      <c r="W123" s="636"/>
      <c r="X123" s="638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7"/>
      <c r="C124" s="619"/>
      <c r="D124" s="637"/>
      <c r="E124" s="619"/>
      <c r="F124" s="637"/>
      <c r="G124" s="619"/>
      <c r="H124" s="637"/>
      <c r="I124" s="619"/>
      <c r="J124" s="637"/>
      <c r="K124" s="619"/>
      <c r="L124" s="637"/>
      <c r="M124" s="619"/>
      <c r="N124" s="637"/>
      <c r="O124" s="619"/>
      <c r="P124" s="637"/>
      <c r="Q124" s="619"/>
      <c r="R124" s="637"/>
      <c r="S124" s="619"/>
      <c r="T124" s="606"/>
      <c r="U124" s="619"/>
      <c r="V124" s="637"/>
      <c r="W124" s="619"/>
      <c r="X124" s="637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5"/>
      <c r="C125" s="619"/>
      <c r="D125" s="615"/>
      <c r="E125" s="619"/>
      <c r="F125" s="615"/>
      <c r="G125" s="619"/>
      <c r="H125" s="615"/>
      <c r="I125" s="619"/>
      <c r="J125" s="615"/>
      <c r="K125" s="619"/>
      <c r="L125" s="615"/>
      <c r="M125" s="619"/>
      <c r="N125" s="615"/>
      <c r="O125" s="619"/>
      <c r="P125" s="615"/>
      <c r="Q125" s="619"/>
      <c r="R125" s="615"/>
      <c r="S125" s="619"/>
      <c r="T125" s="606"/>
      <c r="U125" s="619"/>
      <c r="V125" s="615"/>
      <c r="W125" s="619"/>
      <c r="X125" s="615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24" t="s">
        <v>89</v>
      </c>
      <c r="C126" s="389">
        <v>384</v>
      </c>
      <c r="D126" s="1424" t="s">
        <v>89</v>
      </c>
      <c r="E126" s="390">
        <v>400</v>
      </c>
      <c r="F126" s="1424" t="s">
        <v>659</v>
      </c>
      <c r="G126" s="390">
        <v>386</v>
      </c>
      <c r="H126" s="1424" t="s">
        <v>763</v>
      </c>
      <c r="I126" s="390">
        <v>398</v>
      </c>
      <c r="J126" s="1424" t="s">
        <v>89</v>
      </c>
      <c r="K126" s="390">
        <v>393</v>
      </c>
      <c r="L126" s="1424" t="s">
        <v>659</v>
      </c>
      <c r="M126" s="390">
        <v>387</v>
      </c>
      <c r="N126" s="1424" t="s">
        <v>89</v>
      </c>
      <c r="O126" s="390">
        <v>378</v>
      </c>
      <c r="P126" s="1424" t="s">
        <v>89</v>
      </c>
      <c r="Q126" s="390">
        <v>410</v>
      </c>
      <c r="R126" s="1424" t="s">
        <v>659</v>
      </c>
      <c r="S126" s="390">
        <v>367.58</v>
      </c>
      <c r="T126" s="1480" t="s">
        <v>920</v>
      </c>
      <c r="U126" s="390">
        <v>396</v>
      </c>
      <c r="V126" s="1441" t="s">
        <v>920</v>
      </c>
      <c r="W126" s="390">
        <v>395</v>
      </c>
      <c r="X126" s="1475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25"/>
      <c r="C127" s="615"/>
      <c r="D127" s="1425"/>
      <c r="E127" s="615"/>
      <c r="F127" s="1425"/>
      <c r="G127" s="615"/>
      <c r="H127" s="1425"/>
      <c r="I127" s="615"/>
      <c r="J127" s="1425"/>
      <c r="K127" s="615"/>
      <c r="L127" s="1425"/>
      <c r="M127" s="615"/>
      <c r="N127" s="1425"/>
      <c r="O127" s="615"/>
      <c r="P127" s="1425"/>
      <c r="Q127" s="615"/>
      <c r="R127" s="1425"/>
      <c r="S127" s="615"/>
      <c r="T127" s="1481"/>
      <c r="U127" s="615"/>
      <c r="V127" s="1442"/>
      <c r="W127" s="615"/>
      <c r="X127" s="1476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3" t="s">
        <v>320</v>
      </c>
      <c r="C128" s="392"/>
      <c r="D128" s="613" t="s">
        <v>321</v>
      </c>
      <c r="E128" s="614"/>
      <c r="F128" s="613" t="s">
        <v>322</v>
      </c>
      <c r="G128" s="614"/>
      <c r="H128" s="613" t="s">
        <v>323</v>
      </c>
      <c r="I128" s="614"/>
      <c r="J128" s="613" t="s">
        <v>324</v>
      </c>
      <c r="K128" s="614"/>
      <c r="L128" s="613" t="s">
        <v>325</v>
      </c>
      <c r="M128" s="614"/>
      <c r="N128" s="613" t="s">
        <v>326</v>
      </c>
      <c r="O128" s="614"/>
      <c r="P128" s="613" t="s">
        <v>327</v>
      </c>
      <c r="Q128" s="614"/>
      <c r="R128" s="613" t="s">
        <v>328</v>
      </c>
      <c r="S128" s="614"/>
      <c r="T128" s="613" t="s">
        <v>590</v>
      </c>
      <c r="U128" s="615"/>
      <c r="V128" s="613" t="s">
        <v>329</v>
      </c>
      <c r="W128" s="614"/>
      <c r="X128" s="613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6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722</v>
      </c>
      <c r="I130" s="392"/>
      <c r="J130" s="392"/>
      <c r="K130" s="392"/>
      <c r="L130" s="579"/>
      <c r="M130" s="579"/>
      <c r="N130" s="579"/>
      <c r="O130" s="392"/>
      <c r="P130" s="392"/>
      <c r="Q130" s="392"/>
      <c r="R130" s="392"/>
      <c r="S130" s="616"/>
      <c r="T130" s="609" t="s">
        <v>555</v>
      </c>
      <c r="U130" s="392"/>
      <c r="V130" s="609" t="s">
        <v>555</v>
      </c>
      <c r="W130" s="392"/>
      <c r="X130" s="392" t="s">
        <v>722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9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6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74"/>
      <c r="B132" s="1466"/>
      <c r="C132" s="1466"/>
      <c r="D132" s="1466"/>
      <c r="E132" s="1466"/>
      <c r="F132" s="1466"/>
      <c r="G132" s="1466"/>
      <c r="H132" s="1466"/>
      <c r="I132" s="1466"/>
      <c r="J132" s="1466"/>
      <c r="K132" s="1466"/>
      <c r="L132" s="1466"/>
      <c r="M132" s="1466"/>
      <c r="N132" s="1466"/>
      <c r="O132" s="1466"/>
      <c r="P132" s="1466"/>
      <c r="Q132" s="1466"/>
      <c r="R132" s="1466"/>
      <c r="S132" s="1466"/>
      <c r="T132" s="1466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8"/>
      <c r="C133" s="636"/>
      <c r="D133" s="606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392"/>
      <c r="Q133" s="606"/>
      <c r="R133" s="392"/>
      <c r="S133" s="606"/>
      <c r="T133" s="606"/>
      <c r="U133" s="606"/>
      <c r="V133" s="606"/>
      <c r="W133" s="606"/>
      <c r="X133" s="606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7"/>
      <c r="C134" s="619"/>
      <c r="D134" s="606"/>
      <c r="E134" s="619"/>
      <c r="F134" s="637"/>
      <c r="G134" s="619"/>
      <c r="H134" s="637"/>
      <c r="I134" s="619"/>
      <c r="J134" s="637"/>
      <c r="K134" s="619"/>
      <c r="L134" s="606"/>
      <c r="M134" s="619"/>
      <c r="N134" s="637"/>
      <c r="O134" s="619"/>
      <c r="P134" s="637"/>
      <c r="Q134" s="619"/>
      <c r="R134" s="619"/>
      <c r="S134" s="619"/>
      <c r="T134" s="637"/>
      <c r="U134" s="619"/>
      <c r="V134" s="637"/>
      <c r="W134" s="619"/>
      <c r="X134" s="606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5"/>
      <c r="C135" s="619"/>
      <c r="D135" s="606"/>
      <c r="E135" s="619"/>
      <c r="F135" s="615"/>
      <c r="G135" s="619"/>
      <c r="H135" s="615"/>
      <c r="I135" s="619"/>
      <c r="J135" s="615"/>
      <c r="K135" s="619"/>
      <c r="L135" s="606"/>
      <c r="M135" s="619"/>
      <c r="N135" s="615"/>
      <c r="O135" s="619"/>
      <c r="P135" s="615"/>
      <c r="Q135" s="619"/>
      <c r="R135" s="619"/>
      <c r="S135" s="619"/>
      <c r="T135" s="615"/>
      <c r="U135" s="619"/>
      <c r="V135" s="615"/>
      <c r="W135" s="619"/>
      <c r="X135" s="606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24" t="s">
        <v>89</v>
      </c>
      <c r="C136" s="389">
        <v>350.09</v>
      </c>
      <c r="D136" s="1453"/>
      <c r="E136" s="390">
        <v>364</v>
      </c>
      <c r="F136" s="1424" t="s">
        <v>89</v>
      </c>
      <c r="G136" s="390">
        <v>452</v>
      </c>
      <c r="H136" s="1424" t="s">
        <v>89</v>
      </c>
      <c r="I136" s="390">
        <v>392</v>
      </c>
      <c r="J136" s="1424" t="s">
        <v>89</v>
      </c>
      <c r="K136" s="390">
        <v>369.64499999999998</v>
      </c>
      <c r="L136" s="1445" t="s">
        <v>555</v>
      </c>
      <c r="M136" s="390">
        <v>446</v>
      </c>
      <c r="N136" s="1424" t="s">
        <v>89</v>
      </c>
      <c r="O136" s="390">
        <v>386</v>
      </c>
      <c r="P136" s="1424" t="s">
        <v>920</v>
      </c>
      <c r="Q136" s="390">
        <v>451</v>
      </c>
      <c r="R136" s="1434" t="s">
        <v>920</v>
      </c>
      <c r="S136" s="390">
        <v>428.50400000000002</v>
      </c>
      <c r="T136" s="1424" t="s">
        <v>89</v>
      </c>
      <c r="U136" s="390">
        <v>354.49599999999998</v>
      </c>
      <c r="V136" s="1424" t="s">
        <v>89</v>
      </c>
      <c r="W136" s="390">
        <v>430.20699999999999</v>
      </c>
      <c r="X136" s="1445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25"/>
      <c r="C137" s="615"/>
      <c r="D137" s="1459"/>
      <c r="E137" s="615"/>
      <c r="F137" s="1425"/>
      <c r="G137" s="615"/>
      <c r="H137" s="1425"/>
      <c r="I137" s="615"/>
      <c r="J137" s="1425"/>
      <c r="K137" s="615"/>
      <c r="L137" s="1446"/>
      <c r="M137" s="615"/>
      <c r="N137" s="1425"/>
      <c r="O137" s="615"/>
      <c r="P137" s="1425"/>
      <c r="Q137" s="615"/>
      <c r="R137" s="1435"/>
      <c r="S137" s="615"/>
      <c r="T137" s="1425"/>
      <c r="U137" s="615"/>
      <c r="V137" s="1425"/>
      <c r="W137" s="615"/>
      <c r="X137" s="1446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3" t="s">
        <v>331</v>
      </c>
      <c r="C138" s="392"/>
      <c r="D138" s="613" t="s">
        <v>591</v>
      </c>
      <c r="E138" s="614"/>
      <c r="F138" s="613" t="s">
        <v>332</v>
      </c>
      <c r="G138" s="614"/>
      <c r="H138" s="613" t="s">
        <v>333</v>
      </c>
      <c r="I138" s="614"/>
      <c r="J138" s="613" t="s">
        <v>334</v>
      </c>
      <c r="K138" s="614"/>
      <c r="L138" s="613" t="s">
        <v>592</v>
      </c>
      <c r="M138" s="614"/>
      <c r="N138" s="613" t="s">
        <v>94</v>
      </c>
      <c r="O138" s="614"/>
      <c r="P138" s="613" t="s">
        <v>335</v>
      </c>
      <c r="Q138" s="614"/>
      <c r="R138" s="613" t="s">
        <v>336</v>
      </c>
      <c r="S138" s="614"/>
      <c r="T138" s="613" t="s">
        <v>337</v>
      </c>
      <c r="U138" s="615"/>
      <c r="V138" s="613" t="s">
        <v>96</v>
      </c>
      <c r="W138" s="614"/>
      <c r="X138" s="613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6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6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6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6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722</v>
      </c>
      <c r="C140" s="616"/>
      <c r="D140" s="579"/>
      <c r="E140" s="579"/>
      <c r="F140" s="579"/>
      <c r="G140" s="579"/>
      <c r="H140" s="579"/>
      <c r="I140" s="579"/>
      <c r="J140" s="579"/>
      <c r="K140" s="624"/>
      <c r="L140" s="579"/>
      <c r="M140" s="392"/>
      <c r="N140" s="392"/>
      <c r="O140" s="392"/>
      <c r="P140" s="392"/>
      <c r="Q140" s="616"/>
      <c r="R140" s="392" t="s">
        <v>722</v>
      </c>
      <c r="S140" s="392"/>
      <c r="T140" s="392"/>
      <c r="U140" s="392"/>
      <c r="V140" s="392"/>
      <c r="W140" s="616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6"/>
      <c r="C141" s="616"/>
      <c r="D141" s="392"/>
      <c r="E141" s="392"/>
      <c r="F141" s="392"/>
      <c r="G141" s="392"/>
      <c r="H141" s="639"/>
      <c r="I141" s="392"/>
      <c r="J141" s="392"/>
      <c r="K141" s="616"/>
      <c r="L141" s="392"/>
      <c r="M141" s="392"/>
      <c r="N141" s="392"/>
      <c r="O141" s="392"/>
      <c r="P141" s="392"/>
      <c r="Q141" s="616"/>
      <c r="R141" s="392"/>
      <c r="S141" s="392"/>
      <c r="T141" s="392"/>
      <c r="U141" s="392"/>
      <c r="V141" s="392"/>
      <c r="W141" s="616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5"/>
      <c r="D142" s="636"/>
      <c r="E142" s="615"/>
      <c r="F142" s="636"/>
      <c r="G142" s="392"/>
      <c r="H142" s="636"/>
      <c r="I142" s="615"/>
      <c r="J142" s="392"/>
      <c r="K142" s="615"/>
      <c r="L142" s="636"/>
      <c r="M142" s="615"/>
      <c r="N142" s="392"/>
      <c r="O142" s="615"/>
      <c r="P142" s="633"/>
      <c r="Q142" s="634"/>
      <c r="R142" s="633"/>
      <c r="S142" s="634"/>
      <c r="T142" s="633"/>
      <c r="U142" s="633"/>
      <c r="V142" s="633"/>
      <c r="W142" s="634"/>
      <c r="X142" s="633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7"/>
      <c r="C143" s="619"/>
      <c r="D143" s="637"/>
      <c r="E143" s="619"/>
      <c r="F143" s="637"/>
      <c r="G143" s="619"/>
      <c r="H143" s="606"/>
      <c r="I143" s="619"/>
      <c r="J143" s="637"/>
      <c r="K143" s="619"/>
      <c r="L143" s="637"/>
      <c r="M143" s="619"/>
      <c r="N143" s="606"/>
      <c r="O143" s="619"/>
      <c r="P143" s="637"/>
      <c r="Q143" s="619"/>
      <c r="R143" s="637"/>
      <c r="S143" s="619"/>
      <c r="T143" s="606"/>
      <c r="U143" s="619"/>
      <c r="V143" s="637"/>
      <c r="W143" s="619"/>
      <c r="X143" s="637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5"/>
      <c r="C144" s="619"/>
      <c r="D144" s="615"/>
      <c r="E144" s="619"/>
      <c r="F144" s="615"/>
      <c r="G144" s="619"/>
      <c r="H144" s="606"/>
      <c r="I144" s="619"/>
      <c r="J144" s="615"/>
      <c r="K144" s="619"/>
      <c r="L144" s="615"/>
      <c r="M144" s="619"/>
      <c r="N144" s="606"/>
      <c r="O144" s="619"/>
      <c r="P144" s="615"/>
      <c r="Q144" s="619"/>
      <c r="R144" s="615"/>
      <c r="S144" s="619"/>
      <c r="T144" s="606"/>
      <c r="U144" s="619"/>
      <c r="V144" s="615"/>
      <c r="W144" s="619"/>
      <c r="X144" s="615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24" t="s">
        <v>89</v>
      </c>
      <c r="C145" s="389">
        <v>415</v>
      </c>
      <c r="D145" s="1424" t="s">
        <v>89</v>
      </c>
      <c r="E145" s="390">
        <v>399</v>
      </c>
      <c r="F145" s="1475"/>
      <c r="G145" s="390">
        <v>436.29500000000002</v>
      </c>
      <c r="H145" s="1477"/>
      <c r="I145" s="390">
        <v>437</v>
      </c>
      <c r="J145" s="1424" t="s">
        <v>89</v>
      </c>
      <c r="K145" s="390">
        <v>406</v>
      </c>
      <c r="L145" s="1441" t="s">
        <v>920</v>
      </c>
      <c r="M145" s="390">
        <v>437.79599999999999</v>
      </c>
      <c r="N145" s="1426" t="s">
        <v>89</v>
      </c>
      <c r="O145" s="390">
        <v>412</v>
      </c>
      <c r="P145" s="1424" t="s">
        <v>89</v>
      </c>
      <c r="Q145" s="390">
        <v>356.62799999999999</v>
      </c>
      <c r="R145" s="1503" t="s">
        <v>920</v>
      </c>
      <c r="S145" s="390">
        <v>384.62400000000002</v>
      </c>
      <c r="T145" s="1480" t="s">
        <v>89</v>
      </c>
      <c r="U145" s="390">
        <v>391</v>
      </c>
      <c r="V145" s="1424" t="s">
        <v>723</v>
      </c>
      <c r="W145" s="390">
        <v>436</v>
      </c>
      <c r="X145" s="1422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25"/>
      <c r="C146" s="615"/>
      <c r="D146" s="1425"/>
      <c r="E146" s="615"/>
      <c r="F146" s="1476"/>
      <c r="G146" s="615"/>
      <c r="H146" s="1478"/>
      <c r="I146" s="615"/>
      <c r="J146" s="1425"/>
      <c r="K146" s="615"/>
      <c r="L146" s="1479"/>
      <c r="M146" s="615"/>
      <c r="N146" s="1440"/>
      <c r="O146" s="615"/>
      <c r="P146" s="1425"/>
      <c r="Q146" s="615"/>
      <c r="R146" s="1504"/>
      <c r="S146" s="615"/>
      <c r="T146" s="1481"/>
      <c r="U146" s="615"/>
      <c r="V146" s="1425"/>
      <c r="W146" s="615"/>
      <c r="X146" s="1423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3" t="s">
        <v>93</v>
      </c>
      <c r="C147" s="392"/>
      <c r="D147" s="613" t="s">
        <v>90</v>
      </c>
      <c r="E147" s="614"/>
      <c r="F147" s="613" t="s">
        <v>338</v>
      </c>
      <c r="G147" s="614"/>
      <c r="H147" s="613" t="s">
        <v>594</v>
      </c>
      <c r="I147" s="614"/>
      <c r="J147" s="613" t="s">
        <v>86</v>
      </c>
      <c r="K147" s="614"/>
      <c r="L147" s="613" t="s">
        <v>339</v>
      </c>
      <c r="M147" s="614"/>
      <c r="N147" s="613" t="s">
        <v>595</v>
      </c>
      <c r="O147" s="614"/>
      <c r="P147" s="613" t="s">
        <v>340</v>
      </c>
      <c r="Q147" s="614"/>
      <c r="R147" s="613" t="s">
        <v>108</v>
      </c>
      <c r="S147" s="614"/>
      <c r="T147" s="613" t="s">
        <v>596</v>
      </c>
      <c r="U147" s="615"/>
      <c r="V147" s="613" t="s">
        <v>341</v>
      </c>
      <c r="W147" s="614"/>
      <c r="X147" s="613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6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6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6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722</v>
      </c>
      <c r="G149" s="616"/>
      <c r="H149" s="392" t="s">
        <v>722</v>
      </c>
      <c r="I149" s="392"/>
      <c r="J149" s="392"/>
      <c r="K149" s="392"/>
      <c r="L149" s="609" t="s">
        <v>555</v>
      </c>
      <c r="M149" s="616"/>
      <c r="N149" s="392"/>
      <c r="O149" s="392"/>
      <c r="P149" s="392"/>
      <c r="Q149" s="392"/>
      <c r="R149" s="609" t="s">
        <v>555</v>
      </c>
      <c r="S149" s="616"/>
      <c r="T149" s="579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6"/>
      <c r="H150" s="392"/>
      <c r="I150" s="392"/>
      <c r="J150" s="392"/>
      <c r="K150" s="392"/>
      <c r="L150" s="392"/>
      <c r="M150" s="616"/>
      <c r="N150" s="392"/>
      <c r="O150" s="392"/>
      <c r="P150" s="579"/>
      <c r="Q150" s="392"/>
      <c r="R150" s="392"/>
      <c r="S150" s="616"/>
      <c r="T150" s="616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6"/>
      <c r="C151" s="606"/>
      <c r="D151" s="636"/>
      <c r="E151" s="615"/>
      <c r="F151" s="392"/>
      <c r="G151" s="615"/>
      <c r="H151" s="392"/>
      <c r="I151" s="615"/>
      <c r="J151" s="392"/>
      <c r="K151" s="606"/>
      <c r="L151" s="392"/>
      <c r="M151" s="615"/>
      <c r="N151" s="392"/>
      <c r="O151" s="615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7"/>
      <c r="C152" s="619"/>
      <c r="D152" s="637"/>
      <c r="E152" s="619"/>
      <c r="F152" s="637"/>
      <c r="G152" s="619"/>
      <c r="H152" s="637"/>
      <c r="I152" s="619"/>
      <c r="J152" s="606"/>
      <c r="K152" s="619"/>
      <c r="L152" s="637"/>
      <c r="M152" s="619"/>
      <c r="N152" s="637"/>
      <c r="O152" s="619"/>
      <c r="P152" s="637"/>
      <c r="Q152" s="619"/>
      <c r="R152" s="637"/>
      <c r="S152" s="619"/>
      <c r="T152" s="637"/>
      <c r="U152" s="619"/>
      <c r="V152" s="637"/>
      <c r="W152" s="619"/>
      <c r="X152" s="606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5"/>
      <c r="C153" s="619"/>
      <c r="D153" s="615"/>
      <c r="E153" s="619"/>
      <c r="F153" s="615"/>
      <c r="G153" s="619"/>
      <c r="H153" s="615"/>
      <c r="I153" s="619"/>
      <c r="J153" s="606"/>
      <c r="K153" s="619"/>
      <c r="L153" s="615"/>
      <c r="M153" s="619"/>
      <c r="N153" s="615"/>
      <c r="O153" s="619"/>
      <c r="P153" s="615"/>
      <c r="Q153" s="619"/>
      <c r="R153" s="615"/>
      <c r="S153" s="619"/>
      <c r="T153" s="615"/>
      <c r="U153" s="619"/>
      <c r="V153" s="615"/>
      <c r="W153" s="619"/>
      <c r="X153" s="606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24" t="s">
        <v>659</v>
      </c>
      <c r="C154" s="389">
        <v>359</v>
      </c>
      <c r="D154" s="1424" t="s">
        <v>659</v>
      </c>
      <c r="E154" s="390">
        <v>439</v>
      </c>
      <c r="F154" s="1424" t="s">
        <v>659</v>
      </c>
      <c r="G154" s="390">
        <v>393</v>
      </c>
      <c r="H154" s="1482" t="s">
        <v>725</v>
      </c>
      <c r="I154" s="390">
        <v>314.94900000000001</v>
      </c>
      <c r="J154" s="1434" t="s">
        <v>920</v>
      </c>
      <c r="K154" s="390">
        <v>437.00099999999998</v>
      </c>
      <c r="L154" s="1482" t="s">
        <v>724</v>
      </c>
      <c r="M154" s="390">
        <v>399</v>
      </c>
      <c r="N154" s="1482" t="s">
        <v>724</v>
      </c>
      <c r="O154" s="390">
        <v>303</v>
      </c>
      <c r="P154" s="1436" t="s">
        <v>715</v>
      </c>
      <c r="Q154" s="390">
        <v>337</v>
      </c>
      <c r="R154" s="1436" t="s">
        <v>715</v>
      </c>
      <c r="S154" s="390">
        <v>339.16899999999998</v>
      </c>
      <c r="T154" s="1445" t="s">
        <v>555</v>
      </c>
      <c r="U154" s="390">
        <v>400</v>
      </c>
      <c r="V154" s="1460"/>
      <c r="W154" s="390">
        <v>358.84899999999999</v>
      </c>
      <c r="X154" s="1445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25"/>
      <c r="C155" s="615"/>
      <c r="D155" s="1425"/>
      <c r="E155" s="615"/>
      <c r="F155" s="1425"/>
      <c r="G155" s="615"/>
      <c r="H155" s="1425"/>
      <c r="I155" s="615"/>
      <c r="J155" s="1435"/>
      <c r="K155" s="615"/>
      <c r="L155" s="1425"/>
      <c r="M155" s="615"/>
      <c r="N155" s="1425"/>
      <c r="O155" s="615"/>
      <c r="P155" s="1437"/>
      <c r="Q155" s="615"/>
      <c r="R155" s="1437"/>
      <c r="S155" s="615"/>
      <c r="T155" s="1446"/>
      <c r="U155" s="615"/>
      <c r="V155" s="1461"/>
      <c r="W155" s="615"/>
      <c r="X155" s="1459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3" t="s">
        <v>342</v>
      </c>
      <c r="C156" s="392"/>
      <c r="D156" s="613" t="s">
        <v>343</v>
      </c>
      <c r="E156" s="614"/>
      <c r="F156" s="613" t="s">
        <v>344</v>
      </c>
      <c r="G156" s="614"/>
      <c r="H156" s="613" t="s">
        <v>345</v>
      </c>
      <c r="I156" s="614"/>
      <c r="J156" s="613" t="s">
        <v>597</v>
      </c>
      <c r="K156" s="614"/>
      <c r="L156" s="613" t="s">
        <v>346</v>
      </c>
      <c r="M156" s="614"/>
      <c r="N156" s="613" t="s">
        <v>347</v>
      </c>
      <c r="O156" s="614"/>
      <c r="P156" s="613" t="s">
        <v>348</v>
      </c>
      <c r="Q156" s="614"/>
      <c r="R156" s="613" t="s">
        <v>349</v>
      </c>
      <c r="S156" s="614"/>
      <c r="T156" s="613" t="s">
        <v>598</v>
      </c>
      <c r="U156" s="615"/>
      <c r="V156" s="613" t="s">
        <v>350</v>
      </c>
      <c r="W156" s="614"/>
      <c r="X156" s="613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6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6">
        <f>(K154+M154++O154+Q154+S154)/1000</f>
        <v>1.8151700000000002</v>
      </c>
      <c r="T157" s="392" t="s">
        <v>351</v>
      </c>
      <c r="U157" s="392"/>
      <c r="V157" s="392" t="s">
        <v>213</v>
      </c>
      <c r="W157" s="616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6"/>
      <c r="J158" s="392"/>
      <c r="K158" s="385"/>
      <c r="L158" s="392"/>
      <c r="M158" s="392"/>
      <c r="N158" s="392"/>
      <c r="O158" s="392"/>
      <c r="P158" s="392"/>
      <c r="Q158" s="392"/>
      <c r="R158" s="579"/>
      <c r="S158" s="624"/>
      <c r="T158" s="579"/>
      <c r="U158" s="579"/>
      <c r="V158" s="579"/>
      <c r="W158" s="616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6"/>
      <c r="J159" s="392"/>
      <c r="K159" s="385"/>
      <c r="L159" s="392"/>
      <c r="M159" s="392"/>
      <c r="N159" s="392"/>
      <c r="O159" s="392"/>
      <c r="P159" s="392"/>
      <c r="Q159" s="392"/>
      <c r="R159" s="392"/>
      <c r="S159" s="616"/>
      <c r="T159" s="392"/>
      <c r="U159" s="392"/>
      <c r="V159" s="392"/>
      <c r="W159" s="616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6"/>
      <c r="C160" s="606"/>
      <c r="D160" s="606"/>
      <c r="E160" s="619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6"/>
      <c r="C161" s="619"/>
      <c r="D161" s="606"/>
      <c r="E161" s="385"/>
      <c r="F161" s="637"/>
      <c r="G161" s="619"/>
      <c r="H161" s="606"/>
      <c r="I161" s="619"/>
      <c r="J161" s="637"/>
      <c r="K161" s="619"/>
      <c r="L161" s="637"/>
      <c r="M161" s="619"/>
      <c r="N161" s="637"/>
      <c r="O161" s="619"/>
      <c r="P161" s="637"/>
      <c r="Q161" s="619"/>
      <c r="R161" s="606"/>
      <c r="S161" s="619"/>
      <c r="T161" s="637"/>
      <c r="U161" s="619"/>
      <c r="V161" s="637"/>
      <c r="W161" s="619"/>
      <c r="X161" s="637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6"/>
      <c r="C162" s="619"/>
      <c r="D162" s="606"/>
      <c r="E162" s="619"/>
      <c r="F162" s="615"/>
      <c r="G162" s="619"/>
      <c r="H162" s="606"/>
      <c r="I162" s="619"/>
      <c r="J162" s="615"/>
      <c r="K162" s="619"/>
      <c r="L162" s="615"/>
      <c r="M162" s="619"/>
      <c r="N162" s="615"/>
      <c r="O162" s="619"/>
      <c r="P162" s="615"/>
      <c r="Q162" s="619"/>
      <c r="R162" s="606"/>
      <c r="S162" s="619"/>
      <c r="T162" s="615"/>
      <c r="U162" s="619"/>
      <c r="V162" s="615"/>
      <c r="W162" s="619"/>
      <c r="X162" s="615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53"/>
      <c r="C163" s="389">
        <v>287.35199999999998</v>
      </c>
      <c r="D163" s="1453"/>
      <c r="E163" s="390">
        <v>416</v>
      </c>
      <c r="F163" s="1483" t="s">
        <v>89</v>
      </c>
      <c r="G163" s="390">
        <v>352.35399999999998</v>
      </c>
      <c r="H163" s="1426" t="s">
        <v>89</v>
      </c>
      <c r="I163" s="390">
        <v>361</v>
      </c>
      <c r="J163" s="1422"/>
      <c r="K163" s="390">
        <v>426</v>
      </c>
      <c r="L163" s="1422"/>
      <c r="M163" s="390">
        <v>394</v>
      </c>
      <c r="N163" s="1422"/>
      <c r="O163" s="390">
        <v>384</v>
      </c>
      <c r="P163" s="1460" t="s">
        <v>555</v>
      </c>
      <c r="Q163" s="390">
        <v>414</v>
      </c>
      <c r="R163" s="1453"/>
      <c r="S163" s="390">
        <v>480</v>
      </c>
      <c r="T163" s="1453"/>
      <c r="U163" s="390">
        <v>395</v>
      </c>
      <c r="V163" s="1460"/>
      <c r="W163" s="390">
        <v>329</v>
      </c>
      <c r="X163" s="1460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59"/>
      <c r="C164" s="615"/>
      <c r="D164" s="1459"/>
      <c r="E164" s="615"/>
      <c r="F164" s="1484"/>
      <c r="G164" s="615"/>
      <c r="H164" s="1440"/>
      <c r="I164" s="615"/>
      <c r="J164" s="1485"/>
      <c r="K164" s="615"/>
      <c r="L164" s="1423"/>
      <c r="M164" s="615"/>
      <c r="N164" s="1423"/>
      <c r="O164" s="615"/>
      <c r="P164" s="1461"/>
      <c r="Q164" s="615"/>
      <c r="R164" s="1459"/>
      <c r="S164" s="615"/>
      <c r="T164" s="1459"/>
      <c r="U164" s="615"/>
      <c r="V164" s="1461"/>
      <c r="W164" s="615"/>
      <c r="X164" s="1461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3" t="s">
        <v>600</v>
      </c>
      <c r="C165" s="392"/>
      <c r="D165" s="613" t="s">
        <v>601</v>
      </c>
      <c r="E165" s="614"/>
      <c r="F165" s="613" t="s">
        <v>353</v>
      </c>
      <c r="G165" s="614"/>
      <c r="H165" s="613" t="s">
        <v>602</v>
      </c>
      <c r="I165" s="614"/>
      <c r="J165" s="613" t="s">
        <v>354</v>
      </c>
      <c r="K165" s="614"/>
      <c r="L165" s="613" t="s">
        <v>355</v>
      </c>
      <c r="M165" s="614"/>
      <c r="N165" s="613" t="s">
        <v>356</v>
      </c>
      <c r="O165" s="614"/>
      <c r="P165" s="613" t="s">
        <v>357</v>
      </c>
      <c r="Q165" s="614"/>
      <c r="R165" s="613" t="s">
        <v>358</v>
      </c>
      <c r="S165" s="614"/>
      <c r="T165" s="613" t="s">
        <v>603</v>
      </c>
      <c r="U165" s="615"/>
      <c r="V165" s="613" t="s">
        <v>359</v>
      </c>
      <c r="W165" s="614"/>
      <c r="X165" s="613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6">
        <v>0.287352</v>
      </c>
      <c r="D166" s="640" t="s">
        <v>311</v>
      </c>
      <c r="E166" s="392"/>
      <c r="F166" s="392" t="s">
        <v>212</v>
      </c>
      <c r="G166" s="616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6">
        <f>(I163+K163+M163++O163+Q163)/1000</f>
        <v>1.9790000000000001</v>
      </c>
      <c r="R166" s="392" t="s">
        <v>564</v>
      </c>
      <c r="S166" s="616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9"/>
      <c r="C167" s="624"/>
      <c r="D167" s="579"/>
      <c r="E167" s="579"/>
      <c r="F167" s="579"/>
      <c r="G167" s="624"/>
      <c r="H167" s="579"/>
      <c r="I167" s="579"/>
      <c r="J167" s="579"/>
      <c r="K167" s="579"/>
      <c r="L167" s="579"/>
      <c r="M167" s="579"/>
      <c r="N167" s="579"/>
      <c r="O167" s="579"/>
      <c r="P167" s="579"/>
      <c r="Q167" s="624"/>
      <c r="R167" s="579"/>
      <c r="S167" s="624"/>
      <c r="T167" s="579"/>
      <c r="U167" s="579"/>
      <c r="V167" s="579"/>
      <c r="W167" s="579"/>
      <c r="X167" s="579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6"/>
      <c r="D168" s="392"/>
      <c r="E168" s="392"/>
      <c r="F168" s="392"/>
      <c r="G168" s="616"/>
      <c r="H168" s="392"/>
      <c r="I168" s="392"/>
      <c r="J168" s="392"/>
      <c r="K168" s="392"/>
      <c r="L168" s="392"/>
      <c r="M168" s="392"/>
      <c r="N168" s="392"/>
      <c r="O168" s="392"/>
      <c r="P168" s="392"/>
      <c r="Q168" s="616"/>
      <c r="R168" s="392"/>
      <c r="S168" s="616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5"/>
      <c r="D169" s="636"/>
      <c r="E169" s="615"/>
      <c r="F169" s="636"/>
      <c r="G169" s="392"/>
      <c r="H169" s="636"/>
      <c r="I169" s="615"/>
      <c r="J169" s="392"/>
      <c r="K169" s="615"/>
      <c r="L169" s="636"/>
      <c r="M169" s="615"/>
      <c r="N169" s="392"/>
      <c r="O169" s="615"/>
      <c r="P169" s="633"/>
      <c r="Q169" s="634"/>
      <c r="R169" s="633"/>
      <c r="S169" s="634"/>
      <c r="T169" s="633"/>
      <c r="U169" s="633"/>
      <c r="V169" s="633"/>
      <c r="W169" s="634"/>
      <c r="X169" s="633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6"/>
      <c r="C170" s="619"/>
      <c r="D170" s="606"/>
      <c r="E170" s="619"/>
      <c r="F170" s="637"/>
      <c r="G170" s="619"/>
      <c r="H170" s="606"/>
      <c r="I170" s="619"/>
      <c r="J170" s="637"/>
      <c r="K170" s="619"/>
      <c r="L170" s="637"/>
      <c r="M170" s="619"/>
      <c r="N170" s="606"/>
      <c r="O170" s="619"/>
      <c r="P170" s="606"/>
      <c r="Q170" s="619"/>
      <c r="R170" s="637"/>
      <c r="S170" s="619"/>
      <c r="T170" s="637"/>
      <c r="U170" s="619"/>
      <c r="V170" s="606"/>
      <c r="W170" s="619"/>
      <c r="X170" s="606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6"/>
      <c r="C171" s="619"/>
      <c r="D171" s="606"/>
      <c r="E171" s="619"/>
      <c r="F171" s="615"/>
      <c r="G171" s="619"/>
      <c r="H171" s="606"/>
      <c r="I171" s="619"/>
      <c r="J171" s="615"/>
      <c r="K171" s="619"/>
      <c r="L171" s="615"/>
      <c r="M171" s="619"/>
      <c r="N171" s="606"/>
      <c r="O171" s="619"/>
      <c r="P171" s="606"/>
      <c r="Q171" s="619"/>
      <c r="R171" s="615"/>
      <c r="S171" s="619"/>
      <c r="T171" s="615"/>
      <c r="U171" s="619"/>
      <c r="V171" s="606"/>
      <c r="W171" s="619"/>
      <c r="X171" s="606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53"/>
      <c r="C172" s="389">
        <v>467</v>
      </c>
      <c r="D172" s="1453"/>
      <c r="E172" s="390">
        <v>443</v>
      </c>
      <c r="F172" s="1460"/>
      <c r="G172" s="390">
        <v>310.74299999999999</v>
      </c>
      <c r="H172" s="1453"/>
      <c r="I172" s="390">
        <v>479</v>
      </c>
      <c r="J172" s="1451" t="s">
        <v>555</v>
      </c>
      <c r="K172" s="390">
        <v>321</v>
      </c>
      <c r="L172" s="1475"/>
      <c r="M172" s="390">
        <v>506</v>
      </c>
      <c r="N172" s="1453"/>
      <c r="O172" s="390">
        <v>421.20699999999999</v>
      </c>
      <c r="P172" s="1453"/>
      <c r="Q172" s="390">
        <v>421</v>
      </c>
      <c r="R172" s="1424" t="s">
        <v>726</v>
      </c>
      <c r="S172" s="390">
        <v>406</v>
      </c>
      <c r="T172" s="1486"/>
      <c r="U172" s="390">
        <v>435</v>
      </c>
      <c r="V172" s="1453"/>
      <c r="W172" s="390">
        <v>532.75900000000001</v>
      </c>
      <c r="X172" s="1445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59"/>
      <c r="C173" s="615"/>
      <c r="D173" s="1459"/>
      <c r="E173" s="615"/>
      <c r="F173" s="1461"/>
      <c r="G173" s="615"/>
      <c r="H173" s="1459"/>
      <c r="I173" s="615"/>
      <c r="J173" s="1461"/>
      <c r="K173" s="615"/>
      <c r="L173" s="1476"/>
      <c r="M173" s="615"/>
      <c r="N173" s="1459"/>
      <c r="O173" s="615"/>
      <c r="P173" s="1459"/>
      <c r="Q173" s="615"/>
      <c r="R173" s="1425"/>
      <c r="S173" s="615"/>
      <c r="T173" s="1487"/>
      <c r="U173" s="615"/>
      <c r="V173" s="1459"/>
      <c r="W173" s="615"/>
      <c r="X173" s="1459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3" t="s">
        <v>604</v>
      </c>
      <c r="C174" s="392"/>
      <c r="D174" s="613" t="s">
        <v>361</v>
      </c>
      <c r="E174" s="614"/>
      <c r="F174" s="613" t="s">
        <v>362</v>
      </c>
      <c r="G174" s="614"/>
      <c r="H174" s="613" t="s">
        <v>605</v>
      </c>
      <c r="I174" s="614"/>
      <c r="J174" s="613" t="s">
        <v>363</v>
      </c>
      <c r="K174" s="614"/>
      <c r="L174" s="613" t="s">
        <v>364</v>
      </c>
      <c r="M174" s="614"/>
      <c r="N174" s="613" t="s">
        <v>365</v>
      </c>
      <c r="O174" s="614"/>
      <c r="P174" s="613" t="s">
        <v>606</v>
      </c>
      <c r="Q174" s="614"/>
      <c r="R174" s="613" t="s">
        <v>366</v>
      </c>
      <c r="S174" s="614"/>
      <c r="T174" s="613" t="s">
        <v>367</v>
      </c>
      <c r="U174" s="615"/>
      <c r="V174" s="613" t="s">
        <v>368</v>
      </c>
      <c r="W174" s="614"/>
      <c r="X174" s="613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6">
        <f>C172/1000</f>
        <v>0.46700000000000003</v>
      </c>
      <c r="D175" s="392" t="s">
        <v>283</v>
      </c>
      <c r="E175" s="392"/>
      <c r="F175" s="392" t="s">
        <v>212</v>
      </c>
      <c r="G175" s="616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6">
        <f>(I172+K172+M172)/1000</f>
        <v>1.306</v>
      </c>
      <c r="N175" s="392" t="s">
        <v>283</v>
      </c>
      <c r="O175" s="616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6">
        <f>(+Q172+S172+U172)/1000</f>
        <v>1.262</v>
      </c>
      <c r="V175" s="392" t="s">
        <v>283</v>
      </c>
      <c r="W175" s="616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9"/>
      <c r="C176" s="624"/>
      <c r="D176" s="579"/>
      <c r="E176" s="579"/>
      <c r="F176" s="579"/>
      <c r="G176" s="624"/>
      <c r="H176" s="579"/>
      <c r="I176" s="579"/>
      <c r="J176" s="579"/>
      <c r="K176" s="579"/>
      <c r="L176" s="579"/>
      <c r="M176" s="624"/>
      <c r="N176" s="579"/>
      <c r="O176" s="624"/>
      <c r="P176" s="579"/>
      <c r="Q176" s="579"/>
      <c r="R176" s="392"/>
      <c r="S176" s="392"/>
      <c r="T176" s="392" t="s">
        <v>727</v>
      </c>
      <c r="U176" s="616"/>
      <c r="V176" s="579"/>
      <c r="W176" s="616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6"/>
      <c r="D177" s="392"/>
      <c r="E177" s="392"/>
      <c r="F177" s="392"/>
      <c r="G177" s="616"/>
      <c r="H177" s="392"/>
      <c r="I177" s="392"/>
      <c r="J177" s="392"/>
      <c r="K177" s="392"/>
      <c r="L177" s="392"/>
      <c r="M177" s="616"/>
      <c r="N177" s="392"/>
      <c r="O177" s="616"/>
      <c r="P177" s="392"/>
      <c r="Q177" s="392"/>
      <c r="R177" s="392"/>
      <c r="S177" s="392"/>
      <c r="T177" s="392"/>
      <c r="U177" s="616"/>
      <c r="V177" s="392"/>
      <c r="W177" s="616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6"/>
      <c r="D178" s="392"/>
      <c r="E178" s="392"/>
      <c r="F178" s="392"/>
      <c r="G178" s="616"/>
      <c r="H178" s="392"/>
      <c r="I178" s="392"/>
      <c r="J178" s="392"/>
      <c r="K178" s="392"/>
      <c r="L178" s="392"/>
      <c r="M178" s="616"/>
      <c r="N178" s="392"/>
      <c r="O178" s="616"/>
      <c r="P178" s="392"/>
      <c r="Q178" s="392"/>
      <c r="R178" s="639"/>
      <c r="S178" s="392"/>
      <c r="T178" s="392"/>
      <c r="U178" s="616"/>
      <c r="V178" s="639"/>
      <c r="W178" s="616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6"/>
      <c r="C179" s="606"/>
      <c r="D179" s="636"/>
      <c r="E179" s="615"/>
      <c r="F179" s="392"/>
      <c r="G179" s="615"/>
      <c r="H179" s="392"/>
      <c r="I179" s="615"/>
      <c r="J179" s="392"/>
      <c r="K179" s="606"/>
      <c r="L179" s="392"/>
      <c r="M179" s="615"/>
      <c r="N179" s="392"/>
      <c r="O179" s="615"/>
      <c r="P179" s="392"/>
      <c r="Q179" s="606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6"/>
      <c r="C180" s="619"/>
      <c r="D180" s="606"/>
      <c r="E180" s="619"/>
      <c r="F180" s="606"/>
      <c r="G180" s="619"/>
      <c r="H180" s="637"/>
      <c r="I180" s="619"/>
      <c r="J180" s="637"/>
      <c r="K180" s="619"/>
      <c r="L180" s="637"/>
      <c r="M180" s="619"/>
      <c r="N180" s="637"/>
      <c r="O180" s="619"/>
      <c r="P180" s="637"/>
      <c r="Q180" s="619"/>
      <c r="R180" s="637"/>
      <c r="S180" s="619"/>
      <c r="T180" s="606"/>
      <c r="U180" s="619"/>
      <c r="V180" s="637"/>
      <c r="W180" s="619"/>
      <c r="X180" s="637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6"/>
      <c r="C181" s="619"/>
      <c r="D181" s="606"/>
      <c r="E181" s="619"/>
      <c r="F181" s="606"/>
      <c r="G181" s="619"/>
      <c r="H181" s="615"/>
      <c r="I181" s="619"/>
      <c r="J181" s="615"/>
      <c r="K181" s="619"/>
      <c r="L181" s="615"/>
      <c r="M181" s="619"/>
      <c r="N181" s="615"/>
      <c r="O181" s="619"/>
      <c r="P181" s="615"/>
      <c r="Q181" s="619"/>
      <c r="R181" s="615"/>
      <c r="S181" s="619"/>
      <c r="T181" s="606"/>
      <c r="U181" s="619"/>
      <c r="V181" s="615"/>
      <c r="W181" s="619"/>
      <c r="X181" s="615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53"/>
      <c r="C182" s="389">
        <v>484</v>
      </c>
      <c r="D182" s="1445" t="s">
        <v>555</v>
      </c>
      <c r="E182" s="390">
        <v>611</v>
      </c>
      <c r="F182" s="1453"/>
      <c r="G182" s="390">
        <v>367</v>
      </c>
      <c r="H182" s="1430" t="s">
        <v>763</v>
      </c>
      <c r="I182" s="390">
        <v>468.584</v>
      </c>
      <c r="J182" s="1424" t="s">
        <v>763</v>
      </c>
      <c r="K182" s="390">
        <v>371.416</v>
      </c>
      <c r="L182" s="1430" t="s">
        <v>763</v>
      </c>
      <c r="M182" s="390">
        <v>370</v>
      </c>
      <c r="N182" s="1430" t="s">
        <v>763</v>
      </c>
      <c r="O182" s="390">
        <v>327</v>
      </c>
      <c r="P182" s="1424" t="s">
        <v>763</v>
      </c>
      <c r="Q182" s="390">
        <v>318</v>
      </c>
      <c r="R182" s="1424" t="s">
        <v>763</v>
      </c>
      <c r="S182" s="390">
        <v>339.76900000000001</v>
      </c>
      <c r="T182" s="1443"/>
      <c r="U182" s="390">
        <v>395.99900000000002</v>
      </c>
      <c r="V182" s="1424" t="s">
        <v>763</v>
      </c>
      <c r="W182" s="390">
        <v>377</v>
      </c>
      <c r="X182" s="1475"/>
      <c r="Y182" s="467">
        <v>398</v>
      </c>
      <c r="Z182" s="458">
        <v>4</v>
      </c>
      <c r="AA182" s="409"/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59"/>
      <c r="C183" s="615"/>
      <c r="D183" s="1459"/>
      <c r="E183" s="615"/>
      <c r="F183" s="1459"/>
      <c r="G183" s="615"/>
      <c r="H183" s="1431"/>
      <c r="I183" s="615"/>
      <c r="J183" s="1425"/>
      <c r="K183" s="615"/>
      <c r="L183" s="1431"/>
      <c r="M183" s="615"/>
      <c r="N183" s="1431"/>
      <c r="O183" s="615"/>
      <c r="P183" s="1425"/>
      <c r="Q183" s="615"/>
      <c r="R183" s="1425"/>
      <c r="S183" s="615"/>
      <c r="T183" s="1444"/>
      <c r="U183" s="615"/>
      <c r="V183" s="1425"/>
      <c r="W183" s="615"/>
      <c r="X183" s="1476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3" t="s">
        <v>608</v>
      </c>
      <c r="C184" s="392"/>
      <c r="D184" s="613" t="s">
        <v>371</v>
      </c>
      <c r="E184" s="614"/>
      <c r="F184" s="613" t="s">
        <v>372</v>
      </c>
      <c r="G184" s="614"/>
      <c r="H184" s="613" t="s">
        <v>373</v>
      </c>
      <c r="I184" s="614"/>
      <c r="J184" s="613" t="s">
        <v>374</v>
      </c>
      <c r="K184" s="614"/>
      <c r="L184" s="613" t="s">
        <v>375</v>
      </c>
      <c r="M184" s="614"/>
      <c r="N184" s="613" t="s">
        <v>376</v>
      </c>
      <c r="O184" s="614"/>
      <c r="P184" s="613" t="s">
        <v>377</v>
      </c>
      <c r="Q184" s="614"/>
      <c r="R184" s="613" t="s">
        <v>378</v>
      </c>
      <c r="S184" s="614"/>
      <c r="T184" s="613" t="s">
        <v>609</v>
      </c>
      <c r="U184" s="615"/>
      <c r="V184" s="613" t="s">
        <v>379</v>
      </c>
      <c r="W184" s="614"/>
      <c r="X184" s="613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6">
        <f>C182/1000</f>
        <v>0.48399999999999999</v>
      </c>
      <c r="D185" s="392" t="s">
        <v>237</v>
      </c>
      <c r="E185" s="616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6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9"/>
      <c r="C186" s="624"/>
      <c r="D186" s="579"/>
      <c r="E186" s="624"/>
      <c r="F186" s="579"/>
      <c r="G186" s="579"/>
      <c r="H186" s="622" t="s">
        <v>555</v>
      </c>
      <c r="I186" s="579"/>
      <c r="J186" s="579"/>
      <c r="K186" s="579"/>
      <c r="L186" s="579"/>
      <c r="M186" s="579"/>
      <c r="N186" s="579"/>
      <c r="O186" s="579"/>
      <c r="P186" s="579"/>
      <c r="Q186" s="579"/>
      <c r="R186" s="579"/>
      <c r="S186" s="616"/>
      <c r="T186" s="638"/>
      <c r="U186" s="638"/>
      <c r="V186" s="638"/>
      <c r="W186" s="638"/>
      <c r="X186" s="638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6"/>
      <c r="D187" s="392"/>
      <c r="E187" s="616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6"/>
      <c r="T187" s="1465"/>
      <c r="U187" s="1465"/>
      <c r="V187" s="1465"/>
      <c r="W187" s="1465"/>
      <c r="X187" s="1465"/>
      <c r="Y187" s="1488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5"/>
      <c r="D188" s="638"/>
      <c r="E188" s="638"/>
      <c r="F188" s="638"/>
      <c r="G188" s="638"/>
      <c r="H188" s="392"/>
      <c r="I188" s="638"/>
      <c r="J188" s="392"/>
      <c r="K188" s="638"/>
      <c r="L188" s="392"/>
      <c r="M188" s="638"/>
      <c r="N188" s="638"/>
      <c r="O188" s="638"/>
      <c r="P188" s="638"/>
      <c r="Q188" s="638"/>
      <c r="R188" s="638"/>
      <c r="S188" s="638"/>
      <c r="T188" s="638"/>
      <c r="U188" s="638"/>
      <c r="V188" s="638"/>
      <c r="W188" s="636"/>
      <c r="X188" s="638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7"/>
      <c r="C189" s="619"/>
      <c r="D189" s="637"/>
      <c r="E189" s="619"/>
      <c r="F189" s="606"/>
      <c r="G189" s="619"/>
      <c r="H189" s="637"/>
      <c r="I189" s="619"/>
      <c r="J189" s="637"/>
      <c r="K189" s="619"/>
      <c r="L189" s="637"/>
      <c r="M189" s="619"/>
      <c r="N189" s="637"/>
      <c r="O189" s="619"/>
      <c r="P189" s="637"/>
      <c r="Q189" s="619"/>
      <c r="R189" s="606"/>
      <c r="S189" s="619"/>
      <c r="T189" s="637"/>
      <c r="U189" s="619"/>
      <c r="V189" s="637"/>
      <c r="W189" s="619"/>
      <c r="X189" s="637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5"/>
      <c r="C190" s="619"/>
      <c r="D190" s="615"/>
      <c r="E190" s="619"/>
      <c r="F190" s="606"/>
      <c r="G190" s="619"/>
      <c r="H190" s="615"/>
      <c r="I190" s="619"/>
      <c r="J190" s="615"/>
      <c r="K190" s="619"/>
      <c r="L190" s="615"/>
      <c r="M190" s="619"/>
      <c r="N190" s="615"/>
      <c r="O190" s="619"/>
      <c r="P190" s="615"/>
      <c r="Q190" s="619"/>
      <c r="R190" s="606"/>
      <c r="S190" s="619"/>
      <c r="T190" s="615"/>
      <c r="U190" s="619"/>
      <c r="V190" s="615"/>
      <c r="W190" s="619"/>
      <c r="X190" s="615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24" t="s">
        <v>763</v>
      </c>
      <c r="C191" s="389">
        <v>393</v>
      </c>
      <c r="D191" s="1424" t="s">
        <v>763</v>
      </c>
      <c r="E191" s="390">
        <v>373.66</v>
      </c>
      <c r="F191" s="1426" t="s">
        <v>763</v>
      </c>
      <c r="G191" s="390">
        <v>363</v>
      </c>
      <c r="H191" s="1424" t="s">
        <v>763</v>
      </c>
      <c r="I191" s="390">
        <v>349</v>
      </c>
      <c r="J191" s="1424" t="s">
        <v>763</v>
      </c>
      <c r="K191" s="390">
        <v>386</v>
      </c>
      <c r="L191" s="1424" t="s">
        <v>763</v>
      </c>
      <c r="M191" s="390">
        <v>390</v>
      </c>
      <c r="N191" s="1424" t="s">
        <v>763</v>
      </c>
      <c r="O191" s="390">
        <v>417</v>
      </c>
      <c r="P191" s="1424" t="s">
        <v>763</v>
      </c>
      <c r="Q191" s="390">
        <v>422.99700000000001</v>
      </c>
      <c r="R191" s="1426" t="s">
        <v>763</v>
      </c>
      <c r="S191" s="390">
        <v>340</v>
      </c>
      <c r="T191" s="1424" t="s">
        <v>763</v>
      </c>
      <c r="U191" s="390">
        <v>365</v>
      </c>
      <c r="V191" s="1424" t="s">
        <v>763</v>
      </c>
      <c r="W191" s="390">
        <v>403</v>
      </c>
      <c r="X191" s="1424" t="s">
        <v>763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25"/>
      <c r="C192" s="615"/>
      <c r="D192" s="1425"/>
      <c r="E192" s="615"/>
      <c r="F192" s="1427"/>
      <c r="G192" s="615"/>
      <c r="H192" s="1425"/>
      <c r="I192" s="615"/>
      <c r="J192" s="1425"/>
      <c r="K192" s="615"/>
      <c r="L192" s="1425"/>
      <c r="M192" s="615"/>
      <c r="N192" s="1425"/>
      <c r="O192" s="615"/>
      <c r="P192" s="1425"/>
      <c r="Q192" s="615"/>
      <c r="R192" s="1427"/>
      <c r="S192" s="615"/>
      <c r="T192" s="1425"/>
      <c r="U192" s="615"/>
      <c r="V192" s="1425"/>
      <c r="W192" s="615"/>
      <c r="X192" s="1425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3" t="s">
        <v>381</v>
      </c>
      <c r="C193" s="392"/>
      <c r="D193" s="613" t="s">
        <v>382</v>
      </c>
      <c r="E193" s="614"/>
      <c r="F193" s="613" t="s">
        <v>610</v>
      </c>
      <c r="G193" s="614"/>
      <c r="H193" s="613" t="s">
        <v>383</v>
      </c>
      <c r="I193" s="614"/>
      <c r="J193" s="613" t="s">
        <v>384</v>
      </c>
      <c r="K193" s="614"/>
      <c r="L193" s="613" t="s">
        <v>385</v>
      </c>
      <c r="M193" s="614"/>
      <c r="N193" s="613" t="s">
        <v>386</v>
      </c>
      <c r="O193" s="614"/>
      <c r="P193" s="613" t="s">
        <v>387</v>
      </c>
      <c r="Q193" s="614"/>
      <c r="R193" s="613" t="s">
        <v>611</v>
      </c>
      <c r="S193" s="614"/>
      <c r="T193" s="613" t="s">
        <v>388</v>
      </c>
      <c r="U193" s="615"/>
      <c r="V193" s="613" t="s">
        <v>389</v>
      </c>
      <c r="W193" s="614"/>
      <c r="X193" s="613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6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6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80"/>
      <c r="B195" s="606"/>
      <c r="C195" s="606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392"/>
      <c r="R195" s="394"/>
      <c r="S195" s="392"/>
      <c r="T195" s="392"/>
      <c r="U195" s="392"/>
      <c r="V195" s="579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89"/>
      <c r="C196" s="1489"/>
      <c r="D196" s="1489"/>
      <c r="E196" s="1489"/>
      <c r="F196" s="1489"/>
      <c r="G196" s="1489"/>
      <c r="H196" s="1489"/>
      <c r="I196" s="1489"/>
      <c r="J196" s="1489"/>
      <c r="K196" s="1489"/>
      <c r="L196" s="1489"/>
      <c r="M196" s="1489"/>
      <c r="N196" s="1489"/>
      <c r="O196" s="1489"/>
      <c r="P196" s="1489"/>
      <c r="Q196" s="1489"/>
      <c r="R196" s="630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6"/>
      <c r="C197" s="606"/>
      <c r="D197" s="606"/>
      <c r="E197" s="606"/>
      <c r="F197" s="606"/>
      <c r="G197" s="606"/>
      <c r="H197" s="606"/>
      <c r="I197" s="606"/>
      <c r="J197" s="606"/>
      <c r="K197" s="606"/>
      <c r="L197" s="606"/>
      <c r="M197" s="606"/>
      <c r="N197" s="606"/>
      <c r="O197" s="606"/>
      <c r="P197" s="606"/>
      <c r="Q197" s="606"/>
      <c r="R197" s="606"/>
      <c r="S197" s="606"/>
      <c r="T197" s="606"/>
      <c r="U197" s="606"/>
      <c r="V197" s="606"/>
      <c r="W197" s="606"/>
      <c r="X197" s="606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7"/>
      <c r="C198" s="619"/>
      <c r="D198" s="637"/>
      <c r="E198" s="619"/>
      <c r="F198" s="637"/>
      <c r="G198" s="619"/>
      <c r="H198" s="637"/>
      <c r="I198" s="619"/>
      <c r="J198" s="637"/>
      <c r="K198" s="619"/>
      <c r="L198" s="637"/>
      <c r="M198" s="619"/>
      <c r="N198" s="637"/>
      <c r="O198" s="619"/>
      <c r="P198" s="637"/>
      <c r="Q198" s="619"/>
      <c r="R198" s="637"/>
      <c r="S198" s="619"/>
      <c r="T198" s="606"/>
      <c r="U198" s="619"/>
      <c r="V198" s="637"/>
      <c r="W198" s="619"/>
      <c r="X198" s="637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5"/>
      <c r="C199" s="619"/>
      <c r="D199" s="615"/>
      <c r="E199" s="619"/>
      <c r="F199" s="615"/>
      <c r="G199" s="619"/>
      <c r="H199" s="615"/>
      <c r="I199" s="619"/>
      <c r="J199" s="615"/>
      <c r="K199" s="619"/>
      <c r="L199" s="615"/>
      <c r="M199" s="619"/>
      <c r="N199" s="615"/>
      <c r="O199" s="619"/>
      <c r="P199" s="615"/>
      <c r="Q199" s="619"/>
      <c r="R199" s="615"/>
      <c r="S199" s="619"/>
      <c r="T199" s="606"/>
      <c r="U199" s="619"/>
      <c r="V199" s="615"/>
      <c r="W199" s="619"/>
      <c r="X199" s="615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24" t="s">
        <v>763</v>
      </c>
      <c r="C200" s="389">
        <v>395</v>
      </c>
      <c r="D200" s="1424" t="s">
        <v>763</v>
      </c>
      <c r="E200" s="390">
        <v>385</v>
      </c>
      <c r="F200" s="1482" t="s">
        <v>728</v>
      </c>
      <c r="G200" s="390">
        <v>381</v>
      </c>
      <c r="H200" s="1482" t="s">
        <v>728</v>
      </c>
      <c r="I200" s="390">
        <v>395</v>
      </c>
      <c r="J200" s="1482" t="s">
        <v>728</v>
      </c>
      <c r="K200" s="390">
        <v>403</v>
      </c>
      <c r="L200" s="1482" t="s">
        <v>728</v>
      </c>
      <c r="M200" s="390">
        <v>383</v>
      </c>
      <c r="N200" s="1482" t="s">
        <v>728</v>
      </c>
      <c r="O200" s="390">
        <v>386</v>
      </c>
      <c r="P200" s="1482" t="s">
        <v>728</v>
      </c>
      <c r="Q200" s="390">
        <v>397</v>
      </c>
      <c r="R200" s="1482" t="s">
        <v>728</v>
      </c>
      <c r="S200" s="390">
        <v>370.834</v>
      </c>
      <c r="T200" s="1426" t="s">
        <v>758</v>
      </c>
      <c r="U200" s="390">
        <v>422</v>
      </c>
      <c r="V200" s="1424" t="s">
        <v>729</v>
      </c>
      <c r="W200" s="390">
        <v>417</v>
      </c>
      <c r="X200" s="1424" t="s">
        <v>729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25"/>
      <c r="C201" s="615"/>
      <c r="D201" s="1425"/>
      <c r="E201" s="615"/>
      <c r="F201" s="1425"/>
      <c r="G201" s="615"/>
      <c r="H201" s="1425"/>
      <c r="I201" s="615"/>
      <c r="J201" s="1425"/>
      <c r="K201" s="615"/>
      <c r="L201" s="1425"/>
      <c r="M201" s="615"/>
      <c r="N201" s="1425"/>
      <c r="O201" s="615"/>
      <c r="P201" s="1425"/>
      <c r="Q201" s="615"/>
      <c r="R201" s="1425"/>
      <c r="S201" s="615"/>
      <c r="T201" s="1427"/>
      <c r="U201" s="615"/>
      <c r="V201" s="1425"/>
      <c r="W201" s="615"/>
      <c r="X201" s="1425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3" t="s">
        <v>391</v>
      </c>
      <c r="C202" s="392"/>
      <c r="D202" s="613" t="s">
        <v>392</v>
      </c>
      <c r="E202" s="614"/>
      <c r="F202" s="613" t="s">
        <v>393</v>
      </c>
      <c r="G202" s="614"/>
      <c r="H202" s="613" t="s">
        <v>394</v>
      </c>
      <c r="I202" s="614"/>
      <c r="J202" s="613" t="s">
        <v>395</v>
      </c>
      <c r="K202" s="614"/>
      <c r="L202" s="613" t="s">
        <v>396</v>
      </c>
      <c r="M202" s="614"/>
      <c r="N202" s="613" t="s">
        <v>397</v>
      </c>
      <c r="O202" s="614"/>
      <c r="P202" s="613" t="s">
        <v>398</v>
      </c>
      <c r="Q202" s="614"/>
      <c r="R202" s="613" t="s">
        <v>399</v>
      </c>
      <c r="S202" s="614"/>
      <c r="T202" s="613" t="s">
        <v>612</v>
      </c>
      <c r="U202" s="615"/>
      <c r="V202" s="613" t="s">
        <v>400</v>
      </c>
      <c r="W202" s="614"/>
      <c r="X202" s="613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6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9"/>
      <c r="C204" s="579"/>
      <c r="D204" s="579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6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9"/>
      <c r="Q205" s="392"/>
      <c r="R205" s="639"/>
      <c r="S205" s="616"/>
      <c r="T205" s="392"/>
      <c r="U205" s="392"/>
      <c r="V205" s="639"/>
      <c r="W205" s="392"/>
      <c r="X205" s="639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6"/>
      <c r="C206" s="606"/>
      <c r="D206" s="606"/>
      <c r="E206" s="606"/>
      <c r="F206" s="606"/>
      <c r="G206" s="606"/>
      <c r="H206" s="606"/>
      <c r="I206" s="606"/>
      <c r="J206" s="606"/>
      <c r="K206" s="606"/>
      <c r="L206" s="606"/>
      <c r="M206" s="606"/>
      <c r="N206" s="392"/>
      <c r="O206" s="606"/>
      <c r="P206" s="392"/>
      <c r="Q206" s="606"/>
      <c r="R206" s="392"/>
      <c r="S206" s="615"/>
      <c r="T206" s="392"/>
      <c r="U206" s="615"/>
      <c r="V206" s="392"/>
      <c r="W206" s="619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7"/>
      <c r="C207" s="619"/>
      <c r="D207" s="637"/>
      <c r="E207" s="619"/>
      <c r="F207" s="637"/>
      <c r="G207" s="385"/>
      <c r="H207" s="637"/>
      <c r="I207" s="619"/>
      <c r="J207" s="637"/>
      <c r="K207" s="619"/>
      <c r="L207" s="637"/>
      <c r="M207" s="619"/>
      <c r="N207" s="637"/>
      <c r="O207" s="619"/>
      <c r="P207" s="637"/>
      <c r="Q207" s="619"/>
      <c r="R207" s="637"/>
      <c r="S207" s="619"/>
      <c r="T207" s="637"/>
      <c r="U207" s="619"/>
      <c r="V207" s="637"/>
      <c r="X207" s="637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5"/>
      <c r="C208" s="619"/>
      <c r="D208" s="615"/>
      <c r="E208" s="619"/>
      <c r="F208" s="615"/>
      <c r="G208" s="619"/>
      <c r="H208" s="615"/>
      <c r="I208" s="619"/>
      <c r="J208" s="615"/>
      <c r="K208" s="619"/>
      <c r="L208" s="615"/>
      <c r="M208" s="619"/>
      <c r="N208" s="615"/>
      <c r="O208" s="619"/>
      <c r="P208" s="615"/>
      <c r="Q208" s="619"/>
      <c r="R208" s="615"/>
      <c r="S208" s="619"/>
      <c r="T208" s="615"/>
      <c r="U208" s="619"/>
      <c r="V208" s="615"/>
      <c r="W208" s="619"/>
      <c r="X208" s="615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24" t="s">
        <v>729</v>
      </c>
      <c r="C209" s="389">
        <v>421</v>
      </c>
      <c r="D209" s="1424" t="s">
        <v>729</v>
      </c>
      <c r="E209" s="390">
        <v>419</v>
      </c>
      <c r="F209" s="1424" t="s">
        <v>729</v>
      </c>
      <c r="G209" s="390">
        <v>402</v>
      </c>
      <c r="H209" s="1490" t="s">
        <v>684</v>
      </c>
      <c r="I209" s="390">
        <v>402</v>
      </c>
      <c r="J209" s="1490" t="s">
        <v>684</v>
      </c>
      <c r="K209" s="390">
        <v>411</v>
      </c>
      <c r="L209" s="1490" t="s">
        <v>684</v>
      </c>
      <c r="M209" s="390">
        <v>355.16899999999998</v>
      </c>
      <c r="N209" s="1424" t="s">
        <v>729</v>
      </c>
      <c r="O209" s="390">
        <v>390</v>
      </c>
      <c r="P209" s="1424" t="s">
        <v>726</v>
      </c>
      <c r="Q209" s="390">
        <v>380</v>
      </c>
      <c r="R209" s="1424" t="s">
        <v>726</v>
      </c>
      <c r="S209" s="390">
        <v>390</v>
      </c>
      <c r="T209" s="1424" t="s">
        <v>726</v>
      </c>
      <c r="U209" s="390">
        <v>398</v>
      </c>
      <c r="V209" s="1424" t="s">
        <v>763</v>
      </c>
      <c r="W209" s="390">
        <v>406</v>
      </c>
      <c r="X209" s="1424" t="s">
        <v>726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25"/>
      <c r="C210" s="615"/>
      <c r="D210" s="1425"/>
      <c r="E210" s="615"/>
      <c r="F210" s="1425"/>
      <c r="G210" s="615"/>
      <c r="H210" s="1471"/>
      <c r="I210" s="615"/>
      <c r="J210" s="1471"/>
      <c r="K210" s="615"/>
      <c r="L210" s="1471"/>
      <c r="M210" s="615"/>
      <c r="N210" s="1425"/>
      <c r="O210" s="615"/>
      <c r="P210" s="1425"/>
      <c r="Q210" s="615"/>
      <c r="R210" s="1425"/>
      <c r="S210" s="615"/>
      <c r="T210" s="1425"/>
      <c r="U210" s="615"/>
      <c r="V210" s="1425"/>
      <c r="W210" s="615"/>
      <c r="X210" s="1425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3" t="s">
        <v>402</v>
      </c>
      <c r="C211" s="392"/>
      <c r="D211" s="613" t="s">
        <v>403</v>
      </c>
      <c r="E211" s="614"/>
      <c r="F211" s="613" t="s">
        <v>404</v>
      </c>
      <c r="G211" s="614"/>
      <c r="H211" s="613" t="s">
        <v>405</v>
      </c>
      <c r="I211" s="614"/>
      <c r="J211" s="613" t="s">
        <v>406</v>
      </c>
      <c r="K211" s="614"/>
      <c r="L211" s="613" t="s">
        <v>407</v>
      </c>
      <c r="M211" s="614"/>
      <c r="N211" s="613" t="s">
        <v>613</v>
      </c>
      <c r="O211" s="614"/>
      <c r="P211" s="613" t="s">
        <v>408</v>
      </c>
      <c r="Q211" s="614"/>
      <c r="R211" s="613" t="s">
        <v>409</v>
      </c>
      <c r="S211" s="614"/>
      <c r="T211" s="613" t="s">
        <v>614</v>
      </c>
      <c r="U211" s="615"/>
      <c r="V211" s="613" t="s">
        <v>615</v>
      </c>
      <c r="W211" s="614"/>
      <c r="X211" s="613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6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713</v>
      </c>
      <c r="G213" s="392"/>
      <c r="H213" s="392"/>
      <c r="I213" s="392"/>
      <c r="J213" s="392"/>
      <c r="K213" s="392"/>
      <c r="L213" s="392"/>
      <c r="M213" s="616"/>
      <c r="N213" s="395" t="s">
        <v>713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616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6"/>
      <c r="C215" s="606"/>
      <c r="D215" s="606"/>
      <c r="E215" s="606"/>
      <c r="F215" s="606"/>
      <c r="G215" s="606"/>
      <c r="H215" s="606"/>
      <c r="I215" s="606"/>
      <c r="J215" s="606"/>
      <c r="K215" s="606"/>
      <c r="L215" s="606"/>
      <c r="M215" s="606"/>
      <c r="N215" s="392"/>
      <c r="O215" s="606"/>
      <c r="P215" s="392"/>
      <c r="Q215" s="606"/>
      <c r="R215" s="392"/>
      <c r="S215" s="615"/>
      <c r="T215" s="392"/>
      <c r="U215" s="615"/>
      <c r="V215" s="392"/>
      <c r="W215" s="615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7"/>
      <c r="C216" s="619"/>
      <c r="D216" s="637"/>
      <c r="E216" s="619"/>
      <c r="F216" s="637"/>
      <c r="G216" s="619"/>
      <c r="H216" s="637"/>
      <c r="I216" s="619"/>
      <c r="J216" s="606"/>
      <c r="K216" s="619"/>
      <c r="L216" s="637"/>
      <c r="M216" s="619"/>
      <c r="N216" s="637"/>
      <c r="O216" s="619"/>
      <c r="P216" s="637"/>
      <c r="Q216" s="619"/>
      <c r="R216" s="637"/>
      <c r="S216" s="619"/>
      <c r="T216" s="637"/>
      <c r="U216" s="619"/>
      <c r="V216" s="637"/>
      <c r="W216" s="619"/>
      <c r="X216" s="606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5"/>
      <c r="C217" s="619"/>
      <c r="D217" s="615"/>
      <c r="E217" s="619"/>
      <c r="F217" s="615"/>
      <c r="G217" s="619"/>
      <c r="H217" s="615"/>
      <c r="I217" s="619"/>
      <c r="J217" s="606"/>
      <c r="K217" s="619"/>
      <c r="L217" s="615"/>
      <c r="M217" s="619"/>
      <c r="N217" s="615"/>
      <c r="O217" s="619"/>
      <c r="P217" s="615"/>
      <c r="Q217" s="619"/>
      <c r="R217" s="615"/>
      <c r="S217" s="619"/>
      <c r="T217" s="615"/>
      <c r="U217" s="619"/>
      <c r="V217" s="615"/>
      <c r="W217" s="619"/>
      <c r="X217" s="606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24" t="s">
        <v>726</v>
      </c>
      <c r="C218" s="389">
        <v>392</v>
      </c>
      <c r="D218" s="1424" t="s">
        <v>726</v>
      </c>
      <c r="E218" s="390">
        <v>390</v>
      </c>
      <c r="F218" s="1493" t="s">
        <v>916</v>
      </c>
      <c r="G218" s="390">
        <v>401</v>
      </c>
      <c r="H218" s="1424" t="s">
        <v>763</v>
      </c>
      <c r="I218" s="390">
        <v>406.005</v>
      </c>
      <c r="J218" s="1462" t="s">
        <v>916</v>
      </c>
      <c r="K218" s="390">
        <v>385</v>
      </c>
      <c r="L218" s="1490" t="s">
        <v>684</v>
      </c>
      <c r="M218" s="390">
        <v>380</v>
      </c>
      <c r="N218" s="1490" t="s">
        <v>684</v>
      </c>
      <c r="O218" s="390">
        <v>380</v>
      </c>
      <c r="P218" s="1490" t="s">
        <v>684</v>
      </c>
      <c r="Q218" s="390">
        <v>382</v>
      </c>
      <c r="R218" s="1490" t="s">
        <v>684</v>
      </c>
      <c r="S218" s="390">
        <v>383.99099999999999</v>
      </c>
      <c r="T218" s="1490" t="s">
        <v>684</v>
      </c>
      <c r="U218" s="390">
        <v>392.29500000000002</v>
      </c>
      <c r="V218" s="1491"/>
      <c r="W218" s="390">
        <v>401.31</v>
      </c>
      <c r="X218" s="1443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25"/>
      <c r="C219" s="615"/>
      <c r="D219" s="1425"/>
      <c r="E219" s="615"/>
      <c r="F219" s="1494"/>
      <c r="G219" s="615"/>
      <c r="H219" s="1433"/>
      <c r="I219" s="615"/>
      <c r="J219" s="1463"/>
      <c r="K219" s="615"/>
      <c r="L219" s="1471"/>
      <c r="M219" s="615"/>
      <c r="N219" s="1471"/>
      <c r="O219" s="615"/>
      <c r="P219" s="1471"/>
      <c r="Q219" s="615"/>
      <c r="R219" s="1471"/>
      <c r="S219" s="615"/>
      <c r="T219" s="1471"/>
      <c r="U219" s="615"/>
      <c r="V219" s="1492"/>
      <c r="W219" s="615"/>
      <c r="X219" s="1444"/>
      <c r="Y219" s="468"/>
      <c r="Z219" s="458">
        <v>9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3" t="s">
        <v>617</v>
      </c>
      <c r="C220" s="392"/>
      <c r="D220" s="613" t="s">
        <v>618</v>
      </c>
      <c r="E220" s="614"/>
      <c r="F220" s="613" t="s">
        <v>619</v>
      </c>
      <c r="G220" s="614"/>
      <c r="H220" s="613" t="s">
        <v>620</v>
      </c>
      <c r="I220" s="614"/>
      <c r="J220" s="613" t="s">
        <v>621</v>
      </c>
      <c r="K220" s="614"/>
      <c r="L220" s="613" t="s">
        <v>622</v>
      </c>
      <c r="M220" s="614"/>
      <c r="N220" s="613" t="s">
        <v>623</v>
      </c>
      <c r="O220" s="614"/>
      <c r="P220" s="613" t="s">
        <v>624</v>
      </c>
      <c r="Q220" s="614"/>
      <c r="R220" s="613" t="s">
        <v>625</v>
      </c>
      <c r="S220" s="614"/>
      <c r="T220" s="613" t="s">
        <v>626</v>
      </c>
      <c r="U220" s="615"/>
      <c r="V220" s="613" t="s">
        <v>627</v>
      </c>
      <c r="W220" s="614"/>
      <c r="X220" s="613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6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6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9" t="s">
        <v>555</v>
      </c>
      <c r="G222" s="392"/>
      <c r="H222" s="609" t="s">
        <v>555</v>
      </c>
      <c r="I222" s="616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6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6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6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6"/>
      <c r="C224" s="606"/>
      <c r="D224" s="606"/>
      <c r="E224" s="606"/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  <c r="P224" s="606"/>
      <c r="Q224" s="606"/>
      <c r="R224" s="392"/>
      <c r="S224" s="606"/>
      <c r="T224" s="606"/>
      <c r="U224" s="606"/>
      <c r="V224" s="606"/>
      <c r="W224" s="606"/>
      <c r="X224" s="606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7"/>
      <c r="C225" s="619"/>
      <c r="D225" s="637"/>
      <c r="E225" s="619"/>
      <c r="F225" s="637"/>
      <c r="G225" s="619"/>
      <c r="H225" s="606"/>
      <c r="I225" s="619"/>
      <c r="J225" s="637"/>
      <c r="K225" s="619"/>
      <c r="L225" s="637"/>
      <c r="M225" s="619"/>
      <c r="N225" s="637"/>
      <c r="O225" s="619"/>
      <c r="P225" s="637"/>
      <c r="Q225" s="619"/>
      <c r="R225" s="637"/>
      <c r="S225" s="619"/>
      <c r="T225" s="637"/>
      <c r="U225" s="619"/>
      <c r="V225" s="637"/>
      <c r="W225" s="619"/>
      <c r="X225" s="637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5"/>
      <c r="C226" s="619"/>
      <c r="D226" s="615"/>
      <c r="E226" s="619"/>
      <c r="F226" s="615"/>
      <c r="G226" s="619"/>
      <c r="H226" s="606"/>
      <c r="I226" s="619"/>
      <c r="J226" s="615"/>
      <c r="K226" s="619"/>
      <c r="L226" s="615"/>
      <c r="M226" s="619"/>
      <c r="N226" s="615"/>
      <c r="O226" s="619"/>
      <c r="P226" s="615"/>
      <c r="Q226" s="619"/>
      <c r="R226" s="615"/>
      <c r="S226" s="619"/>
      <c r="T226" s="615"/>
      <c r="U226" s="619"/>
      <c r="V226" s="615"/>
      <c r="W226" s="619"/>
      <c r="X226" s="615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75"/>
      <c r="C227" s="389">
        <v>368</v>
      </c>
      <c r="D227" s="1475"/>
      <c r="E227" s="390">
        <v>440</v>
      </c>
      <c r="F227" s="1475"/>
      <c r="G227" s="390">
        <v>364.13200000000001</v>
      </c>
      <c r="H227" s="1443"/>
      <c r="I227" s="390">
        <v>407</v>
      </c>
      <c r="J227" s="1475"/>
      <c r="K227" s="390">
        <v>375</v>
      </c>
      <c r="L227" s="1475"/>
      <c r="M227" s="390">
        <v>313</v>
      </c>
      <c r="N227" s="1475"/>
      <c r="O227" s="390">
        <v>388</v>
      </c>
      <c r="P227" s="1460"/>
      <c r="Q227" s="390">
        <v>414</v>
      </c>
      <c r="R227" s="1460"/>
      <c r="S227" s="390">
        <v>385</v>
      </c>
      <c r="T227" s="1475"/>
      <c r="U227" s="390">
        <v>360</v>
      </c>
      <c r="V227" s="1475"/>
      <c r="W227" s="396">
        <v>382</v>
      </c>
      <c r="X227" s="1475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76"/>
      <c r="C228" s="615"/>
      <c r="D228" s="1476"/>
      <c r="E228" s="615"/>
      <c r="F228" s="1476"/>
      <c r="G228" s="615"/>
      <c r="H228" s="1444"/>
      <c r="I228" s="615"/>
      <c r="J228" s="1476"/>
      <c r="K228" s="615"/>
      <c r="L228" s="1476"/>
      <c r="M228" s="615"/>
      <c r="N228" s="1476"/>
      <c r="O228" s="615"/>
      <c r="P228" s="1461"/>
      <c r="Q228" s="615"/>
      <c r="R228" s="1461"/>
      <c r="S228" s="615"/>
      <c r="T228" s="1476"/>
      <c r="U228" s="615"/>
      <c r="V228" s="1476"/>
      <c r="W228" s="615"/>
      <c r="X228" s="1476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3" t="s">
        <v>629</v>
      </c>
      <c r="C229" s="392"/>
      <c r="D229" s="613" t="s">
        <v>630</v>
      </c>
      <c r="E229" s="614"/>
      <c r="F229" s="613" t="s">
        <v>631</v>
      </c>
      <c r="G229" s="614"/>
      <c r="H229" s="613" t="s">
        <v>632</v>
      </c>
      <c r="I229" s="614"/>
      <c r="J229" s="613" t="s">
        <v>633</v>
      </c>
      <c r="K229" s="614"/>
      <c r="L229" s="613" t="s">
        <v>634</v>
      </c>
      <c r="M229" s="614"/>
      <c r="N229" s="613" t="s">
        <v>635</v>
      </c>
      <c r="O229" s="614"/>
      <c r="P229" s="613" t="s">
        <v>636</v>
      </c>
      <c r="Q229" s="614"/>
      <c r="R229" s="613" t="s">
        <v>637</v>
      </c>
      <c r="S229" s="614"/>
      <c r="T229" s="613" t="s">
        <v>638</v>
      </c>
      <c r="U229" s="615"/>
      <c r="V229" s="613" t="s">
        <v>639</v>
      </c>
      <c r="W229" s="614"/>
      <c r="X229" s="641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6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6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6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6"/>
      <c r="C233" s="606"/>
      <c r="D233" s="606"/>
      <c r="E233" s="606"/>
      <c r="F233" s="606"/>
      <c r="G233" s="606"/>
      <c r="H233" s="606"/>
      <c r="I233" s="606"/>
      <c r="J233" s="606"/>
      <c r="K233" s="606"/>
      <c r="L233" s="606"/>
      <c r="M233" s="606"/>
      <c r="N233" s="392"/>
      <c r="O233" s="606"/>
      <c r="P233" s="392"/>
      <c r="Q233" s="606"/>
      <c r="R233" s="392"/>
      <c r="S233" s="615"/>
      <c r="T233" s="392"/>
      <c r="U233" s="615"/>
      <c r="V233" s="392"/>
      <c r="W233" s="619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7"/>
      <c r="C234" s="619"/>
      <c r="D234" s="637"/>
      <c r="E234" s="619"/>
      <c r="F234" s="637"/>
      <c r="G234" s="619"/>
      <c r="H234" s="606"/>
      <c r="I234" s="619"/>
      <c r="J234" s="637"/>
      <c r="K234" s="619"/>
      <c r="L234" s="637"/>
      <c r="M234" s="619"/>
      <c r="N234" s="637"/>
      <c r="O234" s="619"/>
      <c r="P234" s="606"/>
      <c r="Q234" s="619"/>
      <c r="R234" s="606"/>
      <c r="S234" s="619"/>
      <c r="T234" s="637"/>
      <c r="U234" s="619"/>
      <c r="V234" s="606"/>
      <c r="W234" s="394"/>
      <c r="X234" s="637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5"/>
      <c r="C235" s="619"/>
      <c r="D235" s="615"/>
      <c r="E235" s="619"/>
      <c r="F235" s="615"/>
      <c r="G235" s="619"/>
      <c r="H235" s="606"/>
      <c r="I235" s="619"/>
      <c r="J235" s="615"/>
      <c r="K235" s="619"/>
      <c r="L235" s="615"/>
      <c r="M235" s="619"/>
      <c r="N235" s="615"/>
      <c r="O235" s="619"/>
      <c r="P235" s="606"/>
      <c r="Q235" s="619"/>
      <c r="R235" s="606"/>
      <c r="S235" s="619"/>
      <c r="T235" s="615"/>
      <c r="U235" s="619"/>
      <c r="V235" s="606"/>
      <c r="W235" s="619"/>
      <c r="X235" s="615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60"/>
      <c r="C236" s="389">
        <v>429</v>
      </c>
      <c r="D236" s="1475"/>
      <c r="E236" s="390">
        <v>383</v>
      </c>
      <c r="F236" s="1475"/>
      <c r="G236" s="390">
        <v>447.10700000000003</v>
      </c>
      <c r="H236" s="1445" t="s">
        <v>555</v>
      </c>
      <c r="I236" s="390">
        <v>416</v>
      </c>
      <c r="J236" s="1475"/>
      <c r="K236" s="390">
        <v>389</v>
      </c>
      <c r="L236" s="1475"/>
      <c r="M236" s="390">
        <v>380</v>
      </c>
      <c r="N236" s="1460"/>
      <c r="O236" s="390">
        <v>362.38400000000001</v>
      </c>
      <c r="P236" s="1453"/>
      <c r="Q236" s="390">
        <v>263.31</v>
      </c>
      <c r="R236" s="1443"/>
      <c r="S236" s="390">
        <v>393</v>
      </c>
      <c r="T236" s="1460"/>
      <c r="U236" s="390">
        <v>384.17</v>
      </c>
      <c r="V236" s="1443"/>
      <c r="W236" s="390">
        <v>348</v>
      </c>
      <c r="X236" s="1475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61"/>
      <c r="C237" s="615"/>
      <c r="D237" s="1476"/>
      <c r="E237" s="615"/>
      <c r="F237" s="1476"/>
      <c r="G237" s="615"/>
      <c r="H237" s="1459"/>
      <c r="I237" s="615"/>
      <c r="J237" s="1476"/>
      <c r="K237" s="615"/>
      <c r="L237" s="1476"/>
      <c r="M237" s="615"/>
      <c r="N237" s="1461"/>
      <c r="O237" s="615"/>
      <c r="P237" s="1459"/>
      <c r="Q237" s="615"/>
      <c r="R237" s="1444"/>
      <c r="S237" s="615"/>
      <c r="T237" s="1461"/>
      <c r="U237" s="615"/>
      <c r="V237" s="1444"/>
      <c r="W237" s="615"/>
      <c r="X237" s="1476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3" t="s">
        <v>641</v>
      </c>
      <c r="C238" s="392"/>
      <c r="D238" s="613" t="s">
        <v>642</v>
      </c>
      <c r="E238" s="614"/>
      <c r="F238" s="613" t="s">
        <v>643</v>
      </c>
      <c r="G238" s="614"/>
      <c r="H238" s="613" t="s">
        <v>644</v>
      </c>
      <c r="I238" s="614"/>
      <c r="J238" s="613" t="s">
        <v>645</v>
      </c>
      <c r="K238" s="614"/>
      <c r="L238" s="613" t="s">
        <v>646</v>
      </c>
      <c r="M238" s="614"/>
      <c r="N238" s="613" t="s">
        <v>647</v>
      </c>
      <c r="O238" s="614"/>
      <c r="P238" s="613" t="s">
        <v>648</v>
      </c>
      <c r="Q238" s="614"/>
      <c r="R238" s="613" t="s">
        <v>649</v>
      </c>
      <c r="S238" s="614"/>
      <c r="T238" s="613" t="s">
        <v>650</v>
      </c>
      <c r="U238" s="615"/>
      <c r="V238" s="613" t="s">
        <v>651</v>
      </c>
      <c r="W238" s="614"/>
      <c r="X238" s="613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6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6">
        <f>(I236+K236+M236+O236)/1000</f>
        <v>1.5473840000000001</v>
      </c>
      <c r="P239" s="392" t="s">
        <v>653</v>
      </c>
      <c r="Q239" s="616">
        <f>Q236/1000</f>
        <v>0.26330999999999999</v>
      </c>
      <c r="R239" s="392" t="s">
        <v>768</v>
      </c>
      <c r="S239" s="392"/>
      <c r="T239" s="392" t="s">
        <v>212</v>
      </c>
      <c r="U239" s="616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6"/>
      <c r="H240" s="392"/>
      <c r="I240" s="392"/>
      <c r="J240" s="392"/>
      <c r="K240" s="392"/>
      <c r="L240" s="392"/>
      <c r="M240" s="392"/>
      <c r="N240" s="392"/>
      <c r="O240" s="616"/>
      <c r="P240" s="618" t="s">
        <v>711</v>
      </c>
      <c r="Q240" s="616"/>
      <c r="R240" s="618" t="s">
        <v>711</v>
      </c>
      <c r="S240" s="392"/>
      <c r="T240" s="392"/>
      <c r="U240" s="616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6"/>
      <c r="H241" s="392"/>
      <c r="I241" s="392"/>
      <c r="J241" s="392"/>
      <c r="K241" s="392"/>
      <c r="L241" s="392"/>
      <c r="M241" s="392"/>
      <c r="N241" s="392"/>
      <c r="O241" s="642"/>
      <c r="P241" s="581"/>
      <c r="Q241" s="581"/>
      <c r="R241" s="582" t="s">
        <v>877</v>
      </c>
      <c r="S241" s="581"/>
      <c r="T241" s="583"/>
      <c r="U241" s="583"/>
      <c r="V241" s="583"/>
      <c r="W241" s="584"/>
      <c r="X241" s="642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6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42"/>
      <c r="P242" s="642"/>
      <c r="Q242" s="642"/>
      <c r="R242" s="642"/>
      <c r="S242" s="642"/>
      <c r="T242" s="585" t="s">
        <v>878</v>
      </c>
      <c r="U242" s="586"/>
      <c r="V242" s="587" t="s">
        <v>879</v>
      </c>
      <c r="W242" s="587"/>
      <c r="X242" s="587" t="s">
        <v>880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6"/>
      <c r="C243" s="617"/>
      <c r="D243" s="606"/>
      <c r="E243" s="617"/>
      <c r="F243" s="606"/>
      <c r="G243" s="617"/>
      <c r="H243" s="606"/>
      <c r="I243" s="617"/>
      <c r="J243" s="385"/>
      <c r="K243" s="385"/>
      <c r="L243" s="385"/>
      <c r="M243" s="385"/>
      <c r="N243" s="385"/>
      <c r="O243" s="653">
        <v>1</v>
      </c>
      <c r="P243" s="654" t="s">
        <v>881</v>
      </c>
      <c r="Q243" s="654" t="s">
        <v>89</v>
      </c>
      <c r="R243" s="654"/>
      <c r="S243" s="652" t="s">
        <v>879</v>
      </c>
      <c r="T243" s="655">
        <v>45854</v>
      </c>
      <c r="U243" s="654"/>
      <c r="V243" s="668">
        <v>46099</v>
      </c>
      <c r="W243" s="654"/>
      <c r="X243" s="654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10"/>
      <c r="C244" s="617"/>
      <c r="D244" s="606"/>
      <c r="E244" s="617"/>
      <c r="F244" s="606"/>
      <c r="G244" s="617"/>
      <c r="H244" s="606"/>
      <c r="I244" s="617"/>
      <c r="J244" s="385"/>
      <c r="K244" s="385"/>
      <c r="L244" s="385"/>
      <c r="M244" s="385"/>
      <c r="N244" s="385"/>
      <c r="O244" s="653">
        <f>O243+1</f>
        <v>2</v>
      </c>
      <c r="P244" s="654" t="s">
        <v>883</v>
      </c>
      <c r="Q244" s="654" t="s">
        <v>884</v>
      </c>
      <c r="R244" s="654"/>
      <c r="S244" s="652" t="s">
        <v>879</v>
      </c>
      <c r="T244" s="656">
        <v>45916</v>
      </c>
      <c r="U244" s="656"/>
      <c r="V244" s="668">
        <v>46290</v>
      </c>
      <c r="W244" s="654"/>
      <c r="X244" s="654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75"/>
      <c r="C245" s="389">
        <v>428.52600000000001</v>
      </c>
      <c r="D245" s="1495" t="s">
        <v>555</v>
      </c>
      <c r="E245" s="390">
        <v>194.62799999999999</v>
      </c>
      <c r="F245" s="1443"/>
      <c r="G245" s="390">
        <v>203.14099999999999</v>
      </c>
      <c r="H245" s="1443"/>
      <c r="I245" s="643"/>
      <c r="J245" s="644"/>
      <c r="K245" s="385"/>
      <c r="L245" s="385"/>
      <c r="M245" s="385"/>
      <c r="N245" s="385"/>
      <c r="O245" s="653">
        <f>O244+1</f>
        <v>3</v>
      </c>
      <c r="P245" s="657" t="s">
        <v>885</v>
      </c>
      <c r="Q245" s="654" t="s">
        <v>659</v>
      </c>
      <c r="R245" s="658"/>
      <c r="S245" s="652" t="s">
        <v>879</v>
      </c>
      <c r="T245" s="656">
        <v>45940</v>
      </c>
      <c r="U245" s="656"/>
      <c r="V245" s="668">
        <v>45970</v>
      </c>
      <c r="W245" s="655"/>
      <c r="X245" s="654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76"/>
      <c r="C246" s="610"/>
      <c r="D246" s="1496"/>
      <c r="E246" s="610"/>
      <c r="F246" s="1444"/>
      <c r="G246" s="610"/>
      <c r="H246" s="1444"/>
      <c r="I246" s="610"/>
      <c r="J246" s="644"/>
      <c r="K246" s="385"/>
      <c r="L246" s="385"/>
      <c r="M246" s="385"/>
      <c r="N246" s="385"/>
      <c r="O246" s="794">
        <f>O245+1</f>
        <v>4</v>
      </c>
      <c r="P246" s="795" t="s">
        <v>886</v>
      </c>
      <c r="Q246" s="796" t="s">
        <v>887</v>
      </c>
      <c r="R246" s="797"/>
      <c r="S246" s="798" t="s">
        <v>882</v>
      </c>
      <c r="T246" s="799">
        <v>45938</v>
      </c>
      <c r="U246" s="799"/>
      <c r="V246" s="800">
        <v>46125</v>
      </c>
      <c r="W246" s="801"/>
      <c r="X246" s="802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3" t="s">
        <v>654</v>
      </c>
      <c r="C247" s="392"/>
      <c r="D247" s="613" t="s">
        <v>655</v>
      </c>
      <c r="E247" s="614"/>
      <c r="F247" s="613" t="s">
        <v>656</v>
      </c>
      <c r="G247" s="614"/>
      <c r="H247" s="613" t="s">
        <v>657</v>
      </c>
      <c r="I247" s="394"/>
      <c r="J247" s="645"/>
      <c r="K247" s="385"/>
      <c r="L247" s="385"/>
      <c r="M247" s="385"/>
      <c r="N247" s="385"/>
      <c r="O247" s="653">
        <f>O246+1</f>
        <v>5</v>
      </c>
      <c r="P247" s="659" t="s">
        <v>888</v>
      </c>
      <c r="Q247" s="660" t="s">
        <v>660</v>
      </c>
      <c r="R247" s="661"/>
      <c r="S247" s="652" t="s">
        <v>879</v>
      </c>
      <c r="T247" s="656">
        <v>45995</v>
      </c>
      <c r="U247" s="656"/>
      <c r="V247" s="667">
        <v>46099</v>
      </c>
      <c r="W247" s="662"/>
      <c r="X247" s="654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6">
        <f>(W236+Y236+C245)/1000</f>
        <v>1.1265260000000001</v>
      </c>
      <c r="D248" s="392" t="s">
        <v>283</v>
      </c>
      <c r="E248" s="616">
        <f>E245/1000</f>
        <v>0.194628</v>
      </c>
      <c r="F248" s="392" t="s">
        <v>658</v>
      </c>
      <c r="G248" s="616">
        <f>G245/1000</f>
        <v>0.20314099999999999</v>
      </c>
      <c r="H248" s="392" t="s">
        <v>369</v>
      </c>
      <c r="I248" s="394"/>
      <c r="J248" s="645"/>
      <c r="K248" s="385"/>
      <c r="L248" s="385"/>
      <c r="M248" s="385"/>
      <c r="N248" s="385"/>
      <c r="O248" s="653">
        <f>O247+1</f>
        <v>6</v>
      </c>
      <c r="P248" s="659" t="s">
        <v>889</v>
      </c>
      <c r="Q248" s="660" t="s">
        <v>890</v>
      </c>
      <c r="R248" s="661"/>
      <c r="S248" s="652" t="s">
        <v>879</v>
      </c>
      <c r="T248" s="656">
        <v>45998</v>
      </c>
      <c r="U248" s="656"/>
      <c r="V248" s="667">
        <v>46053</v>
      </c>
      <c r="W248" s="662"/>
      <c r="X248" s="654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6"/>
      <c r="D249" s="392"/>
      <c r="E249" s="616"/>
      <c r="F249" s="392"/>
      <c r="G249" s="616"/>
      <c r="H249" s="397" t="s">
        <v>730</v>
      </c>
      <c r="I249" s="398"/>
      <c r="J249" s="399"/>
      <c r="K249" s="385"/>
      <c r="L249" s="385"/>
      <c r="M249" s="385"/>
      <c r="N249" s="385"/>
      <c r="O249" s="653">
        <v>7</v>
      </c>
      <c r="P249" s="659" t="s">
        <v>891</v>
      </c>
      <c r="Q249" s="660" t="s">
        <v>661</v>
      </c>
      <c r="R249" s="661"/>
      <c r="S249" s="652" t="s">
        <v>879</v>
      </c>
      <c r="T249" s="656">
        <v>46001</v>
      </c>
      <c r="U249" s="656"/>
      <c r="V249" s="667">
        <v>46081</v>
      </c>
      <c r="W249" s="662"/>
      <c r="X249" s="654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646"/>
      <c r="C250" s="646"/>
      <c r="D250" s="646"/>
      <c r="E250" s="646"/>
      <c r="F250" s="646" t="s">
        <v>770</v>
      </c>
      <c r="G250" s="646"/>
      <c r="H250" s="646" t="s">
        <v>770</v>
      </c>
      <c r="I250" s="394"/>
      <c r="J250" s="645"/>
      <c r="K250" s="385"/>
      <c r="L250" s="385"/>
      <c r="M250" s="385"/>
      <c r="N250" s="385"/>
      <c r="O250" s="653">
        <v>8</v>
      </c>
      <c r="P250" s="659" t="s">
        <v>892</v>
      </c>
      <c r="Q250" s="660" t="s">
        <v>893</v>
      </c>
      <c r="R250" s="661"/>
      <c r="S250" s="652" t="s">
        <v>879</v>
      </c>
      <c r="T250" s="656">
        <v>46029</v>
      </c>
      <c r="U250" s="656"/>
      <c r="V250" s="667">
        <v>46046</v>
      </c>
      <c r="W250" s="660"/>
      <c r="X250" s="655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7"/>
      <c r="C251" s="647"/>
      <c r="D251" s="647"/>
      <c r="E251" s="647"/>
      <c r="F251" s="647"/>
      <c r="G251" s="647"/>
      <c r="H251" s="647"/>
      <c r="I251" s="394"/>
      <c r="J251" s="645"/>
      <c r="K251" s="385"/>
      <c r="L251" s="385"/>
      <c r="M251" s="385"/>
      <c r="N251" s="385"/>
      <c r="O251" s="653">
        <v>9</v>
      </c>
      <c r="P251" s="659" t="s">
        <v>894</v>
      </c>
      <c r="Q251" s="660" t="s">
        <v>895</v>
      </c>
      <c r="R251" s="661"/>
      <c r="S251" s="652" t="s">
        <v>882</v>
      </c>
      <c r="T251" s="656">
        <v>46044</v>
      </c>
      <c r="U251" s="656"/>
      <c r="V251" s="667">
        <v>46061</v>
      </c>
      <c r="W251" s="662"/>
      <c r="X251" s="654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731</v>
      </c>
      <c r="B252" s="648"/>
      <c r="C252" s="648"/>
      <c r="D252" s="648"/>
      <c r="E252" s="648"/>
      <c r="F252" s="648"/>
      <c r="G252" s="648"/>
      <c r="H252" s="648"/>
      <c r="I252" s="649"/>
      <c r="J252" s="650"/>
      <c r="K252" s="651"/>
      <c r="L252" s="651"/>
      <c r="M252" s="385"/>
      <c r="N252" s="385"/>
      <c r="O252" s="588">
        <v>10</v>
      </c>
      <c r="P252" s="591" t="s">
        <v>896</v>
      </c>
      <c r="Q252" s="591" t="s">
        <v>873</v>
      </c>
      <c r="R252" s="592"/>
      <c r="S252" s="589" t="s">
        <v>882</v>
      </c>
      <c r="T252" s="590">
        <v>46156</v>
      </c>
      <c r="U252" s="583"/>
      <c r="V252" s="583"/>
      <c r="W252" s="592"/>
      <c r="X252" s="594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7"/>
      <c r="C253" s="647"/>
      <c r="D253" s="647"/>
      <c r="E253" s="647"/>
      <c r="F253" s="647"/>
      <c r="G253" s="647"/>
      <c r="H253" s="647"/>
      <c r="I253" s="394"/>
      <c r="J253" s="645"/>
      <c r="K253" s="385"/>
      <c r="L253" s="385"/>
      <c r="M253" s="385"/>
      <c r="N253" s="385"/>
      <c r="O253" s="593">
        <v>11</v>
      </c>
      <c r="P253" s="584" t="s">
        <v>897</v>
      </c>
      <c r="Q253" s="584" t="s">
        <v>737</v>
      </c>
      <c r="R253" s="584"/>
      <c r="S253" s="589" t="s">
        <v>882</v>
      </c>
      <c r="T253" s="590">
        <v>46077</v>
      </c>
      <c r="U253" s="590"/>
      <c r="V253" s="583"/>
      <c r="W253" s="592"/>
      <c r="X253" s="594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3"/>
      <c r="C254" s="623"/>
      <c r="D254" s="790"/>
      <c r="E254" s="623"/>
      <c r="F254" s="790"/>
      <c r="G254" s="623"/>
      <c r="H254" s="623"/>
      <c r="I254" s="623"/>
      <c r="J254" s="623"/>
      <c r="K254" s="623"/>
      <c r="L254" s="623"/>
      <c r="M254" s="623"/>
      <c r="N254" s="623"/>
      <c r="O254" s="786">
        <v>12</v>
      </c>
      <c r="P254" s="594" t="s">
        <v>898</v>
      </c>
      <c r="Q254" s="594" t="s">
        <v>899</v>
      </c>
      <c r="R254" s="791"/>
      <c r="S254" s="589" t="s">
        <v>882</v>
      </c>
      <c r="T254" s="792">
        <v>46122</v>
      </c>
      <c r="U254" s="791"/>
      <c r="V254" s="791"/>
      <c r="W254" s="791"/>
      <c r="X254" s="791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3">
        <v>13</v>
      </c>
      <c r="P255" s="651" t="s">
        <v>900</v>
      </c>
      <c r="Q255" s="946" t="s">
        <v>769</v>
      </c>
      <c r="R255" s="651"/>
      <c r="S255" s="652" t="s">
        <v>879</v>
      </c>
      <c r="T255" s="787">
        <v>46125</v>
      </c>
      <c r="U255" s="651"/>
      <c r="V255" s="947">
        <v>46203</v>
      </c>
      <c r="W255" s="651"/>
      <c r="X255" s="651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6">
        <v>14</v>
      </c>
      <c r="P256" s="594" t="s">
        <v>902</v>
      </c>
      <c r="Q256" s="594" t="s">
        <v>901</v>
      </c>
      <c r="R256" s="594"/>
      <c r="S256" s="589" t="s">
        <v>882</v>
      </c>
      <c r="T256" s="787">
        <v>46174</v>
      </c>
      <c r="U256" s="651"/>
      <c r="V256" s="651"/>
      <c r="W256" s="651"/>
      <c r="X256" s="788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6">
        <v>15</v>
      </c>
      <c r="P257" s="788" t="s">
        <v>915</v>
      </c>
      <c r="Q257" s="788" t="s">
        <v>914</v>
      </c>
      <c r="R257" s="788"/>
      <c r="S257" s="589" t="s">
        <v>882</v>
      </c>
      <c r="T257" s="789">
        <v>46181</v>
      </c>
      <c r="U257" s="788"/>
      <c r="V257" s="788"/>
      <c r="W257" s="788"/>
      <c r="X257" s="788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876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3" activePane="bottomLeft" state="frozen"/>
      <selection pane="bottomLeft" activeCell="K212" sqref="K212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497" t="s">
        <v>114</v>
      </c>
      <c r="B1" s="1497"/>
      <c r="C1" s="1497"/>
      <c r="D1" s="1497"/>
      <c r="E1" s="1497"/>
      <c r="F1" s="1497"/>
      <c r="G1" s="1498" t="s">
        <v>812</v>
      </c>
      <c r="H1" s="1498"/>
      <c r="I1" s="1498"/>
      <c r="J1" s="1498"/>
      <c r="K1" s="1498"/>
      <c r="L1" s="1499" t="s">
        <v>811</v>
      </c>
      <c r="M1" s="1499"/>
      <c r="N1" s="1500" t="s">
        <v>810</v>
      </c>
      <c r="O1" s="1500"/>
      <c r="P1" s="1500"/>
      <c r="Q1" s="1500"/>
      <c r="R1" s="1500"/>
      <c r="S1" s="1500"/>
    </row>
    <row r="2" spans="1:19" s="569" customFormat="1" ht="54" x14ac:dyDescent="0.25">
      <c r="A2" s="574" t="s">
        <v>809</v>
      </c>
      <c r="B2" s="574" t="s">
        <v>808</v>
      </c>
      <c r="C2" s="573" t="s">
        <v>807</v>
      </c>
      <c r="D2" s="571" t="s">
        <v>806</v>
      </c>
      <c r="E2" s="571" t="s">
        <v>805</v>
      </c>
      <c r="F2" s="571" t="s">
        <v>804</v>
      </c>
      <c r="G2" s="570" t="s">
        <v>803</v>
      </c>
      <c r="H2" s="570" t="s">
        <v>802</v>
      </c>
      <c r="I2" s="571" t="s">
        <v>796</v>
      </c>
      <c r="J2" s="571" t="s">
        <v>795</v>
      </c>
      <c r="K2" s="571" t="s">
        <v>82</v>
      </c>
      <c r="L2" s="570" t="s">
        <v>801</v>
      </c>
      <c r="M2" s="570" t="s">
        <v>800</v>
      </c>
      <c r="N2" s="570" t="s">
        <v>799</v>
      </c>
      <c r="O2" s="570" t="s">
        <v>798</v>
      </c>
      <c r="P2" s="570" t="s">
        <v>797</v>
      </c>
      <c r="Q2" s="572" t="s">
        <v>796</v>
      </c>
      <c r="R2" s="571" t="s">
        <v>795</v>
      </c>
      <c r="S2" s="570" t="s">
        <v>794</v>
      </c>
    </row>
    <row r="3" spans="1:19" ht="18" x14ac:dyDescent="0.25">
      <c r="A3" s="566">
        <v>1</v>
      </c>
      <c r="B3" s="566" t="s">
        <v>414</v>
      </c>
      <c r="C3" s="567" t="s">
        <v>767</v>
      </c>
      <c r="D3" s="566" t="s">
        <v>92</v>
      </c>
      <c r="E3" s="566" t="s">
        <v>775</v>
      </c>
      <c r="F3" s="566" t="s">
        <v>779</v>
      </c>
      <c r="G3" s="566" t="s">
        <v>779</v>
      </c>
      <c r="H3" s="566" t="s">
        <v>773</v>
      </c>
      <c r="I3" s="564">
        <v>46167</v>
      </c>
      <c r="J3" s="564">
        <v>46195</v>
      </c>
      <c r="K3" s="566" t="s">
        <v>870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200</v>
      </c>
      <c r="C4" s="567" t="s">
        <v>211</v>
      </c>
      <c r="D4" s="566" t="s">
        <v>92</v>
      </c>
      <c r="E4" s="566" t="s">
        <v>775</v>
      </c>
      <c r="F4" s="566" t="s">
        <v>779</v>
      </c>
      <c r="G4" s="566" t="s">
        <v>779</v>
      </c>
      <c r="H4" s="566" t="s">
        <v>771</v>
      </c>
      <c r="I4" s="564"/>
      <c r="J4" s="564"/>
      <c r="K4" s="566"/>
      <c r="L4" s="566"/>
      <c r="M4" s="564"/>
      <c r="N4" s="568" t="s">
        <v>779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201</v>
      </c>
      <c r="C5" s="567" t="s">
        <v>212</v>
      </c>
      <c r="D5" s="566" t="s">
        <v>92</v>
      </c>
      <c r="E5" s="566" t="s">
        <v>775</v>
      </c>
      <c r="F5" s="566" t="s">
        <v>779</v>
      </c>
      <c r="G5" s="566" t="s">
        <v>779</v>
      </c>
      <c r="H5" s="566" t="s">
        <v>773</v>
      </c>
      <c r="I5" s="564">
        <v>46162</v>
      </c>
      <c r="J5" s="564">
        <v>46166</v>
      </c>
      <c r="K5" s="566" t="s">
        <v>870</v>
      </c>
      <c r="L5" s="566" t="s">
        <v>787</v>
      </c>
      <c r="M5" s="564">
        <v>46173</v>
      </c>
      <c r="N5" s="568" t="s">
        <v>779</v>
      </c>
      <c r="O5" s="566">
        <v>35.088999999999999</v>
      </c>
      <c r="P5" s="566" t="s">
        <v>667</v>
      </c>
      <c r="Q5" s="564">
        <v>46207</v>
      </c>
      <c r="R5" s="563">
        <v>46211</v>
      </c>
      <c r="S5" s="562" t="s">
        <v>906</v>
      </c>
    </row>
    <row r="6" spans="1:19" ht="18" x14ac:dyDescent="0.25">
      <c r="A6" s="566">
        <v>4</v>
      </c>
      <c r="B6" s="566" t="s">
        <v>202</v>
      </c>
      <c r="C6" s="567" t="s">
        <v>211</v>
      </c>
      <c r="D6" s="566" t="s">
        <v>92</v>
      </c>
      <c r="E6" s="566" t="s">
        <v>775</v>
      </c>
      <c r="F6" s="566" t="s">
        <v>779</v>
      </c>
      <c r="G6" s="566" t="s">
        <v>779</v>
      </c>
      <c r="H6" s="566" t="s">
        <v>773</v>
      </c>
      <c r="I6" s="564">
        <v>46153</v>
      </c>
      <c r="J6" s="564">
        <v>46161</v>
      </c>
      <c r="K6" s="566" t="s">
        <v>870</v>
      </c>
      <c r="L6" s="566" t="s">
        <v>787</v>
      </c>
      <c r="M6" s="564">
        <v>46164</v>
      </c>
      <c r="N6" s="568" t="s">
        <v>779</v>
      </c>
      <c r="O6" s="566">
        <v>41.88</v>
      </c>
      <c r="P6" s="566" t="s">
        <v>667</v>
      </c>
      <c r="Q6" s="564">
        <v>46564</v>
      </c>
      <c r="R6" s="563">
        <v>46206</v>
      </c>
      <c r="S6" s="562" t="s">
        <v>906</v>
      </c>
    </row>
    <row r="7" spans="1:19" ht="18" x14ac:dyDescent="0.25">
      <c r="A7" s="566">
        <v>5</v>
      </c>
      <c r="B7" s="566" t="s">
        <v>203</v>
      </c>
      <c r="C7" s="567" t="s">
        <v>213</v>
      </c>
      <c r="D7" s="566" t="s">
        <v>92</v>
      </c>
      <c r="E7" s="566" t="s">
        <v>775</v>
      </c>
      <c r="F7" s="566" t="s">
        <v>779</v>
      </c>
      <c r="G7" s="566" t="s">
        <v>779</v>
      </c>
      <c r="H7" s="566" t="s">
        <v>771</v>
      </c>
      <c r="I7" s="564"/>
      <c r="J7" s="564"/>
      <c r="K7" s="566"/>
      <c r="L7" s="566"/>
      <c r="M7" s="564"/>
      <c r="N7" s="568" t="s">
        <v>779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204</v>
      </c>
      <c r="C8" s="567" t="s">
        <v>213</v>
      </c>
      <c r="D8" s="566" t="s">
        <v>92</v>
      </c>
      <c r="E8" s="566" t="s">
        <v>775</v>
      </c>
      <c r="F8" s="566" t="s">
        <v>779</v>
      </c>
      <c r="G8" s="566" t="s">
        <v>779</v>
      </c>
      <c r="H8" s="566" t="s">
        <v>788</v>
      </c>
      <c r="I8" s="564"/>
      <c r="J8" s="564"/>
      <c r="K8" s="566"/>
      <c r="L8" s="566"/>
      <c r="M8" s="564"/>
      <c r="N8" s="568" t="s">
        <v>779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205</v>
      </c>
      <c r="C9" s="567" t="s">
        <v>213</v>
      </c>
      <c r="D9" s="566" t="s">
        <v>92</v>
      </c>
      <c r="E9" s="566" t="s">
        <v>775</v>
      </c>
      <c r="F9" s="566" t="s">
        <v>779</v>
      </c>
      <c r="G9" s="566" t="s">
        <v>779</v>
      </c>
      <c r="H9" s="566" t="s">
        <v>788</v>
      </c>
      <c r="I9" s="564"/>
      <c r="J9" s="564"/>
      <c r="K9" s="566"/>
      <c r="L9" s="566"/>
      <c r="M9" s="564"/>
      <c r="N9" s="568" t="s">
        <v>779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206</v>
      </c>
      <c r="C10" s="567" t="s">
        <v>213</v>
      </c>
      <c r="D10" s="566" t="s">
        <v>92</v>
      </c>
      <c r="E10" s="566" t="s">
        <v>775</v>
      </c>
      <c r="F10" s="566" t="s">
        <v>779</v>
      </c>
      <c r="G10" s="566" t="s">
        <v>779</v>
      </c>
      <c r="H10" s="566" t="s">
        <v>773</v>
      </c>
      <c r="I10" s="564">
        <v>46132</v>
      </c>
      <c r="J10" s="564">
        <v>46152</v>
      </c>
      <c r="K10" s="566" t="s">
        <v>870</v>
      </c>
      <c r="L10" s="566" t="s">
        <v>787</v>
      </c>
      <c r="M10" s="564">
        <v>46154</v>
      </c>
      <c r="N10" s="568" t="s">
        <v>779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415</v>
      </c>
      <c r="C11" s="567" t="s">
        <v>214</v>
      </c>
      <c r="D11" s="566" t="s">
        <v>92</v>
      </c>
      <c r="E11" s="566" t="s">
        <v>775</v>
      </c>
      <c r="F11" s="566" t="s">
        <v>776</v>
      </c>
      <c r="G11" s="566" t="s">
        <v>779</v>
      </c>
      <c r="H11" s="566" t="s">
        <v>773</v>
      </c>
      <c r="I11" s="564">
        <v>46156</v>
      </c>
      <c r="J11" s="564">
        <v>46190</v>
      </c>
      <c r="K11" s="566" t="s">
        <v>873</v>
      </c>
      <c r="L11" s="566"/>
      <c r="M11" s="564"/>
      <c r="N11" s="568" t="s">
        <v>779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207</v>
      </c>
      <c r="C12" s="567" t="s">
        <v>212</v>
      </c>
      <c r="D12" s="566" t="s">
        <v>92</v>
      </c>
      <c r="E12" s="566" t="s">
        <v>775</v>
      </c>
      <c r="F12" s="566" t="s">
        <v>779</v>
      </c>
      <c r="G12" s="566" t="s">
        <v>779</v>
      </c>
      <c r="H12" s="566" t="s">
        <v>773</v>
      </c>
      <c r="I12" s="564">
        <v>46191</v>
      </c>
      <c r="J12" s="564">
        <v>46193</v>
      </c>
      <c r="K12" s="566" t="s">
        <v>873</v>
      </c>
      <c r="L12" s="566"/>
      <c r="M12" s="564"/>
      <c r="N12" s="568" t="s">
        <v>779</v>
      </c>
      <c r="O12" s="566">
        <v>35.088999999999999</v>
      </c>
      <c r="P12" s="566" t="s">
        <v>927</v>
      </c>
      <c r="Q12" s="564">
        <v>46210</v>
      </c>
      <c r="R12" s="563">
        <v>46216</v>
      </c>
      <c r="S12" s="562" t="s">
        <v>906</v>
      </c>
    </row>
    <row r="13" spans="1:19" ht="18" x14ac:dyDescent="0.25">
      <c r="A13" s="566">
        <v>11</v>
      </c>
      <c r="B13" s="566" t="s">
        <v>208</v>
      </c>
      <c r="C13" s="567" t="s">
        <v>212</v>
      </c>
      <c r="D13" s="566" t="s">
        <v>92</v>
      </c>
      <c r="E13" s="566" t="s">
        <v>779</v>
      </c>
      <c r="F13" s="566" t="s">
        <v>779</v>
      </c>
      <c r="G13" s="566" t="s">
        <v>779</v>
      </c>
      <c r="H13" s="566" t="s">
        <v>773</v>
      </c>
      <c r="I13" s="564">
        <v>46194</v>
      </c>
      <c r="J13" s="564">
        <v>46203</v>
      </c>
      <c r="K13" s="566" t="s">
        <v>873</v>
      </c>
      <c r="L13" s="566"/>
      <c r="M13" s="564"/>
      <c r="N13" s="568" t="s">
        <v>779</v>
      </c>
      <c r="O13" s="566">
        <v>35.088999999999999</v>
      </c>
      <c r="P13" s="566" t="s">
        <v>927</v>
      </c>
      <c r="Q13" s="564">
        <v>46217</v>
      </c>
      <c r="R13" s="563">
        <v>46222</v>
      </c>
      <c r="S13" s="562" t="s">
        <v>906</v>
      </c>
    </row>
    <row r="14" spans="1:19" ht="18" x14ac:dyDescent="0.25">
      <c r="A14" s="566">
        <v>12</v>
      </c>
      <c r="B14" s="566" t="s">
        <v>209</v>
      </c>
      <c r="C14" s="567" t="s">
        <v>212</v>
      </c>
      <c r="D14" s="566" t="s">
        <v>92</v>
      </c>
      <c r="E14" s="566" t="s">
        <v>775</v>
      </c>
      <c r="F14" s="566" t="s">
        <v>779</v>
      </c>
      <c r="G14" s="566" t="s">
        <v>779</v>
      </c>
      <c r="H14" s="566" t="s">
        <v>773</v>
      </c>
      <c r="I14" s="564">
        <v>46204</v>
      </c>
      <c r="J14" s="564">
        <v>46217</v>
      </c>
      <c r="K14" s="566" t="s">
        <v>873</v>
      </c>
      <c r="L14" s="566"/>
      <c r="M14" s="564"/>
      <c r="N14" s="568" t="s">
        <v>779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215</v>
      </c>
      <c r="C15" s="567" t="s">
        <v>212</v>
      </c>
      <c r="D15" s="566" t="s">
        <v>92</v>
      </c>
      <c r="E15" s="566" t="s">
        <v>775</v>
      </c>
      <c r="F15" s="566" t="s">
        <v>779</v>
      </c>
      <c r="G15" s="566" t="s">
        <v>779</v>
      </c>
      <c r="H15" s="566" t="s">
        <v>773</v>
      </c>
      <c r="I15" s="564">
        <v>46221</v>
      </c>
      <c r="J15" s="564">
        <v>46229</v>
      </c>
      <c r="K15" s="566" t="s">
        <v>873</v>
      </c>
      <c r="L15" s="566"/>
      <c r="M15" s="564"/>
      <c r="N15" s="568" t="s">
        <v>779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216</v>
      </c>
      <c r="C16" s="567" t="s">
        <v>213</v>
      </c>
      <c r="D16" s="566" t="s">
        <v>92</v>
      </c>
      <c r="E16" s="566" t="s">
        <v>775</v>
      </c>
      <c r="F16" s="566" t="s">
        <v>779</v>
      </c>
      <c r="G16" s="566" t="s">
        <v>779</v>
      </c>
      <c r="H16" s="566" t="s">
        <v>792</v>
      </c>
      <c r="I16" s="564"/>
      <c r="J16" s="564"/>
      <c r="K16" s="566"/>
      <c r="L16" s="566"/>
      <c r="M16" s="564"/>
      <c r="N16" s="568" t="s">
        <v>779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217</v>
      </c>
      <c r="C17" s="567" t="s">
        <v>212</v>
      </c>
      <c r="D17" s="566" t="s">
        <v>92</v>
      </c>
      <c r="E17" s="566" t="s">
        <v>775</v>
      </c>
      <c r="F17" s="566" t="s">
        <v>779</v>
      </c>
      <c r="G17" s="566" t="s">
        <v>779</v>
      </c>
      <c r="H17" s="566" t="s">
        <v>792</v>
      </c>
      <c r="I17" s="564"/>
      <c r="J17" s="564"/>
      <c r="K17" s="566"/>
      <c r="L17" s="566"/>
      <c r="M17" s="564"/>
      <c r="N17" s="568" t="s">
        <v>779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218</v>
      </c>
      <c r="C18" s="567" t="s">
        <v>212</v>
      </c>
      <c r="D18" s="566" t="s">
        <v>92</v>
      </c>
      <c r="E18" s="566" t="s">
        <v>775</v>
      </c>
      <c r="F18" s="566" t="s">
        <v>779</v>
      </c>
      <c r="G18" s="566" t="s">
        <v>779</v>
      </c>
      <c r="H18" s="566" t="s">
        <v>792</v>
      </c>
      <c r="I18" s="564"/>
      <c r="J18" s="564"/>
      <c r="K18" s="566"/>
      <c r="L18" s="566"/>
      <c r="M18" s="564"/>
      <c r="N18" s="568" t="s">
        <v>779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219</v>
      </c>
      <c r="C19" s="567" t="s">
        <v>212</v>
      </c>
      <c r="D19" s="566" t="s">
        <v>92</v>
      </c>
      <c r="E19" s="566" t="s">
        <v>775</v>
      </c>
      <c r="F19" s="566" t="s">
        <v>779</v>
      </c>
      <c r="G19" s="566" t="s">
        <v>779</v>
      </c>
      <c r="H19" s="566" t="s">
        <v>773</v>
      </c>
      <c r="I19" s="564">
        <v>46136</v>
      </c>
      <c r="J19" s="564">
        <v>46142</v>
      </c>
      <c r="K19" s="566" t="s">
        <v>736</v>
      </c>
      <c r="L19" s="566" t="s">
        <v>787</v>
      </c>
      <c r="M19" s="564">
        <v>46142</v>
      </c>
      <c r="N19" s="568" t="s">
        <v>779</v>
      </c>
      <c r="O19" s="566">
        <v>35.088999999999999</v>
      </c>
      <c r="P19" s="566" t="s">
        <v>667</v>
      </c>
      <c r="Q19" s="564">
        <v>46181</v>
      </c>
      <c r="R19" s="563">
        <v>46185</v>
      </c>
      <c r="S19" s="562" t="s">
        <v>906</v>
      </c>
    </row>
    <row r="20" spans="1:19" ht="18" x14ac:dyDescent="0.25">
      <c r="A20" s="566">
        <v>18</v>
      </c>
      <c r="B20" s="566" t="s">
        <v>220</v>
      </c>
      <c r="C20" s="567" t="s">
        <v>212</v>
      </c>
      <c r="D20" s="566" t="s">
        <v>92</v>
      </c>
      <c r="E20" s="566" t="s">
        <v>775</v>
      </c>
      <c r="F20" s="566" t="s">
        <v>779</v>
      </c>
      <c r="G20" s="566" t="s">
        <v>779</v>
      </c>
      <c r="H20" s="566" t="s">
        <v>773</v>
      </c>
      <c r="I20" s="564">
        <v>46127</v>
      </c>
      <c r="J20" s="564">
        <v>46135</v>
      </c>
      <c r="K20" s="566" t="s">
        <v>736</v>
      </c>
      <c r="L20" s="566"/>
      <c r="M20" s="564"/>
      <c r="N20" s="568" t="s">
        <v>779</v>
      </c>
      <c r="O20" s="566">
        <v>35.088999999999999</v>
      </c>
      <c r="P20" s="566" t="s">
        <v>667</v>
      </c>
      <c r="Q20" s="564">
        <v>46223</v>
      </c>
      <c r="R20" s="563">
        <v>46232</v>
      </c>
      <c r="S20" s="562" t="s">
        <v>906</v>
      </c>
    </row>
    <row r="21" spans="1:19" ht="18" x14ac:dyDescent="0.25">
      <c r="A21" s="566">
        <v>19</v>
      </c>
      <c r="B21" s="566" t="s">
        <v>221</v>
      </c>
      <c r="C21" s="567" t="s">
        <v>212</v>
      </c>
      <c r="D21" s="566" t="s">
        <v>92</v>
      </c>
      <c r="E21" s="566" t="s">
        <v>775</v>
      </c>
      <c r="F21" s="566" t="s">
        <v>779</v>
      </c>
      <c r="G21" s="566" t="s">
        <v>779</v>
      </c>
      <c r="H21" s="566" t="s">
        <v>773</v>
      </c>
      <c r="I21" s="564">
        <v>46077</v>
      </c>
      <c r="J21" s="564">
        <v>46092</v>
      </c>
      <c r="K21" s="566" t="s">
        <v>736</v>
      </c>
      <c r="L21" s="566" t="s">
        <v>787</v>
      </c>
      <c r="M21" s="564">
        <v>46136</v>
      </c>
      <c r="N21" s="568" t="s">
        <v>779</v>
      </c>
      <c r="O21" s="566">
        <v>35.088999999999999</v>
      </c>
      <c r="P21" s="566" t="s">
        <v>667</v>
      </c>
      <c r="Q21" s="564">
        <v>46181</v>
      </c>
      <c r="R21" s="563">
        <v>46191</v>
      </c>
      <c r="S21" s="562" t="s">
        <v>907</v>
      </c>
    </row>
    <row r="22" spans="1:19" ht="18" x14ac:dyDescent="0.25">
      <c r="A22" s="566">
        <v>20</v>
      </c>
      <c r="B22" s="566" t="s">
        <v>222</v>
      </c>
      <c r="C22" s="567" t="s">
        <v>212</v>
      </c>
      <c r="D22" s="566" t="s">
        <v>541</v>
      </c>
      <c r="E22" s="566" t="s">
        <v>775</v>
      </c>
      <c r="F22" s="566" t="s">
        <v>779</v>
      </c>
      <c r="G22" s="566" t="s">
        <v>779</v>
      </c>
      <c r="H22" s="566" t="s">
        <v>773</v>
      </c>
      <c r="I22" s="564">
        <v>46077</v>
      </c>
      <c r="J22" s="564">
        <v>46095</v>
      </c>
      <c r="K22" s="566" t="s">
        <v>736</v>
      </c>
      <c r="L22" s="566" t="s">
        <v>787</v>
      </c>
      <c r="M22" s="564">
        <v>46136</v>
      </c>
      <c r="N22" s="568" t="s">
        <v>779</v>
      </c>
      <c r="O22" s="566">
        <v>35.088999999999999</v>
      </c>
      <c r="P22" s="566" t="s">
        <v>667</v>
      </c>
      <c r="Q22" s="564">
        <v>46186</v>
      </c>
      <c r="R22" s="563">
        <v>46192</v>
      </c>
      <c r="S22" s="562" t="s">
        <v>906</v>
      </c>
    </row>
    <row r="23" spans="1:19" ht="18" x14ac:dyDescent="0.25">
      <c r="A23" s="566">
        <v>21</v>
      </c>
      <c r="B23" s="566" t="s">
        <v>416</v>
      </c>
      <c r="C23" s="567" t="s">
        <v>226</v>
      </c>
      <c r="D23" s="566" t="s">
        <v>541</v>
      </c>
      <c r="E23" s="566" t="s">
        <v>775</v>
      </c>
      <c r="F23" s="566" t="s">
        <v>776</v>
      </c>
      <c r="G23" s="566" t="s">
        <v>779</v>
      </c>
      <c r="H23" s="566" t="s">
        <v>773</v>
      </c>
      <c r="I23" s="564">
        <v>46077</v>
      </c>
      <c r="J23" s="564">
        <v>46128</v>
      </c>
      <c r="K23" s="566" t="s">
        <v>736</v>
      </c>
      <c r="L23" s="566" t="s">
        <v>787</v>
      </c>
      <c r="M23" s="564">
        <v>46114</v>
      </c>
      <c r="N23" s="568" t="s">
        <v>779</v>
      </c>
      <c r="O23" s="566">
        <v>62.500999999999998</v>
      </c>
      <c r="P23" s="566" t="s">
        <v>667</v>
      </c>
      <c r="Q23" s="564">
        <v>46199</v>
      </c>
      <c r="R23" s="563">
        <v>46209</v>
      </c>
      <c r="S23" s="562" t="s">
        <v>906</v>
      </c>
    </row>
    <row r="24" spans="1:19" ht="18" x14ac:dyDescent="0.25">
      <c r="A24" s="566">
        <v>22</v>
      </c>
      <c r="B24" s="566" t="s">
        <v>223</v>
      </c>
      <c r="C24" s="567" t="s">
        <v>212</v>
      </c>
      <c r="D24" s="566" t="s">
        <v>92</v>
      </c>
      <c r="E24" s="566" t="s">
        <v>775</v>
      </c>
      <c r="F24" s="566" t="s">
        <v>779</v>
      </c>
      <c r="G24" s="566" t="s">
        <v>779</v>
      </c>
      <c r="H24" s="566" t="s">
        <v>773</v>
      </c>
      <c r="I24" s="564">
        <v>46060</v>
      </c>
      <c r="J24" s="564">
        <v>46065</v>
      </c>
      <c r="K24" s="566" t="s">
        <v>690</v>
      </c>
      <c r="L24" s="566" t="s">
        <v>787</v>
      </c>
      <c r="M24" s="564">
        <v>46068</v>
      </c>
      <c r="N24" s="568" t="s">
        <v>779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224</v>
      </c>
      <c r="C25" s="567" t="s">
        <v>212</v>
      </c>
      <c r="D25" s="566" t="s">
        <v>664</v>
      </c>
      <c r="E25" s="566" t="s">
        <v>775</v>
      </c>
      <c r="F25" s="566" t="s">
        <v>779</v>
      </c>
      <c r="G25" s="566" t="s">
        <v>779</v>
      </c>
      <c r="H25" s="566" t="s">
        <v>773</v>
      </c>
      <c r="I25" s="564">
        <v>46059</v>
      </c>
      <c r="J25" s="564">
        <v>46070</v>
      </c>
      <c r="K25" s="566" t="s">
        <v>690</v>
      </c>
      <c r="L25" s="566" t="s">
        <v>866</v>
      </c>
      <c r="M25" s="564">
        <v>46070</v>
      </c>
      <c r="N25" s="568" t="s">
        <v>779</v>
      </c>
      <c r="O25" s="566">
        <v>35.088999999999999</v>
      </c>
      <c r="P25" s="566" t="s">
        <v>667</v>
      </c>
      <c r="Q25" s="564">
        <v>46193</v>
      </c>
      <c r="R25" s="563">
        <v>46198</v>
      </c>
      <c r="S25" s="562" t="s">
        <v>906</v>
      </c>
    </row>
    <row r="26" spans="1:19" ht="18" x14ac:dyDescent="0.25">
      <c r="A26" s="566">
        <v>24</v>
      </c>
      <c r="B26" s="566" t="s">
        <v>225</v>
      </c>
      <c r="C26" s="567" t="s">
        <v>213</v>
      </c>
      <c r="D26" s="566" t="s">
        <v>92</v>
      </c>
      <c r="E26" s="566" t="s">
        <v>775</v>
      </c>
      <c r="F26" s="566" t="s">
        <v>779</v>
      </c>
      <c r="G26" s="566" t="s">
        <v>779</v>
      </c>
      <c r="H26" s="566" t="s">
        <v>773</v>
      </c>
      <c r="I26" s="564">
        <v>46101</v>
      </c>
      <c r="J26" s="564">
        <v>46106</v>
      </c>
      <c r="K26" s="566" t="s">
        <v>690</v>
      </c>
      <c r="L26" s="566" t="s">
        <v>787</v>
      </c>
      <c r="M26" s="564">
        <v>46110</v>
      </c>
      <c r="N26" s="568" t="s">
        <v>779</v>
      </c>
      <c r="O26" s="566">
        <v>36.771000000000001</v>
      </c>
      <c r="P26" s="566" t="s">
        <v>667</v>
      </c>
      <c r="Q26" s="564">
        <v>46192</v>
      </c>
      <c r="R26" s="563">
        <v>46198</v>
      </c>
      <c r="S26" s="562" t="s">
        <v>907</v>
      </c>
    </row>
    <row r="27" spans="1:19" ht="18" x14ac:dyDescent="0.25">
      <c r="A27" s="566">
        <v>25</v>
      </c>
      <c r="B27" s="566" t="s">
        <v>417</v>
      </c>
      <c r="C27" s="567" t="s">
        <v>226</v>
      </c>
      <c r="D27" s="566" t="s">
        <v>92</v>
      </c>
      <c r="E27" s="566" t="s">
        <v>775</v>
      </c>
      <c r="F27" s="566" t="s">
        <v>776</v>
      </c>
      <c r="G27" s="566" t="s">
        <v>779</v>
      </c>
      <c r="H27" s="566" t="s">
        <v>773</v>
      </c>
      <c r="I27" s="564">
        <v>46200</v>
      </c>
      <c r="J27" s="564">
        <v>46205</v>
      </c>
      <c r="K27" s="566" t="s">
        <v>690</v>
      </c>
      <c r="L27" s="566" t="s">
        <v>787</v>
      </c>
      <c r="M27" s="564">
        <v>46213</v>
      </c>
      <c r="N27" s="568" t="s">
        <v>779</v>
      </c>
      <c r="O27" s="566">
        <v>62.500999999999998</v>
      </c>
      <c r="P27" s="566" t="s">
        <v>667</v>
      </c>
      <c r="Q27" s="564">
        <v>46223</v>
      </c>
      <c r="R27" s="563">
        <v>46231</v>
      </c>
      <c r="S27" s="562" t="s">
        <v>907</v>
      </c>
    </row>
    <row r="28" spans="1:19" ht="18" x14ac:dyDescent="0.25">
      <c r="A28" s="566">
        <v>26</v>
      </c>
      <c r="B28" s="566" t="s">
        <v>227</v>
      </c>
      <c r="C28" s="567" t="s">
        <v>213</v>
      </c>
      <c r="D28" s="566" t="s">
        <v>92</v>
      </c>
      <c r="E28" s="566" t="s">
        <v>775</v>
      </c>
      <c r="F28" s="566" t="s">
        <v>779</v>
      </c>
      <c r="G28" s="566" t="s">
        <v>779</v>
      </c>
      <c r="H28" s="566" t="s">
        <v>773</v>
      </c>
      <c r="I28" s="564">
        <v>46189</v>
      </c>
      <c r="J28" s="564">
        <v>46193</v>
      </c>
      <c r="K28" s="566" t="s">
        <v>690</v>
      </c>
      <c r="L28" s="566" t="s">
        <v>864</v>
      </c>
      <c r="M28" s="564">
        <v>46199</v>
      </c>
      <c r="N28" s="568" t="s">
        <v>779</v>
      </c>
      <c r="O28" s="566">
        <v>36.771000000000001</v>
      </c>
      <c r="P28" s="566" t="s">
        <v>927</v>
      </c>
      <c r="Q28" s="564">
        <v>46212</v>
      </c>
      <c r="R28" s="563">
        <v>46217</v>
      </c>
      <c r="S28" s="562" t="s">
        <v>907</v>
      </c>
    </row>
    <row r="29" spans="1:19" ht="18" x14ac:dyDescent="0.25">
      <c r="A29" s="566">
        <v>27</v>
      </c>
      <c r="B29" s="566" t="s">
        <v>228</v>
      </c>
      <c r="C29" s="567" t="s">
        <v>212</v>
      </c>
      <c r="D29" s="566" t="s">
        <v>92</v>
      </c>
      <c r="E29" s="566" t="s">
        <v>775</v>
      </c>
      <c r="F29" s="566" t="s">
        <v>779</v>
      </c>
      <c r="G29" s="566" t="s">
        <v>779</v>
      </c>
      <c r="H29" s="566" t="s">
        <v>773</v>
      </c>
      <c r="I29" s="564">
        <v>46102</v>
      </c>
      <c r="J29" s="564">
        <v>46108</v>
      </c>
      <c r="K29" s="566" t="s">
        <v>690</v>
      </c>
      <c r="L29" s="566" t="s">
        <v>787</v>
      </c>
      <c r="M29" s="564">
        <v>46112</v>
      </c>
      <c r="N29" s="568" t="s">
        <v>779</v>
      </c>
      <c r="O29" s="566">
        <v>35.088999999999999</v>
      </c>
      <c r="P29" s="566" t="s">
        <v>927</v>
      </c>
      <c r="Q29" s="564">
        <v>46218</v>
      </c>
      <c r="R29" s="563">
        <v>46222</v>
      </c>
      <c r="S29" s="562" t="s">
        <v>907</v>
      </c>
    </row>
    <row r="30" spans="1:19" ht="18" x14ac:dyDescent="0.25">
      <c r="A30" s="566">
        <v>28</v>
      </c>
      <c r="B30" s="566" t="s">
        <v>229</v>
      </c>
      <c r="C30" s="567" t="s">
        <v>212</v>
      </c>
      <c r="D30" s="566" t="s">
        <v>92</v>
      </c>
      <c r="E30" s="566" t="s">
        <v>775</v>
      </c>
      <c r="F30" s="566" t="s">
        <v>779</v>
      </c>
      <c r="G30" s="566" t="s">
        <v>779</v>
      </c>
      <c r="H30" s="566" t="s">
        <v>773</v>
      </c>
      <c r="I30" s="564">
        <v>46209</v>
      </c>
      <c r="J30" s="564">
        <v>46211</v>
      </c>
      <c r="K30" s="566" t="s">
        <v>690</v>
      </c>
      <c r="L30" s="566" t="s">
        <v>787</v>
      </c>
      <c r="M30" s="564">
        <v>46215</v>
      </c>
      <c r="N30" s="568" t="s">
        <v>779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230</v>
      </c>
      <c r="C31" s="567" t="s">
        <v>212</v>
      </c>
      <c r="D31" s="566" t="s">
        <v>664</v>
      </c>
      <c r="E31" s="566" t="s">
        <v>775</v>
      </c>
      <c r="F31" s="566" t="s">
        <v>779</v>
      </c>
      <c r="G31" s="566" t="s">
        <v>779</v>
      </c>
      <c r="H31" s="566" t="s">
        <v>773</v>
      </c>
      <c r="I31" s="564">
        <v>46194</v>
      </c>
      <c r="J31" s="564">
        <v>46196</v>
      </c>
      <c r="K31" s="566" t="s">
        <v>690</v>
      </c>
      <c r="L31" s="566" t="s">
        <v>787</v>
      </c>
      <c r="M31" s="564">
        <v>46199</v>
      </c>
      <c r="N31" s="568" t="s">
        <v>779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231</v>
      </c>
      <c r="C32" s="567" t="s">
        <v>212</v>
      </c>
      <c r="D32" s="566" t="s">
        <v>92</v>
      </c>
      <c r="E32" s="566" t="s">
        <v>775</v>
      </c>
      <c r="F32" s="566" t="s">
        <v>779</v>
      </c>
      <c r="G32" s="566" t="s">
        <v>779</v>
      </c>
      <c r="H32" s="566" t="s">
        <v>773</v>
      </c>
      <c r="I32" s="564">
        <v>46197</v>
      </c>
      <c r="J32" s="564">
        <v>46199</v>
      </c>
      <c r="K32" s="566" t="s">
        <v>690</v>
      </c>
      <c r="L32" s="566" t="s">
        <v>864</v>
      </c>
      <c r="M32" s="564">
        <v>46215</v>
      </c>
      <c r="N32" s="568" t="s">
        <v>779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232</v>
      </c>
      <c r="C33" s="567" t="s">
        <v>213</v>
      </c>
      <c r="D33" s="566" t="s">
        <v>92</v>
      </c>
      <c r="E33" s="566" t="s">
        <v>775</v>
      </c>
      <c r="F33" s="566" t="s">
        <v>779</v>
      </c>
      <c r="G33" s="566" t="s">
        <v>779</v>
      </c>
      <c r="H33" s="566" t="s">
        <v>773</v>
      </c>
      <c r="I33" s="564">
        <v>46092</v>
      </c>
      <c r="J33" s="564">
        <v>46100</v>
      </c>
      <c r="K33" s="566" t="s">
        <v>690</v>
      </c>
      <c r="L33" s="566" t="s">
        <v>787</v>
      </c>
      <c r="M33" s="564">
        <v>46110</v>
      </c>
      <c r="N33" s="568" t="s">
        <v>779</v>
      </c>
      <c r="O33" s="566">
        <v>36.771000000000001</v>
      </c>
      <c r="P33" s="566" t="s">
        <v>667</v>
      </c>
      <c r="Q33" s="564">
        <v>46204</v>
      </c>
      <c r="R33" s="563">
        <v>46209</v>
      </c>
      <c r="S33" s="562" t="s">
        <v>908</v>
      </c>
    </row>
    <row r="34" spans="1:19" ht="18" x14ac:dyDescent="0.25">
      <c r="A34" s="566">
        <v>32</v>
      </c>
      <c r="B34" s="566" t="s">
        <v>233</v>
      </c>
      <c r="C34" s="567" t="s">
        <v>213</v>
      </c>
      <c r="D34" s="566" t="s">
        <v>92</v>
      </c>
      <c r="E34" s="566" t="s">
        <v>775</v>
      </c>
      <c r="F34" s="566" t="s">
        <v>779</v>
      </c>
      <c r="G34" s="566" t="s">
        <v>779</v>
      </c>
      <c r="H34" s="566" t="s">
        <v>773</v>
      </c>
      <c r="I34" s="564">
        <v>46087</v>
      </c>
      <c r="J34" s="564">
        <v>46094</v>
      </c>
      <c r="K34" s="566" t="s">
        <v>690</v>
      </c>
      <c r="L34" s="566" t="s">
        <v>787</v>
      </c>
      <c r="M34" s="564">
        <v>46095</v>
      </c>
      <c r="N34" s="568" t="s">
        <v>779</v>
      </c>
      <c r="O34" s="566">
        <v>36.771000000000001</v>
      </c>
      <c r="P34" s="566" t="s">
        <v>667</v>
      </c>
      <c r="Q34" s="564">
        <v>46210</v>
      </c>
      <c r="R34" s="563">
        <v>46214</v>
      </c>
      <c r="S34" s="562" t="s">
        <v>908</v>
      </c>
    </row>
    <row r="35" spans="1:19" ht="18" x14ac:dyDescent="0.25">
      <c r="A35" s="566">
        <v>33</v>
      </c>
      <c r="B35" s="566" t="s">
        <v>234</v>
      </c>
      <c r="C35" s="567" t="s">
        <v>212</v>
      </c>
      <c r="D35" s="566" t="s">
        <v>92</v>
      </c>
      <c r="E35" s="566" t="s">
        <v>775</v>
      </c>
      <c r="F35" s="566" t="s">
        <v>779</v>
      </c>
      <c r="G35" s="566" t="s">
        <v>779</v>
      </c>
      <c r="H35" s="566" t="s">
        <v>773</v>
      </c>
      <c r="I35" s="564">
        <v>46088</v>
      </c>
      <c r="J35" s="564">
        <v>46095</v>
      </c>
      <c r="K35" s="566" t="s">
        <v>690</v>
      </c>
      <c r="L35" s="566" t="s">
        <v>787</v>
      </c>
      <c r="M35" s="564">
        <v>46098</v>
      </c>
      <c r="N35" s="568" t="s">
        <v>779</v>
      </c>
      <c r="O35" s="566">
        <v>35.088999999999999</v>
      </c>
      <c r="P35" s="566" t="s">
        <v>667</v>
      </c>
      <c r="Q35" s="564">
        <v>46189</v>
      </c>
      <c r="R35" s="563">
        <v>46196</v>
      </c>
      <c r="S35" s="562" t="s">
        <v>908</v>
      </c>
    </row>
    <row r="36" spans="1:19" ht="18" x14ac:dyDescent="0.25">
      <c r="A36" s="566">
        <v>34</v>
      </c>
      <c r="B36" s="566" t="s">
        <v>235</v>
      </c>
      <c r="C36" s="567" t="s">
        <v>213</v>
      </c>
      <c r="D36" s="566" t="s">
        <v>92</v>
      </c>
      <c r="E36" s="566" t="s">
        <v>775</v>
      </c>
      <c r="F36" s="566" t="s">
        <v>779</v>
      </c>
      <c r="G36" s="566" t="s">
        <v>779</v>
      </c>
      <c r="H36" s="566" t="s">
        <v>773</v>
      </c>
      <c r="I36" s="564">
        <v>46054</v>
      </c>
      <c r="J36" s="564">
        <v>46058</v>
      </c>
      <c r="K36" s="566" t="s">
        <v>690</v>
      </c>
      <c r="L36" s="566" t="s">
        <v>787</v>
      </c>
      <c r="M36" s="564">
        <v>46069</v>
      </c>
      <c r="N36" s="568" t="s">
        <v>779</v>
      </c>
      <c r="O36" s="566">
        <v>36.771000000000001</v>
      </c>
      <c r="P36" s="566" t="s">
        <v>667</v>
      </c>
      <c r="Q36" s="564">
        <v>46081</v>
      </c>
      <c r="R36" s="563">
        <v>46086</v>
      </c>
      <c r="S36" s="562" t="s">
        <v>692</v>
      </c>
    </row>
    <row r="37" spans="1:19" ht="18" x14ac:dyDescent="0.25">
      <c r="A37" s="566">
        <v>35</v>
      </c>
      <c r="B37" s="566" t="s">
        <v>236</v>
      </c>
      <c r="C37" s="567" t="s">
        <v>212</v>
      </c>
      <c r="D37" s="566" t="s">
        <v>664</v>
      </c>
      <c r="E37" s="566" t="s">
        <v>775</v>
      </c>
      <c r="F37" s="566" t="s">
        <v>779</v>
      </c>
      <c r="G37" s="566" t="s">
        <v>779</v>
      </c>
      <c r="H37" s="566" t="s">
        <v>773</v>
      </c>
      <c r="I37" s="564">
        <v>46090</v>
      </c>
      <c r="J37" s="564">
        <v>46098</v>
      </c>
      <c r="K37" s="566" t="s">
        <v>690</v>
      </c>
      <c r="L37" s="566" t="s">
        <v>789</v>
      </c>
      <c r="M37" s="564">
        <v>46127</v>
      </c>
      <c r="N37" s="568" t="s">
        <v>779</v>
      </c>
      <c r="O37" s="566">
        <v>35.088999999999999</v>
      </c>
      <c r="P37" s="566" t="s">
        <v>667</v>
      </c>
      <c r="Q37" s="564">
        <v>46182</v>
      </c>
      <c r="R37" s="563">
        <v>46189</v>
      </c>
      <c r="S37" s="562" t="s">
        <v>908</v>
      </c>
    </row>
    <row r="38" spans="1:19" ht="18" x14ac:dyDescent="0.25">
      <c r="A38" s="566">
        <v>36</v>
      </c>
      <c r="B38" s="566" t="s">
        <v>418</v>
      </c>
      <c r="C38" s="567" t="s">
        <v>237</v>
      </c>
      <c r="D38" s="566" t="s">
        <v>92</v>
      </c>
      <c r="E38" s="566" t="s">
        <v>775</v>
      </c>
      <c r="F38" s="566"/>
      <c r="G38" s="566" t="s">
        <v>779</v>
      </c>
      <c r="H38" s="566" t="s">
        <v>773</v>
      </c>
      <c r="I38" s="564">
        <v>46045</v>
      </c>
      <c r="J38" s="564">
        <v>46053</v>
      </c>
      <c r="K38" s="566" t="s">
        <v>690</v>
      </c>
      <c r="L38" s="566" t="s">
        <v>787</v>
      </c>
      <c r="M38" s="564">
        <v>46056</v>
      </c>
      <c r="N38" s="568" t="s">
        <v>779</v>
      </c>
      <c r="O38" s="566">
        <v>54.72</v>
      </c>
      <c r="P38" s="566" t="s">
        <v>667</v>
      </c>
      <c r="Q38" s="564">
        <v>46070</v>
      </c>
      <c r="R38" s="563">
        <v>46074</v>
      </c>
      <c r="S38" s="562" t="s">
        <v>692</v>
      </c>
    </row>
    <row r="39" spans="1:19" ht="18" x14ac:dyDescent="0.25">
      <c r="A39" s="566">
        <v>37</v>
      </c>
      <c r="B39" s="566" t="s">
        <v>238</v>
      </c>
      <c r="C39" s="567" t="s">
        <v>248</v>
      </c>
      <c r="D39" s="566" t="s">
        <v>92</v>
      </c>
      <c r="E39" s="566" t="s">
        <v>775</v>
      </c>
      <c r="F39" s="566" t="s">
        <v>779</v>
      </c>
      <c r="G39" s="566" t="s">
        <v>779</v>
      </c>
      <c r="H39" s="566" t="s">
        <v>773</v>
      </c>
      <c r="I39" s="564">
        <v>46098</v>
      </c>
      <c r="J39" s="564">
        <v>46103</v>
      </c>
      <c r="K39" s="566" t="s">
        <v>690</v>
      </c>
      <c r="L39" s="566" t="s">
        <v>787</v>
      </c>
      <c r="M39" s="564">
        <v>46112</v>
      </c>
      <c r="N39" s="568" t="s">
        <v>779</v>
      </c>
      <c r="O39" s="566">
        <v>43.575000000000003</v>
      </c>
      <c r="P39" s="566" t="s">
        <v>667</v>
      </c>
      <c r="Q39" s="564">
        <v>46197</v>
      </c>
      <c r="R39" s="563">
        <v>46203</v>
      </c>
      <c r="S39" s="562" t="s">
        <v>908</v>
      </c>
    </row>
    <row r="40" spans="1:19" ht="18" x14ac:dyDescent="0.25">
      <c r="A40" s="566">
        <v>38</v>
      </c>
      <c r="B40" s="566" t="s">
        <v>239</v>
      </c>
      <c r="C40" s="567" t="s">
        <v>212</v>
      </c>
      <c r="D40" s="566" t="s">
        <v>541</v>
      </c>
      <c r="E40" s="566" t="s">
        <v>775</v>
      </c>
      <c r="F40" s="566" t="s">
        <v>779</v>
      </c>
      <c r="G40" s="566" t="s">
        <v>779</v>
      </c>
      <c r="H40" s="566" t="s">
        <v>773</v>
      </c>
      <c r="I40" s="564">
        <v>46206</v>
      </c>
      <c r="J40" s="564">
        <v>46208</v>
      </c>
      <c r="K40" s="566" t="s">
        <v>690</v>
      </c>
      <c r="L40" s="566"/>
      <c r="M40" s="564"/>
      <c r="N40" s="568" t="s">
        <v>779</v>
      </c>
      <c r="O40" s="566">
        <v>35.088999999999999</v>
      </c>
      <c r="P40" s="566" t="s">
        <v>667</v>
      </c>
      <c r="Q40" s="564">
        <v>46223</v>
      </c>
      <c r="R40" s="563">
        <v>46230</v>
      </c>
      <c r="S40" s="562" t="s">
        <v>908</v>
      </c>
    </row>
    <row r="41" spans="1:19" ht="18" x14ac:dyDescent="0.25">
      <c r="A41" s="566">
        <v>39</v>
      </c>
      <c r="B41" s="566" t="s">
        <v>240</v>
      </c>
      <c r="C41" s="567" t="s">
        <v>212</v>
      </c>
      <c r="D41" s="566" t="s">
        <v>92</v>
      </c>
      <c r="E41" s="566" t="s">
        <v>775</v>
      </c>
      <c r="F41" s="566" t="s">
        <v>779</v>
      </c>
      <c r="G41" s="566" t="s">
        <v>779</v>
      </c>
      <c r="H41" s="566" t="s">
        <v>773</v>
      </c>
      <c r="I41" s="564">
        <v>46211</v>
      </c>
      <c r="J41" s="564">
        <v>46213</v>
      </c>
      <c r="K41" s="566" t="s">
        <v>690</v>
      </c>
      <c r="L41" s="566" t="s">
        <v>864</v>
      </c>
      <c r="M41" s="564">
        <v>46217</v>
      </c>
      <c r="N41" s="568" t="s">
        <v>779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241</v>
      </c>
      <c r="C42" s="567" t="s">
        <v>212</v>
      </c>
      <c r="D42" s="566" t="s">
        <v>92</v>
      </c>
      <c r="E42" s="566" t="s">
        <v>775</v>
      </c>
      <c r="F42" s="566" t="s">
        <v>779</v>
      </c>
      <c r="G42" s="566" t="s">
        <v>779</v>
      </c>
      <c r="H42" s="566" t="s">
        <v>773</v>
      </c>
      <c r="I42" s="564">
        <v>46227</v>
      </c>
      <c r="J42" s="564">
        <v>46230</v>
      </c>
      <c r="K42" s="566" t="s">
        <v>690</v>
      </c>
      <c r="L42" s="566"/>
      <c r="M42" s="564"/>
      <c r="N42" s="568" t="s">
        <v>779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421</v>
      </c>
      <c r="C43" s="567" t="s">
        <v>564</v>
      </c>
      <c r="D43" s="566" t="s">
        <v>765</v>
      </c>
      <c r="E43" s="566" t="s">
        <v>775</v>
      </c>
      <c r="F43" s="566" t="s">
        <v>779</v>
      </c>
      <c r="G43" s="566" t="s">
        <v>779</v>
      </c>
      <c r="H43" s="566" t="s">
        <v>773</v>
      </c>
      <c r="I43" s="564">
        <v>46111</v>
      </c>
      <c r="J43" s="564">
        <v>46125</v>
      </c>
      <c r="K43" s="566" t="s">
        <v>759</v>
      </c>
      <c r="L43" s="566" t="s">
        <v>787</v>
      </c>
      <c r="M43" s="564">
        <v>46125</v>
      </c>
      <c r="N43" s="568" t="s">
        <v>779</v>
      </c>
      <c r="O43" s="566">
        <v>57.484000000000002</v>
      </c>
      <c r="P43" s="566" t="s">
        <v>667</v>
      </c>
      <c r="Q43" s="564">
        <v>46215</v>
      </c>
      <c r="R43" s="563">
        <v>46222</v>
      </c>
      <c r="S43" s="562" t="s">
        <v>908</v>
      </c>
    </row>
    <row r="44" spans="1:19" ht="18" x14ac:dyDescent="0.25">
      <c r="A44" s="566">
        <v>42</v>
      </c>
      <c r="B44" s="566" t="s">
        <v>242</v>
      </c>
      <c r="C44" s="567" t="s">
        <v>213</v>
      </c>
      <c r="D44" s="566" t="s">
        <v>92</v>
      </c>
      <c r="E44" s="566" t="s">
        <v>775</v>
      </c>
      <c r="F44" s="566" t="s">
        <v>779</v>
      </c>
      <c r="G44" s="566" t="s">
        <v>779</v>
      </c>
      <c r="H44" s="566" t="s">
        <v>773</v>
      </c>
      <c r="I44" s="564">
        <v>46050</v>
      </c>
      <c r="J44" s="564">
        <v>46061</v>
      </c>
      <c r="K44" s="566" t="s">
        <v>690</v>
      </c>
      <c r="L44" s="566" t="s">
        <v>787</v>
      </c>
      <c r="M44" s="564">
        <v>46070</v>
      </c>
      <c r="N44" s="568" t="s">
        <v>779</v>
      </c>
      <c r="O44" s="566">
        <v>36.771000000000001</v>
      </c>
      <c r="P44" s="566" t="s">
        <v>667</v>
      </c>
      <c r="Q44" s="564">
        <v>46075</v>
      </c>
      <c r="R44" s="563">
        <v>46078</v>
      </c>
      <c r="S44" s="562" t="s">
        <v>692</v>
      </c>
    </row>
    <row r="45" spans="1:19" ht="18" x14ac:dyDescent="0.25">
      <c r="A45" s="566">
        <v>43</v>
      </c>
      <c r="B45" s="566" t="s">
        <v>243</v>
      </c>
      <c r="C45" s="567" t="s">
        <v>212</v>
      </c>
      <c r="D45" s="566" t="s">
        <v>542</v>
      </c>
      <c r="E45" s="566" t="s">
        <v>775</v>
      </c>
      <c r="F45" s="566" t="s">
        <v>779</v>
      </c>
      <c r="G45" s="566" t="s">
        <v>779</v>
      </c>
      <c r="H45" s="566" t="s">
        <v>773</v>
      </c>
      <c r="I45" s="564">
        <v>46048</v>
      </c>
      <c r="J45" s="564">
        <v>46052</v>
      </c>
      <c r="K45" s="566" t="s">
        <v>690</v>
      </c>
      <c r="L45" s="566" t="s">
        <v>789</v>
      </c>
      <c r="M45" s="564">
        <v>46072</v>
      </c>
      <c r="N45" s="568" t="s">
        <v>779</v>
      </c>
      <c r="O45" s="566">
        <v>35.088999999999999</v>
      </c>
      <c r="P45" s="566" t="s">
        <v>667</v>
      </c>
      <c r="Q45" s="564">
        <v>46078</v>
      </c>
      <c r="R45" s="563">
        <v>46081</v>
      </c>
      <c r="S45" s="562" t="s">
        <v>692</v>
      </c>
    </row>
    <row r="46" spans="1:19" ht="18" x14ac:dyDescent="0.25">
      <c r="A46" s="566">
        <v>44</v>
      </c>
      <c r="B46" s="566" t="s">
        <v>244</v>
      </c>
      <c r="C46" s="567" t="s">
        <v>213</v>
      </c>
      <c r="D46" s="566" t="s">
        <v>664</v>
      </c>
      <c r="E46" s="566" t="s">
        <v>775</v>
      </c>
      <c r="F46" s="566" t="s">
        <v>779</v>
      </c>
      <c r="G46" s="566" t="s">
        <v>779</v>
      </c>
      <c r="H46" s="566" t="s">
        <v>773</v>
      </c>
      <c r="I46" s="564">
        <v>46106</v>
      </c>
      <c r="J46" s="564">
        <v>46112</v>
      </c>
      <c r="K46" s="566" t="s">
        <v>690</v>
      </c>
      <c r="L46" s="566" t="s">
        <v>789</v>
      </c>
      <c r="M46" s="564">
        <v>46125</v>
      </c>
      <c r="N46" s="568" t="s">
        <v>779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245</v>
      </c>
      <c r="C47" s="567" t="s">
        <v>212</v>
      </c>
      <c r="D47" s="566" t="s">
        <v>664</v>
      </c>
      <c r="E47" s="566" t="s">
        <v>775</v>
      </c>
      <c r="F47" s="566" t="s">
        <v>779</v>
      </c>
      <c r="G47" s="566" t="s">
        <v>779</v>
      </c>
      <c r="H47" s="566" t="s">
        <v>773</v>
      </c>
      <c r="I47" s="564">
        <v>46058</v>
      </c>
      <c r="J47" s="564">
        <v>46087</v>
      </c>
      <c r="K47" s="566" t="s">
        <v>690</v>
      </c>
      <c r="L47" s="566" t="s">
        <v>789</v>
      </c>
      <c r="M47" s="564">
        <v>46125</v>
      </c>
      <c r="N47" s="568" t="s">
        <v>779</v>
      </c>
      <c r="O47" s="566">
        <v>35.088999999999999</v>
      </c>
      <c r="P47" s="566" t="s">
        <v>667</v>
      </c>
      <c r="Q47" s="564">
        <v>46107</v>
      </c>
      <c r="R47" s="563">
        <v>46113</v>
      </c>
      <c r="S47" s="562" t="s">
        <v>666</v>
      </c>
    </row>
    <row r="48" spans="1:19" ht="18" x14ac:dyDescent="0.25">
      <c r="A48" s="566">
        <v>46</v>
      </c>
      <c r="B48" s="566" t="s">
        <v>246</v>
      </c>
      <c r="C48" s="567" t="s">
        <v>212</v>
      </c>
      <c r="D48" s="566" t="s">
        <v>542</v>
      </c>
      <c r="E48" s="566" t="s">
        <v>775</v>
      </c>
      <c r="F48" s="566" t="s">
        <v>779</v>
      </c>
      <c r="G48" s="566" t="s">
        <v>779</v>
      </c>
      <c r="H48" s="566" t="s">
        <v>773</v>
      </c>
      <c r="I48" s="564">
        <v>46055</v>
      </c>
      <c r="J48" s="564">
        <v>46089</v>
      </c>
      <c r="K48" s="566" t="s">
        <v>690</v>
      </c>
      <c r="L48" s="566" t="s">
        <v>789</v>
      </c>
      <c r="M48" s="564">
        <v>46125</v>
      </c>
      <c r="N48" s="568" t="s">
        <v>779</v>
      </c>
      <c r="O48" s="566">
        <v>35.088999999999999</v>
      </c>
      <c r="P48" s="566" t="s">
        <v>667</v>
      </c>
      <c r="Q48" s="564" t="s">
        <v>764</v>
      </c>
      <c r="R48" s="563">
        <v>46119</v>
      </c>
      <c r="S48" s="562" t="s">
        <v>666</v>
      </c>
    </row>
    <row r="49" spans="1:19" ht="18" x14ac:dyDescent="0.25">
      <c r="A49" s="566">
        <v>47</v>
      </c>
      <c r="B49" s="566" t="s">
        <v>247</v>
      </c>
      <c r="C49" s="567" t="s">
        <v>213</v>
      </c>
      <c r="D49" s="566" t="s">
        <v>542</v>
      </c>
      <c r="E49" s="566" t="s">
        <v>775</v>
      </c>
      <c r="F49" s="566" t="s">
        <v>779</v>
      </c>
      <c r="G49" s="566" t="s">
        <v>779</v>
      </c>
      <c r="H49" s="566" t="s">
        <v>773</v>
      </c>
      <c r="I49" s="564">
        <v>46225</v>
      </c>
      <c r="J49" s="564">
        <v>46226</v>
      </c>
      <c r="K49" s="566" t="s">
        <v>690</v>
      </c>
      <c r="L49" s="566"/>
      <c r="M49" s="564"/>
      <c r="N49" s="568" t="s">
        <v>779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422</v>
      </c>
      <c r="C50" s="567" t="s">
        <v>249</v>
      </c>
      <c r="D50" s="566" t="s">
        <v>541</v>
      </c>
      <c r="E50" s="566" t="s">
        <v>775</v>
      </c>
      <c r="F50" s="566" t="s">
        <v>776</v>
      </c>
      <c r="G50" s="566" t="s">
        <v>779</v>
      </c>
      <c r="H50" s="566" t="s">
        <v>773</v>
      </c>
      <c r="I50" s="564">
        <v>46214</v>
      </c>
      <c r="J50" s="564">
        <v>46224</v>
      </c>
      <c r="K50" s="566" t="s">
        <v>690</v>
      </c>
      <c r="L50" s="566" t="s">
        <v>867</v>
      </c>
      <c r="M50" s="564">
        <v>46228</v>
      </c>
      <c r="N50" s="568" t="s">
        <v>779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423</v>
      </c>
      <c r="C51" s="567" t="s">
        <v>249</v>
      </c>
      <c r="D51" s="566" t="s">
        <v>541</v>
      </c>
      <c r="E51" s="566" t="s">
        <v>775</v>
      </c>
      <c r="F51" s="566" t="s">
        <v>776</v>
      </c>
      <c r="G51" s="566" t="s">
        <v>779</v>
      </c>
      <c r="H51" s="566"/>
      <c r="I51" s="564"/>
      <c r="J51" s="564"/>
      <c r="K51" s="566"/>
      <c r="L51" s="566"/>
      <c r="M51" s="564"/>
      <c r="N51" s="568" t="s">
        <v>779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250</v>
      </c>
      <c r="C52" s="567" t="s">
        <v>212</v>
      </c>
      <c r="D52" s="566" t="s">
        <v>542</v>
      </c>
      <c r="E52" s="566" t="s">
        <v>775</v>
      </c>
      <c r="F52" s="566" t="s">
        <v>779</v>
      </c>
      <c r="G52" s="566" t="s">
        <v>779</v>
      </c>
      <c r="H52" s="566" t="s">
        <v>773</v>
      </c>
      <c r="I52" s="564">
        <v>46047</v>
      </c>
      <c r="J52" s="564">
        <v>46050</v>
      </c>
      <c r="K52" s="566" t="s">
        <v>690</v>
      </c>
      <c r="L52" s="566" t="s">
        <v>789</v>
      </c>
      <c r="M52" s="564">
        <v>46072</v>
      </c>
      <c r="N52" s="568" t="s">
        <v>779</v>
      </c>
      <c r="O52" s="566">
        <v>35.088999999999999</v>
      </c>
      <c r="P52" s="566" t="s">
        <v>667</v>
      </c>
      <c r="Q52" s="564">
        <v>46067</v>
      </c>
      <c r="R52" s="563">
        <v>46070</v>
      </c>
      <c r="S52" s="562" t="s">
        <v>692</v>
      </c>
    </row>
    <row r="53" spans="1:19" ht="18" x14ac:dyDescent="0.25">
      <c r="A53" s="566">
        <v>51</v>
      </c>
      <c r="B53" s="566" t="s">
        <v>251</v>
      </c>
      <c r="C53" s="567" t="s">
        <v>212</v>
      </c>
      <c r="D53" s="566" t="s">
        <v>92</v>
      </c>
      <c r="E53" s="566" t="s">
        <v>775</v>
      </c>
      <c r="F53" s="566" t="s">
        <v>779</v>
      </c>
      <c r="G53" s="566" t="s">
        <v>779</v>
      </c>
      <c r="H53" s="566" t="s">
        <v>793</v>
      </c>
      <c r="I53" s="564"/>
      <c r="J53" s="564"/>
      <c r="K53" s="566"/>
      <c r="L53" s="566"/>
      <c r="M53" s="564"/>
      <c r="N53" s="568" t="s">
        <v>779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252</v>
      </c>
      <c r="C54" s="567" t="s">
        <v>212</v>
      </c>
      <c r="D54" s="566" t="s">
        <v>542</v>
      </c>
      <c r="E54" s="566" t="s">
        <v>775</v>
      </c>
      <c r="F54" s="566" t="s">
        <v>779</v>
      </c>
      <c r="G54" s="566" t="s">
        <v>779</v>
      </c>
      <c r="H54" s="566" t="s">
        <v>773</v>
      </c>
      <c r="I54" s="564">
        <v>46016</v>
      </c>
      <c r="J54" s="564">
        <v>46022</v>
      </c>
      <c r="K54" s="566" t="s">
        <v>690</v>
      </c>
      <c r="L54" s="566" t="s">
        <v>789</v>
      </c>
      <c r="M54" s="564">
        <v>46075</v>
      </c>
      <c r="N54" s="568" t="s">
        <v>779</v>
      </c>
      <c r="O54" s="566">
        <v>35.088999999999999</v>
      </c>
      <c r="P54" s="566" t="s">
        <v>667</v>
      </c>
      <c r="Q54" s="564">
        <v>46092</v>
      </c>
      <c r="R54" s="563">
        <v>46099</v>
      </c>
      <c r="S54" s="562" t="s">
        <v>666</v>
      </c>
    </row>
    <row r="55" spans="1:19" ht="18" x14ac:dyDescent="0.25">
      <c r="A55" s="566">
        <v>53</v>
      </c>
      <c r="B55" s="566" t="s">
        <v>424</v>
      </c>
      <c r="C55" s="567" t="s">
        <v>237</v>
      </c>
      <c r="D55" s="566" t="s">
        <v>92</v>
      </c>
      <c r="E55" s="566" t="s">
        <v>775</v>
      </c>
      <c r="F55" s="566"/>
      <c r="G55" s="566" t="s">
        <v>779</v>
      </c>
      <c r="H55" s="566" t="s">
        <v>773</v>
      </c>
      <c r="I55" s="564"/>
      <c r="J55" s="564">
        <v>46203</v>
      </c>
      <c r="K55" s="566" t="s">
        <v>919</v>
      </c>
      <c r="L55" s="566"/>
      <c r="M55" s="564"/>
      <c r="N55" s="568" t="s">
        <v>779</v>
      </c>
      <c r="O55" s="566">
        <v>54.72</v>
      </c>
      <c r="P55" s="566" t="s">
        <v>667</v>
      </c>
      <c r="Q55" s="564">
        <v>46215</v>
      </c>
      <c r="R55" s="563">
        <v>46224</v>
      </c>
      <c r="S55" s="562" t="s">
        <v>935</v>
      </c>
    </row>
    <row r="56" spans="1:19" ht="18" x14ac:dyDescent="0.25">
      <c r="A56" s="566">
        <v>54</v>
      </c>
      <c r="B56" s="566" t="s">
        <v>253</v>
      </c>
      <c r="C56" s="567" t="s">
        <v>213</v>
      </c>
      <c r="D56" s="566" t="s">
        <v>92</v>
      </c>
      <c r="E56" s="566" t="s">
        <v>775</v>
      </c>
      <c r="F56" s="566" t="s">
        <v>779</v>
      </c>
      <c r="G56" s="566" t="s">
        <v>779</v>
      </c>
      <c r="H56" s="566" t="s">
        <v>773</v>
      </c>
      <c r="I56" s="564">
        <v>46012</v>
      </c>
      <c r="J56" s="564">
        <v>46015</v>
      </c>
      <c r="K56" s="566" t="s">
        <v>690</v>
      </c>
      <c r="L56" s="566"/>
      <c r="M56" s="564"/>
      <c r="N56" s="568" t="s">
        <v>779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254</v>
      </c>
      <c r="C57" s="567" t="s">
        <v>213</v>
      </c>
      <c r="D57" s="566" t="s">
        <v>542</v>
      </c>
      <c r="E57" s="566" t="s">
        <v>775</v>
      </c>
      <c r="F57" s="566" t="s">
        <v>779</v>
      </c>
      <c r="G57" s="566" t="s">
        <v>779</v>
      </c>
      <c r="H57" s="566" t="s">
        <v>773</v>
      </c>
      <c r="I57" s="564">
        <v>46008</v>
      </c>
      <c r="J57" s="564">
        <v>46018</v>
      </c>
      <c r="K57" s="566" t="s">
        <v>690</v>
      </c>
      <c r="L57" s="566" t="s">
        <v>789</v>
      </c>
      <c r="M57" s="564">
        <v>46037</v>
      </c>
      <c r="N57" s="568" t="s">
        <v>779</v>
      </c>
      <c r="O57" s="566">
        <v>36.771000000000001</v>
      </c>
      <c r="P57" s="566" t="s">
        <v>667</v>
      </c>
      <c r="Q57" s="564">
        <v>46073</v>
      </c>
      <c r="R57" s="563">
        <v>46079</v>
      </c>
      <c r="S57" s="562" t="s">
        <v>666</v>
      </c>
    </row>
    <row r="58" spans="1:19" ht="18" x14ac:dyDescent="0.25">
      <c r="A58" s="566">
        <v>56</v>
      </c>
      <c r="B58" s="566" t="s">
        <v>255</v>
      </c>
      <c r="C58" s="567" t="s">
        <v>212</v>
      </c>
      <c r="D58" s="566" t="s">
        <v>92</v>
      </c>
      <c r="E58" s="566" t="s">
        <v>775</v>
      </c>
      <c r="F58" s="566" t="s">
        <v>779</v>
      </c>
      <c r="G58" s="566" t="s">
        <v>779</v>
      </c>
      <c r="H58" s="566" t="s">
        <v>773</v>
      </c>
      <c r="I58" s="564">
        <v>46005</v>
      </c>
      <c r="J58" s="564">
        <v>46010</v>
      </c>
      <c r="K58" s="566" t="s">
        <v>690</v>
      </c>
      <c r="L58" s="566" t="s">
        <v>787</v>
      </c>
      <c r="M58" s="564">
        <v>46016</v>
      </c>
      <c r="N58" s="568" t="s">
        <v>779</v>
      </c>
      <c r="O58" s="566">
        <v>35.088999999999999</v>
      </c>
      <c r="P58" s="566" t="s">
        <v>667</v>
      </c>
      <c r="Q58" s="564">
        <v>46078</v>
      </c>
      <c r="R58" s="563">
        <v>46088</v>
      </c>
      <c r="S58" s="562" t="s">
        <v>666</v>
      </c>
    </row>
    <row r="59" spans="1:19" ht="18" x14ac:dyDescent="0.25">
      <c r="A59" s="566">
        <v>57</v>
      </c>
      <c r="B59" s="566" t="s">
        <v>256</v>
      </c>
      <c r="C59" s="567" t="s">
        <v>213</v>
      </c>
      <c r="D59" s="566" t="s">
        <v>664</v>
      </c>
      <c r="E59" s="566" t="s">
        <v>775</v>
      </c>
      <c r="F59" s="566" t="s">
        <v>779</v>
      </c>
      <c r="G59" s="566" t="s">
        <v>779</v>
      </c>
      <c r="H59" s="566" t="s">
        <v>773</v>
      </c>
      <c r="I59" s="564">
        <v>45992</v>
      </c>
      <c r="J59" s="564">
        <v>46028</v>
      </c>
      <c r="K59" s="566" t="s">
        <v>690</v>
      </c>
      <c r="L59" s="566" t="s">
        <v>789</v>
      </c>
      <c r="M59" s="564">
        <v>46037</v>
      </c>
      <c r="N59" s="568" t="s">
        <v>779</v>
      </c>
      <c r="O59" s="566">
        <v>36.771000000000001</v>
      </c>
      <c r="P59" s="566" t="s">
        <v>667</v>
      </c>
      <c r="Q59" s="564">
        <v>46099</v>
      </c>
      <c r="R59" s="563">
        <v>46106</v>
      </c>
      <c r="S59" s="562" t="s">
        <v>666</v>
      </c>
    </row>
    <row r="60" spans="1:19" ht="18" x14ac:dyDescent="0.25">
      <c r="A60" s="566">
        <v>58</v>
      </c>
      <c r="B60" s="566" t="s">
        <v>257</v>
      </c>
      <c r="C60" s="567" t="s">
        <v>213</v>
      </c>
      <c r="D60" s="566" t="s">
        <v>88</v>
      </c>
      <c r="E60" s="566" t="s">
        <v>779</v>
      </c>
      <c r="F60" s="566" t="s">
        <v>779</v>
      </c>
      <c r="G60" s="566" t="s">
        <v>779</v>
      </c>
      <c r="H60" s="566" t="s">
        <v>773</v>
      </c>
      <c r="I60" s="564">
        <v>46165</v>
      </c>
      <c r="J60" s="564">
        <v>46173</v>
      </c>
      <c r="K60" s="566" t="s">
        <v>736</v>
      </c>
      <c r="L60" s="566" t="s">
        <v>789</v>
      </c>
      <c r="M60" s="564">
        <v>46219</v>
      </c>
      <c r="N60" s="568" t="s">
        <v>779</v>
      </c>
      <c r="O60" s="566">
        <v>36.771000000000001</v>
      </c>
      <c r="P60" s="566" t="s">
        <v>667</v>
      </c>
      <c r="Q60" s="564">
        <v>46187</v>
      </c>
      <c r="R60" s="563">
        <v>46193</v>
      </c>
      <c r="S60" s="562" t="s">
        <v>904</v>
      </c>
    </row>
    <row r="61" spans="1:19" ht="18" x14ac:dyDescent="0.25">
      <c r="A61" s="566">
        <v>59</v>
      </c>
      <c r="B61" s="566" t="s">
        <v>258</v>
      </c>
      <c r="C61" s="567" t="s">
        <v>212</v>
      </c>
      <c r="D61" s="566" t="s">
        <v>542</v>
      </c>
      <c r="E61" s="566" t="s">
        <v>775</v>
      </c>
      <c r="F61" s="566" t="s">
        <v>779</v>
      </c>
      <c r="G61" s="566" t="s">
        <v>779</v>
      </c>
      <c r="H61" s="566" t="s">
        <v>773</v>
      </c>
      <c r="I61" s="564">
        <v>46031</v>
      </c>
      <c r="J61" s="564">
        <v>46039</v>
      </c>
      <c r="K61" s="566" t="s">
        <v>690</v>
      </c>
      <c r="L61" s="566" t="s">
        <v>789</v>
      </c>
      <c r="M61" s="564">
        <v>46043</v>
      </c>
      <c r="N61" s="568" t="s">
        <v>779</v>
      </c>
      <c r="O61" s="566">
        <v>35.088999999999999</v>
      </c>
      <c r="P61" s="566" t="s">
        <v>667</v>
      </c>
      <c r="Q61" s="564">
        <v>46056</v>
      </c>
      <c r="R61" s="563">
        <v>46064</v>
      </c>
      <c r="S61" s="562" t="s">
        <v>666</v>
      </c>
    </row>
    <row r="62" spans="1:19" ht="18" x14ac:dyDescent="0.25">
      <c r="A62" s="566">
        <v>60</v>
      </c>
      <c r="B62" s="566" t="s">
        <v>259</v>
      </c>
      <c r="C62" s="567" t="s">
        <v>210</v>
      </c>
      <c r="D62" s="566" t="s">
        <v>542</v>
      </c>
      <c r="E62" s="566" t="s">
        <v>775</v>
      </c>
      <c r="F62" s="566" t="s">
        <v>779</v>
      </c>
      <c r="G62" s="566" t="s">
        <v>779</v>
      </c>
      <c r="H62" s="566" t="s">
        <v>773</v>
      </c>
      <c r="I62" s="564">
        <v>46029</v>
      </c>
      <c r="J62" s="564">
        <v>46038</v>
      </c>
      <c r="K62" s="566" t="s">
        <v>690</v>
      </c>
      <c r="L62" s="566" t="s">
        <v>789</v>
      </c>
      <c r="M62" s="564">
        <v>46040</v>
      </c>
      <c r="N62" s="568" t="s">
        <v>779</v>
      </c>
      <c r="O62" s="566">
        <v>54.72</v>
      </c>
      <c r="P62" s="566" t="s">
        <v>667</v>
      </c>
      <c r="Q62" s="564">
        <v>46065</v>
      </c>
      <c r="R62" s="563">
        <v>46073</v>
      </c>
      <c r="S62" s="562" t="s">
        <v>666</v>
      </c>
    </row>
    <row r="63" spans="1:19" ht="18" x14ac:dyDescent="0.25">
      <c r="A63" s="566">
        <v>61</v>
      </c>
      <c r="B63" s="566" t="s">
        <v>260</v>
      </c>
      <c r="C63" s="567" t="s">
        <v>212</v>
      </c>
      <c r="D63" s="566" t="s">
        <v>88</v>
      </c>
      <c r="E63" s="566" t="s">
        <v>775</v>
      </c>
      <c r="F63" s="566" t="s">
        <v>779</v>
      </c>
      <c r="G63" s="566" t="s">
        <v>779</v>
      </c>
      <c r="H63" s="566" t="s">
        <v>773</v>
      </c>
      <c r="I63" s="564">
        <v>46039</v>
      </c>
      <c r="J63" s="564">
        <v>46043</v>
      </c>
      <c r="K63" s="566" t="s">
        <v>690</v>
      </c>
      <c r="L63" s="566" t="s">
        <v>789</v>
      </c>
      <c r="M63" s="564">
        <v>46072</v>
      </c>
      <c r="N63" s="568" t="s">
        <v>779</v>
      </c>
      <c r="O63" s="566">
        <v>35.088999999999999</v>
      </c>
      <c r="P63" s="566" t="s">
        <v>667</v>
      </c>
      <c r="Q63" s="564">
        <v>46059</v>
      </c>
      <c r="R63" s="563">
        <v>46062</v>
      </c>
      <c r="S63" s="562" t="s">
        <v>692</v>
      </c>
    </row>
    <row r="64" spans="1:19" ht="18" x14ac:dyDescent="0.25">
      <c r="A64" s="566">
        <v>62</v>
      </c>
      <c r="B64" s="566" t="s">
        <v>261</v>
      </c>
      <c r="C64" s="567" t="s">
        <v>211</v>
      </c>
      <c r="D64" s="566" t="s">
        <v>542</v>
      </c>
      <c r="E64" s="566" t="s">
        <v>775</v>
      </c>
      <c r="F64" s="566" t="s">
        <v>779</v>
      </c>
      <c r="G64" s="566" t="s">
        <v>779</v>
      </c>
      <c r="H64" s="566" t="s">
        <v>773</v>
      </c>
      <c r="I64" s="564">
        <v>46026</v>
      </c>
      <c r="J64" s="564">
        <v>46032</v>
      </c>
      <c r="K64" s="566" t="s">
        <v>690</v>
      </c>
      <c r="L64" s="566" t="s">
        <v>789</v>
      </c>
      <c r="M64" s="564">
        <v>46072</v>
      </c>
      <c r="N64" s="568" t="s">
        <v>779</v>
      </c>
      <c r="O64" s="566">
        <v>41.88</v>
      </c>
      <c r="P64" s="566" t="s">
        <v>667</v>
      </c>
      <c r="Q64" s="564">
        <v>46063</v>
      </c>
      <c r="R64" s="563">
        <v>46066</v>
      </c>
      <c r="S64" s="562" t="s">
        <v>692</v>
      </c>
    </row>
    <row r="65" spans="1:19" ht="18" x14ac:dyDescent="0.25">
      <c r="A65" s="566">
        <v>63</v>
      </c>
      <c r="B65" s="566" t="s">
        <v>262</v>
      </c>
      <c r="C65" s="567" t="s">
        <v>212</v>
      </c>
      <c r="D65" s="566" t="s">
        <v>92</v>
      </c>
      <c r="E65" s="566" t="s">
        <v>779</v>
      </c>
      <c r="F65" s="566" t="s">
        <v>779</v>
      </c>
      <c r="G65" s="566" t="s">
        <v>779</v>
      </c>
      <c r="H65" s="566" t="s">
        <v>773</v>
      </c>
      <c r="I65" s="564">
        <v>46174</v>
      </c>
      <c r="J65" s="564">
        <v>46180</v>
      </c>
      <c r="K65" s="566" t="s">
        <v>736</v>
      </c>
      <c r="L65" s="566" t="s">
        <v>909</v>
      </c>
      <c r="M65" s="564">
        <v>46181</v>
      </c>
      <c r="N65" s="568" t="s">
        <v>779</v>
      </c>
      <c r="O65" s="566">
        <v>35.088999999999999</v>
      </c>
      <c r="P65" s="566" t="s">
        <v>667</v>
      </c>
      <c r="Q65" s="564">
        <v>46194</v>
      </c>
      <c r="R65" s="563">
        <v>46201</v>
      </c>
      <c r="S65" s="562" t="s">
        <v>904</v>
      </c>
    </row>
    <row r="66" spans="1:19" ht="18" x14ac:dyDescent="0.25">
      <c r="A66" s="566">
        <v>64</v>
      </c>
      <c r="B66" s="566" t="s">
        <v>263</v>
      </c>
      <c r="C66" s="567" t="s">
        <v>212</v>
      </c>
      <c r="D66" s="566" t="s">
        <v>541</v>
      </c>
      <c r="E66" s="566" t="s">
        <v>779</v>
      </c>
      <c r="F66" s="566" t="s">
        <v>779</v>
      </c>
      <c r="G66" s="566" t="s">
        <v>779</v>
      </c>
      <c r="H66" s="566" t="s">
        <v>773</v>
      </c>
      <c r="I66" s="564">
        <v>45090</v>
      </c>
      <c r="J66" s="564">
        <v>46196</v>
      </c>
      <c r="K66" s="566" t="s">
        <v>736</v>
      </c>
      <c r="L66" s="566" t="s">
        <v>866</v>
      </c>
      <c r="M66" s="564">
        <v>46202</v>
      </c>
      <c r="N66" s="568" t="s">
        <v>779</v>
      </c>
      <c r="O66" s="566">
        <v>35.088999999999999</v>
      </c>
      <c r="P66" s="566" t="s">
        <v>667</v>
      </c>
      <c r="Q66" s="564">
        <v>46209</v>
      </c>
      <c r="R66" s="563">
        <v>46214</v>
      </c>
      <c r="S66" s="562" t="s">
        <v>904</v>
      </c>
    </row>
    <row r="67" spans="1:19" ht="18" x14ac:dyDescent="0.25">
      <c r="A67" s="566">
        <v>65</v>
      </c>
      <c r="B67" s="566" t="s">
        <v>264</v>
      </c>
      <c r="C67" s="567" t="s">
        <v>212</v>
      </c>
      <c r="D67" s="566" t="s">
        <v>88</v>
      </c>
      <c r="E67" s="566" t="s">
        <v>775</v>
      </c>
      <c r="F67" s="566" t="s">
        <v>779</v>
      </c>
      <c r="G67" s="566" t="s">
        <v>779</v>
      </c>
      <c r="H67" s="566" t="s">
        <v>773</v>
      </c>
      <c r="I67" s="564">
        <v>46181</v>
      </c>
      <c r="J67" s="564">
        <v>46185</v>
      </c>
      <c r="K67" s="566" t="s">
        <v>736</v>
      </c>
      <c r="L67" s="566" t="s">
        <v>866</v>
      </c>
      <c r="M67" s="564">
        <v>46212</v>
      </c>
      <c r="N67" s="568" t="s">
        <v>779</v>
      </c>
      <c r="O67" s="566">
        <v>35.088999999999999</v>
      </c>
      <c r="P67" s="566" t="s">
        <v>667</v>
      </c>
      <c r="Q67" s="564">
        <v>46202</v>
      </c>
      <c r="R67" s="563">
        <v>46208</v>
      </c>
      <c r="S67" s="562" t="s">
        <v>904</v>
      </c>
    </row>
    <row r="68" spans="1:19" ht="18" x14ac:dyDescent="0.25">
      <c r="A68" s="566">
        <v>66</v>
      </c>
      <c r="B68" s="566" t="s">
        <v>427</v>
      </c>
      <c r="C68" s="567" t="s">
        <v>269</v>
      </c>
      <c r="D68" s="566" t="s">
        <v>92</v>
      </c>
      <c r="E68" s="566" t="s">
        <v>775</v>
      </c>
      <c r="F68" s="566" t="s">
        <v>776</v>
      </c>
      <c r="G68" s="566" t="s">
        <v>779</v>
      </c>
      <c r="H68" s="566" t="s">
        <v>773</v>
      </c>
      <c r="I68" s="564">
        <v>46197</v>
      </c>
      <c r="J68" s="564">
        <v>46213</v>
      </c>
      <c r="K68" s="566" t="s">
        <v>736</v>
      </c>
      <c r="L68" s="566" t="s">
        <v>867</v>
      </c>
      <c r="M68" s="564">
        <v>46216</v>
      </c>
      <c r="N68" s="568" t="s">
        <v>779</v>
      </c>
      <c r="O68" s="566">
        <v>75.873999999999995</v>
      </c>
      <c r="P68" s="566" t="s">
        <v>667</v>
      </c>
      <c r="Q68" s="564">
        <v>46225</v>
      </c>
      <c r="R68" s="563">
        <v>46237</v>
      </c>
      <c r="S68" s="562" t="s">
        <v>904</v>
      </c>
    </row>
    <row r="69" spans="1:19" ht="18" x14ac:dyDescent="0.25">
      <c r="A69" s="566">
        <v>67</v>
      </c>
      <c r="B69" s="566" t="s">
        <v>428</v>
      </c>
      <c r="C69" s="567" t="s">
        <v>270</v>
      </c>
      <c r="D69" s="566" t="s">
        <v>664</v>
      </c>
      <c r="E69" s="566" t="s">
        <v>775</v>
      </c>
      <c r="F69" s="566"/>
      <c r="G69" s="566" t="s">
        <v>779</v>
      </c>
      <c r="H69" s="566" t="s">
        <v>773</v>
      </c>
      <c r="I69" s="564">
        <v>46214</v>
      </c>
      <c r="J69" s="564">
        <v>46218</v>
      </c>
      <c r="K69" s="566" t="s">
        <v>736</v>
      </c>
      <c r="L69" s="566" t="s">
        <v>867</v>
      </c>
      <c r="M69" s="564">
        <v>46219</v>
      </c>
      <c r="N69" s="568" t="s">
        <v>779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265</v>
      </c>
      <c r="C70" s="567" t="s">
        <v>211</v>
      </c>
      <c r="D70" s="566" t="s">
        <v>542</v>
      </c>
      <c r="E70" s="566" t="s">
        <v>775</v>
      </c>
      <c r="F70" s="566" t="s">
        <v>779</v>
      </c>
      <c r="G70" s="566" t="s">
        <v>779</v>
      </c>
      <c r="H70" s="566" t="s">
        <v>773</v>
      </c>
      <c r="I70" s="564">
        <v>45992</v>
      </c>
      <c r="J70" s="564">
        <v>45999</v>
      </c>
      <c r="K70" s="566" t="s">
        <v>690</v>
      </c>
      <c r="L70" s="566" t="s">
        <v>789</v>
      </c>
      <c r="M70" s="564">
        <v>46044</v>
      </c>
      <c r="N70" s="568" t="s">
        <v>779</v>
      </c>
      <c r="O70" s="566">
        <v>41.88</v>
      </c>
      <c r="P70" s="566" t="s">
        <v>667</v>
      </c>
      <c r="Q70" s="564">
        <v>46024</v>
      </c>
      <c r="R70" s="563">
        <v>46032</v>
      </c>
      <c r="S70" s="562" t="s">
        <v>666</v>
      </c>
    </row>
    <row r="71" spans="1:19" ht="18" x14ac:dyDescent="0.25">
      <c r="A71" s="566">
        <v>69</v>
      </c>
      <c r="B71" s="566" t="s">
        <v>266</v>
      </c>
      <c r="C71" s="567" t="s">
        <v>212</v>
      </c>
      <c r="D71" s="566" t="s">
        <v>542</v>
      </c>
      <c r="E71" s="566" t="s">
        <v>775</v>
      </c>
      <c r="F71" s="566" t="s">
        <v>779</v>
      </c>
      <c r="G71" s="566" t="s">
        <v>779</v>
      </c>
      <c r="H71" s="566" t="s">
        <v>773</v>
      </c>
      <c r="I71" s="564">
        <v>45988</v>
      </c>
      <c r="J71" s="564">
        <v>45994</v>
      </c>
      <c r="K71" s="566" t="s">
        <v>690</v>
      </c>
      <c r="L71" s="566" t="s">
        <v>789</v>
      </c>
      <c r="M71" s="564">
        <v>46038</v>
      </c>
      <c r="N71" s="568" t="s">
        <v>779</v>
      </c>
      <c r="O71" s="566">
        <v>35.088999999999999</v>
      </c>
      <c r="P71" s="566" t="s">
        <v>667</v>
      </c>
      <c r="Q71" s="564">
        <v>46016</v>
      </c>
      <c r="R71" s="563">
        <v>46032</v>
      </c>
      <c r="S71" s="562" t="s">
        <v>666</v>
      </c>
    </row>
    <row r="72" spans="1:19" ht="18" x14ac:dyDescent="0.25">
      <c r="A72" s="566">
        <v>70</v>
      </c>
      <c r="B72" s="566" t="s">
        <v>267</v>
      </c>
      <c r="C72" s="567" t="s">
        <v>212</v>
      </c>
      <c r="D72" s="566" t="s">
        <v>542</v>
      </c>
      <c r="E72" s="566" t="s">
        <v>775</v>
      </c>
      <c r="F72" s="566" t="s">
        <v>779</v>
      </c>
      <c r="G72" s="566" t="s">
        <v>779</v>
      </c>
      <c r="H72" s="566" t="s">
        <v>773</v>
      </c>
      <c r="I72" s="564">
        <v>46000</v>
      </c>
      <c r="J72" s="564">
        <v>46005</v>
      </c>
      <c r="K72" s="566" t="s">
        <v>690</v>
      </c>
      <c r="L72" s="566" t="s">
        <v>789</v>
      </c>
      <c r="M72" s="564">
        <v>46038</v>
      </c>
      <c r="N72" s="568" t="s">
        <v>779</v>
      </c>
      <c r="O72" s="566">
        <v>35.088999999999999</v>
      </c>
      <c r="P72" s="566" t="s">
        <v>667</v>
      </c>
      <c r="Q72" s="564">
        <v>46031</v>
      </c>
      <c r="R72" s="563">
        <v>46036</v>
      </c>
      <c r="S72" s="562" t="s">
        <v>666</v>
      </c>
    </row>
    <row r="73" spans="1:19" ht="18" x14ac:dyDescent="0.25">
      <c r="A73" s="566">
        <v>71</v>
      </c>
      <c r="B73" s="566" t="s">
        <v>429</v>
      </c>
      <c r="C73" s="567" t="s">
        <v>214</v>
      </c>
      <c r="D73" s="566" t="s">
        <v>92</v>
      </c>
      <c r="E73" s="566" t="s">
        <v>775</v>
      </c>
      <c r="F73" s="566" t="s">
        <v>776</v>
      </c>
      <c r="G73" s="566" t="s">
        <v>779</v>
      </c>
      <c r="H73" s="566" t="s">
        <v>773</v>
      </c>
      <c r="I73" s="564">
        <v>46029</v>
      </c>
      <c r="J73" s="564">
        <v>46048</v>
      </c>
      <c r="K73" s="566" t="s">
        <v>676</v>
      </c>
      <c r="L73" s="566" t="s">
        <v>787</v>
      </c>
      <c r="M73" s="564">
        <v>46050</v>
      </c>
      <c r="N73" s="568" t="s">
        <v>779</v>
      </c>
      <c r="O73" s="566">
        <v>62.500999999999998</v>
      </c>
      <c r="P73" s="566" t="s">
        <v>667</v>
      </c>
      <c r="Q73" s="564">
        <v>46161</v>
      </c>
      <c r="R73" s="563">
        <v>46175</v>
      </c>
      <c r="S73" s="562" t="s">
        <v>666</v>
      </c>
    </row>
    <row r="74" spans="1:19" ht="18" x14ac:dyDescent="0.25">
      <c r="A74" s="566">
        <v>72</v>
      </c>
      <c r="B74" s="566" t="s">
        <v>268</v>
      </c>
      <c r="C74" s="567" t="s">
        <v>212</v>
      </c>
      <c r="D74" s="566" t="s">
        <v>92</v>
      </c>
      <c r="E74" s="566" t="s">
        <v>775</v>
      </c>
      <c r="F74" s="566" t="s">
        <v>779</v>
      </c>
      <c r="G74" s="566" t="s">
        <v>779</v>
      </c>
      <c r="H74" s="566" t="s">
        <v>773</v>
      </c>
      <c r="I74" s="564">
        <v>45984</v>
      </c>
      <c r="J74" s="564">
        <v>45990</v>
      </c>
      <c r="K74" s="566" t="s">
        <v>690</v>
      </c>
      <c r="L74" s="566" t="s">
        <v>787</v>
      </c>
      <c r="M74" s="564">
        <v>46044</v>
      </c>
      <c r="N74" s="568" t="s">
        <v>779</v>
      </c>
      <c r="O74" s="566">
        <v>35.088999999999999</v>
      </c>
      <c r="P74" s="566" t="s">
        <v>667</v>
      </c>
      <c r="Q74" s="564">
        <v>46006</v>
      </c>
      <c r="R74" s="563">
        <v>46011</v>
      </c>
      <c r="S74" s="562" t="s">
        <v>666</v>
      </c>
    </row>
    <row r="75" spans="1:19" ht="18" x14ac:dyDescent="0.25">
      <c r="A75" s="566">
        <v>73</v>
      </c>
      <c r="B75" s="566" t="s">
        <v>271</v>
      </c>
      <c r="C75" s="567" t="s">
        <v>212</v>
      </c>
      <c r="D75" s="566" t="s">
        <v>542</v>
      </c>
      <c r="E75" s="566" t="s">
        <v>775</v>
      </c>
      <c r="F75" s="566" t="s">
        <v>779</v>
      </c>
      <c r="G75" s="566" t="s">
        <v>779</v>
      </c>
      <c r="H75" s="566" t="s">
        <v>773</v>
      </c>
      <c r="I75" s="564">
        <v>45959</v>
      </c>
      <c r="J75" s="564">
        <v>45969</v>
      </c>
      <c r="K75" s="566" t="s">
        <v>690</v>
      </c>
      <c r="L75" s="566" t="s">
        <v>789</v>
      </c>
      <c r="M75" s="564">
        <v>46075</v>
      </c>
      <c r="N75" s="568" t="s">
        <v>779</v>
      </c>
      <c r="O75" s="566">
        <v>35.088999999999999</v>
      </c>
      <c r="P75" s="566" t="s">
        <v>667</v>
      </c>
      <c r="Q75" s="564">
        <v>46013</v>
      </c>
      <c r="R75" s="563">
        <v>46018</v>
      </c>
      <c r="S75" s="562" t="s">
        <v>666</v>
      </c>
    </row>
    <row r="76" spans="1:19" ht="18" x14ac:dyDescent="0.25">
      <c r="A76" s="566">
        <v>74</v>
      </c>
      <c r="B76" s="566" t="s">
        <v>272</v>
      </c>
      <c r="C76" s="567" t="s">
        <v>212</v>
      </c>
      <c r="D76" s="566" t="s">
        <v>92</v>
      </c>
      <c r="E76" s="566" t="s">
        <v>775</v>
      </c>
      <c r="F76" s="566" t="s">
        <v>779</v>
      </c>
      <c r="G76" s="566" t="s">
        <v>779</v>
      </c>
      <c r="H76" s="566" t="s">
        <v>793</v>
      </c>
      <c r="I76" s="564"/>
      <c r="J76" s="564"/>
      <c r="K76" s="566"/>
      <c r="L76" s="566"/>
      <c r="M76" s="564"/>
      <c r="N76" s="568" t="s">
        <v>779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273</v>
      </c>
      <c r="C77" s="567" t="s">
        <v>211</v>
      </c>
      <c r="D77" s="566" t="s">
        <v>542</v>
      </c>
      <c r="E77" s="566" t="s">
        <v>775</v>
      </c>
      <c r="F77" s="566" t="s">
        <v>779</v>
      </c>
      <c r="G77" s="566" t="s">
        <v>779</v>
      </c>
      <c r="H77" s="566" t="s">
        <v>773</v>
      </c>
      <c r="I77" s="564">
        <v>45938</v>
      </c>
      <c r="J77" s="564">
        <v>45951</v>
      </c>
      <c r="K77" s="566" t="s">
        <v>690</v>
      </c>
      <c r="L77" s="566" t="s">
        <v>789</v>
      </c>
      <c r="M77" s="564">
        <v>45949</v>
      </c>
      <c r="N77" s="568" t="s">
        <v>779</v>
      </c>
      <c r="O77" s="566">
        <v>41.88</v>
      </c>
      <c r="P77" s="566" t="s">
        <v>667</v>
      </c>
      <c r="Q77" s="564">
        <v>46037</v>
      </c>
      <c r="R77" s="563">
        <v>46043</v>
      </c>
      <c r="S77" s="562" t="s">
        <v>666</v>
      </c>
    </row>
    <row r="78" spans="1:19" ht="18" x14ac:dyDescent="0.25">
      <c r="A78" s="566">
        <v>76</v>
      </c>
      <c r="B78" s="566" t="s">
        <v>274</v>
      </c>
      <c r="C78" s="567" t="s">
        <v>212</v>
      </c>
      <c r="D78" s="566" t="s">
        <v>542</v>
      </c>
      <c r="E78" s="566" t="s">
        <v>775</v>
      </c>
      <c r="F78" s="566" t="s">
        <v>779</v>
      </c>
      <c r="G78" s="566" t="s">
        <v>779</v>
      </c>
      <c r="H78" s="566" t="s">
        <v>773</v>
      </c>
      <c r="I78" s="564">
        <v>45938</v>
      </c>
      <c r="J78" s="564">
        <v>45949</v>
      </c>
      <c r="K78" s="566" t="s">
        <v>690</v>
      </c>
      <c r="L78" s="566" t="s">
        <v>789</v>
      </c>
      <c r="M78" s="564">
        <v>46075</v>
      </c>
      <c r="N78" s="568" t="s">
        <v>779</v>
      </c>
      <c r="O78" s="566">
        <v>35.088999999999999</v>
      </c>
      <c r="P78" s="566" t="s">
        <v>667</v>
      </c>
      <c r="Q78" s="564">
        <v>46044</v>
      </c>
      <c r="R78" s="563">
        <v>46049</v>
      </c>
      <c r="S78" s="562" t="s">
        <v>666</v>
      </c>
    </row>
    <row r="79" spans="1:19" ht="18" x14ac:dyDescent="0.25">
      <c r="A79" s="566">
        <v>77</v>
      </c>
      <c r="B79" s="566" t="s">
        <v>430</v>
      </c>
      <c r="C79" s="567" t="s">
        <v>237</v>
      </c>
      <c r="D79" s="566" t="s">
        <v>92</v>
      </c>
      <c r="E79" s="566" t="s">
        <v>775</v>
      </c>
      <c r="F79" s="566"/>
      <c r="G79" s="566" t="s">
        <v>779</v>
      </c>
      <c r="H79" s="566" t="s">
        <v>773</v>
      </c>
      <c r="I79" s="564">
        <v>46097</v>
      </c>
      <c r="J79" s="564">
        <v>46118</v>
      </c>
      <c r="K79" s="566" t="s">
        <v>676</v>
      </c>
      <c r="L79" s="566" t="s">
        <v>787</v>
      </c>
      <c r="M79" s="564">
        <v>46127</v>
      </c>
      <c r="N79" s="568" t="s">
        <v>779</v>
      </c>
      <c r="O79" s="566">
        <v>54.72</v>
      </c>
      <c r="P79" s="566" t="s">
        <v>667</v>
      </c>
      <c r="Q79" s="564">
        <v>46147</v>
      </c>
      <c r="R79" s="563">
        <v>46160</v>
      </c>
      <c r="S79" s="562" t="s">
        <v>666</v>
      </c>
    </row>
    <row r="80" spans="1:19" ht="18" x14ac:dyDescent="0.25">
      <c r="A80" s="566">
        <v>78</v>
      </c>
      <c r="B80" s="566" t="s">
        <v>275</v>
      </c>
      <c r="C80" s="567" t="s">
        <v>212</v>
      </c>
      <c r="D80" s="566" t="s">
        <v>92</v>
      </c>
      <c r="E80" s="566" t="s">
        <v>775</v>
      </c>
      <c r="F80" s="566" t="s">
        <v>779</v>
      </c>
      <c r="G80" s="566" t="s">
        <v>779</v>
      </c>
      <c r="H80" s="566" t="s">
        <v>792</v>
      </c>
      <c r="I80" s="564"/>
      <c r="J80" s="564"/>
      <c r="K80" s="566"/>
      <c r="L80" s="566"/>
      <c r="M80" s="564"/>
      <c r="N80" s="568" t="s">
        <v>779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276</v>
      </c>
      <c r="C81" s="567" t="s">
        <v>212</v>
      </c>
      <c r="D81" s="566" t="s">
        <v>92</v>
      </c>
      <c r="E81" s="566" t="s">
        <v>775</v>
      </c>
      <c r="F81" s="566" t="s">
        <v>779</v>
      </c>
      <c r="G81" s="566" t="s">
        <v>779</v>
      </c>
      <c r="H81" s="566" t="s">
        <v>773</v>
      </c>
      <c r="I81" s="564">
        <v>45944</v>
      </c>
      <c r="J81" s="564">
        <v>45955</v>
      </c>
      <c r="K81" s="566" t="s">
        <v>690</v>
      </c>
      <c r="L81" s="566" t="s">
        <v>787</v>
      </c>
      <c r="M81" s="564">
        <v>46045</v>
      </c>
      <c r="N81" s="568" t="s">
        <v>779</v>
      </c>
      <c r="O81" s="566">
        <v>35.088999999999999</v>
      </c>
      <c r="P81" s="566" t="s">
        <v>667</v>
      </c>
      <c r="Q81" s="564">
        <v>46049</v>
      </c>
      <c r="R81" s="563">
        <v>46055</v>
      </c>
      <c r="S81" s="562" t="s">
        <v>666</v>
      </c>
    </row>
    <row r="82" spans="1:19" ht="18" x14ac:dyDescent="0.25">
      <c r="A82" s="566">
        <v>80</v>
      </c>
      <c r="B82" s="566" t="s">
        <v>277</v>
      </c>
      <c r="C82" s="567" t="s">
        <v>211</v>
      </c>
      <c r="D82" s="566" t="s">
        <v>542</v>
      </c>
      <c r="E82" s="566" t="s">
        <v>775</v>
      </c>
      <c r="F82" s="566" t="s">
        <v>779</v>
      </c>
      <c r="G82" s="566" t="s">
        <v>779</v>
      </c>
      <c r="H82" s="566" t="s">
        <v>773</v>
      </c>
      <c r="I82" s="564">
        <v>45953</v>
      </c>
      <c r="J82" s="564">
        <v>45976</v>
      </c>
      <c r="K82" s="566" t="s">
        <v>690</v>
      </c>
      <c r="L82" s="566" t="s">
        <v>789</v>
      </c>
      <c r="M82" s="564">
        <v>46075</v>
      </c>
      <c r="N82" s="568" t="s">
        <v>779</v>
      </c>
      <c r="O82" s="566">
        <v>41.88</v>
      </c>
      <c r="P82" s="566" t="s">
        <v>667</v>
      </c>
      <c r="Q82" s="564">
        <v>46176</v>
      </c>
      <c r="R82" s="563">
        <v>46186</v>
      </c>
      <c r="S82" s="562" t="s">
        <v>666</v>
      </c>
    </row>
    <row r="83" spans="1:19" ht="18" x14ac:dyDescent="0.25">
      <c r="A83" s="566">
        <v>81</v>
      </c>
      <c r="B83" s="566" t="s">
        <v>278</v>
      </c>
      <c r="C83" s="567" t="s">
        <v>212</v>
      </c>
      <c r="D83" s="566" t="s">
        <v>88</v>
      </c>
      <c r="E83" s="566" t="s">
        <v>775</v>
      </c>
      <c r="F83" s="566" t="s">
        <v>779</v>
      </c>
      <c r="G83" s="566" t="s">
        <v>779</v>
      </c>
      <c r="H83" s="566" t="s">
        <v>773</v>
      </c>
      <c r="I83" s="564">
        <v>46189</v>
      </c>
      <c r="J83" s="564">
        <v>46192</v>
      </c>
      <c r="K83" s="566" t="s">
        <v>763</v>
      </c>
      <c r="L83" s="566"/>
      <c r="M83" s="564"/>
      <c r="N83" s="568" t="s">
        <v>779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279</v>
      </c>
      <c r="C84" s="567" t="s">
        <v>282</v>
      </c>
      <c r="D84" s="566" t="s">
        <v>541</v>
      </c>
      <c r="E84" s="566" t="s">
        <v>775</v>
      </c>
      <c r="F84" s="566" t="s">
        <v>779</v>
      </c>
      <c r="G84" s="566" t="s">
        <v>779</v>
      </c>
      <c r="H84" s="566" t="s">
        <v>790</v>
      </c>
      <c r="I84" s="564"/>
      <c r="J84" s="564"/>
      <c r="K84" s="566"/>
      <c r="L84" s="566"/>
      <c r="M84" s="564"/>
      <c r="N84" s="568" t="s">
        <v>779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280</v>
      </c>
      <c r="C85" s="567" t="s">
        <v>283</v>
      </c>
      <c r="D85" s="566" t="s">
        <v>791</v>
      </c>
      <c r="E85" s="566" t="s">
        <v>779</v>
      </c>
      <c r="F85" s="566" t="s">
        <v>779</v>
      </c>
      <c r="G85" s="566" t="s">
        <v>779</v>
      </c>
      <c r="H85" s="566" t="s">
        <v>790</v>
      </c>
      <c r="I85" s="564"/>
      <c r="J85" s="564"/>
      <c r="K85" s="566"/>
      <c r="L85" s="566"/>
      <c r="M85" s="564"/>
      <c r="N85" s="568" t="s">
        <v>779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281</v>
      </c>
      <c r="C86" s="567" t="s">
        <v>283</v>
      </c>
      <c r="D86" s="566" t="s">
        <v>791</v>
      </c>
      <c r="E86" s="566" t="s">
        <v>779</v>
      </c>
      <c r="F86" s="566" t="s">
        <v>779</v>
      </c>
      <c r="G86" s="566" t="s">
        <v>779</v>
      </c>
      <c r="H86" s="566" t="s">
        <v>790</v>
      </c>
      <c r="I86" s="564"/>
      <c r="J86" s="564"/>
      <c r="K86" s="566"/>
      <c r="L86" s="566"/>
      <c r="M86" s="564"/>
      <c r="N86" s="568" t="s">
        <v>779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284</v>
      </c>
      <c r="C87" s="567" t="s">
        <v>213</v>
      </c>
      <c r="D87" s="566" t="s">
        <v>92</v>
      </c>
      <c r="E87" s="566" t="s">
        <v>775</v>
      </c>
      <c r="F87" s="566" t="s">
        <v>779</v>
      </c>
      <c r="G87" s="566" t="s">
        <v>779</v>
      </c>
      <c r="H87" s="566" t="s">
        <v>773</v>
      </c>
      <c r="I87" s="564">
        <v>45973</v>
      </c>
      <c r="J87" s="564">
        <v>45984</v>
      </c>
      <c r="K87" s="566" t="s">
        <v>690</v>
      </c>
      <c r="L87" s="566" t="s">
        <v>787</v>
      </c>
      <c r="M87" s="564">
        <v>46046</v>
      </c>
      <c r="N87" s="568" t="s">
        <v>779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433</v>
      </c>
      <c r="C88" s="567" t="s">
        <v>210</v>
      </c>
      <c r="D88" s="566" t="s">
        <v>92</v>
      </c>
      <c r="E88" s="566" t="s">
        <v>775</v>
      </c>
      <c r="F88" s="566" t="s">
        <v>779</v>
      </c>
      <c r="G88" s="566" t="s">
        <v>779</v>
      </c>
      <c r="H88" s="566"/>
      <c r="I88" s="564"/>
      <c r="J88" s="564"/>
      <c r="K88" s="566"/>
      <c r="L88" s="566"/>
      <c r="M88" s="564"/>
      <c r="N88" s="568" t="s">
        <v>779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434</v>
      </c>
      <c r="C89" s="567" t="s">
        <v>214</v>
      </c>
      <c r="D89" s="566" t="s">
        <v>92</v>
      </c>
      <c r="E89" s="566" t="s">
        <v>775</v>
      </c>
      <c r="F89" s="566" t="s">
        <v>776</v>
      </c>
      <c r="G89" s="566" t="s">
        <v>779</v>
      </c>
      <c r="H89" s="566"/>
      <c r="I89" s="564"/>
      <c r="J89" s="564"/>
      <c r="K89" s="566"/>
      <c r="L89" s="566"/>
      <c r="M89" s="564"/>
      <c r="N89" s="568" t="s">
        <v>779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285</v>
      </c>
      <c r="C90" s="567" t="s">
        <v>212</v>
      </c>
      <c r="D90" s="566" t="s">
        <v>92</v>
      </c>
      <c r="E90" s="566" t="s">
        <v>779</v>
      </c>
      <c r="F90" s="566" t="s">
        <v>779</v>
      </c>
      <c r="G90" s="566" t="s">
        <v>779</v>
      </c>
      <c r="H90" s="566"/>
      <c r="I90" s="564"/>
      <c r="J90" s="564"/>
      <c r="K90" s="566"/>
      <c r="L90" s="566"/>
      <c r="M90" s="564"/>
      <c r="N90" s="568" t="s">
        <v>779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286</v>
      </c>
      <c r="C91" s="567" t="s">
        <v>248</v>
      </c>
      <c r="D91" s="566" t="s">
        <v>92</v>
      </c>
      <c r="E91" s="566" t="s">
        <v>775</v>
      </c>
      <c r="F91" s="566" t="s">
        <v>779</v>
      </c>
      <c r="G91" s="566" t="s">
        <v>779</v>
      </c>
      <c r="H91" s="566"/>
      <c r="I91" s="564"/>
      <c r="J91" s="564"/>
      <c r="K91" s="566"/>
      <c r="L91" s="566"/>
      <c r="M91" s="564"/>
      <c r="N91" s="568" t="s">
        <v>779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287</v>
      </c>
      <c r="C92" s="567" t="s">
        <v>212</v>
      </c>
      <c r="D92" s="566" t="s">
        <v>92</v>
      </c>
      <c r="E92" s="566" t="s">
        <v>779</v>
      </c>
      <c r="F92" s="566" t="s">
        <v>779</v>
      </c>
      <c r="G92" s="566" t="s">
        <v>779</v>
      </c>
      <c r="H92" s="566"/>
      <c r="I92" s="564"/>
      <c r="J92" s="564"/>
      <c r="K92" s="566"/>
      <c r="L92" s="566"/>
      <c r="M92" s="564"/>
      <c r="N92" s="568" t="s">
        <v>779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288</v>
      </c>
      <c r="C93" s="567" t="s">
        <v>212</v>
      </c>
      <c r="D93" s="566" t="s">
        <v>92</v>
      </c>
      <c r="E93" s="566" t="s">
        <v>779</v>
      </c>
      <c r="F93" s="566" t="s">
        <v>779</v>
      </c>
      <c r="G93" s="566" t="s">
        <v>779</v>
      </c>
      <c r="H93" s="566"/>
      <c r="I93" s="564"/>
      <c r="J93" s="564"/>
      <c r="K93" s="566"/>
      <c r="L93" s="566"/>
      <c r="M93" s="564"/>
      <c r="N93" s="568" t="s">
        <v>779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435</v>
      </c>
      <c r="C94" s="567" t="s">
        <v>226</v>
      </c>
      <c r="D94" s="566" t="s">
        <v>92</v>
      </c>
      <c r="E94" s="566" t="s">
        <v>775</v>
      </c>
      <c r="F94" s="566" t="s">
        <v>776</v>
      </c>
      <c r="G94" s="566" t="s">
        <v>779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289</v>
      </c>
      <c r="C95" s="567" t="s">
        <v>248</v>
      </c>
      <c r="D95" s="566" t="s">
        <v>92</v>
      </c>
      <c r="E95" s="566" t="s">
        <v>775</v>
      </c>
      <c r="F95" s="566" t="s">
        <v>779</v>
      </c>
      <c r="G95" s="566" t="s">
        <v>779</v>
      </c>
      <c r="H95" s="566" t="s">
        <v>773</v>
      </c>
      <c r="I95" s="564">
        <v>46217</v>
      </c>
      <c r="J95" s="564">
        <v>46230</v>
      </c>
      <c r="K95" s="566" t="s">
        <v>919</v>
      </c>
      <c r="L95" s="566"/>
      <c r="M95" s="564"/>
      <c r="N95" s="568" t="s">
        <v>779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290</v>
      </c>
      <c r="C96" s="567" t="s">
        <v>213</v>
      </c>
      <c r="D96" s="566" t="s">
        <v>92</v>
      </c>
      <c r="E96" s="566" t="s">
        <v>779</v>
      </c>
      <c r="F96" s="566" t="s">
        <v>779</v>
      </c>
      <c r="G96" s="566" t="s">
        <v>779</v>
      </c>
      <c r="H96" s="566" t="s">
        <v>773</v>
      </c>
      <c r="I96" s="564">
        <v>46209</v>
      </c>
      <c r="J96" s="564">
        <v>46216</v>
      </c>
      <c r="K96" s="566" t="s">
        <v>919</v>
      </c>
      <c r="L96" s="566" t="s">
        <v>867</v>
      </c>
      <c r="M96" s="564">
        <v>46222</v>
      </c>
      <c r="N96" s="568" t="s">
        <v>779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291</v>
      </c>
      <c r="C97" s="567" t="s">
        <v>248</v>
      </c>
      <c r="D97" s="566" t="s">
        <v>541</v>
      </c>
      <c r="E97" s="566" t="s">
        <v>779</v>
      </c>
      <c r="F97" s="566" t="s">
        <v>779</v>
      </c>
      <c r="G97" s="566" t="s">
        <v>779</v>
      </c>
      <c r="H97" s="566"/>
      <c r="I97" s="564"/>
      <c r="J97" s="564"/>
      <c r="K97" s="566"/>
      <c r="L97" s="566"/>
      <c r="M97" s="564"/>
      <c r="N97" s="568" t="s">
        <v>779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437</v>
      </c>
      <c r="C98" s="567" t="s">
        <v>292</v>
      </c>
      <c r="D98" s="566" t="s">
        <v>88</v>
      </c>
      <c r="E98" s="566" t="s">
        <v>779</v>
      </c>
      <c r="F98" s="566" t="s">
        <v>776</v>
      </c>
      <c r="G98" s="566" t="s">
        <v>779</v>
      </c>
      <c r="H98" s="566"/>
      <c r="I98" s="564"/>
      <c r="J98" s="564"/>
      <c r="K98" s="566"/>
      <c r="L98" s="566"/>
      <c r="M98" s="564"/>
      <c r="N98" s="568" t="s">
        <v>779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438</v>
      </c>
      <c r="C99" s="567" t="s">
        <v>301</v>
      </c>
      <c r="D99" s="566" t="s">
        <v>92</v>
      </c>
      <c r="E99" s="566" t="s">
        <v>779</v>
      </c>
      <c r="F99" s="566" t="s">
        <v>776</v>
      </c>
      <c r="G99" s="566" t="s">
        <v>779</v>
      </c>
      <c r="H99" s="566"/>
      <c r="I99" s="564"/>
      <c r="J99" s="564"/>
      <c r="K99" s="566"/>
      <c r="L99" s="566"/>
      <c r="M99" s="564"/>
      <c r="N99" s="568" t="s">
        <v>779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293</v>
      </c>
      <c r="C100" s="567" t="s">
        <v>212</v>
      </c>
      <c r="D100" s="566" t="s">
        <v>541</v>
      </c>
      <c r="E100" s="566" t="s">
        <v>775</v>
      </c>
      <c r="F100" s="566" t="s">
        <v>779</v>
      </c>
      <c r="G100" s="566" t="s">
        <v>779</v>
      </c>
      <c r="H100" s="566"/>
      <c r="I100" s="564"/>
      <c r="J100" s="564"/>
      <c r="K100" s="566"/>
      <c r="L100" s="566"/>
      <c r="M100" s="564"/>
      <c r="N100" s="568" t="s">
        <v>779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294</v>
      </c>
      <c r="C101" s="567" t="s">
        <v>213</v>
      </c>
      <c r="D101" s="566" t="s">
        <v>92</v>
      </c>
      <c r="E101" s="566" t="s">
        <v>779</v>
      </c>
      <c r="F101" s="566" t="s">
        <v>779</v>
      </c>
      <c r="G101" s="566" t="s">
        <v>779</v>
      </c>
      <c r="H101" s="566" t="s">
        <v>773</v>
      </c>
      <c r="I101" s="564">
        <v>46219</v>
      </c>
      <c r="J101" s="564">
        <v>46221</v>
      </c>
      <c r="K101" s="566" t="s">
        <v>763</v>
      </c>
      <c r="L101" s="566"/>
      <c r="M101" s="564"/>
      <c r="N101" s="568" t="s">
        <v>779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295</v>
      </c>
      <c r="C102" s="567" t="s">
        <v>212</v>
      </c>
      <c r="D102" s="566" t="s">
        <v>92</v>
      </c>
      <c r="E102" s="566" t="s">
        <v>775</v>
      </c>
      <c r="F102" s="566" t="s">
        <v>779</v>
      </c>
      <c r="G102" s="566" t="s">
        <v>779</v>
      </c>
      <c r="H102" s="566" t="s">
        <v>773</v>
      </c>
      <c r="I102" s="564">
        <v>46139</v>
      </c>
      <c r="J102" s="564">
        <v>46141</v>
      </c>
      <c r="K102" s="566" t="s">
        <v>763</v>
      </c>
      <c r="L102" s="566" t="s">
        <v>867</v>
      </c>
      <c r="M102" s="564">
        <v>46143</v>
      </c>
      <c r="N102" s="568" t="s">
        <v>779</v>
      </c>
      <c r="O102" s="566">
        <v>35.088999999999999</v>
      </c>
      <c r="P102" s="566" t="s">
        <v>667</v>
      </c>
      <c r="Q102" s="564">
        <v>46192</v>
      </c>
      <c r="R102" s="563">
        <v>46196</v>
      </c>
      <c r="S102" s="562" t="s">
        <v>692</v>
      </c>
    </row>
    <row r="103" spans="1:19" ht="18" x14ac:dyDescent="0.25">
      <c r="A103" s="566">
        <v>101</v>
      </c>
      <c r="B103" s="566" t="s">
        <v>439</v>
      </c>
      <c r="C103" s="567" t="s">
        <v>237</v>
      </c>
      <c r="D103" s="566" t="s">
        <v>92</v>
      </c>
      <c r="E103" s="566" t="s">
        <v>775</v>
      </c>
      <c r="F103" s="566"/>
      <c r="G103" s="566" t="s">
        <v>779</v>
      </c>
      <c r="H103" s="566" t="s">
        <v>773</v>
      </c>
      <c r="I103" s="564">
        <v>46142</v>
      </c>
      <c r="J103" s="564">
        <v>46145</v>
      </c>
      <c r="K103" s="566" t="s">
        <v>763</v>
      </c>
      <c r="L103" s="566" t="s">
        <v>864</v>
      </c>
      <c r="M103" s="564">
        <v>46147</v>
      </c>
      <c r="N103" s="568" t="s">
        <v>779</v>
      </c>
      <c r="O103" s="566">
        <v>54.72</v>
      </c>
      <c r="P103" s="566" t="s">
        <v>667</v>
      </c>
      <c r="Q103" s="564">
        <v>46136</v>
      </c>
      <c r="R103" s="563">
        <v>46201</v>
      </c>
      <c r="S103" s="562" t="s">
        <v>692</v>
      </c>
    </row>
    <row r="104" spans="1:19" ht="18" x14ac:dyDescent="0.25">
      <c r="A104" s="566">
        <v>102</v>
      </c>
      <c r="B104" s="566" t="s">
        <v>296</v>
      </c>
      <c r="C104" s="567" t="s">
        <v>283</v>
      </c>
      <c r="D104" s="566" t="s">
        <v>542</v>
      </c>
      <c r="E104" s="566" t="s">
        <v>775</v>
      </c>
      <c r="F104" s="566" t="s">
        <v>779</v>
      </c>
      <c r="G104" s="566" t="s">
        <v>779</v>
      </c>
      <c r="H104" s="566" t="s">
        <v>773</v>
      </c>
      <c r="I104" s="564">
        <v>46129</v>
      </c>
      <c r="J104" s="564">
        <v>46133</v>
      </c>
      <c r="K104" s="566" t="s">
        <v>763</v>
      </c>
      <c r="L104" s="566" t="s">
        <v>864</v>
      </c>
      <c r="M104" s="564">
        <v>46136</v>
      </c>
      <c r="N104" s="568" t="s">
        <v>779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440</v>
      </c>
      <c r="C105" s="567" t="s">
        <v>579</v>
      </c>
      <c r="D105" s="566" t="s">
        <v>92</v>
      </c>
      <c r="E105" s="566" t="s">
        <v>775</v>
      </c>
      <c r="F105" s="566" t="s">
        <v>776</v>
      </c>
      <c r="G105" s="566" t="s">
        <v>779</v>
      </c>
      <c r="H105" s="566" t="s">
        <v>773</v>
      </c>
      <c r="I105" s="564">
        <v>46132</v>
      </c>
      <c r="J105" s="564">
        <v>46138</v>
      </c>
      <c r="K105" s="566" t="s">
        <v>763</v>
      </c>
      <c r="L105" s="566" t="s">
        <v>864</v>
      </c>
      <c r="M105" s="564">
        <v>46140</v>
      </c>
      <c r="N105" s="568" t="s">
        <v>779</v>
      </c>
      <c r="O105" s="566">
        <v>72.045000000000002</v>
      </c>
      <c r="P105" s="566" t="s">
        <v>667</v>
      </c>
      <c r="Q105" s="564">
        <v>46202</v>
      </c>
      <c r="R105" s="563">
        <v>46208</v>
      </c>
      <c r="S105" s="562" t="s">
        <v>692</v>
      </c>
    </row>
    <row r="106" spans="1:19" ht="18" x14ac:dyDescent="0.25">
      <c r="A106" s="566">
        <v>104</v>
      </c>
      <c r="B106" s="566" t="s">
        <v>297</v>
      </c>
      <c r="C106" s="567" t="s">
        <v>211</v>
      </c>
      <c r="D106" s="566" t="s">
        <v>88</v>
      </c>
      <c r="E106" s="566" t="s">
        <v>775</v>
      </c>
      <c r="F106" s="566" t="s">
        <v>779</v>
      </c>
      <c r="G106" s="566" t="s">
        <v>779</v>
      </c>
      <c r="H106" s="566" t="s">
        <v>773</v>
      </c>
      <c r="I106" s="564">
        <v>46141</v>
      </c>
      <c r="J106" s="564">
        <v>46147</v>
      </c>
      <c r="K106" s="566" t="s">
        <v>763</v>
      </c>
      <c r="L106" s="566"/>
      <c r="M106" s="564"/>
      <c r="N106" s="568" t="s">
        <v>779</v>
      </c>
      <c r="O106" s="566">
        <v>41.88</v>
      </c>
      <c r="P106" s="566" t="s">
        <v>667</v>
      </c>
      <c r="Q106" s="564">
        <v>46183</v>
      </c>
      <c r="R106" s="563">
        <v>46192</v>
      </c>
      <c r="S106" s="562" t="s">
        <v>692</v>
      </c>
    </row>
    <row r="107" spans="1:19" ht="18" x14ac:dyDescent="0.25">
      <c r="A107" s="566">
        <v>105</v>
      </c>
      <c r="B107" s="566" t="s">
        <v>298</v>
      </c>
      <c r="C107" s="567" t="s">
        <v>212</v>
      </c>
      <c r="D107" s="566" t="s">
        <v>92</v>
      </c>
      <c r="E107" s="566" t="s">
        <v>779</v>
      </c>
      <c r="F107" s="566" t="s">
        <v>779</v>
      </c>
      <c r="G107" s="566" t="s">
        <v>779</v>
      </c>
      <c r="H107" s="566"/>
      <c r="I107" s="564"/>
      <c r="J107" s="564"/>
      <c r="K107" s="566"/>
      <c r="L107" s="566"/>
      <c r="M107" s="564"/>
      <c r="N107" s="568" t="s">
        <v>779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299</v>
      </c>
      <c r="C108" s="567" t="s">
        <v>212</v>
      </c>
      <c r="D108" s="566" t="s">
        <v>92</v>
      </c>
      <c r="E108" s="566" t="s">
        <v>779</v>
      </c>
      <c r="F108" s="566" t="s">
        <v>779</v>
      </c>
      <c r="G108" s="566" t="s">
        <v>779</v>
      </c>
      <c r="H108" s="566"/>
      <c r="I108" s="564"/>
      <c r="J108" s="564"/>
      <c r="K108" s="566"/>
      <c r="L108" s="566"/>
      <c r="M108" s="564"/>
      <c r="N108" s="568" t="s">
        <v>779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300</v>
      </c>
      <c r="C109" s="567" t="s">
        <v>213</v>
      </c>
      <c r="D109" s="566" t="s">
        <v>92</v>
      </c>
      <c r="E109" s="566" t="s">
        <v>779</v>
      </c>
      <c r="F109" s="566" t="s">
        <v>779</v>
      </c>
      <c r="G109" s="566" t="s">
        <v>779</v>
      </c>
      <c r="H109" s="566"/>
      <c r="I109" s="564"/>
      <c r="J109" s="564"/>
      <c r="K109" s="566"/>
      <c r="L109" s="566"/>
      <c r="M109" s="564"/>
      <c r="N109" s="568" t="s">
        <v>779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442</v>
      </c>
      <c r="C110" s="567" t="s">
        <v>237</v>
      </c>
      <c r="D110" s="566" t="s">
        <v>92</v>
      </c>
      <c r="E110" s="566" t="s">
        <v>775</v>
      </c>
      <c r="F110" s="566"/>
      <c r="G110" s="566" t="s">
        <v>779</v>
      </c>
      <c r="H110" s="566" t="s">
        <v>773</v>
      </c>
      <c r="I110" s="564">
        <v>47627</v>
      </c>
      <c r="J110" s="564">
        <v>46172</v>
      </c>
      <c r="K110" s="566" t="s">
        <v>763</v>
      </c>
      <c r="L110" s="566" t="s">
        <v>864</v>
      </c>
      <c r="M110" s="564">
        <v>46186</v>
      </c>
      <c r="N110" s="568" t="s">
        <v>779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302</v>
      </c>
      <c r="C111" s="567" t="s">
        <v>213</v>
      </c>
      <c r="D111" s="566" t="s">
        <v>92</v>
      </c>
      <c r="E111" s="566" t="s">
        <v>779</v>
      </c>
      <c r="F111" s="566" t="s">
        <v>779</v>
      </c>
      <c r="G111" s="566" t="s">
        <v>779</v>
      </c>
      <c r="H111" s="566"/>
      <c r="I111" s="564"/>
      <c r="J111" s="564"/>
      <c r="K111" s="566"/>
      <c r="L111" s="566"/>
      <c r="M111" s="564"/>
      <c r="N111" s="568" t="s">
        <v>779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303</v>
      </c>
      <c r="C112" s="567" t="s">
        <v>213</v>
      </c>
      <c r="D112" s="566" t="s">
        <v>92</v>
      </c>
      <c r="E112" s="566" t="s">
        <v>775</v>
      </c>
      <c r="F112" s="566" t="s">
        <v>779</v>
      </c>
      <c r="G112" s="566" t="s">
        <v>779</v>
      </c>
      <c r="H112" s="566" t="s">
        <v>773</v>
      </c>
      <c r="I112" s="564">
        <v>46163</v>
      </c>
      <c r="J112" s="564">
        <v>46165</v>
      </c>
      <c r="K112" s="566" t="s">
        <v>763</v>
      </c>
      <c r="L112" s="566" t="s">
        <v>787</v>
      </c>
      <c r="M112" s="564">
        <v>46165</v>
      </c>
      <c r="N112" s="568" t="s">
        <v>779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443</v>
      </c>
      <c r="C113" s="567" t="s">
        <v>270</v>
      </c>
      <c r="D113" s="566" t="s">
        <v>88</v>
      </c>
      <c r="E113" s="566" t="s">
        <v>775</v>
      </c>
      <c r="F113" s="566"/>
      <c r="G113" s="566" t="s">
        <v>779</v>
      </c>
      <c r="H113" s="566" t="s">
        <v>773</v>
      </c>
      <c r="I113" s="564">
        <v>46148</v>
      </c>
      <c r="J113" s="564">
        <v>46155</v>
      </c>
      <c r="K113" s="566" t="s">
        <v>763</v>
      </c>
      <c r="L113" s="566"/>
      <c r="M113" s="564"/>
      <c r="N113" s="568" t="s">
        <v>779</v>
      </c>
      <c r="O113" s="566">
        <v>64.671999999999997</v>
      </c>
      <c r="P113" s="566" t="s">
        <v>667</v>
      </c>
      <c r="Q113" s="564">
        <v>46200</v>
      </c>
      <c r="R113" s="563">
        <v>46207</v>
      </c>
      <c r="S113" s="562" t="s">
        <v>913</v>
      </c>
    </row>
    <row r="114" spans="1:19" ht="18" x14ac:dyDescent="0.25">
      <c r="A114" s="566">
        <v>112</v>
      </c>
      <c r="B114" s="566" t="s">
        <v>304</v>
      </c>
      <c r="C114" s="567" t="s">
        <v>248</v>
      </c>
      <c r="D114" s="566" t="s">
        <v>92</v>
      </c>
      <c r="E114" s="566" t="s">
        <v>775</v>
      </c>
      <c r="F114" s="566" t="s">
        <v>779</v>
      </c>
      <c r="G114" s="566" t="s">
        <v>779</v>
      </c>
      <c r="H114" s="566" t="s">
        <v>773</v>
      </c>
      <c r="I114" s="564">
        <v>46159</v>
      </c>
      <c r="J114" s="564">
        <v>46162</v>
      </c>
      <c r="K114" s="566" t="s">
        <v>763</v>
      </c>
      <c r="L114" s="566" t="s">
        <v>787</v>
      </c>
      <c r="M114" s="564">
        <v>46163</v>
      </c>
      <c r="N114" s="568" t="s">
        <v>779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305</v>
      </c>
      <c r="C115" s="567" t="s">
        <v>211</v>
      </c>
      <c r="D115" s="566" t="s">
        <v>541</v>
      </c>
      <c r="E115" s="566" t="s">
        <v>775</v>
      </c>
      <c r="F115" s="566" t="s">
        <v>779</v>
      </c>
      <c r="G115" s="566" t="s">
        <v>779</v>
      </c>
      <c r="H115" s="566" t="s">
        <v>773</v>
      </c>
      <c r="I115" s="564">
        <v>46155</v>
      </c>
      <c r="J115" s="564">
        <v>46158</v>
      </c>
      <c r="K115" s="566" t="s">
        <v>763</v>
      </c>
      <c r="L115" s="566" t="s">
        <v>787</v>
      </c>
      <c r="M115" s="564">
        <v>46162</v>
      </c>
      <c r="N115" s="568" t="s">
        <v>779</v>
      </c>
      <c r="O115" s="566">
        <v>41.88</v>
      </c>
      <c r="P115" s="566" t="s">
        <v>667</v>
      </c>
      <c r="Q115" s="564">
        <v>46188</v>
      </c>
      <c r="R115" s="563">
        <v>46199</v>
      </c>
      <c r="S115" s="562" t="s">
        <v>913</v>
      </c>
    </row>
    <row r="116" spans="1:19" ht="18" x14ac:dyDescent="0.25">
      <c r="A116" s="566">
        <v>114</v>
      </c>
      <c r="B116" s="566" t="s">
        <v>444</v>
      </c>
      <c r="C116" s="567" t="s">
        <v>301</v>
      </c>
      <c r="D116" s="566" t="s">
        <v>541</v>
      </c>
      <c r="E116" s="566" t="s">
        <v>779</v>
      </c>
      <c r="F116" s="566" t="s">
        <v>776</v>
      </c>
      <c r="G116" s="566" t="s">
        <v>779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306</v>
      </c>
      <c r="C117" s="567" t="s">
        <v>248</v>
      </c>
      <c r="D117" s="566" t="s">
        <v>92</v>
      </c>
      <c r="E117" s="566" t="s">
        <v>775</v>
      </c>
      <c r="F117" s="566" t="s">
        <v>779</v>
      </c>
      <c r="G117" s="566" t="s">
        <v>779</v>
      </c>
      <c r="H117" s="566" t="s">
        <v>773</v>
      </c>
      <c r="I117" s="564">
        <v>46106</v>
      </c>
      <c r="J117" s="564">
        <v>46123</v>
      </c>
      <c r="K117" s="566" t="s">
        <v>763</v>
      </c>
      <c r="L117" s="566" t="s">
        <v>787</v>
      </c>
      <c r="M117" s="564">
        <v>46125</v>
      </c>
      <c r="N117" s="568" t="s">
        <v>779</v>
      </c>
      <c r="O117" s="566">
        <v>43.575000000000003</v>
      </c>
      <c r="P117" s="566" t="s">
        <v>667</v>
      </c>
      <c r="Q117" s="564">
        <v>46188</v>
      </c>
      <c r="R117" s="563">
        <v>46201</v>
      </c>
      <c r="S117" s="562" t="s">
        <v>918</v>
      </c>
    </row>
    <row r="118" spans="1:19" ht="18" x14ac:dyDescent="0.25">
      <c r="A118" s="566">
        <v>116</v>
      </c>
      <c r="B118" s="566" t="s">
        <v>307</v>
      </c>
      <c r="C118" s="567" t="s">
        <v>212</v>
      </c>
      <c r="D118" s="566" t="s">
        <v>92</v>
      </c>
      <c r="E118" s="566" t="s">
        <v>775</v>
      </c>
      <c r="F118" s="566" t="s">
        <v>779</v>
      </c>
      <c r="G118" s="566" t="s">
        <v>779</v>
      </c>
      <c r="H118" s="566" t="s">
        <v>773</v>
      </c>
      <c r="I118" s="564">
        <v>46107</v>
      </c>
      <c r="J118" s="564">
        <v>46125</v>
      </c>
      <c r="K118" s="566" t="s">
        <v>763</v>
      </c>
      <c r="L118" s="566" t="s">
        <v>787</v>
      </c>
      <c r="M118" s="564">
        <v>46127</v>
      </c>
      <c r="N118" s="568" t="s">
        <v>779</v>
      </c>
      <c r="O118" s="566">
        <v>35.088999999999999</v>
      </c>
      <c r="P118" s="566" t="s">
        <v>667</v>
      </c>
      <c r="Q118" s="564">
        <v>46202</v>
      </c>
      <c r="R118" s="563">
        <v>46212</v>
      </c>
      <c r="S118" s="562" t="s">
        <v>918</v>
      </c>
    </row>
    <row r="119" spans="1:19" ht="18" x14ac:dyDescent="0.25">
      <c r="A119" s="566">
        <v>117</v>
      </c>
      <c r="B119" s="566" t="s">
        <v>308</v>
      </c>
      <c r="C119" s="567" t="s">
        <v>212</v>
      </c>
      <c r="D119" s="566" t="s">
        <v>92</v>
      </c>
      <c r="E119" s="566" t="s">
        <v>775</v>
      </c>
      <c r="F119" s="566" t="s">
        <v>779</v>
      </c>
      <c r="G119" s="566" t="s">
        <v>779</v>
      </c>
      <c r="H119" s="566" t="s">
        <v>773</v>
      </c>
      <c r="I119" s="564">
        <v>46121</v>
      </c>
      <c r="J119" s="564">
        <v>46130</v>
      </c>
      <c r="K119" s="566" t="s">
        <v>763</v>
      </c>
      <c r="L119" s="566" t="s">
        <v>787</v>
      </c>
      <c r="M119" s="564">
        <v>46131</v>
      </c>
      <c r="N119" s="568" t="s">
        <v>779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309</v>
      </c>
      <c r="C120" s="567" t="s">
        <v>211</v>
      </c>
      <c r="D120" s="566" t="s">
        <v>92</v>
      </c>
      <c r="E120" s="566" t="s">
        <v>775</v>
      </c>
      <c r="F120" s="566" t="s">
        <v>779</v>
      </c>
      <c r="G120" s="566" t="s">
        <v>779</v>
      </c>
      <c r="H120" s="566" t="s">
        <v>773</v>
      </c>
      <c r="I120" s="564">
        <v>46107</v>
      </c>
      <c r="J120" s="564">
        <v>46128</v>
      </c>
      <c r="K120" s="566" t="s">
        <v>763</v>
      </c>
      <c r="L120" s="566" t="s">
        <v>787</v>
      </c>
      <c r="M120" s="564">
        <v>46131</v>
      </c>
      <c r="N120" s="568" t="s">
        <v>779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445</v>
      </c>
      <c r="C121" s="567" t="s">
        <v>584</v>
      </c>
      <c r="D121" s="566" t="s">
        <v>92</v>
      </c>
      <c r="E121" s="566" t="s">
        <v>775</v>
      </c>
      <c r="F121" s="566" t="s">
        <v>776</v>
      </c>
      <c r="G121" s="566" t="s">
        <v>779</v>
      </c>
      <c r="H121" s="566" t="s">
        <v>773</v>
      </c>
      <c r="I121" s="564">
        <v>46211</v>
      </c>
      <c r="J121" s="564">
        <v>46213</v>
      </c>
      <c r="K121" s="566" t="s">
        <v>763</v>
      </c>
      <c r="L121" s="566" t="s">
        <v>787</v>
      </c>
      <c r="M121" s="564">
        <v>46214</v>
      </c>
      <c r="N121" s="568" t="s">
        <v>779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450</v>
      </c>
      <c r="C122" s="567" t="s">
        <v>270</v>
      </c>
      <c r="D122" s="566" t="s">
        <v>92</v>
      </c>
      <c r="E122" s="566" t="s">
        <v>775</v>
      </c>
      <c r="F122" s="566"/>
      <c r="G122" s="566" t="s">
        <v>779</v>
      </c>
      <c r="H122" s="566" t="s">
        <v>773</v>
      </c>
      <c r="I122" s="564">
        <v>46204</v>
      </c>
      <c r="J122" s="564">
        <v>46210</v>
      </c>
      <c r="K122" s="566" t="s">
        <v>763</v>
      </c>
      <c r="L122" s="566" t="s">
        <v>864</v>
      </c>
      <c r="M122" s="564">
        <v>46211</v>
      </c>
      <c r="N122" s="568" t="s">
        <v>779</v>
      </c>
      <c r="O122" s="566">
        <v>64.671999999999997</v>
      </c>
      <c r="P122" s="566" t="s">
        <v>667</v>
      </c>
      <c r="Q122" s="564">
        <v>46229</v>
      </c>
      <c r="R122" s="563">
        <v>46240</v>
      </c>
      <c r="S122" s="562" t="s">
        <v>913</v>
      </c>
    </row>
    <row r="123" spans="1:19" ht="18" x14ac:dyDescent="0.25">
      <c r="A123" s="566">
        <v>121</v>
      </c>
      <c r="B123" s="566" t="s">
        <v>312</v>
      </c>
      <c r="C123" s="567" t="s">
        <v>213</v>
      </c>
      <c r="D123" s="566" t="s">
        <v>92</v>
      </c>
      <c r="E123" s="566" t="s">
        <v>775</v>
      </c>
      <c r="F123" s="566" t="s">
        <v>779</v>
      </c>
      <c r="G123" s="566" t="s">
        <v>779</v>
      </c>
      <c r="H123" s="566" t="s">
        <v>773</v>
      </c>
      <c r="I123" s="564">
        <v>46172</v>
      </c>
      <c r="J123" s="564">
        <v>46174</v>
      </c>
      <c r="K123" s="566" t="s">
        <v>763</v>
      </c>
      <c r="L123" s="566" t="s">
        <v>787</v>
      </c>
      <c r="M123" s="564">
        <v>46176</v>
      </c>
      <c r="N123" s="568" t="s">
        <v>779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451</v>
      </c>
      <c r="C124" s="567" t="s">
        <v>237</v>
      </c>
      <c r="D124" s="566" t="s">
        <v>92</v>
      </c>
      <c r="E124" s="566" t="s">
        <v>775</v>
      </c>
      <c r="F124" s="566"/>
      <c r="G124" s="566" t="s">
        <v>779</v>
      </c>
      <c r="H124" s="566" t="s">
        <v>773</v>
      </c>
      <c r="I124" s="564">
        <v>46175</v>
      </c>
      <c r="J124" s="564">
        <v>46178</v>
      </c>
      <c r="K124" s="566" t="s">
        <v>763</v>
      </c>
      <c r="L124" s="566"/>
      <c r="M124" s="564"/>
      <c r="N124" s="568" t="s">
        <v>779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313</v>
      </c>
      <c r="C125" s="567" t="s">
        <v>211</v>
      </c>
      <c r="D125" s="566" t="s">
        <v>88</v>
      </c>
      <c r="E125" s="566" t="s">
        <v>775</v>
      </c>
      <c r="F125" s="566" t="s">
        <v>779</v>
      </c>
      <c r="G125" s="566" t="s">
        <v>779</v>
      </c>
      <c r="H125" s="566" t="s">
        <v>773</v>
      </c>
      <c r="I125" s="564">
        <v>45995</v>
      </c>
      <c r="J125" s="564">
        <v>46009</v>
      </c>
      <c r="K125" s="566" t="s">
        <v>688</v>
      </c>
      <c r="L125" s="566" t="s">
        <v>789</v>
      </c>
      <c r="M125" s="564">
        <v>46033</v>
      </c>
      <c r="N125" s="568" t="s">
        <v>779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314</v>
      </c>
      <c r="C126" s="567" t="s">
        <v>212</v>
      </c>
      <c r="D126" s="566" t="s">
        <v>88</v>
      </c>
      <c r="E126" s="566" t="s">
        <v>775</v>
      </c>
      <c r="F126" s="566" t="s">
        <v>779</v>
      </c>
      <c r="G126" s="566" t="s">
        <v>779</v>
      </c>
      <c r="H126" s="566" t="s">
        <v>773</v>
      </c>
      <c r="I126" s="564">
        <v>45995</v>
      </c>
      <c r="J126" s="564">
        <v>46015</v>
      </c>
      <c r="K126" s="566" t="s">
        <v>688</v>
      </c>
      <c r="L126" s="566" t="s">
        <v>789</v>
      </c>
      <c r="M126" s="564">
        <v>46033</v>
      </c>
      <c r="N126" s="568" t="s">
        <v>779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452</v>
      </c>
      <c r="C127" s="567" t="s">
        <v>214</v>
      </c>
      <c r="D127" s="566" t="s">
        <v>541</v>
      </c>
      <c r="E127" s="566" t="s">
        <v>775</v>
      </c>
      <c r="F127" s="566" t="s">
        <v>776</v>
      </c>
      <c r="G127" s="566" t="s">
        <v>779</v>
      </c>
      <c r="H127" s="566"/>
      <c r="I127" s="564"/>
      <c r="J127" s="564"/>
      <c r="K127" s="566"/>
      <c r="L127" s="566"/>
      <c r="M127" s="564"/>
      <c r="N127" s="568" t="s">
        <v>779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453</v>
      </c>
      <c r="C128" s="567" t="s">
        <v>214</v>
      </c>
      <c r="D128" s="566" t="s">
        <v>541</v>
      </c>
      <c r="E128" s="566" t="s">
        <v>779</v>
      </c>
      <c r="F128" s="566" t="s">
        <v>776</v>
      </c>
      <c r="G128" s="566" t="s">
        <v>779</v>
      </c>
      <c r="H128" s="566"/>
      <c r="I128" s="564"/>
      <c r="J128" s="564"/>
      <c r="K128" s="566"/>
      <c r="L128" s="566"/>
      <c r="M128" s="564"/>
      <c r="N128" s="568" t="s">
        <v>779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315</v>
      </c>
      <c r="C129" s="567" t="s">
        <v>213</v>
      </c>
      <c r="D129" s="566" t="s">
        <v>88</v>
      </c>
      <c r="E129" s="566" t="s">
        <v>779</v>
      </c>
      <c r="F129" s="566" t="s">
        <v>779</v>
      </c>
      <c r="G129" s="566" t="s">
        <v>779</v>
      </c>
      <c r="H129" s="566" t="s">
        <v>773</v>
      </c>
      <c r="I129" s="564">
        <v>46183</v>
      </c>
      <c r="J129" s="564">
        <v>46185</v>
      </c>
      <c r="K129" s="566" t="s">
        <v>763</v>
      </c>
      <c r="L129" s="566"/>
      <c r="M129" s="564"/>
      <c r="N129" s="568" t="s">
        <v>779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316</v>
      </c>
      <c r="C130" s="567" t="s">
        <v>212</v>
      </c>
      <c r="D130" s="566" t="s">
        <v>88</v>
      </c>
      <c r="E130" s="566" t="s">
        <v>775</v>
      </c>
      <c r="F130" s="566" t="s">
        <v>779</v>
      </c>
      <c r="G130" s="566" t="s">
        <v>779</v>
      </c>
      <c r="H130" s="566" t="s">
        <v>773</v>
      </c>
      <c r="I130" s="564">
        <v>46177</v>
      </c>
      <c r="J130" s="564">
        <v>46180</v>
      </c>
      <c r="K130" s="566" t="s">
        <v>763</v>
      </c>
      <c r="L130" s="566"/>
      <c r="M130" s="564"/>
      <c r="N130" s="568" t="s">
        <v>779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317</v>
      </c>
      <c r="C131" s="567" t="s">
        <v>212</v>
      </c>
      <c r="D131" s="566" t="s">
        <v>664</v>
      </c>
      <c r="E131" s="566" t="s">
        <v>779</v>
      </c>
      <c r="F131" s="566" t="s">
        <v>779</v>
      </c>
      <c r="G131" s="566" t="s">
        <v>779</v>
      </c>
      <c r="H131" s="566" t="s">
        <v>773</v>
      </c>
      <c r="I131" s="564">
        <v>46181</v>
      </c>
      <c r="J131" s="564">
        <v>46182</v>
      </c>
      <c r="K131" s="566" t="s">
        <v>763</v>
      </c>
      <c r="L131" s="566"/>
      <c r="M131" s="564"/>
      <c r="N131" s="568" t="s">
        <v>779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454</v>
      </c>
      <c r="C132" s="567" t="s">
        <v>269</v>
      </c>
      <c r="D132" s="566" t="s">
        <v>92</v>
      </c>
      <c r="E132" s="566" t="s">
        <v>779</v>
      </c>
      <c r="F132" s="566" t="s">
        <v>776</v>
      </c>
      <c r="G132" s="566" t="s">
        <v>779</v>
      </c>
      <c r="H132" s="566" t="s">
        <v>773</v>
      </c>
      <c r="I132" s="564">
        <v>46214</v>
      </c>
      <c r="J132" s="564">
        <v>46219</v>
      </c>
      <c r="K132" s="566" t="s">
        <v>763</v>
      </c>
      <c r="L132" s="566" t="s">
        <v>867</v>
      </c>
      <c r="M132" s="564">
        <v>46219</v>
      </c>
      <c r="N132" s="568" t="s">
        <v>779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455</v>
      </c>
      <c r="C133" s="567" t="s">
        <v>292</v>
      </c>
      <c r="D133" s="566" t="s">
        <v>92</v>
      </c>
      <c r="E133" s="566" t="s">
        <v>779</v>
      </c>
      <c r="F133" s="566" t="s">
        <v>776</v>
      </c>
      <c r="G133" s="566" t="s">
        <v>779</v>
      </c>
      <c r="H133" s="566"/>
      <c r="I133" s="564"/>
      <c r="J133" s="564"/>
      <c r="K133" s="566"/>
      <c r="L133" s="566"/>
      <c r="M133" s="564"/>
      <c r="N133" s="568" t="s">
        <v>779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318</v>
      </c>
      <c r="C134" s="567" t="s">
        <v>212</v>
      </c>
      <c r="D134" s="566" t="s">
        <v>542</v>
      </c>
      <c r="E134" s="566" t="s">
        <v>775</v>
      </c>
      <c r="F134" s="566" t="s">
        <v>779</v>
      </c>
      <c r="G134" s="566" t="s">
        <v>779</v>
      </c>
      <c r="H134" s="566" t="s">
        <v>773</v>
      </c>
      <c r="I134" s="564">
        <v>45968</v>
      </c>
      <c r="J134" s="564">
        <v>45986</v>
      </c>
      <c r="K134" s="566" t="s">
        <v>89</v>
      </c>
      <c r="L134" s="566" t="s">
        <v>789</v>
      </c>
      <c r="M134" s="564">
        <v>45992</v>
      </c>
      <c r="N134" s="568" t="s">
        <v>779</v>
      </c>
      <c r="O134" s="566">
        <v>35.088999999999999</v>
      </c>
      <c r="P134" s="566" t="s">
        <v>667</v>
      </c>
      <c r="Q134" s="564">
        <v>46023</v>
      </c>
      <c r="R134" s="563">
        <v>46035</v>
      </c>
      <c r="S134" s="562" t="s">
        <v>693</v>
      </c>
    </row>
    <row r="135" spans="1:19" ht="18" x14ac:dyDescent="0.25">
      <c r="A135" s="566">
        <v>133</v>
      </c>
      <c r="B135" s="566" t="s">
        <v>320</v>
      </c>
      <c r="C135" s="567" t="s">
        <v>212</v>
      </c>
      <c r="D135" s="566" t="s">
        <v>542</v>
      </c>
      <c r="E135" s="566" t="s">
        <v>775</v>
      </c>
      <c r="F135" s="566" t="s">
        <v>779</v>
      </c>
      <c r="G135" s="566" t="s">
        <v>779</v>
      </c>
      <c r="H135" s="566" t="s">
        <v>773</v>
      </c>
      <c r="I135" s="564">
        <v>45979</v>
      </c>
      <c r="J135" s="564">
        <v>45991</v>
      </c>
      <c r="K135" s="566" t="s">
        <v>89</v>
      </c>
      <c r="L135" s="566" t="s">
        <v>789</v>
      </c>
      <c r="M135" s="564">
        <v>46010</v>
      </c>
      <c r="N135" s="568" t="s">
        <v>779</v>
      </c>
      <c r="O135" s="566">
        <v>35.088999999999999</v>
      </c>
      <c r="P135" s="566" t="s">
        <v>667</v>
      </c>
      <c r="Q135" s="564">
        <v>46016</v>
      </c>
      <c r="R135" s="563">
        <v>46030</v>
      </c>
      <c r="S135" s="562" t="s">
        <v>693</v>
      </c>
    </row>
    <row r="136" spans="1:19" ht="18" x14ac:dyDescent="0.25">
      <c r="A136" s="566">
        <v>134</v>
      </c>
      <c r="B136" s="566" t="s">
        <v>321</v>
      </c>
      <c r="C136" s="567" t="s">
        <v>212</v>
      </c>
      <c r="D136" s="566" t="s">
        <v>92</v>
      </c>
      <c r="E136" s="566" t="s">
        <v>775</v>
      </c>
      <c r="F136" s="566" t="s">
        <v>779</v>
      </c>
      <c r="G136" s="566" t="s">
        <v>779</v>
      </c>
      <c r="H136" s="566" t="s">
        <v>773</v>
      </c>
      <c r="I136" s="564">
        <v>45968</v>
      </c>
      <c r="J136" s="564">
        <v>45980</v>
      </c>
      <c r="K136" s="566" t="s">
        <v>89</v>
      </c>
      <c r="L136" s="566" t="s">
        <v>787</v>
      </c>
      <c r="M136" s="564">
        <v>46153</v>
      </c>
      <c r="N136" s="568" t="s">
        <v>779</v>
      </c>
      <c r="O136" s="566">
        <v>35.088999999999999</v>
      </c>
      <c r="P136" s="566" t="s">
        <v>667</v>
      </c>
      <c r="Q136" s="564">
        <v>46013</v>
      </c>
      <c r="R136" s="563">
        <v>46022</v>
      </c>
      <c r="S136" s="562" t="s">
        <v>693</v>
      </c>
    </row>
    <row r="137" spans="1:19" ht="18" x14ac:dyDescent="0.25">
      <c r="A137" s="566">
        <v>135</v>
      </c>
      <c r="B137" s="566" t="s">
        <v>322</v>
      </c>
      <c r="C137" s="567" t="s">
        <v>212</v>
      </c>
      <c r="D137" s="566" t="s">
        <v>542</v>
      </c>
      <c r="E137" s="566" t="s">
        <v>775</v>
      </c>
      <c r="F137" s="566" t="s">
        <v>779</v>
      </c>
      <c r="G137" s="566" t="s">
        <v>779</v>
      </c>
      <c r="H137" s="566" t="s">
        <v>773</v>
      </c>
      <c r="I137" s="564">
        <v>45917</v>
      </c>
      <c r="J137" s="564">
        <v>45961</v>
      </c>
      <c r="K137" s="566" t="s">
        <v>689</v>
      </c>
      <c r="L137" s="566"/>
      <c r="M137" s="564"/>
      <c r="N137" s="568" t="s">
        <v>779</v>
      </c>
      <c r="O137" s="566">
        <v>35.088999999999999</v>
      </c>
      <c r="P137" s="566" t="s">
        <v>667</v>
      </c>
      <c r="Q137" s="564">
        <v>46029</v>
      </c>
      <c r="R137" s="563">
        <v>46038</v>
      </c>
      <c r="S137" s="562" t="s">
        <v>670</v>
      </c>
    </row>
    <row r="138" spans="1:19" ht="18" x14ac:dyDescent="0.25">
      <c r="A138" s="566">
        <v>136</v>
      </c>
      <c r="B138" s="566" t="s">
        <v>323</v>
      </c>
      <c r="C138" s="567" t="s">
        <v>212</v>
      </c>
      <c r="D138" s="566" t="s">
        <v>88</v>
      </c>
      <c r="E138" s="566" t="s">
        <v>775</v>
      </c>
      <c r="F138" s="566" t="s">
        <v>779</v>
      </c>
      <c r="G138" s="566" t="s">
        <v>779</v>
      </c>
      <c r="H138" s="566" t="s">
        <v>773</v>
      </c>
      <c r="I138" s="564">
        <v>46185</v>
      </c>
      <c r="J138" s="564">
        <v>46188</v>
      </c>
      <c r="K138" s="566" t="s">
        <v>763</v>
      </c>
      <c r="L138" s="566"/>
      <c r="M138" s="564"/>
      <c r="N138" s="568" t="s">
        <v>779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324</v>
      </c>
      <c r="C139" s="567" t="s">
        <v>212</v>
      </c>
      <c r="D139" s="566" t="s">
        <v>88</v>
      </c>
      <c r="E139" s="566" t="s">
        <v>775</v>
      </c>
      <c r="F139" s="566" t="s">
        <v>779</v>
      </c>
      <c r="G139" s="566" t="s">
        <v>779</v>
      </c>
      <c r="H139" s="566" t="s">
        <v>773</v>
      </c>
      <c r="I139" s="564">
        <v>45988</v>
      </c>
      <c r="J139" s="564">
        <v>46003</v>
      </c>
      <c r="K139" s="566" t="s">
        <v>89</v>
      </c>
      <c r="L139" s="566" t="s">
        <v>789</v>
      </c>
      <c r="M139" s="564">
        <v>46011</v>
      </c>
      <c r="N139" s="568" t="s">
        <v>779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325</v>
      </c>
      <c r="C140" s="567" t="s">
        <v>212</v>
      </c>
      <c r="D140" s="566" t="s">
        <v>92</v>
      </c>
      <c r="E140" s="566" t="s">
        <v>775</v>
      </c>
      <c r="F140" s="566" t="s">
        <v>779</v>
      </c>
      <c r="G140" s="566" t="s">
        <v>779</v>
      </c>
      <c r="H140" s="566" t="s">
        <v>773</v>
      </c>
      <c r="I140" s="564">
        <v>45963</v>
      </c>
      <c r="J140" s="564">
        <v>45970</v>
      </c>
      <c r="K140" s="566" t="s">
        <v>689</v>
      </c>
      <c r="L140" s="566" t="s">
        <v>787</v>
      </c>
      <c r="M140" s="564">
        <v>46153</v>
      </c>
      <c r="N140" s="568" t="s">
        <v>779</v>
      </c>
      <c r="O140" s="566">
        <v>35.088999999999999</v>
      </c>
      <c r="P140" s="566" t="s">
        <v>667</v>
      </c>
      <c r="Q140" s="564">
        <v>46039</v>
      </c>
      <c r="R140" s="563">
        <v>46043</v>
      </c>
      <c r="S140" s="562" t="s">
        <v>670</v>
      </c>
    </row>
    <row r="141" spans="1:19" ht="18" x14ac:dyDescent="0.25">
      <c r="A141" s="566">
        <v>139</v>
      </c>
      <c r="B141" s="566" t="s">
        <v>326</v>
      </c>
      <c r="C141" s="567" t="s">
        <v>212</v>
      </c>
      <c r="D141" s="566" t="s">
        <v>92</v>
      </c>
      <c r="E141" s="566" t="s">
        <v>775</v>
      </c>
      <c r="F141" s="566" t="s">
        <v>779</v>
      </c>
      <c r="G141" s="566" t="s">
        <v>779</v>
      </c>
      <c r="H141" s="566" t="s">
        <v>773</v>
      </c>
      <c r="I141" s="564">
        <v>45963</v>
      </c>
      <c r="J141" s="564">
        <v>45974</v>
      </c>
      <c r="K141" s="566" t="s">
        <v>89</v>
      </c>
      <c r="L141" s="566" t="s">
        <v>787</v>
      </c>
      <c r="M141" s="564">
        <v>46152</v>
      </c>
      <c r="N141" s="568" t="s">
        <v>779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327</v>
      </c>
      <c r="C142" s="567" t="s">
        <v>212</v>
      </c>
      <c r="D142" s="566" t="s">
        <v>92</v>
      </c>
      <c r="E142" s="566" t="s">
        <v>775</v>
      </c>
      <c r="F142" s="566" t="s">
        <v>779</v>
      </c>
      <c r="G142" s="566" t="s">
        <v>779</v>
      </c>
      <c r="H142" s="566" t="s">
        <v>773</v>
      </c>
      <c r="I142" s="564">
        <v>46055</v>
      </c>
      <c r="J142" s="564">
        <v>46063</v>
      </c>
      <c r="K142" s="566" t="s">
        <v>89</v>
      </c>
      <c r="L142" s="566" t="s">
        <v>787</v>
      </c>
      <c r="M142" s="564">
        <v>46066</v>
      </c>
      <c r="N142" s="568" t="s">
        <v>779</v>
      </c>
      <c r="O142" s="566">
        <v>35.088999999999999</v>
      </c>
      <c r="P142" s="566" t="s">
        <v>667</v>
      </c>
      <c r="Q142" s="564">
        <v>46077</v>
      </c>
      <c r="R142" s="563">
        <v>46081</v>
      </c>
      <c r="S142" s="562" t="s">
        <v>734</v>
      </c>
    </row>
    <row r="143" spans="1:19" ht="18" x14ac:dyDescent="0.25">
      <c r="A143" s="566">
        <v>141</v>
      </c>
      <c r="B143" s="566" t="s">
        <v>328</v>
      </c>
      <c r="C143" s="567" t="s">
        <v>213</v>
      </c>
      <c r="D143" s="566" t="s">
        <v>542</v>
      </c>
      <c r="E143" s="566" t="s">
        <v>775</v>
      </c>
      <c r="F143" s="566" t="s">
        <v>779</v>
      </c>
      <c r="G143" s="566" t="s">
        <v>779</v>
      </c>
      <c r="H143" s="566" t="s">
        <v>773</v>
      </c>
      <c r="I143" s="564">
        <v>45957</v>
      </c>
      <c r="J143" s="564">
        <v>45966</v>
      </c>
      <c r="K143" s="566" t="s">
        <v>689</v>
      </c>
      <c r="L143" s="566"/>
      <c r="M143" s="564"/>
      <c r="N143" s="568" t="s">
        <v>779</v>
      </c>
      <c r="O143" s="566">
        <v>36.771000000000001</v>
      </c>
      <c r="P143" s="566" t="s">
        <v>667</v>
      </c>
      <c r="Q143" s="564">
        <v>46048</v>
      </c>
      <c r="R143" s="563">
        <v>46052</v>
      </c>
      <c r="S143" s="562" t="s">
        <v>670</v>
      </c>
    </row>
    <row r="144" spans="1:19" ht="18" x14ac:dyDescent="0.25">
      <c r="A144" s="566">
        <v>142</v>
      </c>
      <c r="B144" s="566" t="s">
        <v>456</v>
      </c>
      <c r="C144" s="567" t="s">
        <v>214</v>
      </c>
      <c r="D144" s="566" t="s">
        <v>541</v>
      </c>
      <c r="E144" s="566" t="s">
        <v>779</v>
      </c>
      <c r="F144" s="566" t="s">
        <v>776</v>
      </c>
      <c r="G144" s="566" t="s">
        <v>779</v>
      </c>
      <c r="H144" s="566" t="s">
        <v>773</v>
      </c>
      <c r="I144" s="564">
        <v>46225</v>
      </c>
      <c r="J144" s="564">
        <v>46229</v>
      </c>
      <c r="K144" s="566" t="s">
        <v>920</v>
      </c>
      <c r="L144" s="566"/>
      <c r="M144" s="564">
        <v>46231</v>
      </c>
      <c r="N144" s="568" t="s">
        <v>779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329</v>
      </c>
      <c r="C145" s="567" t="s">
        <v>213</v>
      </c>
      <c r="D145" s="566" t="s">
        <v>88</v>
      </c>
      <c r="E145" s="566" t="s">
        <v>779</v>
      </c>
      <c r="F145" s="566" t="s">
        <v>779</v>
      </c>
      <c r="G145" s="566" t="s">
        <v>779</v>
      </c>
      <c r="H145" s="566" t="s">
        <v>773</v>
      </c>
      <c r="I145" s="564">
        <v>46222</v>
      </c>
      <c r="J145" s="564">
        <v>46224</v>
      </c>
      <c r="K145" s="566" t="s">
        <v>920</v>
      </c>
      <c r="L145" s="566"/>
      <c r="M145" s="564"/>
      <c r="N145" s="568" t="s">
        <v>779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330</v>
      </c>
      <c r="C146" s="567" t="s">
        <v>213</v>
      </c>
      <c r="D146" s="566" t="s">
        <v>541</v>
      </c>
      <c r="E146" s="566" t="s">
        <v>775</v>
      </c>
      <c r="F146" s="566" t="s">
        <v>779</v>
      </c>
      <c r="G146" s="566" t="s">
        <v>779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331</v>
      </c>
      <c r="C147" s="567" t="s">
        <v>212</v>
      </c>
      <c r="D147" s="566" t="s">
        <v>542</v>
      </c>
      <c r="E147" s="566" t="s">
        <v>775</v>
      </c>
      <c r="F147" s="566" t="s">
        <v>779</v>
      </c>
      <c r="G147" s="566" t="s">
        <v>779</v>
      </c>
      <c r="H147" s="566" t="s">
        <v>773</v>
      </c>
      <c r="I147" s="564">
        <v>46048</v>
      </c>
      <c r="J147" s="564">
        <v>46059</v>
      </c>
      <c r="K147" s="566" t="s">
        <v>89</v>
      </c>
      <c r="L147" s="566" t="s">
        <v>789</v>
      </c>
      <c r="M147" s="564">
        <v>46067</v>
      </c>
      <c r="N147" s="568" t="s">
        <v>779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458</v>
      </c>
      <c r="C148" s="567" t="s">
        <v>214</v>
      </c>
      <c r="D148" s="566" t="s">
        <v>92</v>
      </c>
      <c r="E148" s="566" t="s">
        <v>775</v>
      </c>
      <c r="F148" s="566" t="s">
        <v>776</v>
      </c>
      <c r="G148" s="566" t="s">
        <v>779</v>
      </c>
      <c r="H148" s="566"/>
      <c r="I148" s="564"/>
      <c r="J148" s="564"/>
      <c r="K148" s="566"/>
      <c r="L148" s="566"/>
      <c r="M148" s="564"/>
      <c r="N148" s="568" t="s">
        <v>779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332</v>
      </c>
      <c r="C149" s="567" t="s">
        <v>213</v>
      </c>
      <c r="D149" s="566" t="s">
        <v>664</v>
      </c>
      <c r="E149" s="566" t="s">
        <v>775</v>
      </c>
      <c r="F149" s="566" t="s">
        <v>779</v>
      </c>
      <c r="G149" s="566" t="s">
        <v>779</v>
      </c>
      <c r="H149" s="566" t="s">
        <v>773</v>
      </c>
      <c r="I149" s="564">
        <v>45997</v>
      </c>
      <c r="J149" s="564">
        <v>46016</v>
      </c>
      <c r="K149" s="566" t="s">
        <v>89</v>
      </c>
      <c r="L149" s="566" t="s">
        <v>789</v>
      </c>
      <c r="M149" s="564">
        <v>46020</v>
      </c>
      <c r="N149" s="568" t="s">
        <v>779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333</v>
      </c>
      <c r="C150" s="567" t="s">
        <v>211</v>
      </c>
      <c r="D150" s="566" t="s">
        <v>92</v>
      </c>
      <c r="E150" s="566" t="s">
        <v>775</v>
      </c>
      <c r="F150" s="566" t="s">
        <v>779</v>
      </c>
      <c r="G150" s="566" t="s">
        <v>779</v>
      </c>
      <c r="H150" s="566" t="s">
        <v>773</v>
      </c>
      <c r="I150" s="564">
        <v>46017</v>
      </c>
      <c r="J150" s="564">
        <v>46027</v>
      </c>
      <c r="K150" s="566" t="s">
        <v>89</v>
      </c>
      <c r="L150" s="566" t="s">
        <v>787</v>
      </c>
      <c r="M150" s="564">
        <v>46129</v>
      </c>
      <c r="N150" s="568" t="s">
        <v>779</v>
      </c>
      <c r="O150" s="566">
        <v>41.88</v>
      </c>
      <c r="P150" s="566" t="s">
        <v>667</v>
      </c>
      <c r="Q150" s="564">
        <v>46049</v>
      </c>
      <c r="R150" s="563">
        <v>46053</v>
      </c>
      <c r="S150" s="562" t="s">
        <v>692</v>
      </c>
    </row>
    <row r="151" spans="1:19" ht="18" x14ac:dyDescent="0.25">
      <c r="A151" s="566">
        <v>149</v>
      </c>
      <c r="B151" s="566" t="s">
        <v>334</v>
      </c>
      <c r="C151" s="567" t="s">
        <v>248</v>
      </c>
      <c r="D151" s="566" t="s">
        <v>92</v>
      </c>
      <c r="E151" s="566" t="s">
        <v>775</v>
      </c>
      <c r="F151" s="566" t="s">
        <v>779</v>
      </c>
      <c r="G151" s="566" t="s">
        <v>779</v>
      </c>
      <c r="H151" s="566" t="s">
        <v>773</v>
      </c>
      <c r="I151" s="564">
        <v>46010</v>
      </c>
      <c r="J151" s="564">
        <v>46021</v>
      </c>
      <c r="K151" s="566" t="s">
        <v>89</v>
      </c>
      <c r="L151" s="566" t="s">
        <v>787</v>
      </c>
      <c r="M151" s="564">
        <v>46129</v>
      </c>
      <c r="N151" s="568" t="s">
        <v>779</v>
      </c>
      <c r="O151" s="566">
        <v>43.575000000000003</v>
      </c>
      <c r="P151" s="566" t="s">
        <v>667</v>
      </c>
      <c r="Q151" s="564">
        <v>46054</v>
      </c>
      <c r="R151" s="563">
        <v>46057</v>
      </c>
      <c r="S151" s="562" t="s">
        <v>692</v>
      </c>
    </row>
    <row r="152" spans="1:19" ht="18" x14ac:dyDescent="0.25">
      <c r="A152" s="566">
        <v>150</v>
      </c>
      <c r="B152" s="566" t="s">
        <v>459</v>
      </c>
      <c r="C152" s="567" t="s">
        <v>311</v>
      </c>
      <c r="D152" s="566" t="s">
        <v>92</v>
      </c>
      <c r="E152" s="566" t="s">
        <v>779</v>
      </c>
      <c r="F152" s="566"/>
      <c r="G152" s="566" t="s">
        <v>779</v>
      </c>
      <c r="H152" s="566"/>
      <c r="I152" s="564"/>
      <c r="J152" s="564"/>
      <c r="K152" s="566"/>
      <c r="L152" s="566"/>
      <c r="M152" s="564"/>
      <c r="N152" s="568" t="s">
        <v>779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211</v>
      </c>
      <c r="D153" s="566" t="s">
        <v>541</v>
      </c>
      <c r="E153" s="566" t="s">
        <v>775</v>
      </c>
      <c r="F153" s="566" t="s">
        <v>779</v>
      </c>
      <c r="G153" s="566" t="s">
        <v>779</v>
      </c>
      <c r="H153" s="566" t="s">
        <v>773</v>
      </c>
      <c r="I153" s="564">
        <v>45898</v>
      </c>
      <c r="J153" s="564">
        <v>45940</v>
      </c>
      <c r="K153" s="566" t="s">
        <v>89</v>
      </c>
      <c r="L153" s="566" t="s">
        <v>787</v>
      </c>
      <c r="M153" s="564">
        <v>46021</v>
      </c>
      <c r="N153" s="568" t="s">
        <v>779</v>
      </c>
      <c r="O153" s="566">
        <v>41.88</v>
      </c>
      <c r="P153" s="566" t="s">
        <v>667</v>
      </c>
      <c r="Q153" s="564">
        <v>46041</v>
      </c>
      <c r="R153" s="563">
        <v>46047</v>
      </c>
      <c r="S153" s="562" t="s">
        <v>692</v>
      </c>
    </row>
    <row r="154" spans="1:19" ht="18" x14ac:dyDescent="0.25">
      <c r="A154" s="566">
        <v>152</v>
      </c>
      <c r="B154" s="566" t="s">
        <v>335</v>
      </c>
      <c r="C154" s="567" t="s">
        <v>248</v>
      </c>
      <c r="D154" s="566" t="s">
        <v>541</v>
      </c>
      <c r="E154" s="566" t="s">
        <v>775</v>
      </c>
      <c r="F154" s="566" t="s">
        <v>779</v>
      </c>
      <c r="G154" s="566" t="s">
        <v>779</v>
      </c>
      <c r="H154" s="566" t="s">
        <v>773</v>
      </c>
      <c r="I154" s="564">
        <v>46230</v>
      </c>
      <c r="J154" s="564">
        <v>46231</v>
      </c>
      <c r="K154" s="566" t="s">
        <v>920</v>
      </c>
      <c r="L154" s="566"/>
      <c r="M154" s="564"/>
      <c r="N154" s="568" t="s">
        <v>779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336</v>
      </c>
      <c r="C155" s="567" t="s">
        <v>564</v>
      </c>
      <c r="D155" s="566" t="s">
        <v>541</v>
      </c>
      <c r="E155" s="566" t="s">
        <v>775</v>
      </c>
      <c r="F155" s="566" t="s">
        <v>779</v>
      </c>
      <c r="G155" s="566" t="s">
        <v>779</v>
      </c>
      <c r="H155" s="566"/>
      <c r="I155" s="564"/>
      <c r="J155" s="564"/>
      <c r="K155" s="566"/>
      <c r="L155" s="566"/>
      <c r="M155" s="564"/>
      <c r="N155" s="568" t="s">
        <v>779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337</v>
      </c>
      <c r="C156" s="567" t="s">
        <v>213</v>
      </c>
      <c r="D156" s="566" t="s">
        <v>541</v>
      </c>
      <c r="E156" s="566" t="s">
        <v>775</v>
      </c>
      <c r="F156" s="566" t="s">
        <v>779</v>
      </c>
      <c r="G156" s="566" t="s">
        <v>779</v>
      </c>
      <c r="H156" s="566" t="s">
        <v>773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779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212</v>
      </c>
      <c r="D157" s="566" t="s">
        <v>542</v>
      </c>
      <c r="E157" s="566" t="s">
        <v>775</v>
      </c>
      <c r="F157" s="566" t="s">
        <v>779</v>
      </c>
      <c r="G157" s="566" t="s">
        <v>779</v>
      </c>
      <c r="H157" s="566" t="s">
        <v>773</v>
      </c>
      <c r="I157" s="564">
        <v>45902</v>
      </c>
      <c r="J157" s="564">
        <v>45918</v>
      </c>
      <c r="K157" s="566" t="s">
        <v>89</v>
      </c>
      <c r="L157" s="566" t="s">
        <v>789</v>
      </c>
      <c r="M157" s="564">
        <v>45924</v>
      </c>
      <c r="N157" s="568" t="s">
        <v>779</v>
      </c>
      <c r="O157" s="566">
        <v>35.088999999999999</v>
      </c>
      <c r="P157" s="566" t="s">
        <v>667</v>
      </c>
      <c r="Q157" s="564">
        <v>46037</v>
      </c>
      <c r="R157" s="563">
        <v>46042</v>
      </c>
      <c r="S157" s="562" t="s">
        <v>692</v>
      </c>
    </row>
    <row r="158" spans="1:19" ht="18" x14ac:dyDescent="0.25">
      <c r="A158" s="566">
        <v>156</v>
      </c>
      <c r="B158" s="566" t="s">
        <v>461</v>
      </c>
      <c r="C158" s="567" t="s">
        <v>292</v>
      </c>
      <c r="D158" s="566" t="s">
        <v>92</v>
      </c>
      <c r="E158" s="566" t="s">
        <v>779</v>
      </c>
      <c r="F158" s="566" t="s">
        <v>776</v>
      </c>
      <c r="G158" s="566" t="s">
        <v>779</v>
      </c>
      <c r="H158" s="566"/>
      <c r="I158" s="564"/>
      <c r="J158" s="564"/>
      <c r="K158" s="566"/>
      <c r="L158" s="566"/>
      <c r="M158" s="564"/>
      <c r="N158" s="568" t="s">
        <v>779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212</v>
      </c>
      <c r="D159" s="566" t="s">
        <v>92</v>
      </c>
      <c r="E159" s="566" t="s">
        <v>775</v>
      </c>
      <c r="F159" s="566" t="s">
        <v>779</v>
      </c>
      <c r="G159" s="566" t="s">
        <v>779</v>
      </c>
      <c r="H159" s="566" t="s">
        <v>773</v>
      </c>
      <c r="I159" s="564">
        <v>45892</v>
      </c>
      <c r="J159" s="564">
        <v>45913</v>
      </c>
      <c r="K159" s="566" t="s">
        <v>89</v>
      </c>
      <c r="L159" s="566" t="s">
        <v>787</v>
      </c>
      <c r="M159" s="564">
        <v>46151</v>
      </c>
      <c r="N159" s="568" t="s">
        <v>779</v>
      </c>
      <c r="O159" s="566">
        <v>35.088999999999999</v>
      </c>
      <c r="P159" s="566" t="s">
        <v>667</v>
      </c>
      <c r="Q159" s="564">
        <v>46063</v>
      </c>
      <c r="R159" s="563">
        <v>46066</v>
      </c>
      <c r="S159" s="562" t="s">
        <v>695</v>
      </c>
    </row>
    <row r="160" spans="1:19" ht="18" x14ac:dyDescent="0.25">
      <c r="A160" s="566">
        <v>158</v>
      </c>
      <c r="B160" s="566" t="s">
        <v>90</v>
      </c>
      <c r="C160" s="567" t="s">
        <v>213</v>
      </c>
      <c r="D160" s="566" t="s">
        <v>92</v>
      </c>
      <c r="E160" s="566" t="s">
        <v>775</v>
      </c>
      <c r="F160" s="566" t="s">
        <v>779</v>
      </c>
      <c r="G160" s="566" t="s">
        <v>779</v>
      </c>
      <c r="H160" s="566" t="s">
        <v>773</v>
      </c>
      <c r="I160" s="564">
        <v>45854</v>
      </c>
      <c r="J160" s="564">
        <v>45876</v>
      </c>
      <c r="K160" s="566" t="s">
        <v>89</v>
      </c>
      <c r="L160" s="566" t="s">
        <v>787</v>
      </c>
      <c r="M160" s="564">
        <v>46151</v>
      </c>
      <c r="N160" s="568" t="s">
        <v>779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338</v>
      </c>
      <c r="C161" s="567" t="s">
        <v>212</v>
      </c>
      <c r="D161" s="566" t="s">
        <v>541</v>
      </c>
      <c r="E161" s="566" t="s">
        <v>775</v>
      </c>
      <c r="F161" s="566" t="s">
        <v>779</v>
      </c>
      <c r="G161" s="566" t="s">
        <v>779</v>
      </c>
      <c r="H161" s="566"/>
      <c r="I161" s="564"/>
      <c r="J161" s="564"/>
      <c r="K161" s="566"/>
      <c r="L161" s="566"/>
      <c r="M161" s="564"/>
      <c r="N161" s="568" t="s">
        <v>779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462</v>
      </c>
      <c r="C162" s="567" t="s">
        <v>269</v>
      </c>
      <c r="D162" s="566" t="s">
        <v>541</v>
      </c>
      <c r="E162" s="566" t="s">
        <v>775</v>
      </c>
      <c r="F162" s="566" t="s">
        <v>776</v>
      </c>
      <c r="G162" s="566" t="s">
        <v>775</v>
      </c>
      <c r="H162" s="566"/>
      <c r="I162" s="564"/>
      <c r="J162" s="564"/>
      <c r="K162" s="566"/>
      <c r="L162" s="566"/>
      <c r="M162" s="564"/>
      <c r="N162" s="568" t="s">
        <v>779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212</v>
      </c>
      <c r="D163" s="566" t="s">
        <v>88</v>
      </c>
      <c r="E163" s="566" t="s">
        <v>775</v>
      </c>
      <c r="F163" s="566" t="s">
        <v>779</v>
      </c>
      <c r="G163" s="566" t="s">
        <v>779</v>
      </c>
      <c r="H163" s="566" t="s">
        <v>773</v>
      </c>
      <c r="I163" s="564">
        <v>45849</v>
      </c>
      <c r="J163" s="564">
        <v>45891</v>
      </c>
      <c r="K163" s="566" t="s">
        <v>89</v>
      </c>
      <c r="L163" s="566" t="s">
        <v>789</v>
      </c>
      <c r="M163" s="564">
        <v>45908</v>
      </c>
      <c r="N163" s="568" t="s">
        <v>779</v>
      </c>
      <c r="O163" s="566">
        <v>35.088999999999999</v>
      </c>
      <c r="P163" s="566" t="s">
        <v>667</v>
      </c>
      <c r="Q163" s="564">
        <v>46033</v>
      </c>
      <c r="R163" s="563">
        <v>46038</v>
      </c>
      <c r="S163" s="562" t="s">
        <v>692</v>
      </c>
    </row>
    <row r="164" spans="1:19" ht="18" x14ac:dyDescent="0.25">
      <c r="A164" s="566">
        <v>162</v>
      </c>
      <c r="B164" s="566" t="s">
        <v>339</v>
      </c>
      <c r="C164" s="567" t="s">
        <v>211</v>
      </c>
      <c r="D164" s="566" t="s">
        <v>92</v>
      </c>
      <c r="E164" s="566" t="s">
        <v>779</v>
      </c>
      <c r="F164" s="566" t="s">
        <v>779</v>
      </c>
      <c r="G164" s="566" t="s">
        <v>779</v>
      </c>
      <c r="H164" s="566" t="s">
        <v>773</v>
      </c>
      <c r="I164" s="564">
        <v>46263</v>
      </c>
      <c r="J164" s="564">
        <v>46237</v>
      </c>
      <c r="K164" s="566" t="s">
        <v>920</v>
      </c>
      <c r="L164" s="566"/>
      <c r="M164" s="564"/>
      <c r="N164" s="568" t="s">
        <v>779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463</v>
      </c>
      <c r="C165" s="567" t="s">
        <v>270</v>
      </c>
      <c r="D165" s="566" t="s">
        <v>92</v>
      </c>
      <c r="E165" s="566" t="s">
        <v>775</v>
      </c>
      <c r="F165" s="566"/>
      <c r="G165" s="566" t="s">
        <v>779</v>
      </c>
      <c r="H165" s="566" t="s">
        <v>773</v>
      </c>
      <c r="I165" s="564">
        <v>46028</v>
      </c>
      <c r="J165" s="564">
        <v>46036</v>
      </c>
      <c r="K165" s="566" t="s">
        <v>89</v>
      </c>
      <c r="L165" s="566" t="s">
        <v>787</v>
      </c>
      <c r="M165" s="564">
        <v>46131</v>
      </c>
      <c r="N165" s="568" t="s">
        <v>779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340</v>
      </c>
      <c r="C166" s="567" t="s">
        <v>212</v>
      </c>
      <c r="D166" s="566" t="s">
        <v>92</v>
      </c>
      <c r="E166" s="566" t="s">
        <v>775</v>
      </c>
      <c r="F166" s="566" t="s">
        <v>779</v>
      </c>
      <c r="G166" s="566" t="s">
        <v>779</v>
      </c>
      <c r="H166" s="566" t="s">
        <v>773</v>
      </c>
      <c r="I166" s="564">
        <v>46061</v>
      </c>
      <c r="J166" s="564">
        <v>46068</v>
      </c>
      <c r="K166" s="566" t="s">
        <v>89</v>
      </c>
      <c r="L166" s="566" t="s">
        <v>787</v>
      </c>
      <c r="M166" s="564">
        <v>46077</v>
      </c>
      <c r="N166" s="568" t="s">
        <v>779</v>
      </c>
      <c r="O166" s="566">
        <v>35.088999999999999</v>
      </c>
      <c r="P166" s="566" t="s">
        <v>667</v>
      </c>
      <c r="Q166" s="564">
        <v>46077</v>
      </c>
      <c r="R166" s="563">
        <v>46090</v>
      </c>
      <c r="S166" s="562" t="s">
        <v>734</v>
      </c>
    </row>
    <row r="167" spans="1:19" ht="18" x14ac:dyDescent="0.25">
      <c r="A167" s="566">
        <v>165</v>
      </c>
      <c r="B167" s="566" t="s">
        <v>108</v>
      </c>
      <c r="C167" s="567" t="s">
        <v>248</v>
      </c>
      <c r="D167" s="566" t="s">
        <v>92</v>
      </c>
      <c r="E167" s="566" t="s">
        <v>779</v>
      </c>
      <c r="F167" s="566" t="s">
        <v>779</v>
      </c>
      <c r="G167" s="566" t="s">
        <v>779</v>
      </c>
      <c r="H167" s="566"/>
      <c r="I167" s="564"/>
      <c r="J167" s="564"/>
      <c r="K167" s="566"/>
      <c r="L167" s="566"/>
      <c r="M167" s="564"/>
      <c r="N167" s="568" t="s">
        <v>779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464</v>
      </c>
      <c r="C168" s="567" t="s">
        <v>210</v>
      </c>
      <c r="D168" s="566" t="s">
        <v>92</v>
      </c>
      <c r="E168" s="566" t="s">
        <v>775</v>
      </c>
      <c r="F168" s="566" t="s">
        <v>779</v>
      </c>
      <c r="G168" s="566" t="s">
        <v>779</v>
      </c>
      <c r="H168" s="566" t="s">
        <v>773</v>
      </c>
      <c r="I168" s="564">
        <v>46044</v>
      </c>
      <c r="J168" s="564">
        <v>46048</v>
      </c>
      <c r="K168" s="566" t="s">
        <v>89</v>
      </c>
      <c r="L168" s="566" t="s">
        <v>787</v>
      </c>
      <c r="M168" s="564">
        <v>46130</v>
      </c>
      <c r="N168" s="568" t="s">
        <v>779</v>
      </c>
      <c r="O168" s="566">
        <v>54.72</v>
      </c>
      <c r="P168" s="566" t="s">
        <v>667</v>
      </c>
      <c r="Q168" s="564">
        <v>46058</v>
      </c>
      <c r="R168" s="563">
        <v>46063</v>
      </c>
      <c r="S168" s="562" t="s">
        <v>695</v>
      </c>
    </row>
    <row r="169" spans="1:19" ht="18" x14ac:dyDescent="0.25">
      <c r="A169" s="566">
        <v>167</v>
      </c>
      <c r="B169" s="566" t="s">
        <v>341</v>
      </c>
      <c r="C169" s="567" t="s">
        <v>211</v>
      </c>
      <c r="D169" s="566" t="s">
        <v>542</v>
      </c>
      <c r="E169" s="566" t="s">
        <v>775</v>
      </c>
      <c r="F169" s="566" t="s">
        <v>779</v>
      </c>
      <c r="G169" s="566" t="s">
        <v>779</v>
      </c>
      <c r="H169" s="566" t="s">
        <v>773</v>
      </c>
      <c r="I169" s="564">
        <v>46026</v>
      </c>
      <c r="J169" s="564">
        <v>46034</v>
      </c>
      <c r="K169" s="566" t="s">
        <v>688</v>
      </c>
      <c r="L169" s="566" t="s">
        <v>789</v>
      </c>
      <c r="M169" s="564">
        <v>46131</v>
      </c>
      <c r="N169" s="568" t="s">
        <v>779</v>
      </c>
      <c r="O169" s="566">
        <v>41.88</v>
      </c>
      <c r="P169" s="566" t="s">
        <v>667</v>
      </c>
      <c r="Q169" s="564">
        <v>46047</v>
      </c>
      <c r="R169" s="563">
        <v>46050</v>
      </c>
      <c r="S169" s="562" t="s">
        <v>695</v>
      </c>
    </row>
    <row r="170" spans="1:19" ht="18" x14ac:dyDescent="0.25">
      <c r="A170" s="566">
        <v>168</v>
      </c>
      <c r="B170" s="566" t="s">
        <v>110</v>
      </c>
      <c r="C170" s="567" t="s">
        <v>212</v>
      </c>
      <c r="D170" s="566" t="s">
        <v>92</v>
      </c>
      <c r="E170" s="566" t="s">
        <v>775</v>
      </c>
      <c r="F170" s="566" t="s">
        <v>779</v>
      </c>
      <c r="G170" s="566" t="s">
        <v>779</v>
      </c>
      <c r="H170" s="566"/>
      <c r="I170" s="564"/>
      <c r="J170" s="564"/>
      <c r="K170" s="566"/>
      <c r="L170" s="566"/>
      <c r="M170" s="564"/>
      <c r="N170" s="568" t="s">
        <v>779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342</v>
      </c>
      <c r="C171" s="567" t="s">
        <v>212</v>
      </c>
      <c r="D171" s="566" t="s">
        <v>542</v>
      </c>
      <c r="E171" s="566" t="s">
        <v>775</v>
      </c>
      <c r="F171" s="566" t="s">
        <v>779</v>
      </c>
      <c r="G171" s="566" t="s">
        <v>779</v>
      </c>
      <c r="H171" s="566" t="s">
        <v>773</v>
      </c>
      <c r="I171" s="564">
        <v>45940</v>
      </c>
      <c r="J171" s="564">
        <v>45949</v>
      </c>
      <c r="K171" s="566" t="s">
        <v>689</v>
      </c>
      <c r="L171" s="566"/>
      <c r="M171" s="564"/>
      <c r="N171" s="568" t="s">
        <v>779</v>
      </c>
      <c r="O171" s="566">
        <v>35.088999999999999</v>
      </c>
      <c r="P171" s="566" t="s">
        <v>667</v>
      </c>
      <c r="Q171" s="564">
        <v>46038</v>
      </c>
      <c r="R171" s="563">
        <v>46043</v>
      </c>
      <c r="S171" s="562" t="s">
        <v>695</v>
      </c>
    </row>
    <row r="172" spans="1:19" ht="18" x14ac:dyDescent="0.25">
      <c r="A172" s="566">
        <v>170</v>
      </c>
      <c r="B172" s="566" t="s">
        <v>343</v>
      </c>
      <c r="C172" s="567" t="s">
        <v>212</v>
      </c>
      <c r="D172" s="566" t="s">
        <v>542</v>
      </c>
      <c r="E172" s="566" t="s">
        <v>775</v>
      </c>
      <c r="F172" s="566" t="s">
        <v>779</v>
      </c>
      <c r="G172" s="566" t="s">
        <v>779</v>
      </c>
      <c r="H172" s="566" t="s">
        <v>773</v>
      </c>
      <c r="I172" s="564">
        <v>45941</v>
      </c>
      <c r="J172" s="564">
        <v>45954</v>
      </c>
      <c r="K172" s="566" t="s">
        <v>689</v>
      </c>
      <c r="L172" s="566" t="s">
        <v>789</v>
      </c>
      <c r="M172" s="564">
        <v>46134</v>
      </c>
      <c r="N172" s="568" t="s">
        <v>779</v>
      </c>
      <c r="O172" s="566">
        <v>35.088999999999999</v>
      </c>
      <c r="P172" s="566" t="s">
        <v>667</v>
      </c>
      <c r="Q172" s="564">
        <v>46041</v>
      </c>
      <c r="R172" s="563">
        <v>46046</v>
      </c>
      <c r="S172" s="562" t="s">
        <v>695</v>
      </c>
    </row>
    <row r="173" spans="1:19" ht="18" x14ac:dyDescent="0.25">
      <c r="A173" s="566">
        <v>171</v>
      </c>
      <c r="B173" s="566" t="s">
        <v>344</v>
      </c>
      <c r="C173" s="567" t="s">
        <v>248</v>
      </c>
      <c r="D173" s="566" t="s">
        <v>542</v>
      </c>
      <c r="E173" s="566" t="s">
        <v>775</v>
      </c>
      <c r="F173" s="566" t="s">
        <v>779</v>
      </c>
      <c r="G173" s="566" t="s">
        <v>779</v>
      </c>
      <c r="H173" s="566" t="s">
        <v>773</v>
      </c>
      <c r="I173" s="564">
        <v>46024</v>
      </c>
      <c r="J173" s="564">
        <v>46030</v>
      </c>
      <c r="K173" s="566" t="s">
        <v>688</v>
      </c>
      <c r="L173" s="566"/>
      <c r="M173" s="564"/>
      <c r="N173" s="568" t="s">
        <v>779</v>
      </c>
      <c r="O173" s="566">
        <v>43.575000000000003</v>
      </c>
      <c r="P173" s="566" t="s">
        <v>667</v>
      </c>
      <c r="Q173" s="564">
        <v>46050</v>
      </c>
      <c r="R173" s="563">
        <v>46058</v>
      </c>
      <c r="S173" s="562" t="s">
        <v>695</v>
      </c>
    </row>
    <row r="174" spans="1:19" ht="18" x14ac:dyDescent="0.25">
      <c r="A174" s="566">
        <v>172</v>
      </c>
      <c r="B174" s="566" t="s">
        <v>345</v>
      </c>
      <c r="C174" s="567" t="s">
        <v>212</v>
      </c>
      <c r="D174" s="566" t="s">
        <v>88</v>
      </c>
      <c r="E174" s="566" t="s">
        <v>775</v>
      </c>
      <c r="F174" s="566" t="s">
        <v>779</v>
      </c>
      <c r="G174" s="566" t="s">
        <v>779</v>
      </c>
      <c r="H174" s="566" t="s">
        <v>773</v>
      </c>
      <c r="I174" s="564">
        <v>46377</v>
      </c>
      <c r="J174" s="564">
        <v>46022</v>
      </c>
      <c r="K174" s="566" t="s">
        <v>688</v>
      </c>
      <c r="L174" s="566"/>
      <c r="M174" s="564"/>
      <c r="N174" s="568" t="s">
        <v>779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466</v>
      </c>
      <c r="C175" s="567" t="s">
        <v>210</v>
      </c>
      <c r="D175" s="566" t="s">
        <v>541</v>
      </c>
      <c r="E175" s="566" t="s">
        <v>775</v>
      </c>
      <c r="F175" s="566" t="s">
        <v>779</v>
      </c>
      <c r="G175" s="566" t="s">
        <v>779</v>
      </c>
      <c r="H175" s="566" t="s">
        <v>788</v>
      </c>
      <c r="I175" s="564"/>
      <c r="J175" s="564"/>
      <c r="K175" s="566"/>
      <c r="L175" s="566"/>
      <c r="M175" s="564"/>
      <c r="N175" s="568" t="s">
        <v>779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346</v>
      </c>
      <c r="C176" s="567" t="s">
        <v>248</v>
      </c>
      <c r="D176" s="566" t="s">
        <v>664</v>
      </c>
      <c r="E176" s="566" t="s">
        <v>775</v>
      </c>
      <c r="F176" s="566" t="s">
        <v>779</v>
      </c>
      <c r="G176" s="566" t="s">
        <v>779</v>
      </c>
      <c r="H176" s="566" t="s">
        <v>773</v>
      </c>
      <c r="I176" s="564">
        <v>46049</v>
      </c>
      <c r="J176" s="564">
        <v>46078</v>
      </c>
      <c r="K176" s="566" t="s">
        <v>89</v>
      </c>
      <c r="L176" s="566" t="s">
        <v>789</v>
      </c>
      <c r="M176" s="564">
        <v>46089</v>
      </c>
      <c r="N176" s="568" t="s">
        <v>779</v>
      </c>
      <c r="O176" s="566">
        <v>43.575000000000003</v>
      </c>
      <c r="P176" s="566" t="s">
        <v>667</v>
      </c>
      <c r="Q176" s="564">
        <v>46089</v>
      </c>
      <c r="R176" s="563">
        <v>46092</v>
      </c>
      <c r="S176" s="562" t="s">
        <v>692</v>
      </c>
    </row>
    <row r="177" spans="1:19" ht="18" x14ac:dyDescent="0.25">
      <c r="A177" s="566">
        <v>175</v>
      </c>
      <c r="B177" s="566" t="s">
        <v>347</v>
      </c>
      <c r="C177" s="567" t="s">
        <v>212</v>
      </c>
      <c r="D177" s="566" t="s">
        <v>685</v>
      </c>
      <c r="E177" s="566" t="s">
        <v>775</v>
      </c>
      <c r="F177" s="566" t="s">
        <v>779</v>
      </c>
      <c r="G177" s="566" t="s">
        <v>779</v>
      </c>
      <c r="H177" s="566" t="s">
        <v>773</v>
      </c>
      <c r="I177" s="564">
        <v>46028</v>
      </c>
      <c r="J177" s="564">
        <v>46044</v>
      </c>
      <c r="K177" s="566" t="s">
        <v>688</v>
      </c>
      <c r="L177" s="566"/>
      <c r="M177" s="564"/>
      <c r="N177" s="568" t="s">
        <v>779</v>
      </c>
      <c r="O177" s="566">
        <v>35.088999999999999</v>
      </c>
      <c r="P177" s="566" t="s">
        <v>667</v>
      </c>
      <c r="Q177" s="564">
        <v>46053</v>
      </c>
      <c r="R177" s="563">
        <v>46056</v>
      </c>
      <c r="S177" s="562" t="s">
        <v>695</v>
      </c>
    </row>
    <row r="178" spans="1:19" ht="18" x14ac:dyDescent="0.25">
      <c r="A178" s="566">
        <v>176</v>
      </c>
      <c r="B178" s="566" t="s">
        <v>348</v>
      </c>
      <c r="C178" s="567" t="s">
        <v>212</v>
      </c>
      <c r="D178" s="566" t="s">
        <v>541</v>
      </c>
      <c r="E178" s="566" t="s">
        <v>775</v>
      </c>
      <c r="F178" s="566" t="s">
        <v>779</v>
      </c>
      <c r="G178" s="566" t="s">
        <v>779</v>
      </c>
      <c r="H178" s="566"/>
      <c r="I178" s="564"/>
      <c r="J178" s="564"/>
      <c r="K178" s="566"/>
      <c r="L178" s="566"/>
      <c r="M178" s="564"/>
      <c r="N178" s="568" t="s">
        <v>779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349</v>
      </c>
      <c r="C179" s="567" t="s">
        <v>212</v>
      </c>
      <c r="D179" s="566" t="s">
        <v>664</v>
      </c>
      <c r="E179" s="566" t="s">
        <v>775</v>
      </c>
      <c r="F179" s="566" t="s">
        <v>779</v>
      </c>
      <c r="G179" s="566" t="s">
        <v>779</v>
      </c>
      <c r="H179" s="566"/>
      <c r="I179" s="564"/>
      <c r="J179" s="564"/>
      <c r="K179" s="566"/>
      <c r="L179" s="566"/>
      <c r="M179" s="564"/>
      <c r="N179" s="568" t="s">
        <v>779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467</v>
      </c>
      <c r="C180" s="567" t="s">
        <v>351</v>
      </c>
      <c r="D180" s="566" t="s">
        <v>92</v>
      </c>
      <c r="E180" s="566" t="s">
        <v>779</v>
      </c>
      <c r="F180" s="566" t="s">
        <v>776</v>
      </c>
      <c r="G180" s="566" t="s">
        <v>779</v>
      </c>
      <c r="H180" s="566"/>
      <c r="I180" s="564"/>
      <c r="J180" s="564"/>
      <c r="K180" s="566"/>
      <c r="L180" s="566"/>
      <c r="M180" s="564"/>
      <c r="N180" s="568" t="s">
        <v>779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350</v>
      </c>
      <c r="C181" s="567" t="s">
        <v>213</v>
      </c>
      <c r="D181" s="566" t="s">
        <v>88</v>
      </c>
      <c r="E181" s="566" t="s">
        <v>775</v>
      </c>
      <c r="F181" s="566" t="s">
        <v>779</v>
      </c>
      <c r="G181" s="566" t="s">
        <v>779</v>
      </c>
      <c r="H181" s="566"/>
      <c r="I181" s="564"/>
      <c r="J181" s="564"/>
      <c r="K181" s="566"/>
      <c r="L181" s="566"/>
      <c r="M181" s="564"/>
      <c r="N181" s="568" t="s">
        <v>779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468</v>
      </c>
      <c r="C182" s="567" t="s">
        <v>352</v>
      </c>
      <c r="D182" s="566" t="s">
        <v>92</v>
      </c>
      <c r="E182" s="566" t="s">
        <v>779</v>
      </c>
      <c r="F182" s="566" t="s">
        <v>776</v>
      </c>
      <c r="G182" s="566" t="s">
        <v>779</v>
      </c>
      <c r="H182" s="566"/>
      <c r="I182" s="564"/>
      <c r="J182" s="564"/>
      <c r="K182" s="566"/>
      <c r="L182" s="566"/>
      <c r="M182" s="564"/>
      <c r="N182" s="568" t="s">
        <v>779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469</v>
      </c>
      <c r="C183" s="567" t="s">
        <v>283</v>
      </c>
      <c r="D183" s="566" t="s">
        <v>88</v>
      </c>
      <c r="E183" s="566" t="s">
        <v>775</v>
      </c>
      <c r="F183" s="566" t="s">
        <v>779</v>
      </c>
      <c r="G183" s="566" t="s">
        <v>779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470</v>
      </c>
      <c r="C184" s="567" t="s">
        <v>269</v>
      </c>
      <c r="D184" s="566" t="s">
        <v>92</v>
      </c>
      <c r="E184" s="566" t="s">
        <v>775</v>
      </c>
      <c r="F184" s="566" t="s">
        <v>776</v>
      </c>
      <c r="G184" s="566" t="s">
        <v>775</v>
      </c>
      <c r="H184" s="566"/>
      <c r="I184" s="564"/>
      <c r="J184" s="564"/>
      <c r="K184" s="566"/>
      <c r="L184" s="566"/>
      <c r="M184" s="564"/>
      <c r="N184" s="568" t="s">
        <v>779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353</v>
      </c>
      <c r="C185" s="567" t="s">
        <v>212</v>
      </c>
      <c r="D185" s="566" t="s">
        <v>92</v>
      </c>
      <c r="E185" s="566" t="s">
        <v>775</v>
      </c>
      <c r="F185" s="566" t="s">
        <v>779</v>
      </c>
      <c r="G185" s="566" t="s">
        <v>779</v>
      </c>
      <c r="H185" s="566" t="s">
        <v>773</v>
      </c>
      <c r="I185" s="564">
        <v>46076</v>
      </c>
      <c r="J185" s="564">
        <v>46084</v>
      </c>
      <c r="K185" s="566" t="s">
        <v>89</v>
      </c>
      <c r="L185" s="566" t="s">
        <v>787</v>
      </c>
      <c r="M185" s="564">
        <v>46094</v>
      </c>
      <c r="N185" s="568" t="s">
        <v>779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471</v>
      </c>
      <c r="C186" s="567" t="s">
        <v>237</v>
      </c>
      <c r="D186" s="566" t="s">
        <v>92</v>
      </c>
      <c r="E186" s="566" t="s">
        <v>775</v>
      </c>
      <c r="F186" s="566"/>
      <c r="G186" s="566" t="s">
        <v>779</v>
      </c>
      <c r="H186" s="566" t="s">
        <v>773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779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354</v>
      </c>
      <c r="C187" s="567" t="s">
        <v>213</v>
      </c>
      <c r="D187" s="566" t="s">
        <v>92</v>
      </c>
      <c r="E187" s="566" t="s">
        <v>775</v>
      </c>
      <c r="F187" s="566" t="s">
        <v>779</v>
      </c>
      <c r="G187" s="566" t="s">
        <v>779</v>
      </c>
      <c r="H187" s="566"/>
      <c r="I187" s="564"/>
      <c r="J187" s="564"/>
      <c r="K187" s="566"/>
      <c r="L187" s="566"/>
      <c r="M187" s="564"/>
      <c r="N187" s="568" t="s">
        <v>779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355</v>
      </c>
      <c r="C188" s="567" t="s">
        <v>213</v>
      </c>
      <c r="D188" s="566" t="s">
        <v>92</v>
      </c>
      <c r="E188" s="566" t="s">
        <v>775</v>
      </c>
      <c r="F188" s="566" t="s">
        <v>779</v>
      </c>
      <c r="G188" s="566" t="s">
        <v>779</v>
      </c>
      <c r="H188" s="566"/>
      <c r="I188" s="564"/>
      <c r="J188" s="564"/>
      <c r="K188" s="566"/>
      <c r="L188" s="566"/>
      <c r="M188" s="564"/>
      <c r="N188" s="568" t="s">
        <v>779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356</v>
      </c>
      <c r="C189" s="567" t="s">
        <v>213</v>
      </c>
      <c r="D189" s="566" t="s">
        <v>92</v>
      </c>
      <c r="E189" s="566" t="s">
        <v>775</v>
      </c>
      <c r="F189" s="566" t="s">
        <v>779</v>
      </c>
      <c r="G189" s="566" t="s">
        <v>779</v>
      </c>
      <c r="H189" s="566"/>
      <c r="I189" s="564"/>
      <c r="J189" s="564"/>
      <c r="K189" s="566"/>
      <c r="L189" s="566"/>
      <c r="M189" s="564"/>
      <c r="N189" s="568" t="s">
        <v>779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357</v>
      </c>
      <c r="C190" s="567" t="s">
        <v>212</v>
      </c>
      <c r="D190" s="566" t="s">
        <v>541</v>
      </c>
      <c r="E190" s="566" t="s">
        <v>779</v>
      </c>
      <c r="F190" s="566" t="s">
        <v>779</v>
      </c>
      <c r="G190" s="566" t="s">
        <v>779</v>
      </c>
      <c r="H190" s="566"/>
      <c r="I190" s="564"/>
      <c r="J190" s="564"/>
      <c r="K190" s="566"/>
      <c r="L190" s="566"/>
      <c r="M190" s="564"/>
      <c r="N190" s="568" t="s">
        <v>779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358</v>
      </c>
      <c r="C191" s="567" t="s">
        <v>283</v>
      </c>
      <c r="D191" s="566" t="s">
        <v>92</v>
      </c>
      <c r="E191" s="566" t="s">
        <v>775</v>
      </c>
      <c r="F191" s="566" t="s">
        <v>779</v>
      </c>
      <c r="G191" s="566" t="s">
        <v>779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472</v>
      </c>
      <c r="C192" s="567" t="s">
        <v>301</v>
      </c>
      <c r="D192" s="566" t="s">
        <v>92</v>
      </c>
      <c r="E192" s="566" t="s">
        <v>775</v>
      </c>
      <c r="F192" s="566" t="s">
        <v>776</v>
      </c>
      <c r="G192" s="566" t="s">
        <v>775</v>
      </c>
      <c r="H192" s="566"/>
      <c r="I192" s="564"/>
      <c r="J192" s="564"/>
      <c r="K192" s="566"/>
      <c r="L192" s="566"/>
      <c r="M192" s="564"/>
      <c r="N192" s="568" t="s">
        <v>779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359</v>
      </c>
      <c r="C193" s="567" t="s">
        <v>213</v>
      </c>
      <c r="D193" s="566" t="s">
        <v>92</v>
      </c>
      <c r="E193" s="566" t="s">
        <v>775</v>
      </c>
      <c r="F193" s="566" t="s">
        <v>779</v>
      </c>
      <c r="G193" s="566" t="s">
        <v>779</v>
      </c>
      <c r="H193" s="566"/>
      <c r="I193" s="564"/>
      <c r="J193" s="564"/>
      <c r="K193" s="566"/>
      <c r="L193" s="566"/>
      <c r="M193" s="564"/>
      <c r="N193" s="568" t="s">
        <v>779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360</v>
      </c>
      <c r="C194" s="567" t="s">
        <v>211</v>
      </c>
      <c r="D194" s="566" t="s">
        <v>92</v>
      </c>
      <c r="E194" s="566" t="s">
        <v>775</v>
      </c>
      <c r="F194" s="566" t="s">
        <v>779</v>
      </c>
      <c r="G194" s="566" t="s">
        <v>779</v>
      </c>
      <c r="H194" s="566"/>
      <c r="I194" s="564"/>
      <c r="J194" s="564"/>
      <c r="K194" s="566"/>
      <c r="L194" s="566"/>
      <c r="M194" s="564"/>
      <c r="N194" s="568" t="s">
        <v>779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473</v>
      </c>
      <c r="C195" s="567" t="s">
        <v>369</v>
      </c>
      <c r="D195" s="566" t="s">
        <v>541</v>
      </c>
      <c r="E195" s="566" t="s">
        <v>775</v>
      </c>
      <c r="F195" s="566" t="s">
        <v>776</v>
      </c>
      <c r="G195" s="566" t="s">
        <v>779</v>
      </c>
      <c r="H195" s="566"/>
      <c r="I195" s="564"/>
      <c r="J195" s="564"/>
      <c r="K195" s="566"/>
      <c r="L195" s="566"/>
      <c r="M195" s="564"/>
      <c r="N195" s="568" t="s">
        <v>779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361</v>
      </c>
      <c r="C196" s="567" t="s">
        <v>283</v>
      </c>
      <c r="D196" s="566" t="s">
        <v>92</v>
      </c>
      <c r="E196" s="566" t="s">
        <v>775</v>
      </c>
      <c r="F196" s="566" t="s">
        <v>779</v>
      </c>
      <c r="G196" s="566" t="s">
        <v>779</v>
      </c>
      <c r="H196" s="566"/>
      <c r="I196" s="564"/>
      <c r="J196" s="564"/>
      <c r="K196" s="566"/>
      <c r="L196" s="566"/>
      <c r="M196" s="564"/>
      <c r="N196" s="568" t="s">
        <v>779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362</v>
      </c>
      <c r="C197" s="567" t="s">
        <v>212</v>
      </c>
      <c r="D197" s="566" t="s">
        <v>92</v>
      </c>
      <c r="E197" s="566" t="s">
        <v>775</v>
      </c>
      <c r="F197" s="566" t="s">
        <v>779</v>
      </c>
      <c r="G197" s="566" t="s">
        <v>779</v>
      </c>
      <c r="H197" s="566"/>
      <c r="I197" s="564"/>
      <c r="J197" s="564"/>
      <c r="K197" s="566"/>
      <c r="L197" s="566"/>
      <c r="M197" s="564"/>
      <c r="N197" s="568" t="s">
        <v>779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474</v>
      </c>
      <c r="C198" s="567" t="s">
        <v>370</v>
      </c>
      <c r="D198" s="566" t="s">
        <v>541</v>
      </c>
      <c r="E198" s="566" t="s">
        <v>775</v>
      </c>
      <c r="F198" s="566"/>
      <c r="G198" s="566" t="s">
        <v>775</v>
      </c>
      <c r="H198" s="566"/>
      <c r="I198" s="564"/>
      <c r="J198" s="564"/>
      <c r="K198" s="566"/>
      <c r="L198" s="566"/>
      <c r="M198" s="564"/>
      <c r="N198" s="568" t="s">
        <v>779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363</v>
      </c>
      <c r="C199" s="567" t="s">
        <v>213</v>
      </c>
      <c r="D199" s="566" t="s">
        <v>92</v>
      </c>
      <c r="E199" s="566" t="s">
        <v>779</v>
      </c>
      <c r="F199" s="566" t="s">
        <v>779</v>
      </c>
      <c r="G199" s="566" t="s">
        <v>779</v>
      </c>
      <c r="H199" s="566"/>
      <c r="I199" s="564"/>
      <c r="J199" s="564"/>
      <c r="K199" s="566"/>
      <c r="L199" s="566"/>
      <c r="M199" s="564"/>
      <c r="N199" s="568" t="s">
        <v>779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364</v>
      </c>
      <c r="C200" s="567" t="s">
        <v>248</v>
      </c>
      <c r="D200" s="566" t="s">
        <v>92</v>
      </c>
      <c r="E200" s="566" t="s">
        <v>775</v>
      </c>
      <c r="F200" s="566" t="s">
        <v>779</v>
      </c>
      <c r="G200" s="566" t="s">
        <v>779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365</v>
      </c>
      <c r="C201" s="567" t="s">
        <v>283</v>
      </c>
      <c r="D201" s="566" t="s">
        <v>541</v>
      </c>
      <c r="E201" s="566" t="s">
        <v>775</v>
      </c>
      <c r="F201" s="566" t="s">
        <v>779</v>
      </c>
      <c r="G201" s="566" t="s">
        <v>775</v>
      </c>
      <c r="H201" s="566"/>
      <c r="I201" s="564"/>
      <c r="J201" s="564"/>
      <c r="K201" s="566"/>
      <c r="L201" s="566"/>
      <c r="M201" s="564"/>
      <c r="N201" s="568" t="s">
        <v>779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475</v>
      </c>
      <c r="C202" s="567" t="s">
        <v>352</v>
      </c>
      <c r="D202" s="566" t="s">
        <v>92</v>
      </c>
      <c r="E202" s="566" t="s">
        <v>775</v>
      </c>
      <c r="F202" s="566" t="s">
        <v>776</v>
      </c>
      <c r="G202" s="566" t="s">
        <v>775</v>
      </c>
      <c r="H202" s="566"/>
      <c r="I202" s="564"/>
      <c r="J202" s="564"/>
      <c r="K202" s="566"/>
      <c r="L202" s="566"/>
      <c r="M202" s="564"/>
      <c r="N202" s="568" t="s">
        <v>779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366</v>
      </c>
      <c r="C203" s="567" t="s">
        <v>212</v>
      </c>
      <c r="D203" s="566" t="s">
        <v>542</v>
      </c>
      <c r="E203" s="566" t="s">
        <v>775</v>
      </c>
      <c r="F203" s="566" t="s">
        <v>779</v>
      </c>
      <c r="G203" s="566" t="s">
        <v>779</v>
      </c>
      <c r="H203" s="566" t="s">
        <v>773</v>
      </c>
      <c r="I203" s="564">
        <v>46001</v>
      </c>
      <c r="J203" s="564">
        <v>46022</v>
      </c>
      <c r="K203" s="566" t="s">
        <v>661</v>
      </c>
      <c r="L203" s="566"/>
      <c r="M203" s="564"/>
      <c r="N203" s="568" t="s">
        <v>779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367</v>
      </c>
      <c r="C204" s="567" t="s">
        <v>213</v>
      </c>
      <c r="D204" s="566" t="s">
        <v>92</v>
      </c>
      <c r="E204" s="566" t="s">
        <v>775</v>
      </c>
      <c r="F204" s="566" t="s">
        <v>779</v>
      </c>
      <c r="G204" s="566" t="s">
        <v>775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368</v>
      </c>
      <c r="C205" s="567" t="s">
        <v>283</v>
      </c>
      <c r="D205" s="566" t="s">
        <v>92</v>
      </c>
      <c r="E205" s="566" t="s">
        <v>775</v>
      </c>
      <c r="F205" s="566" t="s">
        <v>779</v>
      </c>
      <c r="G205" s="566" t="s">
        <v>775</v>
      </c>
      <c r="H205" s="566"/>
      <c r="I205" s="564"/>
      <c r="J205" s="564"/>
      <c r="K205" s="566"/>
      <c r="L205" s="566"/>
      <c r="M205" s="564"/>
      <c r="N205" s="568" t="s">
        <v>779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476</v>
      </c>
      <c r="C206" s="567" t="s">
        <v>292</v>
      </c>
      <c r="D206" s="566" t="s">
        <v>92</v>
      </c>
      <c r="E206" s="566" t="s">
        <v>779</v>
      </c>
      <c r="F206" s="566" t="s">
        <v>776</v>
      </c>
      <c r="G206" s="566" t="s">
        <v>779</v>
      </c>
      <c r="H206" s="566"/>
      <c r="I206" s="564"/>
      <c r="J206" s="564"/>
      <c r="K206" s="566"/>
      <c r="L206" s="566"/>
      <c r="M206" s="564"/>
      <c r="N206" s="568" t="s">
        <v>779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477</v>
      </c>
      <c r="C207" s="567" t="s">
        <v>319</v>
      </c>
      <c r="D207" s="566" t="s">
        <v>92</v>
      </c>
      <c r="E207" s="566" t="s">
        <v>775</v>
      </c>
      <c r="F207" s="566" t="s">
        <v>776</v>
      </c>
      <c r="G207" s="566" t="s">
        <v>775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371</v>
      </c>
      <c r="C208" s="567" t="s">
        <v>237</v>
      </c>
      <c r="D208" s="566" t="s">
        <v>92</v>
      </c>
      <c r="E208" s="566" t="s">
        <v>779</v>
      </c>
      <c r="F208" s="566"/>
      <c r="G208" s="566" t="s">
        <v>775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372</v>
      </c>
      <c r="C209" s="567" t="s">
        <v>237</v>
      </c>
      <c r="D209" s="566" t="s">
        <v>92</v>
      </c>
      <c r="E209" s="566" t="s">
        <v>775</v>
      </c>
      <c r="F209" s="566"/>
      <c r="G209" s="566" t="s">
        <v>775</v>
      </c>
      <c r="H209" s="566"/>
      <c r="I209" s="564"/>
      <c r="J209" s="564"/>
      <c r="K209" s="566"/>
      <c r="L209" s="566"/>
      <c r="M209" s="564"/>
      <c r="N209" s="568" t="s">
        <v>779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373</v>
      </c>
      <c r="C210" s="567" t="s">
        <v>211</v>
      </c>
      <c r="D210" s="566" t="s">
        <v>92</v>
      </c>
      <c r="E210" s="566" t="s">
        <v>779</v>
      </c>
      <c r="F210" s="566" t="s">
        <v>779</v>
      </c>
      <c r="G210" s="566" t="s">
        <v>779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374</v>
      </c>
      <c r="C211" s="567" t="s">
        <v>213</v>
      </c>
      <c r="D211" s="566" t="s">
        <v>92</v>
      </c>
      <c r="E211" s="566" t="s">
        <v>775</v>
      </c>
      <c r="F211" s="566" t="s">
        <v>779</v>
      </c>
      <c r="G211" s="566" t="s">
        <v>775</v>
      </c>
      <c r="H211" s="566" t="s">
        <v>773</v>
      </c>
      <c r="I211" s="564">
        <v>46238</v>
      </c>
      <c r="J211" s="564">
        <v>46240</v>
      </c>
      <c r="K211" s="566" t="s">
        <v>763</v>
      </c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375</v>
      </c>
      <c r="C212" s="567" t="s">
        <v>212</v>
      </c>
      <c r="D212" s="566" t="s">
        <v>92</v>
      </c>
      <c r="E212" s="566" t="s">
        <v>775</v>
      </c>
      <c r="F212" s="566" t="s">
        <v>779</v>
      </c>
      <c r="G212" s="566" t="s">
        <v>775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376</v>
      </c>
      <c r="C213" s="567" t="s">
        <v>212</v>
      </c>
      <c r="D213" s="566" t="s">
        <v>92</v>
      </c>
      <c r="E213" s="566" t="s">
        <v>775</v>
      </c>
      <c r="F213" s="566" t="s">
        <v>779</v>
      </c>
      <c r="G213" s="566" t="s">
        <v>775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377</v>
      </c>
      <c r="C214" s="567" t="s">
        <v>212</v>
      </c>
      <c r="D214" s="566" t="s">
        <v>664</v>
      </c>
      <c r="E214" s="566" t="s">
        <v>775</v>
      </c>
      <c r="F214" s="566" t="s">
        <v>779</v>
      </c>
      <c r="G214" s="566" t="s">
        <v>775</v>
      </c>
      <c r="H214" s="566" t="s">
        <v>773</v>
      </c>
      <c r="I214" s="564">
        <v>46231</v>
      </c>
      <c r="J214" s="564">
        <v>46233</v>
      </c>
      <c r="K214" s="566" t="s">
        <v>763</v>
      </c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378</v>
      </c>
      <c r="C215" s="567" t="s">
        <v>212</v>
      </c>
      <c r="D215" s="566" t="s">
        <v>92</v>
      </c>
      <c r="E215" s="566" t="s">
        <v>775</v>
      </c>
      <c r="F215" s="566" t="s">
        <v>779</v>
      </c>
      <c r="G215" s="566" t="s">
        <v>779</v>
      </c>
      <c r="H215" s="566" t="s">
        <v>773</v>
      </c>
      <c r="I215" s="564">
        <v>46229</v>
      </c>
      <c r="J215" s="564">
        <v>46230</v>
      </c>
      <c r="K215" s="566" t="s">
        <v>763</v>
      </c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478</v>
      </c>
      <c r="C216" s="567" t="s">
        <v>237</v>
      </c>
      <c r="D216" s="566" t="s">
        <v>664</v>
      </c>
      <c r="E216" s="566" t="s">
        <v>775</v>
      </c>
      <c r="F216" s="566"/>
      <c r="G216" s="566" t="s">
        <v>775</v>
      </c>
      <c r="H216" s="566"/>
      <c r="I216" s="564"/>
      <c r="J216" s="564"/>
      <c r="K216" s="566"/>
      <c r="L216" s="566"/>
      <c r="M216" s="564"/>
      <c r="N216" s="568" t="s">
        <v>779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379</v>
      </c>
      <c r="C217" s="567" t="s">
        <v>213</v>
      </c>
      <c r="D217" s="566" t="s">
        <v>541</v>
      </c>
      <c r="E217" s="566" t="s">
        <v>775</v>
      </c>
      <c r="F217" s="566" t="s">
        <v>779</v>
      </c>
      <c r="G217" s="566" t="s">
        <v>775</v>
      </c>
      <c r="H217" s="566" t="s">
        <v>773</v>
      </c>
      <c r="I217" s="564">
        <v>46227</v>
      </c>
      <c r="J217" s="564">
        <v>46229</v>
      </c>
      <c r="K217" s="566" t="s">
        <v>763</v>
      </c>
      <c r="L217" s="566" t="s">
        <v>867</v>
      </c>
      <c r="M217" s="564">
        <v>46230</v>
      </c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380</v>
      </c>
      <c r="C218" s="567" t="s">
        <v>212</v>
      </c>
      <c r="D218" s="566" t="s">
        <v>541</v>
      </c>
      <c r="E218" s="566" t="s">
        <v>775</v>
      </c>
      <c r="F218" s="566" t="s">
        <v>779</v>
      </c>
      <c r="G218" s="566" t="s">
        <v>775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381</v>
      </c>
      <c r="C219" s="567" t="s">
        <v>212</v>
      </c>
      <c r="D219" s="566" t="s">
        <v>541</v>
      </c>
      <c r="E219" s="566" t="s">
        <v>775</v>
      </c>
      <c r="F219" s="566" t="s">
        <v>779</v>
      </c>
      <c r="G219" s="566" t="s">
        <v>775</v>
      </c>
      <c r="H219" s="566" t="s">
        <v>773</v>
      </c>
      <c r="I219" s="564">
        <v>46235</v>
      </c>
      <c r="J219" s="564">
        <v>46237</v>
      </c>
      <c r="K219" s="566" t="s">
        <v>763</v>
      </c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382</v>
      </c>
      <c r="C220" s="567" t="s">
        <v>212</v>
      </c>
      <c r="D220" s="566" t="s">
        <v>92</v>
      </c>
      <c r="E220" s="566" t="s">
        <v>775</v>
      </c>
      <c r="F220" s="566" t="s">
        <v>779</v>
      </c>
      <c r="G220" s="566" t="s">
        <v>775</v>
      </c>
      <c r="H220" s="566" t="s">
        <v>773</v>
      </c>
      <c r="I220" s="564">
        <v>46234</v>
      </c>
      <c r="J220" s="564">
        <v>46235</v>
      </c>
      <c r="K220" s="566" t="s">
        <v>763</v>
      </c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479</v>
      </c>
      <c r="C221" s="567" t="s">
        <v>214</v>
      </c>
      <c r="D221" s="566" t="s">
        <v>88</v>
      </c>
      <c r="E221" s="566" t="s">
        <v>775</v>
      </c>
      <c r="F221" s="566" t="s">
        <v>776</v>
      </c>
      <c r="G221" s="566" t="s">
        <v>775</v>
      </c>
      <c r="H221" s="566" t="s">
        <v>773</v>
      </c>
      <c r="I221" s="564">
        <v>46216</v>
      </c>
      <c r="J221" s="564">
        <v>46218</v>
      </c>
      <c r="K221" s="566" t="s">
        <v>763</v>
      </c>
      <c r="L221" s="566"/>
      <c r="M221" s="564"/>
      <c r="N221" s="568" t="s">
        <v>779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383</v>
      </c>
      <c r="C222" s="567" t="s">
        <v>213</v>
      </c>
      <c r="D222" s="566" t="s">
        <v>92</v>
      </c>
      <c r="E222" s="566" t="s">
        <v>775</v>
      </c>
      <c r="F222" s="566" t="s">
        <v>779</v>
      </c>
      <c r="G222" s="566" t="s">
        <v>775</v>
      </c>
      <c r="H222" s="566" t="s">
        <v>773</v>
      </c>
      <c r="I222" s="564">
        <v>46213</v>
      </c>
      <c r="J222" s="564">
        <v>46215</v>
      </c>
      <c r="K222" s="566" t="s">
        <v>763</v>
      </c>
      <c r="L222" s="566" t="s">
        <v>864</v>
      </c>
      <c r="M222" s="564">
        <v>46217</v>
      </c>
      <c r="N222" s="568"/>
      <c r="O222" s="566"/>
      <c r="P222" s="566" t="s">
        <v>927</v>
      </c>
      <c r="Q222" s="564">
        <v>46231</v>
      </c>
      <c r="R222" s="563">
        <v>46234</v>
      </c>
      <c r="S222" s="562" t="s">
        <v>692</v>
      </c>
    </row>
    <row r="223" spans="1:19" ht="18" x14ac:dyDescent="0.25">
      <c r="A223" s="566">
        <v>221</v>
      </c>
      <c r="B223" s="566" t="s">
        <v>384</v>
      </c>
      <c r="C223" s="567" t="s">
        <v>212</v>
      </c>
      <c r="D223" s="566" t="s">
        <v>92</v>
      </c>
      <c r="E223" s="566" t="s">
        <v>775</v>
      </c>
      <c r="F223" s="566" t="s">
        <v>779</v>
      </c>
      <c r="G223" s="566" t="s">
        <v>775</v>
      </c>
      <c r="H223" s="566" t="s">
        <v>773</v>
      </c>
      <c r="I223" s="564">
        <v>46209</v>
      </c>
      <c r="J223" s="564">
        <v>46211</v>
      </c>
      <c r="K223" s="566" t="s">
        <v>763</v>
      </c>
      <c r="L223" s="566" t="s">
        <v>864</v>
      </c>
      <c r="M223" s="564">
        <v>46212</v>
      </c>
      <c r="N223" s="568"/>
      <c r="O223" s="566"/>
      <c r="P223" s="566" t="s">
        <v>927</v>
      </c>
      <c r="Q223" s="564">
        <v>46220</v>
      </c>
      <c r="R223" s="563">
        <v>46224</v>
      </c>
      <c r="S223" s="562" t="s">
        <v>692</v>
      </c>
    </row>
    <row r="224" spans="1:19" ht="18" x14ac:dyDescent="0.25">
      <c r="A224" s="566">
        <v>222</v>
      </c>
      <c r="B224" s="566" t="s">
        <v>385</v>
      </c>
      <c r="C224" s="567" t="s">
        <v>212</v>
      </c>
      <c r="D224" s="566" t="s">
        <v>92</v>
      </c>
      <c r="E224" s="566" t="s">
        <v>775</v>
      </c>
      <c r="F224" s="566" t="s">
        <v>779</v>
      </c>
      <c r="G224" s="566" t="s">
        <v>775</v>
      </c>
      <c r="H224" s="566" t="s">
        <v>773</v>
      </c>
      <c r="I224" s="564">
        <v>46207</v>
      </c>
      <c r="J224" s="564">
        <v>46209</v>
      </c>
      <c r="K224" s="566" t="s">
        <v>763</v>
      </c>
      <c r="L224" s="566" t="s">
        <v>864</v>
      </c>
      <c r="M224" s="564">
        <v>46211</v>
      </c>
      <c r="N224" s="568"/>
      <c r="O224" s="566"/>
      <c r="P224" s="566" t="s">
        <v>927</v>
      </c>
      <c r="Q224" s="564">
        <v>46225</v>
      </c>
      <c r="R224" s="563">
        <v>46228</v>
      </c>
      <c r="S224" s="562" t="s">
        <v>913</v>
      </c>
    </row>
    <row r="225" spans="1:19" ht="18" x14ac:dyDescent="0.25">
      <c r="A225" s="566">
        <v>223</v>
      </c>
      <c r="B225" s="566" t="s">
        <v>386</v>
      </c>
      <c r="C225" s="567" t="s">
        <v>212</v>
      </c>
      <c r="D225" s="566" t="s">
        <v>92</v>
      </c>
      <c r="E225" s="566" t="s">
        <v>775</v>
      </c>
      <c r="F225" s="566" t="s">
        <v>779</v>
      </c>
      <c r="G225" s="566" t="s">
        <v>775</v>
      </c>
      <c r="H225" s="566" t="s">
        <v>773</v>
      </c>
      <c r="I225" s="564">
        <v>46205</v>
      </c>
      <c r="J225" s="564">
        <v>46207</v>
      </c>
      <c r="K225" s="566" t="s">
        <v>763</v>
      </c>
      <c r="L225" s="566" t="s">
        <v>864</v>
      </c>
      <c r="M225" s="564">
        <v>46208</v>
      </c>
      <c r="N225" s="568"/>
      <c r="O225" s="566"/>
      <c r="P225" s="566" t="s">
        <v>927</v>
      </c>
      <c r="Q225" s="564">
        <v>46213</v>
      </c>
      <c r="R225" s="563">
        <v>46230</v>
      </c>
      <c r="S225" s="562" t="s">
        <v>942</v>
      </c>
    </row>
    <row r="226" spans="1:19" ht="18" x14ac:dyDescent="0.25">
      <c r="A226" s="566">
        <v>224</v>
      </c>
      <c r="B226" s="566" t="s">
        <v>387</v>
      </c>
      <c r="C226" s="567" t="s">
        <v>211</v>
      </c>
      <c r="D226" s="566" t="s">
        <v>88</v>
      </c>
      <c r="E226" s="566" t="s">
        <v>775</v>
      </c>
      <c r="F226" s="566" t="s">
        <v>779</v>
      </c>
      <c r="G226" s="566" t="s">
        <v>775</v>
      </c>
      <c r="H226" s="566" t="s">
        <v>773</v>
      </c>
      <c r="I226" s="564">
        <v>46211</v>
      </c>
      <c r="J226" s="564">
        <v>46213</v>
      </c>
      <c r="K226" s="566" t="s">
        <v>763</v>
      </c>
      <c r="L226" s="566"/>
      <c r="M226" s="564"/>
      <c r="N226" s="568"/>
      <c r="O226" s="566"/>
      <c r="P226" s="566" t="s">
        <v>927</v>
      </c>
      <c r="Q226" s="564">
        <v>46227</v>
      </c>
      <c r="R226" s="563">
        <v>46230</v>
      </c>
      <c r="S226" s="562" t="s">
        <v>692</v>
      </c>
    </row>
    <row r="227" spans="1:19" ht="18" x14ac:dyDescent="0.25">
      <c r="A227" s="566">
        <v>225</v>
      </c>
      <c r="B227" s="566" t="s">
        <v>480</v>
      </c>
      <c r="C227" s="567" t="s">
        <v>214</v>
      </c>
      <c r="D227" s="566" t="s">
        <v>92</v>
      </c>
      <c r="E227" s="566" t="s">
        <v>775</v>
      </c>
      <c r="F227" s="566" t="s">
        <v>779</v>
      </c>
      <c r="G227" s="566" t="s">
        <v>775</v>
      </c>
      <c r="H227" s="566" t="s">
        <v>773</v>
      </c>
      <c r="I227" s="564">
        <v>46201</v>
      </c>
      <c r="J227" s="564">
        <v>46203</v>
      </c>
      <c r="K227" s="566" t="s">
        <v>763</v>
      </c>
      <c r="L227" s="566" t="s">
        <v>864</v>
      </c>
      <c r="M227" s="564">
        <v>46204</v>
      </c>
      <c r="N227" s="568"/>
      <c r="O227" s="566"/>
      <c r="P227" s="566" t="s">
        <v>927</v>
      </c>
      <c r="Q227" s="564">
        <v>46212</v>
      </c>
      <c r="R227" s="563">
        <v>46215</v>
      </c>
      <c r="S227" s="562" t="s">
        <v>692</v>
      </c>
    </row>
    <row r="228" spans="1:19" ht="18" x14ac:dyDescent="0.25">
      <c r="A228" s="566">
        <v>226</v>
      </c>
      <c r="B228" s="566" t="s">
        <v>388</v>
      </c>
      <c r="C228" s="567" t="s">
        <v>212</v>
      </c>
      <c r="D228" s="566" t="s">
        <v>92</v>
      </c>
      <c r="E228" s="566" t="s">
        <v>775</v>
      </c>
      <c r="F228" s="566" t="s">
        <v>779</v>
      </c>
      <c r="G228" s="566" t="s">
        <v>779</v>
      </c>
      <c r="H228" s="566" t="s">
        <v>773</v>
      </c>
      <c r="I228" s="564">
        <v>46199</v>
      </c>
      <c r="J228" s="564">
        <v>46200</v>
      </c>
      <c r="K228" s="566" t="s">
        <v>763</v>
      </c>
      <c r="L228" s="566" t="s">
        <v>864</v>
      </c>
      <c r="M228" s="564">
        <v>46204</v>
      </c>
      <c r="N228" s="568"/>
      <c r="O228" s="566"/>
      <c r="P228" s="566" t="s">
        <v>927</v>
      </c>
      <c r="Q228" s="564">
        <v>46216</v>
      </c>
      <c r="R228" s="563">
        <v>46219</v>
      </c>
      <c r="S228" s="562" t="s">
        <v>692</v>
      </c>
    </row>
    <row r="229" spans="1:19" ht="18" x14ac:dyDescent="0.25">
      <c r="A229" s="566">
        <v>227</v>
      </c>
      <c r="B229" s="566" t="s">
        <v>389</v>
      </c>
      <c r="C229" s="567" t="s">
        <v>212</v>
      </c>
      <c r="D229" s="566" t="s">
        <v>92</v>
      </c>
      <c r="E229" s="566" t="s">
        <v>775</v>
      </c>
      <c r="F229" s="566" t="s">
        <v>779</v>
      </c>
      <c r="G229" s="566" t="s">
        <v>779</v>
      </c>
      <c r="H229" s="566" t="s">
        <v>773</v>
      </c>
      <c r="I229" s="564">
        <v>46198</v>
      </c>
      <c r="J229" s="564">
        <v>46199</v>
      </c>
      <c r="K229" s="566" t="s">
        <v>763</v>
      </c>
      <c r="L229" s="566" t="s">
        <v>864</v>
      </c>
      <c r="M229" s="564">
        <v>46204</v>
      </c>
      <c r="N229" s="568"/>
      <c r="O229" s="566"/>
      <c r="P229" s="566" t="s">
        <v>927</v>
      </c>
      <c r="Q229" s="564">
        <v>46216</v>
      </c>
      <c r="R229" s="563">
        <v>46219</v>
      </c>
      <c r="S229" s="562" t="s">
        <v>913</v>
      </c>
    </row>
    <row r="230" spans="1:19" ht="18" x14ac:dyDescent="0.25">
      <c r="A230" s="566">
        <v>228</v>
      </c>
      <c r="B230" s="566" t="s">
        <v>390</v>
      </c>
      <c r="C230" s="567" t="s">
        <v>213</v>
      </c>
      <c r="D230" s="566" t="s">
        <v>88</v>
      </c>
      <c r="E230" s="566" t="s">
        <v>775</v>
      </c>
      <c r="F230" s="566" t="s">
        <v>779</v>
      </c>
      <c r="G230" s="566" t="s">
        <v>779</v>
      </c>
      <c r="H230" s="566" t="s">
        <v>773</v>
      </c>
      <c r="I230" s="564">
        <v>46193</v>
      </c>
      <c r="J230" s="564">
        <v>46195</v>
      </c>
      <c r="K230" s="566" t="s">
        <v>763</v>
      </c>
      <c r="L230" s="566"/>
      <c r="M230" s="564"/>
      <c r="N230" s="568"/>
      <c r="O230" s="566"/>
      <c r="P230" s="566" t="s">
        <v>927</v>
      </c>
      <c r="Q230" s="564">
        <v>46210</v>
      </c>
      <c r="R230" s="563">
        <v>46215</v>
      </c>
      <c r="S230" s="562" t="s">
        <v>913</v>
      </c>
    </row>
    <row r="231" spans="1:19" ht="18" x14ac:dyDescent="0.25">
      <c r="A231" s="566">
        <v>229</v>
      </c>
      <c r="B231" s="566" t="s">
        <v>391</v>
      </c>
      <c r="C231" s="567" t="s">
        <v>213</v>
      </c>
      <c r="D231" s="566" t="s">
        <v>92</v>
      </c>
      <c r="E231" s="566" t="s">
        <v>775</v>
      </c>
      <c r="F231" s="566" t="s">
        <v>779</v>
      </c>
      <c r="G231" s="566" t="s">
        <v>779</v>
      </c>
      <c r="H231" s="566" t="s">
        <v>773</v>
      </c>
      <c r="I231" s="564">
        <v>46195</v>
      </c>
      <c r="J231" s="564">
        <v>46197</v>
      </c>
      <c r="K231" s="566" t="s">
        <v>763</v>
      </c>
      <c r="L231" s="566" t="s">
        <v>864</v>
      </c>
      <c r="M231" s="564">
        <v>46208</v>
      </c>
      <c r="N231" s="568"/>
      <c r="O231" s="566"/>
      <c r="P231" s="566" t="s">
        <v>927</v>
      </c>
      <c r="Q231" s="564">
        <v>46220</v>
      </c>
      <c r="R231" s="563">
        <v>46224</v>
      </c>
      <c r="S231" s="562" t="s">
        <v>913</v>
      </c>
    </row>
    <row r="232" spans="1:19" ht="18" x14ac:dyDescent="0.25">
      <c r="A232" s="566">
        <v>230</v>
      </c>
      <c r="B232" s="566" t="s">
        <v>392</v>
      </c>
      <c r="C232" s="567" t="s">
        <v>212</v>
      </c>
      <c r="D232" s="566" t="s">
        <v>92</v>
      </c>
      <c r="E232" s="566" t="s">
        <v>775</v>
      </c>
      <c r="F232" s="566" t="s">
        <v>779</v>
      </c>
      <c r="G232" s="566" t="s">
        <v>779</v>
      </c>
      <c r="H232" s="566" t="s">
        <v>773</v>
      </c>
      <c r="I232" s="564">
        <v>46569</v>
      </c>
      <c r="J232" s="564">
        <v>46205</v>
      </c>
      <c r="K232" s="566" t="s">
        <v>763</v>
      </c>
      <c r="L232" s="566"/>
      <c r="M232" s="564"/>
      <c r="N232" s="568"/>
      <c r="O232" s="566"/>
      <c r="P232" s="566" t="s">
        <v>927</v>
      </c>
      <c r="Q232" s="564">
        <v>46224</v>
      </c>
      <c r="R232" s="563">
        <v>46227</v>
      </c>
      <c r="S232" s="562" t="s">
        <v>692</v>
      </c>
    </row>
    <row r="233" spans="1:19" ht="18" x14ac:dyDescent="0.25">
      <c r="A233" s="566">
        <v>231</v>
      </c>
      <c r="B233" s="566" t="s">
        <v>393</v>
      </c>
      <c r="C233" s="567" t="s">
        <v>212</v>
      </c>
      <c r="D233" s="566" t="s">
        <v>92</v>
      </c>
      <c r="E233" s="566" t="s">
        <v>775</v>
      </c>
      <c r="F233" s="566" t="s">
        <v>779</v>
      </c>
      <c r="G233" s="566" t="s">
        <v>779</v>
      </c>
      <c r="H233" s="566" t="s">
        <v>773</v>
      </c>
      <c r="I233" s="564">
        <v>45998</v>
      </c>
      <c r="J233" s="564">
        <v>46011</v>
      </c>
      <c r="K233" s="566" t="s">
        <v>662</v>
      </c>
      <c r="L233" s="566" t="s">
        <v>787</v>
      </c>
      <c r="M233" s="564">
        <v>46029</v>
      </c>
      <c r="N233" s="568" t="s">
        <v>779</v>
      </c>
      <c r="O233" s="566">
        <v>35.088999999999999</v>
      </c>
      <c r="P233" s="566" t="s">
        <v>667</v>
      </c>
      <c r="Q233" s="564">
        <v>46361</v>
      </c>
      <c r="R233" s="563">
        <v>46062</v>
      </c>
      <c r="S233" s="562" t="s">
        <v>693</v>
      </c>
    </row>
    <row r="234" spans="1:19" ht="18" x14ac:dyDescent="0.25">
      <c r="A234" s="566">
        <v>232</v>
      </c>
      <c r="B234" s="566" t="s">
        <v>394</v>
      </c>
      <c r="C234" s="567" t="s">
        <v>212</v>
      </c>
      <c r="D234" s="566" t="s">
        <v>542</v>
      </c>
      <c r="E234" s="566" t="s">
        <v>775</v>
      </c>
      <c r="F234" s="566" t="s">
        <v>779</v>
      </c>
      <c r="G234" s="566" t="s">
        <v>779</v>
      </c>
      <c r="H234" s="566" t="s">
        <v>773</v>
      </c>
      <c r="I234" s="564">
        <v>45998</v>
      </c>
      <c r="J234" s="564">
        <v>46006</v>
      </c>
      <c r="K234" s="566" t="s">
        <v>662</v>
      </c>
      <c r="L234" s="566" t="s">
        <v>789</v>
      </c>
      <c r="M234" s="564">
        <v>46029</v>
      </c>
      <c r="N234" s="568" t="s">
        <v>779</v>
      </c>
      <c r="O234" s="566">
        <v>35.088999999999999</v>
      </c>
      <c r="P234" s="566" t="s">
        <v>667</v>
      </c>
      <c r="Q234" s="564">
        <v>46034</v>
      </c>
      <c r="R234" s="563">
        <v>46051</v>
      </c>
      <c r="S234" s="562" t="s">
        <v>693</v>
      </c>
    </row>
    <row r="235" spans="1:19" ht="18" x14ac:dyDescent="0.25">
      <c r="A235" s="566">
        <v>233</v>
      </c>
      <c r="B235" s="566" t="s">
        <v>395</v>
      </c>
      <c r="C235" s="567" t="s">
        <v>212</v>
      </c>
      <c r="D235" s="566" t="s">
        <v>92</v>
      </c>
      <c r="E235" s="566" t="s">
        <v>775</v>
      </c>
      <c r="F235" s="566" t="s">
        <v>779</v>
      </c>
      <c r="G235" s="566" t="s">
        <v>779</v>
      </c>
      <c r="H235" s="566" t="s">
        <v>773</v>
      </c>
      <c r="I235" s="564">
        <v>46005</v>
      </c>
      <c r="J235" s="564">
        <v>46017</v>
      </c>
      <c r="K235" s="566" t="s">
        <v>662</v>
      </c>
      <c r="L235" s="566" t="s">
        <v>787</v>
      </c>
      <c r="M235" s="564">
        <v>46028</v>
      </c>
      <c r="N235" s="568" t="s">
        <v>779</v>
      </c>
      <c r="O235" s="566">
        <v>35.088999999999999</v>
      </c>
      <c r="P235" s="566" t="s">
        <v>667</v>
      </c>
      <c r="Q235" s="564">
        <v>46052</v>
      </c>
      <c r="R235" s="563">
        <v>46056</v>
      </c>
      <c r="S235" s="562" t="s">
        <v>693</v>
      </c>
    </row>
    <row r="236" spans="1:19" ht="18" x14ac:dyDescent="0.25">
      <c r="A236" s="566">
        <v>234</v>
      </c>
      <c r="B236" s="566" t="s">
        <v>396</v>
      </c>
      <c r="C236" s="567" t="s">
        <v>212</v>
      </c>
      <c r="D236" s="566" t="s">
        <v>542</v>
      </c>
      <c r="E236" s="566" t="s">
        <v>775</v>
      </c>
      <c r="F236" s="566" t="s">
        <v>779</v>
      </c>
      <c r="G236" s="566" t="s">
        <v>779</v>
      </c>
      <c r="H236" s="566" t="s">
        <v>773</v>
      </c>
      <c r="I236" s="564">
        <v>46005</v>
      </c>
      <c r="J236" s="564">
        <v>46014</v>
      </c>
      <c r="K236" s="566" t="s">
        <v>662</v>
      </c>
      <c r="L236" s="566" t="s">
        <v>789</v>
      </c>
      <c r="M236" s="564">
        <v>46023</v>
      </c>
      <c r="N236" s="568" t="s">
        <v>779</v>
      </c>
      <c r="O236" s="566">
        <v>35.088999999999999</v>
      </c>
      <c r="P236" s="566" t="s">
        <v>667</v>
      </c>
      <c r="Q236" s="564">
        <v>46053</v>
      </c>
      <c r="R236" s="563">
        <v>46069</v>
      </c>
      <c r="S236" s="562" t="s">
        <v>693</v>
      </c>
    </row>
    <row r="237" spans="1:19" ht="18" x14ac:dyDescent="0.25">
      <c r="A237" s="566">
        <v>235</v>
      </c>
      <c r="B237" s="566" t="s">
        <v>397</v>
      </c>
      <c r="C237" s="567" t="s">
        <v>212</v>
      </c>
      <c r="D237" s="566" t="s">
        <v>92</v>
      </c>
      <c r="E237" s="566" t="s">
        <v>775</v>
      </c>
      <c r="F237" s="566" t="s">
        <v>779</v>
      </c>
      <c r="G237" s="566" t="s">
        <v>779</v>
      </c>
      <c r="H237" s="566" t="s">
        <v>773</v>
      </c>
      <c r="I237" s="564">
        <v>46013</v>
      </c>
      <c r="J237" s="564">
        <v>46020</v>
      </c>
      <c r="K237" s="566" t="s">
        <v>662</v>
      </c>
      <c r="L237" s="566" t="s">
        <v>787</v>
      </c>
      <c r="M237" s="564">
        <v>46028</v>
      </c>
      <c r="N237" s="568" t="s">
        <v>779</v>
      </c>
      <c r="O237" s="566">
        <v>35.088999999999999</v>
      </c>
      <c r="P237" s="566" t="s">
        <v>667</v>
      </c>
      <c r="Q237" s="564">
        <v>46045</v>
      </c>
      <c r="R237" s="563">
        <v>46049</v>
      </c>
      <c r="S237" s="562" t="s">
        <v>694</v>
      </c>
    </row>
    <row r="238" spans="1:19" ht="18" x14ac:dyDescent="0.25">
      <c r="A238" s="566">
        <v>236</v>
      </c>
      <c r="B238" s="566" t="s">
        <v>398</v>
      </c>
      <c r="C238" s="567" t="s">
        <v>212</v>
      </c>
      <c r="D238" s="566" t="s">
        <v>92</v>
      </c>
      <c r="E238" s="566" t="s">
        <v>775</v>
      </c>
      <c r="F238" s="566" t="s">
        <v>779</v>
      </c>
      <c r="G238" s="566" t="s">
        <v>779</v>
      </c>
      <c r="H238" s="566" t="s">
        <v>773</v>
      </c>
      <c r="I238" s="564">
        <v>46018</v>
      </c>
      <c r="J238" s="564">
        <v>46022</v>
      </c>
      <c r="K238" s="566" t="s">
        <v>662</v>
      </c>
      <c r="L238" s="566" t="s">
        <v>787</v>
      </c>
      <c r="M238" s="564">
        <v>46028</v>
      </c>
      <c r="N238" s="568" t="s">
        <v>779</v>
      </c>
      <c r="O238" s="566">
        <v>35.088999999999999</v>
      </c>
      <c r="P238" s="566" t="s">
        <v>667</v>
      </c>
      <c r="Q238" s="564">
        <v>46039</v>
      </c>
      <c r="R238" s="563">
        <v>46043</v>
      </c>
      <c r="S238" s="562" t="s">
        <v>694</v>
      </c>
    </row>
    <row r="239" spans="1:19" ht="18" x14ac:dyDescent="0.25">
      <c r="A239" s="566">
        <v>237</v>
      </c>
      <c r="B239" s="566" t="s">
        <v>399</v>
      </c>
      <c r="C239" s="567" t="s">
        <v>212</v>
      </c>
      <c r="D239" s="566" t="s">
        <v>542</v>
      </c>
      <c r="E239" s="566" t="s">
        <v>775</v>
      </c>
      <c r="F239" s="566" t="s">
        <v>779</v>
      </c>
      <c r="G239" s="566" t="s">
        <v>779</v>
      </c>
      <c r="H239" s="566" t="s">
        <v>773</v>
      </c>
      <c r="I239" s="564">
        <v>46022</v>
      </c>
      <c r="J239" s="564">
        <v>46028</v>
      </c>
      <c r="K239" s="566" t="s">
        <v>662</v>
      </c>
      <c r="L239" s="566"/>
      <c r="M239" s="564"/>
      <c r="N239" s="568" t="s">
        <v>779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481</v>
      </c>
      <c r="C240" s="567" t="s">
        <v>237</v>
      </c>
      <c r="D240" s="566" t="s">
        <v>92</v>
      </c>
      <c r="E240" s="566" t="s">
        <v>775</v>
      </c>
      <c r="F240" s="566"/>
      <c r="G240" s="566" t="s">
        <v>779</v>
      </c>
      <c r="H240" s="566" t="s">
        <v>773</v>
      </c>
      <c r="I240" s="575">
        <v>46105</v>
      </c>
      <c r="J240" s="564">
        <v>46099</v>
      </c>
      <c r="K240" s="566" t="s">
        <v>660</v>
      </c>
      <c r="L240" s="566" t="s">
        <v>787</v>
      </c>
      <c r="M240" s="564">
        <v>46104</v>
      </c>
      <c r="N240" s="568" t="s">
        <v>779</v>
      </c>
      <c r="O240" s="566">
        <v>54.72</v>
      </c>
      <c r="P240" s="566" t="s">
        <v>667</v>
      </c>
      <c r="Q240" s="564">
        <v>46117</v>
      </c>
      <c r="R240" s="563">
        <v>46124</v>
      </c>
      <c r="S240" s="562" t="s">
        <v>734</v>
      </c>
    </row>
    <row r="241" spans="1:19" ht="18" x14ac:dyDescent="0.25">
      <c r="A241" s="566">
        <v>239</v>
      </c>
      <c r="B241" s="566" t="s">
        <v>400</v>
      </c>
      <c r="C241" s="567" t="s">
        <v>213</v>
      </c>
      <c r="D241" s="566" t="s">
        <v>541</v>
      </c>
      <c r="E241" s="566" t="s">
        <v>775</v>
      </c>
      <c r="F241" s="566" t="s">
        <v>779</v>
      </c>
      <c r="G241" s="566" t="s">
        <v>779</v>
      </c>
      <c r="H241" s="566" t="s">
        <v>773</v>
      </c>
      <c r="I241" s="564">
        <v>46026</v>
      </c>
      <c r="J241" s="564">
        <v>46045</v>
      </c>
      <c r="K241" s="566" t="s">
        <v>662</v>
      </c>
      <c r="L241" s="566"/>
      <c r="M241" s="564"/>
      <c r="N241" s="568" t="s">
        <v>779</v>
      </c>
      <c r="O241" s="566">
        <v>36.771000000000001</v>
      </c>
      <c r="P241" s="566" t="s">
        <v>667</v>
      </c>
      <c r="Q241" s="564">
        <v>46052</v>
      </c>
      <c r="R241" s="563">
        <v>46058</v>
      </c>
      <c r="S241" s="562" t="s">
        <v>694</v>
      </c>
    </row>
    <row r="242" spans="1:19" ht="18" x14ac:dyDescent="0.25">
      <c r="A242" s="566">
        <v>240</v>
      </c>
      <c r="B242" s="566" t="s">
        <v>401</v>
      </c>
      <c r="C242" s="567" t="s">
        <v>213</v>
      </c>
      <c r="D242" s="566" t="s">
        <v>92</v>
      </c>
      <c r="E242" s="566" t="s">
        <v>775</v>
      </c>
      <c r="F242" s="566" t="s">
        <v>779</v>
      </c>
      <c r="G242" s="566" t="s">
        <v>779</v>
      </c>
      <c r="H242" s="566" t="s">
        <v>773</v>
      </c>
      <c r="I242" s="564">
        <v>46027</v>
      </c>
      <c r="J242" s="564">
        <v>46034</v>
      </c>
      <c r="K242" s="566" t="s">
        <v>662</v>
      </c>
      <c r="L242" s="566"/>
      <c r="M242" s="564"/>
      <c r="N242" s="568" t="s">
        <v>779</v>
      </c>
      <c r="O242" s="566">
        <v>36.771000000000001</v>
      </c>
      <c r="P242" s="566" t="s">
        <v>667</v>
      </c>
      <c r="Q242" s="564">
        <v>46049</v>
      </c>
      <c r="R242" s="563">
        <v>46053</v>
      </c>
      <c r="S242" s="562" t="s">
        <v>694</v>
      </c>
    </row>
    <row r="243" spans="1:19" ht="18" x14ac:dyDescent="0.25">
      <c r="A243" s="566">
        <v>241</v>
      </c>
      <c r="B243" s="566" t="s">
        <v>402</v>
      </c>
      <c r="C243" s="567" t="s">
        <v>213</v>
      </c>
      <c r="D243" s="566" t="s">
        <v>542</v>
      </c>
      <c r="E243" s="566" t="s">
        <v>775</v>
      </c>
      <c r="F243" s="566" t="s">
        <v>779</v>
      </c>
      <c r="G243" s="566" t="s">
        <v>779</v>
      </c>
      <c r="H243" s="566" t="s">
        <v>773</v>
      </c>
      <c r="I243" s="564">
        <v>46032</v>
      </c>
      <c r="J243" s="564">
        <v>46036</v>
      </c>
      <c r="K243" s="566" t="s">
        <v>662</v>
      </c>
      <c r="L243" s="566" t="s">
        <v>789</v>
      </c>
      <c r="M243" s="564">
        <v>46047</v>
      </c>
      <c r="N243" s="568" t="s">
        <v>779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403</v>
      </c>
      <c r="C244" s="567" t="s">
        <v>212</v>
      </c>
      <c r="D244" s="566" t="s">
        <v>92</v>
      </c>
      <c r="E244" s="566" t="s">
        <v>775</v>
      </c>
      <c r="F244" s="566" t="s">
        <v>779</v>
      </c>
      <c r="G244" s="566" t="s">
        <v>779</v>
      </c>
      <c r="H244" s="566" t="s">
        <v>773</v>
      </c>
      <c r="I244" s="564">
        <v>46043</v>
      </c>
      <c r="J244" s="564">
        <v>46046</v>
      </c>
      <c r="K244" s="566" t="s">
        <v>662</v>
      </c>
      <c r="L244" s="566"/>
      <c r="M244" s="564"/>
      <c r="N244" s="568" t="s">
        <v>779</v>
      </c>
      <c r="O244" s="566">
        <v>35.088999999999999</v>
      </c>
      <c r="P244" s="566" t="s">
        <v>667</v>
      </c>
      <c r="Q244" s="564">
        <v>46101</v>
      </c>
      <c r="R244" s="563">
        <v>46110</v>
      </c>
      <c r="S244" s="562" t="s">
        <v>734</v>
      </c>
    </row>
    <row r="245" spans="1:19" ht="18" x14ac:dyDescent="0.25">
      <c r="A245" s="566">
        <v>243</v>
      </c>
      <c r="B245" s="566" t="s">
        <v>404</v>
      </c>
      <c r="C245" s="567" t="s">
        <v>212</v>
      </c>
      <c r="D245" s="566" t="s">
        <v>92</v>
      </c>
      <c r="E245" s="566" t="s">
        <v>775</v>
      </c>
      <c r="F245" s="566" t="s">
        <v>779</v>
      </c>
      <c r="G245" s="566" t="s">
        <v>779</v>
      </c>
      <c r="H245" s="566" t="s">
        <v>773</v>
      </c>
      <c r="I245" s="564">
        <v>46044</v>
      </c>
      <c r="J245" s="564">
        <v>46049</v>
      </c>
      <c r="K245" s="566" t="s">
        <v>662</v>
      </c>
      <c r="L245" s="566" t="s">
        <v>787</v>
      </c>
      <c r="M245" s="564">
        <v>46055</v>
      </c>
      <c r="N245" s="568" t="s">
        <v>779</v>
      </c>
      <c r="O245" s="566">
        <v>35.088999999999999</v>
      </c>
      <c r="P245" s="566" t="s">
        <v>667</v>
      </c>
      <c r="Q245" s="564">
        <v>46061</v>
      </c>
      <c r="R245" s="563">
        <v>46077</v>
      </c>
      <c r="S245" s="562" t="s">
        <v>694</v>
      </c>
    </row>
    <row r="246" spans="1:19" ht="18" x14ac:dyDescent="0.25">
      <c r="A246" s="566">
        <v>244</v>
      </c>
      <c r="B246" s="566" t="s">
        <v>405</v>
      </c>
      <c r="C246" s="567" t="s">
        <v>212</v>
      </c>
      <c r="D246" s="566" t="s">
        <v>92</v>
      </c>
      <c r="E246" s="566" t="s">
        <v>775</v>
      </c>
      <c r="F246" s="566" t="s">
        <v>779</v>
      </c>
      <c r="G246" s="566" t="s">
        <v>779</v>
      </c>
      <c r="H246" s="566" t="s">
        <v>773</v>
      </c>
      <c r="I246" s="575">
        <v>46048</v>
      </c>
      <c r="J246" s="564">
        <v>46077</v>
      </c>
      <c r="K246" s="566" t="s">
        <v>688</v>
      </c>
      <c r="L246" s="566" t="s">
        <v>787</v>
      </c>
      <c r="M246" s="564">
        <v>46088</v>
      </c>
      <c r="N246" s="568" t="s">
        <v>779</v>
      </c>
      <c r="O246" s="566">
        <v>35.088999999999999</v>
      </c>
      <c r="P246" s="566" t="s">
        <v>667</v>
      </c>
      <c r="Q246" s="564">
        <v>46091</v>
      </c>
      <c r="R246" s="563">
        <v>46097</v>
      </c>
      <c r="S246" s="562" t="s">
        <v>734</v>
      </c>
    </row>
    <row r="247" spans="1:19" ht="18" x14ac:dyDescent="0.25">
      <c r="A247" s="566">
        <v>245</v>
      </c>
      <c r="B247" s="566" t="s">
        <v>406</v>
      </c>
      <c r="C247" s="567" t="s">
        <v>213</v>
      </c>
      <c r="D247" s="566" t="s">
        <v>92</v>
      </c>
      <c r="E247" s="566" t="s">
        <v>775</v>
      </c>
      <c r="F247" s="566" t="s">
        <v>779</v>
      </c>
      <c r="G247" s="566" t="s">
        <v>779</v>
      </c>
      <c r="H247" s="566" t="s">
        <v>773</v>
      </c>
      <c r="I247" s="564">
        <v>46049</v>
      </c>
      <c r="J247" s="564">
        <v>46081</v>
      </c>
      <c r="K247" s="566" t="s">
        <v>688</v>
      </c>
      <c r="L247" s="566" t="s">
        <v>787</v>
      </c>
      <c r="M247" s="564">
        <v>46088</v>
      </c>
      <c r="N247" s="568" t="s">
        <v>779</v>
      </c>
      <c r="O247" s="566">
        <v>36.771000000000001</v>
      </c>
      <c r="P247" s="566" t="s">
        <v>667</v>
      </c>
      <c r="Q247" s="564">
        <v>46097</v>
      </c>
      <c r="R247" s="563">
        <v>46104</v>
      </c>
      <c r="S247" s="562" t="s">
        <v>734</v>
      </c>
    </row>
    <row r="248" spans="1:19" ht="18" x14ac:dyDescent="0.25">
      <c r="A248" s="566">
        <v>246</v>
      </c>
      <c r="B248" s="566" t="s">
        <v>407</v>
      </c>
      <c r="C248" s="567" t="s">
        <v>212</v>
      </c>
      <c r="D248" s="566" t="s">
        <v>92</v>
      </c>
      <c r="E248" s="566" t="s">
        <v>775</v>
      </c>
      <c r="F248" s="566" t="s">
        <v>779</v>
      </c>
      <c r="G248" s="566" t="s">
        <v>779</v>
      </c>
      <c r="H248" s="566" t="s">
        <v>773</v>
      </c>
      <c r="I248" s="564">
        <v>46065</v>
      </c>
      <c r="J248" s="564">
        <v>46079</v>
      </c>
      <c r="K248" s="566" t="s">
        <v>688</v>
      </c>
      <c r="L248" s="566" t="s">
        <v>787</v>
      </c>
      <c r="M248" s="564">
        <v>46084</v>
      </c>
      <c r="N248" s="568" t="s">
        <v>779</v>
      </c>
      <c r="O248" s="566">
        <v>35.088999999999999</v>
      </c>
      <c r="P248" s="566" t="s">
        <v>667</v>
      </c>
      <c r="Q248" s="564">
        <v>46111</v>
      </c>
      <c r="R248" s="563">
        <v>46116</v>
      </c>
      <c r="S248" s="562" t="s">
        <v>734</v>
      </c>
    </row>
    <row r="249" spans="1:19" ht="18" x14ac:dyDescent="0.25">
      <c r="A249" s="566">
        <v>247</v>
      </c>
      <c r="B249" s="566" t="s">
        <v>482</v>
      </c>
      <c r="C249" s="567" t="s">
        <v>210</v>
      </c>
      <c r="D249" s="566" t="s">
        <v>542</v>
      </c>
      <c r="E249" s="566" t="s">
        <v>775</v>
      </c>
      <c r="F249" s="566" t="s">
        <v>779</v>
      </c>
      <c r="G249" s="566" t="s">
        <v>779</v>
      </c>
      <c r="H249" s="566" t="s">
        <v>773</v>
      </c>
      <c r="I249" s="564">
        <v>46049</v>
      </c>
      <c r="J249" s="564">
        <v>46053</v>
      </c>
      <c r="K249" s="566" t="s">
        <v>662</v>
      </c>
      <c r="L249" s="566" t="s">
        <v>789</v>
      </c>
      <c r="M249" s="564">
        <v>46054</v>
      </c>
      <c r="N249" s="568" t="s">
        <v>779</v>
      </c>
      <c r="O249" s="566">
        <v>54.72</v>
      </c>
      <c r="P249" s="566" t="s">
        <v>667</v>
      </c>
      <c r="Q249" s="564">
        <v>46073</v>
      </c>
      <c r="R249" s="563">
        <v>46084</v>
      </c>
      <c r="S249" s="562" t="s">
        <v>694</v>
      </c>
    </row>
    <row r="250" spans="1:19" ht="18" x14ac:dyDescent="0.25">
      <c r="A250" s="566">
        <v>248</v>
      </c>
      <c r="B250" s="566" t="s">
        <v>408</v>
      </c>
      <c r="C250" s="567" t="s">
        <v>212</v>
      </c>
      <c r="D250" s="566" t="s">
        <v>542</v>
      </c>
      <c r="E250" s="566" t="s">
        <v>775</v>
      </c>
      <c r="F250" s="566" t="s">
        <v>779</v>
      </c>
      <c r="G250" s="566" t="s">
        <v>779</v>
      </c>
      <c r="H250" s="566" t="s">
        <v>773</v>
      </c>
      <c r="I250" s="564">
        <v>46046</v>
      </c>
      <c r="J250" s="564">
        <v>46050</v>
      </c>
      <c r="K250" s="566" t="s">
        <v>661</v>
      </c>
      <c r="L250" s="566" t="s">
        <v>789</v>
      </c>
      <c r="M250" s="564">
        <v>46083</v>
      </c>
      <c r="N250" s="568" t="s">
        <v>779</v>
      </c>
      <c r="O250" s="566">
        <v>35.088999999999999</v>
      </c>
      <c r="P250" s="566" t="s">
        <v>667</v>
      </c>
      <c r="Q250" s="564">
        <v>46069</v>
      </c>
      <c r="R250" s="563">
        <v>46073</v>
      </c>
      <c r="S250" s="562" t="s">
        <v>694</v>
      </c>
    </row>
    <row r="251" spans="1:19" ht="18" x14ac:dyDescent="0.25">
      <c r="A251" s="566">
        <v>249</v>
      </c>
      <c r="B251" s="566" t="s">
        <v>409</v>
      </c>
      <c r="C251" s="567" t="s">
        <v>212</v>
      </c>
      <c r="D251" s="566" t="s">
        <v>92</v>
      </c>
      <c r="E251" s="566" t="s">
        <v>775</v>
      </c>
      <c r="F251" s="566" t="s">
        <v>779</v>
      </c>
      <c r="G251" s="566" t="s">
        <v>779</v>
      </c>
      <c r="H251" s="566" t="s">
        <v>773</v>
      </c>
      <c r="I251" s="564">
        <v>46040</v>
      </c>
      <c r="J251" s="564">
        <v>46044</v>
      </c>
      <c r="K251" s="566" t="s">
        <v>661</v>
      </c>
      <c r="L251" s="566" t="s">
        <v>787</v>
      </c>
      <c r="M251" s="564">
        <v>46083</v>
      </c>
      <c r="N251" s="568" t="s">
        <v>779</v>
      </c>
      <c r="O251" s="566">
        <v>35.088999999999999</v>
      </c>
      <c r="P251" s="566" t="s">
        <v>667</v>
      </c>
      <c r="Q251" s="564">
        <v>46058</v>
      </c>
      <c r="R251" s="563">
        <v>46065</v>
      </c>
      <c r="S251" s="562" t="s">
        <v>694</v>
      </c>
    </row>
    <row r="252" spans="1:19" ht="18" x14ac:dyDescent="0.25">
      <c r="A252" s="566">
        <v>250</v>
      </c>
      <c r="B252" s="566" t="s">
        <v>614</v>
      </c>
      <c r="C252" s="567" t="s">
        <v>212</v>
      </c>
      <c r="D252" s="566" t="s">
        <v>542</v>
      </c>
      <c r="E252" s="566" t="s">
        <v>775</v>
      </c>
      <c r="F252" s="566" t="s">
        <v>779</v>
      </c>
      <c r="G252" s="566" t="s">
        <v>779</v>
      </c>
      <c r="H252" s="566" t="s">
        <v>773</v>
      </c>
      <c r="I252" s="564">
        <v>46048</v>
      </c>
      <c r="J252" s="564">
        <v>46053</v>
      </c>
      <c r="K252" s="566" t="s">
        <v>661</v>
      </c>
      <c r="L252" s="566" t="s">
        <v>789</v>
      </c>
      <c r="M252" s="564">
        <v>46083</v>
      </c>
      <c r="N252" s="568" t="s">
        <v>779</v>
      </c>
      <c r="O252" s="566">
        <v>35.088999999999999</v>
      </c>
      <c r="P252" s="566" t="s">
        <v>667</v>
      </c>
      <c r="Q252" s="564">
        <v>46065</v>
      </c>
      <c r="R252" s="563">
        <v>46069</v>
      </c>
      <c r="S252" s="562" t="s">
        <v>694</v>
      </c>
    </row>
    <row r="253" spans="1:19" ht="18" x14ac:dyDescent="0.25">
      <c r="A253" s="566">
        <v>251</v>
      </c>
      <c r="B253" s="566" t="s">
        <v>615</v>
      </c>
      <c r="C253" s="567" t="s">
        <v>212</v>
      </c>
      <c r="D253" s="566" t="s">
        <v>664</v>
      </c>
      <c r="E253" s="566" t="s">
        <v>775</v>
      </c>
      <c r="F253" s="566" t="s">
        <v>779</v>
      </c>
      <c r="G253" s="566" t="s">
        <v>779</v>
      </c>
      <c r="H253" s="566" t="s">
        <v>773</v>
      </c>
      <c r="I253" s="564">
        <v>46218</v>
      </c>
      <c r="J253" s="564">
        <v>46220</v>
      </c>
      <c r="K253" s="566" t="s">
        <v>763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616</v>
      </c>
      <c r="C254" s="567" t="s">
        <v>212</v>
      </c>
      <c r="D254" s="566" t="s">
        <v>542</v>
      </c>
      <c r="E254" s="566" t="s">
        <v>775</v>
      </c>
      <c r="F254" s="566" t="s">
        <v>779</v>
      </c>
      <c r="G254" s="566" t="s">
        <v>779</v>
      </c>
      <c r="H254" s="566" t="s">
        <v>773</v>
      </c>
      <c r="I254" s="564">
        <v>46055</v>
      </c>
      <c r="J254" s="564">
        <v>46067</v>
      </c>
      <c r="K254" s="566" t="s">
        <v>661</v>
      </c>
      <c r="L254" s="566" t="s">
        <v>789</v>
      </c>
      <c r="M254" s="564">
        <v>46083</v>
      </c>
      <c r="N254" s="568" t="s">
        <v>779</v>
      </c>
      <c r="O254" s="566">
        <v>35.088999999999999</v>
      </c>
      <c r="P254" s="566" t="s">
        <v>667</v>
      </c>
      <c r="Q254" s="564">
        <v>46080</v>
      </c>
      <c r="R254" s="563">
        <v>46083</v>
      </c>
      <c r="S254" s="562" t="s">
        <v>695</v>
      </c>
    </row>
    <row r="255" spans="1:19" ht="18" x14ac:dyDescent="0.25">
      <c r="A255" s="566">
        <v>253</v>
      </c>
      <c r="B255" s="566" t="s">
        <v>617</v>
      </c>
      <c r="C255" s="567" t="s">
        <v>212</v>
      </c>
      <c r="D255" s="566" t="s">
        <v>92</v>
      </c>
      <c r="E255" s="566" t="s">
        <v>775</v>
      </c>
      <c r="F255" s="566" t="s">
        <v>779</v>
      </c>
      <c r="G255" s="566" t="s">
        <v>779</v>
      </c>
      <c r="H255" s="566" t="s">
        <v>773</v>
      </c>
      <c r="I255" s="564">
        <v>46062</v>
      </c>
      <c r="J255" s="564">
        <v>46075</v>
      </c>
      <c r="K255" s="566" t="s">
        <v>661</v>
      </c>
      <c r="L255" s="566" t="s">
        <v>787</v>
      </c>
      <c r="M255" s="564">
        <v>46084</v>
      </c>
      <c r="N255" s="568" t="s">
        <v>779</v>
      </c>
      <c r="O255" s="566">
        <v>35.088999999999999</v>
      </c>
      <c r="P255" s="566" t="s">
        <v>667</v>
      </c>
      <c r="Q255" s="564">
        <v>46094</v>
      </c>
      <c r="R255" s="563">
        <v>46097</v>
      </c>
      <c r="S255" s="562" t="s">
        <v>692</v>
      </c>
    </row>
    <row r="256" spans="1:19" ht="18" x14ac:dyDescent="0.25">
      <c r="A256" s="566">
        <v>254</v>
      </c>
      <c r="B256" s="566" t="s">
        <v>618</v>
      </c>
      <c r="C256" s="567" t="s">
        <v>212</v>
      </c>
      <c r="D256" s="566" t="s">
        <v>92</v>
      </c>
      <c r="E256" s="566" t="s">
        <v>775</v>
      </c>
      <c r="F256" s="566" t="s">
        <v>779</v>
      </c>
      <c r="G256" s="566" t="s">
        <v>779</v>
      </c>
      <c r="H256" s="566" t="s">
        <v>773</v>
      </c>
      <c r="I256" s="564">
        <v>46069</v>
      </c>
      <c r="J256" s="564">
        <v>46081</v>
      </c>
      <c r="K256" s="566" t="s">
        <v>661</v>
      </c>
      <c r="L256" s="566" t="s">
        <v>787</v>
      </c>
      <c r="M256" s="564">
        <v>46084</v>
      </c>
      <c r="N256" s="568" t="s">
        <v>779</v>
      </c>
      <c r="O256" s="566">
        <v>35.088999999999999</v>
      </c>
      <c r="P256" s="566" t="s">
        <v>667</v>
      </c>
      <c r="Q256" s="564">
        <v>46097</v>
      </c>
      <c r="R256" s="563">
        <v>46101</v>
      </c>
      <c r="S256" s="562" t="s">
        <v>692</v>
      </c>
    </row>
    <row r="257" spans="1:19" ht="18" x14ac:dyDescent="0.25">
      <c r="A257" s="566">
        <v>255</v>
      </c>
      <c r="B257" s="566" t="s">
        <v>619</v>
      </c>
      <c r="C257" s="567" t="s">
        <v>212</v>
      </c>
      <c r="D257" s="566" t="s">
        <v>664</v>
      </c>
      <c r="E257" s="566" t="s">
        <v>779</v>
      </c>
      <c r="F257" s="566" t="s">
        <v>779</v>
      </c>
      <c r="G257" s="566" t="s">
        <v>779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620</v>
      </c>
      <c r="C258" s="567" t="s">
        <v>212</v>
      </c>
      <c r="D258" s="566" t="s">
        <v>664</v>
      </c>
      <c r="E258" s="566" t="s">
        <v>779</v>
      </c>
      <c r="F258" s="566" t="s">
        <v>779</v>
      </c>
      <c r="G258" s="566" t="s">
        <v>779</v>
      </c>
      <c r="H258" s="566" t="s">
        <v>773</v>
      </c>
      <c r="I258" s="564">
        <v>46221</v>
      </c>
      <c r="J258" s="564">
        <v>46227</v>
      </c>
      <c r="K258" s="566" t="s">
        <v>763</v>
      </c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735</v>
      </c>
      <c r="C259" s="567" t="s">
        <v>237</v>
      </c>
      <c r="D259" s="566" t="s">
        <v>92</v>
      </c>
      <c r="E259" s="566" t="s">
        <v>775</v>
      </c>
      <c r="F259" s="566"/>
      <c r="G259" s="566" t="s">
        <v>775</v>
      </c>
      <c r="H259" s="566" t="s">
        <v>773</v>
      </c>
      <c r="I259" s="564">
        <v>46181</v>
      </c>
      <c r="J259" s="564">
        <v>46198</v>
      </c>
      <c r="K259" s="566" t="s">
        <v>903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622</v>
      </c>
      <c r="C260" s="567" t="s">
        <v>212</v>
      </c>
      <c r="D260" s="566" t="s">
        <v>92</v>
      </c>
      <c r="E260" s="566" t="s">
        <v>775</v>
      </c>
      <c r="F260" s="566" t="s">
        <v>779</v>
      </c>
      <c r="G260" s="566" t="s">
        <v>779</v>
      </c>
      <c r="H260" s="566" t="s">
        <v>773</v>
      </c>
      <c r="I260" s="564">
        <v>46055</v>
      </c>
      <c r="J260" s="564">
        <v>46067</v>
      </c>
      <c r="K260" s="566" t="s">
        <v>688</v>
      </c>
      <c r="L260" s="566" t="s">
        <v>787</v>
      </c>
      <c r="M260" s="564">
        <v>46070</v>
      </c>
      <c r="N260" s="568" t="s">
        <v>779</v>
      </c>
      <c r="O260" s="566">
        <v>35.088999999999999</v>
      </c>
      <c r="P260" s="566" t="s">
        <v>667</v>
      </c>
      <c r="Q260" s="564">
        <v>46077</v>
      </c>
      <c r="R260" s="563">
        <v>46080</v>
      </c>
      <c r="S260" s="562" t="s">
        <v>695</v>
      </c>
    </row>
    <row r="261" spans="1:19" ht="18" x14ac:dyDescent="0.25">
      <c r="A261" s="566">
        <v>259</v>
      </c>
      <c r="B261" s="566" t="s">
        <v>623</v>
      </c>
      <c r="C261" s="567" t="s">
        <v>212</v>
      </c>
      <c r="D261" s="566" t="s">
        <v>92</v>
      </c>
      <c r="E261" s="566" t="s">
        <v>775</v>
      </c>
      <c r="F261" s="566" t="s">
        <v>779</v>
      </c>
      <c r="G261" s="566" t="s">
        <v>779</v>
      </c>
      <c r="H261" s="566" t="s">
        <v>773</v>
      </c>
      <c r="I261" s="564">
        <v>46055</v>
      </c>
      <c r="J261" s="564">
        <v>46064</v>
      </c>
      <c r="K261" s="566" t="s">
        <v>688</v>
      </c>
      <c r="L261" s="566"/>
      <c r="M261" s="564"/>
      <c r="N261" s="568" t="s">
        <v>779</v>
      </c>
      <c r="O261" s="566">
        <v>35.088999999999999</v>
      </c>
      <c r="P261" s="566" t="s">
        <v>667</v>
      </c>
      <c r="Q261" s="564">
        <v>46073</v>
      </c>
      <c r="R261" s="563">
        <v>46075</v>
      </c>
      <c r="S261" s="562" t="s">
        <v>695</v>
      </c>
    </row>
    <row r="262" spans="1:19" ht="18" x14ac:dyDescent="0.25">
      <c r="A262" s="566">
        <v>260</v>
      </c>
      <c r="B262" s="566" t="s">
        <v>624</v>
      </c>
      <c r="C262" s="567" t="s">
        <v>212</v>
      </c>
      <c r="D262" s="566" t="s">
        <v>92</v>
      </c>
      <c r="E262" s="566" t="s">
        <v>775</v>
      </c>
      <c r="F262" s="566" t="s">
        <v>779</v>
      </c>
      <c r="G262" s="566" t="s">
        <v>779</v>
      </c>
      <c r="H262" s="566" t="s">
        <v>773</v>
      </c>
      <c r="I262" s="564">
        <v>46048</v>
      </c>
      <c r="J262" s="564">
        <v>46061</v>
      </c>
      <c r="K262" s="566" t="s">
        <v>684</v>
      </c>
      <c r="L262" s="566"/>
      <c r="M262" s="564"/>
      <c r="N262" s="568" t="s">
        <v>779</v>
      </c>
      <c r="O262" s="566">
        <v>35.088999999999999</v>
      </c>
      <c r="P262" s="566" t="s">
        <v>667</v>
      </c>
      <c r="Q262" s="564">
        <v>46075</v>
      </c>
      <c r="R262" s="563">
        <v>46077</v>
      </c>
      <c r="S262" s="562" t="s">
        <v>695</v>
      </c>
    </row>
    <row r="263" spans="1:19" ht="18" x14ac:dyDescent="0.25">
      <c r="A263" s="566">
        <v>261</v>
      </c>
      <c r="B263" s="566" t="s">
        <v>625</v>
      </c>
      <c r="C263" s="567" t="s">
        <v>212</v>
      </c>
      <c r="D263" s="566" t="s">
        <v>92</v>
      </c>
      <c r="E263" s="566" t="s">
        <v>775</v>
      </c>
      <c r="F263" s="566" t="s">
        <v>779</v>
      </c>
      <c r="G263" s="566" t="s">
        <v>779</v>
      </c>
      <c r="H263" s="566" t="s">
        <v>773</v>
      </c>
      <c r="I263" s="564">
        <v>46044</v>
      </c>
      <c r="J263" s="564">
        <v>46048</v>
      </c>
      <c r="K263" s="566" t="s">
        <v>684</v>
      </c>
      <c r="L263" s="566" t="s">
        <v>787</v>
      </c>
      <c r="M263" s="564">
        <v>46067</v>
      </c>
      <c r="N263" s="568" t="s">
        <v>779</v>
      </c>
      <c r="O263" s="566">
        <v>35.088999999999999</v>
      </c>
      <c r="P263" s="566" t="s">
        <v>667</v>
      </c>
      <c r="Q263" s="564">
        <v>46067</v>
      </c>
      <c r="R263" s="563">
        <v>46070</v>
      </c>
      <c r="S263" s="562" t="s">
        <v>695</v>
      </c>
    </row>
    <row r="264" spans="1:19" ht="18" x14ac:dyDescent="0.25">
      <c r="A264" s="566">
        <v>262</v>
      </c>
      <c r="B264" s="566" t="s">
        <v>626</v>
      </c>
      <c r="C264" s="567" t="s">
        <v>212</v>
      </c>
      <c r="D264" s="566" t="s">
        <v>541</v>
      </c>
      <c r="E264" s="566" t="s">
        <v>775</v>
      </c>
      <c r="F264" s="566" t="s">
        <v>779</v>
      </c>
      <c r="G264" s="566" t="s">
        <v>779</v>
      </c>
      <c r="H264" s="566" t="s">
        <v>773</v>
      </c>
      <c r="I264" s="564">
        <v>46033</v>
      </c>
      <c r="J264" s="564">
        <v>46053</v>
      </c>
      <c r="K264" s="566" t="s">
        <v>684</v>
      </c>
      <c r="L264" s="566"/>
      <c r="M264" s="564"/>
      <c r="N264" s="568" t="s">
        <v>779</v>
      </c>
      <c r="O264" s="566">
        <v>35.088999999999999</v>
      </c>
      <c r="P264" s="566" t="s">
        <v>667</v>
      </c>
      <c r="Q264" s="564">
        <v>46068</v>
      </c>
      <c r="R264" s="563">
        <v>46072</v>
      </c>
      <c r="S264" s="562" t="s">
        <v>695</v>
      </c>
    </row>
    <row r="265" spans="1:19" ht="18" x14ac:dyDescent="0.25">
      <c r="A265" s="566">
        <v>263</v>
      </c>
      <c r="B265" s="566" t="s">
        <v>627</v>
      </c>
      <c r="C265" s="567" t="s">
        <v>212</v>
      </c>
      <c r="D265" s="566" t="s">
        <v>541</v>
      </c>
      <c r="E265" s="566" t="s">
        <v>775</v>
      </c>
      <c r="F265" s="566" t="s">
        <v>779</v>
      </c>
      <c r="G265" s="566" t="s">
        <v>779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786</v>
      </c>
      <c r="C266" s="567" t="s">
        <v>237</v>
      </c>
      <c r="D266" s="566" t="s">
        <v>92</v>
      </c>
      <c r="E266" s="566" t="s">
        <v>775</v>
      </c>
      <c r="F266" s="566"/>
      <c r="G266" s="566" t="s">
        <v>775</v>
      </c>
      <c r="H266" s="566"/>
      <c r="I266" s="564"/>
      <c r="J266" s="564"/>
      <c r="K266" s="566"/>
      <c r="L266" s="566"/>
      <c r="M266" s="564"/>
      <c r="N266" s="568" t="s">
        <v>779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629</v>
      </c>
      <c r="C267" s="567" t="s">
        <v>212</v>
      </c>
      <c r="D267" s="566" t="s">
        <v>92</v>
      </c>
      <c r="E267" s="566" t="s">
        <v>775</v>
      </c>
      <c r="F267" s="566" t="s">
        <v>779</v>
      </c>
      <c r="G267" s="566" t="s">
        <v>775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630</v>
      </c>
      <c r="C268" s="567" t="s">
        <v>212</v>
      </c>
      <c r="D268" s="566" t="s">
        <v>92</v>
      </c>
      <c r="E268" s="566" t="s">
        <v>775</v>
      </c>
      <c r="F268" s="566" t="s">
        <v>779</v>
      </c>
      <c r="G268" s="566" t="s">
        <v>775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631</v>
      </c>
      <c r="C269" s="567" t="s">
        <v>211</v>
      </c>
      <c r="D269" s="566" t="s">
        <v>92</v>
      </c>
      <c r="E269" s="566" t="s">
        <v>775</v>
      </c>
      <c r="F269" s="566" t="s">
        <v>779</v>
      </c>
      <c r="G269" s="566" t="s">
        <v>775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785</v>
      </c>
      <c r="C270" s="567" t="s">
        <v>214</v>
      </c>
      <c r="D270" s="566" t="s">
        <v>92</v>
      </c>
      <c r="E270" s="566" t="s">
        <v>775</v>
      </c>
      <c r="F270" s="566" t="s">
        <v>776</v>
      </c>
      <c r="G270" s="566" t="s">
        <v>775</v>
      </c>
      <c r="H270" s="566"/>
      <c r="I270" s="564"/>
      <c r="J270" s="564"/>
      <c r="K270" s="566"/>
      <c r="L270" s="566"/>
      <c r="M270" s="564"/>
      <c r="N270" s="568" t="s">
        <v>779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633</v>
      </c>
      <c r="C271" s="567" t="s">
        <v>212</v>
      </c>
      <c r="D271" s="566" t="s">
        <v>664</v>
      </c>
      <c r="E271" s="566" t="s">
        <v>775</v>
      </c>
      <c r="F271" s="566" t="s">
        <v>779</v>
      </c>
      <c r="G271" s="566" t="s">
        <v>775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634</v>
      </c>
      <c r="C272" s="567" t="s">
        <v>212</v>
      </c>
      <c r="D272" s="566" t="s">
        <v>664</v>
      </c>
      <c r="E272" s="566" t="s">
        <v>775</v>
      </c>
      <c r="F272" s="566" t="s">
        <v>779</v>
      </c>
      <c r="G272" s="566" t="s">
        <v>775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635</v>
      </c>
      <c r="C273" s="567" t="s">
        <v>212</v>
      </c>
      <c r="D273" s="566" t="s">
        <v>92</v>
      </c>
      <c r="E273" s="566" t="s">
        <v>775</v>
      </c>
      <c r="F273" s="566" t="s">
        <v>779</v>
      </c>
      <c r="G273" s="566" t="s">
        <v>775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636</v>
      </c>
      <c r="C274" s="567" t="s">
        <v>211</v>
      </c>
      <c r="D274" s="566" t="s">
        <v>92</v>
      </c>
      <c r="E274" s="566" t="s">
        <v>775</v>
      </c>
      <c r="F274" s="566" t="s">
        <v>779</v>
      </c>
      <c r="G274" s="566" t="s">
        <v>775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637</v>
      </c>
      <c r="C275" s="567" t="s">
        <v>212</v>
      </c>
      <c r="D275" s="566" t="s">
        <v>92</v>
      </c>
      <c r="E275" s="566" t="s">
        <v>775</v>
      </c>
      <c r="F275" s="566" t="s">
        <v>779</v>
      </c>
      <c r="G275" s="566" t="s">
        <v>775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638</v>
      </c>
      <c r="C276" s="567" t="s">
        <v>212</v>
      </c>
      <c r="D276" s="566" t="s">
        <v>92</v>
      </c>
      <c r="E276" s="566" t="s">
        <v>775</v>
      </c>
      <c r="F276" s="566" t="s">
        <v>779</v>
      </c>
      <c r="G276" s="566" t="s">
        <v>775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639</v>
      </c>
      <c r="C277" s="567" t="s">
        <v>212</v>
      </c>
      <c r="D277" s="566" t="s">
        <v>92</v>
      </c>
      <c r="E277" s="566" t="s">
        <v>775</v>
      </c>
      <c r="F277" s="566" t="s">
        <v>779</v>
      </c>
      <c r="G277" s="566" t="s">
        <v>775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640</v>
      </c>
      <c r="C278" s="567" t="s">
        <v>212</v>
      </c>
      <c r="D278" s="566" t="s">
        <v>92</v>
      </c>
      <c r="E278" s="566" t="s">
        <v>775</v>
      </c>
      <c r="F278" s="566" t="s">
        <v>779</v>
      </c>
      <c r="G278" s="566" t="s">
        <v>775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641</v>
      </c>
      <c r="C279" s="567" t="s">
        <v>213</v>
      </c>
      <c r="D279" s="566" t="s">
        <v>92</v>
      </c>
      <c r="E279" s="566" t="s">
        <v>775</v>
      </c>
      <c r="F279" s="566" t="s">
        <v>779</v>
      </c>
      <c r="G279" s="566" t="s">
        <v>775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642</v>
      </c>
      <c r="C280" s="567" t="s">
        <v>211</v>
      </c>
      <c r="D280" s="566" t="s">
        <v>92</v>
      </c>
      <c r="E280" s="566" t="s">
        <v>775</v>
      </c>
      <c r="F280" s="566" t="s">
        <v>779</v>
      </c>
      <c r="G280" s="566" t="s">
        <v>775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643</v>
      </c>
      <c r="C281" s="567" t="s">
        <v>211</v>
      </c>
      <c r="D281" s="566" t="s">
        <v>92</v>
      </c>
      <c r="E281" s="566" t="s">
        <v>775</v>
      </c>
      <c r="F281" s="566" t="s">
        <v>779</v>
      </c>
      <c r="G281" s="566" t="s">
        <v>775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784</v>
      </c>
      <c r="C282" s="567" t="s">
        <v>370</v>
      </c>
      <c r="D282" s="566" t="s">
        <v>92</v>
      </c>
      <c r="E282" s="566" t="s">
        <v>779</v>
      </c>
      <c r="F282" s="566"/>
      <c r="G282" s="566" t="s">
        <v>775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645</v>
      </c>
      <c r="C283" s="567" t="s">
        <v>212</v>
      </c>
      <c r="D283" s="566" t="s">
        <v>92</v>
      </c>
      <c r="E283" s="566" t="s">
        <v>775</v>
      </c>
      <c r="F283" s="566" t="s">
        <v>779</v>
      </c>
      <c r="G283" s="566" t="s">
        <v>775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646</v>
      </c>
      <c r="C284" s="567" t="s">
        <v>212</v>
      </c>
      <c r="D284" s="566" t="s">
        <v>92</v>
      </c>
      <c r="E284" s="566" t="s">
        <v>775</v>
      </c>
      <c r="F284" s="566" t="s">
        <v>779</v>
      </c>
      <c r="G284" s="566" t="s">
        <v>775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647</v>
      </c>
      <c r="C285" s="567" t="s">
        <v>212</v>
      </c>
      <c r="D285" s="566" t="s">
        <v>92</v>
      </c>
      <c r="E285" s="566" t="s">
        <v>775</v>
      </c>
      <c r="F285" s="566" t="s">
        <v>779</v>
      </c>
      <c r="G285" s="566" t="s">
        <v>775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783</v>
      </c>
      <c r="C286" s="567" t="s">
        <v>653</v>
      </c>
      <c r="D286" s="566" t="s">
        <v>92</v>
      </c>
      <c r="E286" s="566" t="s">
        <v>775</v>
      </c>
      <c r="F286" s="566" t="s">
        <v>776</v>
      </c>
      <c r="G286" s="566" t="s">
        <v>779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782</v>
      </c>
      <c r="C287" s="567" t="s">
        <v>768</v>
      </c>
      <c r="D287" s="566" t="s">
        <v>92</v>
      </c>
      <c r="E287" s="566" t="s">
        <v>775</v>
      </c>
      <c r="F287" s="566" t="s">
        <v>776</v>
      </c>
      <c r="G287" s="566" t="s">
        <v>779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650</v>
      </c>
      <c r="C288" s="567" t="s">
        <v>212</v>
      </c>
      <c r="D288" s="566" t="s">
        <v>92</v>
      </c>
      <c r="E288" s="566" t="s">
        <v>775</v>
      </c>
      <c r="F288" s="566" t="s">
        <v>779</v>
      </c>
      <c r="G288" s="566" t="s">
        <v>775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781</v>
      </c>
      <c r="C289" s="567" t="s">
        <v>369</v>
      </c>
      <c r="D289" s="566" t="s">
        <v>92</v>
      </c>
      <c r="E289" s="566" t="s">
        <v>775</v>
      </c>
      <c r="F289" s="566" t="s">
        <v>776</v>
      </c>
      <c r="G289" s="566" t="s">
        <v>775</v>
      </c>
      <c r="H289" s="566"/>
      <c r="I289" s="564"/>
      <c r="J289" s="564"/>
      <c r="K289" s="566"/>
      <c r="L289" s="566"/>
      <c r="M289" s="564"/>
      <c r="N289" s="568" t="s">
        <v>779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652</v>
      </c>
      <c r="C290" s="567" t="s">
        <v>212</v>
      </c>
      <c r="D290" s="566" t="s">
        <v>542</v>
      </c>
      <c r="E290" s="566" t="s">
        <v>775</v>
      </c>
      <c r="F290" s="566" t="s">
        <v>779</v>
      </c>
      <c r="G290" s="566" t="s">
        <v>775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654</v>
      </c>
      <c r="C291" s="567" t="s">
        <v>212</v>
      </c>
      <c r="D291" s="566" t="s">
        <v>542</v>
      </c>
      <c r="E291" s="566" t="s">
        <v>775</v>
      </c>
      <c r="F291" s="566" t="s">
        <v>779</v>
      </c>
      <c r="G291" s="566" t="s">
        <v>775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780</v>
      </c>
      <c r="C292" s="567" t="s">
        <v>283</v>
      </c>
      <c r="D292" s="566" t="s">
        <v>92</v>
      </c>
      <c r="E292" s="566" t="s">
        <v>779</v>
      </c>
      <c r="F292" s="566" t="s">
        <v>779</v>
      </c>
      <c r="G292" s="566" t="s">
        <v>775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778</v>
      </c>
      <c r="C293" s="567" t="s">
        <v>658</v>
      </c>
      <c r="D293" s="566" t="s">
        <v>92</v>
      </c>
      <c r="E293" s="566" t="s">
        <v>775</v>
      </c>
      <c r="F293" s="566" t="s">
        <v>776</v>
      </c>
      <c r="G293" s="566" t="s">
        <v>775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777</v>
      </c>
      <c r="C294" s="567" t="s">
        <v>369</v>
      </c>
      <c r="D294" s="566" t="s">
        <v>92</v>
      </c>
      <c r="E294" s="566" t="s">
        <v>775</v>
      </c>
      <c r="F294" s="566" t="s">
        <v>776</v>
      </c>
      <c r="G294" s="566" t="s">
        <v>775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01" t="s">
        <v>774</v>
      </c>
      <c r="B295" s="1501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738</v>
      </c>
      <c r="B1" s="447" t="s">
        <v>739</v>
      </c>
      <c r="C1" s="447" t="s">
        <v>740</v>
      </c>
      <c r="D1" s="447" t="s">
        <v>741</v>
      </c>
      <c r="E1" s="447" t="s">
        <v>742</v>
      </c>
      <c r="F1" s="448" t="s">
        <v>743</v>
      </c>
      <c r="G1" s="449" t="s">
        <v>744</v>
      </c>
      <c r="H1" s="450" t="s">
        <v>745</v>
      </c>
      <c r="I1" s="451" t="s">
        <v>746</v>
      </c>
      <c r="J1" s="448" t="s">
        <v>747</v>
      </c>
      <c r="K1" s="447" t="s">
        <v>748</v>
      </c>
      <c r="L1" s="448" t="s">
        <v>749</v>
      </c>
      <c r="M1" s="452" t="s">
        <v>750</v>
      </c>
      <c r="N1" s="446" t="s">
        <v>751</v>
      </c>
      <c r="O1" s="453" t="s">
        <v>752</v>
      </c>
      <c r="P1" s="454" t="s">
        <v>753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754</v>
      </c>
      <c r="V1" s="447" t="s">
        <v>755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2026-08-07T13:20:07Z</dcterms:modified>
</cp:coreProperties>
</file>